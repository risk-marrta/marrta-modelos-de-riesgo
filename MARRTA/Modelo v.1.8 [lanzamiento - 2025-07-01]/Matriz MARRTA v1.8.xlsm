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harts/chart9.xml" ContentType="application/vnd.openxmlformats-officedocument.drawingml.chart+xml"/>
  <Override PartName="/xl/drawings/drawing4.xml" ContentType="application/vnd.openxmlformats-officedocument.drawing+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efher23\Documents\MARRTA\Modelo v1.8\"/>
    </mc:Choice>
  </mc:AlternateContent>
  <bookViews>
    <workbookView xWindow="0" yWindow="0" windowWidth="23040" windowHeight="8340" tabRatio="634" activeTab="2"/>
  </bookViews>
  <sheets>
    <sheet name="Notas" sheetId="13" r:id="rId1"/>
    <sheet name="MATRIZ" sheetId="23" r:id="rId2"/>
    <sheet name="RF" sheetId="4" r:id="rId3"/>
    <sheet name="Barreras" sheetId="29" r:id="rId4"/>
    <sheet name="RC" sheetId="28" r:id="rId5"/>
    <sheet name="Riesgo - Análisis - 1" sheetId="24" r:id="rId6"/>
    <sheet name="Riesgo - Análisis - 2" sheetId="26" r:id="rId7"/>
    <sheet name="Riesgo - Análisis - 3" sheetId="27" r:id="rId8"/>
    <sheet name="Barreras - Análisis 1" sheetId="9" r:id="rId9"/>
    <sheet name="Barreras - Análisis 2" sheetId="10" r:id="rId10"/>
    <sheet name="RF - Análisis 1 " sheetId="18" r:id="rId11"/>
    <sheet name="RC - Análisis 1" sheetId="22" r:id="rId12"/>
  </sheets>
  <definedNames>
    <definedName name="_xlnm._FilterDatabase" localSheetId="11" hidden="1">'RC - Análisis 1'!$A$1:$D$82</definedName>
    <definedName name="LOCAL_MYSQL_DATE_FORMAT" localSheetId="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2"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2" hidden="1">REPT(LOCAL_YEAR_FORMAT,4)&amp;LOCAL_DATE_SEPARATOR&amp;REPT(LOCAL_MONTH_FORMAT,2)&amp;LOCAL_DATE_SEPARATOR&amp;REPT(LOCAL_DAY_FORMAT,2)&amp;" "&amp;REPT(LOCAL_HOUR_FORMAT,2)&amp;LOCAL_TIME_SEPARATOR&amp;REPT(LOCAL_MINUTE_FORMAT,2)&amp;LOCAL_TIME_SEPARATOR&amp;REPT(LOCAL_SECOND_FORMAT,2)</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02" i="29" l="1"/>
  <c r="B203" i="29"/>
  <c r="B204" i="29"/>
  <c r="B205" i="29"/>
  <c r="B206" i="29"/>
  <c r="B207" i="29"/>
  <c r="B208" i="29"/>
  <c r="B209" i="29"/>
  <c r="B210" i="29"/>
  <c r="B211" i="29"/>
  <c r="B212" i="29"/>
  <c r="B213" i="29"/>
  <c r="B214" i="29"/>
  <c r="B215" i="29"/>
  <c r="B216" i="29"/>
  <c r="B217" i="29"/>
  <c r="B218" i="29"/>
  <c r="B219" i="29"/>
  <c r="B220" i="29"/>
  <c r="B221" i="29"/>
  <c r="B222" i="29"/>
  <c r="B223" i="29"/>
  <c r="B224" i="29"/>
  <c r="B225" i="29"/>
  <c r="B226" i="29"/>
  <c r="B227" i="29"/>
  <c r="B228" i="29"/>
  <c r="B229" i="29"/>
  <c r="B230" i="29"/>
  <c r="B231" i="29"/>
  <c r="B232" i="29"/>
  <c r="B233" i="29"/>
  <c r="B234" i="29"/>
  <c r="B235" i="29"/>
  <c r="B236" i="29"/>
  <c r="B237" i="29"/>
  <c r="B238" i="29"/>
  <c r="B239" i="29"/>
  <c r="B240" i="29"/>
  <c r="B241" i="29"/>
  <c r="B242" i="29"/>
  <c r="B243" i="29"/>
  <c r="B244" i="29"/>
  <c r="B245" i="29"/>
  <c r="B246" i="29"/>
  <c r="B247" i="29"/>
  <c r="B248" i="29"/>
  <c r="B249" i="29"/>
  <c r="B250" i="29"/>
  <c r="B251" i="29"/>
  <c r="B252" i="29"/>
  <c r="B253" i="29"/>
  <c r="B254" i="29"/>
  <c r="B255" i="29"/>
  <c r="B256" i="29"/>
  <c r="B257" i="29"/>
  <c r="B258" i="29"/>
  <c r="B259" i="29"/>
  <c r="B260" i="29"/>
  <c r="C205" i="29"/>
  <c r="D205" i="29"/>
  <c r="E205" i="29"/>
  <c r="F205" i="29"/>
  <c r="G205" i="29"/>
  <c r="H205" i="29"/>
  <c r="I205" i="29"/>
  <c r="J205" i="29"/>
  <c r="K205" i="29"/>
  <c r="L205" i="29"/>
  <c r="M205" i="29"/>
  <c r="N205" i="29"/>
  <c r="O205" i="29"/>
  <c r="P205" i="29"/>
  <c r="Q205" i="29"/>
  <c r="R205" i="29"/>
  <c r="S205" i="29"/>
  <c r="T205" i="29"/>
  <c r="U205" i="29"/>
  <c r="V205" i="29"/>
  <c r="W205" i="29"/>
  <c r="X205" i="29"/>
  <c r="Y205" i="29"/>
  <c r="Z205" i="29"/>
  <c r="AA205" i="29"/>
  <c r="AB205" i="29"/>
  <c r="AC205" i="29"/>
  <c r="AD205" i="29"/>
  <c r="AE205" i="29"/>
  <c r="AF205" i="29"/>
  <c r="AG205" i="29"/>
  <c r="AH205" i="29"/>
  <c r="AI205" i="29"/>
  <c r="AJ205" i="29"/>
  <c r="AK205" i="29"/>
  <c r="AL205" i="29"/>
  <c r="AM205" i="29"/>
  <c r="AN205" i="29"/>
  <c r="AO205" i="29"/>
  <c r="AP205" i="29"/>
  <c r="AQ205" i="29"/>
  <c r="AR205" i="29"/>
  <c r="AS205" i="29"/>
  <c r="AT205" i="29"/>
  <c r="AU205" i="29"/>
  <c r="AV205" i="29"/>
  <c r="AW205" i="29"/>
  <c r="AX205" i="29"/>
  <c r="AY205" i="29"/>
  <c r="AZ205" i="29"/>
  <c r="BA205" i="29"/>
  <c r="BB205" i="29"/>
  <c r="BC205" i="29"/>
  <c r="BD205" i="29"/>
  <c r="BE205" i="29"/>
  <c r="BF205" i="29"/>
  <c r="BG205" i="29"/>
  <c r="BH205" i="29"/>
  <c r="BI205" i="29"/>
  <c r="BJ205" i="29"/>
  <c r="BK205" i="29"/>
  <c r="BL205" i="29"/>
  <c r="BM205" i="29"/>
  <c r="BN205" i="29"/>
  <c r="BO205" i="29"/>
  <c r="BP205" i="29"/>
  <c r="BQ205" i="29"/>
  <c r="BR205" i="29"/>
  <c r="BS205" i="29"/>
  <c r="BT205" i="29"/>
  <c r="BU205" i="29"/>
  <c r="BV205" i="29"/>
  <c r="BW205" i="29"/>
  <c r="BX205" i="29"/>
  <c r="BY205" i="29"/>
  <c r="BZ205" i="29"/>
  <c r="CA205" i="29"/>
  <c r="CB205" i="29"/>
  <c r="CC205" i="29"/>
  <c r="CD205" i="29"/>
  <c r="CE205" i="29"/>
  <c r="CF205" i="29"/>
  <c r="CG205" i="29"/>
  <c r="CH205" i="29"/>
  <c r="CI205" i="29"/>
  <c r="CJ205" i="29"/>
  <c r="CK205" i="29"/>
  <c r="CL205" i="29"/>
  <c r="CM205" i="29"/>
  <c r="CN205" i="29"/>
  <c r="CO205" i="29"/>
  <c r="CP205" i="29"/>
  <c r="CQ205" i="29"/>
  <c r="CR205" i="29"/>
  <c r="CS205" i="29"/>
  <c r="CT205" i="29"/>
  <c r="CU205" i="29"/>
  <c r="CV205" i="29"/>
  <c r="CW205" i="29"/>
  <c r="CX205" i="29"/>
  <c r="CY205" i="29"/>
  <c r="CZ205" i="29"/>
  <c r="DA205" i="29"/>
  <c r="DB205" i="29"/>
  <c r="DC205" i="29"/>
  <c r="DD205" i="29"/>
  <c r="DE205" i="29"/>
  <c r="DF205" i="29"/>
  <c r="DG205" i="29"/>
  <c r="DH205" i="29"/>
  <c r="C206" i="29"/>
  <c r="D206" i="29"/>
  <c r="E206" i="29"/>
  <c r="F206" i="29"/>
  <c r="G206" i="29"/>
  <c r="H206" i="29"/>
  <c r="I206" i="29"/>
  <c r="J206" i="29"/>
  <c r="K206" i="29"/>
  <c r="L206" i="29"/>
  <c r="M206" i="29"/>
  <c r="N206" i="29"/>
  <c r="O206" i="29"/>
  <c r="P206" i="29"/>
  <c r="Q206" i="29"/>
  <c r="R206" i="29"/>
  <c r="S206" i="29"/>
  <c r="T206" i="29"/>
  <c r="U206" i="29"/>
  <c r="V206" i="29"/>
  <c r="W206" i="29"/>
  <c r="X206" i="29"/>
  <c r="Y206" i="29"/>
  <c r="Z206" i="29"/>
  <c r="AA206" i="29"/>
  <c r="AB206" i="29"/>
  <c r="AC206" i="29"/>
  <c r="AD206" i="29"/>
  <c r="AE206" i="29"/>
  <c r="AF206" i="29"/>
  <c r="AG206" i="29"/>
  <c r="AH206" i="29"/>
  <c r="AI206" i="29"/>
  <c r="AJ206" i="29"/>
  <c r="AK206" i="29"/>
  <c r="AL206" i="29"/>
  <c r="AM206" i="29"/>
  <c r="AN206" i="29"/>
  <c r="AO206" i="29"/>
  <c r="AP206" i="29"/>
  <c r="AQ206" i="29"/>
  <c r="AR206" i="29"/>
  <c r="AS206" i="29"/>
  <c r="AT206" i="29"/>
  <c r="AU206" i="29"/>
  <c r="AV206" i="29"/>
  <c r="AW206" i="29"/>
  <c r="AX206" i="29"/>
  <c r="AY206" i="29"/>
  <c r="AZ206" i="29"/>
  <c r="BA206" i="29"/>
  <c r="BB206" i="29"/>
  <c r="BC206" i="29"/>
  <c r="BD206" i="29"/>
  <c r="BE206" i="29"/>
  <c r="BF206" i="29"/>
  <c r="BG206" i="29"/>
  <c r="BH206" i="29"/>
  <c r="BI206" i="29"/>
  <c r="BJ206" i="29"/>
  <c r="BK206" i="29"/>
  <c r="BL206" i="29"/>
  <c r="BM206" i="29"/>
  <c r="BN206" i="29"/>
  <c r="BO206" i="29"/>
  <c r="BP206" i="29"/>
  <c r="BQ206" i="29"/>
  <c r="BR206" i="29"/>
  <c r="BS206" i="29"/>
  <c r="BT206" i="29"/>
  <c r="BU206" i="29"/>
  <c r="BV206" i="29"/>
  <c r="BW206" i="29"/>
  <c r="BX206" i="29"/>
  <c r="BY206" i="29"/>
  <c r="BZ206" i="29"/>
  <c r="CA206" i="29"/>
  <c r="CB206" i="29"/>
  <c r="CC206" i="29"/>
  <c r="CD206" i="29"/>
  <c r="CE206" i="29"/>
  <c r="CF206" i="29"/>
  <c r="CG206" i="29"/>
  <c r="CH206" i="29"/>
  <c r="CI206" i="29"/>
  <c r="CJ206" i="29"/>
  <c r="CK206" i="29"/>
  <c r="CL206" i="29"/>
  <c r="CM206" i="29"/>
  <c r="CN206" i="29"/>
  <c r="CO206" i="29"/>
  <c r="CP206" i="29"/>
  <c r="CQ206" i="29"/>
  <c r="CR206" i="29"/>
  <c r="CS206" i="29"/>
  <c r="CT206" i="29"/>
  <c r="CU206" i="29"/>
  <c r="CV206" i="29"/>
  <c r="CW206" i="29"/>
  <c r="CX206" i="29"/>
  <c r="CY206" i="29"/>
  <c r="CZ206" i="29"/>
  <c r="DA206" i="29"/>
  <c r="DB206" i="29"/>
  <c r="DC206" i="29"/>
  <c r="DD206" i="29"/>
  <c r="DE206" i="29"/>
  <c r="DF206" i="29"/>
  <c r="DG206" i="29"/>
  <c r="DH206" i="29"/>
  <c r="C207" i="29"/>
  <c r="D207" i="29"/>
  <c r="E207" i="29"/>
  <c r="F207" i="29"/>
  <c r="G207" i="29"/>
  <c r="H207" i="29"/>
  <c r="I207" i="29"/>
  <c r="J207" i="29"/>
  <c r="K207" i="29"/>
  <c r="L207" i="29"/>
  <c r="M207" i="29"/>
  <c r="N207" i="29"/>
  <c r="O207" i="29"/>
  <c r="P207" i="29"/>
  <c r="Q207" i="29"/>
  <c r="R207" i="29"/>
  <c r="S207" i="29"/>
  <c r="T207" i="29"/>
  <c r="U207" i="29"/>
  <c r="V207" i="29"/>
  <c r="W207" i="29"/>
  <c r="X207" i="29"/>
  <c r="Y207" i="29"/>
  <c r="Z207" i="29"/>
  <c r="AA207" i="29"/>
  <c r="AB207" i="29"/>
  <c r="AC207" i="29"/>
  <c r="AD207" i="29"/>
  <c r="AE207" i="29"/>
  <c r="AF207" i="29"/>
  <c r="AG207" i="29"/>
  <c r="AH207" i="29"/>
  <c r="AI207" i="29"/>
  <c r="AJ207" i="29"/>
  <c r="AK207" i="29"/>
  <c r="AL207" i="29"/>
  <c r="AM207" i="29"/>
  <c r="AN207" i="29"/>
  <c r="AO207" i="29"/>
  <c r="AP207" i="29"/>
  <c r="AQ207" i="29"/>
  <c r="AR207" i="29"/>
  <c r="AS207" i="29"/>
  <c r="AT207" i="29"/>
  <c r="AU207" i="29"/>
  <c r="AV207" i="29"/>
  <c r="AW207" i="29"/>
  <c r="AX207" i="29"/>
  <c r="AY207" i="29"/>
  <c r="AZ207" i="29"/>
  <c r="BA207" i="29"/>
  <c r="BB207" i="29"/>
  <c r="BC207" i="29"/>
  <c r="BD207" i="29"/>
  <c r="BE207" i="29"/>
  <c r="BF207" i="29"/>
  <c r="BG207" i="29"/>
  <c r="BH207" i="29"/>
  <c r="BI207" i="29"/>
  <c r="BJ207" i="29"/>
  <c r="BK207" i="29"/>
  <c r="BL207" i="29"/>
  <c r="BM207" i="29"/>
  <c r="BN207" i="29"/>
  <c r="BO207" i="29"/>
  <c r="BP207" i="29"/>
  <c r="BQ207" i="29"/>
  <c r="BR207" i="29"/>
  <c r="BS207" i="29"/>
  <c r="BT207" i="29"/>
  <c r="BU207" i="29"/>
  <c r="BV207" i="29"/>
  <c r="BW207" i="29"/>
  <c r="BX207" i="29"/>
  <c r="BY207" i="29"/>
  <c r="BZ207" i="29"/>
  <c r="CA207" i="29"/>
  <c r="CB207" i="29"/>
  <c r="CC207" i="29"/>
  <c r="CD207" i="29"/>
  <c r="CE207" i="29"/>
  <c r="CF207" i="29"/>
  <c r="CG207" i="29"/>
  <c r="CH207" i="29"/>
  <c r="CI207" i="29"/>
  <c r="CJ207" i="29"/>
  <c r="CK207" i="29"/>
  <c r="CL207" i="29"/>
  <c r="CM207" i="29"/>
  <c r="CN207" i="29"/>
  <c r="CO207" i="29"/>
  <c r="CP207" i="29"/>
  <c r="CQ207" i="29"/>
  <c r="CR207" i="29"/>
  <c r="CS207" i="29"/>
  <c r="CT207" i="29"/>
  <c r="CU207" i="29"/>
  <c r="CV207" i="29"/>
  <c r="CW207" i="29"/>
  <c r="CX207" i="29"/>
  <c r="CY207" i="29"/>
  <c r="CZ207" i="29"/>
  <c r="DA207" i="29"/>
  <c r="DB207" i="29"/>
  <c r="DC207" i="29"/>
  <c r="DD207" i="29"/>
  <c r="DE207" i="29"/>
  <c r="DF207" i="29"/>
  <c r="DG207" i="29"/>
  <c r="DH207" i="29"/>
  <c r="C208" i="29"/>
  <c r="D208" i="29"/>
  <c r="E208" i="29"/>
  <c r="F208" i="29"/>
  <c r="G208" i="29"/>
  <c r="H208" i="29"/>
  <c r="I208" i="29"/>
  <c r="J208" i="29"/>
  <c r="K208" i="29"/>
  <c r="L208" i="29"/>
  <c r="M208" i="29"/>
  <c r="N208" i="29"/>
  <c r="O208" i="29"/>
  <c r="P208" i="29"/>
  <c r="Q208" i="29"/>
  <c r="R208" i="29"/>
  <c r="S208" i="29"/>
  <c r="T208" i="29"/>
  <c r="U208" i="29"/>
  <c r="V208" i="29"/>
  <c r="W208" i="29"/>
  <c r="X208" i="29"/>
  <c r="Y208" i="29"/>
  <c r="Z208" i="29"/>
  <c r="AA208" i="29"/>
  <c r="AB208" i="29"/>
  <c r="AC208" i="29"/>
  <c r="AD208" i="29"/>
  <c r="AE208" i="29"/>
  <c r="AF208" i="29"/>
  <c r="AG208" i="29"/>
  <c r="AH208" i="29"/>
  <c r="AI208" i="29"/>
  <c r="AJ208" i="29"/>
  <c r="AK208" i="29"/>
  <c r="AL208" i="29"/>
  <c r="AM208" i="29"/>
  <c r="AN208" i="29"/>
  <c r="AO208" i="29"/>
  <c r="AP208" i="29"/>
  <c r="AQ208" i="29"/>
  <c r="AR208" i="29"/>
  <c r="AS208" i="29"/>
  <c r="AT208" i="29"/>
  <c r="AU208" i="29"/>
  <c r="AV208" i="29"/>
  <c r="AW208" i="29"/>
  <c r="AX208" i="29"/>
  <c r="AY208" i="29"/>
  <c r="AZ208" i="29"/>
  <c r="BA208" i="29"/>
  <c r="BB208" i="29"/>
  <c r="BC208" i="29"/>
  <c r="BD208" i="29"/>
  <c r="BE208" i="29"/>
  <c r="BF208" i="29"/>
  <c r="BG208" i="29"/>
  <c r="BH208" i="29"/>
  <c r="BI208" i="29"/>
  <c r="BJ208" i="29"/>
  <c r="BK208" i="29"/>
  <c r="BL208" i="29"/>
  <c r="BM208" i="29"/>
  <c r="BN208" i="29"/>
  <c r="BO208" i="29"/>
  <c r="BP208" i="29"/>
  <c r="BQ208" i="29"/>
  <c r="BR208" i="29"/>
  <c r="BS208" i="29"/>
  <c r="BT208" i="29"/>
  <c r="BU208" i="29"/>
  <c r="BV208" i="29"/>
  <c r="BW208" i="29"/>
  <c r="BX208" i="29"/>
  <c r="BY208" i="29"/>
  <c r="BZ208" i="29"/>
  <c r="CA208" i="29"/>
  <c r="CB208" i="29"/>
  <c r="CC208" i="29"/>
  <c r="CD208" i="29"/>
  <c r="CE208" i="29"/>
  <c r="CF208" i="29"/>
  <c r="CG208" i="29"/>
  <c r="CH208" i="29"/>
  <c r="CI208" i="29"/>
  <c r="CJ208" i="29"/>
  <c r="CK208" i="29"/>
  <c r="CL208" i="29"/>
  <c r="CM208" i="29"/>
  <c r="CN208" i="29"/>
  <c r="CO208" i="29"/>
  <c r="CP208" i="29"/>
  <c r="CQ208" i="29"/>
  <c r="CR208" i="29"/>
  <c r="CS208" i="29"/>
  <c r="CT208" i="29"/>
  <c r="CU208" i="29"/>
  <c r="CV208" i="29"/>
  <c r="CW208" i="29"/>
  <c r="CX208" i="29"/>
  <c r="CY208" i="29"/>
  <c r="CZ208" i="29"/>
  <c r="DA208" i="29"/>
  <c r="DB208" i="29"/>
  <c r="DC208" i="29"/>
  <c r="DD208" i="29"/>
  <c r="DE208" i="29"/>
  <c r="DF208" i="29"/>
  <c r="DG208" i="29"/>
  <c r="DH208" i="29"/>
  <c r="C209" i="29"/>
  <c r="D209" i="29"/>
  <c r="E209" i="29"/>
  <c r="F209" i="29"/>
  <c r="G209" i="29"/>
  <c r="H209" i="29"/>
  <c r="I209" i="29"/>
  <c r="J209" i="29"/>
  <c r="K209" i="29"/>
  <c r="L209" i="29"/>
  <c r="M209" i="29"/>
  <c r="N209" i="29"/>
  <c r="O209" i="29"/>
  <c r="P209" i="29"/>
  <c r="Q209" i="29"/>
  <c r="R209" i="29"/>
  <c r="S209" i="29"/>
  <c r="T209" i="29"/>
  <c r="U209" i="29"/>
  <c r="V209" i="29"/>
  <c r="W209" i="29"/>
  <c r="X209" i="29"/>
  <c r="Y209" i="29"/>
  <c r="Z209" i="29"/>
  <c r="AA209" i="29"/>
  <c r="AB209" i="29"/>
  <c r="AC209" i="29"/>
  <c r="AD209" i="29"/>
  <c r="AE209" i="29"/>
  <c r="AF209" i="29"/>
  <c r="AG209" i="29"/>
  <c r="AH209" i="29"/>
  <c r="AI209" i="29"/>
  <c r="AJ209" i="29"/>
  <c r="AK209" i="29"/>
  <c r="AL209" i="29"/>
  <c r="AM209" i="29"/>
  <c r="AN209" i="29"/>
  <c r="AO209" i="29"/>
  <c r="AP209" i="29"/>
  <c r="AQ209" i="29"/>
  <c r="AR209" i="29"/>
  <c r="AS209" i="29"/>
  <c r="AT209" i="29"/>
  <c r="AU209" i="29"/>
  <c r="AV209" i="29"/>
  <c r="AW209" i="29"/>
  <c r="AX209" i="29"/>
  <c r="AY209" i="29"/>
  <c r="AZ209" i="29"/>
  <c r="BA209" i="29"/>
  <c r="BB209" i="29"/>
  <c r="BC209" i="29"/>
  <c r="BD209" i="29"/>
  <c r="BE209" i="29"/>
  <c r="BF209" i="29"/>
  <c r="BG209" i="29"/>
  <c r="BH209" i="29"/>
  <c r="BI209" i="29"/>
  <c r="BJ209" i="29"/>
  <c r="BK209" i="29"/>
  <c r="BL209" i="29"/>
  <c r="BM209" i="29"/>
  <c r="BN209" i="29"/>
  <c r="BO209" i="29"/>
  <c r="BP209" i="29"/>
  <c r="BQ209" i="29"/>
  <c r="BR209" i="29"/>
  <c r="BS209" i="29"/>
  <c r="BT209" i="29"/>
  <c r="BU209" i="29"/>
  <c r="BV209" i="29"/>
  <c r="BW209" i="29"/>
  <c r="BX209" i="29"/>
  <c r="BY209" i="29"/>
  <c r="BZ209" i="29"/>
  <c r="CA209" i="29"/>
  <c r="CB209" i="29"/>
  <c r="CC209" i="29"/>
  <c r="CD209" i="29"/>
  <c r="CE209" i="29"/>
  <c r="CF209" i="29"/>
  <c r="CG209" i="29"/>
  <c r="CH209" i="29"/>
  <c r="CI209" i="29"/>
  <c r="CJ209" i="29"/>
  <c r="CK209" i="29"/>
  <c r="CL209" i="29"/>
  <c r="CM209" i="29"/>
  <c r="CN209" i="29"/>
  <c r="CO209" i="29"/>
  <c r="CP209" i="29"/>
  <c r="CQ209" i="29"/>
  <c r="CR209" i="29"/>
  <c r="CS209" i="29"/>
  <c r="CT209" i="29"/>
  <c r="CU209" i="29"/>
  <c r="CV209" i="29"/>
  <c r="CW209" i="29"/>
  <c r="CX209" i="29"/>
  <c r="CY209" i="29"/>
  <c r="CZ209" i="29"/>
  <c r="DA209" i="29"/>
  <c r="DB209" i="29"/>
  <c r="DC209" i="29"/>
  <c r="DD209" i="29"/>
  <c r="DE209" i="29"/>
  <c r="DF209" i="29"/>
  <c r="DG209" i="29"/>
  <c r="DH209" i="29"/>
  <c r="C210" i="29"/>
  <c r="D210" i="29"/>
  <c r="E210" i="29"/>
  <c r="F210" i="29"/>
  <c r="G210" i="29"/>
  <c r="H210" i="29"/>
  <c r="I210" i="29"/>
  <c r="J210" i="29"/>
  <c r="K210" i="29"/>
  <c r="L210" i="29"/>
  <c r="M210" i="29"/>
  <c r="N210" i="29"/>
  <c r="O210" i="29"/>
  <c r="P210" i="29"/>
  <c r="Q210" i="29"/>
  <c r="R210" i="29"/>
  <c r="S210" i="29"/>
  <c r="T210" i="29"/>
  <c r="U210" i="29"/>
  <c r="V210" i="29"/>
  <c r="W210" i="29"/>
  <c r="X210" i="29"/>
  <c r="Y210" i="29"/>
  <c r="Z210" i="29"/>
  <c r="AA210" i="29"/>
  <c r="AB210" i="29"/>
  <c r="AC210" i="29"/>
  <c r="AD210" i="29"/>
  <c r="AE210" i="29"/>
  <c r="AF210" i="29"/>
  <c r="AG210" i="29"/>
  <c r="AH210" i="29"/>
  <c r="AI210" i="29"/>
  <c r="AJ210" i="29"/>
  <c r="AK210" i="29"/>
  <c r="AL210" i="29"/>
  <c r="AM210" i="29"/>
  <c r="AN210" i="29"/>
  <c r="AO210" i="29"/>
  <c r="AP210" i="29"/>
  <c r="AQ210" i="29"/>
  <c r="AR210" i="29"/>
  <c r="AS210" i="29"/>
  <c r="AT210" i="29"/>
  <c r="AU210" i="29"/>
  <c r="AV210" i="29"/>
  <c r="AW210" i="29"/>
  <c r="AX210" i="29"/>
  <c r="AY210" i="29"/>
  <c r="AZ210" i="29"/>
  <c r="BA210" i="29"/>
  <c r="BB210" i="29"/>
  <c r="BC210" i="29"/>
  <c r="BD210" i="29"/>
  <c r="BE210" i="29"/>
  <c r="BF210" i="29"/>
  <c r="BG210" i="29"/>
  <c r="BH210" i="29"/>
  <c r="BI210" i="29"/>
  <c r="BJ210" i="29"/>
  <c r="BK210" i="29"/>
  <c r="BL210" i="29"/>
  <c r="BM210" i="29"/>
  <c r="BN210" i="29"/>
  <c r="BO210" i="29"/>
  <c r="BP210" i="29"/>
  <c r="BQ210" i="29"/>
  <c r="BR210" i="29"/>
  <c r="BS210" i="29"/>
  <c r="BT210" i="29"/>
  <c r="BU210" i="29"/>
  <c r="BV210" i="29"/>
  <c r="BW210" i="29"/>
  <c r="BX210" i="29"/>
  <c r="BY210" i="29"/>
  <c r="BZ210" i="29"/>
  <c r="CA210" i="29"/>
  <c r="CB210" i="29"/>
  <c r="CC210" i="29"/>
  <c r="CD210" i="29"/>
  <c r="CE210" i="29"/>
  <c r="CF210" i="29"/>
  <c r="CG210" i="29"/>
  <c r="CH210" i="29"/>
  <c r="CI210" i="29"/>
  <c r="CJ210" i="29"/>
  <c r="CK210" i="29"/>
  <c r="CL210" i="29"/>
  <c r="CM210" i="29"/>
  <c r="CN210" i="29"/>
  <c r="CO210" i="29"/>
  <c r="CP210" i="29"/>
  <c r="CQ210" i="29"/>
  <c r="CR210" i="29"/>
  <c r="CS210" i="29"/>
  <c r="CT210" i="29"/>
  <c r="CU210" i="29"/>
  <c r="CV210" i="29"/>
  <c r="CW210" i="29"/>
  <c r="CX210" i="29"/>
  <c r="CY210" i="29"/>
  <c r="CZ210" i="29"/>
  <c r="DA210" i="29"/>
  <c r="DB210" i="29"/>
  <c r="DC210" i="29"/>
  <c r="DD210" i="29"/>
  <c r="DE210" i="29"/>
  <c r="DF210" i="29"/>
  <c r="DG210" i="29"/>
  <c r="DH210" i="29"/>
  <c r="C211" i="29"/>
  <c r="D211" i="29"/>
  <c r="E211" i="29"/>
  <c r="F211" i="29"/>
  <c r="G211" i="29"/>
  <c r="H211" i="29"/>
  <c r="I211" i="29"/>
  <c r="J211" i="29"/>
  <c r="K211" i="29"/>
  <c r="L211" i="29"/>
  <c r="M211" i="29"/>
  <c r="N211" i="29"/>
  <c r="O211" i="29"/>
  <c r="P211" i="29"/>
  <c r="Q211" i="29"/>
  <c r="R211" i="29"/>
  <c r="S211" i="29"/>
  <c r="T211" i="29"/>
  <c r="U211" i="29"/>
  <c r="V211" i="29"/>
  <c r="W211" i="29"/>
  <c r="X211" i="29"/>
  <c r="Y211" i="29"/>
  <c r="Z211" i="29"/>
  <c r="AA211" i="29"/>
  <c r="AB211" i="29"/>
  <c r="AC211" i="29"/>
  <c r="AD211" i="29"/>
  <c r="AE211" i="29"/>
  <c r="AF211" i="29"/>
  <c r="AG211" i="29"/>
  <c r="AH211" i="29"/>
  <c r="AI211" i="29"/>
  <c r="AJ211" i="29"/>
  <c r="AK211" i="29"/>
  <c r="AL211" i="29"/>
  <c r="AM211" i="29"/>
  <c r="AN211" i="29"/>
  <c r="AO211" i="29"/>
  <c r="AP211" i="29"/>
  <c r="AQ211" i="29"/>
  <c r="AR211" i="29"/>
  <c r="AS211" i="29"/>
  <c r="AT211" i="29"/>
  <c r="AU211" i="29"/>
  <c r="AV211" i="29"/>
  <c r="AW211" i="29"/>
  <c r="AX211" i="29"/>
  <c r="AY211" i="29"/>
  <c r="AZ211" i="29"/>
  <c r="BA211" i="29"/>
  <c r="BB211" i="29"/>
  <c r="BC211" i="29"/>
  <c r="BD211" i="29"/>
  <c r="BE211" i="29"/>
  <c r="BF211" i="29"/>
  <c r="BG211" i="29"/>
  <c r="BH211" i="29"/>
  <c r="BI211" i="29"/>
  <c r="BJ211" i="29"/>
  <c r="BK211" i="29"/>
  <c r="BL211" i="29"/>
  <c r="BM211" i="29"/>
  <c r="BN211" i="29"/>
  <c r="BO211" i="29"/>
  <c r="BP211" i="29"/>
  <c r="BQ211" i="29"/>
  <c r="BR211" i="29"/>
  <c r="BS211" i="29"/>
  <c r="BT211" i="29"/>
  <c r="BU211" i="29"/>
  <c r="BV211" i="29"/>
  <c r="BW211" i="29"/>
  <c r="BX211" i="29"/>
  <c r="BY211" i="29"/>
  <c r="BZ211" i="29"/>
  <c r="CA211" i="29"/>
  <c r="CB211" i="29"/>
  <c r="CC211" i="29"/>
  <c r="CD211" i="29"/>
  <c r="CE211" i="29"/>
  <c r="CF211" i="29"/>
  <c r="CG211" i="29"/>
  <c r="CH211" i="29"/>
  <c r="CI211" i="29"/>
  <c r="CJ211" i="29"/>
  <c r="CK211" i="29"/>
  <c r="CL211" i="29"/>
  <c r="CM211" i="29"/>
  <c r="CN211" i="29"/>
  <c r="CO211" i="29"/>
  <c r="CP211" i="29"/>
  <c r="CQ211" i="29"/>
  <c r="CR211" i="29"/>
  <c r="CS211" i="29"/>
  <c r="CT211" i="29"/>
  <c r="CU211" i="29"/>
  <c r="CV211" i="29"/>
  <c r="CW211" i="29"/>
  <c r="CX211" i="29"/>
  <c r="CY211" i="29"/>
  <c r="CZ211" i="29"/>
  <c r="DA211" i="29"/>
  <c r="DB211" i="29"/>
  <c r="DC211" i="29"/>
  <c r="DD211" i="29"/>
  <c r="DE211" i="29"/>
  <c r="DF211" i="29"/>
  <c r="DG211" i="29"/>
  <c r="DH211" i="29"/>
  <c r="C212" i="29"/>
  <c r="D212" i="29"/>
  <c r="E212" i="29"/>
  <c r="F212" i="29"/>
  <c r="G212" i="29"/>
  <c r="H212" i="29"/>
  <c r="I212" i="29"/>
  <c r="J212" i="29"/>
  <c r="K212" i="29"/>
  <c r="L212" i="29"/>
  <c r="M212" i="29"/>
  <c r="N212" i="29"/>
  <c r="O212" i="29"/>
  <c r="P212" i="29"/>
  <c r="Q212" i="29"/>
  <c r="R212" i="29"/>
  <c r="S212" i="29"/>
  <c r="T212" i="29"/>
  <c r="U212" i="29"/>
  <c r="V212" i="29"/>
  <c r="W212" i="29"/>
  <c r="X212" i="29"/>
  <c r="Y212" i="29"/>
  <c r="Z212" i="29"/>
  <c r="AA212" i="29"/>
  <c r="AB212" i="29"/>
  <c r="AC212" i="29"/>
  <c r="AD212" i="29"/>
  <c r="AE212" i="29"/>
  <c r="AF212" i="29"/>
  <c r="AG212" i="29"/>
  <c r="AH212" i="29"/>
  <c r="AI212" i="29"/>
  <c r="AJ212" i="29"/>
  <c r="AK212" i="29"/>
  <c r="AL212" i="29"/>
  <c r="AM212" i="29"/>
  <c r="AN212" i="29"/>
  <c r="AO212" i="29"/>
  <c r="AP212" i="29"/>
  <c r="AQ212" i="29"/>
  <c r="AR212" i="29"/>
  <c r="AS212" i="29"/>
  <c r="AT212" i="29"/>
  <c r="AU212" i="29"/>
  <c r="AV212" i="29"/>
  <c r="AW212" i="29"/>
  <c r="AX212" i="29"/>
  <c r="AY212" i="29"/>
  <c r="AZ212" i="29"/>
  <c r="BA212" i="29"/>
  <c r="BB212" i="29"/>
  <c r="BC212" i="29"/>
  <c r="BD212" i="29"/>
  <c r="BE212" i="29"/>
  <c r="BF212" i="29"/>
  <c r="BG212" i="29"/>
  <c r="BH212" i="29"/>
  <c r="BI212" i="29"/>
  <c r="BJ212" i="29"/>
  <c r="BK212" i="29"/>
  <c r="BL212" i="29"/>
  <c r="BM212" i="29"/>
  <c r="BN212" i="29"/>
  <c r="BO212" i="29"/>
  <c r="BP212" i="29"/>
  <c r="BQ212" i="29"/>
  <c r="BR212" i="29"/>
  <c r="BS212" i="29"/>
  <c r="BT212" i="29"/>
  <c r="BU212" i="29"/>
  <c r="BV212" i="29"/>
  <c r="BW212" i="29"/>
  <c r="BX212" i="29"/>
  <c r="BY212" i="29"/>
  <c r="BZ212" i="29"/>
  <c r="CA212" i="29"/>
  <c r="CB212" i="29"/>
  <c r="CC212" i="29"/>
  <c r="CD212" i="29"/>
  <c r="CE212" i="29"/>
  <c r="CF212" i="29"/>
  <c r="CG212" i="29"/>
  <c r="CH212" i="29"/>
  <c r="CI212" i="29"/>
  <c r="CJ212" i="29"/>
  <c r="CK212" i="29"/>
  <c r="CL212" i="29"/>
  <c r="CM212" i="29"/>
  <c r="CN212" i="29"/>
  <c r="CO212" i="29"/>
  <c r="CP212" i="29"/>
  <c r="CQ212" i="29"/>
  <c r="CR212" i="29"/>
  <c r="CS212" i="29"/>
  <c r="CT212" i="29"/>
  <c r="CU212" i="29"/>
  <c r="CV212" i="29"/>
  <c r="CW212" i="29"/>
  <c r="CX212" i="29"/>
  <c r="CY212" i="29"/>
  <c r="CZ212" i="29"/>
  <c r="DA212" i="29"/>
  <c r="DB212" i="29"/>
  <c r="DC212" i="29"/>
  <c r="DD212" i="29"/>
  <c r="DE212" i="29"/>
  <c r="DF212" i="29"/>
  <c r="DG212" i="29"/>
  <c r="DH212" i="29"/>
  <c r="C213" i="29"/>
  <c r="D213" i="29"/>
  <c r="E213" i="29"/>
  <c r="F213" i="29"/>
  <c r="G213" i="29"/>
  <c r="H213" i="29"/>
  <c r="I213" i="29"/>
  <c r="J213" i="29"/>
  <c r="K213" i="29"/>
  <c r="L213" i="29"/>
  <c r="M213" i="29"/>
  <c r="N213" i="29"/>
  <c r="O213" i="29"/>
  <c r="P213" i="29"/>
  <c r="Q213" i="29"/>
  <c r="R213" i="29"/>
  <c r="S213" i="29"/>
  <c r="T213" i="29"/>
  <c r="U213" i="29"/>
  <c r="V213" i="29"/>
  <c r="W213" i="29"/>
  <c r="X213" i="29"/>
  <c r="Y213" i="29"/>
  <c r="Z213" i="29"/>
  <c r="AA213" i="29"/>
  <c r="AB213" i="29"/>
  <c r="AC213" i="29"/>
  <c r="AD213" i="29"/>
  <c r="AE213" i="29"/>
  <c r="AF213" i="29"/>
  <c r="AG213" i="29"/>
  <c r="AH213" i="29"/>
  <c r="AI213" i="29"/>
  <c r="AJ213" i="29"/>
  <c r="AK213" i="29"/>
  <c r="AL213" i="29"/>
  <c r="AM213" i="29"/>
  <c r="AN213" i="29"/>
  <c r="AO213" i="29"/>
  <c r="AP213" i="29"/>
  <c r="AQ213" i="29"/>
  <c r="AR213" i="29"/>
  <c r="AS213" i="29"/>
  <c r="AT213" i="29"/>
  <c r="AU213" i="29"/>
  <c r="AV213" i="29"/>
  <c r="AW213" i="29"/>
  <c r="AX213" i="29"/>
  <c r="AY213" i="29"/>
  <c r="AZ213" i="29"/>
  <c r="BA213" i="29"/>
  <c r="BB213" i="29"/>
  <c r="BC213" i="29"/>
  <c r="BD213" i="29"/>
  <c r="BE213" i="29"/>
  <c r="BF213" i="29"/>
  <c r="BG213" i="29"/>
  <c r="BH213" i="29"/>
  <c r="BI213" i="29"/>
  <c r="BJ213" i="29"/>
  <c r="BK213" i="29"/>
  <c r="BL213" i="29"/>
  <c r="BM213" i="29"/>
  <c r="BN213" i="29"/>
  <c r="BO213" i="29"/>
  <c r="BP213" i="29"/>
  <c r="BQ213" i="29"/>
  <c r="BR213" i="29"/>
  <c r="BS213" i="29"/>
  <c r="BT213" i="29"/>
  <c r="BU213" i="29"/>
  <c r="BV213" i="29"/>
  <c r="BW213" i="29"/>
  <c r="BX213" i="29"/>
  <c r="BY213" i="29"/>
  <c r="BZ213" i="29"/>
  <c r="CA213" i="29"/>
  <c r="CB213" i="29"/>
  <c r="CC213" i="29"/>
  <c r="CD213" i="29"/>
  <c r="CE213" i="29"/>
  <c r="CF213" i="29"/>
  <c r="CG213" i="29"/>
  <c r="CH213" i="29"/>
  <c r="CI213" i="29"/>
  <c r="CJ213" i="29"/>
  <c r="CK213" i="29"/>
  <c r="CL213" i="29"/>
  <c r="CM213" i="29"/>
  <c r="CN213" i="29"/>
  <c r="CO213" i="29"/>
  <c r="CP213" i="29"/>
  <c r="CQ213" i="29"/>
  <c r="CR213" i="29"/>
  <c r="CS213" i="29"/>
  <c r="CT213" i="29"/>
  <c r="CU213" i="29"/>
  <c r="CV213" i="29"/>
  <c r="CW213" i="29"/>
  <c r="CX213" i="29"/>
  <c r="CY213" i="29"/>
  <c r="CZ213" i="29"/>
  <c r="DA213" i="29"/>
  <c r="DB213" i="29"/>
  <c r="DC213" i="29"/>
  <c r="DD213" i="29"/>
  <c r="DE213" i="29"/>
  <c r="DF213" i="29"/>
  <c r="DG213" i="29"/>
  <c r="DH213" i="29"/>
  <c r="C214" i="29"/>
  <c r="D214" i="29"/>
  <c r="E214" i="29"/>
  <c r="F214" i="29"/>
  <c r="G214" i="29"/>
  <c r="H214" i="29"/>
  <c r="I214" i="29"/>
  <c r="J214" i="29"/>
  <c r="K214" i="29"/>
  <c r="L214" i="29"/>
  <c r="M214" i="29"/>
  <c r="N214" i="29"/>
  <c r="O214" i="29"/>
  <c r="P214" i="29"/>
  <c r="Q214" i="29"/>
  <c r="R214" i="29"/>
  <c r="S214" i="29"/>
  <c r="T214" i="29"/>
  <c r="U214" i="29"/>
  <c r="V214" i="29"/>
  <c r="W214" i="29"/>
  <c r="X214" i="29"/>
  <c r="Y214" i="29"/>
  <c r="Z214" i="29"/>
  <c r="AA214" i="29"/>
  <c r="AB214" i="29"/>
  <c r="AC214" i="29"/>
  <c r="AD214" i="29"/>
  <c r="AE214" i="29"/>
  <c r="AF214" i="29"/>
  <c r="AG214" i="29"/>
  <c r="AH214" i="29"/>
  <c r="AI214" i="29"/>
  <c r="AJ214" i="29"/>
  <c r="AK214" i="29"/>
  <c r="AL214" i="29"/>
  <c r="AM214" i="29"/>
  <c r="AN214" i="29"/>
  <c r="AO214" i="29"/>
  <c r="AP214" i="29"/>
  <c r="AQ214" i="29"/>
  <c r="AR214" i="29"/>
  <c r="AS214" i="29"/>
  <c r="AT214" i="29"/>
  <c r="AU214" i="29"/>
  <c r="AV214" i="29"/>
  <c r="AW214" i="29"/>
  <c r="AX214" i="29"/>
  <c r="AY214" i="29"/>
  <c r="AZ214" i="29"/>
  <c r="BA214" i="29"/>
  <c r="BB214" i="29"/>
  <c r="BC214" i="29"/>
  <c r="BD214" i="29"/>
  <c r="BE214" i="29"/>
  <c r="BF214" i="29"/>
  <c r="BG214" i="29"/>
  <c r="BH214" i="29"/>
  <c r="BI214" i="29"/>
  <c r="BJ214" i="29"/>
  <c r="BK214" i="29"/>
  <c r="BL214" i="29"/>
  <c r="BM214" i="29"/>
  <c r="BN214" i="29"/>
  <c r="BO214" i="29"/>
  <c r="BP214" i="29"/>
  <c r="BQ214" i="29"/>
  <c r="BR214" i="29"/>
  <c r="BS214" i="29"/>
  <c r="BT214" i="29"/>
  <c r="BU214" i="29"/>
  <c r="BV214" i="29"/>
  <c r="BW214" i="29"/>
  <c r="BX214" i="29"/>
  <c r="BY214" i="29"/>
  <c r="BZ214" i="29"/>
  <c r="CA214" i="29"/>
  <c r="CB214" i="29"/>
  <c r="CC214" i="29"/>
  <c r="CD214" i="29"/>
  <c r="CE214" i="29"/>
  <c r="CF214" i="29"/>
  <c r="CG214" i="29"/>
  <c r="CH214" i="29"/>
  <c r="CI214" i="29"/>
  <c r="CJ214" i="29"/>
  <c r="CK214" i="29"/>
  <c r="CL214" i="29"/>
  <c r="CM214" i="29"/>
  <c r="CN214" i="29"/>
  <c r="CO214" i="29"/>
  <c r="CP214" i="29"/>
  <c r="CQ214" i="29"/>
  <c r="CR214" i="29"/>
  <c r="CS214" i="29"/>
  <c r="CT214" i="29"/>
  <c r="CU214" i="29"/>
  <c r="CV214" i="29"/>
  <c r="CW214" i="29"/>
  <c r="CX214" i="29"/>
  <c r="CY214" i="29"/>
  <c r="CZ214" i="29"/>
  <c r="DA214" i="29"/>
  <c r="DB214" i="29"/>
  <c r="DC214" i="29"/>
  <c r="DD214" i="29"/>
  <c r="DE214" i="29"/>
  <c r="DF214" i="29"/>
  <c r="DG214" i="29"/>
  <c r="DH214" i="29"/>
  <c r="C215" i="29"/>
  <c r="D215" i="29"/>
  <c r="E215" i="29"/>
  <c r="F215" i="29"/>
  <c r="G215" i="29"/>
  <c r="H215" i="29"/>
  <c r="I215" i="29"/>
  <c r="J215" i="29"/>
  <c r="K215" i="29"/>
  <c r="L215" i="29"/>
  <c r="M215" i="29"/>
  <c r="N215" i="29"/>
  <c r="O215" i="29"/>
  <c r="P215" i="29"/>
  <c r="Q215" i="29"/>
  <c r="R215" i="29"/>
  <c r="S215" i="29"/>
  <c r="T215" i="29"/>
  <c r="U215" i="29"/>
  <c r="V215" i="29"/>
  <c r="W215" i="29"/>
  <c r="X215" i="29"/>
  <c r="Y215" i="29"/>
  <c r="Z215" i="29"/>
  <c r="AA215" i="29"/>
  <c r="AB215" i="29"/>
  <c r="AC215" i="29"/>
  <c r="AD215" i="29"/>
  <c r="AE215" i="29"/>
  <c r="AF215" i="29"/>
  <c r="AG215" i="29"/>
  <c r="AH215" i="29"/>
  <c r="AI215" i="29"/>
  <c r="AJ215" i="29"/>
  <c r="AK215" i="29"/>
  <c r="AL215" i="29"/>
  <c r="AM215" i="29"/>
  <c r="AN215" i="29"/>
  <c r="AO215" i="29"/>
  <c r="AP215" i="29"/>
  <c r="AQ215" i="29"/>
  <c r="AR215" i="29"/>
  <c r="AS215" i="29"/>
  <c r="AT215" i="29"/>
  <c r="AU215" i="29"/>
  <c r="AV215" i="29"/>
  <c r="AW215" i="29"/>
  <c r="AX215" i="29"/>
  <c r="AY215" i="29"/>
  <c r="AZ215" i="29"/>
  <c r="BA215" i="29"/>
  <c r="BB215" i="29"/>
  <c r="BC215" i="29"/>
  <c r="BD215" i="29"/>
  <c r="BE215" i="29"/>
  <c r="BF215" i="29"/>
  <c r="BG215" i="29"/>
  <c r="BH215" i="29"/>
  <c r="BI215" i="29"/>
  <c r="BJ215" i="29"/>
  <c r="BK215" i="29"/>
  <c r="BL215" i="29"/>
  <c r="BM215" i="29"/>
  <c r="BN215" i="29"/>
  <c r="BO215" i="29"/>
  <c r="BP215" i="29"/>
  <c r="BQ215" i="29"/>
  <c r="BR215" i="29"/>
  <c r="BS215" i="29"/>
  <c r="BT215" i="29"/>
  <c r="BU215" i="29"/>
  <c r="BV215" i="29"/>
  <c r="BW215" i="29"/>
  <c r="BX215" i="29"/>
  <c r="BY215" i="29"/>
  <c r="BZ215" i="29"/>
  <c r="CA215" i="29"/>
  <c r="CB215" i="29"/>
  <c r="CC215" i="29"/>
  <c r="CD215" i="29"/>
  <c r="CE215" i="29"/>
  <c r="CF215" i="29"/>
  <c r="CG215" i="29"/>
  <c r="CH215" i="29"/>
  <c r="CI215" i="29"/>
  <c r="CJ215" i="29"/>
  <c r="CK215" i="29"/>
  <c r="CL215" i="29"/>
  <c r="CM215" i="29"/>
  <c r="CN215" i="29"/>
  <c r="CO215" i="29"/>
  <c r="CP215" i="29"/>
  <c r="CQ215" i="29"/>
  <c r="CR215" i="29"/>
  <c r="CS215" i="29"/>
  <c r="CT215" i="29"/>
  <c r="CU215" i="29"/>
  <c r="CV215" i="29"/>
  <c r="CW215" i="29"/>
  <c r="CX215" i="29"/>
  <c r="CY215" i="29"/>
  <c r="CZ215" i="29"/>
  <c r="DA215" i="29"/>
  <c r="DB215" i="29"/>
  <c r="DC215" i="29"/>
  <c r="DD215" i="29"/>
  <c r="DE215" i="29"/>
  <c r="DF215" i="29"/>
  <c r="DG215" i="29"/>
  <c r="DH215" i="29"/>
  <c r="C216" i="29"/>
  <c r="D216" i="29"/>
  <c r="E216" i="29"/>
  <c r="F216" i="29"/>
  <c r="G216" i="29"/>
  <c r="H216" i="29"/>
  <c r="I216" i="29"/>
  <c r="J216" i="29"/>
  <c r="K216" i="29"/>
  <c r="L216" i="29"/>
  <c r="M216" i="29"/>
  <c r="N216" i="29"/>
  <c r="O216" i="29"/>
  <c r="P216" i="29"/>
  <c r="Q216" i="29"/>
  <c r="R216" i="29"/>
  <c r="S216" i="29"/>
  <c r="T216" i="29"/>
  <c r="U216" i="29"/>
  <c r="V216" i="29"/>
  <c r="W216" i="29"/>
  <c r="X216" i="29"/>
  <c r="Y216" i="29"/>
  <c r="Z216" i="29"/>
  <c r="AA216" i="29"/>
  <c r="AB216" i="29"/>
  <c r="AC216" i="29"/>
  <c r="AD216" i="29"/>
  <c r="AE216" i="29"/>
  <c r="AF216" i="29"/>
  <c r="AG216" i="29"/>
  <c r="AH216" i="29"/>
  <c r="AI216" i="29"/>
  <c r="AJ216" i="29"/>
  <c r="AK216" i="29"/>
  <c r="AL216" i="29"/>
  <c r="AM216" i="29"/>
  <c r="AN216" i="29"/>
  <c r="AO216" i="29"/>
  <c r="AP216" i="29"/>
  <c r="AQ216" i="29"/>
  <c r="AR216" i="29"/>
  <c r="AS216" i="29"/>
  <c r="AT216" i="29"/>
  <c r="AU216" i="29"/>
  <c r="AV216" i="29"/>
  <c r="AW216" i="29"/>
  <c r="AX216" i="29"/>
  <c r="AY216" i="29"/>
  <c r="AZ216" i="29"/>
  <c r="BA216" i="29"/>
  <c r="BB216" i="29"/>
  <c r="BC216" i="29"/>
  <c r="BD216" i="29"/>
  <c r="BE216" i="29"/>
  <c r="BF216" i="29"/>
  <c r="BG216" i="29"/>
  <c r="BH216" i="29"/>
  <c r="BI216" i="29"/>
  <c r="BJ216" i="29"/>
  <c r="BK216" i="29"/>
  <c r="BL216" i="29"/>
  <c r="BM216" i="29"/>
  <c r="BN216" i="29"/>
  <c r="BO216" i="29"/>
  <c r="BP216" i="29"/>
  <c r="BQ216" i="29"/>
  <c r="BR216" i="29"/>
  <c r="BS216" i="29"/>
  <c r="BT216" i="29"/>
  <c r="BU216" i="29"/>
  <c r="BV216" i="29"/>
  <c r="BW216" i="29"/>
  <c r="BX216" i="29"/>
  <c r="BY216" i="29"/>
  <c r="BZ216" i="29"/>
  <c r="CA216" i="29"/>
  <c r="CB216" i="29"/>
  <c r="CC216" i="29"/>
  <c r="CD216" i="29"/>
  <c r="CE216" i="29"/>
  <c r="CF216" i="29"/>
  <c r="CG216" i="29"/>
  <c r="CH216" i="29"/>
  <c r="CI216" i="29"/>
  <c r="CJ216" i="29"/>
  <c r="CK216" i="29"/>
  <c r="CL216" i="29"/>
  <c r="CM216" i="29"/>
  <c r="CN216" i="29"/>
  <c r="CO216" i="29"/>
  <c r="CP216" i="29"/>
  <c r="CQ216" i="29"/>
  <c r="CR216" i="29"/>
  <c r="CS216" i="29"/>
  <c r="CT216" i="29"/>
  <c r="CU216" i="29"/>
  <c r="CV216" i="29"/>
  <c r="CW216" i="29"/>
  <c r="CX216" i="29"/>
  <c r="CY216" i="29"/>
  <c r="CZ216" i="29"/>
  <c r="DA216" i="29"/>
  <c r="DB216" i="29"/>
  <c r="DC216" i="29"/>
  <c r="DD216" i="29"/>
  <c r="DE216" i="29"/>
  <c r="DF216" i="29"/>
  <c r="DG216" i="29"/>
  <c r="DH216" i="29"/>
  <c r="C217" i="29"/>
  <c r="D217" i="29"/>
  <c r="E217" i="29"/>
  <c r="F217" i="29"/>
  <c r="G217" i="29"/>
  <c r="H217" i="29"/>
  <c r="I217" i="29"/>
  <c r="J217" i="29"/>
  <c r="K217" i="29"/>
  <c r="L217" i="29"/>
  <c r="M217" i="29"/>
  <c r="N217" i="29"/>
  <c r="O217" i="29"/>
  <c r="P217" i="29"/>
  <c r="Q217" i="29"/>
  <c r="R217" i="29"/>
  <c r="S217" i="29"/>
  <c r="T217" i="29"/>
  <c r="U217" i="29"/>
  <c r="V217" i="29"/>
  <c r="W217" i="29"/>
  <c r="X217" i="29"/>
  <c r="Y217" i="29"/>
  <c r="Z217" i="29"/>
  <c r="AA217" i="29"/>
  <c r="AB217" i="29"/>
  <c r="AC217" i="29"/>
  <c r="AD217" i="29"/>
  <c r="AE217" i="29"/>
  <c r="AF217" i="29"/>
  <c r="AG217" i="29"/>
  <c r="AH217" i="29"/>
  <c r="AI217" i="29"/>
  <c r="AJ217" i="29"/>
  <c r="AK217" i="29"/>
  <c r="AL217" i="29"/>
  <c r="AM217" i="29"/>
  <c r="AN217" i="29"/>
  <c r="AO217" i="29"/>
  <c r="AP217" i="29"/>
  <c r="AQ217" i="29"/>
  <c r="AR217" i="29"/>
  <c r="AS217" i="29"/>
  <c r="AT217" i="29"/>
  <c r="AU217" i="29"/>
  <c r="AV217" i="29"/>
  <c r="AW217" i="29"/>
  <c r="AX217" i="29"/>
  <c r="AY217" i="29"/>
  <c r="AZ217" i="29"/>
  <c r="BA217" i="29"/>
  <c r="BB217" i="29"/>
  <c r="BC217" i="29"/>
  <c r="BD217" i="29"/>
  <c r="BE217" i="29"/>
  <c r="BF217" i="29"/>
  <c r="BG217" i="29"/>
  <c r="BH217" i="29"/>
  <c r="BI217" i="29"/>
  <c r="BJ217" i="29"/>
  <c r="BK217" i="29"/>
  <c r="BL217" i="29"/>
  <c r="BM217" i="29"/>
  <c r="BN217" i="29"/>
  <c r="BO217" i="29"/>
  <c r="BP217" i="29"/>
  <c r="BQ217" i="29"/>
  <c r="BR217" i="29"/>
  <c r="BS217" i="29"/>
  <c r="BT217" i="29"/>
  <c r="BU217" i="29"/>
  <c r="BV217" i="29"/>
  <c r="BW217" i="29"/>
  <c r="BX217" i="29"/>
  <c r="BY217" i="29"/>
  <c r="BZ217" i="29"/>
  <c r="CA217" i="29"/>
  <c r="CB217" i="29"/>
  <c r="CC217" i="29"/>
  <c r="CD217" i="29"/>
  <c r="CE217" i="29"/>
  <c r="CF217" i="29"/>
  <c r="CG217" i="29"/>
  <c r="CH217" i="29"/>
  <c r="CI217" i="29"/>
  <c r="CJ217" i="29"/>
  <c r="CK217" i="29"/>
  <c r="CL217" i="29"/>
  <c r="CM217" i="29"/>
  <c r="CN217" i="29"/>
  <c r="CO217" i="29"/>
  <c r="CP217" i="29"/>
  <c r="CQ217" i="29"/>
  <c r="CR217" i="29"/>
  <c r="CS217" i="29"/>
  <c r="CT217" i="29"/>
  <c r="CU217" i="29"/>
  <c r="CV217" i="29"/>
  <c r="CW217" i="29"/>
  <c r="CX217" i="29"/>
  <c r="CY217" i="29"/>
  <c r="CZ217" i="29"/>
  <c r="DA217" i="29"/>
  <c r="DB217" i="29"/>
  <c r="DC217" i="29"/>
  <c r="DD217" i="29"/>
  <c r="DE217" i="29"/>
  <c r="DF217" i="29"/>
  <c r="DG217" i="29"/>
  <c r="DH217" i="29"/>
  <c r="C218" i="29"/>
  <c r="D218" i="29"/>
  <c r="E218" i="29"/>
  <c r="F218" i="29"/>
  <c r="G218" i="29"/>
  <c r="H218" i="29"/>
  <c r="I218" i="29"/>
  <c r="J218" i="29"/>
  <c r="K218" i="29"/>
  <c r="L218" i="29"/>
  <c r="M218" i="29"/>
  <c r="N218" i="29"/>
  <c r="O218" i="29"/>
  <c r="P218" i="29"/>
  <c r="Q218" i="29"/>
  <c r="R218" i="29"/>
  <c r="S218" i="29"/>
  <c r="T218" i="29"/>
  <c r="U218" i="29"/>
  <c r="V218" i="29"/>
  <c r="W218" i="29"/>
  <c r="X218" i="29"/>
  <c r="Y218" i="29"/>
  <c r="Z218" i="29"/>
  <c r="AA218" i="29"/>
  <c r="AB218" i="29"/>
  <c r="AC218" i="29"/>
  <c r="AD218" i="29"/>
  <c r="AE218" i="29"/>
  <c r="AF218" i="29"/>
  <c r="AG218" i="29"/>
  <c r="AH218" i="29"/>
  <c r="AI218" i="29"/>
  <c r="AJ218" i="29"/>
  <c r="AK218" i="29"/>
  <c r="AL218" i="29"/>
  <c r="AM218" i="29"/>
  <c r="AN218" i="29"/>
  <c r="AO218" i="29"/>
  <c r="AP218" i="29"/>
  <c r="AQ218" i="29"/>
  <c r="AR218" i="29"/>
  <c r="AS218" i="29"/>
  <c r="AT218" i="29"/>
  <c r="AU218" i="29"/>
  <c r="AV218" i="29"/>
  <c r="AW218" i="29"/>
  <c r="AX218" i="29"/>
  <c r="AY218" i="29"/>
  <c r="AZ218" i="29"/>
  <c r="BA218" i="29"/>
  <c r="BB218" i="29"/>
  <c r="BC218" i="29"/>
  <c r="BD218" i="29"/>
  <c r="BE218" i="29"/>
  <c r="BF218" i="29"/>
  <c r="BG218" i="29"/>
  <c r="BH218" i="29"/>
  <c r="BI218" i="29"/>
  <c r="BJ218" i="29"/>
  <c r="BK218" i="29"/>
  <c r="BL218" i="29"/>
  <c r="BM218" i="29"/>
  <c r="BN218" i="29"/>
  <c r="BO218" i="29"/>
  <c r="BP218" i="29"/>
  <c r="BQ218" i="29"/>
  <c r="BR218" i="29"/>
  <c r="BS218" i="29"/>
  <c r="BT218" i="29"/>
  <c r="BU218" i="29"/>
  <c r="BV218" i="29"/>
  <c r="BW218" i="29"/>
  <c r="BX218" i="29"/>
  <c r="BY218" i="29"/>
  <c r="BZ218" i="29"/>
  <c r="CA218" i="29"/>
  <c r="CB218" i="29"/>
  <c r="CC218" i="29"/>
  <c r="CD218" i="29"/>
  <c r="CE218" i="29"/>
  <c r="CF218" i="29"/>
  <c r="CG218" i="29"/>
  <c r="CH218" i="29"/>
  <c r="CI218" i="29"/>
  <c r="CJ218" i="29"/>
  <c r="CK218" i="29"/>
  <c r="CL218" i="29"/>
  <c r="CM218" i="29"/>
  <c r="CN218" i="29"/>
  <c r="CO218" i="29"/>
  <c r="CP218" i="29"/>
  <c r="CQ218" i="29"/>
  <c r="CR218" i="29"/>
  <c r="CS218" i="29"/>
  <c r="CT218" i="29"/>
  <c r="CU218" i="29"/>
  <c r="CV218" i="29"/>
  <c r="CW218" i="29"/>
  <c r="CX218" i="29"/>
  <c r="CY218" i="29"/>
  <c r="CZ218" i="29"/>
  <c r="DA218" i="29"/>
  <c r="DB218" i="29"/>
  <c r="DC218" i="29"/>
  <c r="DD218" i="29"/>
  <c r="DE218" i="29"/>
  <c r="DF218" i="29"/>
  <c r="DG218" i="29"/>
  <c r="DH218" i="29"/>
  <c r="C219" i="29"/>
  <c r="D219" i="29"/>
  <c r="E219" i="29"/>
  <c r="F219" i="29"/>
  <c r="G219" i="29"/>
  <c r="H219" i="29"/>
  <c r="I219" i="29"/>
  <c r="J219" i="29"/>
  <c r="K219" i="29"/>
  <c r="L219" i="29"/>
  <c r="M219" i="29"/>
  <c r="N219" i="29"/>
  <c r="O219" i="29"/>
  <c r="P219" i="29"/>
  <c r="Q219" i="29"/>
  <c r="R219" i="29"/>
  <c r="S219" i="29"/>
  <c r="T219" i="29"/>
  <c r="U219" i="29"/>
  <c r="V219" i="29"/>
  <c r="W219" i="29"/>
  <c r="X219" i="29"/>
  <c r="Y219" i="29"/>
  <c r="Z219" i="29"/>
  <c r="AA219" i="29"/>
  <c r="AB219" i="29"/>
  <c r="AC219" i="29"/>
  <c r="AD219" i="29"/>
  <c r="AE219" i="29"/>
  <c r="AF219" i="29"/>
  <c r="AG219" i="29"/>
  <c r="AH219" i="29"/>
  <c r="AI219" i="29"/>
  <c r="AJ219" i="29"/>
  <c r="AK219" i="29"/>
  <c r="AL219" i="29"/>
  <c r="AM219" i="29"/>
  <c r="AN219" i="29"/>
  <c r="AO219" i="29"/>
  <c r="AP219" i="29"/>
  <c r="AQ219" i="29"/>
  <c r="AR219" i="29"/>
  <c r="AS219" i="29"/>
  <c r="AT219" i="29"/>
  <c r="AU219" i="29"/>
  <c r="AV219" i="29"/>
  <c r="AW219" i="29"/>
  <c r="AX219" i="29"/>
  <c r="AY219" i="29"/>
  <c r="AZ219" i="29"/>
  <c r="BA219" i="29"/>
  <c r="BB219" i="29"/>
  <c r="BC219" i="29"/>
  <c r="BD219" i="29"/>
  <c r="BE219" i="29"/>
  <c r="BF219" i="29"/>
  <c r="BG219" i="29"/>
  <c r="BH219" i="29"/>
  <c r="BI219" i="29"/>
  <c r="BJ219" i="29"/>
  <c r="BK219" i="29"/>
  <c r="BL219" i="29"/>
  <c r="BM219" i="29"/>
  <c r="BN219" i="29"/>
  <c r="BO219" i="29"/>
  <c r="BP219" i="29"/>
  <c r="BQ219" i="29"/>
  <c r="BR219" i="29"/>
  <c r="BS219" i="29"/>
  <c r="BT219" i="29"/>
  <c r="BU219" i="29"/>
  <c r="BV219" i="29"/>
  <c r="BW219" i="29"/>
  <c r="BX219" i="29"/>
  <c r="BY219" i="29"/>
  <c r="BZ219" i="29"/>
  <c r="CA219" i="29"/>
  <c r="CB219" i="29"/>
  <c r="CC219" i="29"/>
  <c r="CD219" i="29"/>
  <c r="CE219" i="29"/>
  <c r="CF219" i="29"/>
  <c r="CG219" i="29"/>
  <c r="CH219" i="29"/>
  <c r="CI219" i="29"/>
  <c r="CJ219" i="29"/>
  <c r="CK219" i="29"/>
  <c r="CL219" i="29"/>
  <c r="CM219" i="29"/>
  <c r="CN219" i="29"/>
  <c r="CO219" i="29"/>
  <c r="CP219" i="29"/>
  <c r="CQ219" i="29"/>
  <c r="CR219" i="29"/>
  <c r="CS219" i="29"/>
  <c r="CT219" i="29"/>
  <c r="CU219" i="29"/>
  <c r="CV219" i="29"/>
  <c r="CW219" i="29"/>
  <c r="CX219" i="29"/>
  <c r="CY219" i="29"/>
  <c r="CZ219" i="29"/>
  <c r="DA219" i="29"/>
  <c r="DB219" i="29"/>
  <c r="DC219" i="29"/>
  <c r="DD219" i="29"/>
  <c r="DE219" i="29"/>
  <c r="DF219" i="29"/>
  <c r="DG219" i="29"/>
  <c r="DH219" i="29"/>
  <c r="C220" i="29"/>
  <c r="D220" i="29"/>
  <c r="E220" i="29"/>
  <c r="F220" i="29"/>
  <c r="G220" i="29"/>
  <c r="H220" i="29"/>
  <c r="I220" i="29"/>
  <c r="J220" i="29"/>
  <c r="K220" i="29"/>
  <c r="L220" i="29"/>
  <c r="M220" i="29"/>
  <c r="N220" i="29"/>
  <c r="O220" i="29"/>
  <c r="P220" i="29"/>
  <c r="Q220" i="29"/>
  <c r="R220" i="29"/>
  <c r="S220" i="29"/>
  <c r="T220" i="29"/>
  <c r="U220" i="29"/>
  <c r="V220" i="29"/>
  <c r="W220" i="29"/>
  <c r="X220" i="29"/>
  <c r="Y220" i="29"/>
  <c r="Z220" i="29"/>
  <c r="AA220" i="29"/>
  <c r="AB220" i="29"/>
  <c r="AC220" i="29"/>
  <c r="AD220" i="29"/>
  <c r="AE220" i="29"/>
  <c r="AF220" i="29"/>
  <c r="AG220" i="29"/>
  <c r="AH220" i="29"/>
  <c r="AI220" i="29"/>
  <c r="AJ220" i="29"/>
  <c r="AK220" i="29"/>
  <c r="AL220" i="29"/>
  <c r="AM220" i="29"/>
  <c r="AN220" i="29"/>
  <c r="AO220" i="29"/>
  <c r="AP220" i="29"/>
  <c r="AQ220" i="29"/>
  <c r="AR220" i="29"/>
  <c r="AS220" i="29"/>
  <c r="AT220" i="29"/>
  <c r="AU220" i="29"/>
  <c r="AV220" i="29"/>
  <c r="AW220" i="29"/>
  <c r="AX220" i="29"/>
  <c r="AY220" i="29"/>
  <c r="AZ220" i="29"/>
  <c r="BA220" i="29"/>
  <c r="BB220" i="29"/>
  <c r="BC220" i="29"/>
  <c r="BD220" i="29"/>
  <c r="BE220" i="29"/>
  <c r="BF220" i="29"/>
  <c r="BG220" i="29"/>
  <c r="BH220" i="29"/>
  <c r="BI220" i="29"/>
  <c r="BJ220" i="29"/>
  <c r="BK220" i="29"/>
  <c r="BL220" i="29"/>
  <c r="BM220" i="29"/>
  <c r="BN220" i="29"/>
  <c r="BO220" i="29"/>
  <c r="BP220" i="29"/>
  <c r="BQ220" i="29"/>
  <c r="BR220" i="29"/>
  <c r="BS220" i="29"/>
  <c r="BT220" i="29"/>
  <c r="BU220" i="29"/>
  <c r="BV220" i="29"/>
  <c r="BW220" i="29"/>
  <c r="BX220" i="29"/>
  <c r="BY220" i="29"/>
  <c r="BZ220" i="29"/>
  <c r="CA220" i="29"/>
  <c r="CB220" i="29"/>
  <c r="CC220" i="29"/>
  <c r="CD220" i="29"/>
  <c r="CE220" i="29"/>
  <c r="CF220" i="29"/>
  <c r="CG220" i="29"/>
  <c r="CH220" i="29"/>
  <c r="CI220" i="29"/>
  <c r="CJ220" i="29"/>
  <c r="CK220" i="29"/>
  <c r="CL220" i="29"/>
  <c r="CM220" i="29"/>
  <c r="CN220" i="29"/>
  <c r="CO220" i="29"/>
  <c r="CP220" i="29"/>
  <c r="CQ220" i="29"/>
  <c r="CR220" i="29"/>
  <c r="CS220" i="29"/>
  <c r="CT220" i="29"/>
  <c r="CU220" i="29"/>
  <c r="CV220" i="29"/>
  <c r="CW220" i="29"/>
  <c r="CX220" i="29"/>
  <c r="CY220" i="29"/>
  <c r="CZ220" i="29"/>
  <c r="DA220" i="29"/>
  <c r="DB220" i="29"/>
  <c r="DC220" i="29"/>
  <c r="DD220" i="29"/>
  <c r="DE220" i="29"/>
  <c r="DF220" i="29"/>
  <c r="DG220" i="29"/>
  <c r="DH220" i="29"/>
  <c r="C221" i="29"/>
  <c r="D221" i="29"/>
  <c r="E221" i="29"/>
  <c r="F221" i="29"/>
  <c r="G221" i="29"/>
  <c r="H221" i="29"/>
  <c r="I221" i="29"/>
  <c r="J221" i="29"/>
  <c r="K221" i="29"/>
  <c r="L221" i="29"/>
  <c r="M221" i="29"/>
  <c r="N221" i="29"/>
  <c r="O221" i="29"/>
  <c r="P221" i="29"/>
  <c r="Q221" i="29"/>
  <c r="R221" i="29"/>
  <c r="S221" i="29"/>
  <c r="T221" i="29"/>
  <c r="U221" i="29"/>
  <c r="V221" i="29"/>
  <c r="W221" i="29"/>
  <c r="X221" i="29"/>
  <c r="Y221" i="29"/>
  <c r="Z221" i="29"/>
  <c r="AA221" i="29"/>
  <c r="AB221" i="29"/>
  <c r="AC221" i="29"/>
  <c r="AD221" i="29"/>
  <c r="AE221" i="29"/>
  <c r="AF221" i="29"/>
  <c r="AG221" i="29"/>
  <c r="AH221" i="29"/>
  <c r="AI221" i="29"/>
  <c r="AJ221" i="29"/>
  <c r="AK221" i="29"/>
  <c r="AL221" i="29"/>
  <c r="AM221" i="29"/>
  <c r="AN221" i="29"/>
  <c r="AO221" i="29"/>
  <c r="AP221" i="29"/>
  <c r="AQ221" i="29"/>
  <c r="AR221" i="29"/>
  <c r="AS221" i="29"/>
  <c r="AT221" i="29"/>
  <c r="AU221" i="29"/>
  <c r="AV221" i="29"/>
  <c r="AW221" i="29"/>
  <c r="AX221" i="29"/>
  <c r="AY221" i="29"/>
  <c r="AZ221" i="29"/>
  <c r="BA221" i="29"/>
  <c r="BB221" i="29"/>
  <c r="BC221" i="29"/>
  <c r="BD221" i="29"/>
  <c r="BE221" i="29"/>
  <c r="BF221" i="29"/>
  <c r="BG221" i="29"/>
  <c r="BH221" i="29"/>
  <c r="BI221" i="29"/>
  <c r="BJ221" i="29"/>
  <c r="BK221" i="29"/>
  <c r="BL221" i="29"/>
  <c r="BM221" i="29"/>
  <c r="BN221" i="29"/>
  <c r="BO221" i="29"/>
  <c r="BP221" i="29"/>
  <c r="BQ221" i="29"/>
  <c r="BR221" i="29"/>
  <c r="BS221" i="29"/>
  <c r="BT221" i="29"/>
  <c r="BU221" i="29"/>
  <c r="BV221" i="29"/>
  <c r="BW221" i="29"/>
  <c r="BX221" i="29"/>
  <c r="BY221" i="29"/>
  <c r="BZ221" i="29"/>
  <c r="CA221" i="29"/>
  <c r="CB221" i="29"/>
  <c r="CC221" i="29"/>
  <c r="CD221" i="29"/>
  <c r="CE221" i="29"/>
  <c r="CF221" i="29"/>
  <c r="CG221" i="29"/>
  <c r="CH221" i="29"/>
  <c r="CI221" i="29"/>
  <c r="CJ221" i="29"/>
  <c r="CK221" i="29"/>
  <c r="CL221" i="29"/>
  <c r="CM221" i="29"/>
  <c r="CN221" i="29"/>
  <c r="CO221" i="29"/>
  <c r="CP221" i="29"/>
  <c r="CQ221" i="29"/>
  <c r="CR221" i="29"/>
  <c r="CS221" i="29"/>
  <c r="CT221" i="29"/>
  <c r="CU221" i="29"/>
  <c r="CV221" i="29"/>
  <c r="CW221" i="29"/>
  <c r="CX221" i="29"/>
  <c r="CY221" i="29"/>
  <c r="CZ221" i="29"/>
  <c r="DA221" i="29"/>
  <c r="DB221" i="29"/>
  <c r="DC221" i="29"/>
  <c r="DD221" i="29"/>
  <c r="DE221" i="29"/>
  <c r="DF221" i="29"/>
  <c r="DG221" i="29"/>
  <c r="DH221" i="29"/>
  <c r="C222" i="29"/>
  <c r="D222" i="29"/>
  <c r="E222" i="29"/>
  <c r="F222" i="29"/>
  <c r="G222" i="29"/>
  <c r="H222" i="29"/>
  <c r="I222" i="29"/>
  <c r="J222" i="29"/>
  <c r="K222" i="29"/>
  <c r="L222" i="29"/>
  <c r="M222" i="29"/>
  <c r="N222" i="29"/>
  <c r="O222" i="29"/>
  <c r="P222" i="29"/>
  <c r="Q222" i="29"/>
  <c r="R222" i="29"/>
  <c r="S222" i="29"/>
  <c r="T222" i="29"/>
  <c r="U222" i="29"/>
  <c r="V222" i="29"/>
  <c r="W222" i="29"/>
  <c r="X222" i="29"/>
  <c r="Y222" i="29"/>
  <c r="Z222" i="29"/>
  <c r="AA222" i="29"/>
  <c r="AB222" i="29"/>
  <c r="AC222" i="29"/>
  <c r="AD222" i="29"/>
  <c r="AE222" i="29"/>
  <c r="AF222" i="29"/>
  <c r="AG222" i="29"/>
  <c r="AH222" i="29"/>
  <c r="AI222" i="29"/>
  <c r="AJ222" i="29"/>
  <c r="AK222" i="29"/>
  <c r="AL222" i="29"/>
  <c r="AM222" i="29"/>
  <c r="AN222" i="29"/>
  <c r="AO222" i="29"/>
  <c r="AP222" i="29"/>
  <c r="AQ222" i="29"/>
  <c r="AR222" i="29"/>
  <c r="AS222" i="29"/>
  <c r="AT222" i="29"/>
  <c r="AU222" i="29"/>
  <c r="AV222" i="29"/>
  <c r="AW222" i="29"/>
  <c r="AX222" i="29"/>
  <c r="AY222" i="29"/>
  <c r="AZ222" i="29"/>
  <c r="BA222" i="29"/>
  <c r="BB222" i="29"/>
  <c r="BC222" i="29"/>
  <c r="BD222" i="29"/>
  <c r="BE222" i="29"/>
  <c r="BF222" i="29"/>
  <c r="BG222" i="29"/>
  <c r="BH222" i="29"/>
  <c r="BI222" i="29"/>
  <c r="BJ222" i="29"/>
  <c r="BK222" i="29"/>
  <c r="BL222" i="29"/>
  <c r="BM222" i="29"/>
  <c r="BN222" i="29"/>
  <c r="BO222" i="29"/>
  <c r="BP222" i="29"/>
  <c r="BQ222" i="29"/>
  <c r="BR222" i="29"/>
  <c r="BS222" i="29"/>
  <c r="BT222" i="29"/>
  <c r="BU222" i="29"/>
  <c r="BV222" i="29"/>
  <c r="BW222" i="29"/>
  <c r="BX222" i="29"/>
  <c r="BY222" i="29"/>
  <c r="BZ222" i="29"/>
  <c r="CA222" i="29"/>
  <c r="CB222" i="29"/>
  <c r="CC222" i="29"/>
  <c r="CD222" i="29"/>
  <c r="CE222" i="29"/>
  <c r="CF222" i="29"/>
  <c r="CG222" i="29"/>
  <c r="CH222" i="29"/>
  <c r="CI222" i="29"/>
  <c r="CJ222" i="29"/>
  <c r="CK222" i="29"/>
  <c r="CL222" i="29"/>
  <c r="CM222" i="29"/>
  <c r="CN222" i="29"/>
  <c r="CO222" i="29"/>
  <c r="CP222" i="29"/>
  <c r="CQ222" i="29"/>
  <c r="CR222" i="29"/>
  <c r="CS222" i="29"/>
  <c r="CT222" i="29"/>
  <c r="CU222" i="29"/>
  <c r="CV222" i="29"/>
  <c r="CW222" i="29"/>
  <c r="CX222" i="29"/>
  <c r="CY222" i="29"/>
  <c r="CZ222" i="29"/>
  <c r="DA222" i="29"/>
  <c r="DB222" i="29"/>
  <c r="DC222" i="29"/>
  <c r="DD222" i="29"/>
  <c r="DE222" i="29"/>
  <c r="DF222" i="29"/>
  <c r="DG222" i="29"/>
  <c r="DH222" i="29"/>
  <c r="C223" i="29"/>
  <c r="D223" i="29"/>
  <c r="E223" i="29"/>
  <c r="F223" i="29"/>
  <c r="G223" i="29"/>
  <c r="H223" i="29"/>
  <c r="I223" i="29"/>
  <c r="J223" i="29"/>
  <c r="K223" i="29"/>
  <c r="L223" i="29"/>
  <c r="M223" i="29"/>
  <c r="N223" i="29"/>
  <c r="O223" i="29"/>
  <c r="P223" i="29"/>
  <c r="Q223" i="29"/>
  <c r="R223" i="29"/>
  <c r="S223" i="29"/>
  <c r="T223" i="29"/>
  <c r="U223" i="29"/>
  <c r="V223" i="29"/>
  <c r="W223" i="29"/>
  <c r="X223" i="29"/>
  <c r="Y223" i="29"/>
  <c r="Z223" i="29"/>
  <c r="AA223" i="29"/>
  <c r="AB223" i="29"/>
  <c r="AC223" i="29"/>
  <c r="AD223" i="29"/>
  <c r="AE223" i="29"/>
  <c r="AF223" i="29"/>
  <c r="AG223" i="29"/>
  <c r="AH223" i="29"/>
  <c r="AI223" i="29"/>
  <c r="AJ223" i="29"/>
  <c r="AK223" i="29"/>
  <c r="AL223" i="29"/>
  <c r="AM223" i="29"/>
  <c r="AN223" i="29"/>
  <c r="AO223" i="29"/>
  <c r="AP223" i="29"/>
  <c r="AQ223" i="29"/>
  <c r="AR223" i="29"/>
  <c r="AS223" i="29"/>
  <c r="AT223" i="29"/>
  <c r="AU223" i="29"/>
  <c r="AV223" i="29"/>
  <c r="AW223" i="29"/>
  <c r="AX223" i="29"/>
  <c r="AY223" i="29"/>
  <c r="AZ223" i="29"/>
  <c r="BA223" i="29"/>
  <c r="BB223" i="29"/>
  <c r="BC223" i="29"/>
  <c r="BD223" i="29"/>
  <c r="BE223" i="29"/>
  <c r="BF223" i="29"/>
  <c r="BG223" i="29"/>
  <c r="BH223" i="29"/>
  <c r="BI223" i="29"/>
  <c r="BJ223" i="29"/>
  <c r="BK223" i="29"/>
  <c r="BL223" i="29"/>
  <c r="BM223" i="29"/>
  <c r="BN223" i="29"/>
  <c r="BO223" i="29"/>
  <c r="BP223" i="29"/>
  <c r="BQ223" i="29"/>
  <c r="BR223" i="29"/>
  <c r="BS223" i="29"/>
  <c r="BT223" i="29"/>
  <c r="BU223" i="29"/>
  <c r="BV223" i="29"/>
  <c r="BW223" i="29"/>
  <c r="BX223" i="29"/>
  <c r="BY223" i="29"/>
  <c r="BZ223" i="29"/>
  <c r="CA223" i="29"/>
  <c r="CB223" i="29"/>
  <c r="CC223" i="29"/>
  <c r="CD223" i="29"/>
  <c r="CE223" i="29"/>
  <c r="CF223" i="29"/>
  <c r="CG223" i="29"/>
  <c r="CH223" i="29"/>
  <c r="CI223" i="29"/>
  <c r="CJ223" i="29"/>
  <c r="CK223" i="29"/>
  <c r="CL223" i="29"/>
  <c r="CM223" i="29"/>
  <c r="CN223" i="29"/>
  <c r="CO223" i="29"/>
  <c r="CP223" i="29"/>
  <c r="CQ223" i="29"/>
  <c r="CR223" i="29"/>
  <c r="CS223" i="29"/>
  <c r="CT223" i="29"/>
  <c r="CU223" i="29"/>
  <c r="CV223" i="29"/>
  <c r="CW223" i="29"/>
  <c r="CX223" i="29"/>
  <c r="CY223" i="29"/>
  <c r="CZ223" i="29"/>
  <c r="DA223" i="29"/>
  <c r="DB223" i="29"/>
  <c r="DC223" i="29"/>
  <c r="DD223" i="29"/>
  <c r="DE223" i="29"/>
  <c r="DF223" i="29"/>
  <c r="DG223" i="29"/>
  <c r="DH223" i="29"/>
  <c r="C224" i="29"/>
  <c r="D224" i="29"/>
  <c r="E224" i="29"/>
  <c r="F224" i="29"/>
  <c r="G224" i="29"/>
  <c r="H224" i="29"/>
  <c r="I224" i="29"/>
  <c r="J224" i="29"/>
  <c r="K224" i="29"/>
  <c r="L224" i="29"/>
  <c r="M224" i="29"/>
  <c r="N224" i="29"/>
  <c r="O224" i="29"/>
  <c r="P224" i="29"/>
  <c r="Q224" i="29"/>
  <c r="R224" i="29"/>
  <c r="S224" i="29"/>
  <c r="T224" i="29"/>
  <c r="U224" i="29"/>
  <c r="V224" i="29"/>
  <c r="W224" i="29"/>
  <c r="X224" i="29"/>
  <c r="Y224" i="29"/>
  <c r="Z224" i="29"/>
  <c r="AA224" i="29"/>
  <c r="AB224" i="29"/>
  <c r="AC224" i="29"/>
  <c r="AD224" i="29"/>
  <c r="AE224" i="29"/>
  <c r="AF224" i="29"/>
  <c r="AG224" i="29"/>
  <c r="AH224" i="29"/>
  <c r="AI224" i="29"/>
  <c r="AJ224" i="29"/>
  <c r="AK224" i="29"/>
  <c r="AL224" i="29"/>
  <c r="AM224" i="29"/>
  <c r="AN224" i="29"/>
  <c r="AO224" i="29"/>
  <c r="AP224" i="29"/>
  <c r="AQ224" i="29"/>
  <c r="AR224" i="29"/>
  <c r="AS224" i="29"/>
  <c r="AT224" i="29"/>
  <c r="AU224" i="29"/>
  <c r="AV224" i="29"/>
  <c r="AW224" i="29"/>
  <c r="AX224" i="29"/>
  <c r="AY224" i="29"/>
  <c r="AZ224" i="29"/>
  <c r="BA224" i="29"/>
  <c r="BB224" i="29"/>
  <c r="BC224" i="29"/>
  <c r="BD224" i="29"/>
  <c r="BE224" i="29"/>
  <c r="BF224" i="29"/>
  <c r="BG224" i="29"/>
  <c r="BH224" i="29"/>
  <c r="BI224" i="29"/>
  <c r="BJ224" i="29"/>
  <c r="BK224" i="29"/>
  <c r="BL224" i="29"/>
  <c r="BM224" i="29"/>
  <c r="BN224" i="29"/>
  <c r="BO224" i="29"/>
  <c r="BP224" i="29"/>
  <c r="BQ224" i="29"/>
  <c r="BR224" i="29"/>
  <c r="BS224" i="29"/>
  <c r="BT224" i="29"/>
  <c r="BU224" i="29"/>
  <c r="BV224" i="29"/>
  <c r="BW224" i="29"/>
  <c r="BX224" i="29"/>
  <c r="BY224" i="29"/>
  <c r="BZ224" i="29"/>
  <c r="CA224" i="29"/>
  <c r="CB224" i="29"/>
  <c r="CC224" i="29"/>
  <c r="CD224" i="29"/>
  <c r="CE224" i="29"/>
  <c r="CF224" i="29"/>
  <c r="CG224" i="29"/>
  <c r="CH224" i="29"/>
  <c r="CI224" i="29"/>
  <c r="CJ224" i="29"/>
  <c r="CK224" i="29"/>
  <c r="CL224" i="29"/>
  <c r="CM224" i="29"/>
  <c r="CN224" i="29"/>
  <c r="CO224" i="29"/>
  <c r="CP224" i="29"/>
  <c r="CQ224" i="29"/>
  <c r="CR224" i="29"/>
  <c r="CS224" i="29"/>
  <c r="CT224" i="29"/>
  <c r="CU224" i="29"/>
  <c r="CV224" i="29"/>
  <c r="CW224" i="29"/>
  <c r="CX224" i="29"/>
  <c r="CY224" i="29"/>
  <c r="CZ224" i="29"/>
  <c r="DA224" i="29"/>
  <c r="DB224" i="29"/>
  <c r="DC224" i="29"/>
  <c r="DD224" i="29"/>
  <c r="DE224" i="29"/>
  <c r="DF224" i="29"/>
  <c r="DG224" i="29"/>
  <c r="DH224" i="29"/>
  <c r="C225" i="29"/>
  <c r="D225" i="29"/>
  <c r="E225" i="29"/>
  <c r="F225" i="29"/>
  <c r="G225" i="29"/>
  <c r="H225" i="29"/>
  <c r="I225" i="29"/>
  <c r="J225" i="29"/>
  <c r="K225" i="29"/>
  <c r="L225" i="29"/>
  <c r="M225" i="29"/>
  <c r="N225" i="29"/>
  <c r="O225" i="29"/>
  <c r="P225" i="29"/>
  <c r="Q225" i="29"/>
  <c r="R225" i="29"/>
  <c r="S225" i="29"/>
  <c r="T225" i="29"/>
  <c r="U225" i="29"/>
  <c r="V225" i="29"/>
  <c r="W225" i="29"/>
  <c r="X225" i="29"/>
  <c r="Y225" i="29"/>
  <c r="Z225" i="29"/>
  <c r="AA225" i="29"/>
  <c r="AB225" i="29"/>
  <c r="AC225" i="29"/>
  <c r="AD225" i="29"/>
  <c r="AE225" i="29"/>
  <c r="AF225" i="29"/>
  <c r="AG225" i="29"/>
  <c r="AH225" i="29"/>
  <c r="AI225" i="29"/>
  <c r="AJ225" i="29"/>
  <c r="AK225" i="29"/>
  <c r="AL225" i="29"/>
  <c r="AM225" i="29"/>
  <c r="AN225" i="29"/>
  <c r="AO225" i="29"/>
  <c r="AP225" i="29"/>
  <c r="AQ225" i="29"/>
  <c r="AR225" i="29"/>
  <c r="AS225" i="29"/>
  <c r="AT225" i="29"/>
  <c r="AU225" i="29"/>
  <c r="AV225" i="29"/>
  <c r="AW225" i="29"/>
  <c r="AX225" i="29"/>
  <c r="AY225" i="29"/>
  <c r="AZ225" i="29"/>
  <c r="BA225" i="29"/>
  <c r="BB225" i="29"/>
  <c r="BC225" i="29"/>
  <c r="BD225" i="29"/>
  <c r="BE225" i="29"/>
  <c r="BF225" i="29"/>
  <c r="BG225" i="29"/>
  <c r="BH225" i="29"/>
  <c r="BI225" i="29"/>
  <c r="BJ225" i="29"/>
  <c r="BK225" i="29"/>
  <c r="BL225" i="29"/>
  <c r="BM225" i="29"/>
  <c r="BN225" i="29"/>
  <c r="BO225" i="29"/>
  <c r="BP225" i="29"/>
  <c r="BQ225" i="29"/>
  <c r="BR225" i="29"/>
  <c r="BS225" i="29"/>
  <c r="BT225" i="29"/>
  <c r="BU225" i="29"/>
  <c r="BV225" i="29"/>
  <c r="BW225" i="29"/>
  <c r="BX225" i="29"/>
  <c r="BY225" i="29"/>
  <c r="BZ225" i="29"/>
  <c r="CA225" i="29"/>
  <c r="CB225" i="29"/>
  <c r="CC225" i="29"/>
  <c r="CD225" i="29"/>
  <c r="CE225" i="29"/>
  <c r="CF225" i="29"/>
  <c r="CG225" i="29"/>
  <c r="CH225" i="29"/>
  <c r="CI225" i="29"/>
  <c r="CJ225" i="29"/>
  <c r="CK225" i="29"/>
  <c r="CL225" i="29"/>
  <c r="CM225" i="29"/>
  <c r="CN225" i="29"/>
  <c r="CO225" i="29"/>
  <c r="CP225" i="29"/>
  <c r="CQ225" i="29"/>
  <c r="CR225" i="29"/>
  <c r="CS225" i="29"/>
  <c r="CT225" i="29"/>
  <c r="CU225" i="29"/>
  <c r="CV225" i="29"/>
  <c r="CW225" i="29"/>
  <c r="CX225" i="29"/>
  <c r="CY225" i="29"/>
  <c r="CZ225" i="29"/>
  <c r="DA225" i="29"/>
  <c r="DB225" i="29"/>
  <c r="DC225" i="29"/>
  <c r="DD225" i="29"/>
  <c r="DE225" i="29"/>
  <c r="DF225" i="29"/>
  <c r="DG225" i="29"/>
  <c r="DH225" i="29"/>
  <c r="C226" i="29"/>
  <c r="D226" i="29"/>
  <c r="E226" i="29"/>
  <c r="F226" i="29"/>
  <c r="G226" i="29"/>
  <c r="H226" i="29"/>
  <c r="I226" i="29"/>
  <c r="J226" i="29"/>
  <c r="K226" i="29"/>
  <c r="L226" i="29"/>
  <c r="M226" i="29"/>
  <c r="N226" i="29"/>
  <c r="O226" i="29"/>
  <c r="P226" i="29"/>
  <c r="Q226" i="29"/>
  <c r="R226" i="29"/>
  <c r="S226" i="29"/>
  <c r="T226" i="29"/>
  <c r="U226" i="29"/>
  <c r="V226" i="29"/>
  <c r="W226" i="29"/>
  <c r="X226" i="29"/>
  <c r="Y226" i="29"/>
  <c r="Z226" i="29"/>
  <c r="AA226" i="29"/>
  <c r="AB226" i="29"/>
  <c r="AC226" i="29"/>
  <c r="AD226" i="29"/>
  <c r="AE226" i="29"/>
  <c r="AF226" i="29"/>
  <c r="AG226" i="29"/>
  <c r="AH226" i="29"/>
  <c r="AI226" i="29"/>
  <c r="AJ226" i="29"/>
  <c r="AK226" i="29"/>
  <c r="AL226" i="29"/>
  <c r="AM226" i="29"/>
  <c r="AN226" i="29"/>
  <c r="AO226" i="29"/>
  <c r="AP226" i="29"/>
  <c r="AQ226" i="29"/>
  <c r="AR226" i="29"/>
  <c r="AS226" i="29"/>
  <c r="AT226" i="29"/>
  <c r="AU226" i="29"/>
  <c r="AV226" i="29"/>
  <c r="AW226" i="29"/>
  <c r="AX226" i="29"/>
  <c r="AY226" i="29"/>
  <c r="AZ226" i="29"/>
  <c r="BA226" i="29"/>
  <c r="BB226" i="29"/>
  <c r="BC226" i="29"/>
  <c r="BD226" i="29"/>
  <c r="BE226" i="29"/>
  <c r="BF226" i="29"/>
  <c r="BG226" i="29"/>
  <c r="BH226" i="29"/>
  <c r="BI226" i="29"/>
  <c r="BJ226" i="29"/>
  <c r="BK226" i="29"/>
  <c r="BL226" i="29"/>
  <c r="BM226" i="29"/>
  <c r="BN226" i="29"/>
  <c r="BO226" i="29"/>
  <c r="BP226" i="29"/>
  <c r="BQ226" i="29"/>
  <c r="BR226" i="29"/>
  <c r="BS226" i="29"/>
  <c r="BT226" i="29"/>
  <c r="BU226" i="29"/>
  <c r="BV226" i="29"/>
  <c r="BW226" i="29"/>
  <c r="BX226" i="29"/>
  <c r="BY226" i="29"/>
  <c r="BZ226" i="29"/>
  <c r="CA226" i="29"/>
  <c r="CB226" i="29"/>
  <c r="CC226" i="29"/>
  <c r="CD226" i="29"/>
  <c r="CE226" i="29"/>
  <c r="CF226" i="29"/>
  <c r="CG226" i="29"/>
  <c r="CH226" i="29"/>
  <c r="CI226" i="29"/>
  <c r="CJ226" i="29"/>
  <c r="CK226" i="29"/>
  <c r="CL226" i="29"/>
  <c r="CM226" i="29"/>
  <c r="CN226" i="29"/>
  <c r="CO226" i="29"/>
  <c r="CP226" i="29"/>
  <c r="CQ226" i="29"/>
  <c r="CR226" i="29"/>
  <c r="CS226" i="29"/>
  <c r="CT226" i="29"/>
  <c r="CU226" i="29"/>
  <c r="CV226" i="29"/>
  <c r="CW226" i="29"/>
  <c r="CX226" i="29"/>
  <c r="CY226" i="29"/>
  <c r="CZ226" i="29"/>
  <c r="DA226" i="29"/>
  <c r="DB226" i="29"/>
  <c r="DC226" i="29"/>
  <c r="DD226" i="29"/>
  <c r="DE226" i="29"/>
  <c r="DF226" i="29"/>
  <c r="DG226" i="29"/>
  <c r="DH226" i="29"/>
  <c r="C227" i="29"/>
  <c r="D227" i="29"/>
  <c r="E227" i="29"/>
  <c r="F227" i="29"/>
  <c r="G227" i="29"/>
  <c r="H227" i="29"/>
  <c r="I227" i="29"/>
  <c r="J227" i="29"/>
  <c r="K227" i="29"/>
  <c r="L227" i="29"/>
  <c r="M227" i="29"/>
  <c r="N227" i="29"/>
  <c r="O227" i="29"/>
  <c r="P227" i="29"/>
  <c r="Q227" i="29"/>
  <c r="R227" i="29"/>
  <c r="S227" i="29"/>
  <c r="T227" i="29"/>
  <c r="U227" i="29"/>
  <c r="V227" i="29"/>
  <c r="W227" i="29"/>
  <c r="X227" i="29"/>
  <c r="Y227" i="29"/>
  <c r="Z227" i="29"/>
  <c r="AA227" i="29"/>
  <c r="AB227" i="29"/>
  <c r="AC227" i="29"/>
  <c r="AD227" i="29"/>
  <c r="AE227" i="29"/>
  <c r="AF227" i="29"/>
  <c r="AG227" i="29"/>
  <c r="AH227" i="29"/>
  <c r="AI227" i="29"/>
  <c r="AJ227" i="29"/>
  <c r="AK227" i="29"/>
  <c r="AL227" i="29"/>
  <c r="AM227" i="29"/>
  <c r="AN227" i="29"/>
  <c r="AO227" i="29"/>
  <c r="AP227" i="29"/>
  <c r="AQ227" i="29"/>
  <c r="AR227" i="29"/>
  <c r="AS227" i="29"/>
  <c r="AT227" i="29"/>
  <c r="AU227" i="29"/>
  <c r="AV227" i="29"/>
  <c r="AW227" i="29"/>
  <c r="AX227" i="29"/>
  <c r="AY227" i="29"/>
  <c r="AZ227" i="29"/>
  <c r="BA227" i="29"/>
  <c r="BB227" i="29"/>
  <c r="BC227" i="29"/>
  <c r="BD227" i="29"/>
  <c r="BE227" i="29"/>
  <c r="BF227" i="29"/>
  <c r="BG227" i="29"/>
  <c r="BH227" i="29"/>
  <c r="BI227" i="29"/>
  <c r="BJ227" i="29"/>
  <c r="BK227" i="29"/>
  <c r="BL227" i="29"/>
  <c r="BM227" i="29"/>
  <c r="BN227" i="29"/>
  <c r="BO227" i="29"/>
  <c r="BP227" i="29"/>
  <c r="BQ227" i="29"/>
  <c r="BR227" i="29"/>
  <c r="BS227" i="29"/>
  <c r="BT227" i="29"/>
  <c r="BU227" i="29"/>
  <c r="BV227" i="29"/>
  <c r="BW227" i="29"/>
  <c r="BX227" i="29"/>
  <c r="BY227" i="29"/>
  <c r="BZ227" i="29"/>
  <c r="CA227" i="29"/>
  <c r="CB227" i="29"/>
  <c r="CC227" i="29"/>
  <c r="CD227" i="29"/>
  <c r="CE227" i="29"/>
  <c r="CF227" i="29"/>
  <c r="CG227" i="29"/>
  <c r="CH227" i="29"/>
  <c r="CI227" i="29"/>
  <c r="CJ227" i="29"/>
  <c r="CK227" i="29"/>
  <c r="CL227" i="29"/>
  <c r="CM227" i="29"/>
  <c r="CN227" i="29"/>
  <c r="CO227" i="29"/>
  <c r="CP227" i="29"/>
  <c r="CQ227" i="29"/>
  <c r="CR227" i="29"/>
  <c r="CS227" i="29"/>
  <c r="CT227" i="29"/>
  <c r="CU227" i="29"/>
  <c r="CV227" i="29"/>
  <c r="CW227" i="29"/>
  <c r="CX227" i="29"/>
  <c r="CY227" i="29"/>
  <c r="CZ227" i="29"/>
  <c r="DA227" i="29"/>
  <c r="DB227" i="29"/>
  <c r="DC227" i="29"/>
  <c r="DD227" i="29"/>
  <c r="DE227" i="29"/>
  <c r="DF227" i="29"/>
  <c r="DG227" i="29"/>
  <c r="DH227" i="29"/>
  <c r="C228" i="29"/>
  <c r="D228" i="29"/>
  <c r="E228" i="29"/>
  <c r="F228" i="29"/>
  <c r="G228" i="29"/>
  <c r="H228" i="29"/>
  <c r="I228" i="29"/>
  <c r="J228" i="29"/>
  <c r="K228" i="29"/>
  <c r="L228" i="29"/>
  <c r="M228" i="29"/>
  <c r="N228" i="29"/>
  <c r="O228" i="29"/>
  <c r="P228" i="29"/>
  <c r="Q228" i="29"/>
  <c r="R228" i="29"/>
  <c r="S228" i="29"/>
  <c r="T228" i="29"/>
  <c r="U228" i="29"/>
  <c r="V228" i="29"/>
  <c r="W228" i="29"/>
  <c r="X228" i="29"/>
  <c r="Y228" i="29"/>
  <c r="Z228" i="29"/>
  <c r="AA228" i="29"/>
  <c r="AB228" i="29"/>
  <c r="AC228" i="29"/>
  <c r="AD228" i="29"/>
  <c r="AE228" i="29"/>
  <c r="AF228" i="29"/>
  <c r="AG228" i="29"/>
  <c r="AH228" i="29"/>
  <c r="AI228" i="29"/>
  <c r="AJ228" i="29"/>
  <c r="AK228" i="29"/>
  <c r="AL228" i="29"/>
  <c r="AM228" i="29"/>
  <c r="AN228" i="29"/>
  <c r="AO228" i="29"/>
  <c r="AP228" i="29"/>
  <c r="AQ228" i="29"/>
  <c r="AR228" i="29"/>
  <c r="AS228" i="29"/>
  <c r="AT228" i="29"/>
  <c r="AU228" i="29"/>
  <c r="AV228" i="29"/>
  <c r="AW228" i="29"/>
  <c r="AX228" i="29"/>
  <c r="AY228" i="29"/>
  <c r="AZ228" i="29"/>
  <c r="BA228" i="29"/>
  <c r="BB228" i="29"/>
  <c r="BC228" i="29"/>
  <c r="BD228" i="29"/>
  <c r="BE228" i="29"/>
  <c r="BF228" i="29"/>
  <c r="BG228" i="29"/>
  <c r="BH228" i="29"/>
  <c r="BI228" i="29"/>
  <c r="BJ228" i="29"/>
  <c r="BK228" i="29"/>
  <c r="BL228" i="29"/>
  <c r="BM228" i="29"/>
  <c r="BN228" i="29"/>
  <c r="BO228" i="29"/>
  <c r="BP228" i="29"/>
  <c r="BQ228" i="29"/>
  <c r="BR228" i="29"/>
  <c r="BS228" i="29"/>
  <c r="BT228" i="29"/>
  <c r="BU228" i="29"/>
  <c r="BV228" i="29"/>
  <c r="BW228" i="29"/>
  <c r="BX228" i="29"/>
  <c r="BY228" i="29"/>
  <c r="BZ228" i="29"/>
  <c r="CA228" i="29"/>
  <c r="CB228" i="29"/>
  <c r="CC228" i="29"/>
  <c r="CD228" i="29"/>
  <c r="CE228" i="29"/>
  <c r="CF228" i="29"/>
  <c r="CG228" i="29"/>
  <c r="CH228" i="29"/>
  <c r="CI228" i="29"/>
  <c r="CJ228" i="29"/>
  <c r="CK228" i="29"/>
  <c r="CL228" i="29"/>
  <c r="CM228" i="29"/>
  <c r="CN228" i="29"/>
  <c r="CO228" i="29"/>
  <c r="CP228" i="29"/>
  <c r="CQ228" i="29"/>
  <c r="CR228" i="29"/>
  <c r="CS228" i="29"/>
  <c r="CT228" i="29"/>
  <c r="CU228" i="29"/>
  <c r="CV228" i="29"/>
  <c r="CW228" i="29"/>
  <c r="CX228" i="29"/>
  <c r="CY228" i="29"/>
  <c r="CZ228" i="29"/>
  <c r="DA228" i="29"/>
  <c r="DB228" i="29"/>
  <c r="DC228" i="29"/>
  <c r="DD228" i="29"/>
  <c r="DE228" i="29"/>
  <c r="DF228" i="29"/>
  <c r="DG228" i="29"/>
  <c r="DH228" i="29"/>
  <c r="C229" i="29"/>
  <c r="D229" i="29"/>
  <c r="E229" i="29"/>
  <c r="F229" i="29"/>
  <c r="G229" i="29"/>
  <c r="H229" i="29"/>
  <c r="I229" i="29"/>
  <c r="J229" i="29"/>
  <c r="K229" i="29"/>
  <c r="L229" i="29"/>
  <c r="M229" i="29"/>
  <c r="N229" i="29"/>
  <c r="O229" i="29"/>
  <c r="P229" i="29"/>
  <c r="Q229" i="29"/>
  <c r="R229" i="29"/>
  <c r="S229" i="29"/>
  <c r="T229" i="29"/>
  <c r="U229" i="29"/>
  <c r="V229" i="29"/>
  <c r="W229" i="29"/>
  <c r="X229" i="29"/>
  <c r="Y229" i="29"/>
  <c r="Z229" i="29"/>
  <c r="AA229" i="29"/>
  <c r="AB229" i="29"/>
  <c r="AC229" i="29"/>
  <c r="AD229" i="29"/>
  <c r="AE229" i="29"/>
  <c r="AF229" i="29"/>
  <c r="AG229" i="29"/>
  <c r="AH229" i="29"/>
  <c r="AI229" i="29"/>
  <c r="AJ229" i="29"/>
  <c r="AK229" i="29"/>
  <c r="AL229" i="29"/>
  <c r="AM229" i="29"/>
  <c r="AN229" i="29"/>
  <c r="AO229" i="29"/>
  <c r="AP229" i="29"/>
  <c r="AQ229" i="29"/>
  <c r="AR229" i="29"/>
  <c r="AS229" i="29"/>
  <c r="AT229" i="29"/>
  <c r="AU229" i="29"/>
  <c r="AV229" i="29"/>
  <c r="AW229" i="29"/>
  <c r="AX229" i="29"/>
  <c r="AY229" i="29"/>
  <c r="AZ229" i="29"/>
  <c r="BA229" i="29"/>
  <c r="BB229" i="29"/>
  <c r="BC229" i="29"/>
  <c r="BD229" i="29"/>
  <c r="BE229" i="29"/>
  <c r="BF229" i="29"/>
  <c r="BG229" i="29"/>
  <c r="BH229" i="29"/>
  <c r="BI229" i="29"/>
  <c r="BJ229" i="29"/>
  <c r="BK229" i="29"/>
  <c r="BL229" i="29"/>
  <c r="BM229" i="29"/>
  <c r="BN229" i="29"/>
  <c r="BO229" i="29"/>
  <c r="BP229" i="29"/>
  <c r="BQ229" i="29"/>
  <c r="BR229" i="29"/>
  <c r="BS229" i="29"/>
  <c r="BT229" i="29"/>
  <c r="BU229" i="29"/>
  <c r="BV229" i="29"/>
  <c r="BW229" i="29"/>
  <c r="BX229" i="29"/>
  <c r="BY229" i="29"/>
  <c r="BZ229" i="29"/>
  <c r="CA229" i="29"/>
  <c r="CB229" i="29"/>
  <c r="CC229" i="29"/>
  <c r="CD229" i="29"/>
  <c r="CE229" i="29"/>
  <c r="CF229" i="29"/>
  <c r="CG229" i="29"/>
  <c r="CH229" i="29"/>
  <c r="CI229" i="29"/>
  <c r="CJ229" i="29"/>
  <c r="CK229" i="29"/>
  <c r="CL229" i="29"/>
  <c r="CM229" i="29"/>
  <c r="CN229" i="29"/>
  <c r="CO229" i="29"/>
  <c r="CP229" i="29"/>
  <c r="CQ229" i="29"/>
  <c r="CR229" i="29"/>
  <c r="CS229" i="29"/>
  <c r="CT229" i="29"/>
  <c r="CU229" i="29"/>
  <c r="CV229" i="29"/>
  <c r="CW229" i="29"/>
  <c r="CX229" i="29"/>
  <c r="CY229" i="29"/>
  <c r="CZ229" i="29"/>
  <c r="DA229" i="29"/>
  <c r="DB229" i="29"/>
  <c r="DC229" i="29"/>
  <c r="DD229" i="29"/>
  <c r="DE229" i="29"/>
  <c r="DF229" i="29"/>
  <c r="DG229" i="29"/>
  <c r="DH229" i="29"/>
  <c r="C230" i="29"/>
  <c r="D230" i="29"/>
  <c r="E230" i="29"/>
  <c r="F230" i="29"/>
  <c r="G230" i="29"/>
  <c r="H230" i="29"/>
  <c r="I230" i="29"/>
  <c r="J230" i="29"/>
  <c r="K230" i="29"/>
  <c r="L230" i="29"/>
  <c r="M230" i="29"/>
  <c r="N230" i="29"/>
  <c r="O230" i="29"/>
  <c r="P230" i="29"/>
  <c r="Q230" i="29"/>
  <c r="R230" i="29"/>
  <c r="S230" i="29"/>
  <c r="T230" i="29"/>
  <c r="U230" i="29"/>
  <c r="V230" i="29"/>
  <c r="W230" i="29"/>
  <c r="X230" i="29"/>
  <c r="Y230" i="29"/>
  <c r="Z230" i="29"/>
  <c r="AA230" i="29"/>
  <c r="AB230" i="29"/>
  <c r="AC230" i="29"/>
  <c r="AD230" i="29"/>
  <c r="AE230" i="29"/>
  <c r="AF230" i="29"/>
  <c r="AG230" i="29"/>
  <c r="AH230" i="29"/>
  <c r="AI230" i="29"/>
  <c r="AJ230" i="29"/>
  <c r="AK230" i="29"/>
  <c r="AL230" i="29"/>
  <c r="AM230" i="29"/>
  <c r="AN230" i="29"/>
  <c r="AO230" i="29"/>
  <c r="AP230" i="29"/>
  <c r="AQ230" i="29"/>
  <c r="AR230" i="29"/>
  <c r="AS230" i="29"/>
  <c r="AT230" i="29"/>
  <c r="AU230" i="29"/>
  <c r="AV230" i="29"/>
  <c r="AW230" i="29"/>
  <c r="AX230" i="29"/>
  <c r="AY230" i="29"/>
  <c r="AZ230" i="29"/>
  <c r="BA230" i="29"/>
  <c r="BB230" i="29"/>
  <c r="BC230" i="29"/>
  <c r="BD230" i="29"/>
  <c r="BE230" i="29"/>
  <c r="BF230" i="29"/>
  <c r="BG230" i="29"/>
  <c r="BH230" i="29"/>
  <c r="BI230" i="29"/>
  <c r="BJ230" i="29"/>
  <c r="BK230" i="29"/>
  <c r="BL230" i="29"/>
  <c r="BM230" i="29"/>
  <c r="BN230" i="29"/>
  <c r="BO230" i="29"/>
  <c r="BP230" i="29"/>
  <c r="BQ230" i="29"/>
  <c r="BR230" i="29"/>
  <c r="BS230" i="29"/>
  <c r="BT230" i="29"/>
  <c r="BU230" i="29"/>
  <c r="BV230" i="29"/>
  <c r="BW230" i="29"/>
  <c r="BX230" i="29"/>
  <c r="BY230" i="29"/>
  <c r="BZ230" i="29"/>
  <c r="CA230" i="29"/>
  <c r="CB230" i="29"/>
  <c r="CC230" i="29"/>
  <c r="CD230" i="29"/>
  <c r="CE230" i="29"/>
  <c r="CF230" i="29"/>
  <c r="CG230" i="29"/>
  <c r="CH230" i="29"/>
  <c r="CI230" i="29"/>
  <c r="CJ230" i="29"/>
  <c r="CK230" i="29"/>
  <c r="CL230" i="29"/>
  <c r="CM230" i="29"/>
  <c r="CN230" i="29"/>
  <c r="CO230" i="29"/>
  <c r="CP230" i="29"/>
  <c r="CQ230" i="29"/>
  <c r="CR230" i="29"/>
  <c r="CS230" i="29"/>
  <c r="CT230" i="29"/>
  <c r="CU230" i="29"/>
  <c r="CV230" i="29"/>
  <c r="CW230" i="29"/>
  <c r="CX230" i="29"/>
  <c r="CY230" i="29"/>
  <c r="CZ230" i="29"/>
  <c r="DA230" i="29"/>
  <c r="DB230" i="29"/>
  <c r="DC230" i="29"/>
  <c r="DD230" i="29"/>
  <c r="DE230" i="29"/>
  <c r="DF230" i="29"/>
  <c r="DG230" i="29"/>
  <c r="DH230" i="29"/>
  <c r="C231" i="29"/>
  <c r="D231" i="29"/>
  <c r="E231" i="29"/>
  <c r="F231" i="29"/>
  <c r="G231" i="29"/>
  <c r="H231" i="29"/>
  <c r="I231" i="29"/>
  <c r="J231" i="29"/>
  <c r="K231" i="29"/>
  <c r="L231" i="29"/>
  <c r="M231" i="29"/>
  <c r="N231" i="29"/>
  <c r="O231" i="29"/>
  <c r="P231" i="29"/>
  <c r="Q231" i="29"/>
  <c r="R231" i="29"/>
  <c r="S231" i="29"/>
  <c r="T231" i="29"/>
  <c r="U231" i="29"/>
  <c r="V231" i="29"/>
  <c r="W231" i="29"/>
  <c r="X231" i="29"/>
  <c r="Y231" i="29"/>
  <c r="Z231" i="29"/>
  <c r="AA231" i="29"/>
  <c r="AB231" i="29"/>
  <c r="AC231" i="29"/>
  <c r="AD231" i="29"/>
  <c r="AE231" i="29"/>
  <c r="AF231" i="29"/>
  <c r="AG231" i="29"/>
  <c r="AH231" i="29"/>
  <c r="AI231" i="29"/>
  <c r="AJ231" i="29"/>
  <c r="AK231" i="29"/>
  <c r="AL231" i="29"/>
  <c r="AM231" i="29"/>
  <c r="AN231" i="29"/>
  <c r="AO231" i="29"/>
  <c r="AP231" i="29"/>
  <c r="AQ231" i="29"/>
  <c r="AR231" i="29"/>
  <c r="AS231" i="29"/>
  <c r="AT231" i="29"/>
  <c r="AU231" i="29"/>
  <c r="AV231" i="29"/>
  <c r="AW231" i="29"/>
  <c r="AX231" i="29"/>
  <c r="AY231" i="29"/>
  <c r="AZ231" i="29"/>
  <c r="BA231" i="29"/>
  <c r="BB231" i="29"/>
  <c r="BC231" i="29"/>
  <c r="BD231" i="29"/>
  <c r="BE231" i="29"/>
  <c r="BF231" i="29"/>
  <c r="BG231" i="29"/>
  <c r="BH231" i="29"/>
  <c r="BI231" i="29"/>
  <c r="BJ231" i="29"/>
  <c r="BK231" i="29"/>
  <c r="BL231" i="29"/>
  <c r="BM231" i="29"/>
  <c r="BN231" i="29"/>
  <c r="BO231" i="29"/>
  <c r="BP231" i="29"/>
  <c r="BQ231" i="29"/>
  <c r="BR231" i="29"/>
  <c r="BS231" i="29"/>
  <c r="BT231" i="29"/>
  <c r="BU231" i="29"/>
  <c r="BV231" i="29"/>
  <c r="BW231" i="29"/>
  <c r="BX231" i="29"/>
  <c r="BY231" i="29"/>
  <c r="BZ231" i="29"/>
  <c r="CA231" i="29"/>
  <c r="CB231" i="29"/>
  <c r="CC231" i="29"/>
  <c r="CD231" i="29"/>
  <c r="CE231" i="29"/>
  <c r="CF231" i="29"/>
  <c r="CG231" i="29"/>
  <c r="CH231" i="29"/>
  <c r="CI231" i="29"/>
  <c r="CJ231" i="29"/>
  <c r="CK231" i="29"/>
  <c r="CL231" i="29"/>
  <c r="CM231" i="29"/>
  <c r="CN231" i="29"/>
  <c r="CO231" i="29"/>
  <c r="CP231" i="29"/>
  <c r="CQ231" i="29"/>
  <c r="CR231" i="29"/>
  <c r="CS231" i="29"/>
  <c r="CT231" i="29"/>
  <c r="CU231" i="29"/>
  <c r="CV231" i="29"/>
  <c r="CW231" i="29"/>
  <c r="CX231" i="29"/>
  <c r="CY231" i="29"/>
  <c r="CZ231" i="29"/>
  <c r="DA231" i="29"/>
  <c r="DB231" i="29"/>
  <c r="DC231" i="29"/>
  <c r="DD231" i="29"/>
  <c r="DE231" i="29"/>
  <c r="DF231" i="29"/>
  <c r="DG231" i="29"/>
  <c r="DH231" i="29"/>
  <c r="C232" i="29"/>
  <c r="D232" i="29"/>
  <c r="E232" i="29"/>
  <c r="F232" i="29"/>
  <c r="G232" i="29"/>
  <c r="H232" i="29"/>
  <c r="I232" i="29"/>
  <c r="J232" i="29"/>
  <c r="K232" i="29"/>
  <c r="L232" i="29"/>
  <c r="M232" i="29"/>
  <c r="N232" i="29"/>
  <c r="O232" i="29"/>
  <c r="P232" i="29"/>
  <c r="Q232" i="29"/>
  <c r="R232" i="29"/>
  <c r="S232" i="29"/>
  <c r="T232" i="29"/>
  <c r="U232" i="29"/>
  <c r="V232" i="29"/>
  <c r="W232" i="29"/>
  <c r="X232" i="29"/>
  <c r="Y232" i="29"/>
  <c r="Z232" i="29"/>
  <c r="AA232" i="29"/>
  <c r="AB232" i="29"/>
  <c r="AC232" i="29"/>
  <c r="AD232" i="29"/>
  <c r="AE232" i="29"/>
  <c r="AF232" i="29"/>
  <c r="AG232" i="29"/>
  <c r="AH232" i="29"/>
  <c r="AI232" i="29"/>
  <c r="AJ232" i="29"/>
  <c r="AK232" i="29"/>
  <c r="AL232" i="29"/>
  <c r="AM232" i="29"/>
  <c r="AN232" i="29"/>
  <c r="AO232" i="29"/>
  <c r="AP232" i="29"/>
  <c r="AQ232" i="29"/>
  <c r="AR232" i="29"/>
  <c r="AS232" i="29"/>
  <c r="AT232" i="29"/>
  <c r="AU232" i="29"/>
  <c r="AV232" i="29"/>
  <c r="AW232" i="29"/>
  <c r="AX232" i="29"/>
  <c r="AY232" i="29"/>
  <c r="AZ232" i="29"/>
  <c r="BA232" i="29"/>
  <c r="BB232" i="29"/>
  <c r="BC232" i="29"/>
  <c r="BD232" i="29"/>
  <c r="BE232" i="29"/>
  <c r="BF232" i="29"/>
  <c r="BG232" i="29"/>
  <c r="BH232" i="29"/>
  <c r="BI232" i="29"/>
  <c r="BJ232" i="29"/>
  <c r="BK232" i="29"/>
  <c r="BL232" i="29"/>
  <c r="BM232" i="29"/>
  <c r="BN232" i="29"/>
  <c r="BO232" i="29"/>
  <c r="BP232" i="29"/>
  <c r="BQ232" i="29"/>
  <c r="BR232" i="29"/>
  <c r="BS232" i="29"/>
  <c r="BT232" i="29"/>
  <c r="BU232" i="29"/>
  <c r="BV232" i="29"/>
  <c r="BW232" i="29"/>
  <c r="BX232" i="29"/>
  <c r="BY232" i="29"/>
  <c r="BZ232" i="29"/>
  <c r="CA232" i="29"/>
  <c r="CB232" i="29"/>
  <c r="CC232" i="29"/>
  <c r="CD232" i="29"/>
  <c r="CE232" i="29"/>
  <c r="CF232" i="29"/>
  <c r="CG232" i="29"/>
  <c r="CH232" i="29"/>
  <c r="CI232" i="29"/>
  <c r="CJ232" i="29"/>
  <c r="CK232" i="29"/>
  <c r="CL232" i="29"/>
  <c r="CM232" i="29"/>
  <c r="CN232" i="29"/>
  <c r="CO232" i="29"/>
  <c r="CP232" i="29"/>
  <c r="CQ232" i="29"/>
  <c r="CR232" i="29"/>
  <c r="CS232" i="29"/>
  <c r="CT232" i="29"/>
  <c r="CU232" i="29"/>
  <c r="CV232" i="29"/>
  <c r="CW232" i="29"/>
  <c r="CX232" i="29"/>
  <c r="CY232" i="29"/>
  <c r="CZ232" i="29"/>
  <c r="DA232" i="29"/>
  <c r="DB232" i="29"/>
  <c r="DC232" i="29"/>
  <c r="DD232" i="29"/>
  <c r="DE232" i="29"/>
  <c r="DF232" i="29"/>
  <c r="DG232" i="29"/>
  <c r="DH232" i="29"/>
  <c r="C233" i="29"/>
  <c r="D233" i="29"/>
  <c r="E233" i="29"/>
  <c r="F233" i="29"/>
  <c r="G233" i="29"/>
  <c r="H233" i="29"/>
  <c r="I233" i="29"/>
  <c r="J233" i="29"/>
  <c r="K233" i="29"/>
  <c r="L233" i="29"/>
  <c r="M233" i="29"/>
  <c r="N233" i="29"/>
  <c r="O233" i="29"/>
  <c r="P233" i="29"/>
  <c r="Q233" i="29"/>
  <c r="R233" i="29"/>
  <c r="S233" i="29"/>
  <c r="T233" i="29"/>
  <c r="U233" i="29"/>
  <c r="V233" i="29"/>
  <c r="W233" i="29"/>
  <c r="X233" i="29"/>
  <c r="Y233" i="29"/>
  <c r="Z233" i="29"/>
  <c r="AA233" i="29"/>
  <c r="AB233" i="29"/>
  <c r="AC233" i="29"/>
  <c r="AD233" i="29"/>
  <c r="AE233" i="29"/>
  <c r="AF233" i="29"/>
  <c r="AG233" i="29"/>
  <c r="AH233" i="29"/>
  <c r="AI233" i="29"/>
  <c r="AJ233" i="29"/>
  <c r="AK233" i="29"/>
  <c r="AL233" i="29"/>
  <c r="AM233" i="29"/>
  <c r="AN233" i="29"/>
  <c r="AO233" i="29"/>
  <c r="AP233" i="29"/>
  <c r="AQ233" i="29"/>
  <c r="AR233" i="29"/>
  <c r="AS233" i="29"/>
  <c r="AT233" i="29"/>
  <c r="AU233" i="29"/>
  <c r="AV233" i="29"/>
  <c r="AW233" i="29"/>
  <c r="AX233" i="29"/>
  <c r="AY233" i="29"/>
  <c r="AZ233" i="29"/>
  <c r="BA233" i="29"/>
  <c r="BB233" i="29"/>
  <c r="BC233" i="29"/>
  <c r="BD233" i="29"/>
  <c r="BE233" i="29"/>
  <c r="BF233" i="29"/>
  <c r="BG233" i="29"/>
  <c r="BH233" i="29"/>
  <c r="BI233" i="29"/>
  <c r="BJ233" i="29"/>
  <c r="BK233" i="29"/>
  <c r="BL233" i="29"/>
  <c r="BM233" i="29"/>
  <c r="BN233" i="29"/>
  <c r="BO233" i="29"/>
  <c r="BP233" i="29"/>
  <c r="BQ233" i="29"/>
  <c r="BR233" i="29"/>
  <c r="BS233" i="29"/>
  <c r="BT233" i="29"/>
  <c r="BU233" i="29"/>
  <c r="BV233" i="29"/>
  <c r="BW233" i="29"/>
  <c r="BX233" i="29"/>
  <c r="BY233" i="29"/>
  <c r="BZ233" i="29"/>
  <c r="CA233" i="29"/>
  <c r="CB233" i="29"/>
  <c r="CC233" i="29"/>
  <c r="CD233" i="29"/>
  <c r="CE233" i="29"/>
  <c r="CF233" i="29"/>
  <c r="CG233" i="29"/>
  <c r="CH233" i="29"/>
  <c r="CI233" i="29"/>
  <c r="CJ233" i="29"/>
  <c r="CK233" i="29"/>
  <c r="CL233" i="29"/>
  <c r="CM233" i="29"/>
  <c r="CN233" i="29"/>
  <c r="CO233" i="29"/>
  <c r="CP233" i="29"/>
  <c r="CQ233" i="29"/>
  <c r="CR233" i="29"/>
  <c r="CS233" i="29"/>
  <c r="CT233" i="29"/>
  <c r="CU233" i="29"/>
  <c r="CV233" i="29"/>
  <c r="CW233" i="29"/>
  <c r="CX233" i="29"/>
  <c r="CY233" i="29"/>
  <c r="CZ233" i="29"/>
  <c r="DA233" i="29"/>
  <c r="DB233" i="29"/>
  <c r="DC233" i="29"/>
  <c r="DD233" i="29"/>
  <c r="DE233" i="29"/>
  <c r="DF233" i="29"/>
  <c r="DG233" i="29"/>
  <c r="DH233" i="29"/>
  <c r="C234" i="29"/>
  <c r="D234" i="29"/>
  <c r="E234" i="29"/>
  <c r="F234" i="29"/>
  <c r="G234" i="29"/>
  <c r="H234" i="29"/>
  <c r="I234" i="29"/>
  <c r="J234" i="29"/>
  <c r="K234" i="29"/>
  <c r="L234" i="29"/>
  <c r="M234" i="29"/>
  <c r="N234" i="29"/>
  <c r="O234" i="29"/>
  <c r="P234" i="29"/>
  <c r="Q234" i="29"/>
  <c r="R234" i="29"/>
  <c r="S234" i="29"/>
  <c r="T234" i="29"/>
  <c r="U234" i="29"/>
  <c r="V234" i="29"/>
  <c r="W234" i="29"/>
  <c r="X234" i="29"/>
  <c r="Y234" i="29"/>
  <c r="Z234" i="29"/>
  <c r="AA234" i="29"/>
  <c r="AB234" i="29"/>
  <c r="AC234" i="29"/>
  <c r="AD234" i="29"/>
  <c r="AE234" i="29"/>
  <c r="AF234" i="29"/>
  <c r="AG234" i="29"/>
  <c r="AH234" i="29"/>
  <c r="AI234" i="29"/>
  <c r="AJ234" i="29"/>
  <c r="AK234" i="29"/>
  <c r="AL234" i="29"/>
  <c r="AM234" i="29"/>
  <c r="AN234" i="29"/>
  <c r="AO234" i="29"/>
  <c r="AP234" i="29"/>
  <c r="AQ234" i="29"/>
  <c r="AR234" i="29"/>
  <c r="AS234" i="29"/>
  <c r="AT234" i="29"/>
  <c r="AU234" i="29"/>
  <c r="AV234" i="29"/>
  <c r="AW234" i="29"/>
  <c r="AX234" i="29"/>
  <c r="AY234" i="29"/>
  <c r="AZ234" i="29"/>
  <c r="BA234" i="29"/>
  <c r="BB234" i="29"/>
  <c r="BC234" i="29"/>
  <c r="BD234" i="29"/>
  <c r="BE234" i="29"/>
  <c r="BF234" i="29"/>
  <c r="BG234" i="29"/>
  <c r="BH234" i="29"/>
  <c r="BI234" i="29"/>
  <c r="BJ234" i="29"/>
  <c r="BK234" i="29"/>
  <c r="BL234" i="29"/>
  <c r="BM234" i="29"/>
  <c r="BN234" i="29"/>
  <c r="BO234" i="29"/>
  <c r="BP234" i="29"/>
  <c r="BQ234" i="29"/>
  <c r="BR234" i="29"/>
  <c r="BS234" i="29"/>
  <c r="BT234" i="29"/>
  <c r="BU234" i="29"/>
  <c r="BV234" i="29"/>
  <c r="BW234" i="29"/>
  <c r="BX234" i="29"/>
  <c r="BY234" i="29"/>
  <c r="BZ234" i="29"/>
  <c r="CA234" i="29"/>
  <c r="CB234" i="29"/>
  <c r="CC234" i="29"/>
  <c r="CD234" i="29"/>
  <c r="CE234" i="29"/>
  <c r="CF234" i="29"/>
  <c r="CG234" i="29"/>
  <c r="CH234" i="29"/>
  <c r="CI234" i="29"/>
  <c r="CJ234" i="29"/>
  <c r="CK234" i="29"/>
  <c r="CL234" i="29"/>
  <c r="CM234" i="29"/>
  <c r="CN234" i="29"/>
  <c r="CO234" i="29"/>
  <c r="CP234" i="29"/>
  <c r="CQ234" i="29"/>
  <c r="CR234" i="29"/>
  <c r="CS234" i="29"/>
  <c r="CT234" i="29"/>
  <c r="CU234" i="29"/>
  <c r="CV234" i="29"/>
  <c r="CW234" i="29"/>
  <c r="CX234" i="29"/>
  <c r="CY234" i="29"/>
  <c r="CZ234" i="29"/>
  <c r="DA234" i="29"/>
  <c r="DB234" i="29"/>
  <c r="DC234" i="29"/>
  <c r="DD234" i="29"/>
  <c r="DE234" i="29"/>
  <c r="DF234" i="29"/>
  <c r="DG234" i="29"/>
  <c r="DH234" i="29"/>
  <c r="C235" i="29"/>
  <c r="D235" i="29"/>
  <c r="E235" i="29"/>
  <c r="F235" i="29"/>
  <c r="G235" i="29"/>
  <c r="H235" i="29"/>
  <c r="I235" i="29"/>
  <c r="J235" i="29"/>
  <c r="K235" i="29"/>
  <c r="L235" i="29"/>
  <c r="M235" i="29"/>
  <c r="N235" i="29"/>
  <c r="O235" i="29"/>
  <c r="P235" i="29"/>
  <c r="Q235" i="29"/>
  <c r="R235" i="29"/>
  <c r="S235" i="29"/>
  <c r="T235" i="29"/>
  <c r="U235" i="29"/>
  <c r="V235" i="29"/>
  <c r="W235" i="29"/>
  <c r="X235" i="29"/>
  <c r="Y235" i="29"/>
  <c r="Z235" i="29"/>
  <c r="AA235" i="29"/>
  <c r="AB235" i="29"/>
  <c r="AC235" i="29"/>
  <c r="AD235" i="29"/>
  <c r="AE235" i="29"/>
  <c r="AF235" i="29"/>
  <c r="AG235" i="29"/>
  <c r="AH235" i="29"/>
  <c r="AI235" i="29"/>
  <c r="AJ235" i="29"/>
  <c r="AK235" i="29"/>
  <c r="AL235" i="29"/>
  <c r="AM235" i="29"/>
  <c r="AN235" i="29"/>
  <c r="AO235" i="29"/>
  <c r="AP235" i="29"/>
  <c r="AQ235" i="29"/>
  <c r="AR235" i="29"/>
  <c r="AS235" i="29"/>
  <c r="AT235" i="29"/>
  <c r="AU235" i="29"/>
  <c r="AV235" i="29"/>
  <c r="AW235" i="29"/>
  <c r="AX235" i="29"/>
  <c r="AY235" i="29"/>
  <c r="AZ235" i="29"/>
  <c r="BA235" i="29"/>
  <c r="BB235" i="29"/>
  <c r="BC235" i="29"/>
  <c r="BD235" i="29"/>
  <c r="BE235" i="29"/>
  <c r="BF235" i="29"/>
  <c r="BG235" i="29"/>
  <c r="BH235" i="29"/>
  <c r="BI235" i="29"/>
  <c r="BJ235" i="29"/>
  <c r="BK235" i="29"/>
  <c r="BL235" i="29"/>
  <c r="BM235" i="29"/>
  <c r="BN235" i="29"/>
  <c r="BO235" i="29"/>
  <c r="BP235" i="29"/>
  <c r="BQ235" i="29"/>
  <c r="BR235" i="29"/>
  <c r="BS235" i="29"/>
  <c r="BT235" i="29"/>
  <c r="BU235" i="29"/>
  <c r="BV235" i="29"/>
  <c r="BW235" i="29"/>
  <c r="BX235" i="29"/>
  <c r="BY235" i="29"/>
  <c r="BZ235" i="29"/>
  <c r="CA235" i="29"/>
  <c r="CB235" i="29"/>
  <c r="CC235" i="29"/>
  <c r="CD235" i="29"/>
  <c r="CE235" i="29"/>
  <c r="CF235" i="29"/>
  <c r="CG235" i="29"/>
  <c r="CH235" i="29"/>
  <c r="CI235" i="29"/>
  <c r="CJ235" i="29"/>
  <c r="CK235" i="29"/>
  <c r="CL235" i="29"/>
  <c r="CM235" i="29"/>
  <c r="CN235" i="29"/>
  <c r="CO235" i="29"/>
  <c r="CP235" i="29"/>
  <c r="CQ235" i="29"/>
  <c r="CR235" i="29"/>
  <c r="CS235" i="29"/>
  <c r="CT235" i="29"/>
  <c r="CU235" i="29"/>
  <c r="CV235" i="29"/>
  <c r="CW235" i="29"/>
  <c r="CX235" i="29"/>
  <c r="CY235" i="29"/>
  <c r="CZ235" i="29"/>
  <c r="DA235" i="29"/>
  <c r="DB235" i="29"/>
  <c r="DC235" i="29"/>
  <c r="DD235" i="29"/>
  <c r="DE235" i="29"/>
  <c r="DF235" i="29"/>
  <c r="DG235" i="29"/>
  <c r="DH235" i="29"/>
  <c r="C236" i="29"/>
  <c r="D236" i="29"/>
  <c r="E236" i="29"/>
  <c r="F236" i="29"/>
  <c r="G236" i="29"/>
  <c r="H236" i="29"/>
  <c r="I236" i="29"/>
  <c r="J236" i="29"/>
  <c r="K236" i="29"/>
  <c r="L236" i="29"/>
  <c r="M236" i="29"/>
  <c r="N236" i="29"/>
  <c r="O236" i="29"/>
  <c r="P236" i="29"/>
  <c r="Q236" i="29"/>
  <c r="R236" i="29"/>
  <c r="S236" i="29"/>
  <c r="T236" i="29"/>
  <c r="U236" i="29"/>
  <c r="V236" i="29"/>
  <c r="W236" i="29"/>
  <c r="X236" i="29"/>
  <c r="Y236" i="29"/>
  <c r="Z236" i="29"/>
  <c r="AA236" i="29"/>
  <c r="AB236" i="29"/>
  <c r="AC236" i="29"/>
  <c r="AD236" i="29"/>
  <c r="AE236" i="29"/>
  <c r="AF236" i="29"/>
  <c r="AG236" i="29"/>
  <c r="AH236" i="29"/>
  <c r="AI236" i="29"/>
  <c r="AJ236" i="29"/>
  <c r="AK236" i="29"/>
  <c r="AL236" i="29"/>
  <c r="AM236" i="29"/>
  <c r="AN236" i="29"/>
  <c r="AO236" i="29"/>
  <c r="AP236" i="29"/>
  <c r="AQ236" i="29"/>
  <c r="AR236" i="29"/>
  <c r="AS236" i="29"/>
  <c r="AT236" i="29"/>
  <c r="AU236" i="29"/>
  <c r="AV236" i="29"/>
  <c r="AW236" i="29"/>
  <c r="AX236" i="29"/>
  <c r="AY236" i="29"/>
  <c r="AZ236" i="29"/>
  <c r="BA236" i="29"/>
  <c r="BB236" i="29"/>
  <c r="BC236" i="29"/>
  <c r="BD236" i="29"/>
  <c r="BE236" i="29"/>
  <c r="BF236" i="29"/>
  <c r="BG236" i="29"/>
  <c r="BH236" i="29"/>
  <c r="BI236" i="29"/>
  <c r="BJ236" i="29"/>
  <c r="BK236" i="29"/>
  <c r="BL236" i="29"/>
  <c r="BM236" i="29"/>
  <c r="BN236" i="29"/>
  <c r="BO236" i="29"/>
  <c r="BP236" i="29"/>
  <c r="BQ236" i="29"/>
  <c r="BR236" i="29"/>
  <c r="BS236" i="29"/>
  <c r="BT236" i="29"/>
  <c r="BU236" i="29"/>
  <c r="BV236" i="29"/>
  <c r="BW236" i="29"/>
  <c r="BX236" i="29"/>
  <c r="BY236" i="29"/>
  <c r="BZ236" i="29"/>
  <c r="CA236" i="29"/>
  <c r="CB236" i="29"/>
  <c r="CC236" i="29"/>
  <c r="CD236" i="29"/>
  <c r="CE236" i="29"/>
  <c r="CF236" i="29"/>
  <c r="CG236" i="29"/>
  <c r="CH236" i="29"/>
  <c r="CI236" i="29"/>
  <c r="CJ236" i="29"/>
  <c r="CK236" i="29"/>
  <c r="CL236" i="29"/>
  <c r="CM236" i="29"/>
  <c r="CN236" i="29"/>
  <c r="CO236" i="29"/>
  <c r="CP236" i="29"/>
  <c r="CQ236" i="29"/>
  <c r="CR236" i="29"/>
  <c r="CS236" i="29"/>
  <c r="CT236" i="29"/>
  <c r="CU236" i="29"/>
  <c r="CV236" i="29"/>
  <c r="CW236" i="29"/>
  <c r="CX236" i="29"/>
  <c r="CY236" i="29"/>
  <c r="CZ236" i="29"/>
  <c r="DA236" i="29"/>
  <c r="DB236" i="29"/>
  <c r="DC236" i="29"/>
  <c r="DD236" i="29"/>
  <c r="DE236" i="29"/>
  <c r="DF236" i="29"/>
  <c r="DG236" i="29"/>
  <c r="DH236" i="29"/>
  <c r="C237" i="29"/>
  <c r="D237" i="29"/>
  <c r="E237" i="29"/>
  <c r="F237" i="29"/>
  <c r="G237" i="29"/>
  <c r="H237" i="29"/>
  <c r="I237" i="29"/>
  <c r="J237" i="29"/>
  <c r="K237" i="29"/>
  <c r="L237" i="29"/>
  <c r="M237" i="29"/>
  <c r="N237" i="29"/>
  <c r="O237" i="29"/>
  <c r="P237" i="29"/>
  <c r="Q237" i="29"/>
  <c r="R237" i="29"/>
  <c r="S237" i="29"/>
  <c r="T237" i="29"/>
  <c r="U237" i="29"/>
  <c r="V237" i="29"/>
  <c r="W237" i="29"/>
  <c r="X237" i="29"/>
  <c r="Y237" i="29"/>
  <c r="Z237" i="29"/>
  <c r="AA237" i="29"/>
  <c r="AB237" i="29"/>
  <c r="AC237" i="29"/>
  <c r="AD237" i="29"/>
  <c r="AE237" i="29"/>
  <c r="AF237" i="29"/>
  <c r="AG237" i="29"/>
  <c r="AH237" i="29"/>
  <c r="AI237" i="29"/>
  <c r="AJ237" i="29"/>
  <c r="AK237" i="29"/>
  <c r="AL237" i="29"/>
  <c r="AM237" i="29"/>
  <c r="AN237" i="29"/>
  <c r="AO237" i="29"/>
  <c r="AP237" i="29"/>
  <c r="AQ237" i="29"/>
  <c r="AR237" i="29"/>
  <c r="AS237" i="29"/>
  <c r="AT237" i="29"/>
  <c r="AU237" i="29"/>
  <c r="AV237" i="29"/>
  <c r="AW237" i="29"/>
  <c r="AX237" i="29"/>
  <c r="AY237" i="29"/>
  <c r="AZ237" i="29"/>
  <c r="BA237" i="29"/>
  <c r="BB237" i="29"/>
  <c r="BC237" i="29"/>
  <c r="BD237" i="29"/>
  <c r="BE237" i="29"/>
  <c r="BF237" i="29"/>
  <c r="BG237" i="29"/>
  <c r="BH237" i="29"/>
  <c r="BI237" i="29"/>
  <c r="BJ237" i="29"/>
  <c r="BK237" i="29"/>
  <c r="BL237" i="29"/>
  <c r="BM237" i="29"/>
  <c r="BN237" i="29"/>
  <c r="BO237" i="29"/>
  <c r="BP237" i="29"/>
  <c r="BQ237" i="29"/>
  <c r="BR237" i="29"/>
  <c r="BS237" i="29"/>
  <c r="BT237" i="29"/>
  <c r="BU237" i="29"/>
  <c r="BV237" i="29"/>
  <c r="BW237" i="29"/>
  <c r="BX237" i="29"/>
  <c r="BY237" i="29"/>
  <c r="BZ237" i="29"/>
  <c r="CA237" i="29"/>
  <c r="CB237" i="29"/>
  <c r="CC237" i="29"/>
  <c r="CD237" i="29"/>
  <c r="CE237" i="29"/>
  <c r="CF237" i="29"/>
  <c r="CG237" i="29"/>
  <c r="CH237" i="29"/>
  <c r="CI237" i="29"/>
  <c r="CJ237" i="29"/>
  <c r="CK237" i="29"/>
  <c r="CL237" i="29"/>
  <c r="CM237" i="29"/>
  <c r="CN237" i="29"/>
  <c r="CO237" i="29"/>
  <c r="CP237" i="29"/>
  <c r="CQ237" i="29"/>
  <c r="CR237" i="29"/>
  <c r="CS237" i="29"/>
  <c r="CT237" i="29"/>
  <c r="CU237" i="29"/>
  <c r="CV237" i="29"/>
  <c r="CW237" i="29"/>
  <c r="CX237" i="29"/>
  <c r="CY237" i="29"/>
  <c r="CZ237" i="29"/>
  <c r="DA237" i="29"/>
  <c r="DB237" i="29"/>
  <c r="DC237" i="29"/>
  <c r="DD237" i="29"/>
  <c r="DE237" i="29"/>
  <c r="DF237" i="29"/>
  <c r="DG237" i="29"/>
  <c r="DH237" i="29"/>
  <c r="C238" i="29"/>
  <c r="D238" i="29"/>
  <c r="E238" i="29"/>
  <c r="F238" i="29"/>
  <c r="G238" i="29"/>
  <c r="H238" i="29"/>
  <c r="I238" i="29"/>
  <c r="J238" i="29"/>
  <c r="K238" i="29"/>
  <c r="L238" i="29"/>
  <c r="M238" i="29"/>
  <c r="N238" i="29"/>
  <c r="O238" i="29"/>
  <c r="P238" i="29"/>
  <c r="Q238" i="29"/>
  <c r="R238" i="29"/>
  <c r="S238" i="29"/>
  <c r="T238" i="29"/>
  <c r="U238" i="29"/>
  <c r="V238" i="29"/>
  <c r="W238" i="29"/>
  <c r="X238" i="29"/>
  <c r="Y238" i="29"/>
  <c r="Z238" i="29"/>
  <c r="AA238" i="29"/>
  <c r="AB238" i="29"/>
  <c r="AC238" i="29"/>
  <c r="AD238" i="29"/>
  <c r="AE238" i="29"/>
  <c r="AF238" i="29"/>
  <c r="AG238" i="29"/>
  <c r="AH238" i="29"/>
  <c r="AI238" i="29"/>
  <c r="AJ238" i="29"/>
  <c r="AK238" i="29"/>
  <c r="AL238" i="29"/>
  <c r="AM238" i="29"/>
  <c r="AN238" i="29"/>
  <c r="AO238" i="29"/>
  <c r="AP238" i="29"/>
  <c r="AQ238" i="29"/>
  <c r="AR238" i="29"/>
  <c r="AS238" i="29"/>
  <c r="AT238" i="29"/>
  <c r="AU238" i="29"/>
  <c r="AV238" i="29"/>
  <c r="AW238" i="29"/>
  <c r="AX238" i="29"/>
  <c r="AY238" i="29"/>
  <c r="AZ238" i="29"/>
  <c r="BA238" i="29"/>
  <c r="BB238" i="29"/>
  <c r="BC238" i="29"/>
  <c r="BD238" i="29"/>
  <c r="BE238" i="29"/>
  <c r="BF238" i="29"/>
  <c r="BG238" i="29"/>
  <c r="BH238" i="29"/>
  <c r="BI238" i="29"/>
  <c r="BJ238" i="29"/>
  <c r="BK238" i="29"/>
  <c r="BL238" i="29"/>
  <c r="BM238" i="29"/>
  <c r="BN238" i="29"/>
  <c r="BO238" i="29"/>
  <c r="BP238" i="29"/>
  <c r="BQ238" i="29"/>
  <c r="BR238" i="29"/>
  <c r="BS238" i="29"/>
  <c r="BT238" i="29"/>
  <c r="BU238" i="29"/>
  <c r="BV238" i="29"/>
  <c r="BW238" i="29"/>
  <c r="BX238" i="29"/>
  <c r="BY238" i="29"/>
  <c r="BZ238" i="29"/>
  <c r="CA238" i="29"/>
  <c r="CB238" i="29"/>
  <c r="CC238" i="29"/>
  <c r="CD238" i="29"/>
  <c r="CE238" i="29"/>
  <c r="CF238" i="29"/>
  <c r="CG238" i="29"/>
  <c r="CH238" i="29"/>
  <c r="CI238" i="29"/>
  <c r="CJ238" i="29"/>
  <c r="CK238" i="29"/>
  <c r="CL238" i="29"/>
  <c r="CM238" i="29"/>
  <c r="CN238" i="29"/>
  <c r="CO238" i="29"/>
  <c r="CP238" i="29"/>
  <c r="CQ238" i="29"/>
  <c r="CR238" i="29"/>
  <c r="CS238" i="29"/>
  <c r="CT238" i="29"/>
  <c r="CU238" i="29"/>
  <c r="CV238" i="29"/>
  <c r="CW238" i="29"/>
  <c r="CX238" i="29"/>
  <c r="CY238" i="29"/>
  <c r="CZ238" i="29"/>
  <c r="DA238" i="29"/>
  <c r="DB238" i="29"/>
  <c r="DC238" i="29"/>
  <c r="DD238" i="29"/>
  <c r="DE238" i="29"/>
  <c r="DF238" i="29"/>
  <c r="DG238" i="29"/>
  <c r="DH238" i="29"/>
  <c r="C239" i="29"/>
  <c r="D239" i="29"/>
  <c r="E239" i="29"/>
  <c r="F239" i="29"/>
  <c r="G239" i="29"/>
  <c r="H239" i="29"/>
  <c r="I239" i="29"/>
  <c r="J239" i="29"/>
  <c r="K239" i="29"/>
  <c r="L239" i="29"/>
  <c r="M239" i="29"/>
  <c r="N239" i="29"/>
  <c r="O239" i="29"/>
  <c r="P239" i="29"/>
  <c r="Q239" i="29"/>
  <c r="R239" i="29"/>
  <c r="S239" i="29"/>
  <c r="T239" i="29"/>
  <c r="U239" i="29"/>
  <c r="V239" i="29"/>
  <c r="W239" i="29"/>
  <c r="X239" i="29"/>
  <c r="Y239" i="29"/>
  <c r="Z239" i="29"/>
  <c r="AA239" i="29"/>
  <c r="AB239" i="29"/>
  <c r="AC239" i="29"/>
  <c r="AD239" i="29"/>
  <c r="AE239" i="29"/>
  <c r="AF239" i="29"/>
  <c r="AG239" i="29"/>
  <c r="AH239" i="29"/>
  <c r="AI239" i="29"/>
  <c r="AJ239" i="29"/>
  <c r="AK239" i="29"/>
  <c r="AL239" i="29"/>
  <c r="AM239" i="29"/>
  <c r="AN239" i="29"/>
  <c r="AO239" i="29"/>
  <c r="AP239" i="29"/>
  <c r="AQ239" i="29"/>
  <c r="AR239" i="29"/>
  <c r="AS239" i="29"/>
  <c r="AT239" i="29"/>
  <c r="AU239" i="29"/>
  <c r="AV239" i="29"/>
  <c r="AW239" i="29"/>
  <c r="AX239" i="29"/>
  <c r="AY239" i="29"/>
  <c r="AZ239" i="29"/>
  <c r="BA239" i="29"/>
  <c r="BB239" i="29"/>
  <c r="BC239" i="29"/>
  <c r="BD239" i="29"/>
  <c r="BE239" i="29"/>
  <c r="BF239" i="29"/>
  <c r="BG239" i="29"/>
  <c r="BH239" i="29"/>
  <c r="BI239" i="29"/>
  <c r="BJ239" i="29"/>
  <c r="BK239" i="29"/>
  <c r="BL239" i="29"/>
  <c r="BM239" i="29"/>
  <c r="BN239" i="29"/>
  <c r="BO239" i="29"/>
  <c r="BP239" i="29"/>
  <c r="BQ239" i="29"/>
  <c r="BR239" i="29"/>
  <c r="BS239" i="29"/>
  <c r="BT239" i="29"/>
  <c r="BU239" i="29"/>
  <c r="BV239" i="29"/>
  <c r="BW239" i="29"/>
  <c r="BX239" i="29"/>
  <c r="BY239" i="29"/>
  <c r="BZ239" i="29"/>
  <c r="CA239" i="29"/>
  <c r="CB239" i="29"/>
  <c r="CC239" i="29"/>
  <c r="CD239" i="29"/>
  <c r="CE239" i="29"/>
  <c r="CF239" i="29"/>
  <c r="CG239" i="29"/>
  <c r="CH239" i="29"/>
  <c r="CI239" i="29"/>
  <c r="CJ239" i="29"/>
  <c r="CK239" i="29"/>
  <c r="CL239" i="29"/>
  <c r="CM239" i="29"/>
  <c r="CN239" i="29"/>
  <c r="CO239" i="29"/>
  <c r="CP239" i="29"/>
  <c r="CQ239" i="29"/>
  <c r="CR239" i="29"/>
  <c r="CS239" i="29"/>
  <c r="CT239" i="29"/>
  <c r="CU239" i="29"/>
  <c r="CV239" i="29"/>
  <c r="CW239" i="29"/>
  <c r="CX239" i="29"/>
  <c r="CY239" i="29"/>
  <c r="CZ239" i="29"/>
  <c r="DA239" i="29"/>
  <c r="DB239" i="29"/>
  <c r="DC239" i="29"/>
  <c r="DD239" i="29"/>
  <c r="DE239" i="29"/>
  <c r="DF239" i="29"/>
  <c r="DG239" i="29"/>
  <c r="DH239" i="29"/>
  <c r="C240" i="29"/>
  <c r="D240" i="29"/>
  <c r="E240" i="29"/>
  <c r="F240" i="29"/>
  <c r="G240" i="29"/>
  <c r="H240" i="29"/>
  <c r="I240" i="29"/>
  <c r="J240" i="29"/>
  <c r="K240" i="29"/>
  <c r="L240" i="29"/>
  <c r="M240" i="29"/>
  <c r="N240" i="29"/>
  <c r="O240" i="29"/>
  <c r="P240" i="29"/>
  <c r="Q240" i="29"/>
  <c r="R240" i="29"/>
  <c r="S240" i="29"/>
  <c r="T240" i="29"/>
  <c r="U240" i="29"/>
  <c r="V240" i="29"/>
  <c r="W240" i="29"/>
  <c r="X240" i="29"/>
  <c r="Y240" i="29"/>
  <c r="Z240" i="29"/>
  <c r="AA240" i="29"/>
  <c r="AB240" i="29"/>
  <c r="AC240" i="29"/>
  <c r="AD240" i="29"/>
  <c r="AE240" i="29"/>
  <c r="AF240" i="29"/>
  <c r="AG240" i="29"/>
  <c r="AH240" i="29"/>
  <c r="AI240" i="29"/>
  <c r="AJ240" i="29"/>
  <c r="AK240" i="29"/>
  <c r="AL240" i="29"/>
  <c r="AM240" i="29"/>
  <c r="AN240" i="29"/>
  <c r="AO240" i="29"/>
  <c r="AP240" i="29"/>
  <c r="AQ240" i="29"/>
  <c r="AR240" i="29"/>
  <c r="AS240" i="29"/>
  <c r="AT240" i="29"/>
  <c r="AU240" i="29"/>
  <c r="AV240" i="29"/>
  <c r="AW240" i="29"/>
  <c r="AX240" i="29"/>
  <c r="AY240" i="29"/>
  <c r="AZ240" i="29"/>
  <c r="BA240" i="29"/>
  <c r="BB240" i="29"/>
  <c r="BC240" i="29"/>
  <c r="BD240" i="29"/>
  <c r="BE240" i="29"/>
  <c r="BF240" i="29"/>
  <c r="BG240" i="29"/>
  <c r="BH240" i="29"/>
  <c r="BI240" i="29"/>
  <c r="BJ240" i="29"/>
  <c r="BK240" i="29"/>
  <c r="BL240" i="29"/>
  <c r="BM240" i="29"/>
  <c r="BN240" i="29"/>
  <c r="BO240" i="29"/>
  <c r="BP240" i="29"/>
  <c r="BQ240" i="29"/>
  <c r="BR240" i="29"/>
  <c r="BS240" i="29"/>
  <c r="BT240" i="29"/>
  <c r="BU240" i="29"/>
  <c r="BV240" i="29"/>
  <c r="BW240" i="29"/>
  <c r="BX240" i="29"/>
  <c r="BY240" i="29"/>
  <c r="BZ240" i="29"/>
  <c r="CA240" i="29"/>
  <c r="CB240" i="29"/>
  <c r="CC240" i="29"/>
  <c r="CD240" i="29"/>
  <c r="CE240" i="29"/>
  <c r="CF240" i="29"/>
  <c r="CG240" i="29"/>
  <c r="CH240" i="29"/>
  <c r="CI240" i="29"/>
  <c r="CJ240" i="29"/>
  <c r="CK240" i="29"/>
  <c r="CL240" i="29"/>
  <c r="CM240" i="29"/>
  <c r="CN240" i="29"/>
  <c r="CO240" i="29"/>
  <c r="CP240" i="29"/>
  <c r="CQ240" i="29"/>
  <c r="CR240" i="29"/>
  <c r="CS240" i="29"/>
  <c r="CT240" i="29"/>
  <c r="CU240" i="29"/>
  <c r="CV240" i="29"/>
  <c r="CW240" i="29"/>
  <c r="CX240" i="29"/>
  <c r="CY240" i="29"/>
  <c r="CZ240" i="29"/>
  <c r="DA240" i="29"/>
  <c r="DB240" i="29"/>
  <c r="DC240" i="29"/>
  <c r="DD240" i="29"/>
  <c r="DE240" i="29"/>
  <c r="DF240" i="29"/>
  <c r="DG240" i="29"/>
  <c r="DH240" i="29"/>
  <c r="C241" i="29"/>
  <c r="D241" i="29"/>
  <c r="E241" i="29"/>
  <c r="F241" i="29"/>
  <c r="G241" i="29"/>
  <c r="H241" i="29"/>
  <c r="I241" i="29"/>
  <c r="J241" i="29"/>
  <c r="K241" i="29"/>
  <c r="L241" i="29"/>
  <c r="M241" i="29"/>
  <c r="N241" i="29"/>
  <c r="O241" i="29"/>
  <c r="P241" i="29"/>
  <c r="Q241" i="29"/>
  <c r="R241" i="29"/>
  <c r="S241" i="29"/>
  <c r="T241" i="29"/>
  <c r="U241" i="29"/>
  <c r="V241" i="29"/>
  <c r="W241" i="29"/>
  <c r="X241" i="29"/>
  <c r="Y241" i="29"/>
  <c r="Z241" i="29"/>
  <c r="AA241" i="29"/>
  <c r="AB241" i="29"/>
  <c r="AC241" i="29"/>
  <c r="AD241" i="29"/>
  <c r="AE241" i="29"/>
  <c r="AF241" i="29"/>
  <c r="AG241" i="29"/>
  <c r="AH241" i="29"/>
  <c r="AI241" i="29"/>
  <c r="AJ241" i="29"/>
  <c r="AK241" i="29"/>
  <c r="AL241" i="29"/>
  <c r="AM241" i="29"/>
  <c r="AN241" i="29"/>
  <c r="AO241" i="29"/>
  <c r="AP241" i="29"/>
  <c r="AQ241" i="29"/>
  <c r="AR241" i="29"/>
  <c r="AS241" i="29"/>
  <c r="AT241" i="29"/>
  <c r="AU241" i="29"/>
  <c r="AV241" i="29"/>
  <c r="AW241" i="29"/>
  <c r="AX241" i="29"/>
  <c r="AY241" i="29"/>
  <c r="AZ241" i="29"/>
  <c r="BA241" i="29"/>
  <c r="BB241" i="29"/>
  <c r="BC241" i="29"/>
  <c r="BD241" i="29"/>
  <c r="BE241" i="29"/>
  <c r="BF241" i="29"/>
  <c r="BG241" i="29"/>
  <c r="BH241" i="29"/>
  <c r="BI241" i="29"/>
  <c r="BJ241" i="29"/>
  <c r="BK241" i="29"/>
  <c r="BL241" i="29"/>
  <c r="BM241" i="29"/>
  <c r="BN241" i="29"/>
  <c r="BO241" i="29"/>
  <c r="BP241" i="29"/>
  <c r="BQ241" i="29"/>
  <c r="BR241" i="29"/>
  <c r="BS241" i="29"/>
  <c r="BT241" i="29"/>
  <c r="BU241" i="29"/>
  <c r="BV241" i="29"/>
  <c r="BW241" i="29"/>
  <c r="BX241" i="29"/>
  <c r="BY241" i="29"/>
  <c r="BZ241" i="29"/>
  <c r="CA241" i="29"/>
  <c r="CB241" i="29"/>
  <c r="CC241" i="29"/>
  <c r="CD241" i="29"/>
  <c r="CE241" i="29"/>
  <c r="CF241" i="29"/>
  <c r="CG241" i="29"/>
  <c r="CH241" i="29"/>
  <c r="CI241" i="29"/>
  <c r="CJ241" i="29"/>
  <c r="CK241" i="29"/>
  <c r="CL241" i="29"/>
  <c r="CM241" i="29"/>
  <c r="CN241" i="29"/>
  <c r="CO241" i="29"/>
  <c r="CP241" i="29"/>
  <c r="CQ241" i="29"/>
  <c r="CR241" i="29"/>
  <c r="CS241" i="29"/>
  <c r="CT241" i="29"/>
  <c r="CU241" i="29"/>
  <c r="CV241" i="29"/>
  <c r="CW241" i="29"/>
  <c r="CX241" i="29"/>
  <c r="CY241" i="29"/>
  <c r="CZ241" i="29"/>
  <c r="DA241" i="29"/>
  <c r="DB241" i="29"/>
  <c r="DC241" i="29"/>
  <c r="DD241" i="29"/>
  <c r="DE241" i="29"/>
  <c r="DF241" i="29"/>
  <c r="DG241" i="29"/>
  <c r="DH241" i="29"/>
  <c r="C242" i="29"/>
  <c r="D242" i="29"/>
  <c r="E242" i="29"/>
  <c r="F242" i="29"/>
  <c r="G242" i="29"/>
  <c r="H242" i="29"/>
  <c r="I242" i="29"/>
  <c r="J242" i="29"/>
  <c r="K242" i="29"/>
  <c r="L242" i="29"/>
  <c r="M242" i="29"/>
  <c r="N242" i="29"/>
  <c r="O242" i="29"/>
  <c r="P242" i="29"/>
  <c r="Q242" i="29"/>
  <c r="R242" i="29"/>
  <c r="S242" i="29"/>
  <c r="T242" i="29"/>
  <c r="U242" i="29"/>
  <c r="V242" i="29"/>
  <c r="W242" i="29"/>
  <c r="X242" i="29"/>
  <c r="Y242" i="29"/>
  <c r="Z242" i="29"/>
  <c r="AA242" i="29"/>
  <c r="AB242" i="29"/>
  <c r="AC242" i="29"/>
  <c r="AD242" i="29"/>
  <c r="AE242" i="29"/>
  <c r="AF242" i="29"/>
  <c r="AG242" i="29"/>
  <c r="AH242" i="29"/>
  <c r="AI242" i="29"/>
  <c r="AJ242" i="29"/>
  <c r="AK242" i="29"/>
  <c r="AL242" i="29"/>
  <c r="AM242" i="29"/>
  <c r="AN242" i="29"/>
  <c r="AO242" i="29"/>
  <c r="AP242" i="29"/>
  <c r="AQ242" i="29"/>
  <c r="AR242" i="29"/>
  <c r="AS242" i="29"/>
  <c r="AT242" i="29"/>
  <c r="AU242" i="29"/>
  <c r="AV242" i="29"/>
  <c r="AW242" i="29"/>
  <c r="AX242" i="29"/>
  <c r="AY242" i="29"/>
  <c r="AZ242" i="29"/>
  <c r="BA242" i="29"/>
  <c r="BB242" i="29"/>
  <c r="BC242" i="29"/>
  <c r="BD242" i="29"/>
  <c r="BE242" i="29"/>
  <c r="BF242" i="29"/>
  <c r="BG242" i="29"/>
  <c r="BH242" i="29"/>
  <c r="BI242" i="29"/>
  <c r="BJ242" i="29"/>
  <c r="BK242" i="29"/>
  <c r="BL242" i="29"/>
  <c r="BM242" i="29"/>
  <c r="BN242" i="29"/>
  <c r="BO242" i="29"/>
  <c r="BP242" i="29"/>
  <c r="BQ242" i="29"/>
  <c r="BR242" i="29"/>
  <c r="BS242" i="29"/>
  <c r="BT242" i="29"/>
  <c r="BU242" i="29"/>
  <c r="BV242" i="29"/>
  <c r="BW242" i="29"/>
  <c r="BX242" i="29"/>
  <c r="BY242" i="29"/>
  <c r="BZ242" i="29"/>
  <c r="CA242" i="29"/>
  <c r="CB242" i="29"/>
  <c r="CC242" i="29"/>
  <c r="CD242" i="29"/>
  <c r="CE242" i="29"/>
  <c r="CF242" i="29"/>
  <c r="CG242" i="29"/>
  <c r="CH242" i="29"/>
  <c r="CI242" i="29"/>
  <c r="CJ242" i="29"/>
  <c r="CK242" i="29"/>
  <c r="CL242" i="29"/>
  <c r="CM242" i="29"/>
  <c r="CN242" i="29"/>
  <c r="CO242" i="29"/>
  <c r="CP242" i="29"/>
  <c r="CQ242" i="29"/>
  <c r="CR242" i="29"/>
  <c r="CS242" i="29"/>
  <c r="CT242" i="29"/>
  <c r="CU242" i="29"/>
  <c r="CV242" i="29"/>
  <c r="CW242" i="29"/>
  <c r="CX242" i="29"/>
  <c r="CY242" i="29"/>
  <c r="CZ242" i="29"/>
  <c r="DA242" i="29"/>
  <c r="DB242" i="29"/>
  <c r="DC242" i="29"/>
  <c r="DD242" i="29"/>
  <c r="DE242" i="29"/>
  <c r="DF242" i="29"/>
  <c r="DG242" i="29"/>
  <c r="DH242" i="29"/>
  <c r="C243" i="29"/>
  <c r="C81" i="29" s="1"/>
  <c r="D243" i="29"/>
  <c r="E243" i="29"/>
  <c r="F243" i="29"/>
  <c r="G243" i="29"/>
  <c r="H243" i="29"/>
  <c r="I243" i="29"/>
  <c r="J243" i="29"/>
  <c r="K243" i="29"/>
  <c r="L243" i="29"/>
  <c r="M243" i="29"/>
  <c r="N243" i="29"/>
  <c r="O243" i="29"/>
  <c r="P243" i="29"/>
  <c r="Q243" i="29"/>
  <c r="R243" i="29"/>
  <c r="S243" i="29"/>
  <c r="T243" i="29"/>
  <c r="U243" i="29"/>
  <c r="V243" i="29"/>
  <c r="W243" i="29"/>
  <c r="X243" i="29"/>
  <c r="Y243" i="29"/>
  <c r="Z243" i="29"/>
  <c r="AA243" i="29"/>
  <c r="AB243" i="29"/>
  <c r="AC243" i="29"/>
  <c r="AD243" i="29"/>
  <c r="AE243" i="29"/>
  <c r="AF243" i="29"/>
  <c r="AG243" i="29"/>
  <c r="AH243" i="29"/>
  <c r="AI243" i="29"/>
  <c r="AJ243" i="29"/>
  <c r="AK243" i="29"/>
  <c r="AL243" i="29"/>
  <c r="AM243" i="29"/>
  <c r="AN243" i="29"/>
  <c r="AO243" i="29"/>
  <c r="AP243" i="29"/>
  <c r="AQ243" i="29"/>
  <c r="AR243" i="29"/>
  <c r="AS243" i="29"/>
  <c r="AT243" i="29"/>
  <c r="AU243" i="29"/>
  <c r="AV243" i="29"/>
  <c r="AW243" i="29"/>
  <c r="AX243" i="29"/>
  <c r="AY243" i="29"/>
  <c r="AZ243" i="29"/>
  <c r="BA243" i="29"/>
  <c r="BB243" i="29"/>
  <c r="BC243" i="29"/>
  <c r="BD243" i="29"/>
  <c r="BE243" i="29"/>
  <c r="BF243" i="29"/>
  <c r="BG243" i="29"/>
  <c r="BH243" i="29"/>
  <c r="BI243" i="29"/>
  <c r="BJ243" i="29"/>
  <c r="BK243" i="29"/>
  <c r="BL243" i="29"/>
  <c r="BM243" i="29"/>
  <c r="BN243" i="29"/>
  <c r="BO243" i="29"/>
  <c r="BP243" i="29"/>
  <c r="BQ243" i="29"/>
  <c r="BR243" i="29"/>
  <c r="BS243" i="29"/>
  <c r="BT243" i="29"/>
  <c r="BU243" i="29"/>
  <c r="BV243" i="29"/>
  <c r="BW243" i="29"/>
  <c r="BX243" i="29"/>
  <c r="BY243" i="29"/>
  <c r="BZ243" i="29"/>
  <c r="CA243" i="29"/>
  <c r="CB243" i="29"/>
  <c r="CC243" i="29"/>
  <c r="CD243" i="29"/>
  <c r="CE243" i="29"/>
  <c r="CF243" i="29"/>
  <c r="CG243" i="29"/>
  <c r="CH243" i="29"/>
  <c r="CI243" i="29"/>
  <c r="CJ243" i="29"/>
  <c r="CK243" i="29"/>
  <c r="CL243" i="29"/>
  <c r="CM243" i="29"/>
  <c r="CN243" i="29"/>
  <c r="CO243" i="29"/>
  <c r="CP243" i="29"/>
  <c r="CQ243" i="29"/>
  <c r="CR243" i="29"/>
  <c r="CS243" i="29"/>
  <c r="CT243" i="29"/>
  <c r="CU243" i="29"/>
  <c r="CV243" i="29"/>
  <c r="CW243" i="29"/>
  <c r="CX243" i="29"/>
  <c r="CY243" i="29"/>
  <c r="CZ243" i="29"/>
  <c r="DA243" i="29"/>
  <c r="DB243" i="29"/>
  <c r="DC243" i="29"/>
  <c r="DD243" i="29"/>
  <c r="DE243" i="29"/>
  <c r="DF243" i="29"/>
  <c r="DG243" i="29"/>
  <c r="DH243" i="29"/>
  <c r="C244" i="29"/>
  <c r="D244" i="29"/>
  <c r="E244" i="29"/>
  <c r="F244" i="29"/>
  <c r="G244" i="29"/>
  <c r="H244" i="29"/>
  <c r="I244" i="29"/>
  <c r="J244" i="29"/>
  <c r="K244" i="29"/>
  <c r="L244" i="29"/>
  <c r="M244" i="29"/>
  <c r="N244" i="29"/>
  <c r="O244" i="29"/>
  <c r="P244" i="29"/>
  <c r="Q244" i="29"/>
  <c r="R244" i="29"/>
  <c r="S244" i="29"/>
  <c r="T244" i="29"/>
  <c r="U244" i="29"/>
  <c r="V244" i="29"/>
  <c r="W244" i="29"/>
  <c r="X244" i="29"/>
  <c r="Y244" i="29"/>
  <c r="Z244" i="29"/>
  <c r="AA244" i="29"/>
  <c r="AB244" i="29"/>
  <c r="AC244" i="29"/>
  <c r="AD244" i="29"/>
  <c r="AE244" i="29"/>
  <c r="AF244" i="29"/>
  <c r="AG244" i="29"/>
  <c r="AH244" i="29"/>
  <c r="AI244" i="29"/>
  <c r="AJ244" i="29"/>
  <c r="AK244" i="29"/>
  <c r="AL244" i="29"/>
  <c r="AM244" i="29"/>
  <c r="AN244" i="29"/>
  <c r="AO244" i="29"/>
  <c r="AP244" i="29"/>
  <c r="AQ244" i="29"/>
  <c r="AR244" i="29"/>
  <c r="AS244" i="29"/>
  <c r="AT244" i="29"/>
  <c r="AU244" i="29"/>
  <c r="AV244" i="29"/>
  <c r="AW244" i="29"/>
  <c r="AX244" i="29"/>
  <c r="AY244" i="29"/>
  <c r="AZ244" i="29"/>
  <c r="BA244" i="29"/>
  <c r="BB244" i="29"/>
  <c r="BC244" i="29"/>
  <c r="BD244" i="29"/>
  <c r="BE244" i="29"/>
  <c r="BF244" i="29"/>
  <c r="BG244" i="29"/>
  <c r="BH244" i="29"/>
  <c r="BI244" i="29"/>
  <c r="BJ244" i="29"/>
  <c r="BK244" i="29"/>
  <c r="BL244" i="29"/>
  <c r="BM244" i="29"/>
  <c r="BN244" i="29"/>
  <c r="BO244" i="29"/>
  <c r="BP244" i="29"/>
  <c r="BQ244" i="29"/>
  <c r="BR244" i="29"/>
  <c r="BS244" i="29"/>
  <c r="BT244" i="29"/>
  <c r="BU244" i="29"/>
  <c r="BV244" i="29"/>
  <c r="BW244" i="29"/>
  <c r="BX244" i="29"/>
  <c r="BY244" i="29"/>
  <c r="BZ244" i="29"/>
  <c r="CA244" i="29"/>
  <c r="CB244" i="29"/>
  <c r="CC244" i="29"/>
  <c r="CD244" i="29"/>
  <c r="CE244" i="29"/>
  <c r="CF244" i="29"/>
  <c r="CG244" i="29"/>
  <c r="CH244" i="29"/>
  <c r="CI244" i="29"/>
  <c r="CJ244" i="29"/>
  <c r="CK244" i="29"/>
  <c r="CL244" i="29"/>
  <c r="CM244" i="29"/>
  <c r="CN244" i="29"/>
  <c r="CO244" i="29"/>
  <c r="CP244" i="29"/>
  <c r="CQ244" i="29"/>
  <c r="CR244" i="29"/>
  <c r="CS244" i="29"/>
  <c r="CT244" i="29"/>
  <c r="CU244" i="29"/>
  <c r="CV244" i="29"/>
  <c r="CW244" i="29"/>
  <c r="CX244" i="29"/>
  <c r="CY244" i="29"/>
  <c r="CZ244" i="29"/>
  <c r="DA244" i="29"/>
  <c r="DB244" i="29"/>
  <c r="DC244" i="29"/>
  <c r="DD244" i="29"/>
  <c r="DE244" i="29"/>
  <c r="DF244" i="29"/>
  <c r="DG244" i="29"/>
  <c r="DH244" i="29"/>
  <c r="C245" i="29"/>
  <c r="D245" i="29"/>
  <c r="E245" i="29"/>
  <c r="F245" i="29"/>
  <c r="G245" i="29"/>
  <c r="H245" i="29"/>
  <c r="I245" i="29"/>
  <c r="J245" i="29"/>
  <c r="K245" i="29"/>
  <c r="L245" i="29"/>
  <c r="M245" i="29"/>
  <c r="N245" i="29"/>
  <c r="O245" i="29"/>
  <c r="P245" i="29"/>
  <c r="Q245" i="29"/>
  <c r="R245" i="29"/>
  <c r="S245" i="29"/>
  <c r="T245" i="29"/>
  <c r="U245" i="29"/>
  <c r="V245" i="29"/>
  <c r="W245" i="29"/>
  <c r="X245" i="29"/>
  <c r="Y245" i="29"/>
  <c r="Z245" i="29"/>
  <c r="AA245" i="29"/>
  <c r="AB245" i="29"/>
  <c r="AC245" i="29"/>
  <c r="AD245" i="29"/>
  <c r="AE245" i="29"/>
  <c r="AF245" i="29"/>
  <c r="AG245" i="29"/>
  <c r="AH245" i="29"/>
  <c r="AI245" i="29"/>
  <c r="AJ245" i="29"/>
  <c r="AK245" i="29"/>
  <c r="AL245" i="29"/>
  <c r="AM245" i="29"/>
  <c r="AN245" i="29"/>
  <c r="AO245" i="29"/>
  <c r="AP245" i="29"/>
  <c r="AQ245" i="29"/>
  <c r="AR245" i="29"/>
  <c r="AS245" i="29"/>
  <c r="AT245" i="29"/>
  <c r="AU245" i="29"/>
  <c r="AV245" i="29"/>
  <c r="AW245" i="29"/>
  <c r="AX245" i="29"/>
  <c r="AY245" i="29"/>
  <c r="AZ245" i="29"/>
  <c r="BA245" i="29"/>
  <c r="BB245" i="29"/>
  <c r="BC245" i="29"/>
  <c r="BD245" i="29"/>
  <c r="BE245" i="29"/>
  <c r="BF245" i="29"/>
  <c r="BG245" i="29"/>
  <c r="BH245" i="29"/>
  <c r="BI245" i="29"/>
  <c r="BJ245" i="29"/>
  <c r="BK245" i="29"/>
  <c r="BL245" i="29"/>
  <c r="BM245" i="29"/>
  <c r="BN245" i="29"/>
  <c r="BO245" i="29"/>
  <c r="BP245" i="29"/>
  <c r="BQ245" i="29"/>
  <c r="BR245" i="29"/>
  <c r="BS245" i="29"/>
  <c r="BT245" i="29"/>
  <c r="BU245" i="29"/>
  <c r="BV245" i="29"/>
  <c r="BW245" i="29"/>
  <c r="BX245" i="29"/>
  <c r="BY245" i="29"/>
  <c r="BZ245" i="29"/>
  <c r="CA245" i="29"/>
  <c r="CB245" i="29"/>
  <c r="CC245" i="29"/>
  <c r="CD245" i="29"/>
  <c r="CE245" i="29"/>
  <c r="CF245" i="29"/>
  <c r="CG245" i="29"/>
  <c r="CH245" i="29"/>
  <c r="CI245" i="29"/>
  <c r="CJ245" i="29"/>
  <c r="CK245" i="29"/>
  <c r="CL245" i="29"/>
  <c r="CM245" i="29"/>
  <c r="CN245" i="29"/>
  <c r="CO245" i="29"/>
  <c r="CP245" i="29"/>
  <c r="CQ245" i="29"/>
  <c r="CR245" i="29"/>
  <c r="CS245" i="29"/>
  <c r="CT245" i="29"/>
  <c r="CU245" i="29"/>
  <c r="CV245" i="29"/>
  <c r="CW245" i="29"/>
  <c r="CX245" i="29"/>
  <c r="CY245" i="29"/>
  <c r="CZ245" i="29"/>
  <c r="DA245" i="29"/>
  <c r="DB245" i="29"/>
  <c r="DC245" i="29"/>
  <c r="DD245" i="29"/>
  <c r="DE245" i="29"/>
  <c r="DF245" i="29"/>
  <c r="DG245" i="29"/>
  <c r="DH245" i="29"/>
  <c r="C246" i="29"/>
  <c r="D246" i="29"/>
  <c r="E246" i="29"/>
  <c r="F246" i="29"/>
  <c r="G246" i="29"/>
  <c r="H246" i="29"/>
  <c r="I246" i="29"/>
  <c r="J246" i="29"/>
  <c r="K246" i="29"/>
  <c r="L246" i="29"/>
  <c r="M246" i="29"/>
  <c r="N246" i="29"/>
  <c r="O246" i="29"/>
  <c r="P246" i="29"/>
  <c r="Q246" i="29"/>
  <c r="R246" i="29"/>
  <c r="S246" i="29"/>
  <c r="T246" i="29"/>
  <c r="U246" i="29"/>
  <c r="V246" i="29"/>
  <c r="W246" i="29"/>
  <c r="X246" i="29"/>
  <c r="Y246" i="29"/>
  <c r="Z246" i="29"/>
  <c r="AA246" i="29"/>
  <c r="AB246" i="29"/>
  <c r="AC246" i="29"/>
  <c r="AD246" i="29"/>
  <c r="AE246" i="29"/>
  <c r="AF246" i="29"/>
  <c r="AG246" i="29"/>
  <c r="AH246" i="29"/>
  <c r="AI246" i="29"/>
  <c r="AJ246" i="29"/>
  <c r="AK246" i="29"/>
  <c r="AL246" i="29"/>
  <c r="AM246" i="29"/>
  <c r="AN246" i="29"/>
  <c r="AO246" i="29"/>
  <c r="AP246" i="29"/>
  <c r="AQ246" i="29"/>
  <c r="AR246" i="29"/>
  <c r="AS246" i="29"/>
  <c r="AT246" i="29"/>
  <c r="AU246" i="29"/>
  <c r="AV246" i="29"/>
  <c r="AW246" i="29"/>
  <c r="AX246" i="29"/>
  <c r="AY246" i="29"/>
  <c r="AZ246" i="29"/>
  <c r="BA246" i="29"/>
  <c r="BB246" i="29"/>
  <c r="BC246" i="29"/>
  <c r="BD246" i="29"/>
  <c r="BE246" i="29"/>
  <c r="BF246" i="29"/>
  <c r="BG246" i="29"/>
  <c r="BH246" i="29"/>
  <c r="BI246" i="29"/>
  <c r="BJ246" i="29"/>
  <c r="BK246" i="29"/>
  <c r="BL246" i="29"/>
  <c r="BM246" i="29"/>
  <c r="BN246" i="29"/>
  <c r="BO246" i="29"/>
  <c r="BP246" i="29"/>
  <c r="BQ246" i="29"/>
  <c r="BR246" i="29"/>
  <c r="BS246" i="29"/>
  <c r="BT246" i="29"/>
  <c r="BU246" i="29"/>
  <c r="BV246" i="29"/>
  <c r="BW246" i="29"/>
  <c r="BX246" i="29"/>
  <c r="BY246" i="29"/>
  <c r="BZ246" i="29"/>
  <c r="CA246" i="29"/>
  <c r="CB246" i="29"/>
  <c r="CC246" i="29"/>
  <c r="CD246" i="29"/>
  <c r="CE246" i="29"/>
  <c r="CF246" i="29"/>
  <c r="CG246" i="29"/>
  <c r="CH246" i="29"/>
  <c r="CI246" i="29"/>
  <c r="CJ246" i="29"/>
  <c r="CK246" i="29"/>
  <c r="CL246" i="29"/>
  <c r="CM246" i="29"/>
  <c r="CN246" i="29"/>
  <c r="CO246" i="29"/>
  <c r="CP246" i="29"/>
  <c r="CQ246" i="29"/>
  <c r="CR246" i="29"/>
  <c r="CS246" i="29"/>
  <c r="CT246" i="29"/>
  <c r="CU246" i="29"/>
  <c r="CV246" i="29"/>
  <c r="CW246" i="29"/>
  <c r="CX246" i="29"/>
  <c r="CY246" i="29"/>
  <c r="CZ246" i="29"/>
  <c r="DA246" i="29"/>
  <c r="DB246" i="29"/>
  <c r="DC246" i="29"/>
  <c r="DD246" i="29"/>
  <c r="DE246" i="29"/>
  <c r="DF246" i="29"/>
  <c r="DG246" i="29"/>
  <c r="DH246" i="29"/>
  <c r="C247" i="29"/>
  <c r="D247" i="29"/>
  <c r="E247" i="29"/>
  <c r="F247" i="29"/>
  <c r="G247" i="29"/>
  <c r="H247" i="29"/>
  <c r="I247" i="29"/>
  <c r="J247" i="29"/>
  <c r="K247" i="29"/>
  <c r="L247" i="29"/>
  <c r="M247" i="29"/>
  <c r="N247" i="29"/>
  <c r="O247" i="29"/>
  <c r="P247" i="29"/>
  <c r="Q247" i="29"/>
  <c r="R247" i="29"/>
  <c r="S247" i="29"/>
  <c r="T247" i="29"/>
  <c r="U247" i="29"/>
  <c r="V247" i="29"/>
  <c r="W247" i="29"/>
  <c r="X247" i="29"/>
  <c r="Y247" i="29"/>
  <c r="Z247" i="29"/>
  <c r="AA247" i="29"/>
  <c r="AB247" i="29"/>
  <c r="AC247" i="29"/>
  <c r="AD247" i="29"/>
  <c r="AE247" i="29"/>
  <c r="AF247" i="29"/>
  <c r="AG247" i="29"/>
  <c r="AH247" i="29"/>
  <c r="AI247" i="29"/>
  <c r="AJ247" i="29"/>
  <c r="AK247" i="29"/>
  <c r="AL247" i="29"/>
  <c r="AM247" i="29"/>
  <c r="AN247" i="29"/>
  <c r="AO247" i="29"/>
  <c r="AP247" i="29"/>
  <c r="AQ247" i="29"/>
  <c r="AR247" i="29"/>
  <c r="AS247" i="29"/>
  <c r="AT247" i="29"/>
  <c r="AU247" i="29"/>
  <c r="AV247" i="29"/>
  <c r="AW247" i="29"/>
  <c r="AX247" i="29"/>
  <c r="AY247" i="29"/>
  <c r="AZ247" i="29"/>
  <c r="BA247" i="29"/>
  <c r="BB247" i="29"/>
  <c r="BC247" i="29"/>
  <c r="BD247" i="29"/>
  <c r="BE247" i="29"/>
  <c r="BF247" i="29"/>
  <c r="BG247" i="29"/>
  <c r="BH247" i="29"/>
  <c r="BI247" i="29"/>
  <c r="BJ247" i="29"/>
  <c r="BK247" i="29"/>
  <c r="BL247" i="29"/>
  <c r="BM247" i="29"/>
  <c r="BN247" i="29"/>
  <c r="BO247" i="29"/>
  <c r="BP247" i="29"/>
  <c r="BQ247" i="29"/>
  <c r="BR247" i="29"/>
  <c r="BS247" i="29"/>
  <c r="BT247" i="29"/>
  <c r="BU247" i="29"/>
  <c r="BV247" i="29"/>
  <c r="BW247" i="29"/>
  <c r="BX247" i="29"/>
  <c r="BY247" i="29"/>
  <c r="BZ247" i="29"/>
  <c r="CA247" i="29"/>
  <c r="CB247" i="29"/>
  <c r="CC247" i="29"/>
  <c r="CD247" i="29"/>
  <c r="CE247" i="29"/>
  <c r="CF247" i="29"/>
  <c r="CG247" i="29"/>
  <c r="CH247" i="29"/>
  <c r="CI247" i="29"/>
  <c r="CJ247" i="29"/>
  <c r="CK247" i="29"/>
  <c r="CL247" i="29"/>
  <c r="CM247" i="29"/>
  <c r="CN247" i="29"/>
  <c r="CO247" i="29"/>
  <c r="CP247" i="29"/>
  <c r="CQ247" i="29"/>
  <c r="CR247" i="29"/>
  <c r="CS247" i="29"/>
  <c r="CT247" i="29"/>
  <c r="CU247" i="29"/>
  <c r="CV247" i="29"/>
  <c r="CW247" i="29"/>
  <c r="CX247" i="29"/>
  <c r="CY247" i="29"/>
  <c r="CZ247" i="29"/>
  <c r="DA247" i="29"/>
  <c r="DB247" i="29"/>
  <c r="DC247" i="29"/>
  <c r="DD247" i="29"/>
  <c r="DE247" i="29"/>
  <c r="DF247" i="29"/>
  <c r="DG247" i="29"/>
  <c r="DH247" i="29"/>
  <c r="C248" i="29"/>
  <c r="D248" i="29"/>
  <c r="E248" i="29"/>
  <c r="F248" i="29"/>
  <c r="G248" i="29"/>
  <c r="H248" i="29"/>
  <c r="I248" i="29"/>
  <c r="J248" i="29"/>
  <c r="K248" i="29"/>
  <c r="L248" i="29"/>
  <c r="M248" i="29"/>
  <c r="N248" i="29"/>
  <c r="O248" i="29"/>
  <c r="P248" i="29"/>
  <c r="Q248" i="29"/>
  <c r="R248" i="29"/>
  <c r="S248" i="29"/>
  <c r="T248" i="29"/>
  <c r="U248" i="29"/>
  <c r="V248" i="29"/>
  <c r="W248" i="29"/>
  <c r="X248" i="29"/>
  <c r="Y248" i="29"/>
  <c r="Z248" i="29"/>
  <c r="AA248" i="29"/>
  <c r="AB248" i="29"/>
  <c r="AC248" i="29"/>
  <c r="AD248" i="29"/>
  <c r="AE248" i="29"/>
  <c r="AF248" i="29"/>
  <c r="AG248" i="29"/>
  <c r="AH248" i="29"/>
  <c r="AI248" i="29"/>
  <c r="AJ248" i="29"/>
  <c r="AK248" i="29"/>
  <c r="AL248" i="29"/>
  <c r="AM248" i="29"/>
  <c r="AN248" i="29"/>
  <c r="AO248" i="29"/>
  <c r="AP248" i="29"/>
  <c r="AQ248" i="29"/>
  <c r="AR248" i="29"/>
  <c r="AS248" i="29"/>
  <c r="AT248" i="29"/>
  <c r="AU248" i="29"/>
  <c r="AV248" i="29"/>
  <c r="AW248" i="29"/>
  <c r="AX248" i="29"/>
  <c r="AY248" i="29"/>
  <c r="AZ248" i="29"/>
  <c r="BA248" i="29"/>
  <c r="BB248" i="29"/>
  <c r="BC248" i="29"/>
  <c r="BD248" i="29"/>
  <c r="BE248" i="29"/>
  <c r="BF248" i="29"/>
  <c r="BG248" i="29"/>
  <c r="BH248" i="29"/>
  <c r="BI248" i="29"/>
  <c r="BJ248" i="29"/>
  <c r="BK248" i="29"/>
  <c r="BL248" i="29"/>
  <c r="BM248" i="29"/>
  <c r="BN248" i="29"/>
  <c r="BO248" i="29"/>
  <c r="BP248" i="29"/>
  <c r="BQ248" i="29"/>
  <c r="BR248" i="29"/>
  <c r="BS248" i="29"/>
  <c r="BT248" i="29"/>
  <c r="BU248" i="29"/>
  <c r="BV248" i="29"/>
  <c r="BW248" i="29"/>
  <c r="BX248" i="29"/>
  <c r="BY248" i="29"/>
  <c r="BZ248" i="29"/>
  <c r="CA248" i="29"/>
  <c r="CB248" i="29"/>
  <c r="CC248" i="29"/>
  <c r="CD248" i="29"/>
  <c r="CE248" i="29"/>
  <c r="CF248" i="29"/>
  <c r="CG248" i="29"/>
  <c r="CH248" i="29"/>
  <c r="CI248" i="29"/>
  <c r="CJ248" i="29"/>
  <c r="CK248" i="29"/>
  <c r="CL248" i="29"/>
  <c r="CM248" i="29"/>
  <c r="CN248" i="29"/>
  <c r="CO248" i="29"/>
  <c r="CP248" i="29"/>
  <c r="CQ248" i="29"/>
  <c r="CR248" i="29"/>
  <c r="CS248" i="29"/>
  <c r="CT248" i="29"/>
  <c r="CU248" i="29"/>
  <c r="CV248" i="29"/>
  <c r="CW248" i="29"/>
  <c r="CX248" i="29"/>
  <c r="CY248" i="29"/>
  <c r="CZ248" i="29"/>
  <c r="DA248" i="29"/>
  <c r="DB248" i="29"/>
  <c r="DC248" i="29"/>
  <c r="DD248" i="29"/>
  <c r="DE248" i="29"/>
  <c r="DF248" i="29"/>
  <c r="DG248" i="29"/>
  <c r="DH248" i="29"/>
  <c r="C249" i="29"/>
  <c r="D249" i="29"/>
  <c r="E249" i="29"/>
  <c r="F249" i="29"/>
  <c r="G249" i="29"/>
  <c r="H249" i="29"/>
  <c r="I249" i="29"/>
  <c r="J249" i="29"/>
  <c r="K249" i="29"/>
  <c r="L249" i="29"/>
  <c r="M249" i="29"/>
  <c r="N249" i="29"/>
  <c r="O249" i="29"/>
  <c r="P249" i="29"/>
  <c r="Q249" i="29"/>
  <c r="R249" i="29"/>
  <c r="S249" i="29"/>
  <c r="T249" i="29"/>
  <c r="U249" i="29"/>
  <c r="V249" i="29"/>
  <c r="W249" i="29"/>
  <c r="X249" i="29"/>
  <c r="Y249" i="29"/>
  <c r="Z249" i="29"/>
  <c r="AA249" i="29"/>
  <c r="AB249" i="29"/>
  <c r="AC249" i="29"/>
  <c r="AD249" i="29"/>
  <c r="AE249" i="29"/>
  <c r="AF249" i="29"/>
  <c r="AG249" i="29"/>
  <c r="AH249" i="29"/>
  <c r="AI249" i="29"/>
  <c r="AJ249" i="29"/>
  <c r="AK249" i="29"/>
  <c r="AL249" i="29"/>
  <c r="AM249" i="29"/>
  <c r="AN249" i="29"/>
  <c r="AO249" i="29"/>
  <c r="AP249" i="29"/>
  <c r="AQ249" i="29"/>
  <c r="AR249" i="29"/>
  <c r="AS249" i="29"/>
  <c r="AT249" i="29"/>
  <c r="AU249" i="29"/>
  <c r="AV249" i="29"/>
  <c r="AW249" i="29"/>
  <c r="AX249" i="29"/>
  <c r="AY249" i="29"/>
  <c r="AZ249" i="29"/>
  <c r="BA249" i="29"/>
  <c r="BB249" i="29"/>
  <c r="BC249" i="29"/>
  <c r="BD249" i="29"/>
  <c r="BE249" i="29"/>
  <c r="BF249" i="29"/>
  <c r="BG249" i="29"/>
  <c r="BH249" i="29"/>
  <c r="BI249" i="29"/>
  <c r="BJ249" i="29"/>
  <c r="BK249" i="29"/>
  <c r="BL249" i="29"/>
  <c r="BM249" i="29"/>
  <c r="BN249" i="29"/>
  <c r="BO249" i="29"/>
  <c r="BP249" i="29"/>
  <c r="BQ249" i="29"/>
  <c r="BR249" i="29"/>
  <c r="BS249" i="29"/>
  <c r="BT249" i="29"/>
  <c r="BU249" i="29"/>
  <c r="BV249" i="29"/>
  <c r="BW249" i="29"/>
  <c r="BX249" i="29"/>
  <c r="BY249" i="29"/>
  <c r="BZ249" i="29"/>
  <c r="CA249" i="29"/>
  <c r="CB249" i="29"/>
  <c r="CC249" i="29"/>
  <c r="CD249" i="29"/>
  <c r="CE249" i="29"/>
  <c r="CF249" i="29"/>
  <c r="CG249" i="29"/>
  <c r="CH249" i="29"/>
  <c r="CI249" i="29"/>
  <c r="CJ249" i="29"/>
  <c r="CK249" i="29"/>
  <c r="CL249" i="29"/>
  <c r="CM249" i="29"/>
  <c r="CN249" i="29"/>
  <c r="CO249" i="29"/>
  <c r="CP249" i="29"/>
  <c r="CQ249" i="29"/>
  <c r="CR249" i="29"/>
  <c r="CS249" i="29"/>
  <c r="CT249" i="29"/>
  <c r="CU249" i="29"/>
  <c r="CV249" i="29"/>
  <c r="CW249" i="29"/>
  <c r="CX249" i="29"/>
  <c r="CY249" i="29"/>
  <c r="CZ249" i="29"/>
  <c r="DA249" i="29"/>
  <c r="DB249" i="29"/>
  <c r="DC249" i="29"/>
  <c r="DD249" i="29"/>
  <c r="DE249" i="29"/>
  <c r="DF249" i="29"/>
  <c r="DG249" i="29"/>
  <c r="DH249" i="29"/>
  <c r="C250" i="29"/>
  <c r="D250" i="29"/>
  <c r="E250" i="29"/>
  <c r="F250" i="29"/>
  <c r="G250" i="29"/>
  <c r="H250" i="29"/>
  <c r="I250" i="29"/>
  <c r="J250" i="29"/>
  <c r="K250" i="29"/>
  <c r="L250" i="29"/>
  <c r="M250" i="29"/>
  <c r="N250" i="29"/>
  <c r="O250" i="29"/>
  <c r="P250" i="29"/>
  <c r="Q250" i="29"/>
  <c r="R250" i="29"/>
  <c r="S250" i="29"/>
  <c r="T250" i="29"/>
  <c r="U250" i="29"/>
  <c r="V250" i="29"/>
  <c r="W250" i="29"/>
  <c r="X250" i="29"/>
  <c r="Y250" i="29"/>
  <c r="Z250" i="29"/>
  <c r="AA250" i="29"/>
  <c r="AB250" i="29"/>
  <c r="AC250" i="29"/>
  <c r="AD250" i="29"/>
  <c r="AE250" i="29"/>
  <c r="AF250" i="29"/>
  <c r="AG250" i="29"/>
  <c r="AH250" i="29"/>
  <c r="AI250" i="29"/>
  <c r="AJ250" i="29"/>
  <c r="AK250" i="29"/>
  <c r="AL250" i="29"/>
  <c r="AM250" i="29"/>
  <c r="AN250" i="29"/>
  <c r="AO250" i="29"/>
  <c r="AP250" i="29"/>
  <c r="AQ250" i="29"/>
  <c r="AR250" i="29"/>
  <c r="AS250" i="29"/>
  <c r="AT250" i="29"/>
  <c r="AU250" i="29"/>
  <c r="AV250" i="29"/>
  <c r="AW250" i="29"/>
  <c r="AX250" i="29"/>
  <c r="AY250" i="29"/>
  <c r="AZ250" i="29"/>
  <c r="BA250" i="29"/>
  <c r="BB250" i="29"/>
  <c r="BC250" i="29"/>
  <c r="BD250" i="29"/>
  <c r="BE250" i="29"/>
  <c r="BF250" i="29"/>
  <c r="BG250" i="29"/>
  <c r="BH250" i="29"/>
  <c r="BI250" i="29"/>
  <c r="BJ250" i="29"/>
  <c r="BK250" i="29"/>
  <c r="BL250" i="29"/>
  <c r="BM250" i="29"/>
  <c r="BN250" i="29"/>
  <c r="BO250" i="29"/>
  <c r="BP250" i="29"/>
  <c r="BQ250" i="29"/>
  <c r="BR250" i="29"/>
  <c r="BS250" i="29"/>
  <c r="BT250" i="29"/>
  <c r="BU250" i="29"/>
  <c r="BV250" i="29"/>
  <c r="BW250" i="29"/>
  <c r="BX250" i="29"/>
  <c r="BY250" i="29"/>
  <c r="BZ250" i="29"/>
  <c r="CA250" i="29"/>
  <c r="CB250" i="29"/>
  <c r="CC250" i="29"/>
  <c r="CD250" i="29"/>
  <c r="CE250" i="29"/>
  <c r="CF250" i="29"/>
  <c r="CG250" i="29"/>
  <c r="CH250" i="29"/>
  <c r="CI250" i="29"/>
  <c r="CJ250" i="29"/>
  <c r="CK250" i="29"/>
  <c r="CL250" i="29"/>
  <c r="CM250" i="29"/>
  <c r="CN250" i="29"/>
  <c r="CO250" i="29"/>
  <c r="CP250" i="29"/>
  <c r="CQ250" i="29"/>
  <c r="CR250" i="29"/>
  <c r="CS250" i="29"/>
  <c r="CT250" i="29"/>
  <c r="CU250" i="29"/>
  <c r="CV250" i="29"/>
  <c r="CW250" i="29"/>
  <c r="CX250" i="29"/>
  <c r="CY250" i="29"/>
  <c r="CZ250" i="29"/>
  <c r="DA250" i="29"/>
  <c r="DB250" i="29"/>
  <c r="DC250" i="29"/>
  <c r="DD250" i="29"/>
  <c r="DE250" i="29"/>
  <c r="DF250" i="29"/>
  <c r="DG250" i="29"/>
  <c r="DH250" i="29"/>
  <c r="C251" i="29"/>
  <c r="D251" i="29"/>
  <c r="E251" i="29"/>
  <c r="F251" i="29"/>
  <c r="G251" i="29"/>
  <c r="H251" i="29"/>
  <c r="I251" i="29"/>
  <c r="J251" i="29"/>
  <c r="K251" i="29"/>
  <c r="L251" i="29"/>
  <c r="M251" i="29"/>
  <c r="N251" i="29"/>
  <c r="O251" i="29"/>
  <c r="P251" i="29"/>
  <c r="Q251" i="29"/>
  <c r="R251" i="29"/>
  <c r="S251" i="29"/>
  <c r="T251" i="29"/>
  <c r="U251" i="29"/>
  <c r="V251" i="29"/>
  <c r="W251" i="29"/>
  <c r="X251" i="29"/>
  <c r="Y251" i="29"/>
  <c r="Z251" i="29"/>
  <c r="AA251" i="29"/>
  <c r="AB251" i="29"/>
  <c r="AC251" i="29"/>
  <c r="AD251" i="29"/>
  <c r="AE251" i="29"/>
  <c r="AF251" i="29"/>
  <c r="AG251" i="29"/>
  <c r="AH251" i="29"/>
  <c r="AI251" i="29"/>
  <c r="AJ251" i="29"/>
  <c r="AK251" i="29"/>
  <c r="AL251" i="29"/>
  <c r="AM251" i="29"/>
  <c r="AN251" i="29"/>
  <c r="AO251" i="29"/>
  <c r="AP251" i="29"/>
  <c r="AQ251" i="29"/>
  <c r="AR251" i="29"/>
  <c r="AS251" i="29"/>
  <c r="AT251" i="29"/>
  <c r="AU251" i="29"/>
  <c r="AV251" i="29"/>
  <c r="AW251" i="29"/>
  <c r="AX251" i="29"/>
  <c r="AY251" i="29"/>
  <c r="AZ251" i="29"/>
  <c r="BA251" i="29"/>
  <c r="BB251" i="29"/>
  <c r="BC251" i="29"/>
  <c r="BD251" i="29"/>
  <c r="BE251" i="29"/>
  <c r="BF251" i="29"/>
  <c r="BG251" i="29"/>
  <c r="BH251" i="29"/>
  <c r="BI251" i="29"/>
  <c r="BJ251" i="29"/>
  <c r="BK251" i="29"/>
  <c r="BL251" i="29"/>
  <c r="BM251" i="29"/>
  <c r="BN251" i="29"/>
  <c r="BO251" i="29"/>
  <c r="BP251" i="29"/>
  <c r="BQ251" i="29"/>
  <c r="BR251" i="29"/>
  <c r="BS251" i="29"/>
  <c r="BT251" i="29"/>
  <c r="BU251" i="29"/>
  <c r="BV251" i="29"/>
  <c r="BW251" i="29"/>
  <c r="BX251" i="29"/>
  <c r="BY251" i="29"/>
  <c r="BZ251" i="29"/>
  <c r="CA251" i="29"/>
  <c r="CB251" i="29"/>
  <c r="CC251" i="29"/>
  <c r="CD251" i="29"/>
  <c r="CE251" i="29"/>
  <c r="CF251" i="29"/>
  <c r="CG251" i="29"/>
  <c r="CH251" i="29"/>
  <c r="CI251" i="29"/>
  <c r="CJ251" i="29"/>
  <c r="CK251" i="29"/>
  <c r="CL251" i="29"/>
  <c r="CM251" i="29"/>
  <c r="CN251" i="29"/>
  <c r="CO251" i="29"/>
  <c r="CP251" i="29"/>
  <c r="CQ251" i="29"/>
  <c r="CR251" i="29"/>
  <c r="CS251" i="29"/>
  <c r="CT251" i="29"/>
  <c r="CU251" i="29"/>
  <c r="CV251" i="29"/>
  <c r="CW251" i="29"/>
  <c r="CX251" i="29"/>
  <c r="CY251" i="29"/>
  <c r="CZ251" i="29"/>
  <c r="DA251" i="29"/>
  <c r="DB251" i="29"/>
  <c r="DC251" i="29"/>
  <c r="DD251" i="29"/>
  <c r="DE251" i="29"/>
  <c r="DF251" i="29"/>
  <c r="DG251" i="29"/>
  <c r="DH251" i="29"/>
  <c r="C252" i="29"/>
  <c r="D252" i="29"/>
  <c r="E252" i="29"/>
  <c r="F252" i="29"/>
  <c r="G252" i="29"/>
  <c r="H252" i="29"/>
  <c r="I252" i="29"/>
  <c r="J252" i="29"/>
  <c r="K252" i="29"/>
  <c r="L252" i="29"/>
  <c r="M252" i="29"/>
  <c r="N252" i="29"/>
  <c r="O252" i="29"/>
  <c r="P252" i="29"/>
  <c r="Q252" i="29"/>
  <c r="R252" i="29"/>
  <c r="S252" i="29"/>
  <c r="T252" i="29"/>
  <c r="U252" i="29"/>
  <c r="V252" i="29"/>
  <c r="W252" i="29"/>
  <c r="X252" i="29"/>
  <c r="Y252" i="29"/>
  <c r="Z252" i="29"/>
  <c r="AA252" i="29"/>
  <c r="AB252" i="29"/>
  <c r="AC252" i="29"/>
  <c r="AD252" i="29"/>
  <c r="AE252" i="29"/>
  <c r="AF252" i="29"/>
  <c r="AG252" i="29"/>
  <c r="AH252" i="29"/>
  <c r="AI252" i="29"/>
  <c r="AJ252" i="29"/>
  <c r="AK252" i="29"/>
  <c r="AL252" i="29"/>
  <c r="AM252" i="29"/>
  <c r="AN252" i="29"/>
  <c r="AO252" i="29"/>
  <c r="AP252" i="29"/>
  <c r="AQ252" i="29"/>
  <c r="AR252" i="29"/>
  <c r="AS252" i="29"/>
  <c r="AT252" i="29"/>
  <c r="AU252" i="29"/>
  <c r="AV252" i="29"/>
  <c r="AW252" i="29"/>
  <c r="AX252" i="29"/>
  <c r="AY252" i="29"/>
  <c r="AZ252" i="29"/>
  <c r="BA252" i="29"/>
  <c r="BB252" i="29"/>
  <c r="BC252" i="29"/>
  <c r="BD252" i="29"/>
  <c r="BE252" i="29"/>
  <c r="BF252" i="29"/>
  <c r="BG252" i="29"/>
  <c r="BH252" i="29"/>
  <c r="BI252" i="29"/>
  <c r="BJ252" i="29"/>
  <c r="BK252" i="29"/>
  <c r="BL252" i="29"/>
  <c r="BM252" i="29"/>
  <c r="BN252" i="29"/>
  <c r="BO252" i="29"/>
  <c r="BP252" i="29"/>
  <c r="BQ252" i="29"/>
  <c r="BR252" i="29"/>
  <c r="BS252" i="29"/>
  <c r="BT252" i="29"/>
  <c r="BU252" i="29"/>
  <c r="BV252" i="29"/>
  <c r="BW252" i="29"/>
  <c r="BX252" i="29"/>
  <c r="BY252" i="29"/>
  <c r="BZ252" i="29"/>
  <c r="CA252" i="29"/>
  <c r="CB252" i="29"/>
  <c r="CC252" i="29"/>
  <c r="CD252" i="29"/>
  <c r="CE252" i="29"/>
  <c r="CF252" i="29"/>
  <c r="CG252" i="29"/>
  <c r="CH252" i="29"/>
  <c r="CI252" i="29"/>
  <c r="CJ252" i="29"/>
  <c r="CK252" i="29"/>
  <c r="CL252" i="29"/>
  <c r="CM252" i="29"/>
  <c r="CN252" i="29"/>
  <c r="CO252" i="29"/>
  <c r="CP252" i="29"/>
  <c r="CQ252" i="29"/>
  <c r="CR252" i="29"/>
  <c r="CS252" i="29"/>
  <c r="CT252" i="29"/>
  <c r="CU252" i="29"/>
  <c r="CV252" i="29"/>
  <c r="CW252" i="29"/>
  <c r="CX252" i="29"/>
  <c r="CY252" i="29"/>
  <c r="CZ252" i="29"/>
  <c r="DA252" i="29"/>
  <c r="DB252" i="29"/>
  <c r="DC252" i="29"/>
  <c r="DD252" i="29"/>
  <c r="DE252" i="29"/>
  <c r="DF252" i="29"/>
  <c r="DG252" i="29"/>
  <c r="DH252" i="29"/>
  <c r="C253" i="29"/>
  <c r="D253" i="29"/>
  <c r="E253" i="29"/>
  <c r="F253" i="29"/>
  <c r="G253" i="29"/>
  <c r="H253" i="29"/>
  <c r="I253" i="29"/>
  <c r="J253" i="29"/>
  <c r="K253" i="29"/>
  <c r="L253" i="29"/>
  <c r="M253" i="29"/>
  <c r="N253" i="29"/>
  <c r="O253" i="29"/>
  <c r="P253" i="29"/>
  <c r="Q253" i="29"/>
  <c r="R253" i="29"/>
  <c r="S253" i="29"/>
  <c r="T253" i="29"/>
  <c r="U253" i="29"/>
  <c r="V253" i="29"/>
  <c r="W253" i="29"/>
  <c r="X253" i="29"/>
  <c r="Y253" i="29"/>
  <c r="Z253" i="29"/>
  <c r="AA253" i="29"/>
  <c r="AB253" i="29"/>
  <c r="AC253" i="29"/>
  <c r="AD253" i="29"/>
  <c r="AE253" i="29"/>
  <c r="AF253" i="29"/>
  <c r="AG253" i="29"/>
  <c r="AH253" i="29"/>
  <c r="AI253" i="29"/>
  <c r="AJ253" i="29"/>
  <c r="AK253" i="29"/>
  <c r="AL253" i="29"/>
  <c r="AM253" i="29"/>
  <c r="AN253" i="29"/>
  <c r="AO253" i="29"/>
  <c r="AP253" i="29"/>
  <c r="AQ253" i="29"/>
  <c r="AR253" i="29"/>
  <c r="AS253" i="29"/>
  <c r="AT253" i="29"/>
  <c r="AU253" i="29"/>
  <c r="AV253" i="29"/>
  <c r="AW253" i="29"/>
  <c r="AX253" i="29"/>
  <c r="AY253" i="29"/>
  <c r="AZ253" i="29"/>
  <c r="BA253" i="29"/>
  <c r="BB253" i="29"/>
  <c r="BC253" i="29"/>
  <c r="BD253" i="29"/>
  <c r="BE253" i="29"/>
  <c r="BF253" i="29"/>
  <c r="BG253" i="29"/>
  <c r="BH253" i="29"/>
  <c r="BI253" i="29"/>
  <c r="BJ253" i="29"/>
  <c r="BK253" i="29"/>
  <c r="BL253" i="29"/>
  <c r="BM253" i="29"/>
  <c r="BN253" i="29"/>
  <c r="BO253" i="29"/>
  <c r="BP253" i="29"/>
  <c r="BQ253" i="29"/>
  <c r="BR253" i="29"/>
  <c r="BS253" i="29"/>
  <c r="BT253" i="29"/>
  <c r="BU253" i="29"/>
  <c r="BV253" i="29"/>
  <c r="BW253" i="29"/>
  <c r="BX253" i="29"/>
  <c r="BY253" i="29"/>
  <c r="BZ253" i="29"/>
  <c r="CA253" i="29"/>
  <c r="CB253" i="29"/>
  <c r="CC253" i="29"/>
  <c r="CD253" i="29"/>
  <c r="CE253" i="29"/>
  <c r="CF253" i="29"/>
  <c r="CG253" i="29"/>
  <c r="CH253" i="29"/>
  <c r="CI253" i="29"/>
  <c r="CJ253" i="29"/>
  <c r="CK253" i="29"/>
  <c r="CL253" i="29"/>
  <c r="CM253" i="29"/>
  <c r="CN253" i="29"/>
  <c r="CO253" i="29"/>
  <c r="CP253" i="29"/>
  <c r="CQ253" i="29"/>
  <c r="CR253" i="29"/>
  <c r="CS253" i="29"/>
  <c r="CT253" i="29"/>
  <c r="CU253" i="29"/>
  <c r="CV253" i="29"/>
  <c r="CW253" i="29"/>
  <c r="CX253" i="29"/>
  <c r="CY253" i="29"/>
  <c r="CZ253" i="29"/>
  <c r="DA253" i="29"/>
  <c r="DB253" i="29"/>
  <c r="DC253" i="29"/>
  <c r="DD253" i="29"/>
  <c r="DE253" i="29"/>
  <c r="DF253" i="29"/>
  <c r="DG253" i="29"/>
  <c r="DH253" i="29"/>
  <c r="C254" i="29"/>
  <c r="D254" i="29"/>
  <c r="E254" i="29"/>
  <c r="F254" i="29"/>
  <c r="G254" i="29"/>
  <c r="H254" i="29"/>
  <c r="I254" i="29"/>
  <c r="J254" i="29"/>
  <c r="K254" i="29"/>
  <c r="L254" i="29"/>
  <c r="M254" i="29"/>
  <c r="N254" i="29"/>
  <c r="O254" i="29"/>
  <c r="P254" i="29"/>
  <c r="Q254" i="29"/>
  <c r="R254" i="29"/>
  <c r="S254" i="29"/>
  <c r="T254" i="29"/>
  <c r="U254" i="29"/>
  <c r="V254" i="29"/>
  <c r="W254" i="29"/>
  <c r="X254" i="29"/>
  <c r="Y254" i="29"/>
  <c r="Z254" i="29"/>
  <c r="AA254" i="29"/>
  <c r="AB254" i="29"/>
  <c r="AC254" i="29"/>
  <c r="AD254" i="29"/>
  <c r="AE254" i="29"/>
  <c r="AF254" i="29"/>
  <c r="AG254" i="29"/>
  <c r="AH254" i="29"/>
  <c r="AI254" i="29"/>
  <c r="AJ254" i="29"/>
  <c r="AK254" i="29"/>
  <c r="AL254" i="29"/>
  <c r="AM254" i="29"/>
  <c r="AN254" i="29"/>
  <c r="AO254" i="29"/>
  <c r="AP254" i="29"/>
  <c r="AQ254" i="29"/>
  <c r="AR254" i="29"/>
  <c r="AS254" i="29"/>
  <c r="AT254" i="29"/>
  <c r="AU254" i="29"/>
  <c r="AV254" i="29"/>
  <c r="AW254" i="29"/>
  <c r="AX254" i="29"/>
  <c r="AY254" i="29"/>
  <c r="AZ254" i="29"/>
  <c r="BA254" i="29"/>
  <c r="BB254" i="29"/>
  <c r="BC254" i="29"/>
  <c r="BD254" i="29"/>
  <c r="BE254" i="29"/>
  <c r="BF254" i="29"/>
  <c r="BG254" i="29"/>
  <c r="BH254" i="29"/>
  <c r="BI254" i="29"/>
  <c r="BJ254" i="29"/>
  <c r="BK254" i="29"/>
  <c r="BL254" i="29"/>
  <c r="BM254" i="29"/>
  <c r="BN254" i="29"/>
  <c r="BO254" i="29"/>
  <c r="BP254" i="29"/>
  <c r="BQ254" i="29"/>
  <c r="BR254" i="29"/>
  <c r="BS254" i="29"/>
  <c r="BT254" i="29"/>
  <c r="BU254" i="29"/>
  <c r="BV254" i="29"/>
  <c r="BW254" i="29"/>
  <c r="BX254" i="29"/>
  <c r="BY254" i="29"/>
  <c r="BZ254" i="29"/>
  <c r="CA254" i="29"/>
  <c r="CB254" i="29"/>
  <c r="CC254" i="29"/>
  <c r="CD254" i="29"/>
  <c r="CE254" i="29"/>
  <c r="CF254" i="29"/>
  <c r="CG254" i="29"/>
  <c r="CH254" i="29"/>
  <c r="CI254" i="29"/>
  <c r="CJ254" i="29"/>
  <c r="CK254" i="29"/>
  <c r="CL254" i="29"/>
  <c r="CM254" i="29"/>
  <c r="CN254" i="29"/>
  <c r="CO254" i="29"/>
  <c r="CP254" i="29"/>
  <c r="CQ254" i="29"/>
  <c r="CR254" i="29"/>
  <c r="CS254" i="29"/>
  <c r="CT254" i="29"/>
  <c r="CU254" i="29"/>
  <c r="CV254" i="29"/>
  <c r="CW254" i="29"/>
  <c r="CX254" i="29"/>
  <c r="CY254" i="29"/>
  <c r="CZ254" i="29"/>
  <c r="DA254" i="29"/>
  <c r="DB254" i="29"/>
  <c r="DC254" i="29"/>
  <c r="DD254" i="29"/>
  <c r="DE254" i="29"/>
  <c r="DF254" i="29"/>
  <c r="DG254" i="29"/>
  <c r="DH254" i="29"/>
  <c r="C255" i="29"/>
  <c r="D255" i="29"/>
  <c r="E255" i="29"/>
  <c r="F255" i="29"/>
  <c r="G255" i="29"/>
  <c r="H255" i="29"/>
  <c r="I255" i="29"/>
  <c r="J255" i="29"/>
  <c r="K255" i="29"/>
  <c r="L255" i="29"/>
  <c r="M255" i="29"/>
  <c r="N255" i="29"/>
  <c r="O255" i="29"/>
  <c r="P255" i="29"/>
  <c r="Q255" i="29"/>
  <c r="R255" i="29"/>
  <c r="S255" i="29"/>
  <c r="T255" i="29"/>
  <c r="U255" i="29"/>
  <c r="V255" i="29"/>
  <c r="W255" i="29"/>
  <c r="X255" i="29"/>
  <c r="Y255" i="29"/>
  <c r="Z255" i="29"/>
  <c r="AA255" i="29"/>
  <c r="AB255" i="29"/>
  <c r="AC255" i="29"/>
  <c r="AD255" i="29"/>
  <c r="AE255" i="29"/>
  <c r="AF255" i="29"/>
  <c r="AG255" i="29"/>
  <c r="AH255" i="29"/>
  <c r="AI255" i="29"/>
  <c r="AJ255" i="29"/>
  <c r="AK255" i="29"/>
  <c r="AL255" i="29"/>
  <c r="AM255" i="29"/>
  <c r="AN255" i="29"/>
  <c r="AO255" i="29"/>
  <c r="AP255" i="29"/>
  <c r="AQ255" i="29"/>
  <c r="AR255" i="29"/>
  <c r="AS255" i="29"/>
  <c r="AT255" i="29"/>
  <c r="AU255" i="29"/>
  <c r="AV255" i="29"/>
  <c r="AW255" i="29"/>
  <c r="AX255" i="29"/>
  <c r="AY255" i="29"/>
  <c r="AZ255" i="29"/>
  <c r="BA255" i="29"/>
  <c r="BB255" i="29"/>
  <c r="BC255" i="29"/>
  <c r="BD255" i="29"/>
  <c r="BE255" i="29"/>
  <c r="BF255" i="29"/>
  <c r="BG255" i="29"/>
  <c r="BH255" i="29"/>
  <c r="BI255" i="29"/>
  <c r="BJ255" i="29"/>
  <c r="BK255" i="29"/>
  <c r="BL255" i="29"/>
  <c r="BM255" i="29"/>
  <c r="BN255" i="29"/>
  <c r="BO255" i="29"/>
  <c r="BP255" i="29"/>
  <c r="BQ255" i="29"/>
  <c r="BR255" i="29"/>
  <c r="BS255" i="29"/>
  <c r="BT255" i="29"/>
  <c r="BU255" i="29"/>
  <c r="BV255" i="29"/>
  <c r="BW255" i="29"/>
  <c r="BX255" i="29"/>
  <c r="BY255" i="29"/>
  <c r="BZ255" i="29"/>
  <c r="CA255" i="29"/>
  <c r="CB255" i="29"/>
  <c r="CC255" i="29"/>
  <c r="CD255" i="29"/>
  <c r="CE255" i="29"/>
  <c r="CF255" i="29"/>
  <c r="CG255" i="29"/>
  <c r="CH255" i="29"/>
  <c r="CI255" i="29"/>
  <c r="CJ255" i="29"/>
  <c r="CK255" i="29"/>
  <c r="CL255" i="29"/>
  <c r="CM255" i="29"/>
  <c r="CN255" i="29"/>
  <c r="CO255" i="29"/>
  <c r="CP255" i="29"/>
  <c r="CQ255" i="29"/>
  <c r="CR255" i="29"/>
  <c r="CS255" i="29"/>
  <c r="CT255" i="29"/>
  <c r="CU255" i="29"/>
  <c r="CV255" i="29"/>
  <c r="CW255" i="29"/>
  <c r="CX255" i="29"/>
  <c r="CY255" i="29"/>
  <c r="CZ255" i="29"/>
  <c r="DA255" i="29"/>
  <c r="DB255" i="29"/>
  <c r="DC255" i="29"/>
  <c r="DD255" i="29"/>
  <c r="DE255" i="29"/>
  <c r="DF255" i="29"/>
  <c r="DG255" i="29"/>
  <c r="DH255" i="29"/>
  <c r="C256" i="29"/>
  <c r="D256" i="29"/>
  <c r="E256" i="29"/>
  <c r="F256" i="29"/>
  <c r="G256" i="29"/>
  <c r="H256" i="29"/>
  <c r="I256" i="29"/>
  <c r="J256" i="29"/>
  <c r="K256" i="29"/>
  <c r="L256" i="29"/>
  <c r="M256" i="29"/>
  <c r="N256" i="29"/>
  <c r="O256" i="29"/>
  <c r="P256" i="29"/>
  <c r="Q256" i="29"/>
  <c r="R256" i="29"/>
  <c r="S256" i="29"/>
  <c r="T256" i="29"/>
  <c r="U256" i="29"/>
  <c r="V256" i="29"/>
  <c r="W256" i="29"/>
  <c r="X256" i="29"/>
  <c r="Y256" i="29"/>
  <c r="Z256" i="29"/>
  <c r="AA256" i="29"/>
  <c r="AB256" i="29"/>
  <c r="AC256" i="29"/>
  <c r="AD256" i="29"/>
  <c r="AE256" i="29"/>
  <c r="AF256" i="29"/>
  <c r="AG256" i="29"/>
  <c r="AH256" i="29"/>
  <c r="AI256" i="29"/>
  <c r="AJ256" i="29"/>
  <c r="AK256" i="29"/>
  <c r="AL256" i="29"/>
  <c r="AM256" i="29"/>
  <c r="AN256" i="29"/>
  <c r="AO256" i="29"/>
  <c r="AP256" i="29"/>
  <c r="AQ256" i="29"/>
  <c r="AR256" i="29"/>
  <c r="AS256" i="29"/>
  <c r="AT256" i="29"/>
  <c r="AU256" i="29"/>
  <c r="AV256" i="29"/>
  <c r="AW256" i="29"/>
  <c r="AX256" i="29"/>
  <c r="AY256" i="29"/>
  <c r="AZ256" i="29"/>
  <c r="BA256" i="29"/>
  <c r="BB256" i="29"/>
  <c r="BC256" i="29"/>
  <c r="BD256" i="29"/>
  <c r="BE256" i="29"/>
  <c r="BF256" i="29"/>
  <c r="BG256" i="29"/>
  <c r="BH256" i="29"/>
  <c r="BI256" i="29"/>
  <c r="BJ256" i="29"/>
  <c r="BK256" i="29"/>
  <c r="BL256" i="29"/>
  <c r="BM256" i="29"/>
  <c r="BN256" i="29"/>
  <c r="BO256" i="29"/>
  <c r="BP256" i="29"/>
  <c r="BQ256" i="29"/>
  <c r="BR256" i="29"/>
  <c r="BS256" i="29"/>
  <c r="BT256" i="29"/>
  <c r="BU256" i="29"/>
  <c r="BV256" i="29"/>
  <c r="BW256" i="29"/>
  <c r="BX256" i="29"/>
  <c r="BY256" i="29"/>
  <c r="BZ256" i="29"/>
  <c r="CA256" i="29"/>
  <c r="CB256" i="29"/>
  <c r="CC256" i="29"/>
  <c r="CD256" i="29"/>
  <c r="CE256" i="29"/>
  <c r="CF256" i="29"/>
  <c r="CG256" i="29"/>
  <c r="CH256" i="29"/>
  <c r="CI256" i="29"/>
  <c r="CJ256" i="29"/>
  <c r="CK256" i="29"/>
  <c r="CL256" i="29"/>
  <c r="CM256" i="29"/>
  <c r="CN256" i="29"/>
  <c r="CO256" i="29"/>
  <c r="CP256" i="29"/>
  <c r="CQ256" i="29"/>
  <c r="CR256" i="29"/>
  <c r="CS256" i="29"/>
  <c r="CT256" i="29"/>
  <c r="CU256" i="29"/>
  <c r="CV256" i="29"/>
  <c r="CW256" i="29"/>
  <c r="CX256" i="29"/>
  <c r="CY256" i="29"/>
  <c r="CZ256" i="29"/>
  <c r="DA256" i="29"/>
  <c r="DB256" i="29"/>
  <c r="DC256" i="29"/>
  <c r="DD256" i="29"/>
  <c r="DE256" i="29"/>
  <c r="DF256" i="29"/>
  <c r="DG256" i="29"/>
  <c r="DH256" i="29"/>
  <c r="C257" i="29"/>
  <c r="D257" i="29"/>
  <c r="E257" i="29"/>
  <c r="F257" i="29"/>
  <c r="G257" i="29"/>
  <c r="H257" i="29"/>
  <c r="I257" i="29"/>
  <c r="J257" i="29"/>
  <c r="K257" i="29"/>
  <c r="L257" i="29"/>
  <c r="M257" i="29"/>
  <c r="N257" i="29"/>
  <c r="O257" i="29"/>
  <c r="P257" i="29"/>
  <c r="Q257" i="29"/>
  <c r="R257" i="29"/>
  <c r="S257" i="29"/>
  <c r="T257" i="29"/>
  <c r="U257" i="29"/>
  <c r="V257" i="29"/>
  <c r="W257" i="29"/>
  <c r="X257" i="29"/>
  <c r="Y257" i="29"/>
  <c r="Z257" i="29"/>
  <c r="AA257" i="29"/>
  <c r="AB257" i="29"/>
  <c r="AC257" i="29"/>
  <c r="AD257" i="29"/>
  <c r="AE257" i="29"/>
  <c r="AF257" i="29"/>
  <c r="AG257" i="29"/>
  <c r="AH257" i="29"/>
  <c r="AI257" i="29"/>
  <c r="AJ257" i="29"/>
  <c r="AK257" i="29"/>
  <c r="AL257" i="29"/>
  <c r="AM257" i="29"/>
  <c r="AN257" i="29"/>
  <c r="AO257" i="29"/>
  <c r="AP257" i="29"/>
  <c r="AQ257" i="29"/>
  <c r="AR257" i="29"/>
  <c r="AS257" i="29"/>
  <c r="AT257" i="29"/>
  <c r="AU257" i="29"/>
  <c r="AV257" i="29"/>
  <c r="AW257" i="29"/>
  <c r="AX257" i="29"/>
  <c r="AY257" i="29"/>
  <c r="AZ257" i="29"/>
  <c r="BA257" i="29"/>
  <c r="BB257" i="29"/>
  <c r="BC257" i="29"/>
  <c r="BD257" i="29"/>
  <c r="BE257" i="29"/>
  <c r="BF257" i="29"/>
  <c r="BG257" i="29"/>
  <c r="BH257" i="29"/>
  <c r="BI257" i="29"/>
  <c r="BJ257" i="29"/>
  <c r="BK257" i="29"/>
  <c r="BL257" i="29"/>
  <c r="BM257" i="29"/>
  <c r="BN257" i="29"/>
  <c r="BO257" i="29"/>
  <c r="BP257" i="29"/>
  <c r="BQ257" i="29"/>
  <c r="BR257" i="29"/>
  <c r="BS257" i="29"/>
  <c r="BT257" i="29"/>
  <c r="BU257" i="29"/>
  <c r="BV257" i="29"/>
  <c r="BW257" i="29"/>
  <c r="BX257" i="29"/>
  <c r="BY257" i="29"/>
  <c r="BZ257" i="29"/>
  <c r="CA257" i="29"/>
  <c r="CB257" i="29"/>
  <c r="CC257" i="29"/>
  <c r="CD257" i="29"/>
  <c r="CE257" i="29"/>
  <c r="CF257" i="29"/>
  <c r="CG257" i="29"/>
  <c r="CH257" i="29"/>
  <c r="CI257" i="29"/>
  <c r="CJ257" i="29"/>
  <c r="CK257" i="29"/>
  <c r="CL257" i="29"/>
  <c r="CM257" i="29"/>
  <c r="CN257" i="29"/>
  <c r="CO257" i="29"/>
  <c r="CP257" i="29"/>
  <c r="CQ257" i="29"/>
  <c r="CR257" i="29"/>
  <c r="CS257" i="29"/>
  <c r="CT257" i="29"/>
  <c r="CU257" i="29"/>
  <c r="CV257" i="29"/>
  <c r="CW257" i="29"/>
  <c r="CX257" i="29"/>
  <c r="CY257" i="29"/>
  <c r="CZ257" i="29"/>
  <c r="DA257" i="29"/>
  <c r="DB257" i="29"/>
  <c r="DC257" i="29"/>
  <c r="DD257" i="29"/>
  <c r="DE257" i="29"/>
  <c r="DF257" i="29"/>
  <c r="DG257" i="29"/>
  <c r="DH257" i="29"/>
  <c r="C258" i="29"/>
  <c r="D258" i="29"/>
  <c r="E258" i="29"/>
  <c r="F258" i="29"/>
  <c r="G258" i="29"/>
  <c r="H258" i="29"/>
  <c r="I258" i="29"/>
  <c r="J258" i="29"/>
  <c r="K258" i="29"/>
  <c r="L258" i="29"/>
  <c r="M258" i="29"/>
  <c r="N258" i="29"/>
  <c r="O258" i="29"/>
  <c r="P258" i="29"/>
  <c r="Q258" i="29"/>
  <c r="R258" i="29"/>
  <c r="S258" i="29"/>
  <c r="T258" i="29"/>
  <c r="U258" i="29"/>
  <c r="V258" i="29"/>
  <c r="W258" i="29"/>
  <c r="X258" i="29"/>
  <c r="Y258" i="29"/>
  <c r="Z258" i="29"/>
  <c r="AA258" i="29"/>
  <c r="AB258" i="29"/>
  <c r="AC258" i="29"/>
  <c r="AD258" i="29"/>
  <c r="AE258" i="29"/>
  <c r="AF258" i="29"/>
  <c r="AG258" i="29"/>
  <c r="AH258" i="29"/>
  <c r="AI258" i="29"/>
  <c r="AJ258" i="29"/>
  <c r="AK258" i="29"/>
  <c r="AL258" i="29"/>
  <c r="AM258" i="29"/>
  <c r="AN258" i="29"/>
  <c r="AO258" i="29"/>
  <c r="AP258" i="29"/>
  <c r="AQ258" i="29"/>
  <c r="AR258" i="29"/>
  <c r="AS258" i="29"/>
  <c r="AT258" i="29"/>
  <c r="AU258" i="29"/>
  <c r="AV258" i="29"/>
  <c r="AW258" i="29"/>
  <c r="AX258" i="29"/>
  <c r="AY258" i="29"/>
  <c r="AZ258" i="29"/>
  <c r="BA258" i="29"/>
  <c r="BB258" i="29"/>
  <c r="BC258" i="29"/>
  <c r="BD258" i="29"/>
  <c r="BE258" i="29"/>
  <c r="BF258" i="29"/>
  <c r="BG258" i="29"/>
  <c r="BH258" i="29"/>
  <c r="BI258" i="29"/>
  <c r="BJ258" i="29"/>
  <c r="BK258" i="29"/>
  <c r="BL258" i="29"/>
  <c r="BM258" i="29"/>
  <c r="BN258" i="29"/>
  <c r="BO258" i="29"/>
  <c r="BP258" i="29"/>
  <c r="BQ258" i="29"/>
  <c r="BR258" i="29"/>
  <c r="BS258" i="29"/>
  <c r="BT258" i="29"/>
  <c r="BU258" i="29"/>
  <c r="BV258" i="29"/>
  <c r="BW258" i="29"/>
  <c r="BX258" i="29"/>
  <c r="BY258" i="29"/>
  <c r="BZ258" i="29"/>
  <c r="CA258" i="29"/>
  <c r="CB258" i="29"/>
  <c r="CC258" i="29"/>
  <c r="CD258" i="29"/>
  <c r="CE258" i="29"/>
  <c r="CF258" i="29"/>
  <c r="CG258" i="29"/>
  <c r="CH258" i="29"/>
  <c r="CI258" i="29"/>
  <c r="CJ258" i="29"/>
  <c r="CK258" i="29"/>
  <c r="CL258" i="29"/>
  <c r="CM258" i="29"/>
  <c r="CN258" i="29"/>
  <c r="CO258" i="29"/>
  <c r="CP258" i="29"/>
  <c r="CQ258" i="29"/>
  <c r="CR258" i="29"/>
  <c r="CS258" i="29"/>
  <c r="CT258" i="29"/>
  <c r="CU258" i="29"/>
  <c r="CV258" i="29"/>
  <c r="CW258" i="29"/>
  <c r="CX258" i="29"/>
  <c r="CY258" i="29"/>
  <c r="CZ258" i="29"/>
  <c r="DA258" i="29"/>
  <c r="DB258" i="29"/>
  <c r="DC258" i="29"/>
  <c r="DD258" i="29"/>
  <c r="DE258" i="29"/>
  <c r="DF258" i="29"/>
  <c r="DG258" i="29"/>
  <c r="DH258" i="29"/>
  <c r="C259" i="29"/>
  <c r="D259" i="29"/>
  <c r="E259" i="29"/>
  <c r="F259" i="29"/>
  <c r="G259" i="29"/>
  <c r="H259" i="29"/>
  <c r="I259" i="29"/>
  <c r="J259" i="29"/>
  <c r="K259" i="29"/>
  <c r="L259" i="29"/>
  <c r="M259" i="29"/>
  <c r="N259" i="29"/>
  <c r="O259" i="29"/>
  <c r="P259" i="29"/>
  <c r="Q259" i="29"/>
  <c r="R259" i="29"/>
  <c r="S259" i="29"/>
  <c r="T259" i="29"/>
  <c r="U259" i="29"/>
  <c r="V259" i="29"/>
  <c r="W259" i="29"/>
  <c r="X259" i="29"/>
  <c r="Y259" i="29"/>
  <c r="Z259" i="29"/>
  <c r="AA259" i="29"/>
  <c r="AB259" i="29"/>
  <c r="AC259" i="29"/>
  <c r="AD259" i="29"/>
  <c r="AE259" i="29"/>
  <c r="AF259" i="29"/>
  <c r="AG259" i="29"/>
  <c r="AH259" i="29"/>
  <c r="AI259" i="29"/>
  <c r="AJ259" i="29"/>
  <c r="AK259" i="29"/>
  <c r="AL259" i="29"/>
  <c r="AM259" i="29"/>
  <c r="AN259" i="29"/>
  <c r="AO259" i="29"/>
  <c r="AP259" i="29"/>
  <c r="AQ259" i="29"/>
  <c r="AR259" i="29"/>
  <c r="AS259" i="29"/>
  <c r="AT259" i="29"/>
  <c r="AU259" i="29"/>
  <c r="AV259" i="29"/>
  <c r="AW259" i="29"/>
  <c r="AX259" i="29"/>
  <c r="AY259" i="29"/>
  <c r="AZ259" i="29"/>
  <c r="BA259" i="29"/>
  <c r="BB259" i="29"/>
  <c r="BC259" i="29"/>
  <c r="BD259" i="29"/>
  <c r="BE259" i="29"/>
  <c r="BF259" i="29"/>
  <c r="BG259" i="29"/>
  <c r="BH259" i="29"/>
  <c r="BI259" i="29"/>
  <c r="BJ259" i="29"/>
  <c r="BK259" i="29"/>
  <c r="BL259" i="29"/>
  <c r="BM259" i="29"/>
  <c r="BN259" i="29"/>
  <c r="BO259" i="29"/>
  <c r="BP259" i="29"/>
  <c r="BQ259" i="29"/>
  <c r="BR259" i="29"/>
  <c r="BS259" i="29"/>
  <c r="BT259" i="29"/>
  <c r="BU259" i="29"/>
  <c r="BV259" i="29"/>
  <c r="BW259" i="29"/>
  <c r="BX259" i="29"/>
  <c r="BY259" i="29"/>
  <c r="BZ259" i="29"/>
  <c r="CA259" i="29"/>
  <c r="CB259" i="29"/>
  <c r="CC259" i="29"/>
  <c r="CD259" i="29"/>
  <c r="CE259" i="29"/>
  <c r="CF259" i="29"/>
  <c r="CG259" i="29"/>
  <c r="CH259" i="29"/>
  <c r="CI259" i="29"/>
  <c r="CJ259" i="29"/>
  <c r="CK259" i="29"/>
  <c r="CL259" i="29"/>
  <c r="CM259" i="29"/>
  <c r="CN259" i="29"/>
  <c r="CO259" i="29"/>
  <c r="CP259" i="29"/>
  <c r="CQ259" i="29"/>
  <c r="CR259" i="29"/>
  <c r="CS259" i="29"/>
  <c r="CT259" i="29"/>
  <c r="CU259" i="29"/>
  <c r="CV259" i="29"/>
  <c r="CW259" i="29"/>
  <c r="CX259" i="29"/>
  <c r="CY259" i="29"/>
  <c r="CZ259" i="29"/>
  <c r="DA259" i="29"/>
  <c r="DB259" i="29"/>
  <c r="DC259" i="29"/>
  <c r="DD259" i="29"/>
  <c r="DE259" i="29"/>
  <c r="DF259" i="29"/>
  <c r="DG259" i="29"/>
  <c r="DH259" i="29"/>
  <c r="C260" i="29"/>
  <c r="D260" i="29"/>
  <c r="E260" i="29"/>
  <c r="F260" i="29"/>
  <c r="G260" i="29"/>
  <c r="H260" i="29"/>
  <c r="I260" i="29"/>
  <c r="J260" i="29"/>
  <c r="K260" i="29"/>
  <c r="L260" i="29"/>
  <c r="M260" i="29"/>
  <c r="N260" i="29"/>
  <c r="O260" i="29"/>
  <c r="P260" i="29"/>
  <c r="Q260" i="29"/>
  <c r="R260" i="29"/>
  <c r="S260" i="29"/>
  <c r="T260" i="29"/>
  <c r="U260" i="29"/>
  <c r="V260" i="29"/>
  <c r="W260" i="29"/>
  <c r="X260" i="29"/>
  <c r="Y260" i="29"/>
  <c r="Z260" i="29"/>
  <c r="AA260" i="29"/>
  <c r="AB260" i="29"/>
  <c r="AC260" i="29"/>
  <c r="AD260" i="29"/>
  <c r="AE260" i="29"/>
  <c r="AF260" i="29"/>
  <c r="AG260" i="29"/>
  <c r="AH260" i="29"/>
  <c r="AI260" i="29"/>
  <c r="AJ260" i="29"/>
  <c r="AK260" i="29"/>
  <c r="AL260" i="29"/>
  <c r="AM260" i="29"/>
  <c r="AN260" i="29"/>
  <c r="AO260" i="29"/>
  <c r="AP260" i="29"/>
  <c r="AQ260" i="29"/>
  <c r="AR260" i="29"/>
  <c r="AS260" i="29"/>
  <c r="AT260" i="29"/>
  <c r="AU260" i="29"/>
  <c r="AV260" i="29"/>
  <c r="AW260" i="29"/>
  <c r="AX260" i="29"/>
  <c r="AY260" i="29"/>
  <c r="AZ260" i="29"/>
  <c r="BA260" i="29"/>
  <c r="BB260" i="29"/>
  <c r="BC260" i="29"/>
  <c r="BD260" i="29"/>
  <c r="BE260" i="29"/>
  <c r="BF260" i="29"/>
  <c r="BG260" i="29"/>
  <c r="BH260" i="29"/>
  <c r="BI260" i="29"/>
  <c r="BJ260" i="29"/>
  <c r="BK260" i="29"/>
  <c r="BL260" i="29"/>
  <c r="BM260" i="29"/>
  <c r="BN260" i="29"/>
  <c r="BO260" i="29"/>
  <c r="BP260" i="29"/>
  <c r="BQ260" i="29"/>
  <c r="BR260" i="29"/>
  <c r="BS260" i="29"/>
  <c r="BT260" i="29"/>
  <c r="BU260" i="29"/>
  <c r="BV260" i="29"/>
  <c r="BW260" i="29"/>
  <c r="BX260" i="29"/>
  <c r="BY260" i="29"/>
  <c r="BZ260" i="29"/>
  <c r="CA260" i="29"/>
  <c r="CB260" i="29"/>
  <c r="CC260" i="29"/>
  <c r="CD260" i="29"/>
  <c r="CE260" i="29"/>
  <c r="CF260" i="29"/>
  <c r="CG260" i="29"/>
  <c r="CH260" i="29"/>
  <c r="CI260" i="29"/>
  <c r="CJ260" i="29"/>
  <c r="CK260" i="29"/>
  <c r="CL260" i="29"/>
  <c r="CM260" i="29"/>
  <c r="CN260" i="29"/>
  <c r="CO260" i="29"/>
  <c r="CP260" i="29"/>
  <c r="CQ260" i="29"/>
  <c r="CR260" i="29"/>
  <c r="CS260" i="29"/>
  <c r="CT260" i="29"/>
  <c r="CU260" i="29"/>
  <c r="CV260" i="29"/>
  <c r="CW260" i="29"/>
  <c r="CX260" i="29"/>
  <c r="CY260" i="29"/>
  <c r="CZ260" i="29"/>
  <c r="DA260" i="29"/>
  <c r="DB260" i="29"/>
  <c r="DC260" i="29"/>
  <c r="DD260" i="29"/>
  <c r="DE260" i="29"/>
  <c r="DF260" i="29"/>
  <c r="DG260" i="29"/>
  <c r="DH260" i="29"/>
  <c r="C204" i="29"/>
  <c r="D204" i="29"/>
  <c r="E204" i="29"/>
  <c r="F204" i="29"/>
  <c r="G204" i="29"/>
  <c r="H204" i="29"/>
  <c r="I204" i="29"/>
  <c r="J204" i="29"/>
  <c r="K204" i="29"/>
  <c r="L204" i="29"/>
  <c r="M204" i="29"/>
  <c r="N204" i="29"/>
  <c r="O204" i="29"/>
  <c r="P204" i="29"/>
  <c r="Q204" i="29"/>
  <c r="R204" i="29"/>
  <c r="S204" i="29"/>
  <c r="T204" i="29"/>
  <c r="U204" i="29"/>
  <c r="V204" i="29"/>
  <c r="W204" i="29"/>
  <c r="X204" i="29"/>
  <c r="Y204" i="29"/>
  <c r="Z204" i="29"/>
  <c r="AA204" i="29"/>
  <c r="AB204" i="29"/>
  <c r="AC204" i="29"/>
  <c r="AD204" i="29"/>
  <c r="AE204" i="29"/>
  <c r="AF204" i="29"/>
  <c r="AG204" i="29"/>
  <c r="AH204" i="29"/>
  <c r="AI204" i="29"/>
  <c r="AJ204" i="29"/>
  <c r="AK204" i="29"/>
  <c r="AL204" i="29"/>
  <c r="AM204" i="29"/>
  <c r="AN204" i="29"/>
  <c r="AO204" i="29"/>
  <c r="AP204" i="29"/>
  <c r="AQ204" i="29"/>
  <c r="AR204" i="29"/>
  <c r="AS204" i="29"/>
  <c r="AT204" i="29"/>
  <c r="AU204" i="29"/>
  <c r="AV204" i="29"/>
  <c r="AW204" i="29"/>
  <c r="AX204" i="29"/>
  <c r="AY204" i="29"/>
  <c r="AZ204" i="29"/>
  <c r="BA204" i="29"/>
  <c r="BB204" i="29"/>
  <c r="BC204" i="29"/>
  <c r="BD204" i="29"/>
  <c r="BE204" i="29"/>
  <c r="BF204" i="29"/>
  <c r="BG204" i="29"/>
  <c r="BH204" i="29"/>
  <c r="BI204" i="29"/>
  <c r="BJ204" i="29"/>
  <c r="BK204" i="29"/>
  <c r="BL204" i="29"/>
  <c r="BM204" i="29"/>
  <c r="BN204" i="29"/>
  <c r="BO204" i="29"/>
  <c r="BP204" i="29"/>
  <c r="BQ204" i="29"/>
  <c r="BR204" i="29"/>
  <c r="BS204" i="29"/>
  <c r="BT204" i="29"/>
  <c r="BU204" i="29"/>
  <c r="BV204" i="29"/>
  <c r="BW204" i="29"/>
  <c r="BX204" i="29"/>
  <c r="BY204" i="29"/>
  <c r="BZ204" i="29"/>
  <c r="CA204" i="29"/>
  <c r="CB204" i="29"/>
  <c r="CC204" i="29"/>
  <c r="CD204" i="29"/>
  <c r="CE204" i="29"/>
  <c r="CF204" i="29"/>
  <c r="CG204" i="29"/>
  <c r="CH204" i="29"/>
  <c r="CI204" i="29"/>
  <c r="CJ204" i="29"/>
  <c r="CK204" i="29"/>
  <c r="CL204" i="29"/>
  <c r="CM204" i="29"/>
  <c r="CN204" i="29"/>
  <c r="CO204" i="29"/>
  <c r="CP204" i="29"/>
  <c r="CQ204" i="29"/>
  <c r="CR204" i="29"/>
  <c r="CS204" i="29"/>
  <c r="CT204" i="29"/>
  <c r="CU204" i="29"/>
  <c r="CV204" i="29"/>
  <c r="CW204" i="29"/>
  <c r="CX204" i="29"/>
  <c r="CY204" i="29"/>
  <c r="CZ204" i="29"/>
  <c r="DA204" i="29"/>
  <c r="DB204" i="29"/>
  <c r="DC204" i="29"/>
  <c r="DD204" i="29"/>
  <c r="DE204" i="29"/>
  <c r="DF204" i="29"/>
  <c r="DG204" i="29"/>
  <c r="DH204" i="29"/>
  <c r="C202" i="29"/>
  <c r="D202" i="29"/>
  <c r="E202" i="29"/>
  <c r="F202" i="29"/>
  <c r="G202" i="29"/>
  <c r="H202" i="29"/>
  <c r="I202" i="29"/>
  <c r="J202" i="29"/>
  <c r="K202" i="29"/>
  <c r="L202" i="29"/>
  <c r="M202" i="29"/>
  <c r="N202" i="29"/>
  <c r="O202" i="29"/>
  <c r="P202" i="29"/>
  <c r="Q202" i="29"/>
  <c r="R202" i="29"/>
  <c r="S202" i="29"/>
  <c r="T202" i="29"/>
  <c r="U202" i="29"/>
  <c r="V202" i="29"/>
  <c r="W202" i="29"/>
  <c r="X202" i="29"/>
  <c r="Y202" i="29"/>
  <c r="Z202" i="29"/>
  <c r="AA202" i="29"/>
  <c r="AB202" i="29"/>
  <c r="AC202" i="29"/>
  <c r="AD202" i="29"/>
  <c r="AE202" i="29"/>
  <c r="AF202" i="29"/>
  <c r="AG202" i="29"/>
  <c r="AH202" i="29"/>
  <c r="AI202" i="29"/>
  <c r="AJ202" i="29"/>
  <c r="AK202" i="29"/>
  <c r="AL202" i="29"/>
  <c r="AM202" i="29"/>
  <c r="AN202" i="29"/>
  <c r="AO202" i="29"/>
  <c r="AP202" i="29"/>
  <c r="AQ202" i="29"/>
  <c r="AR202" i="29"/>
  <c r="AS202" i="29"/>
  <c r="AT202" i="29"/>
  <c r="AU202" i="29"/>
  <c r="AV202" i="29"/>
  <c r="AW202" i="29"/>
  <c r="AX202" i="29"/>
  <c r="AY202" i="29"/>
  <c r="AZ202" i="29"/>
  <c r="BA202" i="29"/>
  <c r="BB202" i="29"/>
  <c r="BC202" i="29"/>
  <c r="BD202" i="29"/>
  <c r="BE202" i="29"/>
  <c r="BF202" i="29"/>
  <c r="BG202" i="29"/>
  <c r="BH202" i="29"/>
  <c r="BI202" i="29"/>
  <c r="BJ202" i="29"/>
  <c r="BK202" i="29"/>
  <c r="BL202" i="29"/>
  <c r="BM202" i="29"/>
  <c r="BN202" i="29"/>
  <c r="BO202" i="29"/>
  <c r="BP202" i="29"/>
  <c r="BQ202" i="29"/>
  <c r="BR202" i="29"/>
  <c r="BS202" i="29"/>
  <c r="BT202" i="29"/>
  <c r="BU202" i="29"/>
  <c r="BV202" i="29"/>
  <c r="BW202" i="29"/>
  <c r="BX202" i="29"/>
  <c r="BY202" i="29"/>
  <c r="BZ202" i="29"/>
  <c r="CA202" i="29"/>
  <c r="CB202" i="29"/>
  <c r="CC202" i="29"/>
  <c r="CD202" i="29"/>
  <c r="CE202" i="29"/>
  <c r="CF202" i="29"/>
  <c r="CG202" i="29"/>
  <c r="CH202" i="29"/>
  <c r="CI202" i="29"/>
  <c r="CJ202" i="29"/>
  <c r="CK202" i="29"/>
  <c r="CL202" i="29"/>
  <c r="CM202" i="29"/>
  <c r="CN202" i="29"/>
  <c r="CO202" i="29"/>
  <c r="CP202" i="29"/>
  <c r="CQ202" i="29"/>
  <c r="CR202" i="29"/>
  <c r="CS202" i="29"/>
  <c r="CT202" i="29"/>
  <c r="CU202" i="29"/>
  <c r="CV202" i="29"/>
  <c r="CW202" i="29"/>
  <c r="CX202" i="29"/>
  <c r="CY202" i="29"/>
  <c r="CZ202" i="29"/>
  <c r="DA202" i="29"/>
  <c r="DB202" i="29"/>
  <c r="DC202" i="29"/>
  <c r="DD202" i="29"/>
  <c r="DE202" i="29"/>
  <c r="DF202" i="29"/>
  <c r="DG202" i="29"/>
  <c r="DH202" i="29"/>
  <c r="C203" i="29"/>
  <c r="D203" i="29"/>
  <c r="E203" i="29"/>
  <c r="F203" i="29"/>
  <c r="G203" i="29"/>
  <c r="H203" i="29"/>
  <c r="I203" i="29"/>
  <c r="J203" i="29"/>
  <c r="K203" i="29"/>
  <c r="L203" i="29"/>
  <c r="M203" i="29"/>
  <c r="N203" i="29"/>
  <c r="O203" i="29"/>
  <c r="P203" i="29"/>
  <c r="Q203" i="29"/>
  <c r="R203" i="29"/>
  <c r="S203" i="29"/>
  <c r="T203" i="29"/>
  <c r="U203" i="29"/>
  <c r="V203" i="29"/>
  <c r="W203" i="29"/>
  <c r="X203" i="29"/>
  <c r="Y203" i="29"/>
  <c r="Z203" i="29"/>
  <c r="AA203" i="29"/>
  <c r="AB203" i="29"/>
  <c r="AC203" i="29"/>
  <c r="AD203" i="29"/>
  <c r="AE203" i="29"/>
  <c r="AF203" i="29"/>
  <c r="AG203" i="29"/>
  <c r="AH203" i="29"/>
  <c r="AI203" i="29"/>
  <c r="AJ203" i="29"/>
  <c r="AK203" i="29"/>
  <c r="AL203" i="29"/>
  <c r="AM203" i="29"/>
  <c r="AN203" i="29"/>
  <c r="AO203" i="29"/>
  <c r="AP203" i="29"/>
  <c r="AQ203" i="29"/>
  <c r="AR203" i="29"/>
  <c r="AS203" i="29"/>
  <c r="AT203" i="29"/>
  <c r="AU203" i="29"/>
  <c r="AV203" i="29"/>
  <c r="AW203" i="29"/>
  <c r="AX203" i="29"/>
  <c r="AY203" i="29"/>
  <c r="AZ203" i="29"/>
  <c r="BA203" i="29"/>
  <c r="BB203" i="29"/>
  <c r="BC203" i="29"/>
  <c r="BD203" i="29"/>
  <c r="BE203" i="29"/>
  <c r="BF203" i="29"/>
  <c r="BG203" i="29"/>
  <c r="BH203" i="29"/>
  <c r="BI203" i="29"/>
  <c r="BJ203" i="29"/>
  <c r="BK203" i="29"/>
  <c r="BL203" i="29"/>
  <c r="BM203" i="29"/>
  <c r="BN203" i="29"/>
  <c r="BO203" i="29"/>
  <c r="BP203" i="29"/>
  <c r="BQ203" i="29"/>
  <c r="BR203" i="29"/>
  <c r="BS203" i="29"/>
  <c r="BT203" i="29"/>
  <c r="BU203" i="29"/>
  <c r="BV203" i="29"/>
  <c r="BW203" i="29"/>
  <c r="BX203" i="29"/>
  <c r="BY203" i="29"/>
  <c r="BZ203" i="29"/>
  <c r="CA203" i="29"/>
  <c r="CB203" i="29"/>
  <c r="CC203" i="29"/>
  <c r="CD203" i="29"/>
  <c r="CE203" i="29"/>
  <c r="CF203" i="29"/>
  <c r="CG203" i="29"/>
  <c r="CH203" i="29"/>
  <c r="CI203" i="29"/>
  <c r="CJ203" i="29"/>
  <c r="CK203" i="29"/>
  <c r="CL203" i="29"/>
  <c r="CM203" i="29"/>
  <c r="CN203" i="29"/>
  <c r="CO203" i="29"/>
  <c r="CP203" i="29"/>
  <c r="CQ203" i="29"/>
  <c r="CR203" i="29"/>
  <c r="CS203" i="29"/>
  <c r="CT203" i="29"/>
  <c r="CU203" i="29"/>
  <c r="CV203" i="29"/>
  <c r="CW203" i="29"/>
  <c r="CX203" i="29"/>
  <c r="CY203" i="29"/>
  <c r="CZ203" i="29"/>
  <c r="DA203" i="29"/>
  <c r="DB203" i="29"/>
  <c r="DC203" i="29"/>
  <c r="DD203" i="29"/>
  <c r="DE203" i="29"/>
  <c r="DF203" i="29"/>
  <c r="DG203" i="29"/>
  <c r="DH203" i="29"/>
  <c r="C72" i="29"/>
  <c r="AN165" i="28" l="1"/>
  <c r="AO165" i="28"/>
  <c r="AP165" i="28"/>
  <c r="AQ165" i="28"/>
  <c r="AR165" i="28"/>
  <c r="AS165" i="28"/>
  <c r="AT165" i="28"/>
  <c r="AU165" i="28"/>
  <c r="AV165" i="28"/>
  <c r="AW165" i="28"/>
  <c r="AX165" i="28"/>
  <c r="AY165" i="28"/>
  <c r="AZ165" i="28"/>
  <c r="BA165" i="28"/>
  <c r="BB165" i="28"/>
  <c r="BC165" i="28"/>
  <c r="BD165" i="28"/>
  <c r="BE165" i="28"/>
  <c r="BF165" i="28"/>
  <c r="BG165" i="28"/>
  <c r="BH165" i="28"/>
  <c r="BI165" i="28"/>
  <c r="BJ165" i="28"/>
  <c r="BK165" i="28"/>
  <c r="BL165" i="28"/>
  <c r="BM165" i="28"/>
  <c r="BN165" i="28"/>
  <c r="BO165" i="28"/>
  <c r="BP165" i="28"/>
  <c r="BQ165" i="28"/>
  <c r="BR165" i="28"/>
  <c r="BS165" i="28"/>
  <c r="BT165" i="28"/>
  <c r="BU165" i="28"/>
  <c r="BV165" i="28"/>
  <c r="BW165" i="28"/>
  <c r="BX165" i="28"/>
  <c r="BY165" i="28"/>
  <c r="BZ165" i="28"/>
  <c r="CA165" i="28"/>
  <c r="CB165" i="28"/>
  <c r="CC165" i="28"/>
  <c r="CD165" i="28"/>
  <c r="CE165" i="28"/>
  <c r="CF165" i="28"/>
  <c r="CG165" i="28"/>
  <c r="CH165" i="28"/>
  <c r="CI165" i="28"/>
  <c r="CJ165" i="28"/>
  <c r="CK165" i="28"/>
  <c r="CL165" i="28"/>
  <c r="CM165" i="28"/>
  <c r="CN165" i="28"/>
  <c r="CO165" i="28"/>
  <c r="CP165" i="28"/>
  <c r="CQ165" i="28"/>
  <c r="CR165" i="28"/>
  <c r="CS165" i="28"/>
  <c r="CT165" i="28"/>
  <c r="CU165" i="28"/>
  <c r="CV165" i="28"/>
  <c r="CW165" i="28"/>
  <c r="CX165" i="28"/>
  <c r="CY165" i="28"/>
  <c r="CZ165" i="28"/>
  <c r="DA165" i="28"/>
  <c r="DB165" i="28"/>
  <c r="DC165" i="28"/>
  <c r="DD165" i="28"/>
  <c r="DE165" i="28"/>
  <c r="DF165" i="28"/>
  <c r="DG165" i="28"/>
  <c r="DH165" i="28"/>
  <c r="AN166" i="28"/>
  <c r="AO166" i="28"/>
  <c r="AP166" i="28"/>
  <c r="AQ166" i="28"/>
  <c r="AR166" i="28"/>
  <c r="AS166" i="28"/>
  <c r="AT166" i="28"/>
  <c r="AU166" i="28"/>
  <c r="AV166" i="28"/>
  <c r="AW166" i="28"/>
  <c r="AX166" i="28"/>
  <c r="AY166" i="28"/>
  <c r="AZ166" i="28"/>
  <c r="BA166" i="28"/>
  <c r="BB166" i="28"/>
  <c r="BC166" i="28"/>
  <c r="BD166" i="28"/>
  <c r="BE166" i="28"/>
  <c r="BF166" i="28"/>
  <c r="BG166" i="28"/>
  <c r="BH166" i="28"/>
  <c r="BI166" i="28"/>
  <c r="BJ166" i="28"/>
  <c r="BK166" i="28"/>
  <c r="BL166" i="28"/>
  <c r="BM166" i="28"/>
  <c r="BN166" i="28"/>
  <c r="BO166" i="28"/>
  <c r="BP166" i="28"/>
  <c r="BQ166" i="28"/>
  <c r="BR166" i="28"/>
  <c r="BS166" i="28"/>
  <c r="BT166" i="28"/>
  <c r="BU166" i="28"/>
  <c r="BV166" i="28"/>
  <c r="BW166" i="28"/>
  <c r="BX166" i="28"/>
  <c r="BY166" i="28"/>
  <c r="BZ166" i="28"/>
  <c r="CA166" i="28"/>
  <c r="CB166" i="28"/>
  <c r="CC166" i="28"/>
  <c r="CD166" i="28"/>
  <c r="CE166" i="28"/>
  <c r="CF166" i="28"/>
  <c r="CG166" i="28"/>
  <c r="CH166" i="28"/>
  <c r="CI166" i="28"/>
  <c r="CJ166" i="28"/>
  <c r="CK166" i="28"/>
  <c r="CL166" i="28"/>
  <c r="CM166" i="28"/>
  <c r="CN166" i="28"/>
  <c r="CO166" i="28"/>
  <c r="CP166" i="28"/>
  <c r="CQ166" i="28"/>
  <c r="CR166" i="28"/>
  <c r="CS166" i="28"/>
  <c r="CT166" i="28"/>
  <c r="CU166" i="28"/>
  <c r="CV166" i="28"/>
  <c r="CW166" i="28"/>
  <c r="CX166" i="28"/>
  <c r="CY166" i="28"/>
  <c r="CZ166" i="28"/>
  <c r="DA166" i="28"/>
  <c r="DB166" i="28"/>
  <c r="DC166" i="28"/>
  <c r="DD166" i="28"/>
  <c r="DE166" i="28"/>
  <c r="DF166" i="28"/>
  <c r="DG166" i="28"/>
  <c r="DH166" i="28"/>
  <c r="AN167" i="28"/>
  <c r="AO167" i="28"/>
  <c r="AP167" i="28"/>
  <c r="AQ167" i="28"/>
  <c r="AR167" i="28"/>
  <c r="AS167" i="28"/>
  <c r="AT167" i="28"/>
  <c r="AU167" i="28"/>
  <c r="AV167" i="28"/>
  <c r="AW167" i="28"/>
  <c r="AX167" i="28"/>
  <c r="AY167" i="28"/>
  <c r="AZ167" i="28"/>
  <c r="BA167" i="28"/>
  <c r="BB167" i="28"/>
  <c r="BC167" i="28"/>
  <c r="BD167" i="28"/>
  <c r="BE167" i="28"/>
  <c r="BF167" i="28"/>
  <c r="BG167" i="28"/>
  <c r="BH167" i="28"/>
  <c r="BI167" i="28"/>
  <c r="BJ167" i="28"/>
  <c r="BK167" i="28"/>
  <c r="BL167" i="28"/>
  <c r="BM167" i="28"/>
  <c r="BN167" i="28"/>
  <c r="BO167" i="28"/>
  <c r="BP167" i="28"/>
  <c r="BQ167" i="28"/>
  <c r="BR167" i="28"/>
  <c r="BS167" i="28"/>
  <c r="BT167" i="28"/>
  <c r="BU167" i="28"/>
  <c r="BV167" i="28"/>
  <c r="BW167" i="28"/>
  <c r="BX167" i="28"/>
  <c r="BY167" i="28"/>
  <c r="BZ167" i="28"/>
  <c r="CA167" i="28"/>
  <c r="CB167" i="28"/>
  <c r="CC167" i="28"/>
  <c r="CD167" i="28"/>
  <c r="CE167" i="28"/>
  <c r="CF167" i="28"/>
  <c r="CG167" i="28"/>
  <c r="CH167" i="28"/>
  <c r="CI167" i="28"/>
  <c r="CJ167" i="28"/>
  <c r="CK167" i="28"/>
  <c r="CL167" i="28"/>
  <c r="CM167" i="28"/>
  <c r="CN167" i="28"/>
  <c r="CO167" i="28"/>
  <c r="CP167" i="28"/>
  <c r="CQ167" i="28"/>
  <c r="CR167" i="28"/>
  <c r="CS167" i="28"/>
  <c r="CT167" i="28"/>
  <c r="CU167" i="28"/>
  <c r="CV167" i="28"/>
  <c r="CW167" i="28"/>
  <c r="CX167" i="28"/>
  <c r="CY167" i="28"/>
  <c r="CZ167" i="28"/>
  <c r="DA167" i="28"/>
  <c r="DB167" i="28"/>
  <c r="DC167" i="28"/>
  <c r="DD167" i="28"/>
  <c r="DE167" i="28"/>
  <c r="DF167" i="28"/>
  <c r="DG167" i="28"/>
  <c r="DH167" i="28"/>
  <c r="AN168" i="28"/>
  <c r="AO168" i="28"/>
  <c r="AP168" i="28"/>
  <c r="AQ168" i="28"/>
  <c r="AR168" i="28"/>
  <c r="AS168" i="28"/>
  <c r="AT168" i="28"/>
  <c r="AU168" i="28"/>
  <c r="AV168" i="28"/>
  <c r="AW168" i="28"/>
  <c r="AX168" i="28"/>
  <c r="AY168" i="28"/>
  <c r="AZ168" i="28"/>
  <c r="BA168" i="28"/>
  <c r="BB168" i="28"/>
  <c r="BC168" i="28"/>
  <c r="BD168" i="28"/>
  <c r="BE168" i="28"/>
  <c r="BF168" i="28"/>
  <c r="BG168" i="28"/>
  <c r="BH168" i="28"/>
  <c r="BI168" i="28"/>
  <c r="BJ168" i="28"/>
  <c r="BK168" i="28"/>
  <c r="BL168" i="28"/>
  <c r="BM168" i="28"/>
  <c r="BN168" i="28"/>
  <c r="BO168" i="28"/>
  <c r="BP168" i="28"/>
  <c r="BQ168" i="28"/>
  <c r="BR168" i="28"/>
  <c r="BS168" i="28"/>
  <c r="BT168" i="28"/>
  <c r="BU168" i="28"/>
  <c r="BV168" i="28"/>
  <c r="BW168" i="28"/>
  <c r="BX168" i="28"/>
  <c r="BY168" i="28"/>
  <c r="BZ168" i="28"/>
  <c r="CA168" i="28"/>
  <c r="CB168" i="28"/>
  <c r="CC168" i="28"/>
  <c r="CD168" i="28"/>
  <c r="CE168" i="28"/>
  <c r="CF168" i="28"/>
  <c r="CG168" i="28"/>
  <c r="CH168" i="28"/>
  <c r="CI168" i="28"/>
  <c r="CJ168" i="28"/>
  <c r="CK168" i="28"/>
  <c r="CL168" i="28"/>
  <c r="CM168" i="28"/>
  <c r="CN168" i="28"/>
  <c r="CO168" i="28"/>
  <c r="CP168" i="28"/>
  <c r="CQ168" i="28"/>
  <c r="CR168" i="28"/>
  <c r="CS168" i="28"/>
  <c r="CT168" i="28"/>
  <c r="CU168" i="28"/>
  <c r="CV168" i="28"/>
  <c r="CW168" i="28"/>
  <c r="CX168" i="28"/>
  <c r="CY168" i="28"/>
  <c r="CZ168" i="28"/>
  <c r="DA168" i="28"/>
  <c r="DB168" i="28"/>
  <c r="DC168" i="28"/>
  <c r="DD168" i="28"/>
  <c r="DE168" i="28"/>
  <c r="DF168" i="28"/>
  <c r="DG168" i="28"/>
  <c r="DH168" i="28"/>
  <c r="AN169" i="28"/>
  <c r="AO169" i="28"/>
  <c r="AP169" i="28"/>
  <c r="AQ169" i="28"/>
  <c r="AR169" i="28"/>
  <c r="AS169" i="28"/>
  <c r="AT169" i="28"/>
  <c r="AU169" i="28"/>
  <c r="AV169" i="28"/>
  <c r="AW169" i="28"/>
  <c r="AX169" i="28"/>
  <c r="AY169" i="28"/>
  <c r="AZ169" i="28"/>
  <c r="BA169" i="28"/>
  <c r="BB169" i="28"/>
  <c r="BC169" i="28"/>
  <c r="BD169" i="28"/>
  <c r="BE169" i="28"/>
  <c r="BF169" i="28"/>
  <c r="BG169" i="28"/>
  <c r="BH169" i="28"/>
  <c r="BI169" i="28"/>
  <c r="BJ169" i="28"/>
  <c r="BK169" i="28"/>
  <c r="BL169" i="28"/>
  <c r="BM169" i="28"/>
  <c r="BN169" i="28"/>
  <c r="BO169" i="28"/>
  <c r="BP169" i="28"/>
  <c r="BQ169" i="28"/>
  <c r="BR169" i="28"/>
  <c r="BS169" i="28"/>
  <c r="BT169" i="28"/>
  <c r="BU169" i="28"/>
  <c r="BV169" i="28"/>
  <c r="BW169" i="28"/>
  <c r="BX169" i="28"/>
  <c r="BY169" i="28"/>
  <c r="BZ169" i="28"/>
  <c r="CA169" i="28"/>
  <c r="CB169" i="28"/>
  <c r="CC169" i="28"/>
  <c r="CD169" i="28"/>
  <c r="CE169" i="28"/>
  <c r="CF169" i="28"/>
  <c r="CG169" i="28"/>
  <c r="CH169" i="28"/>
  <c r="CI169" i="28"/>
  <c r="CJ169" i="28"/>
  <c r="CK169" i="28"/>
  <c r="CL169" i="28"/>
  <c r="CM169" i="28"/>
  <c r="CN169" i="28"/>
  <c r="CO169" i="28"/>
  <c r="CP169" i="28"/>
  <c r="CQ169" i="28"/>
  <c r="CR169" i="28"/>
  <c r="CS169" i="28"/>
  <c r="CT169" i="28"/>
  <c r="CU169" i="28"/>
  <c r="CV169" i="28"/>
  <c r="CW169" i="28"/>
  <c r="CX169" i="28"/>
  <c r="CY169" i="28"/>
  <c r="CZ169" i="28"/>
  <c r="DA169" i="28"/>
  <c r="DB169" i="28"/>
  <c r="DC169" i="28"/>
  <c r="DD169" i="28"/>
  <c r="DE169" i="28"/>
  <c r="DF169" i="28"/>
  <c r="DG169" i="28"/>
  <c r="DH169" i="28"/>
  <c r="AN170" i="28"/>
  <c r="AO170" i="28"/>
  <c r="AP170" i="28"/>
  <c r="AQ170" i="28"/>
  <c r="AR170" i="28"/>
  <c r="AS170" i="28"/>
  <c r="AT170" i="28"/>
  <c r="AU170" i="28"/>
  <c r="AV170" i="28"/>
  <c r="AW170" i="28"/>
  <c r="AX170" i="28"/>
  <c r="AY170" i="28"/>
  <c r="AZ170" i="28"/>
  <c r="BA170" i="28"/>
  <c r="BB170" i="28"/>
  <c r="BC170" i="28"/>
  <c r="BD170" i="28"/>
  <c r="BE170" i="28"/>
  <c r="BF170" i="28"/>
  <c r="BG170" i="28"/>
  <c r="BH170" i="28"/>
  <c r="BI170" i="28"/>
  <c r="BJ170" i="28"/>
  <c r="BK170" i="28"/>
  <c r="BL170" i="28"/>
  <c r="BM170" i="28"/>
  <c r="BN170" i="28"/>
  <c r="BO170" i="28"/>
  <c r="BP170" i="28"/>
  <c r="BQ170" i="28"/>
  <c r="BR170" i="28"/>
  <c r="BS170" i="28"/>
  <c r="BT170" i="28"/>
  <c r="BU170" i="28"/>
  <c r="BV170" i="28"/>
  <c r="BW170" i="28"/>
  <c r="BX170" i="28"/>
  <c r="BY170" i="28"/>
  <c r="BZ170" i="28"/>
  <c r="CA170" i="28"/>
  <c r="CB170" i="28"/>
  <c r="CC170" i="28"/>
  <c r="CD170" i="28"/>
  <c r="CE170" i="28"/>
  <c r="CF170" i="28"/>
  <c r="CG170" i="28"/>
  <c r="CH170" i="28"/>
  <c r="CI170" i="28"/>
  <c r="CJ170" i="28"/>
  <c r="CK170" i="28"/>
  <c r="CL170" i="28"/>
  <c r="CM170" i="28"/>
  <c r="CN170" i="28"/>
  <c r="CO170" i="28"/>
  <c r="CP170" i="28"/>
  <c r="CQ170" i="28"/>
  <c r="CR170" i="28"/>
  <c r="CS170" i="28"/>
  <c r="CT170" i="28"/>
  <c r="CU170" i="28"/>
  <c r="CV170" i="28"/>
  <c r="CW170" i="28"/>
  <c r="CX170" i="28"/>
  <c r="CY170" i="28"/>
  <c r="CZ170" i="28"/>
  <c r="DA170" i="28"/>
  <c r="DB170" i="28"/>
  <c r="DC170" i="28"/>
  <c r="DD170" i="28"/>
  <c r="DE170" i="28"/>
  <c r="DF170" i="28"/>
  <c r="DG170" i="28"/>
  <c r="DH170" i="28"/>
  <c r="AN171" i="28"/>
  <c r="AO171" i="28"/>
  <c r="AP171" i="28"/>
  <c r="AQ171" i="28"/>
  <c r="AR171" i="28"/>
  <c r="AS171" i="28"/>
  <c r="AT171" i="28"/>
  <c r="AU171" i="28"/>
  <c r="AV171" i="28"/>
  <c r="AW171" i="28"/>
  <c r="AX171" i="28"/>
  <c r="AY171" i="28"/>
  <c r="AZ171" i="28"/>
  <c r="BA171" i="28"/>
  <c r="BB171" i="28"/>
  <c r="BC171" i="28"/>
  <c r="BD171" i="28"/>
  <c r="BE171" i="28"/>
  <c r="BF171" i="28"/>
  <c r="BG171" i="28"/>
  <c r="BH171" i="28"/>
  <c r="BI171" i="28"/>
  <c r="BJ171" i="28"/>
  <c r="BK171" i="28"/>
  <c r="BL171" i="28"/>
  <c r="BM171" i="28"/>
  <c r="BN171" i="28"/>
  <c r="BO171" i="28"/>
  <c r="BP171" i="28"/>
  <c r="BQ171" i="28"/>
  <c r="BR171" i="28"/>
  <c r="BS171" i="28"/>
  <c r="BT171" i="28"/>
  <c r="BU171" i="28"/>
  <c r="BV171" i="28"/>
  <c r="BW171" i="28"/>
  <c r="BX171" i="28"/>
  <c r="BY171" i="28"/>
  <c r="BZ171" i="28"/>
  <c r="CA171" i="28"/>
  <c r="CB171" i="28"/>
  <c r="CC171" i="28"/>
  <c r="CD171" i="28"/>
  <c r="CE171" i="28"/>
  <c r="CF171" i="28"/>
  <c r="CG171" i="28"/>
  <c r="CH171" i="28"/>
  <c r="CI171" i="28"/>
  <c r="CJ171" i="28"/>
  <c r="CK171" i="28"/>
  <c r="CL171" i="28"/>
  <c r="CM171" i="28"/>
  <c r="CN171" i="28"/>
  <c r="CO171" i="28"/>
  <c r="CP171" i="28"/>
  <c r="CQ171" i="28"/>
  <c r="CR171" i="28"/>
  <c r="CS171" i="28"/>
  <c r="CT171" i="28"/>
  <c r="CU171" i="28"/>
  <c r="CV171" i="28"/>
  <c r="CW171" i="28"/>
  <c r="CX171" i="28"/>
  <c r="CY171" i="28"/>
  <c r="CZ171" i="28"/>
  <c r="DA171" i="28"/>
  <c r="DB171" i="28"/>
  <c r="DC171" i="28"/>
  <c r="DD171" i="28"/>
  <c r="DE171" i="28"/>
  <c r="DF171" i="28"/>
  <c r="DG171" i="28"/>
  <c r="DH171" i="28"/>
  <c r="AN172" i="28"/>
  <c r="AO172" i="28"/>
  <c r="AP172" i="28"/>
  <c r="AQ172" i="28"/>
  <c r="AR172" i="28"/>
  <c r="AS172" i="28"/>
  <c r="AT172" i="28"/>
  <c r="AU172" i="28"/>
  <c r="AV172" i="28"/>
  <c r="AW172" i="28"/>
  <c r="AX172" i="28"/>
  <c r="AY172" i="28"/>
  <c r="AZ172" i="28"/>
  <c r="BA172" i="28"/>
  <c r="BB172" i="28"/>
  <c r="BC172" i="28"/>
  <c r="BD172" i="28"/>
  <c r="BE172" i="28"/>
  <c r="BF172" i="28"/>
  <c r="BG172" i="28"/>
  <c r="BH172" i="28"/>
  <c r="BI172" i="28"/>
  <c r="BJ172" i="28"/>
  <c r="BK172" i="28"/>
  <c r="BL172" i="28"/>
  <c r="BM172" i="28"/>
  <c r="BN172" i="28"/>
  <c r="BO172" i="28"/>
  <c r="BP172" i="28"/>
  <c r="BQ172" i="28"/>
  <c r="BR172" i="28"/>
  <c r="BS172" i="28"/>
  <c r="BT172" i="28"/>
  <c r="BU172" i="28"/>
  <c r="BV172" i="28"/>
  <c r="BW172" i="28"/>
  <c r="BX172" i="28"/>
  <c r="BY172" i="28"/>
  <c r="BZ172" i="28"/>
  <c r="CA172" i="28"/>
  <c r="CB172" i="28"/>
  <c r="CC172" i="28"/>
  <c r="CD172" i="28"/>
  <c r="CE172" i="28"/>
  <c r="CF172" i="28"/>
  <c r="CG172" i="28"/>
  <c r="CH172" i="28"/>
  <c r="CI172" i="28"/>
  <c r="CJ172" i="28"/>
  <c r="CK172" i="28"/>
  <c r="CL172" i="28"/>
  <c r="CM172" i="28"/>
  <c r="CN172" i="28"/>
  <c r="CO172" i="28"/>
  <c r="CP172" i="28"/>
  <c r="CQ172" i="28"/>
  <c r="CR172" i="28"/>
  <c r="CS172" i="28"/>
  <c r="CT172" i="28"/>
  <c r="CU172" i="28"/>
  <c r="CV172" i="28"/>
  <c r="CW172" i="28"/>
  <c r="CX172" i="28"/>
  <c r="CY172" i="28"/>
  <c r="CZ172" i="28"/>
  <c r="DA172" i="28"/>
  <c r="DB172" i="28"/>
  <c r="DC172" i="28"/>
  <c r="DD172" i="28"/>
  <c r="DE172" i="28"/>
  <c r="DF172" i="28"/>
  <c r="DG172" i="28"/>
  <c r="DH172" i="28"/>
  <c r="AN173" i="28"/>
  <c r="AO173" i="28"/>
  <c r="AP173" i="28"/>
  <c r="AQ173" i="28"/>
  <c r="AR173" i="28"/>
  <c r="AS173" i="28"/>
  <c r="AT173" i="28"/>
  <c r="AU173" i="28"/>
  <c r="AV173" i="28"/>
  <c r="AW173" i="28"/>
  <c r="AX173" i="28"/>
  <c r="AY173" i="28"/>
  <c r="AZ173" i="28"/>
  <c r="BA173" i="28"/>
  <c r="BB173" i="28"/>
  <c r="BC173" i="28"/>
  <c r="BD173" i="28"/>
  <c r="BE173" i="28"/>
  <c r="BF173" i="28"/>
  <c r="BG173" i="28"/>
  <c r="BH173" i="28"/>
  <c r="BI173" i="28"/>
  <c r="BJ173" i="28"/>
  <c r="BK173" i="28"/>
  <c r="BL173" i="28"/>
  <c r="BM173" i="28"/>
  <c r="BN173" i="28"/>
  <c r="BO173" i="28"/>
  <c r="BP173" i="28"/>
  <c r="BQ173" i="28"/>
  <c r="BR173" i="28"/>
  <c r="BS173" i="28"/>
  <c r="BT173" i="28"/>
  <c r="BU173" i="28"/>
  <c r="BV173" i="28"/>
  <c r="BW173" i="28"/>
  <c r="BX173" i="28"/>
  <c r="BY173" i="28"/>
  <c r="BZ173" i="28"/>
  <c r="CA173" i="28"/>
  <c r="CB173" i="28"/>
  <c r="CC173" i="28"/>
  <c r="CD173" i="28"/>
  <c r="CE173" i="28"/>
  <c r="CF173" i="28"/>
  <c r="CG173" i="28"/>
  <c r="CH173" i="28"/>
  <c r="CI173" i="28"/>
  <c r="CJ173" i="28"/>
  <c r="CK173" i="28"/>
  <c r="CL173" i="28"/>
  <c r="CM173" i="28"/>
  <c r="CN173" i="28"/>
  <c r="CO173" i="28"/>
  <c r="CP173" i="28"/>
  <c r="CQ173" i="28"/>
  <c r="CR173" i="28"/>
  <c r="CS173" i="28"/>
  <c r="CT173" i="28"/>
  <c r="CU173" i="28"/>
  <c r="CV173" i="28"/>
  <c r="CW173" i="28"/>
  <c r="CX173" i="28"/>
  <c r="CY173" i="28"/>
  <c r="CZ173" i="28"/>
  <c r="DA173" i="28"/>
  <c r="DB173" i="28"/>
  <c r="DC173" i="28"/>
  <c r="DD173" i="28"/>
  <c r="DE173" i="28"/>
  <c r="DF173" i="28"/>
  <c r="DG173" i="28"/>
  <c r="DH173" i="28"/>
  <c r="AN174" i="28"/>
  <c r="AO174" i="28"/>
  <c r="AP174" i="28"/>
  <c r="AQ174" i="28"/>
  <c r="AR174" i="28"/>
  <c r="AS174" i="28"/>
  <c r="AT174" i="28"/>
  <c r="AU174" i="28"/>
  <c r="AV174" i="28"/>
  <c r="AW174" i="28"/>
  <c r="AX174" i="28"/>
  <c r="AY174" i="28"/>
  <c r="AZ174" i="28"/>
  <c r="BA174" i="28"/>
  <c r="BB174" i="28"/>
  <c r="BC174" i="28"/>
  <c r="BD174" i="28"/>
  <c r="BE174" i="28"/>
  <c r="BF174" i="28"/>
  <c r="BG174" i="28"/>
  <c r="BH174" i="28"/>
  <c r="BI174" i="28"/>
  <c r="BJ174" i="28"/>
  <c r="BK174" i="28"/>
  <c r="BL174" i="28"/>
  <c r="BM174" i="28"/>
  <c r="BN174" i="28"/>
  <c r="BO174" i="28"/>
  <c r="BP174" i="28"/>
  <c r="BQ174" i="28"/>
  <c r="BR174" i="28"/>
  <c r="BS174" i="28"/>
  <c r="BT174" i="28"/>
  <c r="BU174" i="28"/>
  <c r="BV174" i="28"/>
  <c r="BW174" i="28"/>
  <c r="BX174" i="28"/>
  <c r="BY174" i="28"/>
  <c r="BZ174" i="28"/>
  <c r="CA174" i="28"/>
  <c r="CB174" i="28"/>
  <c r="CC174" i="28"/>
  <c r="CD174" i="28"/>
  <c r="CE174" i="28"/>
  <c r="CF174" i="28"/>
  <c r="CG174" i="28"/>
  <c r="CH174" i="28"/>
  <c r="CI174" i="28"/>
  <c r="CJ174" i="28"/>
  <c r="CK174" i="28"/>
  <c r="CL174" i="28"/>
  <c r="CM174" i="28"/>
  <c r="CN174" i="28"/>
  <c r="CO174" i="28"/>
  <c r="CP174" i="28"/>
  <c r="CQ174" i="28"/>
  <c r="CR174" i="28"/>
  <c r="CS174" i="28"/>
  <c r="CT174" i="28"/>
  <c r="CU174" i="28"/>
  <c r="CV174" i="28"/>
  <c r="CW174" i="28"/>
  <c r="CX174" i="28"/>
  <c r="CY174" i="28"/>
  <c r="CZ174" i="28"/>
  <c r="DA174" i="28"/>
  <c r="DB174" i="28"/>
  <c r="DC174" i="28"/>
  <c r="DD174" i="28"/>
  <c r="DE174" i="28"/>
  <c r="DF174" i="28"/>
  <c r="DG174" i="28"/>
  <c r="DH174" i="28"/>
  <c r="AN175" i="28"/>
  <c r="AO175" i="28"/>
  <c r="AP175" i="28"/>
  <c r="AQ175" i="28"/>
  <c r="AR175" i="28"/>
  <c r="AS175" i="28"/>
  <c r="AT175" i="28"/>
  <c r="AU175" i="28"/>
  <c r="AV175" i="28"/>
  <c r="AW175" i="28"/>
  <c r="AX175" i="28"/>
  <c r="AY175" i="28"/>
  <c r="AZ175" i="28"/>
  <c r="BA175" i="28"/>
  <c r="BB175" i="28"/>
  <c r="BC175" i="28"/>
  <c r="BD175" i="28"/>
  <c r="BE175" i="28"/>
  <c r="BF175" i="28"/>
  <c r="BG175" i="28"/>
  <c r="BH175" i="28"/>
  <c r="BI175" i="28"/>
  <c r="BJ175" i="28"/>
  <c r="BK175" i="28"/>
  <c r="BL175" i="28"/>
  <c r="BM175" i="28"/>
  <c r="BN175" i="28"/>
  <c r="BO175" i="28"/>
  <c r="BP175" i="28"/>
  <c r="BQ175" i="28"/>
  <c r="BR175" i="28"/>
  <c r="BS175" i="28"/>
  <c r="BT175" i="28"/>
  <c r="BU175" i="28"/>
  <c r="BV175" i="28"/>
  <c r="BW175" i="28"/>
  <c r="BX175" i="28"/>
  <c r="BY175" i="28"/>
  <c r="BZ175" i="28"/>
  <c r="CA175" i="28"/>
  <c r="CB175" i="28"/>
  <c r="CC175" i="28"/>
  <c r="CD175" i="28"/>
  <c r="CE175" i="28"/>
  <c r="CF175" i="28"/>
  <c r="CG175" i="28"/>
  <c r="CH175" i="28"/>
  <c r="CI175" i="28"/>
  <c r="CJ175" i="28"/>
  <c r="CK175" i="28"/>
  <c r="CL175" i="28"/>
  <c r="CM175" i="28"/>
  <c r="CN175" i="28"/>
  <c r="CO175" i="28"/>
  <c r="CP175" i="28"/>
  <c r="CQ175" i="28"/>
  <c r="CR175" i="28"/>
  <c r="CS175" i="28"/>
  <c r="CT175" i="28"/>
  <c r="CU175" i="28"/>
  <c r="CV175" i="28"/>
  <c r="CW175" i="28"/>
  <c r="CX175" i="28"/>
  <c r="CY175" i="28"/>
  <c r="CZ175" i="28"/>
  <c r="DA175" i="28"/>
  <c r="DB175" i="28"/>
  <c r="DC175" i="28"/>
  <c r="DD175" i="28"/>
  <c r="DE175" i="28"/>
  <c r="DF175" i="28"/>
  <c r="DG175" i="28"/>
  <c r="DH175" i="28"/>
  <c r="AN176" i="28"/>
  <c r="AO176" i="28"/>
  <c r="AP176" i="28"/>
  <c r="AQ176" i="28"/>
  <c r="AR176" i="28"/>
  <c r="AS176" i="28"/>
  <c r="AT176" i="28"/>
  <c r="AU176" i="28"/>
  <c r="AV176" i="28"/>
  <c r="AW176" i="28"/>
  <c r="AX176" i="28"/>
  <c r="AY176" i="28"/>
  <c r="AZ176" i="28"/>
  <c r="BA176" i="28"/>
  <c r="BB176" i="28"/>
  <c r="BC176" i="28"/>
  <c r="BD176" i="28"/>
  <c r="BE176" i="28"/>
  <c r="BF176" i="28"/>
  <c r="BG176" i="28"/>
  <c r="BH176" i="28"/>
  <c r="BI176" i="28"/>
  <c r="BJ176" i="28"/>
  <c r="BK176" i="28"/>
  <c r="BL176" i="28"/>
  <c r="BM176" i="28"/>
  <c r="BN176" i="28"/>
  <c r="BO176" i="28"/>
  <c r="BP176" i="28"/>
  <c r="BQ176" i="28"/>
  <c r="BR176" i="28"/>
  <c r="BS176" i="28"/>
  <c r="BT176" i="28"/>
  <c r="BU176" i="28"/>
  <c r="BV176" i="28"/>
  <c r="BW176" i="28"/>
  <c r="BX176" i="28"/>
  <c r="BY176" i="28"/>
  <c r="BZ176" i="28"/>
  <c r="CA176" i="28"/>
  <c r="CB176" i="28"/>
  <c r="CC176" i="28"/>
  <c r="CD176" i="28"/>
  <c r="CE176" i="28"/>
  <c r="CF176" i="28"/>
  <c r="CG176" i="28"/>
  <c r="CH176" i="28"/>
  <c r="CI176" i="28"/>
  <c r="CJ176" i="28"/>
  <c r="CK176" i="28"/>
  <c r="CL176" i="28"/>
  <c r="CM176" i="28"/>
  <c r="CN176" i="28"/>
  <c r="CO176" i="28"/>
  <c r="CP176" i="28"/>
  <c r="CQ176" i="28"/>
  <c r="CR176" i="28"/>
  <c r="CS176" i="28"/>
  <c r="CT176" i="28"/>
  <c r="CU176" i="28"/>
  <c r="CV176" i="28"/>
  <c r="CW176" i="28"/>
  <c r="CX176" i="28"/>
  <c r="CY176" i="28"/>
  <c r="CZ176" i="28"/>
  <c r="DA176" i="28"/>
  <c r="DB176" i="28"/>
  <c r="DC176" i="28"/>
  <c r="DD176" i="28"/>
  <c r="DE176" i="28"/>
  <c r="DF176" i="28"/>
  <c r="DG176" i="28"/>
  <c r="DH176" i="28"/>
  <c r="AN177" i="28"/>
  <c r="AO177" i="28"/>
  <c r="AP177" i="28"/>
  <c r="AQ177" i="28"/>
  <c r="AR177" i="28"/>
  <c r="AS177" i="28"/>
  <c r="AT177" i="28"/>
  <c r="AU177" i="28"/>
  <c r="AV177" i="28"/>
  <c r="AW177" i="28"/>
  <c r="AX177" i="28"/>
  <c r="AY177" i="28"/>
  <c r="AZ177" i="28"/>
  <c r="BA177" i="28"/>
  <c r="BB177" i="28"/>
  <c r="BC177" i="28"/>
  <c r="BD177" i="28"/>
  <c r="BE177" i="28"/>
  <c r="BF177" i="28"/>
  <c r="BG177" i="28"/>
  <c r="BH177" i="28"/>
  <c r="BI177" i="28"/>
  <c r="BJ177" i="28"/>
  <c r="BK177" i="28"/>
  <c r="BL177" i="28"/>
  <c r="BM177" i="28"/>
  <c r="BN177" i="28"/>
  <c r="BO177" i="28"/>
  <c r="BP177" i="28"/>
  <c r="BQ177" i="28"/>
  <c r="BR177" i="28"/>
  <c r="BS177" i="28"/>
  <c r="BT177" i="28"/>
  <c r="BU177" i="28"/>
  <c r="BV177" i="28"/>
  <c r="BW177" i="28"/>
  <c r="BX177" i="28"/>
  <c r="BY177" i="28"/>
  <c r="BZ177" i="28"/>
  <c r="CA177" i="28"/>
  <c r="CB177" i="28"/>
  <c r="CC177" i="28"/>
  <c r="CD177" i="28"/>
  <c r="CE177" i="28"/>
  <c r="CF177" i="28"/>
  <c r="CG177" i="28"/>
  <c r="CH177" i="28"/>
  <c r="CI177" i="28"/>
  <c r="CJ177" i="28"/>
  <c r="CK177" i="28"/>
  <c r="CL177" i="28"/>
  <c r="CM177" i="28"/>
  <c r="CN177" i="28"/>
  <c r="CO177" i="28"/>
  <c r="CP177" i="28"/>
  <c r="CQ177" i="28"/>
  <c r="CR177" i="28"/>
  <c r="CS177" i="28"/>
  <c r="CT177" i="28"/>
  <c r="CU177" i="28"/>
  <c r="CV177" i="28"/>
  <c r="CW177" i="28"/>
  <c r="CX177" i="28"/>
  <c r="CY177" i="28"/>
  <c r="CZ177" i="28"/>
  <c r="DA177" i="28"/>
  <c r="DB177" i="28"/>
  <c r="DC177" i="28"/>
  <c r="DD177" i="28"/>
  <c r="DE177" i="28"/>
  <c r="DF177" i="28"/>
  <c r="DG177" i="28"/>
  <c r="DH177" i="28"/>
  <c r="AN178" i="28"/>
  <c r="AO178" i="28"/>
  <c r="AP178" i="28"/>
  <c r="AQ178" i="28"/>
  <c r="AR178" i="28"/>
  <c r="AS178" i="28"/>
  <c r="AT178" i="28"/>
  <c r="AU178" i="28"/>
  <c r="AV178" i="28"/>
  <c r="AW178" i="28"/>
  <c r="AX178" i="28"/>
  <c r="AY178" i="28"/>
  <c r="AZ178" i="28"/>
  <c r="BA178" i="28"/>
  <c r="BB178" i="28"/>
  <c r="BC178" i="28"/>
  <c r="BD178" i="28"/>
  <c r="BE178" i="28"/>
  <c r="BF178" i="28"/>
  <c r="BG178" i="28"/>
  <c r="BH178" i="28"/>
  <c r="BI178" i="28"/>
  <c r="BJ178" i="28"/>
  <c r="BK178" i="28"/>
  <c r="BL178" i="28"/>
  <c r="BM178" i="28"/>
  <c r="BN178" i="28"/>
  <c r="BO178" i="28"/>
  <c r="BP178" i="28"/>
  <c r="BQ178" i="28"/>
  <c r="BR178" i="28"/>
  <c r="BS178" i="28"/>
  <c r="BT178" i="28"/>
  <c r="BU178" i="28"/>
  <c r="BV178" i="28"/>
  <c r="BW178" i="28"/>
  <c r="BX178" i="28"/>
  <c r="BY178" i="28"/>
  <c r="BZ178" i="28"/>
  <c r="CA178" i="28"/>
  <c r="CB178" i="28"/>
  <c r="CC178" i="28"/>
  <c r="CD178" i="28"/>
  <c r="CE178" i="28"/>
  <c r="CF178" i="28"/>
  <c r="CG178" i="28"/>
  <c r="CH178" i="28"/>
  <c r="CI178" i="28"/>
  <c r="CJ178" i="28"/>
  <c r="CK178" i="28"/>
  <c r="CL178" i="28"/>
  <c r="CM178" i="28"/>
  <c r="CN178" i="28"/>
  <c r="CO178" i="28"/>
  <c r="CP178" i="28"/>
  <c r="CQ178" i="28"/>
  <c r="CR178" i="28"/>
  <c r="CS178" i="28"/>
  <c r="CT178" i="28"/>
  <c r="CU178" i="28"/>
  <c r="CV178" i="28"/>
  <c r="CW178" i="28"/>
  <c r="CX178" i="28"/>
  <c r="CY178" i="28"/>
  <c r="CZ178" i="28"/>
  <c r="DA178" i="28"/>
  <c r="DB178" i="28"/>
  <c r="DC178" i="28"/>
  <c r="DD178" i="28"/>
  <c r="DE178" i="28"/>
  <c r="DF178" i="28"/>
  <c r="DG178" i="28"/>
  <c r="DH178" i="28"/>
  <c r="AN179" i="28"/>
  <c r="AO179" i="28"/>
  <c r="AP179" i="28"/>
  <c r="AQ179" i="28"/>
  <c r="AR179" i="28"/>
  <c r="AS179" i="28"/>
  <c r="AT179" i="28"/>
  <c r="AU179" i="28"/>
  <c r="AV179" i="28"/>
  <c r="AW179" i="28"/>
  <c r="AX179" i="28"/>
  <c r="AY179" i="28"/>
  <c r="AZ179" i="28"/>
  <c r="BA179" i="28"/>
  <c r="BB179" i="28"/>
  <c r="BC179" i="28"/>
  <c r="BD179" i="28"/>
  <c r="BE179" i="28"/>
  <c r="BF179" i="28"/>
  <c r="BG179" i="28"/>
  <c r="BH179" i="28"/>
  <c r="BI179" i="28"/>
  <c r="BJ179" i="28"/>
  <c r="BK179" i="28"/>
  <c r="BL179" i="28"/>
  <c r="BM179" i="28"/>
  <c r="BN179" i="28"/>
  <c r="BO179" i="28"/>
  <c r="BP179" i="28"/>
  <c r="BQ179" i="28"/>
  <c r="BR179" i="28"/>
  <c r="BS179" i="28"/>
  <c r="BT179" i="28"/>
  <c r="BU179" i="28"/>
  <c r="BV179" i="28"/>
  <c r="BW179" i="28"/>
  <c r="BX179" i="28"/>
  <c r="BY179" i="28"/>
  <c r="BZ179" i="28"/>
  <c r="CA179" i="28"/>
  <c r="CB179" i="28"/>
  <c r="CC179" i="28"/>
  <c r="CD179" i="28"/>
  <c r="CE179" i="28"/>
  <c r="CF179" i="28"/>
  <c r="CG179" i="28"/>
  <c r="CH179" i="28"/>
  <c r="CI179" i="28"/>
  <c r="CJ179" i="28"/>
  <c r="CK179" i="28"/>
  <c r="CL179" i="28"/>
  <c r="CM179" i="28"/>
  <c r="CN179" i="28"/>
  <c r="CO179" i="28"/>
  <c r="CP179" i="28"/>
  <c r="CQ179" i="28"/>
  <c r="CR179" i="28"/>
  <c r="CS179" i="28"/>
  <c r="CT179" i="28"/>
  <c r="CU179" i="28"/>
  <c r="CV179" i="28"/>
  <c r="CW179" i="28"/>
  <c r="CX179" i="28"/>
  <c r="CY179" i="28"/>
  <c r="CZ179" i="28"/>
  <c r="DA179" i="28"/>
  <c r="DB179" i="28"/>
  <c r="DC179" i="28"/>
  <c r="DD179" i="28"/>
  <c r="DE179" i="28"/>
  <c r="DF179" i="28"/>
  <c r="DG179" i="28"/>
  <c r="DH179" i="28"/>
  <c r="AN180" i="28"/>
  <c r="AO180" i="28"/>
  <c r="AP180" i="28"/>
  <c r="AQ180" i="28"/>
  <c r="AR180" i="28"/>
  <c r="AS180" i="28"/>
  <c r="AT180" i="28"/>
  <c r="AU180" i="28"/>
  <c r="AV180" i="28"/>
  <c r="AW180" i="28"/>
  <c r="AX180" i="28"/>
  <c r="AY180" i="28"/>
  <c r="AZ180" i="28"/>
  <c r="BA180" i="28"/>
  <c r="BB180" i="28"/>
  <c r="BC180" i="28"/>
  <c r="BD180" i="28"/>
  <c r="BE180" i="28"/>
  <c r="BF180" i="28"/>
  <c r="BG180" i="28"/>
  <c r="BH180" i="28"/>
  <c r="BI180" i="28"/>
  <c r="BJ180" i="28"/>
  <c r="BK180" i="28"/>
  <c r="BL180" i="28"/>
  <c r="BM180" i="28"/>
  <c r="BN180" i="28"/>
  <c r="BO180" i="28"/>
  <c r="BP180" i="28"/>
  <c r="BQ180" i="28"/>
  <c r="BR180" i="28"/>
  <c r="BS180" i="28"/>
  <c r="BT180" i="28"/>
  <c r="BU180" i="28"/>
  <c r="BV180" i="28"/>
  <c r="BW180" i="28"/>
  <c r="BX180" i="28"/>
  <c r="BY180" i="28"/>
  <c r="BZ180" i="28"/>
  <c r="CA180" i="28"/>
  <c r="CB180" i="28"/>
  <c r="CC180" i="28"/>
  <c r="CD180" i="28"/>
  <c r="CE180" i="28"/>
  <c r="CF180" i="28"/>
  <c r="CG180" i="28"/>
  <c r="CH180" i="28"/>
  <c r="CI180" i="28"/>
  <c r="CJ180" i="28"/>
  <c r="CK180" i="28"/>
  <c r="CL180" i="28"/>
  <c r="CM180" i="28"/>
  <c r="CN180" i="28"/>
  <c r="CO180" i="28"/>
  <c r="CP180" i="28"/>
  <c r="CQ180" i="28"/>
  <c r="CR180" i="28"/>
  <c r="CS180" i="28"/>
  <c r="CT180" i="28"/>
  <c r="CU180" i="28"/>
  <c r="CV180" i="28"/>
  <c r="CW180" i="28"/>
  <c r="CX180" i="28"/>
  <c r="CY180" i="28"/>
  <c r="CZ180" i="28"/>
  <c r="DA180" i="28"/>
  <c r="DB180" i="28"/>
  <c r="DC180" i="28"/>
  <c r="DD180" i="28"/>
  <c r="DE180" i="28"/>
  <c r="DF180" i="28"/>
  <c r="DG180" i="28"/>
  <c r="DH180" i="28"/>
  <c r="AN181" i="28"/>
  <c r="AO181" i="28"/>
  <c r="AP181" i="28"/>
  <c r="AQ181" i="28"/>
  <c r="AR181" i="28"/>
  <c r="AS181" i="28"/>
  <c r="AT181" i="28"/>
  <c r="AU181" i="28"/>
  <c r="AV181" i="28"/>
  <c r="AW181" i="28"/>
  <c r="AX181" i="28"/>
  <c r="AY181" i="28"/>
  <c r="AZ181" i="28"/>
  <c r="BA181" i="28"/>
  <c r="BB181" i="28"/>
  <c r="BC181" i="28"/>
  <c r="BD181" i="28"/>
  <c r="BE181" i="28"/>
  <c r="BF181" i="28"/>
  <c r="BG181" i="28"/>
  <c r="BH181" i="28"/>
  <c r="BI181" i="28"/>
  <c r="BJ181" i="28"/>
  <c r="BK181" i="28"/>
  <c r="BL181" i="28"/>
  <c r="BM181" i="28"/>
  <c r="BN181" i="28"/>
  <c r="BO181" i="28"/>
  <c r="BP181" i="28"/>
  <c r="BQ181" i="28"/>
  <c r="BR181" i="28"/>
  <c r="BS181" i="28"/>
  <c r="BT181" i="28"/>
  <c r="BU181" i="28"/>
  <c r="BV181" i="28"/>
  <c r="BW181" i="28"/>
  <c r="BX181" i="28"/>
  <c r="BY181" i="28"/>
  <c r="BZ181" i="28"/>
  <c r="CA181" i="28"/>
  <c r="CB181" i="28"/>
  <c r="CC181" i="28"/>
  <c r="CD181" i="28"/>
  <c r="CE181" i="28"/>
  <c r="CF181" i="28"/>
  <c r="CG181" i="28"/>
  <c r="CH181" i="28"/>
  <c r="CI181" i="28"/>
  <c r="CJ181" i="28"/>
  <c r="CK181" i="28"/>
  <c r="CL181" i="28"/>
  <c r="CM181" i="28"/>
  <c r="CN181" i="28"/>
  <c r="CO181" i="28"/>
  <c r="CP181" i="28"/>
  <c r="CQ181" i="28"/>
  <c r="CR181" i="28"/>
  <c r="CS181" i="28"/>
  <c r="CT181" i="28"/>
  <c r="CU181" i="28"/>
  <c r="CV181" i="28"/>
  <c r="CW181" i="28"/>
  <c r="CX181" i="28"/>
  <c r="CY181" i="28"/>
  <c r="CZ181" i="28"/>
  <c r="DA181" i="28"/>
  <c r="DB181" i="28"/>
  <c r="DC181" i="28"/>
  <c r="DD181" i="28"/>
  <c r="DE181" i="28"/>
  <c r="DF181" i="28"/>
  <c r="DG181" i="28"/>
  <c r="DH181" i="28"/>
  <c r="AN182" i="28"/>
  <c r="AO182" i="28"/>
  <c r="AP182" i="28"/>
  <c r="AQ182" i="28"/>
  <c r="AR182" i="28"/>
  <c r="AS182" i="28"/>
  <c r="AT182" i="28"/>
  <c r="AU182" i="28"/>
  <c r="AV182" i="28"/>
  <c r="AW182" i="28"/>
  <c r="AX182" i="28"/>
  <c r="AY182" i="28"/>
  <c r="AZ182" i="28"/>
  <c r="BA182" i="28"/>
  <c r="BB182" i="28"/>
  <c r="BC182" i="28"/>
  <c r="BD182" i="28"/>
  <c r="BE182" i="28"/>
  <c r="BF182" i="28"/>
  <c r="BG182" i="28"/>
  <c r="BH182" i="28"/>
  <c r="BI182" i="28"/>
  <c r="BJ182" i="28"/>
  <c r="BK182" i="28"/>
  <c r="BL182" i="28"/>
  <c r="BM182" i="28"/>
  <c r="BN182" i="28"/>
  <c r="BO182" i="28"/>
  <c r="BP182" i="28"/>
  <c r="BQ182" i="28"/>
  <c r="BR182" i="28"/>
  <c r="BS182" i="28"/>
  <c r="BT182" i="28"/>
  <c r="BU182" i="28"/>
  <c r="BV182" i="28"/>
  <c r="BW182" i="28"/>
  <c r="BX182" i="28"/>
  <c r="BY182" i="28"/>
  <c r="BZ182" i="28"/>
  <c r="CA182" i="28"/>
  <c r="CB182" i="28"/>
  <c r="CC182" i="28"/>
  <c r="CD182" i="28"/>
  <c r="CE182" i="28"/>
  <c r="CF182" i="28"/>
  <c r="CG182" i="28"/>
  <c r="CH182" i="28"/>
  <c r="CI182" i="28"/>
  <c r="CJ182" i="28"/>
  <c r="CK182" i="28"/>
  <c r="CL182" i="28"/>
  <c r="CM182" i="28"/>
  <c r="CN182" i="28"/>
  <c r="CO182" i="28"/>
  <c r="CP182" i="28"/>
  <c r="CQ182" i="28"/>
  <c r="CR182" i="28"/>
  <c r="CS182" i="28"/>
  <c r="CT182" i="28"/>
  <c r="CU182" i="28"/>
  <c r="CV182" i="28"/>
  <c r="CW182" i="28"/>
  <c r="CX182" i="28"/>
  <c r="CY182" i="28"/>
  <c r="CZ182" i="28"/>
  <c r="DA182" i="28"/>
  <c r="DB182" i="28"/>
  <c r="DC182" i="28"/>
  <c r="DD182" i="28"/>
  <c r="DE182" i="28"/>
  <c r="DF182" i="28"/>
  <c r="DG182" i="28"/>
  <c r="DH182" i="28"/>
  <c r="AN183" i="28"/>
  <c r="AO183" i="28"/>
  <c r="AP183" i="28"/>
  <c r="AQ183" i="28"/>
  <c r="AR183" i="28"/>
  <c r="AS183" i="28"/>
  <c r="AT183" i="28"/>
  <c r="AU183" i="28"/>
  <c r="AV183" i="28"/>
  <c r="AW183" i="28"/>
  <c r="AX183" i="28"/>
  <c r="AY183" i="28"/>
  <c r="AZ183" i="28"/>
  <c r="BA183" i="28"/>
  <c r="BB183" i="28"/>
  <c r="BC183" i="28"/>
  <c r="BD183" i="28"/>
  <c r="BE183" i="28"/>
  <c r="BF183" i="28"/>
  <c r="BG183" i="28"/>
  <c r="BH183" i="28"/>
  <c r="BI183" i="28"/>
  <c r="BJ183" i="28"/>
  <c r="BK183" i="28"/>
  <c r="BL183" i="28"/>
  <c r="BM183" i="28"/>
  <c r="BN183" i="28"/>
  <c r="BO183" i="28"/>
  <c r="BP183" i="28"/>
  <c r="BQ183" i="28"/>
  <c r="BR183" i="28"/>
  <c r="BS183" i="28"/>
  <c r="BT183" i="28"/>
  <c r="BU183" i="28"/>
  <c r="BV183" i="28"/>
  <c r="BW183" i="28"/>
  <c r="BX183" i="28"/>
  <c r="BY183" i="28"/>
  <c r="BZ183" i="28"/>
  <c r="CA183" i="28"/>
  <c r="CB183" i="28"/>
  <c r="CC183" i="28"/>
  <c r="CD183" i="28"/>
  <c r="CE183" i="28"/>
  <c r="CF183" i="28"/>
  <c r="CG183" i="28"/>
  <c r="CH183" i="28"/>
  <c r="CI183" i="28"/>
  <c r="CJ183" i="28"/>
  <c r="CK183" i="28"/>
  <c r="CL183" i="28"/>
  <c r="CM183" i="28"/>
  <c r="CN183" i="28"/>
  <c r="CO183" i="28"/>
  <c r="CP183" i="28"/>
  <c r="CQ183" i="28"/>
  <c r="CR183" i="28"/>
  <c r="CS183" i="28"/>
  <c r="CT183" i="28"/>
  <c r="CU183" i="28"/>
  <c r="CV183" i="28"/>
  <c r="CW183" i="28"/>
  <c r="CX183" i="28"/>
  <c r="CY183" i="28"/>
  <c r="CZ183" i="28"/>
  <c r="DA183" i="28"/>
  <c r="DB183" i="28"/>
  <c r="DC183" i="28"/>
  <c r="DD183" i="28"/>
  <c r="DE183" i="28"/>
  <c r="DF183" i="28"/>
  <c r="DG183" i="28"/>
  <c r="DH183" i="28"/>
  <c r="AO164" i="28"/>
  <c r="AP164" i="28"/>
  <c r="AQ164" i="28"/>
  <c r="AR164" i="28"/>
  <c r="AS164" i="28"/>
  <c r="AT164" i="28"/>
  <c r="AU164" i="28"/>
  <c r="AV164" i="28"/>
  <c r="AW164" i="28"/>
  <c r="AX164" i="28"/>
  <c r="AY164" i="28"/>
  <c r="AZ164" i="28"/>
  <c r="BA164" i="28"/>
  <c r="BB164" i="28"/>
  <c r="BC164" i="28"/>
  <c r="BD164" i="28"/>
  <c r="BE164" i="28"/>
  <c r="BF164" i="28"/>
  <c r="BG164" i="28"/>
  <c r="BH164" i="28"/>
  <c r="BI164" i="28"/>
  <c r="BJ164" i="28"/>
  <c r="BK164" i="28"/>
  <c r="BL164" i="28"/>
  <c r="BM164" i="28"/>
  <c r="BN164" i="28"/>
  <c r="BO164" i="28"/>
  <c r="BP164" i="28"/>
  <c r="BQ164" i="28"/>
  <c r="BR164" i="28"/>
  <c r="BS164" i="28"/>
  <c r="BT164" i="28"/>
  <c r="BU164" i="28"/>
  <c r="BV164" i="28"/>
  <c r="BW164" i="28"/>
  <c r="BX164" i="28"/>
  <c r="BY164" i="28"/>
  <c r="BZ164" i="28"/>
  <c r="CA164" i="28"/>
  <c r="CB164" i="28"/>
  <c r="CC164" i="28"/>
  <c r="CD164" i="28"/>
  <c r="CE164" i="28"/>
  <c r="CF164" i="28"/>
  <c r="CG164" i="28"/>
  <c r="CH164" i="28"/>
  <c r="CI164" i="28"/>
  <c r="CJ164" i="28"/>
  <c r="CK164" i="28"/>
  <c r="CL164" i="28"/>
  <c r="CM164" i="28"/>
  <c r="CN164" i="28"/>
  <c r="CO164" i="28"/>
  <c r="CP164" i="28"/>
  <c r="CQ164" i="28"/>
  <c r="CR164" i="28"/>
  <c r="CS164" i="28"/>
  <c r="CT164" i="28"/>
  <c r="CU164" i="28"/>
  <c r="CV164" i="28"/>
  <c r="CW164" i="28"/>
  <c r="CX164" i="28"/>
  <c r="CY164" i="28"/>
  <c r="CZ164" i="28"/>
  <c r="DA164" i="28"/>
  <c r="DB164" i="28"/>
  <c r="DC164" i="28"/>
  <c r="DD164" i="28"/>
  <c r="DE164" i="28"/>
  <c r="DF164" i="28"/>
  <c r="DG164" i="28"/>
  <c r="DH164" i="28"/>
  <c r="D91" i="29"/>
  <c r="E91" i="29"/>
  <c r="F91" i="29"/>
  <c r="G91" i="29"/>
  <c r="H91" i="29"/>
  <c r="I91" i="29"/>
  <c r="J91" i="29"/>
  <c r="K91" i="29"/>
  <c r="L91" i="29"/>
  <c r="M91" i="29"/>
  <c r="N91" i="29"/>
  <c r="O91" i="29"/>
  <c r="P91" i="29"/>
  <c r="Q91" i="29"/>
  <c r="R91" i="29"/>
  <c r="S91" i="29"/>
  <c r="T91" i="29"/>
  <c r="U91" i="29"/>
  <c r="V91" i="29"/>
  <c r="W91" i="29"/>
  <c r="X91" i="29"/>
  <c r="Y91" i="29"/>
  <c r="Z91" i="29"/>
  <c r="AA91" i="29"/>
  <c r="AB91" i="29"/>
  <c r="AC91" i="29"/>
  <c r="AD91" i="29"/>
  <c r="AE91" i="29"/>
  <c r="AF91" i="29"/>
  <c r="AG91" i="29"/>
  <c r="AH91" i="29"/>
  <c r="AI91" i="29"/>
  <c r="AJ91" i="29"/>
  <c r="AK91" i="29"/>
  <c r="AL91" i="29"/>
  <c r="AM91" i="29"/>
  <c r="AN91" i="29"/>
  <c r="AO91" i="29"/>
  <c r="AP91" i="29"/>
  <c r="AQ91" i="29"/>
  <c r="AR91" i="29"/>
  <c r="AS91" i="29"/>
  <c r="AT91" i="29"/>
  <c r="AU91" i="29"/>
  <c r="AV91" i="29"/>
  <c r="AW91" i="29"/>
  <c r="AX91" i="29"/>
  <c r="AY91" i="29"/>
  <c r="AZ91" i="29"/>
  <c r="BA91" i="29"/>
  <c r="BB91" i="29"/>
  <c r="BC91" i="29"/>
  <c r="BD91" i="29"/>
  <c r="BE91" i="29"/>
  <c r="BF91" i="29"/>
  <c r="BG91" i="29"/>
  <c r="BH91" i="29"/>
  <c r="BI91" i="29"/>
  <c r="BJ91" i="29"/>
  <c r="BK91" i="29"/>
  <c r="BL91" i="29"/>
  <c r="BM91" i="29"/>
  <c r="BN91" i="29"/>
  <c r="BO91" i="29"/>
  <c r="BP91" i="29"/>
  <c r="BQ91" i="29"/>
  <c r="BR91" i="29"/>
  <c r="BS91" i="29"/>
  <c r="BT91" i="29"/>
  <c r="BU91" i="29"/>
  <c r="BV91" i="29"/>
  <c r="BW91" i="29"/>
  <c r="BX91" i="29"/>
  <c r="BY91" i="29"/>
  <c r="BZ91" i="29"/>
  <c r="CA91" i="29"/>
  <c r="CB91" i="29"/>
  <c r="CC91" i="29"/>
  <c r="CD91" i="29"/>
  <c r="CE91" i="29"/>
  <c r="CF91" i="29"/>
  <c r="CG91" i="29"/>
  <c r="CH91" i="29"/>
  <c r="CI91" i="29"/>
  <c r="CJ91" i="29"/>
  <c r="CK91" i="29"/>
  <c r="CL91" i="29"/>
  <c r="CM91" i="29"/>
  <c r="CN91" i="29"/>
  <c r="CO91" i="29"/>
  <c r="CP91" i="29"/>
  <c r="CQ91" i="29"/>
  <c r="CR91" i="29"/>
  <c r="CS91" i="29"/>
  <c r="CT91" i="29"/>
  <c r="CU91" i="29"/>
  <c r="CV91" i="29"/>
  <c r="CW91" i="29"/>
  <c r="CX91" i="29"/>
  <c r="CY91" i="29"/>
  <c r="CZ91" i="29"/>
  <c r="DA91" i="29"/>
  <c r="DB91" i="29"/>
  <c r="DC91" i="29"/>
  <c r="DD91" i="29"/>
  <c r="DE91" i="29"/>
  <c r="DF91" i="29"/>
  <c r="DG91" i="29"/>
  <c r="DH91" i="29"/>
  <c r="C91" i="29"/>
  <c r="D201" i="29" l="1"/>
  <c r="E201" i="29"/>
  <c r="F201" i="29"/>
  <c r="G201" i="29"/>
  <c r="H201" i="29"/>
  <c r="I201" i="29"/>
  <c r="J201" i="29"/>
  <c r="K201" i="29"/>
  <c r="L201" i="29"/>
  <c r="M201" i="29"/>
  <c r="N201" i="29"/>
  <c r="O201" i="29"/>
  <c r="P201" i="29"/>
  <c r="Q201" i="29"/>
  <c r="R201" i="29"/>
  <c r="S201" i="29"/>
  <c r="T201" i="29"/>
  <c r="U201" i="29"/>
  <c r="V201" i="29"/>
  <c r="W201" i="29"/>
  <c r="X201" i="29"/>
  <c r="Y201" i="29"/>
  <c r="Z201" i="29"/>
  <c r="AA201" i="29"/>
  <c r="AB201" i="29"/>
  <c r="AC201" i="29"/>
  <c r="AD201" i="29"/>
  <c r="AE201" i="29"/>
  <c r="AF201" i="29"/>
  <c r="AG201" i="29"/>
  <c r="AH201" i="29"/>
  <c r="AI201" i="29"/>
  <c r="AJ201" i="29"/>
  <c r="AK201" i="29"/>
  <c r="AL201" i="29"/>
  <c r="AM201" i="29"/>
  <c r="AN201" i="29"/>
  <c r="AO201" i="29"/>
  <c r="AP201" i="29"/>
  <c r="AQ201" i="29"/>
  <c r="AR201" i="29"/>
  <c r="AS201" i="29"/>
  <c r="AT201" i="29"/>
  <c r="AU201" i="29"/>
  <c r="AV201" i="29"/>
  <c r="AW201" i="29"/>
  <c r="AX201" i="29"/>
  <c r="AY201" i="29"/>
  <c r="AZ201" i="29"/>
  <c r="BA201" i="29"/>
  <c r="BB201" i="29"/>
  <c r="BC201" i="29"/>
  <c r="BD201" i="29"/>
  <c r="BE201" i="29"/>
  <c r="BF201" i="29"/>
  <c r="BG201" i="29"/>
  <c r="BH201" i="29"/>
  <c r="BI201" i="29"/>
  <c r="BJ201" i="29"/>
  <c r="BK201" i="29"/>
  <c r="BL201" i="29"/>
  <c r="BM201" i="29"/>
  <c r="BN201" i="29"/>
  <c r="BO201" i="29"/>
  <c r="BP201" i="29"/>
  <c r="BQ201" i="29"/>
  <c r="BR201" i="29"/>
  <c r="BS201" i="29"/>
  <c r="BT201" i="29"/>
  <c r="BU201" i="29"/>
  <c r="BV201" i="29"/>
  <c r="BW201" i="29"/>
  <c r="BX201" i="29"/>
  <c r="BY201" i="29"/>
  <c r="BZ201" i="29"/>
  <c r="CA201" i="29"/>
  <c r="CB201" i="29"/>
  <c r="CC201" i="29"/>
  <c r="CD201" i="29"/>
  <c r="CE201" i="29"/>
  <c r="CF201" i="29"/>
  <c r="CG201" i="29"/>
  <c r="CH201" i="29"/>
  <c r="CI201" i="29"/>
  <c r="CJ201" i="29"/>
  <c r="CK201" i="29"/>
  <c r="CL201" i="29"/>
  <c r="CM201" i="29"/>
  <c r="CN201" i="29"/>
  <c r="CO201" i="29"/>
  <c r="CP201" i="29"/>
  <c r="CQ201" i="29"/>
  <c r="CR201" i="29"/>
  <c r="CS201" i="29"/>
  <c r="CT201" i="29"/>
  <c r="CU201" i="29"/>
  <c r="CV201" i="29"/>
  <c r="CW201" i="29"/>
  <c r="CX201" i="29"/>
  <c r="CY201" i="29"/>
  <c r="CZ201" i="29"/>
  <c r="DA201" i="29"/>
  <c r="DB201" i="29"/>
  <c r="DC201" i="29"/>
  <c r="DD201" i="29"/>
  <c r="DE201" i="29"/>
  <c r="DF201" i="29"/>
  <c r="DG201" i="29"/>
  <c r="DH201" i="29"/>
  <c r="DJ50" i="29"/>
  <c r="DJ51" i="29"/>
  <c r="DJ52" i="29"/>
  <c r="DJ53" i="29"/>
  <c r="DJ54" i="29"/>
  <c r="DJ55" i="29"/>
  <c r="DJ56" i="29"/>
  <c r="DJ57" i="29"/>
  <c r="DJ58" i="29"/>
  <c r="DJ59" i="29"/>
  <c r="DJ60" i="29"/>
  <c r="DJ61" i="29"/>
  <c r="DJ62" i="29"/>
  <c r="DJ63" i="29"/>
  <c r="DJ64" i="29"/>
  <c r="DJ65" i="29"/>
  <c r="DJ66" i="29"/>
  <c r="DJ49" i="29"/>
  <c r="DJ13" i="29"/>
  <c r="DJ14" i="29"/>
  <c r="DJ15" i="29"/>
  <c r="DJ16" i="29"/>
  <c r="DJ17" i="29"/>
  <c r="DJ18" i="29"/>
  <c r="DJ19" i="29"/>
  <c r="DJ20" i="29"/>
  <c r="DJ21" i="29"/>
  <c r="DJ22" i="29"/>
  <c r="DJ23" i="29"/>
  <c r="DJ24" i="29"/>
  <c r="DJ25" i="29"/>
  <c r="DJ26" i="29"/>
  <c r="DJ27" i="29"/>
  <c r="DJ28" i="29"/>
  <c r="DJ29" i="29"/>
  <c r="DJ30" i="29"/>
  <c r="DJ31" i="29"/>
  <c r="DJ32" i="29"/>
  <c r="DJ33" i="29"/>
  <c r="DJ34" i="29"/>
  <c r="DJ35" i="29"/>
  <c r="DJ36" i="29"/>
  <c r="DJ37" i="29"/>
  <c r="DJ38" i="29"/>
  <c r="DJ39" i="29"/>
  <c r="DJ40" i="29"/>
  <c r="DJ41" i="29"/>
  <c r="DJ42" i="29"/>
  <c r="DJ43" i="29"/>
  <c r="DJ44" i="29"/>
  <c r="DJ45" i="29"/>
  <c r="DJ46" i="29"/>
  <c r="DJ47" i="29"/>
  <c r="DJ48" i="29"/>
  <c r="DJ9" i="29"/>
  <c r="DJ10" i="29"/>
  <c r="DJ11" i="29"/>
  <c r="DJ12" i="29"/>
  <c r="DJ8" i="29"/>
  <c r="D198" i="4"/>
  <c r="E198" i="4"/>
  <c r="F198" i="4"/>
  <c r="G198" i="4"/>
  <c r="H198" i="4"/>
  <c r="I198" i="4"/>
  <c r="J198" i="4"/>
  <c r="K198" i="4"/>
  <c r="L198" i="4"/>
  <c r="M198" i="4"/>
  <c r="N198" i="4"/>
  <c r="O198" i="4"/>
  <c r="P198" i="4"/>
  <c r="Q198" i="4"/>
  <c r="R198" i="4"/>
  <c r="S198" i="4"/>
  <c r="T198" i="4"/>
  <c r="U198" i="4"/>
  <c r="V198" i="4"/>
  <c r="W198" i="4"/>
  <c r="X198" i="4"/>
  <c r="Y198" i="4"/>
  <c r="Z198" i="4"/>
  <c r="AA198" i="4"/>
  <c r="AB198" i="4"/>
  <c r="AC198" i="4"/>
  <c r="AD198" i="4"/>
  <c r="AE198" i="4"/>
  <c r="AF198" i="4"/>
  <c r="AG198" i="4"/>
  <c r="AH198" i="4"/>
  <c r="AI198" i="4"/>
  <c r="AJ198" i="4"/>
  <c r="AK198" i="4"/>
  <c r="AL198" i="4"/>
  <c r="AM198" i="4"/>
  <c r="AN198" i="4"/>
  <c r="AO198" i="4"/>
  <c r="AP198" i="4"/>
  <c r="AQ198" i="4"/>
  <c r="AQ63" i="4" s="1"/>
  <c r="AR198" i="4"/>
  <c r="AS198" i="4"/>
  <c r="AT198" i="4"/>
  <c r="AU198" i="4"/>
  <c r="AV198" i="4"/>
  <c r="AW198" i="4"/>
  <c r="AX198" i="4"/>
  <c r="AY198" i="4"/>
  <c r="AY63" i="4" s="1"/>
  <c r="AZ198" i="4"/>
  <c r="BA198" i="4"/>
  <c r="BB198" i="4"/>
  <c r="BC198" i="4"/>
  <c r="BD198" i="4"/>
  <c r="BE198" i="4"/>
  <c r="BF198" i="4"/>
  <c r="BG198" i="4"/>
  <c r="BG63" i="4" s="1"/>
  <c r="BH198" i="4"/>
  <c r="BI198" i="4"/>
  <c r="BJ198" i="4"/>
  <c r="BK198" i="4"/>
  <c r="BL198" i="4"/>
  <c r="BM198" i="4"/>
  <c r="BN198" i="4"/>
  <c r="BO198" i="4"/>
  <c r="BO63" i="4" s="1"/>
  <c r="BP198" i="4"/>
  <c r="BQ198" i="4"/>
  <c r="BR198" i="4"/>
  <c r="BS198" i="4"/>
  <c r="BT198" i="4"/>
  <c r="BU198" i="4"/>
  <c r="BV198" i="4"/>
  <c r="BW198" i="4"/>
  <c r="BX198" i="4"/>
  <c r="BY198" i="4"/>
  <c r="BZ198" i="4"/>
  <c r="CA198" i="4"/>
  <c r="CB198" i="4"/>
  <c r="CC198" i="4"/>
  <c r="CD198" i="4"/>
  <c r="CE198" i="4"/>
  <c r="CE63" i="4" s="1"/>
  <c r="CF198" i="4"/>
  <c r="CG198" i="4"/>
  <c r="CH198" i="4"/>
  <c r="CI198" i="4"/>
  <c r="CJ198" i="4"/>
  <c r="CK198" i="4"/>
  <c r="CL198" i="4"/>
  <c r="CM198" i="4"/>
  <c r="CN198" i="4"/>
  <c r="CO198" i="4"/>
  <c r="CP198" i="4"/>
  <c r="CQ198" i="4"/>
  <c r="CR198" i="4"/>
  <c r="CS198" i="4"/>
  <c r="CT198" i="4"/>
  <c r="CU198" i="4"/>
  <c r="CV198" i="4"/>
  <c r="CW198" i="4"/>
  <c r="CX198" i="4"/>
  <c r="CY198" i="4"/>
  <c r="CZ198" i="4"/>
  <c r="DA198" i="4"/>
  <c r="DB198" i="4"/>
  <c r="DC198" i="4"/>
  <c r="DD198" i="4"/>
  <c r="DE198" i="4"/>
  <c r="DF198" i="4"/>
  <c r="DG198" i="4"/>
  <c r="DH198" i="4"/>
  <c r="D199" i="4"/>
  <c r="E199" i="4"/>
  <c r="F199" i="4"/>
  <c r="G199" i="4"/>
  <c r="H199" i="4"/>
  <c r="I199" i="4"/>
  <c r="J199" i="4"/>
  <c r="K199" i="4"/>
  <c r="L199" i="4"/>
  <c r="M199" i="4"/>
  <c r="N199" i="4"/>
  <c r="O199" i="4"/>
  <c r="P199" i="4"/>
  <c r="Q199" i="4"/>
  <c r="R199" i="4"/>
  <c r="S199" i="4"/>
  <c r="T199" i="4"/>
  <c r="U199" i="4"/>
  <c r="V199" i="4"/>
  <c r="W199" i="4"/>
  <c r="X199" i="4"/>
  <c r="Y199" i="4"/>
  <c r="Z199" i="4"/>
  <c r="AA199" i="4"/>
  <c r="AB199" i="4"/>
  <c r="AC199" i="4"/>
  <c r="AD199" i="4"/>
  <c r="AE199" i="4"/>
  <c r="AF199" i="4"/>
  <c r="AG199" i="4"/>
  <c r="AH199" i="4"/>
  <c r="AI199" i="4"/>
  <c r="AJ199" i="4"/>
  <c r="AK199" i="4"/>
  <c r="AL199" i="4"/>
  <c r="AM199" i="4"/>
  <c r="AN199" i="4"/>
  <c r="AO199" i="4"/>
  <c r="AP199" i="4"/>
  <c r="AQ199" i="4"/>
  <c r="AR199" i="4"/>
  <c r="AS199" i="4"/>
  <c r="AT199" i="4"/>
  <c r="AU199" i="4"/>
  <c r="AV199" i="4"/>
  <c r="AW199" i="4"/>
  <c r="AX199" i="4"/>
  <c r="AY199" i="4"/>
  <c r="AZ199" i="4"/>
  <c r="BA199" i="4"/>
  <c r="BB199" i="4"/>
  <c r="BC199" i="4"/>
  <c r="BD199" i="4"/>
  <c r="BE199" i="4"/>
  <c r="BF199" i="4"/>
  <c r="BG199" i="4"/>
  <c r="BH199" i="4"/>
  <c r="BI199" i="4"/>
  <c r="BJ199" i="4"/>
  <c r="BK199" i="4"/>
  <c r="BL199" i="4"/>
  <c r="BM199" i="4"/>
  <c r="BN199" i="4"/>
  <c r="BO199" i="4"/>
  <c r="BP199" i="4"/>
  <c r="BQ199" i="4"/>
  <c r="BR199" i="4"/>
  <c r="BS199" i="4"/>
  <c r="BT199" i="4"/>
  <c r="BU199" i="4"/>
  <c r="BV199" i="4"/>
  <c r="BW199" i="4"/>
  <c r="BX199" i="4"/>
  <c r="BY199" i="4"/>
  <c r="BZ199" i="4"/>
  <c r="CA199" i="4"/>
  <c r="CB199" i="4"/>
  <c r="CC199" i="4"/>
  <c r="CD199" i="4"/>
  <c r="CE199" i="4"/>
  <c r="CF199" i="4"/>
  <c r="CG199" i="4"/>
  <c r="CH199" i="4"/>
  <c r="CI199" i="4"/>
  <c r="CJ199" i="4"/>
  <c r="CK199" i="4"/>
  <c r="CL199" i="4"/>
  <c r="CM199" i="4"/>
  <c r="CN199" i="4"/>
  <c r="CO199" i="4"/>
  <c r="CP199" i="4"/>
  <c r="CQ199" i="4"/>
  <c r="CR199" i="4"/>
  <c r="CS199" i="4"/>
  <c r="CT199" i="4"/>
  <c r="CU199" i="4"/>
  <c r="CV199" i="4"/>
  <c r="CW199" i="4"/>
  <c r="CX199" i="4"/>
  <c r="CY199" i="4"/>
  <c r="CZ199" i="4"/>
  <c r="DA199" i="4"/>
  <c r="DB199" i="4"/>
  <c r="DC199" i="4"/>
  <c r="DD199" i="4"/>
  <c r="DE199" i="4"/>
  <c r="DF199" i="4"/>
  <c r="DG199" i="4"/>
  <c r="DH199" i="4"/>
  <c r="D200" i="4"/>
  <c r="E200" i="4"/>
  <c r="F200" i="4"/>
  <c r="G200" i="4"/>
  <c r="H200" i="4"/>
  <c r="I200" i="4"/>
  <c r="I63" i="4" s="1"/>
  <c r="J200" i="4"/>
  <c r="K200" i="4"/>
  <c r="L200" i="4"/>
  <c r="M200" i="4"/>
  <c r="N200" i="4"/>
  <c r="O200" i="4"/>
  <c r="P200" i="4"/>
  <c r="Q200" i="4"/>
  <c r="Q63" i="4" s="1"/>
  <c r="R200" i="4"/>
  <c r="S200" i="4"/>
  <c r="T200" i="4"/>
  <c r="U200" i="4"/>
  <c r="V200" i="4"/>
  <c r="W200" i="4"/>
  <c r="X200" i="4"/>
  <c r="Y200" i="4"/>
  <c r="Y63" i="4" s="1"/>
  <c r="Z200" i="4"/>
  <c r="AA200" i="4"/>
  <c r="AB200" i="4"/>
  <c r="AC200" i="4"/>
  <c r="AD200" i="4"/>
  <c r="AE200" i="4"/>
  <c r="AF200" i="4"/>
  <c r="AG200" i="4"/>
  <c r="AH200" i="4"/>
  <c r="AI200" i="4"/>
  <c r="AJ200" i="4"/>
  <c r="AK200" i="4"/>
  <c r="AL200" i="4"/>
  <c r="AM200" i="4"/>
  <c r="AN200" i="4"/>
  <c r="AO200" i="4"/>
  <c r="AO63" i="4" s="1"/>
  <c r="AP200" i="4"/>
  <c r="AQ200" i="4"/>
  <c r="AR200" i="4"/>
  <c r="AS200" i="4"/>
  <c r="AT200" i="4"/>
  <c r="AU200" i="4"/>
  <c r="AV200" i="4"/>
  <c r="AW200" i="4"/>
  <c r="AW63" i="4" s="1"/>
  <c r="AX200" i="4"/>
  <c r="AY200" i="4"/>
  <c r="AZ200" i="4"/>
  <c r="BA200" i="4"/>
  <c r="BB200" i="4"/>
  <c r="BC200" i="4"/>
  <c r="BD200" i="4"/>
  <c r="BE200" i="4"/>
  <c r="BF200" i="4"/>
  <c r="BG200" i="4"/>
  <c r="BH200" i="4"/>
  <c r="BI200" i="4"/>
  <c r="BJ200" i="4"/>
  <c r="BK200" i="4"/>
  <c r="BL200" i="4"/>
  <c r="BM200" i="4"/>
  <c r="BM63" i="4" s="1"/>
  <c r="BN200" i="4"/>
  <c r="BO200" i="4"/>
  <c r="BP200" i="4"/>
  <c r="BQ200" i="4"/>
  <c r="BR200" i="4"/>
  <c r="BS200" i="4"/>
  <c r="BT200" i="4"/>
  <c r="BU200" i="4"/>
  <c r="BU63" i="4" s="1"/>
  <c r="BV200" i="4"/>
  <c r="BW200" i="4"/>
  <c r="BX200" i="4"/>
  <c r="BY200" i="4"/>
  <c r="BZ200" i="4"/>
  <c r="CA200" i="4"/>
  <c r="CB200" i="4"/>
  <c r="CC200" i="4"/>
  <c r="CC63" i="4" s="1"/>
  <c r="CD200" i="4"/>
  <c r="CE200" i="4"/>
  <c r="CF200" i="4"/>
  <c r="CG200" i="4"/>
  <c r="CH200" i="4"/>
  <c r="CI200" i="4"/>
  <c r="CJ200" i="4"/>
  <c r="CK200" i="4"/>
  <c r="CK63" i="4" s="1"/>
  <c r="CL200" i="4"/>
  <c r="CM200" i="4"/>
  <c r="CN200" i="4"/>
  <c r="CO200" i="4"/>
  <c r="CP200" i="4"/>
  <c r="CQ200" i="4"/>
  <c r="CR200" i="4"/>
  <c r="CS200" i="4"/>
  <c r="CS63" i="4" s="1"/>
  <c r="CT200" i="4"/>
  <c r="CU200" i="4"/>
  <c r="CV200" i="4"/>
  <c r="CW200" i="4"/>
  <c r="CX200" i="4"/>
  <c r="CY200" i="4"/>
  <c r="CZ200" i="4"/>
  <c r="DA200" i="4"/>
  <c r="DA63" i="4" s="1"/>
  <c r="DB200" i="4"/>
  <c r="DC200" i="4"/>
  <c r="DD200" i="4"/>
  <c r="DE200" i="4"/>
  <c r="DF200" i="4"/>
  <c r="DG200" i="4"/>
  <c r="DH200" i="4"/>
  <c r="D201" i="4"/>
  <c r="D63" i="4" s="1"/>
  <c r="E201" i="4"/>
  <c r="F201" i="4"/>
  <c r="G201" i="4"/>
  <c r="H201" i="4"/>
  <c r="I201" i="4"/>
  <c r="J201" i="4"/>
  <c r="K201" i="4"/>
  <c r="L201" i="4"/>
  <c r="M201" i="4"/>
  <c r="N201" i="4"/>
  <c r="O201" i="4"/>
  <c r="P201" i="4"/>
  <c r="Q201" i="4"/>
  <c r="R201" i="4"/>
  <c r="S201" i="4"/>
  <c r="T201" i="4"/>
  <c r="T63" i="4" s="1"/>
  <c r="U201" i="4"/>
  <c r="V201" i="4"/>
  <c r="W201" i="4"/>
  <c r="X201" i="4"/>
  <c r="Y201" i="4"/>
  <c r="Z201" i="4"/>
  <c r="AA201" i="4"/>
  <c r="AB201" i="4"/>
  <c r="AB63" i="4" s="1"/>
  <c r="AC201" i="4"/>
  <c r="AD201" i="4"/>
  <c r="AE201" i="4"/>
  <c r="AF201" i="4"/>
  <c r="AG201" i="4"/>
  <c r="AH201" i="4"/>
  <c r="AI201" i="4"/>
  <c r="AJ201" i="4"/>
  <c r="AJ63" i="4" s="1"/>
  <c r="AK201" i="4"/>
  <c r="AL201" i="4"/>
  <c r="AM201" i="4"/>
  <c r="AN201" i="4"/>
  <c r="AO201" i="4"/>
  <c r="AP201" i="4"/>
  <c r="AQ201" i="4"/>
  <c r="AR201" i="4"/>
  <c r="AR63" i="4" s="1"/>
  <c r="AS201" i="4"/>
  <c r="AT201" i="4"/>
  <c r="AU201" i="4"/>
  <c r="AV201" i="4"/>
  <c r="AW201" i="4"/>
  <c r="AX201" i="4"/>
  <c r="AY201" i="4"/>
  <c r="AZ201" i="4"/>
  <c r="AZ63" i="4" s="1"/>
  <c r="BA201" i="4"/>
  <c r="BB201" i="4"/>
  <c r="BC201" i="4"/>
  <c r="BD201" i="4"/>
  <c r="BE201" i="4"/>
  <c r="BF201" i="4"/>
  <c r="BG201" i="4"/>
  <c r="BH201" i="4"/>
  <c r="BH63" i="4" s="1"/>
  <c r="BI201" i="4"/>
  <c r="BJ201" i="4"/>
  <c r="BK201" i="4"/>
  <c r="BL201" i="4"/>
  <c r="BM201" i="4"/>
  <c r="BN201" i="4"/>
  <c r="BO201" i="4"/>
  <c r="BP201" i="4"/>
  <c r="BQ201" i="4"/>
  <c r="BR201" i="4"/>
  <c r="BS201" i="4"/>
  <c r="BT201" i="4"/>
  <c r="BU201" i="4"/>
  <c r="BV201" i="4"/>
  <c r="BW201" i="4"/>
  <c r="BX201" i="4"/>
  <c r="BX63" i="4" s="1"/>
  <c r="BY201" i="4"/>
  <c r="BZ201" i="4"/>
  <c r="CA201" i="4"/>
  <c r="CB201" i="4"/>
  <c r="CC201" i="4"/>
  <c r="CD201" i="4"/>
  <c r="CE201" i="4"/>
  <c r="CF201" i="4"/>
  <c r="CG201" i="4"/>
  <c r="CH201" i="4"/>
  <c r="CI201" i="4"/>
  <c r="CJ201" i="4"/>
  <c r="CK201" i="4"/>
  <c r="CL201" i="4"/>
  <c r="CM201" i="4"/>
  <c r="CN201" i="4"/>
  <c r="CN63" i="4" s="1"/>
  <c r="CO201" i="4"/>
  <c r="CP201" i="4"/>
  <c r="CQ201" i="4"/>
  <c r="CR201" i="4"/>
  <c r="CS201" i="4"/>
  <c r="CT201" i="4"/>
  <c r="CU201" i="4"/>
  <c r="CV201" i="4"/>
  <c r="CV63" i="4" s="1"/>
  <c r="CW201" i="4"/>
  <c r="CX201" i="4"/>
  <c r="CY201" i="4"/>
  <c r="CZ201" i="4"/>
  <c r="DA201" i="4"/>
  <c r="DB201" i="4"/>
  <c r="DC201" i="4"/>
  <c r="DD201" i="4"/>
  <c r="DD63" i="4" s="1"/>
  <c r="DE201" i="4"/>
  <c r="DF201" i="4"/>
  <c r="DG201" i="4"/>
  <c r="DH201" i="4"/>
  <c r="D202" i="4"/>
  <c r="E202" i="4"/>
  <c r="F202" i="4"/>
  <c r="G202" i="4"/>
  <c r="H202" i="4"/>
  <c r="I202" i="4"/>
  <c r="J202" i="4"/>
  <c r="K202" i="4"/>
  <c r="L202" i="4"/>
  <c r="M202" i="4"/>
  <c r="N202" i="4"/>
  <c r="O202" i="4"/>
  <c r="O63" i="4" s="1"/>
  <c r="P202" i="4"/>
  <c r="Q202" i="4"/>
  <c r="R202" i="4"/>
  <c r="S202" i="4"/>
  <c r="T202" i="4"/>
  <c r="U202" i="4"/>
  <c r="V202" i="4"/>
  <c r="W202" i="4"/>
  <c r="W63" i="4" s="1"/>
  <c r="X202" i="4"/>
  <c r="Y202" i="4"/>
  <c r="Z202" i="4"/>
  <c r="AA202" i="4"/>
  <c r="AB202" i="4"/>
  <c r="AC202" i="4"/>
  <c r="AD202" i="4"/>
  <c r="AE202" i="4"/>
  <c r="AE63" i="4" s="1"/>
  <c r="AF202" i="4"/>
  <c r="AG202" i="4"/>
  <c r="AH202" i="4"/>
  <c r="AI202" i="4"/>
  <c r="AJ202" i="4"/>
  <c r="AK202" i="4"/>
  <c r="AL202" i="4"/>
  <c r="AM202" i="4"/>
  <c r="AN202" i="4"/>
  <c r="AO202" i="4"/>
  <c r="AP202" i="4"/>
  <c r="AQ202" i="4"/>
  <c r="AR202" i="4"/>
  <c r="AS202" i="4"/>
  <c r="AT202" i="4"/>
  <c r="AU202" i="4"/>
  <c r="AU63" i="4" s="1"/>
  <c r="AV202" i="4"/>
  <c r="AW202" i="4"/>
  <c r="AX202" i="4"/>
  <c r="AY202" i="4"/>
  <c r="AZ202" i="4"/>
  <c r="BA202" i="4"/>
  <c r="BB202" i="4"/>
  <c r="BC202" i="4"/>
  <c r="BC63" i="4" s="1"/>
  <c r="BD202" i="4"/>
  <c r="BE202" i="4"/>
  <c r="BF202" i="4"/>
  <c r="BG202" i="4"/>
  <c r="BH202" i="4"/>
  <c r="BI202" i="4"/>
  <c r="BJ202" i="4"/>
  <c r="BK202" i="4"/>
  <c r="BL202" i="4"/>
  <c r="BM202" i="4"/>
  <c r="BN202" i="4"/>
  <c r="BO202" i="4"/>
  <c r="BP202" i="4"/>
  <c r="BQ202" i="4"/>
  <c r="BR202" i="4"/>
  <c r="BS202" i="4"/>
  <c r="BS63" i="4" s="1"/>
  <c r="BT202" i="4"/>
  <c r="BU202" i="4"/>
  <c r="BV202" i="4"/>
  <c r="BW202" i="4"/>
  <c r="BX202" i="4"/>
  <c r="BY202" i="4"/>
  <c r="BZ202" i="4"/>
  <c r="CA202" i="4"/>
  <c r="CA63" i="4" s="1"/>
  <c r="CB202" i="4"/>
  <c r="CC202" i="4"/>
  <c r="CD202" i="4"/>
  <c r="CE202" i="4"/>
  <c r="CF202" i="4"/>
  <c r="CG202" i="4"/>
  <c r="CH202" i="4"/>
  <c r="CI202" i="4"/>
  <c r="CJ202" i="4"/>
  <c r="CK202" i="4"/>
  <c r="CL202" i="4"/>
  <c r="CM202" i="4"/>
  <c r="CN202" i="4"/>
  <c r="CO202" i="4"/>
  <c r="CP202" i="4"/>
  <c r="CQ202" i="4"/>
  <c r="CR202" i="4"/>
  <c r="CS202" i="4"/>
  <c r="CT202" i="4"/>
  <c r="CU202" i="4"/>
  <c r="CV202" i="4"/>
  <c r="CW202" i="4"/>
  <c r="CX202" i="4"/>
  <c r="CY202" i="4"/>
  <c r="CY63" i="4" s="1"/>
  <c r="CZ202" i="4"/>
  <c r="DA202" i="4"/>
  <c r="DB202" i="4"/>
  <c r="DC202" i="4"/>
  <c r="DD202" i="4"/>
  <c r="DE202" i="4"/>
  <c r="DF202" i="4"/>
  <c r="DG202" i="4"/>
  <c r="DG63" i="4" s="1"/>
  <c r="DH202" i="4"/>
  <c r="D203" i="4"/>
  <c r="E203" i="4"/>
  <c r="F203" i="4"/>
  <c r="G203" i="4"/>
  <c r="H203" i="4"/>
  <c r="I203" i="4"/>
  <c r="J203" i="4"/>
  <c r="J63" i="4" s="1"/>
  <c r="K203" i="4"/>
  <c r="L203" i="4"/>
  <c r="M203" i="4"/>
  <c r="N203" i="4"/>
  <c r="O203" i="4"/>
  <c r="P203" i="4"/>
  <c r="Q203" i="4"/>
  <c r="R203" i="4"/>
  <c r="R63" i="4" s="1"/>
  <c r="S203" i="4"/>
  <c r="T203" i="4"/>
  <c r="U203" i="4"/>
  <c r="V203" i="4"/>
  <c r="W203" i="4"/>
  <c r="X203" i="4"/>
  <c r="Y203" i="4"/>
  <c r="Z203" i="4"/>
  <c r="Z63" i="4" s="1"/>
  <c r="AA203" i="4"/>
  <c r="AB203" i="4"/>
  <c r="AC203" i="4"/>
  <c r="AD203" i="4"/>
  <c r="AE203" i="4"/>
  <c r="AF203" i="4"/>
  <c r="AG203" i="4"/>
  <c r="AH203" i="4"/>
  <c r="AH63" i="4" s="1"/>
  <c r="AI203" i="4"/>
  <c r="AJ203" i="4"/>
  <c r="AK203" i="4"/>
  <c r="AL203" i="4"/>
  <c r="AM203" i="4"/>
  <c r="AN203" i="4"/>
  <c r="AO203" i="4"/>
  <c r="AP203" i="4"/>
  <c r="AQ203" i="4"/>
  <c r="AR203" i="4"/>
  <c r="AS203" i="4"/>
  <c r="AT203" i="4"/>
  <c r="AU203" i="4"/>
  <c r="AV203" i="4"/>
  <c r="AW203" i="4"/>
  <c r="AX203" i="4"/>
  <c r="AX63" i="4" s="1"/>
  <c r="AY203" i="4"/>
  <c r="AZ203" i="4"/>
  <c r="BA203" i="4"/>
  <c r="BB203" i="4"/>
  <c r="BC203" i="4"/>
  <c r="BD203" i="4"/>
  <c r="BE203" i="4"/>
  <c r="BF203" i="4"/>
  <c r="BF63" i="4" s="1"/>
  <c r="BG203" i="4"/>
  <c r="BH203" i="4"/>
  <c r="BI203" i="4"/>
  <c r="BJ203" i="4"/>
  <c r="BK203" i="4"/>
  <c r="BL203" i="4"/>
  <c r="BM203" i="4"/>
  <c r="BN203" i="4"/>
  <c r="BO203" i="4"/>
  <c r="BP203" i="4"/>
  <c r="BQ203" i="4"/>
  <c r="BR203" i="4"/>
  <c r="BS203" i="4"/>
  <c r="BT203" i="4"/>
  <c r="BU203" i="4"/>
  <c r="BV203" i="4"/>
  <c r="BV63" i="4" s="1"/>
  <c r="BW203" i="4"/>
  <c r="BX203" i="4"/>
  <c r="BY203" i="4"/>
  <c r="BZ203" i="4"/>
  <c r="CA203" i="4"/>
  <c r="CB203" i="4"/>
  <c r="CC203" i="4"/>
  <c r="CD203" i="4"/>
  <c r="CD63" i="4" s="1"/>
  <c r="CE203" i="4"/>
  <c r="CF203" i="4"/>
  <c r="CG203" i="4"/>
  <c r="CH203" i="4"/>
  <c r="CI203" i="4"/>
  <c r="CJ203" i="4"/>
  <c r="CK203" i="4"/>
  <c r="CL203" i="4"/>
  <c r="CL63" i="4" s="1"/>
  <c r="CM203" i="4"/>
  <c r="CN203" i="4"/>
  <c r="CO203" i="4"/>
  <c r="CP203" i="4"/>
  <c r="CQ203" i="4"/>
  <c r="CR203" i="4"/>
  <c r="CS203" i="4"/>
  <c r="CT203" i="4"/>
  <c r="CT63" i="4" s="1"/>
  <c r="CU203" i="4"/>
  <c r="CV203" i="4"/>
  <c r="CW203" i="4"/>
  <c r="CX203" i="4"/>
  <c r="CY203" i="4"/>
  <c r="CZ203" i="4"/>
  <c r="DA203" i="4"/>
  <c r="DB203" i="4"/>
  <c r="DB63" i="4" s="1"/>
  <c r="DC203" i="4"/>
  <c r="DD203" i="4"/>
  <c r="DE203" i="4"/>
  <c r="DF203" i="4"/>
  <c r="DG203" i="4"/>
  <c r="DH203" i="4"/>
  <c r="D204" i="4"/>
  <c r="E204" i="4"/>
  <c r="F204" i="4"/>
  <c r="G204" i="4"/>
  <c r="H204" i="4"/>
  <c r="I204" i="4"/>
  <c r="J204" i="4"/>
  <c r="K204" i="4"/>
  <c r="L204" i="4"/>
  <c r="M204" i="4"/>
  <c r="N204" i="4"/>
  <c r="O204" i="4"/>
  <c r="P204" i="4"/>
  <c r="Q204" i="4"/>
  <c r="R204" i="4"/>
  <c r="S204" i="4"/>
  <c r="T204" i="4"/>
  <c r="U204" i="4"/>
  <c r="V204" i="4"/>
  <c r="W204" i="4"/>
  <c r="X204" i="4"/>
  <c r="Y204" i="4"/>
  <c r="Z204" i="4"/>
  <c r="AA204" i="4"/>
  <c r="AB204" i="4"/>
  <c r="AC204" i="4"/>
  <c r="AD204" i="4"/>
  <c r="AE204" i="4"/>
  <c r="AF204" i="4"/>
  <c r="AG204" i="4"/>
  <c r="AH204" i="4"/>
  <c r="AI204" i="4"/>
  <c r="AJ204" i="4"/>
  <c r="AK204" i="4"/>
  <c r="AL204" i="4"/>
  <c r="AM204" i="4"/>
  <c r="AN204" i="4"/>
  <c r="AO204" i="4"/>
  <c r="AP204" i="4"/>
  <c r="AQ204" i="4"/>
  <c r="AR204" i="4"/>
  <c r="AS204" i="4"/>
  <c r="AT204" i="4"/>
  <c r="AU204" i="4"/>
  <c r="AV204" i="4"/>
  <c r="AW204" i="4"/>
  <c r="AX204" i="4"/>
  <c r="AY204" i="4"/>
  <c r="AZ204" i="4"/>
  <c r="BA204" i="4"/>
  <c r="BB204" i="4"/>
  <c r="BC204" i="4"/>
  <c r="BD204" i="4"/>
  <c r="BE204" i="4"/>
  <c r="BF204" i="4"/>
  <c r="BG204" i="4"/>
  <c r="BH204" i="4"/>
  <c r="BI204" i="4"/>
  <c r="BJ204" i="4"/>
  <c r="BK204" i="4"/>
  <c r="BL204" i="4"/>
  <c r="BM204" i="4"/>
  <c r="BN204" i="4"/>
  <c r="BO204" i="4"/>
  <c r="BP204" i="4"/>
  <c r="BQ204" i="4"/>
  <c r="BR204" i="4"/>
  <c r="BS204" i="4"/>
  <c r="BT204" i="4"/>
  <c r="BU204" i="4"/>
  <c r="BV204" i="4"/>
  <c r="BW204" i="4"/>
  <c r="BX204" i="4"/>
  <c r="BY204" i="4"/>
  <c r="BZ204" i="4"/>
  <c r="CA204" i="4"/>
  <c r="CB204" i="4"/>
  <c r="CC204" i="4"/>
  <c r="CD204" i="4"/>
  <c r="CE204" i="4"/>
  <c r="CF204" i="4"/>
  <c r="CG204" i="4"/>
  <c r="CH204" i="4"/>
  <c r="CI204" i="4"/>
  <c r="CJ204" i="4"/>
  <c r="CK204" i="4"/>
  <c r="CL204" i="4"/>
  <c r="CM204" i="4"/>
  <c r="CN204" i="4"/>
  <c r="CO204" i="4"/>
  <c r="CP204" i="4"/>
  <c r="CQ204" i="4"/>
  <c r="CR204" i="4"/>
  <c r="CS204" i="4"/>
  <c r="CT204" i="4"/>
  <c r="CU204" i="4"/>
  <c r="CV204" i="4"/>
  <c r="CW204" i="4"/>
  <c r="CX204" i="4"/>
  <c r="CY204" i="4"/>
  <c r="CZ204" i="4"/>
  <c r="DA204" i="4"/>
  <c r="DB204" i="4"/>
  <c r="DC204" i="4"/>
  <c r="DD204" i="4"/>
  <c r="DE204" i="4"/>
  <c r="DF204" i="4"/>
  <c r="DG204" i="4"/>
  <c r="DH204" i="4"/>
  <c r="D205" i="4"/>
  <c r="E205" i="4"/>
  <c r="F205" i="4"/>
  <c r="G205" i="4"/>
  <c r="H205" i="4"/>
  <c r="I205" i="4"/>
  <c r="J205" i="4"/>
  <c r="K205" i="4"/>
  <c r="L205" i="4"/>
  <c r="M205" i="4"/>
  <c r="N205" i="4"/>
  <c r="O205" i="4"/>
  <c r="P205" i="4"/>
  <c r="P63" i="4" s="1"/>
  <c r="Q205" i="4"/>
  <c r="R205" i="4"/>
  <c r="S205" i="4"/>
  <c r="T205" i="4"/>
  <c r="U205" i="4"/>
  <c r="V205" i="4"/>
  <c r="W205" i="4"/>
  <c r="X205" i="4"/>
  <c r="X63" i="4" s="1"/>
  <c r="Y205" i="4"/>
  <c r="Z205" i="4"/>
  <c r="AA205" i="4"/>
  <c r="AB205" i="4"/>
  <c r="AC205" i="4"/>
  <c r="AD205" i="4"/>
  <c r="AE205" i="4"/>
  <c r="AF205" i="4"/>
  <c r="AF63" i="4" s="1"/>
  <c r="AG205" i="4"/>
  <c r="AH205" i="4"/>
  <c r="AI205" i="4"/>
  <c r="AJ205" i="4"/>
  <c r="AK205" i="4"/>
  <c r="AL205" i="4"/>
  <c r="AM205" i="4"/>
  <c r="AN205" i="4"/>
  <c r="AN63" i="4" s="1"/>
  <c r="AO205" i="4"/>
  <c r="AP205" i="4"/>
  <c r="AQ205" i="4"/>
  <c r="AR205" i="4"/>
  <c r="AS205" i="4"/>
  <c r="AT205" i="4"/>
  <c r="AU205" i="4"/>
  <c r="AV205" i="4"/>
  <c r="AV63" i="4" s="1"/>
  <c r="AW205" i="4"/>
  <c r="AX205" i="4"/>
  <c r="AY205" i="4"/>
  <c r="AZ205" i="4"/>
  <c r="BA205" i="4"/>
  <c r="BB205" i="4"/>
  <c r="BC205" i="4"/>
  <c r="BD205" i="4"/>
  <c r="BE205" i="4"/>
  <c r="BF205" i="4"/>
  <c r="BG205" i="4"/>
  <c r="BH205" i="4"/>
  <c r="BI205" i="4"/>
  <c r="BJ205" i="4"/>
  <c r="BK205" i="4"/>
  <c r="BL205" i="4"/>
  <c r="BL63" i="4" s="1"/>
  <c r="BM205" i="4"/>
  <c r="BN205" i="4"/>
  <c r="BO205" i="4"/>
  <c r="BP205" i="4"/>
  <c r="BQ205" i="4"/>
  <c r="BR205" i="4"/>
  <c r="BS205" i="4"/>
  <c r="BT205" i="4"/>
  <c r="BT63" i="4" s="1"/>
  <c r="BU205" i="4"/>
  <c r="BV205" i="4"/>
  <c r="BW205" i="4"/>
  <c r="BX205" i="4"/>
  <c r="BY205" i="4"/>
  <c r="BZ205" i="4"/>
  <c r="CA205" i="4"/>
  <c r="CB205" i="4"/>
  <c r="CB63" i="4" s="1"/>
  <c r="CC205" i="4"/>
  <c r="CD205" i="4"/>
  <c r="CE205" i="4"/>
  <c r="CF205" i="4"/>
  <c r="CG205" i="4"/>
  <c r="CH205" i="4"/>
  <c r="CI205" i="4"/>
  <c r="CJ205" i="4"/>
  <c r="CJ63" i="4" s="1"/>
  <c r="CK205" i="4"/>
  <c r="CL205" i="4"/>
  <c r="CM205" i="4"/>
  <c r="CN205" i="4"/>
  <c r="CO205" i="4"/>
  <c r="CP205" i="4"/>
  <c r="CQ205" i="4"/>
  <c r="CR205" i="4"/>
  <c r="CR63" i="4" s="1"/>
  <c r="CS205" i="4"/>
  <c r="CT205" i="4"/>
  <c r="CU205" i="4"/>
  <c r="CV205" i="4"/>
  <c r="CW205" i="4"/>
  <c r="CX205" i="4"/>
  <c r="CY205" i="4"/>
  <c r="CZ205" i="4"/>
  <c r="CZ63" i="4" s="1"/>
  <c r="DA205" i="4"/>
  <c r="DB205" i="4"/>
  <c r="DC205" i="4"/>
  <c r="DD205" i="4"/>
  <c r="DE205" i="4"/>
  <c r="DF205" i="4"/>
  <c r="DG205" i="4"/>
  <c r="DH205" i="4"/>
  <c r="DH63" i="4" s="1"/>
  <c r="D206" i="4"/>
  <c r="E206" i="4"/>
  <c r="F206" i="4"/>
  <c r="G206" i="4"/>
  <c r="H206" i="4"/>
  <c r="I206" i="4"/>
  <c r="J206" i="4"/>
  <c r="K206" i="4"/>
  <c r="L206" i="4"/>
  <c r="M206" i="4"/>
  <c r="N206" i="4"/>
  <c r="O206" i="4"/>
  <c r="P206" i="4"/>
  <c r="Q206" i="4"/>
  <c r="R206" i="4"/>
  <c r="S206" i="4"/>
  <c r="T206" i="4"/>
  <c r="U206" i="4"/>
  <c r="V206" i="4"/>
  <c r="W206" i="4"/>
  <c r="X206" i="4"/>
  <c r="Y206" i="4"/>
  <c r="Z206" i="4"/>
  <c r="AA206" i="4"/>
  <c r="AB206" i="4"/>
  <c r="AC206" i="4"/>
  <c r="AD206" i="4"/>
  <c r="AE206" i="4"/>
  <c r="AF206" i="4"/>
  <c r="AG206" i="4"/>
  <c r="AH206" i="4"/>
  <c r="AI206" i="4"/>
  <c r="AJ206" i="4"/>
  <c r="AK206" i="4"/>
  <c r="AL206" i="4"/>
  <c r="AM206" i="4"/>
  <c r="AN206" i="4"/>
  <c r="AO206" i="4"/>
  <c r="AP206" i="4"/>
  <c r="AQ206" i="4"/>
  <c r="AR206" i="4"/>
  <c r="AS206" i="4"/>
  <c r="AT206" i="4"/>
  <c r="AU206" i="4"/>
  <c r="AV206" i="4"/>
  <c r="AW206" i="4"/>
  <c r="AX206" i="4"/>
  <c r="AY206" i="4"/>
  <c r="AZ206" i="4"/>
  <c r="BA206" i="4"/>
  <c r="BB206" i="4"/>
  <c r="BC206" i="4"/>
  <c r="BD206" i="4"/>
  <c r="BE206" i="4"/>
  <c r="BF206" i="4"/>
  <c r="BG206" i="4"/>
  <c r="BH206" i="4"/>
  <c r="BI206" i="4"/>
  <c r="BJ206" i="4"/>
  <c r="BK206" i="4"/>
  <c r="BL206" i="4"/>
  <c r="BM206" i="4"/>
  <c r="BN206" i="4"/>
  <c r="BO206" i="4"/>
  <c r="BP206" i="4"/>
  <c r="BQ206" i="4"/>
  <c r="BR206" i="4"/>
  <c r="BS206" i="4"/>
  <c r="BT206" i="4"/>
  <c r="BU206" i="4"/>
  <c r="BV206" i="4"/>
  <c r="BW206" i="4"/>
  <c r="BW63" i="4" s="1"/>
  <c r="BX206" i="4"/>
  <c r="BY206" i="4"/>
  <c r="BZ206" i="4"/>
  <c r="CA206" i="4"/>
  <c r="CB206" i="4"/>
  <c r="CC206" i="4"/>
  <c r="CD206" i="4"/>
  <c r="CE206" i="4"/>
  <c r="CF206" i="4"/>
  <c r="CG206" i="4"/>
  <c r="CH206" i="4"/>
  <c r="CI206" i="4"/>
  <c r="CJ206" i="4"/>
  <c r="CK206" i="4"/>
  <c r="CL206" i="4"/>
  <c r="CM206" i="4"/>
  <c r="CN206" i="4"/>
  <c r="CO206" i="4"/>
  <c r="CP206" i="4"/>
  <c r="CQ206" i="4"/>
  <c r="CR206" i="4"/>
  <c r="CS206" i="4"/>
  <c r="CT206" i="4"/>
  <c r="CU206" i="4"/>
  <c r="CV206" i="4"/>
  <c r="CW206" i="4"/>
  <c r="CX206" i="4"/>
  <c r="CY206" i="4"/>
  <c r="CZ206" i="4"/>
  <c r="DA206" i="4"/>
  <c r="DB206" i="4"/>
  <c r="DC206" i="4"/>
  <c r="DD206" i="4"/>
  <c r="DE206" i="4"/>
  <c r="DF206" i="4"/>
  <c r="DG206" i="4"/>
  <c r="DH206" i="4"/>
  <c r="D207" i="4"/>
  <c r="E207" i="4"/>
  <c r="F207" i="4"/>
  <c r="G207" i="4"/>
  <c r="H207" i="4"/>
  <c r="I207" i="4"/>
  <c r="J207" i="4"/>
  <c r="K207" i="4"/>
  <c r="L207" i="4"/>
  <c r="M207" i="4"/>
  <c r="N207" i="4"/>
  <c r="O207" i="4"/>
  <c r="P207" i="4"/>
  <c r="Q207" i="4"/>
  <c r="R207" i="4"/>
  <c r="S207" i="4"/>
  <c r="T207" i="4"/>
  <c r="U207" i="4"/>
  <c r="V207" i="4"/>
  <c r="W207" i="4"/>
  <c r="X207" i="4"/>
  <c r="Y207" i="4"/>
  <c r="Z207" i="4"/>
  <c r="AA207" i="4"/>
  <c r="AB207" i="4"/>
  <c r="AC207" i="4"/>
  <c r="AD207" i="4"/>
  <c r="AE207" i="4"/>
  <c r="AF207" i="4"/>
  <c r="AG207" i="4"/>
  <c r="AH207" i="4"/>
  <c r="AI207" i="4"/>
  <c r="AJ207" i="4"/>
  <c r="AK207" i="4"/>
  <c r="AL207" i="4"/>
  <c r="AM207" i="4"/>
  <c r="AN207" i="4"/>
  <c r="AO207" i="4"/>
  <c r="AP207" i="4"/>
  <c r="AQ207" i="4"/>
  <c r="AR207" i="4"/>
  <c r="AS207" i="4"/>
  <c r="AT207" i="4"/>
  <c r="AU207" i="4"/>
  <c r="AV207" i="4"/>
  <c r="AW207" i="4"/>
  <c r="AX207" i="4"/>
  <c r="AY207" i="4"/>
  <c r="AZ207" i="4"/>
  <c r="BA207" i="4"/>
  <c r="BB207" i="4"/>
  <c r="BC207" i="4"/>
  <c r="BD207" i="4"/>
  <c r="BE207" i="4"/>
  <c r="BF207" i="4"/>
  <c r="BG207" i="4"/>
  <c r="BH207" i="4"/>
  <c r="BI207" i="4"/>
  <c r="BJ207" i="4"/>
  <c r="BK207" i="4"/>
  <c r="BL207" i="4"/>
  <c r="BM207" i="4"/>
  <c r="BN207" i="4"/>
  <c r="BO207" i="4"/>
  <c r="BP207" i="4"/>
  <c r="BQ207" i="4"/>
  <c r="BR207" i="4"/>
  <c r="BS207" i="4"/>
  <c r="BT207" i="4"/>
  <c r="BU207" i="4"/>
  <c r="BV207" i="4"/>
  <c r="BW207" i="4"/>
  <c r="BX207" i="4"/>
  <c r="BY207" i="4"/>
  <c r="BZ207" i="4"/>
  <c r="CA207" i="4"/>
  <c r="CB207" i="4"/>
  <c r="CC207" i="4"/>
  <c r="CD207" i="4"/>
  <c r="CE207" i="4"/>
  <c r="CF207" i="4"/>
  <c r="CG207" i="4"/>
  <c r="CH207" i="4"/>
  <c r="CI207" i="4"/>
  <c r="CJ207" i="4"/>
  <c r="CK207" i="4"/>
  <c r="CL207" i="4"/>
  <c r="CM207" i="4"/>
  <c r="CN207" i="4"/>
  <c r="CO207" i="4"/>
  <c r="CP207" i="4"/>
  <c r="CQ207" i="4"/>
  <c r="CR207" i="4"/>
  <c r="CS207" i="4"/>
  <c r="CT207" i="4"/>
  <c r="CU207" i="4"/>
  <c r="CV207" i="4"/>
  <c r="CW207" i="4"/>
  <c r="CX207" i="4"/>
  <c r="CY207" i="4"/>
  <c r="CZ207" i="4"/>
  <c r="DA207" i="4"/>
  <c r="DB207" i="4"/>
  <c r="DC207" i="4"/>
  <c r="DD207" i="4"/>
  <c r="DE207" i="4"/>
  <c r="DF207" i="4"/>
  <c r="DG207" i="4"/>
  <c r="DH207" i="4"/>
  <c r="D208" i="4"/>
  <c r="E208" i="4"/>
  <c r="F208" i="4"/>
  <c r="G208" i="4"/>
  <c r="H208" i="4"/>
  <c r="I208" i="4"/>
  <c r="J208" i="4"/>
  <c r="K208" i="4"/>
  <c r="L208" i="4"/>
  <c r="M208" i="4"/>
  <c r="N208" i="4"/>
  <c r="O208" i="4"/>
  <c r="P208" i="4"/>
  <c r="Q208" i="4"/>
  <c r="R208" i="4"/>
  <c r="S208" i="4"/>
  <c r="T208" i="4"/>
  <c r="U208" i="4"/>
  <c r="V208" i="4"/>
  <c r="W208" i="4"/>
  <c r="X208" i="4"/>
  <c r="Y208" i="4"/>
  <c r="Z208" i="4"/>
  <c r="AA208" i="4"/>
  <c r="AB208" i="4"/>
  <c r="AC208" i="4"/>
  <c r="AD208" i="4"/>
  <c r="AE208" i="4"/>
  <c r="AF208" i="4"/>
  <c r="AG208" i="4"/>
  <c r="AG63" i="4" s="1"/>
  <c r="AH208" i="4"/>
  <c r="AI208" i="4"/>
  <c r="AJ208" i="4"/>
  <c r="AK208" i="4"/>
  <c r="AL208" i="4"/>
  <c r="AM208" i="4"/>
  <c r="AN208" i="4"/>
  <c r="AO208" i="4"/>
  <c r="AP208" i="4"/>
  <c r="AQ208" i="4"/>
  <c r="AR208" i="4"/>
  <c r="AS208" i="4"/>
  <c r="AT208" i="4"/>
  <c r="AU208" i="4"/>
  <c r="AV208" i="4"/>
  <c r="AW208" i="4"/>
  <c r="AX208" i="4"/>
  <c r="AY208" i="4"/>
  <c r="AZ208" i="4"/>
  <c r="BA208" i="4"/>
  <c r="BB208" i="4"/>
  <c r="BC208" i="4"/>
  <c r="BD208" i="4"/>
  <c r="BE208" i="4"/>
  <c r="BF208" i="4"/>
  <c r="BG208" i="4"/>
  <c r="BH208" i="4"/>
  <c r="BI208" i="4"/>
  <c r="BJ208" i="4"/>
  <c r="BK208" i="4"/>
  <c r="BL208" i="4"/>
  <c r="BM208" i="4"/>
  <c r="BN208" i="4"/>
  <c r="BO208" i="4"/>
  <c r="BP208" i="4"/>
  <c r="BQ208" i="4"/>
  <c r="BR208" i="4"/>
  <c r="BS208" i="4"/>
  <c r="BT208" i="4"/>
  <c r="BU208" i="4"/>
  <c r="BV208" i="4"/>
  <c r="BW208" i="4"/>
  <c r="BX208" i="4"/>
  <c r="BY208" i="4"/>
  <c r="BZ208" i="4"/>
  <c r="CA208" i="4"/>
  <c r="CB208" i="4"/>
  <c r="CC208" i="4"/>
  <c r="CD208" i="4"/>
  <c r="CE208" i="4"/>
  <c r="CF208" i="4"/>
  <c r="CG208" i="4"/>
  <c r="CH208" i="4"/>
  <c r="CI208" i="4"/>
  <c r="CJ208" i="4"/>
  <c r="CK208" i="4"/>
  <c r="CL208" i="4"/>
  <c r="CM208" i="4"/>
  <c r="CN208" i="4"/>
  <c r="CO208" i="4"/>
  <c r="CP208" i="4"/>
  <c r="CQ208" i="4"/>
  <c r="CR208" i="4"/>
  <c r="CS208" i="4"/>
  <c r="CT208" i="4"/>
  <c r="CU208" i="4"/>
  <c r="CV208" i="4"/>
  <c r="CW208" i="4"/>
  <c r="CX208" i="4"/>
  <c r="CY208" i="4"/>
  <c r="CZ208" i="4"/>
  <c r="DA208" i="4"/>
  <c r="DB208" i="4"/>
  <c r="DC208" i="4"/>
  <c r="DD208" i="4"/>
  <c r="DE208" i="4"/>
  <c r="DF208" i="4"/>
  <c r="DG208" i="4"/>
  <c r="DH208" i="4"/>
  <c r="D209" i="4"/>
  <c r="E209" i="4"/>
  <c r="F209" i="4"/>
  <c r="G209" i="4"/>
  <c r="H209" i="4"/>
  <c r="I209" i="4"/>
  <c r="J209" i="4"/>
  <c r="K209" i="4"/>
  <c r="L209" i="4"/>
  <c r="M209" i="4"/>
  <c r="N209" i="4"/>
  <c r="O209" i="4"/>
  <c r="P209" i="4"/>
  <c r="Q209" i="4"/>
  <c r="R209" i="4"/>
  <c r="S209" i="4"/>
  <c r="T209" i="4"/>
  <c r="U209" i="4"/>
  <c r="V209" i="4"/>
  <c r="W209" i="4"/>
  <c r="X209" i="4"/>
  <c r="Y209" i="4"/>
  <c r="Z209" i="4"/>
  <c r="AA209" i="4"/>
  <c r="AB209" i="4"/>
  <c r="AC209" i="4"/>
  <c r="AD209" i="4"/>
  <c r="AE209" i="4"/>
  <c r="AF209" i="4"/>
  <c r="AG209" i="4"/>
  <c r="AH209" i="4"/>
  <c r="AI209" i="4"/>
  <c r="AJ209" i="4"/>
  <c r="AK209" i="4"/>
  <c r="AL209" i="4"/>
  <c r="AM209" i="4"/>
  <c r="AN209" i="4"/>
  <c r="AO209" i="4"/>
  <c r="AP209" i="4"/>
  <c r="AQ209" i="4"/>
  <c r="AR209" i="4"/>
  <c r="AS209" i="4"/>
  <c r="AT209" i="4"/>
  <c r="AU209" i="4"/>
  <c r="AV209" i="4"/>
  <c r="AW209" i="4"/>
  <c r="AX209" i="4"/>
  <c r="AY209" i="4"/>
  <c r="AZ209" i="4"/>
  <c r="BA209" i="4"/>
  <c r="BB209" i="4"/>
  <c r="BC209" i="4"/>
  <c r="BD209" i="4"/>
  <c r="BE209" i="4"/>
  <c r="BF209" i="4"/>
  <c r="BG209" i="4"/>
  <c r="BH209" i="4"/>
  <c r="BI209" i="4"/>
  <c r="BJ209" i="4"/>
  <c r="BK209" i="4"/>
  <c r="BL209" i="4"/>
  <c r="BM209" i="4"/>
  <c r="BN209" i="4"/>
  <c r="BO209" i="4"/>
  <c r="BP209" i="4"/>
  <c r="BP63" i="4" s="1"/>
  <c r="BQ209" i="4"/>
  <c r="BR209" i="4"/>
  <c r="BS209" i="4"/>
  <c r="BT209" i="4"/>
  <c r="BU209" i="4"/>
  <c r="BV209" i="4"/>
  <c r="BW209" i="4"/>
  <c r="BX209" i="4"/>
  <c r="BY209" i="4"/>
  <c r="BZ209" i="4"/>
  <c r="CA209" i="4"/>
  <c r="CB209" i="4"/>
  <c r="CC209" i="4"/>
  <c r="CD209" i="4"/>
  <c r="CE209" i="4"/>
  <c r="CF209" i="4"/>
  <c r="CG209" i="4"/>
  <c r="CH209" i="4"/>
  <c r="CI209" i="4"/>
  <c r="CJ209" i="4"/>
  <c r="CK209" i="4"/>
  <c r="CL209" i="4"/>
  <c r="CM209" i="4"/>
  <c r="CN209" i="4"/>
  <c r="CO209" i="4"/>
  <c r="CP209" i="4"/>
  <c r="CQ209" i="4"/>
  <c r="CR209" i="4"/>
  <c r="CS209" i="4"/>
  <c r="CT209" i="4"/>
  <c r="CU209" i="4"/>
  <c r="CV209" i="4"/>
  <c r="CW209" i="4"/>
  <c r="CX209" i="4"/>
  <c r="CY209" i="4"/>
  <c r="CZ209" i="4"/>
  <c r="DA209" i="4"/>
  <c r="DB209" i="4"/>
  <c r="DC209" i="4"/>
  <c r="DD209" i="4"/>
  <c r="DE209" i="4"/>
  <c r="DF209" i="4"/>
  <c r="DG209" i="4"/>
  <c r="DH209" i="4"/>
  <c r="D210" i="4"/>
  <c r="E210" i="4"/>
  <c r="F210" i="4"/>
  <c r="G210" i="4"/>
  <c r="H210" i="4"/>
  <c r="I210" i="4"/>
  <c r="J210" i="4"/>
  <c r="K210" i="4"/>
  <c r="L210" i="4"/>
  <c r="M210" i="4"/>
  <c r="N210" i="4"/>
  <c r="O210" i="4"/>
  <c r="P210" i="4"/>
  <c r="Q210" i="4"/>
  <c r="R210" i="4"/>
  <c r="S210" i="4"/>
  <c r="T210" i="4"/>
  <c r="U210" i="4"/>
  <c r="V210" i="4"/>
  <c r="W210" i="4"/>
  <c r="X210" i="4"/>
  <c r="Y210" i="4"/>
  <c r="Z210" i="4"/>
  <c r="AA210" i="4"/>
  <c r="AB210" i="4"/>
  <c r="AC210" i="4"/>
  <c r="AD210" i="4"/>
  <c r="AE210" i="4"/>
  <c r="AF210" i="4"/>
  <c r="AG210" i="4"/>
  <c r="AH210" i="4"/>
  <c r="AI210" i="4"/>
  <c r="AJ210" i="4"/>
  <c r="AK210" i="4"/>
  <c r="AL210" i="4"/>
  <c r="AM210" i="4"/>
  <c r="AN210" i="4"/>
  <c r="AO210" i="4"/>
  <c r="AP210" i="4"/>
  <c r="AQ210" i="4"/>
  <c r="AR210" i="4"/>
  <c r="AS210" i="4"/>
  <c r="AT210" i="4"/>
  <c r="AU210" i="4"/>
  <c r="AV210" i="4"/>
  <c r="AW210" i="4"/>
  <c r="AX210" i="4"/>
  <c r="AY210" i="4"/>
  <c r="AZ210" i="4"/>
  <c r="BA210" i="4"/>
  <c r="BB210" i="4"/>
  <c r="BC210" i="4"/>
  <c r="BD210" i="4"/>
  <c r="BE210" i="4"/>
  <c r="BF210" i="4"/>
  <c r="BG210" i="4"/>
  <c r="BH210" i="4"/>
  <c r="BI210" i="4"/>
  <c r="BJ210" i="4"/>
  <c r="BK210" i="4"/>
  <c r="BL210" i="4"/>
  <c r="BM210" i="4"/>
  <c r="BN210" i="4"/>
  <c r="BO210" i="4"/>
  <c r="BP210" i="4"/>
  <c r="BQ210" i="4"/>
  <c r="BR210" i="4"/>
  <c r="BS210" i="4"/>
  <c r="BT210" i="4"/>
  <c r="BU210" i="4"/>
  <c r="BV210" i="4"/>
  <c r="BW210" i="4"/>
  <c r="BX210" i="4"/>
  <c r="BY210" i="4"/>
  <c r="BZ210" i="4"/>
  <c r="CA210" i="4"/>
  <c r="CB210" i="4"/>
  <c r="CC210" i="4"/>
  <c r="CD210" i="4"/>
  <c r="CE210" i="4"/>
  <c r="CF210" i="4"/>
  <c r="CG210" i="4"/>
  <c r="CH210" i="4"/>
  <c r="CI210" i="4"/>
  <c r="CI63" i="4" s="1"/>
  <c r="CJ210" i="4"/>
  <c r="CK210" i="4"/>
  <c r="CL210" i="4"/>
  <c r="CM210" i="4"/>
  <c r="CN210" i="4"/>
  <c r="CO210" i="4"/>
  <c r="CP210" i="4"/>
  <c r="CQ210" i="4"/>
  <c r="CR210" i="4"/>
  <c r="CS210" i="4"/>
  <c r="CT210" i="4"/>
  <c r="CU210" i="4"/>
  <c r="CV210" i="4"/>
  <c r="CW210" i="4"/>
  <c r="CX210" i="4"/>
  <c r="CY210" i="4"/>
  <c r="CZ210" i="4"/>
  <c r="DA210" i="4"/>
  <c r="DB210" i="4"/>
  <c r="DC210" i="4"/>
  <c r="DD210" i="4"/>
  <c r="DE210" i="4"/>
  <c r="DF210" i="4"/>
  <c r="DG210" i="4"/>
  <c r="DH210" i="4"/>
  <c r="D211" i="4"/>
  <c r="E211" i="4"/>
  <c r="F211" i="4"/>
  <c r="G211" i="4"/>
  <c r="H211" i="4"/>
  <c r="I211" i="4"/>
  <c r="J211" i="4"/>
  <c r="K211" i="4"/>
  <c r="L211" i="4"/>
  <c r="M211" i="4"/>
  <c r="N211" i="4"/>
  <c r="O211" i="4"/>
  <c r="P211" i="4"/>
  <c r="Q211" i="4"/>
  <c r="R211" i="4"/>
  <c r="S211" i="4"/>
  <c r="T211" i="4"/>
  <c r="U211" i="4"/>
  <c r="V211" i="4"/>
  <c r="W211" i="4"/>
  <c r="X211" i="4"/>
  <c r="Y211" i="4"/>
  <c r="Z211" i="4"/>
  <c r="AA211" i="4"/>
  <c r="AB211" i="4"/>
  <c r="AC211" i="4"/>
  <c r="AD211" i="4"/>
  <c r="AE211" i="4"/>
  <c r="AF211" i="4"/>
  <c r="AG211" i="4"/>
  <c r="AH211" i="4"/>
  <c r="AI211" i="4"/>
  <c r="AJ211" i="4"/>
  <c r="AK211" i="4"/>
  <c r="AL211" i="4"/>
  <c r="AM211" i="4"/>
  <c r="AN211" i="4"/>
  <c r="AO211" i="4"/>
  <c r="AP211" i="4"/>
  <c r="AQ211" i="4"/>
  <c r="AR211" i="4"/>
  <c r="AS211" i="4"/>
  <c r="AT211" i="4"/>
  <c r="AU211" i="4"/>
  <c r="AV211" i="4"/>
  <c r="AW211" i="4"/>
  <c r="AX211" i="4"/>
  <c r="AY211" i="4"/>
  <c r="AZ211" i="4"/>
  <c r="BA211" i="4"/>
  <c r="BB211" i="4"/>
  <c r="BC211" i="4"/>
  <c r="BD211" i="4"/>
  <c r="BE211" i="4"/>
  <c r="BF211" i="4"/>
  <c r="BG211" i="4"/>
  <c r="BH211" i="4"/>
  <c r="BI211" i="4"/>
  <c r="BJ211" i="4"/>
  <c r="BK211" i="4"/>
  <c r="BL211" i="4"/>
  <c r="BM211" i="4"/>
  <c r="BN211" i="4"/>
  <c r="BO211" i="4"/>
  <c r="BP211" i="4"/>
  <c r="BQ211" i="4"/>
  <c r="BR211" i="4"/>
  <c r="BS211" i="4"/>
  <c r="BT211" i="4"/>
  <c r="BU211" i="4"/>
  <c r="BV211" i="4"/>
  <c r="BW211" i="4"/>
  <c r="BX211" i="4"/>
  <c r="BY211" i="4"/>
  <c r="BZ211" i="4"/>
  <c r="CA211" i="4"/>
  <c r="CB211" i="4"/>
  <c r="CC211" i="4"/>
  <c r="CD211" i="4"/>
  <c r="CE211" i="4"/>
  <c r="CF211" i="4"/>
  <c r="CG211" i="4"/>
  <c r="CH211" i="4"/>
  <c r="CI211" i="4"/>
  <c r="CJ211" i="4"/>
  <c r="CK211" i="4"/>
  <c r="CL211" i="4"/>
  <c r="CM211" i="4"/>
  <c r="CN211" i="4"/>
  <c r="CO211" i="4"/>
  <c r="CP211" i="4"/>
  <c r="CQ211" i="4"/>
  <c r="CR211" i="4"/>
  <c r="CS211" i="4"/>
  <c r="CT211" i="4"/>
  <c r="CU211" i="4"/>
  <c r="CV211" i="4"/>
  <c r="CW211" i="4"/>
  <c r="CX211" i="4"/>
  <c r="CY211" i="4"/>
  <c r="CZ211" i="4"/>
  <c r="DA211" i="4"/>
  <c r="DB211" i="4"/>
  <c r="DC211" i="4"/>
  <c r="DD211" i="4"/>
  <c r="DE211" i="4"/>
  <c r="DF211" i="4"/>
  <c r="DG211" i="4"/>
  <c r="DH211" i="4"/>
  <c r="D212" i="4"/>
  <c r="E212" i="4"/>
  <c r="F212" i="4"/>
  <c r="G212" i="4"/>
  <c r="H212" i="4"/>
  <c r="I212" i="4"/>
  <c r="J212" i="4"/>
  <c r="K212" i="4"/>
  <c r="L212" i="4"/>
  <c r="M212" i="4"/>
  <c r="N212" i="4"/>
  <c r="O212" i="4"/>
  <c r="P212" i="4"/>
  <c r="Q212" i="4"/>
  <c r="R212" i="4"/>
  <c r="S212" i="4"/>
  <c r="T212" i="4"/>
  <c r="U212" i="4"/>
  <c r="V212" i="4"/>
  <c r="W212" i="4"/>
  <c r="X212" i="4"/>
  <c r="Y212" i="4"/>
  <c r="Z212" i="4"/>
  <c r="AA212" i="4"/>
  <c r="AB212" i="4"/>
  <c r="AC212" i="4"/>
  <c r="AD212" i="4"/>
  <c r="AE212" i="4"/>
  <c r="AF212" i="4"/>
  <c r="AG212" i="4"/>
  <c r="AH212" i="4"/>
  <c r="AI212" i="4"/>
  <c r="AJ212" i="4"/>
  <c r="AK212" i="4"/>
  <c r="AL212" i="4"/>
  <c r="AM212" i="4"/>
  <c r="AN212" i="4"/>
  <c r="AO212" i="4"/>
  <c r="AP212" i="4"/>
  <c r="AQ212" i="4"/>
  <c r="AR212" i="4"/>
  <c r="AS212" i="4"/>
  <c r="AT212" i="4"/>
  <c r="AU212" i="4"/>
  <c r="AV212" i="4"/>
  <c r="AW212" i="4"/>
  <c r="AX212" i="4"/>
  <c r="AY212" i="4"/>
  <c r="AZ212" i="4"/>
  <c r="BA212" i="4"/>
  <c r="BB212" i="4"/>
  <c r="BC212" i="4"/>
  <c r="BD212" i="4"/>
  <c r="BE212" i="4"/>
  <c r="BF212" i="4"/>
  <c r="BG212" i="4"/>
  <c r="BH212" i="4"/>
  <c r="BI212" i="4"/>
  <c r="BJ212" i="4"/>
  <c r="BK212" i="4"/>
  <c r="BL212" i="4"/>
  <c r="BM212" i="4"/>
  <c r="BN212" i="4"/>
  <c r="BO212" i="4"/>
  <c r="BP212" i="4"/>
  <c r="BQ212" i="4"/>
  <c r="BR212" i="4"/>
  <c r="BS212" i="4"/>
  <c r="BT212" i="4"/>
  <c r="BU212" i="4"/>
  <c r="BV212" i="4"/>
  <c r="BW212" i="4"/>
  <c r="BX212" i="4"/>
  <c r="BY212" i="4"/>
  <c r="BZ212" i="4"/>
  <c r="CA212" i="4"/>
  <c r="CB212" i="4"/>
  <c r="CC212" i="4"/>
  <c r="CD212" i="4"/>
  <c r="CE212" i="4"/>
  <c r="CF212" i="4"/>
  <c r="CG212" i="4"/>
  <c r="CH212" i="4"/>
  <c r="CI212" i="4"/>
  <c r="CJ212" i="4"/>
  <c r="CK212" i="4"/>
  <c r="CL212" i="4"/>
  <c r="CM212" i="4"/>
  <c r="CN212" i="4"/>
  <c r="CO212" i="4"/>
  <c r="CP212" i="4"/>
  <c r="CQ212" i="4"/>
  <c r="CR212" i="4"/>
  <c r="CS212" i="4"/>
  <c r="CT212" i="4"/>
  <c r="CU212" i="4"/>
  <c r="CV212" i="4"/>
  <c r="CW212" i="4"/>
  <c r="CX212" i="4"/>
  <c r="CY212" i="4"/>
  <c r="CZ212" i="4"/>
  <c r="DA212" i="4"/>
  <c r="DB212" i="4"/>
  <c r="DC212" i="4"/>
  <c r="DD212" i="4"/>
  <c r="DE212" i="4"/>
  <c r="DF212" i="4"/>
  <c r="DG212" i="4"/>
  <c r="DH212" i="4"/>
  <c r="D213" i="4"/>
  <c r="E213" i="4"/>
  <c r="F213" i="4"/>
  <c r="G213" i="4"/>
  <c r="H213" i="4"/>
  <c r="I213" i="4"/>
  <c r="J213" i="4"/>
  <c r="K213" i="4"/>
  <c r="L213" i="4"/>
  <c r="M213" i="4"/>
  <c r="N213" i="4"/>
  <c r="O213" i="4"/>
  <c r="P213" i="4"/>
  <c r="Q213" i="4"/>
  <c r="R213" i="4"/>
  <c r="S213" i="4"/>
  <c r="T213" i="4"/>
  <c r="U213" i="4"/>
  <c r="V213" i="4"/>
  <c r="W213" i="4"/>
  <c r="X213" i="4"/>
  <c r="Y213" i="4"/>
  <c r="Z213" i="4"/>
  <c r="AA213" i="4"/>
  <c r="AB213" i="4"/>
  <c r="AC213" i="4"/>
  <c r="AD213" i="4"/>
  <c r="AE213" i="4"/>
  <c r="AF213" i="4"/>
  <c r="AG213" i="4"/>
  <c r="AH213" i="4"/>
  <c r="AI213" i="4"/>
  <c r="AJ213" i="4"/>
  <c r="AK213" i="4"/>
  <c r="AL213" i="4"/>
  <c r="AM213" i="4"/>
  <c r="AN213" i="4"/>
  <c r="AO213" i="4"/>
  <c r="AP213" i="4"/>
  <c r="AQ213" i="4"/>
  <c r="AR213" i="4"/>
  <c r="AS213" i="4"/>
  <c r="AT213" i="4"/>
  <c r="AU213" i="4"/>
  <c r="AV213" i="4"/>
  <c r="AW213" i="4"/>
  <c r="AX213" i="4"/>
  <c r="AY213" i="4"/>
  <c r="AZ213" i="4"/>
  <c r="BA213" i="4"/>
  <c r="BB213" i="4"/>
  <c r="BC213" i="4"/>
  <c r="BD213" i="4"/>
  <c r="BE213" i="4"/>
  <c r="BF213" i="4"/>
  <c r="BG213" i="4"/>
  <c r="BH213" i="4"/>
  <c r="BI213" i="4"/>
  <c r="BJ213" i="4"/>
  <c r="BK213" i="4"/>
  <c r="BL213" i="4"/>
  <c r="BM213" i="4"/>
  <c r="BN213" i="4"/>
  <c r="BO213" i="4"/>
  <c r="BP213" i="4"/>
  <c r="BQ213" i="4"/>
  <c r="BR213" i="4"/>
  <c r="BS213" i="4"/>
  <c r="BT213" i="4"/>
  <c r="BU213" i="4"/>
  <c r="BV213" i="4"/>
  <c r="BW213" i="4"/>
  <c r="BX213" i="4"/>
  <c r="BY213" i="4"/>
  <c r="BZ213" i="4"/>
  <c r="CA213" i="4"/>
  <c r="CB213" i="4"/>
  <c r="CC213" i="4"/>
  <c r="CD213" i="4"/>
  <c r="CE213" i="4"/>
  <c r="CF213" i="4"/>
  <c r="CG213" i="4"/>
  <c r="CH213" i="4"/>
  <c r="CI213" i="4"/>
  <c r="CJ213" i="4"/>
  <c r="CK213" i="4"/>
  <c r="CL213" i="4"/>
  <c r="CM213" i="4"/>
  <c r="CN213" i="4"/>
  <c r="CO213" i="4"/>
  <c r="CP213" i="4"/>
  <c r="CQ213" i="4"/>
  <c r="CR213" i="4"/>
  <c r="CS213" i="4"/>
  <c r="CT213" i="4"/>
  <c r="CU213" i="4"/>
  <c r="CV213" i="4"/>
  <c r="CW213" i="4"/>
  <c r="CX213" i="4"/>
  <c r="CY213" i="4"/>
  <c r="CZ213" i="4"/>
  <c r="DA213" i="4"/>
  <c r="DB213" i="4"/>
  <c r="DC213" i="4"/>
  <c r="DD213" i="4"/>
  <c r="DE213" i="4"/>
  <c r="DF213" i="4"/>
  <c r="DG213" i="4"/>
  <c r="DH213" i="4"/>
  <c r="D214" i="4"/>
  <c r="E214" i="4"/>
  <c r="F214" i="4"/>
  <c r="G214" i="4"/>
  <c r="H214" i="4"/>
  <c r="I214" i="4"/>
  <c r="J214" i="4"/>
  <c r="K214" i="4"/>
  <c r="L214" i="4"/>
  <c r="M214" i="4"/>
  <c r="N214" i="4"/>
  <c r="O214" i="4"/>
  <c r="P214" i="4"/>
  <c r="Q214" i="4"/>
  <c r="R214" i="4"/>
  <c r="S214" i="4"/>
  <c r="T214" i="4"/>
  <c r="U214" i="4"/>
  <c r="V214" i="4"/>
  <c r="W214" i="4"/>
  <c r="X214" i="4"/>
  <c r="Y214" i="4"/>
  <c r="Z214" i="4"/>
  <c r="AA214" i="4"/>
  <c r="AB214" i="4"/>
  <c r="AC214" i="4"/>
  <c r="AD214" i="4"/>
  <c r="AE214" i="4"/>
  <c r="AF214" i="4"/>
  <c r="AG214" i="4"/>
  <c r="AH214" i="4"/>
  <c r="AI214" i="4"/>
  <c r="AJ214" i="4"/>
  <c r="AK214" i="4"/>
  <c r="AL214" i="4"/>
  <c r="AM214" i="4"/>
  <c r="AN214" i="4"/>
  <c r="AO214" i="4"/>
  <c r="AP214" i="4"/>
  <c r="AQ214" i="4"/>
  <c r="AR214" i="4"/>
  <c r="AS214" i="4"/>
  <c r="AT214" i="4"/>
  <c r="AU214" i="4"/>
  <c r="AV214" i="4"/>
  <c r="AW214" i="4"/>
  <c r="AX214" i="4"/>
  <c r="AY214" i="4"/>
  <c r="AZ214" i="4"/>
  <c r="BA214" i="4"/>
  <c r="BB214" i="4"/>
  <c r="BC214" i="4"/>
  <c r="BD214" i="4"/>
  <c r="BE214" i="4"/>
  <c r="BF214" i="4"/>
  <c r="BG214" i="4"/>
  <c r="BH214" i="4"/>
  <c r="BI214" i="4"/>
  <c r="BJ214" i="4"/>
  <c r="BK214" i="4"/>
  <c r="BL214" i="4"/>
  <c r="BM214" i="4"/>
  <c r="BN214" i="4"/>
  <c r="BO214" i="4"/>
  <c r="BP214" i="4"/>
  <c r="BQ214" i="4"/>
  <c r="BR214" i="4"/>
  <c r="BS214" i="4"/>
  <c r="BT214" i="4"/>
  <c r="BU214" i="4"/>
  <c r="BV214" i="4"/>
  <c r="BW214" i="4"/>
  <c r="BX214" i="4"/>
  <c r="BY214" i="4"/>
  <c r="BZ214" i="4"/>
  <c r="CA214" i="4"/>
  <c r="CB214" i="4"/>
  <c r="CC214" i="4"/>
  <c r="CD214" i="4"/>
  <c r="CE214" i="4"/>
  <c r="CF214" i="4"/>
  <c r="CG214" i="4"/>
  <c r="CH214" i="4"/>
  <c r="CI214" i="4"/>
  <c r="CJ214" i="4"/>
  <c r="CK214" i="4"/>
  <c r="CL214" i="4"/>
  <c r="CM214" i="4"/>
  <c r="CN214" i="4"/>
  <c r="CO214" i="4"/>
  <c r="CP214" i="4"/>
  <c r="CQ214" i="4"/>
  <c r="CR214" i="4"/>
  <c r="CS214" i="4"/>
  <c r="CT214" i="4"/>
  <c r="CU214" i="4"/>
  <c r="CV214" i="4"/>
  <c r="CW214" i="4"/>
  <c r="CX214" i="4"/>
  <c r="CY214" i="4"/>
  <c r="CZ214" i="4"/>
  <c r="DA214" i="4"/>
  <c r="DB214" i="4"/>
  <c r="DC214" i="4"/>
  <c r="DD214" i="4"/>
  <c r="DE214" i="4"/>
  <c r="DF214" i="4"/>
  <c r="DG214" i="4"/>
  <c r="DH214" i="4"/>
  <c r="D215" i="4"/>
  <c r="E215" i="4"/>
  <c r="F215" i="4"/>
  <c r="G215" i="4"/>
  <c r="H215" i="4"/>
  <c r="I215" i="4"/>
  <c r="J215" i="4"/>
  <c r="K215" i="4"/>
  <c r="L215" i="4"/>
  <c r="M215" i="4"/>
  <c r="N215" i="4"/>
  <c r="O215" i="4"/>
  <c r="P215" i="4"/>
  <c r="Q215" i="4"/>
  <c r="R215" i="4"/>
  <c r="S215" i="4"/>
  <c r="T215" i="4"/>
  <c r="U215" i="4"/>
  <c r="V215" i="4"/>
  <c r="W215" i="4"/>
  <c r="X215" i="4"/>
  <c r="Y215" i="4"/>
  <c r="Z215" i="4"/>
  <c r="AA215" i="4"/>
  <c r="AB215" i="4"/>
  <c r="AC215" i="4"/>
  <c r="AD215" i="4"/>
  <c r="AE215" i="4"/>
  <c r="AF215" i="4"/>
  <c r="AG215" i="4"/>
  <c r="AH215" i="4"/>
  <c r="AI215" i="4"/>
  <c r="AJ215" i="4"/>
  <c r="AK215" i="4"/>
  <c r="AL215" i="4"/>
  <c r="AM215" i="4"/>
  <c r="AN215" i="4"/>
  <c r="AO215" i="4"/>
  <c r="AP215" i="4"/>
  <c r="AQ215" i="4"/>
  <c r="AR215" i="4"/>
  <c r="AS215" i="4"/>
  <c r="AT215" i="4"/>
  <c r="AU215" i="4"/>
  <c r="AV215" i="4"/>
  <c r="AW215" i="4"/>
  <c r="AX215" i="4"/>
  <c r="AY215" i="4"/>
  <c r="AZ215" i="4"/>
  <c r="BA215" i="4"/>
  <c r="BB215" i="4"/>
  <c r="BC215" i="4"/>
  <c r="BD215" i="4"/>
  <c r="BE215" i="4"/>
  <c r="BF215" i="4"/>
  <c r="BG215" i="4"/>
  <c r="BH215" i="4"/>
  <c r="BI215" i="4"/>
  <c r="BJ215" i="4"/>
  <c r="BK215" i="4"/>
  <c r="BL215" i="4"/>
  <c r="BM215" i="4"/>
  <c r="BN215" i="4"/>
  <c r="BO215" i="4"/>
  <c r="BP215" i="4"/>
  <c r="BQ215" i="4"/>
  <c r="BR215" i="4"/>
  <c r="BS215" i="4"/>
  <c r="BT215" i="4"/>
  <c r="BU215" i="4"/>
  <c r="BV215" i="4"/>
  <c r="BW215" i="4"/>
  <c r="BX215" i="4"/>
  <c r="BY215" i="4"/>
  <c r="BZ215" i="4"/>
  <c r="CA215" i="4"/>
  <c r="CB215" i="4"/>
  <c r="CC215" i="4"/>
  <c r="CD215" i="4"/>
  <c r="CE215" i="4"/>
  <c r="CF215" i="4"/>
  <c r="CG215" i="4"/>
  <c r="CH215" i="4"/>
  <c r="CI215" i="4"/>
  <c r="CJ215" i="4"/>
  <c r="CK215" i="4"/>
  <c r="CL215" i="4"/>
  <c r="CM215" i="4"/>
  <c r="CN215" i="4"/>
  <c r="CO215" i="4"/>
  <c r="CP215" i="4"/>
  <c r="CQ215" i="4"/>
  <c r="CR215" i="4"/>
  <c r="CS215" i="4"/>
  <c r="CT215" i="4"/>
  <c r="CU215" i="4"/>
  <c r="CV215" i="4"/>
  <c r="CW215" i="4"/>
  <c r="CX215" i="4"/>
  <c r="CY215" i="4"/>
  <c r="CZ215" i="4"/>
  <c r="DA215" i="4"/>
  <c r="DB215" i="4"/>
  <c r="DC215" i="4"/>
  <c r="DD215" i="4"/>
  <c r="DE215" i="4"/>
  <c r="DF215" i="4"/>
  <c r="DG215" i="4"/>
  <c r="DH215" i="4"/>
  <c r="D216" i="4"/>
  <c r="E216" i="4"/>
  <c r="F216" i="4"/>
  <c r="G216" i="4"/>
  <c r="H216" i="4"/>
  <c r="I216" i="4"/>
  <c r="J216" i="4"/>
  <c r="K216" i="4"/>
  <c r="L216" i="4"/>
  <c r="M216" i="4"/>
  <c r="N216" i="4"/>
  <c r="O216" i="4"/>
  <c r="P216" i="4"/>
  <c r="Q216" i="4"/>
  <c r="R216" i="4"/>
  <c r="S216" i="4"/>
  <c r="T216" i="4"/>
  <c r="U216" i="4"/>
  <c r="V216" i="4"/>
  <c r="W216" i="4"/>
  <c r="X216" i="4"/>
  <c r="Y216" i="4"/>
  <c r="Z216" i="4"/>
  <c r="AA216" i="4"/>
  <c r="AB216" i="4"/>
  <c r="AC216" i="4"/>
  <c r="AD216" i="4"/>
  <c r="AE216" i="4"/>
  <c r="AF216" i="4"/>
  <c r="AG216" i="4"/>
  <c r="AH216" i="4"/>
  <c r="AI216" i="4"/>
  <c r="AJ216" i="4"/>
  <c r="AK216" i="4"/>
  <c r="AL216" i="4"/>
  <c r="AM216" i="4"/>
  <c r="AN216" i="4"/>
  <c r="AO216" i="4"/>
  <c r="AP216" i="4"/>
  <c r="AQ216" i="4"/>
  <c r="AR216" i="4"/>
  <c r="AS216" i="4"/>
  <c r="AT216" i="4"/>
  <c r="AU216" i="4"/>
  <c r="AV216" i="4"/>
  <c r="AW216" i="4"/>
  <c r="AX216" i="4"/>
  <c r="AY216" i="4"/>
  <c r="AZ216" i="4"/>
  <c r="BA216" i="4"/>
  <c r="BB216" i="4"/>
  <c r="BC216" i="4"/>
  <c r="BD216" i="4"/>
  <c r="BE216" i="4"/>
  <c r="BF216" i="4"/>
  <c r="BG216" i="4"/>
  <c r="BH216" i="4"/>
  <c r="BI216" i="4"/>
  <c r="BJ216" i="4"/>
  <c r="BK216" i="4"/>
  <c r="BL216" i="4"/>
  <c r="BM216" i="4"/>
  <c r="BN216" i="4"/>
  <c r="BO216" i="4"/>
  <c r="BP216" i="4"/>
  <c r="BQ216" i="4"/>
  <c r="BR216" i="4"/>
  <c r="BS216" i="4"/>
  <c r="BT216" i="4"/>
  <c r="BU216" i="4"/>
  <c r="BV216" i="4"/>
  <c r="BW216" i="4"/>
  <c r="BX216" i="4"/>
  <c r="BY216" i="4"/>
  <c r="BZ216" i="4"/>
  <c r="CA216" i="4"/>
  <c r="CB216" i="4"/>
  <c r="CC216" i="4"/>
  <c r="CD216" i="4"/>
  <c r="CE216" i="4"/>
  <c r="CF216" i="4"/>
  <c r="CG216" i="4"/>
  <c r="CH216" i="4"/>
  <c r="CI216" i="4"/>
  <c r="CJ216" i="4"/>
  <c r="CK216" i="4"/>
  <c r="CL216" i="4"/>
  <c r="CM216" i="4"/>
  <c r="CN216" i="4"/>
  <c r="CO216" i="4"/>
  <c r="CP216" i="4"/>
  <c r="CQ216" i="4"/>
  <c r="CR216" i="4"/>
  <c r="CS216" i="4"/>
  <c r="CT216" i="4"/>
  <c r="CU216" i="4"/>
  <c r="CV216" i="4"/>
  <c r="CW216" i="4"/>
  <c r="CX216" i="4"/>
  <c r="CY216" i="4"/>
  <c r="CZ216" i="4"/>
  <c r="DA216" i="4"/>
  <c r="DB216" i="4"/>
  <c r="DC216" i="4"/>
  <c r="DD216" i="4"/>
  <c r="DE216" i="4"/>
  <c r="DF216" i="4"/>
  <c r="DG216" i="4"/>
  <c r="DH216" i="4"/>
  <c r="D217" i="4"/>
  <c r="E217" i="4"/>
  <c r="F217" i="4"/>
  <c r="G217" i="4"/>
  <c r="H217" i="4"/>
  <c r="I217" i="4"/>
  <c r="J217" i="4"/>
  <c r="K217" i="4"/>
  <c r="L217" i="4"/>
  <c r="M217" i="4"/>
  <c r="N217" i="4"/>
  <c r="O217" i="4"/>
  <c r="P217" i="4"/>
  <c r="Q217" i="4"/>
  <c r="R217" i="4"/>
  <c r="S217" i="4"/>
  <c r="T217" i="4"/>
  <c r="U217" i="4"/>
  <c r="V217" i="4"/>
  <c r="W217" i="4"/>
  <c r="X217" i="4"/>
  <c r="Y217" i="4"/>
  <c r="Z217" i="4"/>
  <c r="AA217" i="4"/>
  <c r="AB217" i="4"/>
  <c r="AC217" i="4"/>
  <c r="AD217" i="4"/>
  <c r="AE217" i="4"/>
  <c r="AF217" i="4"/>
  <c r="AG217" i="4"/>
  <c r="AH217" i="4"/>
  <c r="AI217" i="4"/>
  <c r="AJ217" i="4"/>
  <c r="AK217" i="4"/>
  <c r="AL217" i="4"/>
  <c r="AM217" i="4"/>
  <c r="AN217" i="4"/>
  <c r="AO217" i="4"/>
  <c r="AP217" i="4"/>
  <c r="AQ217" i="4"/>
  <c r="AR217" i="4"/>
  <c r="AS217" i="4"/>
  <c r="AT217" i="4"/>
  <c r="AU217" i="4"/>
  <c r="AV217" i="4"/>
  <c r="AW217" i="4"/>
  <c r="AX217" i="4"/>
  <c r="AY217" i="4"/>
  <c r="AZ217" i="4"/>
  <c r="BA217" i="4"/>
  <c r="BB217" i="4"/>
  <c r="BC217" i="4"/>
  <c r="BD217" i="4"/>
  <c r="BE217" i="4"/>
  <c r="BF217" i="4"/>
  <c r="BG217" i="4"/>
  <c r="BH217" i="4"/>
  <c r="BI217" i="4"/>
  <c r="BJ217" i="4"/>
  <c r="BK217" i="4"/>
  <c r="BL217" i="4"/>
  <c r="BM217" i="4"/>
  <c r="BN217" i="4"/>
  <c r="BO217" i="4"/>
  <c r="BP217" i="4"/>
  <c r="BQ217" i="4"/>
  <c r="BR217" i="4"/>
  <c r="BS217" i="4"/>
  <c r="BT217" i="4"/>
  <c r="BU217" i="4"/>
  <c r="BV217" i="4"/>
  <c r="BW217" i="4"/>
  <c r="BX217" i="4"/>
  <c r="BY217" i="4"/>
  <c r="BZ217" i="4"/>
  <c r="CA217" i="4"/>
  <c r="CB217" i="4"/>
  <c r="CC217" i="4"/>
  <c r="CD217" i="4"/>
  <c r="CE217" i="4"/>
  <c r="CF217" i="4"/>
  <c r="CG217" i="4"/>
  <c r="CH217" i="4"/>
  <c r="CI217" i="4"/>
  <c r="CJ217" i="4"/>
  <c r="CK217" i="4"/>
  <c r="CL217" i="4"/>
  <c r="CM217" i="4"/>
  <c r="CN217" i="4"/>
  <c r="CO217" i="4"/>
  <c r="CP217" i="4"/>
  <c r="CQ217" i="4"/>
  <c r="CR217" i="4"/>
  <c r="CS217" i="4"/>
  <c r="CT217" i="4"/>
  <c r="CU217" i="4"/>
  <c r="CV217" i="4"/>
  <c r="CW217" i="4"/>
  <c r="CX217" i="4"/>
  <c r="CY217" i="4"/>
  <c r="CZ217" i="4"/>
  <c r="DA217" i="4"/>
  <c r="DB217" i="4"/>
  <c r="DC217" i="4"/>
  <c r="DD217" i="4"/>
  <c r="DE217" i="4"/>
  <c r="DF217" i="4"/>
  <c r="DG217" i="4"/>
  <c r="DH217" i="4"/>
  <c r="D218" i="4"/>
  <c r="E218" i="4"/>
  <c r="F218" i="4"/>
  <c r="G218" i="4"/>
  <c r="H218" i="4"/>
  <c r="I218" i="4"/>
  <c r="J218" i="4"/>
  <c r="K218" i="4"/>
  <c r="L218" i="4"/>
  <c r="M218" i="4"/>
  <c r="N218" i="4"/>
  <c r="O218" i="4"/>
  <c r="P218" i="4"/>
  <c r="Q218" i="4"/>
  <c r="R218" i="4"/>
  <c r="S218" i="4"/>
  <c r="T218" i="4"/>
  <c r="U218" i="4"/>
  <c r="V218" i="4"/>
  <c r="W218" i="4"/>
  <c r="X218" i="4"/>
  <c r="Y218" i="4"/>
  <c r="Z218" i="4"/>
  <c r="AA218" i="4"/>
  <c r="AB218" i="4"/>
  <c r="AC218" i="4"/>
  <c r="AD218" i="4"/>
  <c r="AE218" i="4"/>
  <c r="AF218" i="4"/>
  <c r="AG218" i="4"/>
  <c r="AH218" i="4"/>
  <c r="AI218" i="4"/>
  <c r="AJ218" i="4"/>
  <c r="AK218" i="4"/>
  <c r="AL218" i="4"/>
  <c r="AM218" i="4"/>
  <c r="AN218" i="4"/>
  <c r="AO218" i="4"/>
  <c r="AP218" i="4"/>
  <c r="AQ218" i="4"/>
  <c r="AR218" i="4"/>
  <c r="AS218" i="4"/>
  <c r="AT218" i="4"/>
  <c r="AU218" i="4"/>
  <c r="AV218" i="4"/>
  <c r="AW218" i="4"/>
  <c r="AX218" i="4"/>
  <c r="AY218" i="4"/>
  <c r="AZ218" i="4"/>
  <c r="BA218" i="4"/>
  <c r="BB218" i="4"/>
  <c r="BC218" i="4"/>
  <c r="BD218" i="4"/>
  <c r="BE218" i="4"/>
  <c r="BF218" i="4"/>
  <c r="BG218" i="4"/>
  <c r="BH218" i="4"/>
  <c r="BI218" i="4"/>
  <c r="BJ218" i="4"/>
  <c r="BK218" i="4"/>
  <c r="BL218" i="4"/>
  <c r="BM218" i="4"/>
  <c r="BN218" i="4"/>
  <c r="BO218" i="4"/>
  <c r="BP218" i="4"/>
  <c r="BQ218" i="4"/>
  <c r="BR218" i="4"/>
  <c r="BS218" i="4"/>
  <c r="BT218" i="4"/>
  <c r="BU218" i="4"/>
  <c r="BV218" i="4"/>
  <c r="BW218" i="4"/>
  <c r="BX218" i="4"/>
  <c r="BY218" i="4"/>
  <c r="BZ218" i="4"/>
  <c r="CA218" i="4"/>
  <c r="CB218" i="4"/>
  <c r="CC218" i="4"/>
  <c r="CD218" i="4"/>
  <c r="CE218" i="4"/>
  <c r="CF218" i="4"/>
  <c r="CG218" i="4"/>
  <c r="CH218" i="4"/>
  <c r="CI218" i="4"/>
  <c r="CJ218" i="4"/>
  <c r="CK218" i="4"/>
  <c r="CL218" i="4"/>
  <c r="CM218" i="4"/>
  <c r="CN218" i="4"/>
  <c r="CO218" i="4"/>
  <c r="CP218" i="4"/>
  <c r="CQ218" i="4"/>
  <c r="CR218" i="4"/>
  <c r="CS218" i="4"/>
  <c r="CT218" i="4"/>
  <c r="CU218" i="4"/>
  <c r="CV218" i="4"/>
  <c r="CW218" i="4"/>
  <c r="CX218" i="4"/>
  <c r="CY218" i="4"/>
  <c r="CZ218" i="4"/>
  <c r="DA218" i="4"/>
  <c r="DB218" i="4"/>
  <c r="DC218" i="4"/>
  <c r="DD218" i="4"/>
  <c r="DE218" i="4"/>
  <c r="DF218" i="4"/>
  <c r="DG218" i="4"/>
  <c r="DH218" i="4"/>
  <c r="D219" i="4"/>
  <c r="E219" i="4"/>
  <c r="F219" i="4"/>
  <c r="G219" i="4"/>
  <c r="H219" i="4"/>
  <c r="I219" i="4"/>
  <c r="J219" i="4"/>
  <c r="K219" i="4"/>
  <c r="L219" i="4"/>
  <c r="M219" i="4"/>
  <c r="N219" i="4"/>
  <c r="O219" i="4"/>
  <c r="P219" i="4"/>
  <c r="Q219" i="4"/>
  <c r="R219" i="4"/>
  <c r="S219" i="4"/>
  <c r="T219" i="4"/>
  <c r="U219" i="4"/>
  <c r="V219" i="4"/>
  <c r="W219" i="4"/>
  <c r="X219" i="4"/>
  <c r="Y219" i="4"/>
  <c r="Z219" i="4"/>
  <c r="AA219" i="4"/>
  <c r="AB219" i="4"/>
  <c r="AC219" i="4"/>
  <c r="AD219" i="4"/>
  <c r="AE219" i="4"/>
  <c r="AF219" i="4"/>
  <c r="AG219" i="4"/>
  <c r="AH219" i="4"/>
  <c r="AI219" i="4"/>
  <c r="AJ219" i="4"/>
  <c r="AK219" i="4"/>
  <c r="AL219" i="4"/>
  <c r="AM219" i="4"/>
  <c r="AN219" i="4"/>
  <c r="AO219" i="4"/>
  <c r="AP219" i="4"/>
  <c r="AQ219" i="4"/>
  <c r="AR219" i="4"/>
  <c r="AS219" i="4"/>
  <c r="AT219" i="4"/>
  <c r="AU219" i="4"/>
  <c r="AV219" i="4"/>
  <c r="AW219" i="4"/>
  <c r="AX219" i="4"/>
  <c r="AY219" i="4"/>
  <c r="AZ219" i="4"/>
  <c r="BA219" i="4"/>
  <c r="BB219" i="4"/>
  <c r="BC219" i="4"/>
  <c r="BD219" i="4"/>
  <c r="BE219" i="4"/>
  <c r="BF219" i="4"/>
  <c r="BG219" i="4"/>
  <c r="BH219" i="4"/>
  <c r="BI219" i="4"/>
  <c r="BJ219" i="4"/>
  <c r="BK219" i="4"/>
  <c r="BL219" i="4"/>
  <c r="BM219" i="4"/>
  <c r="BN219" i="4"/>
  <c r="BO219" i="4"/>
  <c r="BP219" i="4"/>
  <c r="BQ219" i="4"/>
  <c r="BR219" i="4"/>
  <c r="BS219" i="4"/>
  <c r="BT219" i="4"/>
  <c r="BU219" i="4"/>
  <c r="BV219" i="4"/>
  <c r="BW219" i="4"/>
  <c r="BX219" i="4"/>
  <c r="BY219" i="4"/>
  <c r="BZ219" i="4"/>
  <c r="CA219" i="4"/>
  <c r="CB219" i="4"/>
  <c r="CC219" i="4"/>
  <c r="CD219" i="4"/>
  <c r="CE219" i="4"/>
  <c r="CF219" i="4"/>
  <c r="CG219" i="4"/>
  <c r="CH219" i="4"/>
  <c r="CI219" i="4"/>
  <c r="CJ219" i="4"/>
  <c r="CK219" i="4"/>
  <c r="CL219" i="4"/>
  <c r="CM219" i="4"/>
  <c r="CN219" i="4"/>
  <c r="CO219" i="4"/>
  <c r="CP219" i="4"/>
  <c r="CQ219" i="4"/>
  <c r="CR219" i="4"/>
  <c r="CS219" i="4"/>
  <c r="CT219" i="4"/>
  <c r="CU219" i="4"/>
  <c r="CV219" i="4"/>
  <c r="CW219" i="4"/>
  <c r="CX219" i="4"/>
  <c r="CY219" i="4"/>
  <c r="CZ219" i="4"/>
  <c r="DA219" i="4"/>
  <c r="DB219" i="4"/>
  <c r="DC219" i="4"/>
  <c r="DD219" i="4"/>
  <c r="DE219" i="4"/>
  <c r="DF219" i="4"/>
  <c r="DG219" i="4"/>
  <c r="DH219" i="4"/>
  <c r="D220" i="4"/>
  <c r="E220" i="4"/>
  <c r="F220" i="4"/>
  <c r="G220" i="4"/>
  <c r="H220" i="4"/>
  <c r="I220" i="4"/>
  <c r="J220" i="4"/>
  <c r="K220" i="4"/>
  <c r="L220" i="4"/>
  <c r="M220" i="4"/>
  <c r="N220" i="4"/>
  <c r="O220" i="4"/>
  <c r="P220" i="4"/>
  <c r="Q220" i="4"/>
  <c r="R220" i="4"/>
  <c r="S220" i="4"/>
  <c r="T220" i="4"/>
  <c r="U220" i="4"/>
  <c r="V220" i="4"/>
  <c r="W220" i="4"/>
  <c r="X220" i="4"/>
  <c r="Y220" i="4"/>
  <c r="Z220" i="4"/>
  <c r="AA220" i="4"/>
  <c r="AB220" i="4"/>
  <c r="AC220" i="4"/>
  <c r="AD220" i="4"/>
  <c r="AE220" i="4"/>
  <c r="AF220" i="4"/>
  <c r="AG220" i="4"/>
  <c r="AH220" i="4"/>
  <c r="AI220" i="4"/>
  <c r="AJ220" i="4"/>
  <c r="AK220" i="4"/>
  <c r="AL220" i="4"/>
  <c r="AM220" i="4"/>
  <c r="AN220" i="4"/>
  <c r="AO220" i="4"/>
  <c r="AP220" i="4"/>
  <c r="AQ220" i="4"/>
  <c r="AR220" i="4"/>
  <c r="AS220" i="4"/>
  <c r="AT220" i="4"/>
  <c r="AU220" i="4"/>
  <c r="AV220" i="4"/>
  <c r="AW220" i="4"/>
  <c r="AX220" i="4"/>
  <c r="AY220" i="4"/>
  <c r="AZ220" i="4"/>
  <c r="BA220" i="4"/>
  <c r="BB220" i="4"/>
  <c r="BC220" i="4"/>
  <c r="BD220" i="4"/>
  <c r="BE220" i="4"/>
  <c r="BF220" i="4"/>
  <c r="BG220" i="4"/>
  <c r="BH220" i="4"/>
  <c r="BI220" i="4"/>
  <c r="BJ220" i="4"/>
  <c r="BK220" i="4"/>
  <c r="BL220" i="4"/>
  <c r="BM220" i="4"/>
  <c r="BN220" i="4"/>
  <c r="BO220" i="4"/>
  <c r="BP220" i="4"/>
  <c r="BQ220" i="4"/>
  <c r="BR220" i="4"/>
  <c r="BS220" i="4"/>
  <c r="BT220" i="4"/>
  <c r="BU220" i="4"/>
  <c r="BV220" i="4"/>
  <c r="BW220" i="4"/>
  <c r="BX220" i="4"/>
  <c r="BY220" i="4"/>
  <c r="BZ220" i="4"/>
  <c r="CA220" i="4"/>
  <c r="CB220" i="4"/>
  <c r="CC220" i="4"/>
  <c r="CD220" i="4"/>
  <c r="CE220" i="4"/>
  <c r="CF220" i="4"/>
  <c r="CG220" i="4"/>
  <c r="CH220" i="4"/>
  <c r="CI220" i="4"/>
  <c r="CJ220" i="4"/>
  <c r="CK220" i="4"/>
  <c r="CL220" i="4"/>
  <c r="CM220" i="4"/>
  <c r="CN220" i="4"/>
  <c r="CO220" i="4"/>
  <c r="CP220" i="4"/>
  <c r="CQ220" i="4"/>
  <c r="CR220" i="4"/>
  <c r="CS220" i="4"/>
  <c r="CT220" i="4"/>
  <c r="CU220" i="4"/>
  <c r="CV220" i="4"/>
  <c r="CW220" i="4"/>
  <c r="CX220" i="4"/>
  <c r="CY220" i="4"/>
  <c r="CZ220" i="4"/>
  <c r="DA220" i="4"/>
  <c r="DB220" i="4"/>
  <c r="DC220" i="4"/>
  <c r="DD220" i="4"/>
  <c r="DE220" i="4"/>
  <c r="DF220" i="4"/>
  <c r="DG220" i="4"/>
  <c r="DH220" i="4"/>
  <c r="D221" i="4"/>
  <c r="E221" i="4"/>
  <c r="F221" i="4"/>
  <c r="G221" i="4"/>
  <c r="H221" i="4"/>
  <c r="I221" i="4"/>
  <c r="J221" i="4"/>
  <c r="K221" i="4"/>
  <c r="L221" i="4"/>
  <c r="M221" i="4"/>
  <c r="N221" i="4"/>
  <c r="O221" i="4"/>
  <c r="P221" i="4"/>
  <c r="Q221" i="4"/>
  <c r="R221" i="4"/>
  <c r="S221" i="4"/>
  <c r="T221" i="4"/>
  <c r="U221" i="4"/>
  <c r="V221" i="4"/>
  <c r="W221" i="4"/>
  <c r="X221" i="4"/>
  <c r="Y221" i="4"/>
  <c r="Z221" i="4"/>
  <c r="AA221" i="4"/>
  <c r="AB221" i="4"/>
  <c r="AC221" i="4"/>
  <c r="AD221" i="4"/>
  <c r="AE221" i="4"/>
  <c r="AF221" i="4"/>
  <c r="AG221" i="4"/>
  <c r="AH221" i="4"/>
  <c r="AI221" i="4"/>
  <c r="AJ221" i="4"/>
  <c r="AK221" i="4"/>
  <c r="AL221" i="4"/>
  <c r="AM221" i="4"/>
  <c r="AN221" i="4"/>
  <c r="AO221" i="4"/>
  <c r="AP221" i="4"/>
  <c r="AQ221" i="4"/>
  <c r="AR221" i="4"/>
  <c r="AS221" i="4"/>
  <c r="AT221" i="4"/>
  <c r="AU221" i="4"/>
  <c r="AV221" i="4"/>
  <c r="AW221" i="4"/>
  <c r="AX221" i="4"/>
  <c r="AY221" i="4"/>
  <c r="AZ221" i="4"/>
  <c r="BA221" i="4"/>
  <c r="BB221" i="4"/>
  <c r="BC221" i="4"/>
  <c r="BD221" i="4"/>
  <c r="BE221" i="4"/>
  <c r="BF221" i="4"/>
  <c r="BG221" i="4"/>
  <c r="BH221" i="4"/>
  <c r="BI221" i="4"/>
  <c r="BJ221" i="4"/>
  <c r="BK221" i="4"/>
  <c r="BL221" i="4"/>
  <c r="BM221" i="4"/>
  <c r="BN221" i="4"/>
  <c r="BO221" i="4"/>
  <c r="BP221" i="4"/>
  <c r="BQ221" i="4"/>
  <c r="BR221" i="4"/>
  <c r="BS221" i="4"/>
  <c r="BT221" i="4"/>
  <c r="BU221" i="4"/>
  <c r="BV221" i="4"/>
  <c r="BW221" i="4"/>
  <c r="BX221" i="4"/>
  <c r="BY221" i="4"/>
  <c r="BZ221" i="4"/>
  <c r="CA221" i="4"/>
  <c r="CB221" i="4"/>
  <c r="CC221" i="4"/>
  <c r="CD221" i="4"/>
  <c r="CE221" i="4"/>
  <c r="CF221" i="4"/>
  <c r="CG221" i="4"/>
  <c r="CH221" i="4"/>
  <c r="CI221" i="4"/>
  <c r="CJ221" i="4"/>
  <c r="CK221" i="4"/>
  <c r="CL221" i="4"/>
  <c r="CM221" i="4"/>
  <c r="CN221" i="4"/>
  <c r="CO221" i="4"/>
  <c r="CP221" i="4"/>
  <c r="CQ221" i="4"/>
  <c r="CR221" i="4"/>
  <c r="CS221" i="4"/>
  <c r="CT221" i="4"/>
  <c r="CU221" i="4"/>
  <c r="CV221" i="4"/>
  <c r="CW221" i="4"/>
  <c r="CX221" i="4"/>
  <c r="CY221" i="4"/>
  <c r="CZ221" i="4"/>
  <c r="DA221" i="4"/>
  <c r="DB221" i="4"/>
  <c r="DC221" i="4"/>
  <c r="DD221" i="4"/>
  <c r="DE221" i="4"/>
  <c r="DF221" i="4"/>
  <c r="DG221" i="4"/>
  <c r="DH221" i="4"/>
  <c r="D222" i="4"/>
  <c r="E222" i="4"/>
  <c r="F222" i="4"/>
  <c r="G222" i="4"/>
  <c r="H222" i="4"/>
  <c r="I222" i="4"/>
  <c r="J222" i="4"/>
  <c r="K222" i="4"/>
  <c r="L222" i="4"/>
  <c r="M222" i="4"/>
  <c r="N222" i="4"/>
  <c r="O222" i="4"/>
  <c r="P222" i="4"/>
  <c r="Q222" i="4"/>
  <c r="R222" i="4"/>
  <c r="S222" i="4"/>
  <c r="T222" i="4"/>
  <c r="U222" i="4"/>
  <c r="V222" i="4"/>
  <c r="W222" i="4"/>
  <c r="X222" i="4"/>
  <c r="Y222" i="4"/>
  <c r="Z222" i="4"/>
  <c r="AA222" i="4"/>
  <c r="AB222" i="4"/>
  <c r="AC222" i="4"/>
  <c r="AD222" i="4"/>
  <c r="AE222" i="4"/>
  <c r="AF222" i="4"/>
  <c r="AG222" i="4"/>
  <c r="AH222" i="4"/>
  <c r="AI222" i="4"/>
  <c r="AJ222" i="4"/>
  <c r="AK222" i="4"/>
  <c r="AL222" i="4"/>
  <c r="AM222" i="4"/>
  <c r="AN222" i="4"/>
  <c r="AO222" i="4"/>
  <c r="AP222" i="4"/>
  <c r="AQ222" i="4"/>
  <c r="AR222" i="4"/>
  <c r="AS222" i="4"/>
  <c r="AT222" i="4"/>
  <c r="AU222" i="4"/>
  <c r="AV222" i="4"/>
  <c r="AW222" i="4"/>
  <c r="AX222" i="4"/>
  <c r="AY222" i="4"/>
  <c r="AZ222" i="4"/>
  <c r="BA222" i="4"/>
  <c r="BB222" i="4"/>
  <c r="BC222" i="4"/>
  <c r="BD222" i="4"/>
  <c r="BE222" i="4"/>
  <c r="BF222" i="4"/>
  <c r="BG222" i="4"/>
  <c r="BH222" i="4"/>
  <c r="BI222" i="4"/>
  <c r="BJ222" i="4"/>
  <c r="BK222" i="4"/>
  <c r="BL222" i="4"/>
  <c r="BM222" i="4"/>
  <c r="BN222" i="4"/>
  <c r="BO222" i="4"/>
  <c r="BP222" i="4"/>
  <c r="BQ222" i="4"/>
  <c r="BR222" i="4"/>
  <c r="BS222" i="4"/>
  <c r="BT222" i="4"/>
  <c r="BU222" i="4"/>
  <c r="BV222" i="4"/>
  <c r="BW222" i="4"/>
  <c r="BX222" i="4"/>
  <c r="BY222" i="4"/>
  <c r="BZ222" i="4"/>
  <c r="CA222" i="4"/>
  <c r="CB222" i="4"/>
  <c r="CC222" i="4"/>
  <c r="CD222" i="4"/>
  <c r="CE222" i="4"/>
  <c r="CF222" i="4"/>
  <c r="CG222" i="4"/>
  <c r="CH222" i="4"/>
  <c r="CI222" i="4"/>
  <c r="CJ222" i="4"/>
  <c r="CK222" i="4"/>
  <c r="CL222" i="4"/>
  <c r="CM222" i="4"/>
  <c r="CN222" i="4"/>
  <c r="CO222" i="4"/>
  <c r="CP222" i="4"/>
  <c r="CQ222" i="4"/>
  <c r="CR222" i="4"/>
  <c r="CS222" i="4"/>
  <c r="CT222" i="4"/>
  <c r="CU222" i="4"/>
  <c r="CV222" i="4"/>
  <c r="CW222" i="4"/>
  <c r="CX222" i="4"/>
  <c r="CY222" i="4"/>
  <c r="CZ222" i="4"/>
  <c r="DA222" i="4"/>
  <c r="DB222" i="4"/>
  <c r="DC222" i="4"/>
  <c r="DD222" i="4"/>
  <c r="DE222" i="4"/>
  <c r="DF222" i="4"/>
  <c r="DG222" i="4"/>
  <c r="DH222" i="4"/>
  <c r="D223" i="4"/>
  <c r="E223" i="4"/>
  <c r="F223" i="4"/>
  <c r="G223" i="4"/>
  <c r="H223" i="4"/>
  <c r="I223" i="4"/>
  <c r="J223" i="4"/>
  <c r="K223" i="4"/>
  <c r="L223" i="4"/>
  <c r="M223" i="4"/>
  <c r="N223" i="4"/>
  <c r="O223" i="4"/>
  <c r="P223" i="4"/>
  <c r="Q223" i="4"/>
  <c r="R223" i="4"/>
  <c r="S223" i="4"/>
  <c r="T223" i="4"/>
  <c r="U223" i="4"/>
  <c r="V223" i="4"/>
  <c r="W223" i="4"/>
  <c r="X223" i="4"/>
  <c r="Y223" i="4"/>
  <c r="Z223" i="4"/>
  <c r="AA223" i="4"/>
  <c r="AB223" i="4"/>
  <c r="AC223" i="4"/>
  <c r="AD223" i="4"/>
  <c r="AE223" i="4"/>
  <c r="AF223" i="4"/>
  <c r="AG223" i="4"/>
  <c r="AH223" i="4"/>
  <c r="AI223" i="4"/>
  <c r="AJ223" i="4"/>
  <c r="AK223" i="4"/>
  <c r="AL223" i="4"/>
  <c r="AM223" i="4"/>
  <c r="AN223" i="4"/>
  <c r="AO223" i="4"/>
  <c r="AP223" i="4"/>
  <c r="AQ223" i="4"/>
  <c r="AR223" i="4"/>
  <c r="AS223" i="4"/>
  <c r="AT223" i="4"/>
  <c r="AU223" i="4"/>
  <c r="AV223" i="4"/>
  <c r="AW223" i="4"/>
  <c r="AX223" i="4"/>
  <c r="AY223" i="4"/>
  <c r="AZ223" i="4"/>
  <c r="BA223" i="4"/>
  <c r="BB223" i="4"/>
  <c r="BC223" i="4"/>
  <c r="BD223" i="4"/>
  <c r="BE223" i="4"/>
  <c r="BF223" i="4"/>
  <c r="BG223" i="4"/>
  <c r="BH223" i="4"/>
  <c r="BI223" i="4"/>
  <c r="BJ223" i="4"/>
  <c r="BK223" i="4"/>
  <c r="BL223" i="4"/>
  <c r="BM223" i="4"/>
  <c r="BN223" i="4"/>
  <c r="BO223" i="4"/>
  <c r="BP223" i="4"/>
  <c r="BQ223" i="4"/>
  <c r="BR223" i="4"/>
  <c r="BS223" i="4"/>
  <c r="BT223" i="4"/>
  <c r="BU223" i="4"/>
  <c r="BV223" i="4"/>
  <c r="BW223" i="4"/>
  <c r="BX223" i="4"/>
  <c r="BY223" i="4"/>
  <c r="BZ223" i="4"/>
  <c r="CA223" i="4"/>
  <c r="CB223" i="4"/>
  <c r="CC223" i="4"/>
  <c r="CD223" i="4"/>
  <c r="CE223" i="4"/>
  <c r="CF223" i="4"/>
  <c r="CG223" i="4"/>
  <c r="CH223" i="4"/>
  <c r="CI223" i="4"/>
  <c r="CJ223" i="4"/>
  <c r="CK223" i="4"/>
  <c r="CL223" i="4"/>
  <c r="CM223" i="4"/>
  <c r="CN223" i="4"/>
  <c r="CO223" i="4"/>
  <c r="CP223" i="4"/>
  <c r="CQ223" i="4"/>
  <c r="CR223" i="4"/>
  <c r="CS223" i="4"/>
  <c r="CT223" i="4"/>
  <c r="CU223" i="4"/>
  <c r="CV223" i="4"/>
  <c r="CW223" i="4"/>
  <c r="CX223" i="4"/>
  <c r="CY223" i="4"/>
  <c r="CZ223" i="4"/>
  <c r="DA223" i="4"/>
  <c r="DB223" i="4"/>
  <c r="DC223" i="4"/>
  <c r="DD223" i="4"/>
  <c r="DE223" i="4"/>
  <c r="DF223" i="4"/>
  <c r="DG223" i="4"/>
  <c r="DH223" i="4"/>
  <c r="D224" i="4"/>
  <c r="E224" i="4"/>
  <c r="F224" i="4"/>
  <c r="G224" i="4"/>
  <c r="H224" i="4"/>
  <c r="I224" i="4"/>
  <c r="J224" i="4"/>
  <c r="K224" i="4"/>
  <c r="L224" i="4"/>
  <c r="M224" i="4"/>
  <c r="N224" i="4"/>
  <c r="O224" i="4"/>
  <c r="P224" i="4"/>
  <c r="Q224" i="4"/>
  <c r="R224" i="4"/>
  <c r="S224" i="4"/>
  <c r="T224" i="4"/>
  <c r="U224" i="4"/>
  <c r="V224" i="4"/>
  <c r="W224" i="4"/>
  <c r="X224" i="4"/>
  <c r="Y224" i="4"/>
  <c r="Z224" i="4"/>
  <c r="AA224" i="4"/>
  <c r="AB224" i="4"/>
  <c r="AC224" i="4"/>
  <c r="AD224" i="4"/>
  <c r="AE224" i="4"/>
  <c r="AF224" i="4"/>
  <c r="AG224" i="4"/>
  <c r="AH224" i="4"/>
  <c r="AI224" i="4"/>
  <c r="AJ224" i="4"/>
  <c r="AK224" i="4"/>
  <c r="AL224" i="4"/>
  <c r="AM224" i="4"/>
  <c r="AN224" i="4"/>
  <c r="AO224" i="4"/>
  <c r="AP224" i="4"/>
  <c r="AQ224" i="4"/>
  <c r="AR224" i="4"/>
  <c r="AS224" i="4"/>
  <c r="AT224" i="4"/>
  <c r="AU224" i="4"/>
  <c r="AV224" i="4"/>
  <c r="AW224" i="4"/>
  <c r="AX224" i="4"/>
  <c r="AY224" i="4"/>
  <c r="AZ224" i="4"/>
  <c r="BA224" i="4"/>
  <c r="BB224" i="4"/>
  <c r="BC224" i="4"/>
  <c r="BD224" i="4"/>
  <c r="BE224" i="4"/>
  <c r="BF224" i="4"/>
  <c r="BG224" i="4"/>
  <c r="BH224" i="4"/>
  <c r="BI224" i="4"/>
  <c r="BJ224" i="4"/>
  <c r="BK224" i="4"/>
  <c r="BL224" i="4"/>
  <c r="BM224" i="4"/>
  <c r="BN224" i="4"/>
  <c r="BO224" i="4"/>
  <c r="BP224" i="4"/>
  <c r="BQ224" i="4"/>
  <c r="BR224" i="4"/>
  <c r="BS224" i="4"/>
  <c r="BT224" i="4"/>
  <c r="BU224" i="4"/>
  <c r="BV224" i="4"/>
  <c r="BW224" i="4"/>
  <c r="BX224" i="4"/>
  <c r="BY224" i="4"/>
  <c r="BZ224" i="4"/>
  <c r="CA224" i="4"/>
  <c r="CB224" i="4"/>
  <c r="CC224" i="4"/>
  <c r="CD224" i="4"/>
  <c r="CE224" i="4"/>
  <c r="CF224" i="4"/>
  <c r="CG224" i="4"/>
  <c r="CH224" i="4"/>
  <c r="CI224" i="4"/>
  <c r="CJ224" i="4"/>
  <c r="CK224" i="4"/>
  <c r="CL224" i="4"/>
  <c r="CM224" i="4"/>
  <c r="CN224" i="4"/>
  <c r="CO224" i="4"/>
  <c r="CP224" i="4"/>
  <c r="CQ224" i="4"/>
  <c r="CR224" i="4"/>
  <c r="CS224" i="4"/>
  <c r="CT224" i="4"/>
  <c r="CU224" i="4"/>
  <c r="CV224" i="4"/>
  <c r="CW224" i="4"/>
  <c r="CX224" i="4"/>
  <c r="CY224" i="4"/>
  <c r="CZ224" i="4"/>
  <c r="DA224" i="4"/>
  <c r="DB224" i="4"/>
  <c r="DC224" i="4"/>
  <c r="DD224" i="4"/>
  <c r="DE224" i="4"/>
  <c r="DF224" i="4"/>
  <c r="DG224" i="4"/>
  <c r="DH224" i="4"/>
  <c r="D225" i="4"/>
  <c r="E225" i="4"/>
  <c r="F225" i="4"/>
  <c r="G225" i="4"/>
  <c r="H225" i="4"/>
  <c r="I225" i="4"/>
  <c r="J225" i="4"/>
  <c r="K225" i="4"/>
  <c r="L225" i="4"/>
  <c r="M225" i="4"/>
  <c r="N225" i="4"/>
  <c r="O225" i="4"/>
  <c r="P225" i="4"/>
  <c r="Q225" i="4"/>
  <c r="R225" i="4"/>
  <c r="S225" i="4"/>
  <c r="T225" i="4"/>
  <c r="U225" i="4"/>
  <c r="V225" i="4"/>
  <c r="W225" i="4"/>
  <c r="X225" i="4"/>
  <c r="Y225" i="4"/>
  <c r="Z225" i="4"/>
  <c r="AA225" i="4"/>
  <c r="AB225" i="4"/>
  <c r="AC225" i="4"/>
  <c r="AD225" i="4"/>
  <c r="AE225" i="4"/>
  <c r="AF225" i="4"/>
  <c r="AG225" i="4"/>
  <c r="AH225" i="4"/>
  <c r="AI225" i="4"/>
  <c r="AJ225" i="4"/>
  <c r="AK225" i="4"/>
  <c r="AL225" i="4"/>
  <c r="AM225" i="4"/>
  <c r="AN225" i="4"/>
  <c r="AO225" i="4"/>
  <c r="AP225" i="4"/>
  <c r="AQ225" i="4"/>
  <c r="AR225" i="4"/>
  <c r="AS225" i="4"/>
  <c r="AT225" i="4"/>
  <c r="AU225" i="4"/>
  <c r="AV225" i="4"/>
  <c r="AW225" i="4"/>
  <c r="AX225" i="4"/>
  <c r="AY225" i="4"/>
  <c r="AZ225" i="4"/>
  <c r="BA225" i="4"/>
  <c r="BB225" i="4"/>
  <c r="BC225" i="4"/>
  <c r="BD225" i="4"/>
  <c r="BE225" i="4"/>
  <c r="BF225" i="4"/>
  <c r="BG225" i="4"/>
  <c r="BH225" i="4"/>
  <c r="BI225" i="4"/>
  <c r="BJ225" i="4"/>
  <c r="BK225" i="4"/>
  <c r="BL225" i="4"/>
  <c r="BM225" i="4"/>
  <c r="BN225" i="4"/>
  <c r="BO225" i="4"/>
  <c r="BP225" i="4"/>
  <c r="BQ225" i="4"/>
  <c r="BR225" i="4"/>
  <c r="BS225" i="4"/>
  <c r="BT225" i="4"/>
  <c r="BU225" i="4"/>
  <c r="BV225" i="4"/>
  <c r="BW225" i="4"/>
  <c r="BX225" i="4"/>
  <c r="BY225" i="4"/>
  <c r="BZ225" i="4"/>
  <c r="CA225" i="4"/>
  <c r="CB225" i="4"/>
  <c r="CC225" i="4"/>
  <c r="CD225" i="4"/>
  <c r="CE225" i="4"/>
  <c r="CF225" i="4"/>
  <c r="CG225" i="4"/>
  <c r="CH225" i="4"/>
  <c r="CI225" i="4"/>
  <c r="CJ225" i="4"/>
  <c r="CK225" i="4"/>
  <c r="CL225" i="4"/>
  <c r="CM225" i="4"/>
  <c r="CN225" i="4"/>
  <c r="CO225" i="4"/>
  <c r="CP225" i="4"/>
  <c r="CQ225" i="4"/>
  <c r="CR225" i="4"/>
  <c r="CS225" i="4"/>
  <c r="CT225" i="4"/>
  <c r="CU225" i="4"/>
  <c r="CV225" i="4"/>
  <c r="CW225" i="4"/>
  <c r="CX225" i="4"/>
  <c r="CY225" i="4"/>
  <c r="CZ225" i="4"/>
  <c r="DA225" i="4"/>
  <c r="DB225" i="4"/>
  <c r="DC225" i="4"/>
  <c r="DD225" i="4"/>
  <c r="DE225" i="4"/>
  <c r="DF225" i="4"/>
  <c r="DG225" i="4"/>
  <c r="DH225" i="4"/>
  <c r="D226" i="4"/>
  <c r="E226" i="4"/>
  <c r="F226" i="4"/>
  <c r="G226" i="4"/>
  <c r="H226" i="4"/>
  <c r="I226" i="4"/>
  <c r="J226" i="4"/>
  <c r="K226" i="4"/>
  <c r="L226" i="4"/>
  <c r="M226" i="4"/>
  <c r="N226" i="4"/>
  <c r="O226" i="4"/>
  <c r="P226" i="4"/>
  <c r="Q226" i="4"/>
  <c r="R226" i="4"/>
  <c r="S226" i="4"/>
  <c r="T226" i="4"/>
  <c r="U226" i="4"/>
  <c r="V226" i="4"/>
  <c r="W226" i="4"/>
  <c r="X226" i="4"/>
  <c r="Y226" i="4"/>
  <c r="Z226" i="4"/>
  <c r="AA226" i="4"/>
  <c r="AB226" i="4"/>
  <c r="AC226" i="4"/>
  <c r="AD226" i="4"/>
  <c r="AE226" i="4"/>
  <c r="AF226" i="4"/>
  <c r="AG226" i="4"/>
  <c r="AH226" i="4"/>
  <c r="AI226" i="4"/>
  <c r="AJ226" i="4"/>
  <c r="AK226" i="4"/>
  <c r="AL226" i="4"/>
  <c r="AM226" i="4"/>
  <c r="AN226" i="4"/>
  <c r="AO226" i="4"/>
  <c r="AP226" i="4"/>
  <c r="AQ226" i="4"/>
  <c r="AR226" i="4"/>
  <c r="AS226" i="4"/>
  <c r="AT226" i="4"/>
  <c r="AU226" i="4"/>
  <c r="AV226" i="4"/>
  <c r="AW226" i="4"/>
  <c r="AX226" i="4"/>
  <c r="AY226" i="4"/>
  <c r="AZ226" i="4"/>
  <c r="BA226" i="4"/>
  <c r="BB226" i="4"/>
  <c r="BC226" i="4"/>
  <c r="BD226" i="4"/>
  <c r="BE226" i="4"/>
  <c r="BF226" i="4"/>
  <c r="BG226" i="4"/>
  <c r="BH226" i="4"/>
  <c r="BI226" i="4"/>
  <c r="BJ226" i="4"/>
  <c r="BK226" i="4"/>
  <c r="BL226" i="4"/>
  <c r="BM226" i="4"/>
  <c r="BN226" i="4"/>
  <c r="BO226" i="4"/>
  <c r="BP226" i="4"/>
  <c r="BQ226" i="4"/>
  <c r="BR226" i="4"/>
  <c r="BS226" i="4"/>
  <c r="BT226" i="4"/>
  <c r="BU226" i="4"/>
  <c r="BV226" i="4"/>
  <c r="BW226" i="4"/>
  <c r="BX226" i="4"/>
  <c r="BY226" i="4"/>
  <c r="BZ226" i="4"/>
  <c r="CA226" i="4"/>
  <c r="CB226" i="4"/>
  <c r="CC226" i="4"/>
  <c r="CD226" i="4"/>
  <c r="CE226" i="4"/>
  <c r="CF226" i="4"/>
  <c r="CG226" i="4"/>
  <c r="CH226" i="4"/>
  <c r="CI226" i="4"/>
  <c r="CJ226" i="4"/>
  <c r="CK226" i="4"/>
  <c r="CL226" i="4"/>
  <c r="CM226" i="4"/>
  <c r="CN226" i="4"/>
  <c r="CO226" i="4"/>
  <c r="CP226" i="4"/>
  <c r="CQ226" i="4"/>
  <c r="CR226" i="4"/>
  <c r="CS226" i="4"/>
  <c r="CT226" i="4"/>
  <c r="CU226" i="4"/>
  <c r="CV226" i="4"/>
  <c r="CW226" i="4"/>
  <c r="CX226" i="4"/>
  <c r="CY226" i="4"/>
  <c r="CZ226" i="4"/>
  <c r="DA226" i="4"/>
  <c r="DB226" i="4"/>
  <c r="DC226" i="4"/>
  <c r="DD226" i="4"/>
  <c r="DE226" i="4"/>
  <c r="DF226" i="4"/>
  <c r="DG226" i="4"/>
  <c r="DH226" i="4"/>
  <c r="D227" i="4"/>
  <c r="E227" i="4"/>
  <c r="F227" i="4"/>
  <c r="G227" i="4"/>
  <c r="H227" i="4"/>
  <c r="I227" i="4"/>
  <c r="J227" i="4"/>
  <c r="K227" i="4"/>
  <c r="L227" i="4"/>
  <c r="M227" i="4"/>
  <c r="N227" i="4"/>
  <c r="O227" i="4"/>
  <c r="P227" i="4"/>
  <c r="Q227" i="4"/>
  <c r="R227" i="4"/>
  <c r="S227" i="4"/>
  <c r="T227" i="4"/>
  <c r="U227" i="4"/>
  <c r="V227" i="4"/>
  <c r="W227" i="4"/>
  <c r="X227" i="4"/>
  <c r="Y227" i="4"/>
  <c r="Z227" i="4"/>
  <c r="AA227" i="4"/>
  <c r="AB227" i="4"/>
  <c r="AC227" i="4"/>
  <c r="AD227" i="4"/>
  <c r="AE227" i="4"/>
  <c r="AF227" i="4"/>
  <c r="AG227" i="4"/>
  <c r="AH227" i="4"/>
  <c r="AI227" i="4"/>
  <c r="AJ227" i="4"/>
  <c r="AK227" i="4"/>
  <c r="AL227" i="4"/>
  <c r="AM227" i="4"/>
  <c r="AN227" i="4"/>
  <c r="AO227" i="4"/>
  <c r="AP227" i="4"/>
  <c r="AQ227" i="4"/>
  <c r="AR227" i="4"/>
  <c r="AS227" i="4"/>
  <c r="AT227" i="4"/>
  <c r="AU227" i="4"/>
  <c r="AV227" i="4"/>
  <c r="AW227" i="4"/>
  <c r="AX227" i="4"/>
  <c r="AY227" i="4"/>
  <c r="AZ227" i="4"/>
  <c r="BA227" i="4"/>
  <c r="BB227" i="4"/>
  <c r="BC227" i="4"/>
  <c r="BD227" i="4"/>
  <c r="BE227" i="4"/>
  <c r="BF227" i="4"/>
  <c r="BG227" i="4"/>
  <c r="BH227" i="4"/>
  <c r="BI227" i="4"/>
  <c r="BJ227" i="4"/>
  <c r="BK227" i="4"/>
  <c r="BL227" i="4"/>
  <c r="BM227" i="4"/>
  <c r="BN227" i="4"/>
  <c r="BO227" i="4"/>
  <c r="BP227" i="4"/>
  <c r="BQ227" i="4"/>
  <c r="BR227" i="4"/>
  <c r="BS227" i="4"/>
  <c r="BT227" i="4"/>
  <c r="BU227" i="4"/>
  <c r="BV227" i="4"/>
  <c r="BW227" i="4"/>
  <c r="BX227" i="4"/>
  <c r="BY227" i="4"/>
  <c r="BZ227" i="4"/>
  <c r="CA227" i="4"/>
  <c r="CB227" i="4"/>
  <c r="CC227" i="4"/>
  <c r="CD227" i="4"/>
  <c r="CE227" i="4"/>
  <c r="CF227" i="4"/>
  <c r="CG227" i="4"/>
  <c r="CH227" i="4"/>
  <c r="CI227" i="4"/>
  <c r="CJ227" i="4"/>
  <c r="CK227" i="4"/>
  <c r="CL227" i="4"/>
  <c r="CM227" i="4"/>
  <c r="CN227" i="4"/>
  <c r="CO227" i="4"/>
  <c r="CP227" i="4"/>
  <c r="CQ227" i="4"/>
  <c r="CR227" i="4"/>
  <c r="CS227" i="4"/>
  <c r="CT227" i="4"/>
  <c r="CU227" i="4"/>
  <c r="CV227" i="4"/>
  <c r="CW227" i="4"/>
  <c r="CX227" i="4"/>
  <c r="CY227" i="4"/>
  <c r="CZ227" i="4"/>
  <c r="DA227" i="4"/>
  <c r="DB227" i="4"/>
  <c r="DC227" i="4"/>
  <c r="DD227" i="4"/>
  <c r="DE227" i="4"/>
  <c r="DF227" i="4"/>
  <c r="DG227" i="4"/>
  <c r="DH227" i="4"/>
  <c r="D228" i="4"/>
  <c r="E228" i="4"/>
  <c r="F228" i="4"/>
  <c r="G228" i="4"/>
  <c r="H228" i="4"/>
  <c r="I228" i="4"/>
  <c r="J228" i="4"/>
  <c r="K228" i="4"/>
  <c r="L228" i="4"/>
  <c r="M228" i="4"/>
  <c r="N228" i="4"/>
  <c r="O228" i="4"/>
  <c r="P228" i="4"/>
  <c r="Q228" i="4"/>
  <c r="R228" i="4"/>
  <c r="S228" i="4"/>
  <c r="T228" i="4"/>
  <c r="U228" i="4"/>
  <c r="V228" i="4"/>
  <c r="W228" i="4"/>
  <c r="X228" i="4"/>
  <c r="Y228" i="4"/>
  <c r="Z228" i="4"/>
  <c r="AA228" i="4"/>
  <c r="AB228" i="4"/>
  <c r="AC228" i="4"/>
  <c r="AD228" i="4"/>
  <c r="AE228" i="4"/>
  <c r="AF228" i="4"/>
  <c r="AG228" i="4"/>
  <c r="AH228" i="4"/>
  <c r="AI228" i="4"/>
  <c r="AJ228" i="4"/>
  <c r="AK228" i="4"/>
  <c r="AL228" i="4"/>
  <c r="AM228" i="4"/>
  <c r="AN228" i="4"/>
  <c r="AO228" i="4"/>
  <c r="AP228" i="4"/>
  <c r="AQ228" i="4"/>
  <c r="AR228" i="4"/>
  <c r="AS228" i="4"/>
  <c r="AT228" i="4"/>
  <c r="AU228" i="4"/>
  <c r="AV228" i="4"/>
  <c r="AW228" i="4"/>
  <c r="AX228" i="4"/>
  <c r="AY228" i="4"/>
  <c r="AZ228" i="4"/>
  <c r="BA228" i="4"/>
  <c r="BB228" i="4"/>
  <c r="BC228" i="4"/>
  <c r="BD228" i="4"/>
  <c r="BE228" i="4"/>
  <c r="BF228" i="4"/>
  <c r="BG228" i="4"/>
  <c r="BH228" i="4"/>
  <c r="BI228" i="4"/>
  <c r="BJ228" i="4"/>
  <c r="BK228" i="4"/>
  <c r="BL228" i="4"/>
  <c r="BM228" i="4"/>
  <c r="BN228" i="4"/>
  <c r="BO228" i="4"/>
  <c r="BP228" i="4"/>
  <c r="BQ228" i="4"/>
  <c r="BR228" i="4"/>
  <c r="BS228" i="4"/>
  <c r="BT228" i="4"/>
  <c r="BU228" i="4"/>
  <c r="BV228" i="4"/>
  <c r="BW228" i="4"/>
  <c r="BX228" i="4"/>
  <c r="BY228" i="4"/>
  <c r="BZ228" i="4"/>
  <c r="CA228" i="4"/>
  <c r="CB228" i="4"/>
  <c r="CC228" i="4"/>
  <c r="CD228" i="4"/>
  <c r="CE228" i="4"/>
  <c r="CF228" i="4"/>
  <c r="CG228" i="4"/>
  <c r="CH228" i="4"/>
  <c r="CI228" i="4"/>
  <c r="CJ228" i="4"/>
  <c r="CK228" i="4"/>
  <c r="CL228" i="4"/>
  <c r="CM228" i="4"/>
  <c r="CN228" i="4"/>
  <c r="CO228" i="4"/>
  <c r="CP228" i="4"/>
  <c r="CQ228" i="4"/>
  <c r="CR228" i="4"/>
  <c r="CS228" i="4"/>
  <c r="CT228" i="4"/>
  <c r="CU228" i="4"/>
  <c r="CV228" i="4"/>
  <c r="CW228" i="4"/>
  <c r="CX228" i="4"/>
  <c r="CY228" i="4"/>
  <c r="CZ228" i="4"/>
  <c r="DA228" i="4"/>
  <c r="DB228" i="4"/>
  <c r="DC228" i="4"/>
  <c r="DD228" i="4"/>
  <c r="DE228" i="4"/>
  <c r="DF228" i="4"/>
  <c r="DG228" i="4"/>
  <c r="DH228" i="4"/>
  <c r="D229" i="4"/>
  <c r="E229" i="4"/>
  <c r="F229" i="4"/>
  <c r="G229" i="4"/>
  <c r="H229" i="4"/>
  <c r="I229" i="4"/>
  <c r="J229" i="4"/>
  <c r="K229" i="4"/>
  <c r="L229" i="4"/>
  <c r="M229" i="4"/>
  <c r="N229" i="4"/>
  <c r="O229" i="4"/>
  <c r="P229" i="4"/>
  <c r="Q229" i="4"/>
  <c r="R229" i="4"/>
  <c r="S229" i="4"/>
  <c r="T229" i="4"/>
  <c r="U229" i="4"/>
  <c r="V229" i="4"/>
  <c r="W229" i="4"/>
  <c r="X229" i="4"/>
  <c r="Y229" i="4"/>
  <c r="Z229" i="4"/>
  <c r="AA229" i="4"/>
  <c r="AB229" i="4"/>
  <c r="AC229" i="4"/>
  <c r="AD229" i="4"/>
  <c r="AE229" i="4"/>
  <c r="AF229" i="4"/>
  <c r="AG229" i="4"/>
  <c r="AH229" i="4"/>
  <c r="AI229" i="4"/>
  <c r="AJ229" i="4"/>
  <c r="AK229" i="4"/>
  <c r="AL229" i="4"/>
  <c r="AM229" i="4"/>
  <c r="AN229" i="4"/>
  <c r="AO229" i="4"/>
  <c r="AP229" i="4"/>
  <c r="AQ229" i="4"/>
  <c r="AR229" i="4"/>
  <c r="AS229" i="4"/>
  <c r="AT229" i="4"/>
  <c r="AU229" i="4"/>
  <c r="AV229" i="4"/>
  <c r="AW229" i="4"/>
  <c r="AX229" i="4"/>
  <c r="AY229" i="4"/>
  <c r="AZ229" i="4"/>
  <c r="BA229" i="4"/>
  <c r="BB229" i="4"/>
  <c r="BC229" i="4"/>
  <c r="BD229" i="4"/>
  <c r="BE229" i="4"/>
  <c r="BF229" i="4"/>
  <c r="BG229" i="4"/>
  <c r="BH229" i="4"/>
  <c r="BI229" i="4"/>
  <c r="BJ229" i="4"/>
  <c r="BK229" i="4"/>
  <c r="BL229" i="4"/>
  <c r="BM229" i="4"/>
  <c r="BN229" i="4"/>
  <c r="BO229" i="4"/>
  <c r="BP229" i="4"/>
  <c r="BQ229" i="4"/>
  <c r="BR229" i="4"/>
  <c r="BS229" i="4"/>
  <c r="BT229" i="4"/>
  <c r="BU229" i="4"/>
  <c r="BV229" i="4"/>
  <c r="BW229" i="4"/>
  <c r="BX229" i="4"/>
  <c r="BY229" i="4"/>
  <c r="BZ229" i="4"/>
  <c r="CA229" i="4"/>
  <c r="CB229" i="4"/>
  <c r="CC229" i="4"/>
  <c r="CD229" i="4"/>
  <c r="CE229" i="4"/>
  <c r="CF229" i="4"/>
  <c r="CG229" i="4"/>
  <c r="CH229" i="4"/>
  <c r="CI229" i="4"/>
  <c r="CJ229" i="4"/>
  <c r="CK229" i="4"/>
  <c r="CL229" i="4"/>
  <c r="CM229" i="4"/>
  <c r="CN229" i="4"/>
  <c r="CO229" i="4"/>
  <c r="CP229" i="4"/>
  <c r="CQ229" i="4"/>
  <c r="CR229" i="4"/>
  <c r="CS229" i="4"/>
  <c r="CT229" i="4"/>
  <c r="CU229" i="4"/>
  <c r="CV229" i="4"/>
  <c r="CW229" i="4"/>
  <c r="CX229" i="4"/>
  <c r="CY229" i="4"/>
  <c r="CZ229" i="4"/>
  <c r="DA229" i="4"/>
  <c r="DB229" i="4"/>
  <c r="DC229" i="4"/>
  <c r="DD229" i="4"/>
  <c r="DE229" i="4"/>
  <c r="DF229" i="4"/>
  <c r="DG229" i="4"/>
  <c r="DH229" i="4"/>
  <c r="D230" i="4"/>
  <c r="E230" i="4"/>
  <c r="F230" i="4"/>
  <c r="G230" i="4"/>
  <c r="H230" i="4"/>
  <c r="I230" i="4"/>
  <c r="J230" i="4"/>
  <c r="K230" i="4"/>
  <c r="L230" i="4"/>
  <c r="M230" i="4"/>
  <c r="N230" i="4"/>
  <c r="O230" i="4"/>
  <c r="P230" i="4"/>
  <c r="Q230" i="4"/>
  <c r="R230" i="4"/>
  <c r="S230" i="4"/>
  <c r="T230" i="4"/>
  <c r="U230" i="4"/>
  <c r="V230" i="4"/>
  <c r="W230" i="4"/>
  <c r="X230" i="4"/>
  <c r="Y230" i="4"/>
  <c r="Z230" i="4"/>
  <c r="AA230" i="4"/>
  <c r="AB230" i="4"/>
  <c r="AC230" i="4"/>
  <c r="AD230" i="4"/>
  <c r="AE230" i="4"/>
  <c r="AF230" i="4"/>
  <c r="AG230" i="4"/>
  <c r="AH230" i="4"/>
  <c r="AI230" i="4"/>
  <c r="AJ230" i="4"/>
  <c r="AK230" i="4"/>
  <c r="AL230" i="4"/>
  <c r="AM230" i="4"/>
  <c r="AN230" i="4"/>
  <c r="AO230" i="4"/>
  <c r="AP230" i="4"/>
  <c r="AQ230" i="4"/>
  <c r="AR230" i="4"/>
  <c r="AS230" i="4"/>
  <c r="AT230" i="4"/>
  <c r="AU230" i="4"/>
  <c r="AV230" i="4"/>
  <c r="AW230" i="4"/>
  <c r="AX230" i="4"/>
  <c r="AY230" i="4"/>
  <c r="AZ230" i="4"/>
  <c r="BA230" i="4"/>
  <c r="BB230" i="4"/>
  <c r="BC230" i="4"/>
  <c r="BD230" i="4"/>
  <c r="BE230" i="4"/>
  <c r="BF230" i="4"/>
  <c r="BG230" i="4"/>
  <c r="BH230" i="4"/>
  <c r="BI230" i="4"/>
  <c r="BJ230" i="4"/>
  <c r="BK230" i="4"/>
  <c r="BL230" i="4"/>
  <c r="BM230" i="4"/>
  <c r="BN230" i="4"/>
  <c r="BO230" i="4"/>
  <c r="BP230" i="4"/>
  <c r="BQ230" i="4"/>
  <c r="BR230" i="4"/>
  <c r="BS230" i="4"/>
  <c r="BT230" i="4"/>
  <c r="BU230" i="4"/>
  <c r="BV230" i="4"/>
  <c r="BW230" i="4"/>
  <c r="BX230" i="4"/>
  <c r="BY230" i="4"/>
  <c r="BZ230" i="4"/>
  <c r="CA230" i="4"/>
  <c r="CB230" i="4"/>
  <c r="CC230" i="4"/>
  <c r="CD230" i="4"/>
  <c r="CE230" i="4"/>
  <c r="CF230" i="4"/>
  <c r="CG230" i="4"/>
  <c r="CH230" i="4"/>
  <c r="CI230" i="4"/>
  <c r="CJ230" i="4"/>
  <c r="CK230" i="4"/>
  <c r="CL230" i="4"/>
  <c r="CM230" i="4"/>
  <c r="CN230" i="4"/>
  <c r="CO230" i="4"/>
  <c r="CP230" i="4"/>
  <c r="CQ230" i="4"/>
  <c r="CR230" i="4"/>
  <c r="CS230" i="4"/>
  <c r="CT230" i="4"/>
  <c r="CU230" i="4"/>
  <c r="CV230" i="4"/>
  <c r="CW230" i="4"/>
  <c r="CX230" i="4"/>
  <c r="CY230" i="4"/>
  <c r="CZ230" i="4"/>
  <c r="DA230" i="4"/>
  <c r="DB230" i="4"/>
  <c r="DC230" i="4"/>
  <c r="DD230" i="4"/>
  <c r="DE230" i="4"/>
  <c r="DF230" i="4"/>
  <c r="DG230" i="4"/>
  <c r="DH230" i="4"/>
  <c r="D231" i="4"/>
  <c r="E231" i="4"/>
  <c r="F231" i="4"/>
  <c r="G231" i="4"/>
  <c r="H231" i="4"/>
  <c r="I231" i="4"/>
  <c r="J231" i="4"/>
  <c r="K231" i="4"/>
  <c r="L231" i="4"/>
  <c r="M231" i="4"/>
  <c r="N231" i="4"/>
  <c r="O231" i="4"/>
  <c r="P231" i="4"/>
  <c r="Q231" i="4"/>
  <c r="R231" i="4"/>
  <c r="S231" i="4"/>
  <c r="T231" i="4"/>
  <c r="U231" i="4"/>
  <c r="V231" i="4"/>
  <c r="W231" i="4"/>
  <c r="X231" i="4"/>
  <c r="Y231" i="4"/>
  <c r="Z231" i="4"/>
  <c r="AA231" i="4"/>
  <c r="AB231" i="4"/>
  <c r="AC231" i="4"/>
  <c r="AD231" i="4"/>
  <c r="AE231" i="4"/>
  <c r="AF231" i="4"/>
  <c r="AG231" i="4"/>
  <c r="AH231" i="4"/>
  <c r="AI231" i="4"/>
  <c r="AJ231" i="4"/>
  <c r="AK231" i="4"/>
  <c r="AL231" i="4"/>
  <c r="AM231" i="4"/>
  <c r="AN231" i="4"/>
  <c r="AO231" i="4"/>
  <c r="AP231" i="4"/>
  <c r="AQ231" i="4"/>
  <c r="AR231" i="4"/>
  <c r="AS231" i="4"/>
  <c r="AT231" i="4"/>
  <c r="AU231" i="4"/>
  <c r="AV231" i="4"/>
  <c r="AW231" i="4"/>
  <c r="AX231" i="4"/>
  <c r="AY231" i="4"/>
  <c r="AZ231" i="4"/>
  <c r="BA231" i="4"/>
  <c r="BB231" i="4"/>
  <c r="BC231" i="4"/>
  <c r="BD231" i="4"/>
  <c r="BE231" i="4"/>
  <c r="BF231" i="4"/>
  <c r="BG231" i="4"/>
  <c r="BH231" i="4"/>
  <c r="BI231" i="4"/>
  <c r="BJ231" i="4"/>
  <c r="BK231" i="4"/>
  <c r="BL231" i="4"/>
  <c r="BM231" i="4"/>
  <c r="BN231" i="4"/>
  <c r="BO231" i="4"/>
  <c r="BP231" i="4"/>
  <c r="BQ231" i="4"/>
  <c r="BR231" i="4"/>
  <c r="BS231" i="4"/>
  <c r="BT231" i="4"/>
  <c r="BU231" i="4"/>
  <c r="BV231" i="4"/>
  <c r="BW231" i="4"/>
  <c r="BX231" i="4"/>
  <c r="BY231" i="4"/>
  <c r="BZ231" i="4"/>
  <c r="CA231" i="4"/>
  <c r="CB231" i="4"/>
  <c r="CC231" i="4"/>
  <c r="CD231" i="4"/>
  <c r="CE231" i="4"/>
  <c r="CF231" i="4"/>
  <c r="CG231" i="4"/>
  <c r="CH231" i="4"/>
  <c r="CI231" i="4"/>
  <c r="CJ231" i="4"/>
  <c r="CK231" i="4"/>
  <c r="CL231" i="4"/>
  <c r="CM231" i="4"/>
  <c r="CN231" i="4"/>
  <c r="CO231" i="4"/>
  <c r="CP231" i="4"/>
  <c r="CQ231" i="4"/>
  <c r="CR231" i="4"/>
  <c r="CS231" i="4"/>
  <c r="CT231" i="4"/>
  <c r="CU231" i="4"/>
  <c r="CV231" i="4"/>
  <c r="CW231" i="4"/>
  <c r="CX231" i="4"/>
  <c r="CY231" i="4"/>
  <c r="CZ231" i="4"/>
  <c r="DA231" i="4"/>
  <c r="DB231" i="4"/>
  <c r="DC231" i="4"/>
  <c r="DD231" i="4"/>
  <c r="DE231" i="4"/>
  <c r="DF231" i="4"/>
  <c r="DG231" i="4"/>
  <c r="DH231" i="4"/>
  <c r="D232" i="4"/>
  <c r="E232" i="4"/>
  <c r="F232" i="4"/>
  <c r="G232" i="4"/>
  <c r="H232" i="4"/>
  <c r="I232" i="4"/>
  <c r="J232" i="4"/>
  <c r="K232" i="4"/>
  <c r="L232" i="4"/>
  <c r="M232" i="4"/>
  <c r="N232" i="4"/>
  <c r="O232" i="4"/>
  <c r="P232" i="4"/>
  <c r="Q232" i="4"/>
  <c r="R232" i="4"/>
  <c r="S232" i="4"/>
  <c r="T232" i="4"/>
  <c r="U232" i="4"/>
  <c r="V232" i="4"/>
  <c r="W232" i="4"/>
  <c r="X232" i="4"/>
  <c r="Y232" i="4"/>
  <c r="Z232" i="4"/>
  <c r="AA232" i="4"/>
  <c r="AB232" i="4"/>
  <c r="AC232" i="4"/>
  <c r="AD232" i="4"/>
  <c r="AE232" i="4"/>
  <c r="AF232" i="4"/>
  <c r="AG232" i="4"/>
  <c r="AH232" i="4"/>
  <c r="AI232" i="4"/>
  <c r="AJ232" i="4"/>
  <c r="AK232" i="4"/>
  <c r="AL232" i="4"/>
  <c r="AM232" i="4"/>
  <c r="AN232" i="4"/>
  <c r="AO232" i="4"/>
  <c r="AP232" i="4"/>
  <c r="AQ232" i="4"/>
  <c r="AR232" i="4"/>
  <c r="AS232" i="4"/>
  <c r="AT232" i="4"/>
  <c r="AU232" i="4"/>
  <c r="AV232" i="4"/>
  <c r="AW232" i="4"/>
  <c r="AX232" i="4"/>
  <c r="AY232" i="4"/>
  <c r="AZ232" i="4"/>
  <c r="BA232" i="4"/>
  <c r="BB232" i="4"/>
  <c r="BC232" i="4"/>
  <c r="BD232" i="4"/>
  <c r="BE232" i="4"/>
  <c r="BF232" i="4"/>
  <c r="BG232" i="4"/>
  <c r="BH232" i="4"/>
  <c r="BI232" i="4"/>
  <c r="BJ232" i="4"/>
  <c r="BK232" i="4"/>
  <c r="BL232" i="4"/>
  <c r="BM232" i="4"/>
  <c r="BN232" i="4"/>
  <c r="BO232" i="4"/>
  <c r="BP232" i="4"/>
  <c r="BQ232" i="4"/>
  <c r="BR232" i="4"/>
  <c r="BS232" i="4"/>
  <c r="BT232" i="4"/>
  <c r="BU232" i="4"/>
  <c r="BV232" i="4"/>
  <c r="BW232" i="4"/>
  <c r="BX232" i="4"/>
  <c r="BY232" i="4"/>
  <c r="BZ232" i="4"/>
  <c r="CA232" i="4"/>
  <c r="CB232" i="4"/>
  <c r="CC232" i="4"/>
  <c r="CD232" i="4"/>
  <c r="CE232" i="4"/>
  <c r="CF232" i="4"/>
  <c r="CG232" i="4"/>
  <c r="CH232" i="4"/>
  <c r="CI232" i="4"/>
  <c r="CJ232" i="4"/>
  <c r="CK232" i="4"/>
  <c r="CL232" i="4"/>
  <c r="CM232" i="4"/>
  <c r="CN232" i="4"/>
  <c r="CO232" i="4"/>
  <c r="CP232" i="4"/>
  <c r="CQ232" i="4"/>
  <c r="CR232" i="4"/>
  <c r="CS232" i="4"/>
  <c r="CT232" i="4"/>
  <c r="CU232" i="4"/>
  <c r="CV232" i="4"/>
  <c r="CW232" i="4"/>
  <c r="CX232" i="4"/>
  <c r="CY232" i="4"/>
  <c r="CZ232" i="4"/>
  <c r="DA232" i="4"/>
  <c r="DB232" i="4"/>
  <c r="DC232" i="4"/>
  <c r="DD232" i="4"/>
  <c r="DE232" i="4"/>
  <c r="DF232" i="4"/>
  <c r="DG232" i="4"/>
  <c r="DH232" i="4"/>
  <c r="D233" i="4"/>
  <c r="E233" i="4"/>
  <c r="F233" i="4"/>
  <c r="G233" i="4"/>
  <c r="H233" i="4"/>
  <c r="I233" i="4"/>
  <c r="J233" i="4"/>
  <c r="K233" i="4"/>
  <c r="L233" i="4"/>
  <c r="M233" i="4"/>
  <c r="N233" i="4"/>
  <c r="O233" i="4"/>
  <c r="P233" i="4"/>
  <c r="Q233" i="4"/>
  <c r="R233" i="4"/>
  <c r="S233" i="4"/>
  <c r="T233" i="4"/>
  <c r="U233" i="4"/>
  <c r="V233" i="4"/>
  <c r="W233" i="4"/>
  <c r="X233" i="4"/>
  <c r="Y233" i="4"/>
  <c r="Z233" i="4"/>
  <c r="AA233" i="4"/>
  <c r="AB233" i="4"/>
  <c r="AC233" i="4"/>
  <c r="AD233" i="4"/>
  <c r="AE233" i="4"/>
  <c r="AF233" i="4"/>
  <c r="AG233" i="4"/>
  <c r="AH233" i="4"/>
  <c r="AI233" i="4"/>
  <c r="AJ233" i="4"/>
  <c r="AK233" i="4"/>
  <c r="AL233" i="4"/>
  <c r="AM233" i="4"/>
  <c r="AN233" i="4"/>
  <c r="AO233" i="4"/>
  <c r="AP233" i="4"/>
  <c r="AQ233" i="4"/>
  <c r="AR233" i="4"/>
  <c r="AS233" i="4"/>
  <c r="AT233" i="4"/>
  <c r="AU233" i="4"/>
  <c r="AV233" i="4"/>
  <c r="AW233" i="4"/>
  <c r="AX233" i="4"/>
  <c r="AY233" i="4"/>
  <c r="AZ233" i="4"/>
  <c r="BA233" i="4"/>
  <c r="BB233" i="4"/>
  <c r="BC233" i="4"/>
  <c r="BD233" i="4"/>
  <c r="BE233" i="4"/>
  <c r="BF233" i="4"/>
  <c r="BG233" i="4"/>
  <c r="BH233" i="4"/>
  <c r="BI233" i="4"/>
  <c r="BJ233" i="4"/>
  <c r="BK233" i="4"/>
  <c r="BL233" i="4"/>
  <c r="BM233" i="4"/>
  <c r="BN233" i="4"/>
  <c r="BO233" i="4"/>
  <c r="BP233" i="4"/>
  <c r="BQ233" i="4"/>
  <c r="BR233" i="4"/>
  <c r="BS233" i="4"/>
  <c r="BT233" i="4"/>
  <c r="BU233" i="4"/>
  <c r="BV233" i="4"/>
  <c r="BW233" i="4"/>
  <c r="BX233" i="4"/>
  <c r="BY233" i="4"/>
  <c r="BZ233" i="4"/>
  <c r="CA233" i="4"/>
  <c r="CB233" i="4"/>
  <c r="CC233" i="4"/>
  <c r="CD233" i="4"/>
  <c r="CE233" i="4"/>
  <c r="CF233" i="4"/>
  <c r="CG233" i="4"/>
  <c r="CH233" i="4"/>
  <c r="CI233" i="4"/>
  <c r="CJ233" i="4"/>
  <c r="CK233" i="4"/>
  <c r="CL233" i="4"/>
  <c r="CM233" i="4"/>
  <c r="CN233" i="4"/>
  <c r="CO233" i="4"/>
  <c r="CP233" i="4"/>
  <c r="CQ233" i="4"/>
  <c r="CR233" i="4"/>
  <c r="CS233" i="4"/>
  <c r="CT233" i="4"/>
  <c r="CU233" i="4"/>
  <c r="CV233" i="4"/>
  <c r="CW233" i="4"/>
  <c r="CX233" i="4"/>
  <c r="CY233" i="4"/>
  <c r="CZ233" i="4"/>
  <c r="DA233" i="4"/>
  <c r="DB233" i="4"/>
  <c r="DC233" i="4"/>
  <c r="DD233" i="4"/>
  <c r="DE233" i="4"/>
  <c r="DF233" i="4"/>
  <c r="DG233" i="4"/>
  <c r="DH233" i="4"/>
  <c r="D234" i="4"/>
  <c r="E234" i="4"/>
  <c r="F234" i="4"/>
  <c r="G234" i="4"/>
  <c r="H234" i="4"/>
  <c r="I234" i="4"/>
  <c r="J234" i="4"/>
  <c r="K234" i="4"/>
  <c r="L234" i="4"/>
  <c r="M234" i="4"/>
  <c r="N234" i="4"/>
  <c r="O234" i="4"/>
  <c r="P234" i="4"/>
  <c r="Q234" i="4"/>
  <c r="R234" i="4"/>
  <c r="S234" i="4"/>
  <c r="T234" i="4"/>
  <c r="U234" i="4"/>
  <c r="V234" i="4"/>
  <c r="W234" i="4"/>
  <c r="X234" i="4"/>
  <c r="Y234" i="4"/>
  <c r="Z234" i="4"/>
  <c r="AA234" i="4"/>
  <c r="AB234" i="4"/>
  <c r="AC234" i="4"/>
  <c r="AD234" i="4"/>
  <c r="AE234" i="4"/>
  <c r="AF234" i="4"/>
  <c r="AG234" i="4"/>
  <c r="AH234" i="4"/>
  <c r="AI234" i="4"/>
  <c r="AJ234" i="4"/>
  <c r="AK234" i="4"/>
  <c r="AL234" i="4"/>
  <c r="AM234" i="4"/>
  <c r="AN234" i="4"/>
  <c r="AO234" i="4"/>
  <c r="AP234" i="4"/>
  <c r="AQ234" i="4"/>
  <c r="AR234" i="4"/>
  <c r="AS234" i="4"/>
  <c r="AT234" i="4"/>
  <c r="AU234" i="4"/>
  <c r="AV234" i="4"/>
  <c r="AW234" i="4"/>
  <c r="AX234" i="4"/>
  <c r="AY234" i="4"/>
  <c r="AZ234" i="4"/>
  <c r="BA234" i="4"/>
  <c r="BB234" i="4"/>
  <c r="BC234" i="4"/>
  <c r="BD234" i="4"/>
  <c r="BE234" i="4"/>
  <c r="BF234" i="4"/>
  <c r="BG234" i="4"/>
  <c r="BH234" i="4"/>
  <c r="BI234" i="4"/>
  <c r="BJ234" i="4"/>
  <c r="BK234" i="4"/>
  <c r="BL234" i="4"/>
  <c r="BM234" i="4"/>
  <c r="BN234" i="4"/>
  <c r="BO234" i="4"/>
  <c r="BP234" i="4"/>
  <c r="BQ234" i="4"/>
  <c r="BR234" i="4"/>
  <c r="BS234" i="4"/>
  <c r="BT234" i="4"/>
  <c r="BU234" i="4"/>
  <c r="BV234" i="4"/>
  <c r="BW234" i="4"/>
  <c r="BX234" i="4"/>
  <c r="BY234" i="4"/>
  <c r="BZ234" i="4"/>
  <c r="CA234" i="4"/>
  <c r="CB234" i="4"/>
  <c r="CC234" i="4"/>
  <c r="CD234" i="4"/>
  <c r="CE234" i="4"/>
  <c r="CF234" i="4"/>
  <c r="CG234" i="4"/>
  <c r="CH234" i="4"/>
  <c r="CI234" i="4"/>
  <c r="CJ234" i="4"/>
  <c r="CK234" i="4"/>
  <c r="CL234" i="4"/>
  <c r="CM234" i="4"/>
  <c r="CN234" i="4"/>
  <c r="CO234" i="4"/>
  <c r="CP234" i="4"/>
  <c r="CQ234" i="4"/>
  <c r="CR234" i="4"/>
  <c r="CS234" i="4"/>
  <c r="CT234" i="4"/>
  <c r="CU234" i="4"/>
  <c r="CV234" i="4"/>
  <c r="CW234" i="4"/>
  <c r="CX234" i="4"/>
  <c r="CY234" i="4"/>
  <c r="CZ234" i="4"/>
  <c r="DA234" i="4"/>
  <c r="DB234" i="4"/>
  <c r="DC234" i="4"/>
  <c r="DD234" i="4"/>
  <c r="DE234" i="4"/>
  <c r="DF234" i="4"/>
  <c r="DG234" i="4"/>
  <c r="DH234" i="4"/>
  <c r="D235" i="4"/>
  <c r="E235" i="4"/>
  <c r="F235" i="4"/>
  <c r="G235" i="4"/>
  <c r="H235" i="4"/>
  <c r="I235" i="4"/>
  <c r="J235" i="4"/>
  <c r="K235" i="4"/>
  <c r="L235" i="4"/>
  <c r="M235" i="4"/>
  <c r="N235" i="4"/>
  <c r="O235" i="4"/>
  <c r="P235" i="4"/>
  <c r="Q235" i="4"/>
  <c r="R235" i="4"/>
  <c r="S235" i="4"/>
  <c r="T235" i="4"/>
  <c r="U235" i="4"/>
  <c r="V235" i="4"/>
  <c r="W235" i="4"/>
  <c r="X235" i="4"/>
  <c r="Y235" i="4"/>
  <c r="Z235" i="4"/>
  <c r="AA235" i="4"/>
  <c r="AB235" i="4"/>
  <c r="AC235" i="4"/>
  <c r="AD235" i="4"/>
  <c r="AE235" i="4"/>
  <c r="AF235" i="4"/>
  <c r="AG235" i="4"/>
  <c r="AH235" i="4"/>
  <c r="AI235" i="4"/>
  <c r="AJ235" i="4"/>
  <c r="AK235" i="4"/>
  <c r="AL235" i="4"/>
  <c r="AM235" i="4"/>
  <c r="AN235" i="4"/>
  <c r="AO235" i="4"/>
  <c r="AP235" i="4"/>
  <c r="AQ235" i="4"/>
  <c r="AR235" i="4"/>
  <c r="AS235" i="4"/>
  <c r="AT235" i="4"/>
  <c r="AU235" i="4"/>
  <c r="AV235" i="4"/>
  <c r="AW235" i="4"/>
  <c r="AX235" i="4"/>
  <c r="AY235" i="4"/>
  <c r="AZ235" i="4"/>
  <c r="BA235" i="4"/>
  <c r="BB235" i="4"/>
  <c r="BC235" i="4"/>
  <c r="BD235" i="4"/>
  <c r="BE235" i="4"/>
  <c r="BF235" i="4"/>
  <c r="BG235" i="4"/>
  <c r="BH235" i="4"/>
  <c r="BI235" i="4"/>
  <c r="BJ235" i="4"/>
  <c r="BK235" i="4"/>
  <c r="BL235" i="4"/>
  <c r="BM235" i="4"/>
  <c r="BN235" i="4"/>
  <c r="BO235" i="4"/>
  <c r="BP235" i="4"/>
  <c r="BQ235" i="4"/>
  <c r="BR235" i="4"/>
  <c r="BS235" i="4"/>
  <c r="BT235" i="4"/>
  <c r="BU235" i="4"/>
  <c r="BV235" i="4"/>
  <c r="BW235" i="4"/>
  <c r="BX235" i="4"/>
  <c r="BY235" i="4"/>
  <c r="BZ235" i="4"/>
  <c r="CA235" i="4"/>
  <c r="CB235" i="4"/>
  <c r="CC235" i="4"/>
  <c r="CD235" i="4"/>
  <c r="CE235" i="4"/>
  <c r="CF235" i="4"/>
  <c r="CG235" i="4"/>
  <c r="CH235" i="4"/>
  <c r="CI235" i="4"/>
  <c r="CJ235" i="4"/>
  <c r="CK235" i="4"/>
  <c r="CL235" i="4"/>
  <c r="CM235" i="4"/>
  <c r="CN235" i="4"/>
  <c r="CO235" i="4"/>
  <c r="CP235" i="4"/>
  <c r="CQ235" i="4"/>
  <c r="CR235" i="4"/>
  <c r="CS235" i="4"/>
  <c r="CT235" i="4"/>
  <c r="CU235" i="4"/>
  <c r="CV235" i="4"/>
  <c r="CW235" i="4"/>
  <c r="CX235" i="4"/>
  <c r="CY235" i="4"/>
  <c r="CZ235" i="4"/>
  <c r="DA235" i="4"/>
  <c r="DB235" i="4"/>
  <c r="DC235" i="4"/>
  <c r="DD235" i="4"/>
  <c r="DE235" i="4"/>
  <c r="DF235" i="4"/>
  <c r="DG235" i="4"/>
  <c r="DH235" i="4"/>
  <c r="D236" i="4"/>
  <c r="E236" i="4"/>
  <c r="F236" i="4"/>
  <c r="G236" i="4"/>
  <c r="H236" i="4"/>
  <c r="I236" i="4"/>
  <c r="J236" i="4"/>
  <c r="K236" i="4"/>
  <c r="L236" i="4"/>
  <c r="M236" i="4"/>
  <c r="N236" i="4"/>
  <c r="O236" i="4"/>
  <c r="P236" i="4"/>
  <c r="Q236" i="4"/>
  <c r="R236" i="4"/>
  <c r="S236" i="4"/>
  <c r="T236" i="4"/>
  <c r="U236" i="4"/>
  <c r="V236" i="4"/>
  <c r="W236" i="4"/>
  <c r="X236" i="4"/>
  <c r="Y236" i="4"/>
  <c r="Z236" i="4"/>
  <c r="AA236" i="4"/>
  <c r="AB236" i="4"/>
  <c r="AC236" i="4"/>
  <c r="AD236" i="4"/>
  <c r="AE236" i="4"/>
  <c r="AF236" i="4"/>
  <c r="AG236" i="4"/>
  <c r="AH236" i="4"/>
  <c r="AI236" i="4"/>
  <c r="AJ236" i="4"/>
  <c r="AK236" i="4"/>
  <c r="AL236" i="4"/>
  <c r="AM236" i="4"/>
  <c r="AN236" i="4"/>
  <c r="AO236" i="4"/>
  <c r="AP236" i="4"/>
  <c r="AQ236" i="4"/>
  <c r="AR236" i="4"/>
  <c r="AS236" i="4"/>
  <c r="AT236" i="4"/>
  <c r="AU236" i="4"/>
  <c r="AV236" i="4"/>
  <c r="AW236" i="4"/>
  <c r="AX236" i="4"/>
  <c r="AY236" i="4"/>
  <c r="AZ236" i="4"/>
  <c r="BA236" i="4"/>
  <c r="BB236" i="4"/>
  <c r="BC236" i="4"/>
  <c r="BD236" i="4"/>
  <c r="BE236" i="4"/>
  <c r="BF236" i="4"/>
  <c r="BG236" i="4"/>
  <c r="BH236" i="4"/>
  <c r="BI236" i="4"/>
  <c r="BJ236" i="4"/>
  <c r="BK236" i="4"/>
  <c r="BL236" i="4"/>
  <c r="BM236" i="4"/>
  <c r="BN236" i="4"/>
  <c r="BO236" i="4"/>
  <c r="BP236" i="4"/>
  <c r="BQ236" i="4"/>
  <c r="BR236" i="4"/>
  <c r="BS236" i="4"/>
  <c r="BT236" i="4"/>
  <c r="BU236" i="4"/>
  <c r="BV236" i="4"/>
  <c r="BW236" i="4"/>
  <c r="BX236" i="4"/>
  <c r="BY236" i="4"/>
  <c r="BZ236" i="4"/>
  <c r="CA236" i="4"/>
  <c r="CB236" i="4"/>
  <c r="CC236" i="4"/>
  <c r="CD236" i="4"/>
  <c r="CE236" i="4"/>
  <c r="CF236" i="4"/>
  <c r="CG236" i="4"/>
  <c r="CH236" i="4"/>
  <c r="CI236" i="4"/>
  <c r="CJ236" i="4"/>
  <c r="CK236" i="4"/>
  <c r="CL236" i="4"/>
  <c r="CM236" i="4"/>
  <c r="CN236" i="4"/>
  <c r="CO236" i="4"/>
  <c r="CP236" i="4"/>
  <c r="CQ236" i="4"/>
  <c r="CR236" i="4"/>
  <c r="CS236" i="4"/>
  <c r="CT236" i="4"/>
  <c r="CU236" i="4"/>
  <c r="CV236" i="4"/>
  <c r="CW236" i="4"/>
  <c r="CX236" i="4"/>
  <c r="CY236" i="4"/>
  <c r="CZ236" i="4"/>
  <c r="DA236" i="4"/>
  <c r="DB236" i="4"/>
  <c r="DC236" i="4"/>
  <c r="DD236" i="4"/>
  <c r="DE236" i="4"/>
  <c r="DF236" i="4"/>
  <c r="DG236" i="4"/>
  <c r="DH236" i="4"/>
  <c r="D237" i="4"/>
  <c r="E237" i="4"/>
  <c r="F237" i="4"/>
  <c r="G237" i="4"/>
  <c r="H237" i="4"/>
  <c r="I237" i="4"/>
  <c r="J237" i="4"/>
  <c r="K237" i="4"/>
  <c r="L237" i="4"/>
  <c r="M237" i="4"/>
  <c r="N237" i="4"/>
  <c r="O237" i="4"/>
  <c r="P237" i="4"/>
  <c r="Q237" i="4"/>
  <c r="R237" i="4"/>
  <c r="S237" i="4"/>
  <c r="T237" i="4"/>
  <c r="U237" i="4"/>
  <c r="V237" i="4"/>
  <c r="W237" i="4"/>
  <c r="X237" i="4"/>
  <c r="Y237" i="4"/>
  <c r="Z237" i="4"/>
  <c r="AA237" i="4"/>
  <c r="AB237" i="4"/>
  <c r="AC237" i="4"/>
  <c r="AD237" i="4"/>
  <c r="AE237" i="4"/>
  <c r="AF237" i="4"/>
  <c r="AG237" i="4"/>
  <c r="AH237" i="4"/>
  <c r="AI237" i="4"/>
  <c r="AJ237" i="4"/>
  <c r="AK237" i="4"/>
  <c r="AL237" i="4"/>
  <c r="AM237" i="4"/>
  <c r="AN237" i="4"/>
  <c r="AO237" i="4"/>
  <c r="AP237" i="4"/>
  <c r="AQ237" i="4"/>
  <c r="AR237" i="4"/>
  <c r="AS237" i="4"/>
  <c r="AT237" i="4"/>
  <c r="AU237" i="4"/>
  <c r="AV237" i="4"/>
  <c r="AW237" i="4"/>
  <c r="AX237" i="4"/>
  <c r="AY237" i="4"/>
  <c r="AZ237" i="4"/>
  <c r="BA237" i="4"/>
  <c r="BB237" i="4"/>
  <c r="BC237" i="4"/>
  <c r="BD237" i="4"/>
  <c r="BE237" i="4"/>
  <c r="BF237" i="4"/>
  <c r="BG237" i="4"/>
  <c r="BH237" i="4"/>
  <c r="BI237" i="4"/>
  <c r="BJ237" i="4"/>
  <c r="BK237" i="4"/>
  <c r="BL237" i="4"/>
  <c r="BM237" i="4"/>
  <c r="BN237" i="4"/>
  <c r="BO237" i="4"/>
  <c r="BP237" i="4"/>
  <c r="BQ237" i="4"/>
  <c r="BR237" i="4"/>
  <c r="BS237" i="4"/>
  <c r="BT237" i="4"/>
  <c r="BU237" i="4"/>
  <c r="BV237" i="4"/>
  <c r="BW237" i="4"/>
  <c r="BX237" i="4"/>
  <c r="BY237" i="4"/>
  <c r="BZ237" i="4"/>
  <c r="CA237" i="4"/>
  <c r="CB237" i="4"/>
  <c r="CC237" i="4"/>
  <c r="CD237" i="4"/>
  <c r="CE237" i="4"/>
  <c r="CF237" i="4"/>
  <c r="CG237" i="4"/>
  <c r="CH237" i="4"/>
  <c r="CI237" i="4"/>
  <c r="CJ237" i="4"/>
  <c r="CK237" i="4"/>
  <c r="CL237" i="4"/>
  <c r="CM237" i="4"/>
  <c r="CN237" i="4"/>
  <c r="CO237" i="4"/>
  <c r="CP237" i="4"/>
  <c r="CQ237" i="4"/>
  <c r="CR237" i="4"/>
  <c r="CS237" i="4"/>
  <c r="CT237" i="4"/>
  <c r="CU237" i="4"/>
  <c r="CV237" i="4"/>
  <c r="CW237" i="4"/>
  <c r="CX237" i="4"/>
  <c r="CY237" i="4"/>
  <c r="CZ237" i="4"/>
  <c r="DA237" i="4"/>
  <c r="DB237" i="4"/>
  <c r="DC237" i="4"/>
  <c r="DD237" i="4"/>
  <c r="DE237" i="4"/>
  <c r="DF237" i="4"/>
  <c r="DG237" i="4"/>
  <c r="DH237" i="4"/>
  <c r="D238" i="4"/>
  <c r="E238" i="4"/>
  <c r="F238" i="4"/>
  <c r="G238" i="4"/>
  <c r="H238" i="4"/>
  <c r="I238" i="4"/>
  <c r="J238" i="4"/>
  <c r="K238" i="4"/>
  <c r="L238" i="4"/>
  <c r="M238" i="4"/>
  <c r="N238" i="4"/>
  <c r="O238" i="4"/>
  <c r="P238" i="4"/>
  <c r="Q238" i="4"/>
  <c r="R238" i="4"/>
  <c r="S238" i="4"/>
  <c r="T238" i="4"/>
  <c r="U238" i="4"/>
  <c r="V238" i="4"/>
  <c r="W238" i="4"/>
  <c r="X238" i="4"/>
  <c r="Y238" i="4"/>
  <c r="Z238" i="4"/>
  <c r="AA238" i="4"/>
  <c r="AB238" i="4"/>
  <c r="AC238" i="4"/>
  <c r="AD238" i="4"/>
  <c r="AE238" i="4"/>
  <c r="AF238" i="4"/>
  <c r="AG238" i="4"/>
  <c r="AH238" i="4"/>
  <c r="AI238" i="4"/>
  <c r="AJ238" i="4"/>
  <c r="AK238" i="4"/>
  <c r="AL238" i="4"/>
  <c r="AM238" i="4"/>
  <c r="AN238" i="4"/>
  <c r="AO238" i="4"/>
  <c r="AP238" i="4"/>
  <c r="AQ238" i="4"/>
  <c r="AR238" i="4"/>
  <c r="AS238" i="4"/>
  <c r="AT238" i="4"/>
  <c r="AU238" i="4"/>
  <c r="AV238" i="4"/>
  <c r="AW238" i="4"/>
  <c r="AX238" i="4"/>
  <c r="AY238" i="4"/>
  <c r="AZ238" i="4"/>
  <c r="BA238" i="4"/>
  <c r="BB238" i="4"/>
  <c r="BC238" i="4"/>
  <c r="BD238" i="4"/>
  <c r="BE238" i="4"/>
  <c r="BF238" i="4"/>
  <c r="BG238" i="4"/>
  <c r="BH238" i="4"/>
  <c r="BI238" i="4"/>
  <c r="BJ238" i="4"/>
  <c r="BK238" i="4"/>
  <c r="BL238" i="4"/>
  <c r="BM238" i="4"/>
  <c r="BN238" i="4"/>
  <c r="BO238" i="4"/>
  <c r="BP238" i="4"/>
  <c r="BQ238" i="4"/>
  <c r="BR238" i="4"/>
  <c r="BS238" i="4"/>
  <c r="BT238" i="4"/>
  <c r="BU238" i="4"/>
  <c r="BV238" i="4"/>
  <c r="BW238" i="4"/>
  <c r="BX238" i="4"/>
  <c r="BY238" i="4"/>
  <c r="BZ238" i="4"/>
  <c r="CA238" i="4"/>
  <c r="CB238" i="4"/>
  <c r="CC238" i="4"/>
  <c r="CD238" i="4"/>
  <c r="CE238" i="4"/>
  <c r="CF238" i="4"/>
  <c r="CG238" i="4"/>
  <c r="CH238" i="4"/>
  <c r="CI238" i="4"/>
  <c r="CJ238" i="4"/>
  <c r="CK238" i="4"/>
  <c r="CL238" i="4"/>
  <c r="CM238" i="4"/>
  <c r="CN238" i="4"/>
  <c r="CO238" i="4"/>
  <c r="CP238" i="4"/>
  <c r="CQ238" i="4"/>
  <c r="CR238" i="4"/>
  <c r="CS238" i="4"/>
  <c r="CT238" i="4"/>
  <c r="CU238" i="4"/>
  <c r="CV238" i="4"/>
  <c r="CW238" i="4"/>
  <c r="CX238" i="4"/>
  <c r="CY238" i="4"/>
  <c r="CZ238" i="4"/>
  <c r="DA238" i="4"/>
  <c r="DB238" i="4"/>
  <c r="DC238" i="4"/>
  <c r="DD238" i="4"/>
  <c r="DE238" i="4"/>
  <c r="DF238" i="4"/>
  <c r="DG238" i="4"/>
  <c r="DH238" i="4"/>
  <c r="D239" i="4"/>
  <c r="E239" i="4"/>
  <c r="F239" i="4"/>
  <c r="G239" i="4"/>
  <c r="H239" i="4"/>
  <c r="I239" i="4"/>
  <c r="J239" i="4"/>
  <c r="K239" i="4"/>
  <c r="L239" i="4"/>
  <c r="M239" i="4"/>
  <c r="N239" i="4"/>
  <c r="O239" i="4"/>
  <c r="P239" i="4"/>
  <c r="Q239" i="4"/>
  <c r="R239" i="4"/>
  <c r="S239" i="4"/>
  <c r="T239" i="4"/>
  <c r="U239" i="4"/>
  <c r="V239" i="4"/>
  <c r="W239" i="4"/>
  <c r="X239" i="4"/>
  <c r="Y239" i="4"/>
  <c r="Z239" i="4"/>
  <c r="AA239" i="4"/>
  <c r="AB239" i="4"/>
  <c r="AC239" i="4"/>
  <c r="AD239" i="4"/>
  <c r="AE239" i="4"/>
  <c r="AF239" i="4"/>
  <c r="AG239" i="4"/>
  <c r="AH239" i="4"/>
  <c r="AI239" i="4"/>
  <c r="AJ239" i="4"/>
  <c r="AK239" i="4"/>
  <c r="AL239" i="4"/>
  <c r="AM239" i="4"/>
  <c r="AN239" i="4"/>
  <c r="AO239" i="4"/>
  <c r="AP239" i="4"/>
  <c r="AQ239" i="4"/>
  <c r="AR239" i="4"/>
  <c r="AS239" i="4"/>
  <c r="AT239" i="4"/>
  <c r="AU239" i="4"/>
  <c r="AV239" i="4"/>
  <c r="AW239" i="4"/>
  <c r="AX239" i="4"/>
  <c r="AY239" i="4"/>
  <c r="AZ239" i="4"/>
  <c r="BA239" i="4"/>
  <c r="BB239" i="4"/>
  <c r="BC239" i="4"/>
  <c r="BD239" i="4"/>
  <c r="BE239" i="4"/>
  <c r="BF239" i="4"/>
  <c r="BG239" i="4"/>
  <c r="BH239" i="4"/>
  <c r="BI239" i="4"/>
  <c r="BJ239" i="4"/>
  <c r="BK239" i="4"/>
  <c r="BL239" i="4"/>
  <c r="BM239" i="4"/>
  <c r="BN239" i="4"/>
  <c r="BO239" i="4"/>
  <c r="BP239" i="4"/>
  <c r="BQ239" i="4"/>
  <c r="BR239" i="4"/>
  <c r="BS239" i="4"/>
  <c r="BT239" i="4"/>
  <c r="BU239" i="4"/>
  <c r="BV239" i="4"/>
  <c r="BW239" i="4"/>
  <c r="BX239" i="4"/>
  <c r="BY239" i="4"/>
  <c r="BZ239" i="4"/>
  <c r="CA239" i="4"/>
  <c r="CB239" i="4"/>
  <c r="CC239" i="4"/>
  <c r="CD239" i="4"/>
  <c r="CE239" i="4"/>
  <c r="CF239" i="4"/>
  <c r="CG239" i="4"/>
  <c r="CH239" i="4"/>
  <c r="CI239" i="4"/>
  <c r="CJ239" i="4"/>
  <c r="CK239" i="4"/>
  <c r="CL239" i="4"/>
  <c r="CM239" i="4"/>
  <c r="CN239" i="4"/>
  <c r="CO239" i="4"/>
  <c r="CP239" i="4"/>
  <c r="CQ239" i="4"/>
  <c r="CR239" i="4"/>
  <c r="CS239" i="4"/>
  <c r="CT239" i="4"/>
  <c r="CU239" i="4"/>
  <c r="CV239" i="4"/>
  <c r="CW239" i="4"/>
  <c r="CX239" i="4"/>
  <c r="CY239" i="4"/>
  <c r="CZ239" i="4"/>
  <c r="DA239" i="4"/>
  <c r="DB239" i="4"/>
  <c r="DC239" i="4"/>
  <c r="DD239" i="4"/>
  <c r="DE239" i="4"/>
  <c r="DF239" i="4"/>
  <c r="DG239" i="4"/>
  <c r="DH239" i="4"/>
  <c r="D240" i="4"/>
  <c r="E240" i="4"/>
  <c r="F240" i="4"/>
  <c r="G240" i="4"/>
  <c r="H240" i="4"/>
  <c r="I240" i="4"/>
  <c r="J240" i="4"/>
  <c r="K240" i="4"/>
  <c r="L240" i="4"/>
  <c r="M240" i="4"/>
  <c r="N240" i="4"/>
  <c r="O240" i="4"/>
  <c r="P240" i="4"/>
  <c r="Q240" i="4"/>
  <c r="R240" i="4"/>
  <c r="S240" i="4"/>
  <c r="T240" i="4"/>
  <c r="U240" i="4"/>
  <c r="V240" i="4"/>
  <c r="W240" i="4"/>
  <c r="X240" i="4"/>
  <c r="Y240" i="4"/>
  <c r="Z240" i="4"/>
  <c r="AA240" i="4"/>
  <c r="AB240" i="4"/>
  <c r="AC240" i="4"/>
  <c r="AD240" i="4"/>
  <c r="AE240" i="4"/>
  <c r="AF240" i="4"/>
  <c r="AG240" i="4"/>
  <c r="AH240" i="4"/>
  <c r="AI240" i="4"/>
  <c r="AJ240" i="4"/>
  <c r="AK240" i="4"/>
  <c r="AL240" i="4"/>
  <c r="AM240" i="4"/>
  <c r="AN240" i="4"/>
  <c r="AO240" i="4"/>
  <c r="AP240" i="4"/>
  <c r="AQ240" i="4"/>
  <c r="AR240" i="4"/>
  <c r="AS240" i="4"/>
  <c r="AT240" i="4"/>
  <c r="AU240" i="4"/>
  <c r="AV240" i="4"/>
  <c r="AW240" i="4"/>
  <c r="AX240" i="4"/>
  <c r="AY240" i="4"/>
  <c r="AZ240" i="4"/>
  <c r="BA240" i="4"/>
  <c r="BB240" i="4"/>
  <c r="BC240" i="4"/>
  <c r="BD240" i="4"/>
  <c r="BE240" i="4"/>
  <c r="BF240" i="4"/>
  <c r="BG240" i="4"/>
  <c r="BH240" i="4"/>
  <c r="BI240" i="4"/>
  <c r="BJ240" i="4"/>
  <c r="BK240" i="4"/>
  <c r="BL240" i="4"/>
  <c r="BM240" i="4"/>
  <c r="BN240" i="4"/>
  <c r="BO240" i="4"/>
  <c r="BP240" i="4"/>
  <c r="BQ240" i="4"/>
  <c r="BR240" i="4"/>
  <c r="BS240" i="4"/>
  <c r="BT240" i="4"/>
  <c r="BU240" i="4"/>
  <c r="BV240" i="4"/>
  <c r="BW240" i="4"/>
  <c r="BX240" i="4"/>
  <c r="BY240" i="4"/>
  <c r="BZ240" i="4"/>
  <c r="CA240" i="4"/>
  <c r="CB240" i="4"/>
  <c r="CC240" i="4"/>
  <c r="CD240" i="4"/>
  <c r="CE240" i="4"/>
  <c r="CF240" i="4"/>
  <c r="CG240" i="4"/>
  <c r="CH240" i="4"/>
  <c r="CI240" i="4"/>
  <c r="CJ240" i="4"/>
  <c r="CK240" i="4"/>
  <c r="CL240" i="4"/>
  <c r="CM240" i="4"/>
  <c r="CN240" i="4"/>
  <c r="CO240" i="4"/>
  <c r="CP240" i="4"/>
  <c r="CQ240" i="4"/>
  <c r="CR240" i="4"/>
  <c r="CS240" i="4"/>
  <c r="CT240" i="4"/>
  <c r="CU240" i="4"/>
  <c r="CV240" i="4"/>
  <c r="CW240" i="4"/>
  <c r="CX240" i="4"/>
  <c r="CY240" i="4"/>
  <c r="CZ240" i="4"/>
  <c r="DA240" i="4"/>
  <c r="DB240" i="4"/>
  <c r="DC240" i="4"/>
  <c r="DD240" i="4"/>
  <c r="DE240" i="4"/>
  <c r="DF240" i="4"/>
  <c r="DG240" i="4"/>
  <c r="DH240" i="4"/>
  <c r="D241" i="4"/>
  <c r="E241" i="4"/>
  <c r="F241" i="4"/>
  <c r="G241" i="4"/>
  <c r="H241" i="4"/>
  <c r="I241" i="4"/>
  <c r="J241" i="4"/>
  <c r="K241" i="4"/>
  <c r="L241" i="4"/>
  <c r="M241" i="4"/>
  <c r="N241" i="4"/>
  <c r="O241" i="4"/>
  <c r="P241" i="4"/>
  <c r="Q241" i="4"/>
  <c r="R241" i="4"/>
  <c r="S241" i="4"/>
  <c r="T241" i="4"/>
  <c r="U241" i="4"/>
  <c r="V241" i="4"/>
  <c r="W241" i="4"/>
  <c r="X241" i="4"/>
  <c r="Y241" i="4"/>
  <c r="Z241" i="4"/>
  <c r="AA241" i="4"/>
  <c r="AB241" i="4"/>
  <c r="AC241" i="4"/>
  <c r="AD241" i="4"/>
  <c r="AE241" i="4"/>
  <c r="AF241" i="4"/>
  <c r="AG241" i="4"/>
  <c r="AH241" i="4"/>
  <c r="AI241" i="4"/>
  <c r="AJ241" i="4"/>
  <c r="AK241" i="4"/>
  <c r="AL241" i="4"/>
  <c r="AM241" i="4"/>
  <c r="AN241" i="4"/>
  <c r="AO241" i="4"/>
  <c r="AP241" i="4"/>
  <c r="AQ241" i="4"/>
  <c r="AR241" i="4"/>
  <c r="AS241" i="4"/>
  <c r="AT241" i="4"/>
  <c r="AU241" i="4"/>
  <c r="AV241" i="4"/>
  <c r="AW241" i="4"/>
  <c r="AX241" i="4"/>
  <c r="AY241" i="4"/>
  <c r="AZ241" i="4"/>
  <c r="BA241" i="4"/>
  <c r="BB241" i="4"/>
  <c r="BC241" i="4"/>
  <c r="BD241" i="4"/>
  <c r="BE241" i="4"/>
  <c r="BF241" i="4"/>
  <c r="BG241" i="4"/>
  <c r="BH241" i="4"/>
  <c r="BI241" i="4"/>
  <c r="BJ241" i="4"/>
  <c r="BK241" i="4"/>
  <c r="BL241" i="4"/>
  <c r="BM241" i="4"/>
  <c r="BN241" i="4"/>
  <c r="BO241" i="4"/>
  <c r="BP241" i="4"/>
  <c r="BQ241" i="4"/>
  <c r="BR241" i="4"/>
  <c r="BS241" i="4"/>
  <c r="BT241" i="4"/>
  <c r="BU241" i="4"/>
  <c r="BV241" i="4"/>
  <c r="BW241" i="4"/>
  <c r="BX241" i="4"/>
  <c r="BY241" i="4"/>
  <c r="BZ241" i="4"/>
  <c r="CA241" i="4"/>
  <c r="CB241" i="4"/>
  <c r="CC241" i="4"/>
  <c r="CD241" i="4"/>
  <c r="CE241" i="4"/>
  <c r="CF241" i="4"/>
  <c r="CG241" i="4"/>
  <c r="CH241" i="4"/>
  <c r="CI241" i="4"/>
  <c r="CJ241" i="4"/>
  <c r="CK241" i="4"/>
  <c r="CL241" i="4"/>
  <c r="CM241" i="4"/>
  <c r="CN241" i="4"/>
  <c r="CO241" i="4"/>
  <c r="CP241" i="4"/>
  <c r="CQ241" i="4"/>
  <c r="CR241" i="4"/>
  <c r="CS241" i="4"/>
  <c r="CT241" i="4"/>
  <c r="CU241" i="4"/>
  <c r="CV241" i="4"/>
  <c r="CW241" i="4"/>
  <c r="CX241" i="4"/>
  <c r="CY241" i="4"/>
  <c r="CZ241" i="4"/>
  <c r="DA241" i="4"/>
  <c r="DB241" i="4"/>
  <c r="DC241" i="4"/>
  <c r="DD241" i="4"/>
  <c r="DE241" i="4"/>
  <c r="DF241" i="4"/>
  <c r="DG241" i="4"/>
  <c r="DH241" i="4"/>
  <c r="D242" i="4"/>
  <c r="E242" i="4"/>
  <c r="F242" i="4"/>
  <c r="G242" i="4"/>
  <c r="H242" i="4"/>
  <c r="I242" i="4"/>
  <c r="J242" i="4"/>
  <c r="K242" i="4"/>
  <c r="L242" i="4"/>
  <c r="M242" i="4"/>
  <c r="N242" i="4"/>
  <c r="O242" i="4"/>
  <c r="P242" i="4"/>
  <c r="Q242" i="4"/>
  <c r="R242" i="4"/>
  <c r="S242" i="4"/>
  <c r="T242" i="4"/>
  <c r="U242" i="4"/>
  <c r="V242" i="4"/>
  <c r="W242" i="4"/>
  <c r="X242" i="4"/>
  <c r="Y242" i="4"/>
  <c r="Z242" i="4"/>
  <c r="AA242" i="4"/>
  <c r="AB242" i="4"/>
  <c r="AC242" i="4"/>
  <c r="AD242" i="4"/>
  <c r="AE242" i="4"/>
  <c r="AF242" i="4"/>
  <c r="AG242" i="4"/>
  <c r="AH242" i="4"/>
  <c r="AI242" i="4"/>
  <c r="AJ242" i="4"/>
  <c r="AK242" i="4"/>
  <c r="AL242" i="4"/>
  <c r="AM242" i="4"/>
  <c r="AN242" i="4"/>
  <c r="AO242" i="4"/>
  <c r="AP242" i="4"/>
  <c r="AQ242" i="4"/>
  <c r="AR242" i="4"/>
  <c r="AS242" i="4"/>
  <c r="AT242" i="4"/>
  <c r="AU242" i="4"/>
  <c r="AV242" i="4"/>
  <c r="AW242" i="4"/>
  <c r="AX242" i="4"/>
  <c r="AY242" i="4"/>
  <c r="AZ242" i="4"/>
  <c r="BA242" i="4"/>
  <c r="BB242" i="4"/>
  <c r="BC242" i="4"/>
  <c r="BD242" i="4"/>
  <c r="BE242" i="4"/>
  <c r="BF242" i="4"/>
  <c r="BG242" i="4"/>
  <c r="BH242" i="4"/>
  <c r="BI242" i="4"/>
  <c r="BJ242" i="4"/>
  <c r="BK242" i="4"/>
  <c r="BL242" i="4"/>
  <c r="BM242" i="4"/>
  <c r="BN242" i="4"/>
  <c r="BO242" i="4"/>
  <c r="BP242" i="4"/>
  <c r="BQ242" i="4"/>
  <c r="BR242" i="4"/>
  <c r="BS242" i="4"/>
  <c r="BT242" i="4"/>
  <c r="BU242" i="4"/>
  <c r="BV242" i="4"/>
  <c r="BW242" i="4"/>
  <c r="BX242" i="4"/>
  <c r="BY242" i="4"/>
  <c r="BZ242" i="4"/>
  <c r="CA242" i="4"/>
  <c r="CB242" i="4"/>
  <c r="CC242" i="4"/>
  <c r="CD242" i="4"/>
  <c r="CE242" i="4"/>
  <c r="CF242" i="4"/>
  <c r="CG242" i="4"/>
  <c r="CH242" i="4"/>
  <c r="CI242" i="4"/>
  <c r="CJ242" i="4"/>
  <c r="CK242" i="4"/>
  <c r="CL242" i="4"/>
  <c r="CM242" i="4"/>
  <c r="CN242" i="4"/>
  <c r="CO242" i="4"/>
  <c r="CP242" i="4"/>
  <c r="CQ242" i="4"/>
  <c r="CR242" i="4"/>
  <c r="CS242" i="4"/>
  <c r="CT242" i="4"/>
  <c r="CU242" i="4"/>
  <c r="CV242" i="4"/>
  <c r="CW242" i="4"/>
  <c r="CX242" i="4"/>
  <c r="CY242" i="4"/>
  <c r="CZ242" i="4"/>
  <c r="DA242" i="4"/>
  <c r="DB242" i="4"/>
  <c r="DC242" i="4"/>
  <c r="DD242" i="4"/>
  <c r="DE242" i="4"/>
  <c r="DF242" i="4"/>
  <c r="DG242" i="4"/>
  <c r="DH242" i="4"/>
  <c r="D243" i="4"/>
  <c r="E243" i="4"/>
  <c r="F243" i="4"/>
  <c r="G243" i="4"/>
  <c r="H243" i="4"/>
  <c r="I243" i="4"/>
  <c r="J243" i="4"/>
  <c r="K243" i="4"/>
  <c r="L243" i="4"/>
  <c r="M243" i="4"/>
  <c r="N243" i="4"/>
  <c r="O243" i="4"/>
  <c r="P243" i="4"/>
  <c r="Q243" i="4"/>
  <c r="R243" i="4"/>
  <c r="S243" i="4"/>
  <c r="T243" i="4"/>
  <c r="U243" i="4"/>
  <c r="V243" i="4"/>
  <c r="W243" i="4"/>
  <c r="X243" i="4"/>
  <c r="Y243" i="4"/>
  <c r="Z243" i="4"/>
  <c r="AA243" i="4"/>
  <c r="AB243" i="4"/>
  <c r="AC243" i="4"/>
  <c r="AD243" i="4"/>
  <c r="AE243" i="4"/>
  <c r="AF243" i="4"/>
  <c r="AG243" i="4"/>
  <c r="AH243" i="4"/>
  <c r="AI243" i="4"/>
  <c r="AJ243" i="4"/>
  <c r="AK243" i="4"/>
  <c r="AL243" i="4"/>
  <c r="AM243" i="4"/>
  <c r="AN243" i="4"/>
  <c r="AO243" i="4"/>
  <c r="AP243" i="4"/>
  <c r="AQ243" i="4"/>
  <c r="AR243" i="4"/>
  <c r="AS243" i="4"/>
  <c r="AT243" i="4"/>
  <c r="AU243" i="4"/>
  <c r="AV243" i="4"/>
  <c r="AW243" i="4"/>
  <c r="AX243" i="4"/>
  <c r="AY243" i="4"/>
  <c r="AZ243" i="4"/>
  <c r="BA243" i="4"/>
  <c r="BB243" i="4"/>
  <c r="BC243" i="4"/>
  <c r="BD243" i="4"/>
  <c r="BE243" i="4"/>
  <c r="BF243" i="4"/>
  <c r="BG243" i="4"/>
  <c r="BH243" i="4"/>
  <c r="BI243" i="4"/>
  <c r="BJ243" i="4"/>
  <c r="BK243" i="4"/>
  <c r="BL243" i="4"/>
  <c r="BM243" i="4"/>
  <c r="BN243" i="4"/>
  <c r="BO243" i="4"/>
  <c r="BP243" i="4"/>
  <c r="BQ243" i="4"/>
  <c r="BR243" i="4"/>
  <c r="BS243" i="4"/>
  <c r="BT243" i="4"/>
  <c r="BU243" i="4"/>
  <c r="BV243" i="4"/>
  <c r="BW243" i="4"/>
  <c r="BX243" i="4"/>
  <c r="BY243" i="4"/>
  <c r="BZ243" i="4"/>
  <c r="CA243" i="4"/>
  <c r="CB243" i="4"/>
  <c r="CC243" i="4"/>
  <c r="CD243" i="4"/>
  <c r="CE243" i="4"/>
  <c r="CF243" i="4"/>
  <c r="CG243" i="4"/>
  <c r="CH243" i="4"/>
  <c r="CI243" i="4"/>
  <c r="CJ243" i="4"/>
  <c r="CK243" i="4"/>
  <c r="CL243" i="4"/>
  <c r="CM243" i="4"/>
  <c r="CN243" i="4"/>
  <c r="CO243" i="4"/>
  <c r="CP243" i="4"/>
  <c r="CQ243" i="4"/>
  <c r="CR243" i="4"/>
  <c r="CS243" i="4"/>
  <c r="CT243" i="4"/>
  <c r="CU243" i="4"/>
  <c r="CV243" i="4"/>
  <c r="CW243" i="4"/>
  <c r="CX243" i="4"/>
  <c r="CY243" i="4"/>
  <c r="CZ243" i="4"/>
  <c r="DA243" i="4"/>
  <c r="DB243" i="4"/>
  <c r="DC243" i="4"/>
  <c r="DD243" i="4"/>
  <c r="DE243" i="4"/>
  <c r="DF243" i="4"/>
  <c r="DG243" i="4"/>
  <c r="DH243" i="4"/>
  <c r="D244" i="4"/>
  <c r="E244" i="4"/>
  <c r="F244" i="4"/>
  <c r="G244" i="4"/>
  <c r="H244" i="4"/>
  <c r="I244" i="4"/>
  <c r="J244" i="4"/>
  <c r="K244" i="4"/>
  <c r="L244" i="4"/>
  <c r="M244" i="4"/>
  <c r="N244" i="4"/>
  <c r="O244" i="4"/>
  <c r="P244" i="4"/>
  <c r="Q244" i="4"/>
  <c r="R244" i="4"/>
  <c r="S244" i="4"/>
  <c r="T244" i="4"/>
  <c r="U244" i="4"/>
  <c r="V244" i="4"/>
  <c r="W244" i="4"/>
  <c r="X244" i="4"/>
  <c r="Y244" i="4"/>
  <c r="Z244" i="4"/>
  <c r="AA244" i="4"/>
  <c r="AB244" i="4"/>
  <c r="AC244" i="4"/>
  <c r="AD244" i="4"/>
  <c r="AE244" i="4"/>
  <c r="AF244" i="4"/>
  <c r="AG244" i="4"/>
  <c r="AH244" i="4"/>
  <c r="AI244" i="4"/>
  <c r="AJ244" i="4"/>
  <c r="AK244" i="4"/>
  <c r="AL244" i="4"/>
  <c r="AM244" i="4"/>
  <c r="AN244" i="4"/>
  <c r="AO244" i="4"/>
  <c r="AP244" i="4"/>
  <c r="AQ244" i="4"/>
  <c r="AR244" i="4"/>
  <c r="AS244" i="4"/>
  <c r="AT244" i="4"/>
  <c r="AU244" i="4"/>
  <c r="AV244" i="4"/>
  <c r="AW244" i="4"/>
  <c r="AX244" i="4"/>
  <c r="AY244" i="4"/>
  <c r="AZ244" i="4"/>
  <c r="BA244" i="4"/>
  <c r="BB244" i="4"/>
  <c r="BC244" i="4"/>
  <c r="BD244" i="4"/>
  <c r="BE244" i="4"/>
  <c r="BF244" i="4"/>
  <c r="BG244" i="4"/>
  <c r="BH244" i="4"/>
  <c r="BI244" i="4"/>
  <c r="BJ244" i="4"/>
  <c r="BK244" i="4"/>
  <c r="BL244" i="4"/>
  <c r="BM244" i="4"/>
  <c r="BN244" i="4"/>
  <c r="BO244" i="4"/>
  <c r="BP244" i="4"/>
  <c r="BQ244" i="4"/>
  <c r="BR244" i="4"/>
  <c r="BS244" i="4"/>
  <c r="BT244" i="4"/>
  <c r="BU244" i="4"/>
  <c r="BV244" i="4"/>
  <c r="BW244" i="4"/>
  <c r="BX244" i="4"/>
  <c r="BY244" i="4"/>
  <c r="BZ244" i="4"/>
  <c r="CA244" i="4"/>
  <c r="CB244" i="4"/>
  <c r="CC244" i="4"/>
  <c r="CD244" i="4"/>
  <c r="CE244" i="4"/>
  <c r="CF244" i="4"/>
  <c r="CG244" i="4"/>
  <c r="CH244" i="4"/>
  <c r="CI244" i="4"/>
  <c r="CJ244" i="4"/>
  <c r="CK244" i="4"/>
  <c r="CL244" i="4"/>
  <c r="CM244" i="4"/>
  <c r="CN244" i="4"/>
  <c r="CO244" i="4"/>
  <c r="CP244" i="4"/>
  <c r="CQ244" i="4"/>
  <c r="CR244" i="4"/>
  <c r="CS244" i="4"/>
  <c r="CT244" i="4"/>
  <c r="CU244" i="4"/>
  <c r="CV244" i="4"/>
  <c r="CW244" i="4"/>
  <c r="CX244" i="4"/>
  <c r="CY244" i="4"/>
  <c r="CZ244" i="4"/>
  <c r="DA244" i="4"/>
  <c r="DB244" i="4"/>
  <c r="DC244" i="4"/>
  <c r="DD244" i="4"/>
  <c r="DE244" i="4"/>
  <c r="DF244" i="4"/>
  <c r="DG244" i="4"/>
  <c r="DH244" i="4"/>
  <c r="D245" i="4"/>
  <c r="E245" i="4"/>
  <c r="F245" i="4"/>
  <c r="G245" i="4"/>
  <c r="H245" i="4"/>
  <c r="I245" i="4"/>
  <c r="J245" i="4"/>
  <c r="K245" i="4"/>
  <c r="L245" i="4"/>
  <c r="M245" i="4"/>
  <c r="N245" i="4"/>
  <c r="O245" i="4"/>
  <c r="P245" i="4"/>
  <c r="Q245" i="4"/>
  <c r="R245" i="4"/>
  <c r="S245" i="4"/>
  <c r="T245" i="4"/>
  <c r="U245" i="4"/>
  <c r="V245" i="4"/>
  <c r="W245" i="4"/>
  <c r="X245" i="4"/>
  <c r="Y245" i="4"/>
  <c r="Z245" i="4"/>
  <c r="AA245" i="4"/>
  <c r="AB245" i="4"/>
  <c r="AC245" i="4"/>
  <c r="AD245" i="4"/>
  <c r="AE245" i="4"/>
  <c r="AF245" i="4"/>
  <c r="AG245" i="4"/>
  <c r="AH245" i="4"/>
  <c r="AI245" i="4"/>
  <c r="AJ245" i="4"/>
  <c r="AK245" i="4"/>
  <c r="AL245" i="4"/>
  <c r="AM245" i="4"/>
  <c r="AN245" i="4"/>
  <c r="AO245" i="4"/>
  <c r="AP245" i="4"/>
  <c r="AQ245" i="4"/>
  <c r="AR245" i="4"/>
  <c r="AS245" i="4"/>
  <c r="AT245" i="4"/>
  <c r="AU245" i="4"/>
  <c r="AV245" i="4"/>
  <c r="AW245" i="4"/>
  <c r="AX245" i="4"/>
  <c r="AY245" i="4"/>
  <c r="AZ245" i="4"/>
  <c r="BA245" i="4"/>
  <c r="BB245" i="4"/>
  <c r="BC245" i="4"/>
  <c r="BD245" i="4"/>
  <c r="BE245" i="4"/>
  <c r="BF245" i="4"/>
  <c r="BG245" i="4"/>
  <c r="BH245" i="4"/>
  <c r="BI245" i="4"/>
  <c r="BJ245" i="4"/>
  <c r="BK245" i="4"/>
  <c r="BL245" i="4"/>
  <c r="BM245" i="4"/>
  <c r="BN245" i="4"/>
  <c r="BO245" i="4"/>
  <c r="BP245" i="4"/>
  <c r="BQ245" i="4"/>
  <c r="BR245" i="4"/>
  <c r="BS245" i="4"/>
  <c r="BT245" i="4"/>
  <c r="BU245" i="4"/>
  <c r="BV245" i="4"/>
  <c r="BW245" i="4"/>
  <c r="BX245" i="4"/>
  <c r="BY245" i="4"/>
  <c r="BZ245" i="4"/>
  <c r="CA245" i="4"/>
  <c r="CB245" i="4"/>
  <c r="CC245" i="4"/>
  <c r="CD245" i="4"/>
  <c r="CE245" i="4"/>
  <c r="CF245" i="4"/>
  <c r="CG245" i="4"/>
  <c r="CH245" i="4"/>
  <c r="CI245" i="4"/>
  <c r="CJ245" i="4"/>
  <c r="CK245" i="4"/>
  <c r="CL245" i="4"/>
  <c r="CM245" i="4"/>
  <c r="CN245" i="4"/>
  <c r="CO245" i="4"/>
  <c r="CP245" i="4"/>
  <c r="CQ245" i="4"/>
  <c r="CR245" i="4"/>
  <c r="CS245" i="4"/>
  <c r="CT245" i="4"/>
  <c r="CU245" i="4"/>
  <c r="CV245" i="4"/>
  <c r="CW245" i="4"/>
  <c r="CX245" i="4"/>
  <c r="CY245" i="4"/>
  <c r="CZ245" i="4"/>
  <c r="DA245" i="4"/>
  <c r="DB245" i="4"/>
  <c r="DC245" i="4"/>
  <c r="DD245" i="4"/>
  <c r="DE245" i="4"/>
  <c r="DF245" i="4"/>
  <c r="DG245" i="4"/>
  <c r="DH245" i="4"/>
  <c r="D246" i="4"/>
  <c r="E246" i="4"/>
  <c r="F246" i="4"/>
  <c r="G246" i="4"/>
  <c r="H246" i="4"/>
  <c r="I246" i="4"/>
  <c r="J246" i="4"/>
  <c r="K246" i="4"/>
  <c r="L246" i="4"/>
  <c r="M246" i="4"/>
  <c r="N246" i="4"/>
  <c r="O246" i="4"/>
  <c r="P246" i="4"/>
  <c r="Q246" i="4"/>
  <c r="R246" i="4"/>
  <c r="S246" i="4"/>
  <c r="T246" i="4"/>
  <c r="U246" i="4"/>
  <c r="V246" i="4"/>
  <c r="W246" i="4"/>
  <c r="X246" i="4"/>
  <c r="Y246" i="4"/>
  <c r="Z246" i="4"/>
  <c r="AA246" i="4"/>
  <c r="AB246" i="4"/>
  <c r="AC246" i="4"/>
  <c r="AD246" i="4"/>
  <c r="AE246" i="4"/>
  <c r="AF246" i="4"/>
  <c r="AG246" i="4"/>
  <c r="AH246" i="4"/>
  <c r="AI246" i="4"/>
  <c r="AJ246" i="4"/>
  <c r="AK246" i="4"/>
  <c r="AL246" i="4"/>
  <c r="AM246" i="4"/>
  <c r="AN246" i="4"/>
  <c r="AO246" i="4"/>
  <c r="AP246" i="4"/>
  <c r="AQ246" i="4"/>
  <c r="AR246" i="4"/>
  <c r="AS246" i="4"/>
  <c r="AT246" i="4"/>
  <c r="AU246" i="4"/>
  <c r="AV246" i="4"/>
  <c r="AW246" i="4"/>
  <c r="AX246" i="4"/>
  <c r="AY246" i="4"/>
  <c r="AZ246" i="4"/>
  <c r="BA246" i="4"/>
  <c r="BB246" i="4"/>
  <c r="BC246" i="4"/>
  <c r="BD246" i="4"/>
  <c r="BE246" i="4"/>
  <c r="BF246" i="4"/>
  <c r="BG246" i="4"/>
  <c r="BH246" i="4"/>
  <c r="BI246" i="4"/>
  <c r="BJ246" i="4"/>
  <c r="BK246" i="4"/>
  <c r="BL246" i="4"/>
  <c r="BM246" i="4"/>
  <c r="BN246" i="4"/>
  <c r="BO246" i="4"/>
  <c r="BP246" i="4"/>
  <c r="BQ246" i="4"/>
  <c r="BR246" i="4"/>
  <c r="BS246" i="4"/>
  <c r="BT246" i="4"/>
  <c r="BU246" i="4"/>
  <c r="BV246" i="4"/>
  <c r="BW246" i="4"/>
  <c r="BX246" i="4"/>
  <c r="BY246" i="4"/>
  <c r="BZ246" i="4"/>
  <c r="CA246" i="4"/>
  <c r="CB246" i="4"/>
  <c r="CC246" i="4"/>
  <c r="CD246" i="4"/>
  <c r="CE246" i="4"/>
  <c r="CF246" i="4"/>
  <c r="CG246" i="4"/>
  <c r="CH246" i="4"/>
  <c r="CI246" i="4"/>
  <c r="CJ246" i="4"/>
  <c r="CK246" i="4"/>
  <c r="CL246" i="4"/>
  <c r="CM246" i="4"/>
  <c r="CN246" i="4"/>
  <c r="CO246" i="4"/>
  <c r="CP246" i="4"/>
  <c r="CQ246" i="4"/>
  <c r="CR246" i="4"/>
  <c r="CS246" i="4"/>
  <c r="CT246" i="4"/>
  <c r="CU246" i="4"/>
  <c r="CV246" i="4"/>
  <c r="CW246" i="4"/>
  <c r="CX246" i="4"/>
  <c r="CY246" i="4"/>
  <c r="CZ246" i="4"/>
  <c r="DA246" i="4"/>
  <c r="DB246" i="4"/>
  <c r="DC246" i="4"/>
  <c r="DD246" i="4"/>
  <c r="DE246" i="4"/>
  <c r="DF246" i="4"/>
  <c r="DG246" i="4"/>
  <c r="DH246" i="4"/>
  <c r="D247" i="4"/>
  <c r="E247" i="4"/>
  <c r="F247" i="4"/>
  <c r="G247" i="4"/>
  <c r="H247" i="4"/>
  <c r="I247" i="4"/>
  <c r="J247" i="4"/>
  <c r="K247" i="4"/>
  <c r="L247" i="4"/>
  <c r="M247" i="4"/>
  <c r="N247" i="4"/>
  <c r="O247" i="4"/>
  <c r="P247" i="4"/>
  <c r="Q247" i="4"/>
  <c r="R247" i="4"/>
  <c r="S247" i="4"/>
  <c r="T247" i="4"/>
  <c r="U247" i="4"/>
  <c r="V247" i="4"/>
  <c r="W247" i="4"/>
  <c r="X247" i="4"/>
  <c r="Y247" i="4"/>
  <c r="Z247" i="4"/>
  <c r="AA247" i="4"/>
  <c r="AB247" i="4"/>
  <c r="AC247" i="4"/>
  <c r="AD247" i="4"/>
  <c r="AE247" i="4"/>
  <c r="AF247" i="4"/>
  <c r="AG247" i="4"/>
  <c r="AH247" i="4"/>
  <c r="AI247" i="4"/>
  <c r="AJ247" i="4"/>
  <c r="AK247" i="4"/>
  <c r="AL247" i="4"/>
  <c r="AM247" i="4"/>
  <c r="AN247" i="4"/>
  <c r="AO247" i="4"/>
  <c r="AP247" i="4"/>
  <c r="AQ247" i="4"/>
  <c r="AR247" i="4"/>
  <c r="AS247" i="4"/>
  <c r="AT247" i="4"/>
  <c r="AU247" i="4"/>
  <c r="AV247" i="4"/>
  <c r="AW247" i="4"/>
  <c r="AX247" i="4"/>
  <c r="AY247" i="4"/>
  <c r="AZ247" i="4"/>
  <c r="BA247" i="4"/>
  <c r="BB247" i="4"/>
  <c r="BC247" i="4"/>
  <c r="BD247" i="4"/>
  <c r="BE247" i="4"/>
  <c r="BF247" i="4"/>
  <c r="BG247" i="4"/>
  <c r="BH247" i="4"/>
  <c r="BI247" i="4"/>
  <c r="BJ247" i="4"/>
  <c r="BK247" i="4"/>
  <c r="BL247" i="4"/>
  <c r="BM247" i="4"/>
  <c r="BN247" i="4"/>
  <c r="BO247" i="4"/>
  <c r="BP247" i="4"/>
  <c r="BQ247" i="4"/>
  <c r="BR247" i="4"/>
  <c r="BS247" i="4"/>
  <c r="BT247" i="4"/>
  <c r="BU247" i="4"/>
  <c r="BV247" i="4"/>
  <c r="BW247" i="4"/>
  <c r="BX247" i="4"/>
  <c r="BY247" i="4"/>
  <c r="BZ247" i="4"/>
  <c r="CA247" i="4"/>
  <c r="CB247" i="4"/>
  <c r="CC247" i="4"/>
  <c r="CD247" i="4"/>
  <c r="CE247" i="4"/>
  <c r="CF247" i="4"/>
  <c r="CG247" i="4"/>
  <c r="CH247" i="4"/>
  <c r="CI247" i="4"/>
  <c r="CJ247" i="4"/>
  <c r="CK247" i="4"/>
  <c r="CL247" i="4"/>
  <c r="CM247" i="4"/>
  <c r="CN247" i="4"/>
  <c r="CO247" i="4"/>
  <c r="CP247" i="4"/>
  <c r="CQ247" i="4"/>
  <c r="CR247" i="4"/>
  <c r="CS247" i="4"/>
  <c r="CT247" i="4"/>
  <c r="CU247" i="4"/>
  <c r="CV247" i="4"/>
  <c r="CW247" i="4"/>
  <c r="CX247" i="4"/>
  <c r="CY247" i="4"/>
  <c r="CZ247" i="4"/>
  <c r="DA247" i="4"/>
  <c r="DB247" i="4"/>
  <c r="DC247" i="4"/>
  <c r="DD247" i="4"/>
  <c r="DE247" i="4"/>
  <c r="DF247" i="4"/>
  <c r="DG247" i="4"/>
  <c r="DH247" i="4"/>
  <c r="D248" i="4"/>
  <c r="E248" i="4"/>
  <c r="F248" i="4"/>
  <c r="G248" i="4"/>
  <c r="H248" i="4"/>
  <c r="I248" i="4"/>
  <c r="J248" i="4"/>
  <c r="K248" i="4"/>
  <c r="L248" i="4"/>
  <c r="M248" i="4"/>
  <c r="N248" i="4"/>
  <c r="O248" i="4"/>
  <c r="P248" i="4"/>
  <c r="Q248" i="4"/>
  <c r="R248" i="4"/>
  <c r="S248" i="4"/>
  <c r="T248" i="4"/>
  <c r="U248" i="4"/>
  <c r="V248" i="4"/>
  <c r="W248" i="4"/>
  <c r="X248" i="4"/>
  <c r="Y248" i="4"/>
  <c r="Z248" i="4"/>
  <c r="AA248" i="4"/>
  <c r="AB248" i="4"/>
  <c r="AC248" i="4"/>
  <c r="AD248" i="4"/>
  <c r="AE248" i="4"/>
  <c r="AF248" i="4"/>
  <c r="AG248" i="4"/>
  <c r="AH248" i="4"/>
  <c r="AI248" i="4"/>
  <c r="AJ248" i="4"/>
  <c r="AK248" i="4"/>
  <c r="AL248" i="4"/>
  <c r="AM248" i="4"/>
  <c r="AN248" i="4"/>
  <c r="AO248" i="4"/>
  <c r="AP248" i="4"/>
  <c r="AQ248" i="4"/>
  <c r="AR248" i="4"/>
  <c r="AS248" i="4"/>
  <c r="AT248" i="4"/>
  <c r="AU248" i="4"/>
  <c r="AV248" i="4"/>
  <c r="AW248" i="4"/>
  <c r="AX248" i="4"/>
  <c r="AY248" i="4"/>
  <c r="AZ248" i="4"/>
  <c r="BA248" i="4"/>
  <c r="BB248" i="4"/>
  <c r="BC248" i="4"/>
  <c r="BD248" i="4"/>
  <c r="BE248" i="4"/>
  <c r="BF248" i="4"/>
  <c r="BG248" i="4"/>
  <c r="BH248" i="4"/>
  <c r="BI248" i="4"/>
  <c r="BJ248" i="4"/>
  <c r="BK248" i="4"/>
  <c r="BL248" i="4"/>
  <c r="BM248" i="4"/>
  <c r="BN248" i="4"/>
  <c r="BO248" i="4"/>
  <c r="BP248" i="4"/>
  <c r="BQ248" i="4"/>
  <c r="BR248" i="4"/>
  <c r="BS248" i="4"/>
  <c r="BT248" i="4"/>
  <c r="BU248" i="4"/>
  <c r="BV248" i="4"/>
  <c r="BW248" i="4"/>
  <c r="BX248" i="4"/>
  <c r="BY248" i="4"/>
  <c r="BZ248" i="4"/>
  <c r="CA248" i="4"/>
  <c r="CB248" i="4"/>
  <c r="CC248" i="4"/>
  <c r="CD248" i="4"/>
  <c r="CE248" i="4"/>
  <c r="CF248" i="4"/>
  <c r="CG248" i="4"/>
  <c r="CH248" i="4"/>
  <c r="CI248" i="4"/>
  <c r="CJ248" i="4"/>
  <c r="CK248" i="4"/>
  <c r="CL248" i="4"/>
  <c r="CM248" i="4"/>
  <c r="CN248" i="4"/>
  <c r="CO248" i="4"/>
  <c r="CP248" i="4"/>
  <c r="CQ248" i="4"/>
  <c r="CR248" i="4"/>
  <c r="CS248" i="4"/>
  <c r="CT248" i="4"/>
  <c r="CU248" i="4"/>
  <c r="CV248" i="4"/>
  <c r="CW248" i="4"/>
  <c r="CX248" i="4"/>
  <c r="CY248" i="4"/>
  <c r="CZ248" i="4"/>
  <c r="DA248" i="4"/>
  <c r="DB248" i="4"/>
  <c r="DC248" i="4"/>
  <c r="DD248" i="4"/>
  <c r="DE248" i="4"/>
  <c r="DF248" i="4"/>
  <c r="DG248" i="4"/>
  <c r="DH248" i="4"/>
  <c r="D249" i="4"/>
  <c r="E249" i="4"/>
  <c r="F249" i="4"/>
  <c r="G249" i="4"/>
  <c r="H249" i="4"/>
  <c r="I249" i="4"/>
  <c r="J249" i="4"/>
  <c r="K249" i="4"/>
  <c r="L249" i="4"/>
  <c r="M249" i="4"/>
  <c r="N249" i="4"/>
  <c r="O249" i="4"/>
  <c r="P249" i="4"/>
  <c r="Q249" i="4"/>
  <c r="R249" i="4"/>
  <c r="S249" i="4"/>
  <c r="T249" i="4"/>
  <c r="U249" i="4"/>
  <c r="V249" i="4"/>
  <c r="W249" i="4"/>
  <c r="X249" i="4"/>
  <c r="Y249" i="4"/>
  <c r="Z249" i="4"/>
  <c r="AA249" i="4"/>
  <c r="AB249" i="4"/>
  <c r="AC249" i="4"/>
  <c r="AD249" i="4"/>
  <c r="AE249" i="4"/>
  <c r="AF249" i="4"/>
  <c r="AG249" i="4"/>
  <c r="AH249" i="4"/>
  <c r="AI249" i="4"/>
  <c r="AJ249" i="4"/>
  <c r="AK249" i="4"/>
  <c r="AL249" i="4"/>
  <c r="AM249" i="4"/>
  <c r="AN249" i="4"/>
  <c r="AO249" i="4"/>
  <c r="AP249" i="4"/>
  <c r="AQ249" i="4"/>
  <c r="AR249" i="4"/>
  <c r="AS249" i="4"/>
  <c r="AT249" i="4"/>
  <c r="AU249" i="4"/>
  <c r="AV249" i="4"/>
  <c r="AW249" i="4"/>
  <c r="AX249" i="4"/>
  <c r="AY249" i="4"/>
  <c r="AZ249" i="4"/>
  <c r="BA249" i="4"/>
  <c r="BB249" i="4"/>
  <c r="BC249" i="4"/>
  <c r="BD249" i="4"/>
  <c r="BE249" i="4"/>
  <c r="BF249" i="4"/>
  <c r="BG249" i="4"/>
  <c r="BH249" i="4"/>
  <c r="BI249" i="4"/>
  <c r="BJ249" i="4"/>
  <c r="BK249" i="4"/>
  <c r="BL249" i="4"/>
  <c r="BM249" i="4"/>
  <c r="BN249" i="4"/>
  <c r="BO249" i="4"/>
  <c r="BP249" i="4"/>
  <c r="BQ249" i="4"/>
  <c r="BR249" i="4"/>
  <c r="BS249" i="4"/>
  <c r="BT249" i="4"/>
  <c r="BU249" i="4"/>
  <c r="BV249" i="4"/>
  <c r="BW249" i="4"/>
  <c r="BX249" i="4"/>
  <c r="BY249" i="4"/>
  <c r="BZ249" i="4"/>
  <c r="CA249" i="4"/>
  <c r="CB249" i="4"/>
  <c r="CC249" i="4"/>
  <c r="CD249" i="4"/>
  <c r="CE249" i="4"/>
  <c r="CF249" i="4"/>
  <c r="CG249" i="4"/>
  <c r="CH249" i="4"/>
  <c r="CI249" i="4"/>
  <c r="CJ249" i="4"/>
  <c r="CK249" i="4"/>
  <c r="CL249" i="4"/>
  <c r="CM249" i="4"/>
  <c r="CN249" i="4"/>
  <c r="CO249" i="4"/>
  <c r="CP249" i="4"/>
  <c r="CQ249" i="4"/>
  <c r="CR249" i="4"/>
  <c r="CS249" i="4"/>
  <c r="CT249" i="4"/>
  <c r="CU249" i="4"/>
  <c r="CV249" i="4"/>
  <c r="CW249" i="4"/>
  <c r="CX249" i="4"/>
  <c r="CY249" i="4"/>
  <c r="CZ249" i="4"/>
  <c r="DA249" i="4"/>
  <c r="DB249" i="4"/>
  <c r="DC249" i="4"/>
  <c r="DD249" i="4"/>
  <c r="DE249" i="4"/>
  <c r="DF249" i="4"/>
  <c r="DG249" i="4"/>
  <c r="DH249" i="4"/>
  <c r="D250" i="4"/>
  <c r="E250" i="4"/>
  <c r="F250" i="4"/>
  <c r="G250" i="4"/>
  <c r="H250" i="4"/>
  <c r="I250" i="4"/>
  <c r="J250" i="4"/>
  <c r="K250" i="4"/>
  <c r="L250" i="4"/>
  <c r="M250" i="4"/>
  <c r="N250" i="4"/>
  <c r="O250" i="4"/>
  <c r="P250" i="4"/>
  <c r="Q250" i="4"/>
  <c r="R250" i="4"/>
  <c r="S250" i="4"/>
  <c r="T250" i="4"/>
  <c r="U250" i="4"/>
  <c r="V250" i="4"/>
  <c r="W250" i="4"/>
  <c r="X250" i="4"/>
  <c r="Y250" i="4"/>
  <c r="Z250" i="4"/>
  <c r="AA250" i="4"/>
  <c r="AB250" i="4"/>
  <c r="AC250" i="4"/>
  <c r="AD250" i="4"/>
  <c r="AE250" i="4"/>
  <c r="AF250" i="4"/>
  <c r="AG250" i="4"/>
  <c r="AH250" i="4"/>
  <c r="AI250" i="4"/>
  <c r="AJ250" i="4"/>
  <c r="AK250" i="4"/>
  <c r="AL250" i="4"/>
  <c r="AM250" i="4"/>
  <c r="AN250" i="4"/>
  <c r="AO250" i="4"/>
  <c r="AP250" i="4"/>
  <c r="AQ250" i="4"/>
  <c r="AR250" i="4"/>
  <c r="AS250" i="4"/>
  <c r="AT250" i="4"/>
  <c r="AU250" i="4"/>
  <c r="AV250" i="4"/>
  <c r="AW250" i="4"/>
  <c r="AX250" i="4"/>
  <c r="AY250" i="4"/>
  <c r="AZ250" i="4"/>
  <c r="BA250" i="4"/>
  <c r="BB250" i="4"/>
  <c r="BC250" i="4"/>
  <c r="BD250" i="4"/>
  <c r="BE250" i="4"/>
  <c r="BF250" i="4"/>
  <c r="BG250" i="4"/>
  <c r="BH250" i="4"/>
  <c r="BI250" i="4"/>
  <c r="BJ250" i="4"/>
  <c r="BK250" i="4"/>
  <c r="BL250" i="4"/>
  <c r="BM250" i="4"/>
  <c r="BN250" i="4"/>
  <c r="BO250" i="4"/>
  <c r="BP250" i="4"/>
  <c r="BQ250" i="4"/>
  <c r="BR250" i="4"/>
  <c r="BS250" i="4"/>
  <c r="BT250" i="4"/>
  <c r="BU250" i="4"/>
  <c r="BV250" i="4"/>
  <c r="BW250" i="4"/>
  <c r="BX250" i="4"/>
  <c r="BY250" i="4"/>
  <c r="BZ250" i="4"/>
  <c r="CA250" i="4"/>
  <c r="CB250" i="4"/>
  <c r="CC250" i="4"/>
  <c r="CD250" i="4"/>
  <c r="CE250" i="4"/>
  <c r="CF250" i="4"/>
  <c r="CG250" i="4"/>
  <c r="CH250" i="4"/>
  <c r="CI250" i="4"/>
  <c r="CJ250" i="4"/>
  <c r="CK250" i="4"/>
  <c r="CL250" i="4"/>
  <c r="CM250" i="4"/>
  <c r="CN250" i="4"/>
  <c r="CO250" i="4"/>
  <c r="CP250" i="4"/>
  <c r="CQ250" i="4"/>
  <c r="CR250" i="4"/>
  <c r="CS250" i="4"/>
  <c r="CT250" i="4"/>
  <c r="CU250" i="4"/>
  <c r="CV250" i="4"/>
  <c r="CW250" i="4"/>
  <c r="CX250" i="4"/>
  <c r="CY250" i="4"/>
  <c r="CZ250" i="4"/>
  <c r="DA250" i="4"/>
  <c r="DB250" i="4"/>
  <c r="DC250" i="4"/>
  <c r="DD250" i="4"/>
  <c r="DE250" i="4"/>
  <c r="DF250" i="4"/>
  <c r="DG250" i="4"/>
  <c r="DH250" i="4"/>
  <c r="D251" i="4"/>
  <c r="E251" i="4"/>
  <c r="F251" i="4"/>
  <c r="G251" i="4"/>
  <c r="H251" i="4"/>
  <c r="I251" i="4"/>
  <c r="J251" i="4"/>
  <c r="K251" i="4"/>
  <c r="L251" i="4"/>
  <c r="M251" i="4"/>
  <c r="N251" i="4"/>
  <c r="O251" i="4"/>
  <c r="P251" i="4"/>
  <c r="Q251" i="4"/>
  <c r="R251" i="4"/>
  <c r="S251" i="4"/>
  <c r="T251" i="4"/>
  <c r="U251" i="4"/>
  <c r="V251" i="4"/>
  <c r="W251" i="4"/>
  <c r="X251" i="4"/>
  <c r="Y251" i="4"/>
  <c r="Z251" i="4"/>
  <c r="AA251" i="4"/>
  <c r="AB251" i="4"/>
  <c r="AC251" i="4"/>
  <c r="AD251" i="4"/>
  <c r="AE251" i="4"/>
  <c r="AF251" i="4"/>
  <c r="AG251" i="4"/>
  <c r="AH251" i="4"/>
  <c r="AI251" i="4"/>
  <c r="AJ251" i="4"/>
  <c r="AK251" i="4"/>
  <c r="AL251" i="4"/>
  <c r="AM251" i="4"/>
  <c r="AN251" i="4"/>
  <c r="AO251" i="4"/>
  <c r="AP251" i="4"/>
  <c r="AQ251" i="4"/>
  <c r="AR251" i="4"/>
  <c r="AS251" i="4"/>
  <c r="AT251" i="4"/>
  <c r="AU251" i="4"/>
  <c r="AV251" i="4"/>
  <c r="AW251" i="4"/>
  <c r="AX251" i="4"/>
  <c r="AY251" i="4"/>
  <c r="AZ251" i="4"/>
  <c r="BA251" i="4"/>
  <c r="BB251" i="4"/>
  <c r="BC251" i="4"/>
  <c r="BD251" i="4"/>
  <c r="BE251" i="4"/>
  <c r="BF251" i="4"/>
  <c r="BG251" i="4"/>
  <c r="BH251" i="4"/>
  <c r="BI251" i="4"/>
  <c r="BJ251" i="4"/>
  <c r="BK251" i="4"/>
  <c r="BL251" i="4"/>
  <c r="BM251" i="4"/>
  <c r="BN251" i="4"/>
  <c r="BO251" i="4"/>
  <c r="BP251" i="4"/>
  <c r="BQ251" i="4"/>
  <c r="BR251" i="4"/>
  <c r="BS251" i="4"/>
  <c r="BT251" i="4"/>
  <c r="BU251" i="4"/>
  <c r="BV251" i="4"/>
  <c r="BW251" i="4"/>
  <c r="BX251" i="4"/>
  <c r="BY251" i="4"/>
  <c r="BZ251" i="4"/>
  <c r="CA251" i="4"/>
  <c r="CB251" i="4"/>
  <c r="CC251" i="4"/>
  <c r="CD251" i="4"/>
  <c r="CE251" i="4"/>
  <c r="CF251" i="4"/>
  <c r="CG251" i="4"/>
  <c r="CH251" i="4"/>
  <c r="CI251" i="4"/>
  <c r="CJ251" i="4"/>
  <c r="CK251" i="4"/>
  <c r="CL251" i="4"/>
  <c r="CM251" i="4"/>
  <c r="CN251" i="4"/>
  <c r="CO251" i="4"/>
  <c r="CP251" i="4"/>
  <c r="CQ251" i="4"/>
  <c r="CR251" i="4"/>
  <c r="CS251" i="4"/>
  <c r="CT251" i="4"/>
  <c r="CU251" i="4"/>
  <c r="CV251" i="4"/>
  <c r="CW251" i="4"/>
  <c r="CX251" i="4"/>
  <c r="CY251" i="4"/>
  <c r="CZ251" i="4"/>
  <c r="DA251" i="4"/>
  <c r="DB251" i="4"/>
  <c r="DC251" i="4"/>
  <c r="DD251" i="4"/>
  <c r="DE251" i="4"/>
  <c r="DF251" i="4"/>
  <c r="DG251" i="4"/>
  <c r="DH251"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00" i="4"/>
  <c r="C201" i="4"/>
  <c r="C202" i="4"/>
  <c r="C203" i="4"/>
  <c r="C204" i="4"/>
  <c r="C205" i="4"/>
  <c r="C206" i="4"/>
  <c r="C207" i="4"/>
  <c r="C208" i="4"/>
  <c r="C209" i="4"/>
  <c r="C210" i="4"/>
  <c r="C211" i="4"/>
  <c r="C212" i="4"/>
  <c r="C213" i="4"/>
  <c r="C214" i="4"/>
  <c r="C215" i="4"/>
  <c r="C199" i="4"/>
  <c r="C198" i="4"/>
  <c r="AP63" i="4"/>
  <c r="L63" i="4"/>
  <c r="CF63" i="4"/>
  <c r="BD63" i="4"/>
  <c r="BN63" i="4"/>
  <c r="G63" i="4"/>
  <c r="AM63" i="4"/>
  <c r="BK63" i="4"/>
  <c r="CQ63" i="4"/>
  <c r="AV7" i="4"/>
  <c r="AW7" i="4"/>
  <c r="AX7" i="4"/>
  <c r="AY7" i="4"/>
  <c r="AZ7" i="4"/>
  <c r="BA7" i="4"/>
  <c r="BB7" i="4"/>
  <c r="BC7" i="4"/>
  <c r="BD7" i="4"/>
  <c r="BE7" i="4"/>
  <c r="BF7" i="4"/>
  <c r="BG7" i="4"/>
  <c r="BH7" i="4"/>
  <c r="BI7" i="4"/>
  <c r="BJ7" i="4"/>
  <c r="BK7" i="4"/>
  <c r="BL7" i="4"/>
  <c r="BM7" i="4"/>
  <c r="BN7" i="4"/>
  <c r="BO7" i="4"/>
  <c r="BP7" i="4"/>
  <c r="BQ7" i="4"/>
  <c r="BR7" i="4"/>
  <c r="BS7" i="4"/>
  <c r="BT7" i="4"/>
  <c r="BU7" i="4"/>
  <c r="BV7" i="4"/>
  <c r="BW7" i="4"/>
  <c r="BX7" i="4"/>
  <c r="BY7" i="4"/>
  <c r="BZ7" i="4"/>
  <c r="CA7" i="4"/>
  <c r="CB7" i="4"/>
  <c r="CC7" i="4"/>
  <c r="CD7" i="4"/>
  <c r="CE7" i="4"/>
  <c r="CF7" i="4"/>
  <c r="CG7" i="4"/>
  <c r="CH7" i="4"/>
  <c r="CI7" i="4"/>
  <c r="CJ7" i="4"/>
  <c r="CK7" i="4"/>
  <c r="CL7" i="4"/>
  <c r="CM7" i="4"/>
  <c r="CN7" i="4"/>
  <c r="CO7" i="4"/>
  <c r="CP7" i="4"/>
  <c r="CQ7" i="4"/>
  <c r="CR7" i="4"/>
  <c r="CS7" i="4"/>
  <c r="CT7" i="4"/>
  <c r="CU7" i="4"/>
  <c r="CV7" i="4"/>
  <c r="CW7" i="4"/>
  <c r="CX7" i="4"/>
  <c r="CY7" i="4"/>
  <c r="CZ7" i="4"/>
  <c r="DA7" i="4"/>
  <c r="DB7" i="4"/>
  <c r="DC7" i="4"/>
  <c r="DD7" i="4"/>
  <c r="DE7" i="4"/>
  <c r="DF7" i="4"/>
  <c r="DG7" i="4"/>
  <c r="DH7" i="4"/>
  <c r="AU7" i="4"/>
  <c r="L2" i="24"/>
  <c r="L5" i="24"/>
  <c r="L4" i="24"/>
  <c r="L3" i="24"/>
  <c r="L7" i="24"/>
  <c r="L8" i="24"/>
  <c r="L9" i="24"/>
  <c r="L10" i="24"/>
  <c r="L11" i="24"/>
  <c r="L12" i="24"/>
  <c r="L13" i="24"/>
  <c r="L6" i="24"/>
  <c r="Q2" i="24"/>
  <c r="V2" i="24"/>
  <c r="BE63" i="4" l="1"/>
  <c r="C63" i="4"/>
  <c r="DC63" i="4"/>
  <c r="CU63" i="4"/>
  <c r="CM63" i="4"/>
  <c r="AI63" i="4"/>
  <c r="AA63" i="4"/>
  <c r="S63" i="4"/>
  <c r="K63" i="4"/>
  <c r="CP63" i="4"/>
  <c r="H63" i="4"/>
  <c r="DF63" i="4"/>
  <c r="CX63" i="4"/>
  <c r="CH63" i="4"/>
  <c r="BZ63" i="4"/>
  <c r="BR63" i="4"/>
  <c r="BJ63" i="4"/>
  <c r="BB63" i="4"/>
  <c r="AT63" i="4"/>
  <c r="AL63" i="4"/>
  <c r="AD63" i="4"/>
  <c r="V63" i="4"/>
  <c r="N63" i="4"/>
  <c r="F63" i="4"/>
  <c r="DE63" i="4"/>
  <c r="CW63" i="4"/>
  <c r="CO63" i="4"/>
  <c r="CG63" i="4"/>
  <c r="BY63" i="4"/>
  <c r="BQ63" i="4"/>
  <c r="BI63" i="4"/>
  <c r="BA63" i="4"/>
  <c r="AS63" i="4"/>
  <c r="AK63" i="4"/>
  <c r="AC63" i="4"/>
  <c r="U63" i="4"/>
  <c r="M63" i="4"/>
  <c r="E63" i="4"/>
  <c r="DJ9" i="28"/>
  <c r="DJ10" i="28"/>
  <c r="DJ11" i="28"/>
  <c r="DJ12" i="28"/>
  <c r="DJ13" i="28"/>
  <c r="DJ14" i="28"/>
  <c r="DJ15" i="28"/>
  <c r="DJ16" i="28"/>
  <c r="DJ17" i="28"/>
  <c r="DJ18" i="28"/>
  <c r="DJ19" i="28"/>
  <c r="DJ20" i="28"/>
  <c r="DJ21" i="28"/>
  <c r="DJ22" i="28"/>
  <c r="DJ23" i="28"/>
  <c r="DJ24" i="28"/>
  <c r="DJ25" i="28"/>
  <c r="DJ26" i="28"/>
  <c r="DJ27" i="28"/>
  <c r="DJ8" i="28"/>
  <c r="DJ41" i="4"/>
  <c r="DI52" i="29"/>
  <c r="DI53" i="29"/>
  <c r="DI54" i="29"/>
  <c r="DI55" i="29"/>
  <c r="DI56" i="29"/>
  <c r="DI57" i="29"/>
  <c r="DI58" i="29"/>
  <c r="DI59" i="29"/>
  <c r="DI60" i="29"/>
  <c r="DI61" i="29"/>
  <c r="DI62" i="29"/>
  <c r="DI63" i="29"/>
  <c r="DI64" i="29"/>
  <c r="DI65" i="29"/>
  <c r="DI66" i="29"/>
  <c r="DI31" i="29"/>
  <c r="DI32" i="29"/>
  <c r="DI33" i="29"/>
  <c r="DI34" i="29"/>
  <c r="DI35" i="29"/>
  <c r="DI36" i="29"/>
  <c r="DI37" i="29"/>
  <c r="DI38" i="29"/>
  <c r="DI39" i="29"/>
  <c r="DI40" i="29"/>
  <c r="DI41" i="29"/>
  <c r="DI42" i="29"/>
  <c r="DI43" i="29"/>
  <c r="DI44" i="29"/>
  <c r="DI45" i="29"/>
  <c r="DI46" i="29"/>
  <c r="DI47" i="29"/>
  <c r="DI48" i="29"/>
  <c r="DI49" i="29"/>
  <c r="DI50" i="29"/>
  <c r="DI51" i="29"/>
  <c r="DI9" i="29"/>
  <c r="DI10" i="29"/>
  <c r="DI11" i="29"/>
  <c r="DI12" i="29"/>
  <c r="DI13" i="29"/>
  <c r="DI14" i="29"/>
  <c r="DI15" i="29"/>
  <c r="DI16" i="29"/>
  <c r="DI17" i="29"/>
  <c r="DI18" i="29"/>
  <c r="DI19" i="29"/>
  <c r="DI20" i="29"/>
  <c r="DI21" i="29"/>
  <c r="DI22" i="29"/>
  <c r="DI23" i="29"/>
  <c r="DI24" i="29"/>
  <c r="DI25" i="29"/>
  <c r="DI26" i="29"/>
  <c r="DI27" i="29"/>
  <c r="DI28" i="29"/>
  <c r="DI29" i="29"/>
  <c r="DI30" i="29"/>
  <c r="DI8" i="29"/>
  <c r="D72" i="29"/>
  <c r="E72" i="29"/>
  <c r="F72" i="29"/>
  <c r="G72" i="29"/>
  <c r="H72" i="29"/>
  <c r="I72" i="29"/>
  <c r="J72" i="29"/>
  <c r="K72" i="29"/>
  <c r="L72" i="29"/>
  <c r="M72" i="29"/>
  <c r="N72" i="29"/>
  <c r="O72" i="29"/>
  <c r="P72" i="29"/>
  <c r="Q72" i="29"/>
  <c r="R72" i="29"/>
  <c r="S72" i="29"/>
  <c r="T72" i="29"/>
  <c r="U72" i="29"/>
  <c r="V72" i="29"/>
  <c r="W72" i="29"/>
  <c r="X72" i="29"/>
  <c r="Y72" i="29"/>
  <c r="Z72" i="29"/>
  <c r="AA72" i="29"/>
  <c r="AB72" i="29"/>
  <c r="AC72" i="29"/>
  <c r="AD72" i="29"/>
  <c r="AE72" i="29"/>
  <c r="AF72" i="29"/>
  <c r="AG72" i="29"/>
  <c r="AH72" i="29"/>
  <c r="AI72" i="29"/>
  <c r="AJ72" i="29"/>
  <c r="AK72" i="29"/>
  <c r="AL72" i="29"/>
  <c r="AM72" i="29"/>
  <c r="AN72" i="29"/>
  <c r="AO72" i="29"/>
  <c r="AP72" i="29"/>
  <c r="AQ72" i="29"/>
  <c r="AR72" i="29"/>
  <c r="AS72" i="29"/>
  <c r="AT72" i="29"/>
  <c r="AU72" i="29"/>
  <c r="AV72" i="29"/>
  <c r="AW72" i="29"/>
  <c r="AX72" i="29"/>
  <c r="AY72" i="29"/>
  <c r="AZ72" i="29"/>
  <c r="BA72" i="29"/>
  <c r="BB72" i="29"/>
  <c r="BC72" i="29"/>
  <c r="BD72" i="29"/>
  <c r="BE72" i="29"/>
  <c r="BF72" i="29"/>
  <c r="BG72" i="29"/>
  <c r="BH72" i="29"/>
  <c r="BI72" i="29"/>
  <c r="BJ72" i="29"/>
  <c r="BK72" i="29"/>
  <c r="BL72" i="29"/>
  <c r="BM72" i="29"/>
  <c r="BN72" i="29"/>
  <c r="BO72" i="29"/>
  <c r="BP72" i="29"/>
  <c r="BQ72" i="29"/>
  <c r="BR72" i="29"/>
  <c r="BS72" i="29"/>
  <c r="BT72" i="29"/>
  <c r="BU72" i="29"/>
  <c r="BV72" i="29"/>
  <c r="BW72" i="29"/>
  <c r="BX72" i="29"/>
  <c r="BY72" i="29"/>
  <c r="BZ72" i="29"/>
  <c r="CA72" i="29"/>
  <c r="CB72" i="29"/>
  <c r="CC72" i="29"/>
  <c r="CD72" i="29"/>
  <c r="CE72" i="29"/>
  <c r="CF72" i="29"/>
  <c r="CG72" i="29"/>
  <c r="CH72" i="29"/>
  <c r="CI72" i="29"/>
  <c r="CJ72" i="29"/>
  <c r="CK72" i="29"/>
  <c r="CL72" i="29"/>
  <c r="CM72" i="29"/>
  <c r="CN72" i="29"/>
  <c r="CO72" i="29"/>
  <c r="CP72" i="29"/>
  <c r="CQ72" i="29"/>
  <c r="CR72" i="29"/>
  <c r="CS72" i="29"/>
  <c r="CT72" i="29"/>
  <c r="CU72" i="29"/>
  <c r="CV72" i="29"/>
  <c r="CW72" i="29"/>
  <c r="CX72" i="29"/>
  <c r="CY72" i="29"/>
  <c r="CZ72" i="29"/>
  <c r="DA72" i="29"/>
  <c r="DB72" i="29"/>
  <c r="DC72" i="29"/>
  <c r="DD72" i="29"/>
  <c r="DE72" i="29"/>
  <c r="DF72" i="29"/>
  <c r="DG72" i="29"/>
  <c r="DH72" i="29"/>
  <c r="B201" i="29"/>
  <c r="C201" i="29"/>
  <c r="DV260" i="29" l="1"/>
  <c r="DU260" i="29"/>
  <c r="DT260" i="29"/>
  <c r="DS260" i="29"/>
  <c r="DR260" i="29"/>
  <c r="DQ260" i="29"/>
  <c r="DP260" i="29"/>
  <c r="DO260" i="29"/>
  <c r="DN260" i="29"/>
  <c r="DM260" i="29"/>
  <c r="DL260" i="29"/>
  <c r="DK260" i="29"/>
  <c r="DI260" i="29"/>
  <c r="DV259" i="29"/>
  <c r="DU259" i="29"/>
  <c r="DT259" i="29"/>
  <c r="DS259" i="29"/>
  <c r="DR259" i="29"/>
  <c r="DQ259" i="29"/>
  <c r="DP259" i="29"/>
  <c r="DO259" i="29"/>
  <c r="DN259" i="29"/>
  <c r="DM259" i="29"/>
  <c r="DL259" i="29"/>
  <c r="DK259" i="29"/>
  <c r="DI259" i="29"/>
  <c r="DV258" i="29"/>
  <c r="DU258" i="29"/>
  <c r="DT258" i="29"/>
  <c r="DS258" i="29"/>
  <c r="DR258" i="29"/>
  <c r="DQ258" i="29"/>
  <c r="DP258" i="29"/>
  <c r="DO258" i="29"/>
  <c r="DN258" i="29"/>
  <c r="DM258" i="29"/>
  <c r="DL258" i="29"/>
  <c r="DK258" i="29"/>
  <c r="DI258" i="29"/>
  <c r="DV257" i="29"/>
  <c r="DU257" i="29"/>
  <c r="DT257" i="29"/>
  <c r="DS257" i="29"/>
  <c r="DR257" i="29"/>
  <c r="DQ257" i="29"/>
  <c r="DP257" i="29"/>
  <c r="DO257" i="29"/>
  <c r="DN257" i="29"/>
  <c r="DM257" i="29"/>
  <c r="DL257" i="29"/>
  <c r="DK257" i="29"/>
  <c r="DI257" i="29"/>
  <c r="DV256" i="29"/>
  <c r="DU256" i="29"/>
  <c r="DT256" i="29"/>
  <c r="DS256" i="29"/>
  <c r="DR256" i="29"/>
  <c r="DQ256" i="29"/>
  <c r="DP256" i="29"/>
  <c r="DO256" i="29"/>
  <c r="DN256" i="29"/>
  <c r="DM256" i="29"/>
  <c r="DL256" i="29"/>
  <c r="DK256" i="29"/>
  <c r="DI256" i="29"/>
  <c r="DV255" i="29"/>
  <c r="DU255" i="29"/>
  <c r="DT255" i="29"/>
  <c r="DS255" i="29"/>
  <c r="DR255" i="29"/>
  <c r="DQ255" i="29"/>
  <c r="DP255" i="29"/>
  <c r="DO255" i="29"/>
  <c r="DN255" i="29"/>
  <c r="DM255" i="29"/>
  <c r="DL255" i="29"/>
  <c r="DK255" i="29"/>
  <c r="DI255" i="29"/>
  <c r="DV254" i="29"/>
  <c r="DU254" i="29"/>
  <c r="DT254" i="29"/>
  <c r="DS254" i="29"/>
  <c r="DR254" i="29"/>
  <c r="DQ254" i="29"/>
  <c r="DP254" i="29"/>
  <c r="DO254" i="29"/>
  <c r="DN254" i="29"/>
  <c r="DM254" i="29"/>
  <c r="DL254" i="29"/>
  <c r="DK254" i="29"/>
  <c r="DI254" i="29"/>
  <c r="DV253" i="29"/>
  <c r="DU253" i="29"/>
  <c r="DT253" i="29"/>
  <c r="DS253" i="29"/>
  <c r="DR253" i="29"/>
  <c r="DQ253" i="29"/>
  <c r="DP253" i="29"/>
  <c r="DO253" i="29"/>
  <c r="DN253" i="29"/>
  <c r="DM253" i="29"/>
  <c r="DL253" i="29"/>
  <c r="DK253" i="29"/>
  <c r="DI253" i="29"/>
  <c r="DV252" i="29"/>
  <c r="DU252" i="29"/>
  <c r="DT252" i="29"/>
  <c r="DS252" i="29"/>
  <c r="DR252" i="29"/>
  <c r="DQ252" i="29"/>
  <c r="DP252" i="29"/>
  <c r="DO252" i="29"/>
  <c r="DN252" i="29"/>
  <c r="DM252" i="29"/>
  <c r="DL252" i="29"/>
  <c r="DK252" i="29"/>
  <c r="DI252" i="29"/>
  <c r="DV251" i="29"/>
  <c r="DU251" i="29"/>
  <c r="DT251" i="29"/>
  <c r="DS251" i="29"/>
  <c r="DR251" i="29"/>
  <c r="DQ251" i="29"/>
  <c r="DP251" i="29"/>
  <c r="DO251" i="29"/>
  <c r="DN251" i="29"/>
  <c r="DM251" i="29"/>
  <c r="DL251" i="29"/>
  <c r="DK251" i="29"/>
  <c r="DI251" i="29"/>
  <c r="DV250" i="29"/>
  <c r="DU250" i="29"/>
  <c r="DT250" i="29"/>
  <c r="DS250" i="29"/>
  <c r="DR250" i="29"/>
  <c r="DQ250" i="29"/>
  <c r="DP250" i="29"/>
  <c r="DO250" i="29"/>
  <c r="DN250" i="29"/>
  <c r="DM250" i="29"/>
  <c r="DL250" i="29"/>
  <c r="DK250" i="29"/>
  <c r="DI250" i="29"/>
  <c r="DV249" i="29"/>
  <c r="DU249" i="29"/>
  <c r="DT249" i="29"/>
  <c r="DS249" i="29"/>
  <c r="DR249" i="29"/>
  <c r="DQ249" i="29"/>
  <c r="DP249" i="29"/>
  <c r="DO249" i="29"/>
  <c r="DN249" i="29"/>
  <c r="DM249" i="29"/>
  <c r="DL249" i="29"/>
  <c r="DK249" i="29"/>
  <c r="DI249" i="29"/>
  <c r="DV248" i="29"/>
  <c r="DU248" i="29"/>
  <c r="DT248" i="29"/>
  <c r="DS248" i="29"/>
  <c r="DR248" i="29"/>
  <c r="DQ248" i="29"/>
  <c r="DP248" i="29"/>
  <c r="DO248" i="29"/>
  <c r="DN248" i="29"/>
  <c r="DM248" i="29"/>
  <c r="DL248" i="29"/>
  <c r="DK248" i="29"/>
  <c r="DI248" i="29"/>
  <c r="DV247" i="29"/>
  <c r="DU247" i="29"/>
  <c r="DT247" i="29"/>
  <c r="DS247" i="29"/>
  <c r="DR247" i="29"/>
  <c r="DQ247" i="29"/>
  <c r="DP247" i="29"/>
  <c r="DO247" i="29"/>
  <c r="DN247" i="29"/>
  <c r="DM247" i="29"/>
  <c r="DL247" i="29"/>
  <c r="DK247" i="29"/>
  <c r="DI247" i="29"/>
  <c r="DV246" i="29"/>
  <c r="DU246" i="29"/>
  <c r="DT246" i="29"/>
  <c r="DS246" i="29"/>
  <c r="DR246" i="29"/>
  <c r="DQ246" i="29"/>
  <c r="DP246" i="29"/>
  <c r="DO246" i="29"/>
  <c r="DN246" i="29"/>
  <c r="DM246" i="29"/>
  <c r="DL246" i="29"/>
  <c r="DK246" i="29"/>
  <c r="DI246" i="29"/>
  <c r="DV245" i="29"/>
  <c r="DU245" i="29"/>
  <c r="DT245" i="29"/>
  <c r="DS245" i="29"/>
  <c r="DR245" i="29"/>
  <c r="DQ245" i="29"/>
  <c r="DP245" i="29"/>
  <c r="DO245" i="29"/>
  <c r="DN245" i="29"/>
  <c r="DM245" i="29"/>
  <c r="DL245" i="29"/>
  <c r="DK245" i="29"/>
  <c r="DI245" i="29"/>
  <c r="DV244" i="29"/>
  <c r="DU244" i="29"/>
  <c r="DT244" i="29"/>
  <c r="DS244" i="29"/>
  <c r="DR244" i="29"/>
  <c r="DQ244" i="29"/>
  <c r="DP244" i="29"/>
  <c r="DO244" i="29"/>
  <c r="DN244" i="29"/>
  <c r="DM244" i="29"/>
  <c r="DL244" i="29"/>
  <c r="DK244" i="29"/>
  <c r="DI244" i="29"/>
  <c r="DV243" i="29"/>
  <c r="DU243" i="29"/>
  <c r="DT243" i="29"/>
  <c r="DS243" i="29"/>
  <c r="DR243" i="29"/>
  <c r="DQ243" i="29"/>
  <c r="DP243" i="29"/>
  <c r="DO243" i="29"/>
  <c r="DN243" i="29"/>
  <c r="DM243" i="29"/>
  <c r="DL243" i="29"/>
  <c r="DK243" i="29"/>
  <c r="DI243" i="29"/>
  <c r="DV242" i="29"/>
  <c r="DU242" i="29"/>
  <c r="DT242" i="29"/>
  <c r="DS242" i="29"/>
  <c r="DR242" i="29"/>
  <c r="DQ242" i="29"/>
  <c r="DP242" i="29"/>
  <c r="DO242" i="29"/>
  <c r="DN242" i="29"/>
  <c r="DM242" i="29"/>
  <c r="DL242" i="29"/>
  <c r="DK242" i="29"/>
  <c r="DI242" i="29"/>
  <c r="DV241" i="29"/>
  <c r="DU241" i="29"/>
  <c r="DT241" i="29"/>
  <c r="DS241" i="29"/>
  <c r="DR241" i="29"/>
  <c r="DQ241" i="29"/>
  <c r="DP241" i="29"/>
  <c r="DO241" i="29"/>
  <c r="DN241" i="29"/>
  <c r="DM241" i="29"/>
  <c r="DL241" i="29"/>
  <c r="DK241" i="29"/>
  <c r="DI241" i="29"/>
  <c r="DV240" i="29"/>
  <c r="DU240" i="29"/>
  <c r="DT240" i="29"/>
  <c r="DS240" i="29"/>
  <c r="DR240" i="29"/>
  <c r="DQ240" i="29"/>
  <c r="DP240" i="29"/>
  <c r="DO240" i="29"/>
  <c r="DN240" i="29"/>
  <c r="DM240" i="29"/>
  <c r="DL240" i="29"/>
  <c r="DK240" i="29"/>
  <c r="DI240" i="29"/>
  <c r="DV239" i="29"/>
  <c r="DU239" i="29"/>
  <c r="DT239" i="29"/>
  <c r="DS239" i="29"/>
  <c r="DR239" i="29"/>
  <c r="DQ239" i="29"/>
  <c r="DP239" i="29"/>
  <c r="DO239" i="29"/>
  <c r="DN239" i="29"/>
  <c r="DM239" i="29"/>
  <c r="DL239" i="29"/>
  <c r="DK239" i="29"/>
  <c r="DI239" i="29"/>
  <c r="DV238" i="29"/>
  <c r="DU238" i="29"/>
  <c r="DT238" i="29"/>
  <c r="DS238" i="29"/>
  <c r="DR238" i="29"/>
  <c r="DQ238" i="29"/>
  <c r="DP238" i="29"/>
  <c r="DO238" i="29"/>
  <c r="DN238" i="29"/>
  <c r="DM238" i="29"/>
  <c r="DL238" i="29"/>
  <c r="DK238" i="29"/>
  <c r="DI238" i="29"/>
  <c r="DV237" i="29"/>
  <c r="DU237" i="29"/>
  <c r="DT237" i="29"/>
  <c r="DS237" i="29"/>
  <c r="DR237" i="29"/>
  <c r="DQ237" i="29"/>
  <c r="DP237" i="29"/>
  <c r="DO237" i="29"/>
  <c r="DN237" i="29"/>
  <c r="DM237" i="29"/>
  <c r="DL237" i="29"/>
  <c r="DK237" i="29"/>
  <c r="DI237" i="29"/>
  <c r="DV236" i="29"/>
  <c r="DU236" i="29"/>
  <c r="DT236" i="29"/>
  <c r="DS236" i="29"/>
  <c r="DR236" i="29"/>
  <c r="DQ236" i="29"/>
  <c r="DP236" i="29"/>
  <c r="DO236" i="29"/>
  <c r="DN236" i="29"/>
  <c r="DM236" i="29"/>
  <c r="DL236" i="29"/>
  <c r="DK236" i="29"/>
  <c r="DI236" i="29"/>
  <c r="DV235" i="29"/>
  <c r="DU235" i="29"/>
  <c r="DT235" i="29"/>
  <c r="DS235" i="29"/>
  <c r="DR235" i="29"/>
  <c r="DQ235" i="29"/>
  <c r="DP235" i="29"/>
  <c r="DO235" i="29"/>
  <c r="DN235" i="29"/>
  <c r="DM235" i="29"/>
  <c r="DL235" i="29"/>
  <c r="DK235" i="29"/>
  <c r="DI235" i="29"/>
  <c r="DV234" i="29"/>
  <c r="DU234" i="29"/>
  <c r="DT234" i="29"/>
  <c r="DS234" i="29"/>
  <c r="DR234" i="29"/>
  <c r="DQ234" i="29"/>
  <c r="DP234" i="29"/>
  <c r="DO234" i="29"/>
  <c r="DN234" i="29"/>
  <c r="DM234" i="29"/>
  <c r="DL234" i="29"/>
  <c r="DK234" i="29"/>
  <c r="DI234" i="29"/>
  <c r="DJ252" i="29"/>
  <c r="DJ253" i="29"/>
  <c r="DJ254" i="29"/>
  <c r="DJ255" i="29"/>
  <c r="DJ256" i="29"/>
  <c r="DJ257" i="29"/>
  <c r="DJ258" i="29"/>
  <c r="DJ259" i="29"/>
  <c r="DJ260" i="29"/>
  <c r="D7" i="29"/>
  <c r="E7" i="29"/>
  <c r="F7" i="29"/>
  <c r="G7" i="29"/>
  <c r="H7" i="29"/>
  <c r="I7" i="29"/>
  <c r="J7" i="29"/>
  <c r="K7" i="29"/>
  <c r="L7" i="29"/>
  <c r="M7" i="29"/>
  <c r="N7" i="29"/>
  <c r="O7" i="29"/>
  <c r="P7" i="29"/>
  <c r="Q7" i="29"/>
  <c r="R7" i="29"/>
  <c r="S7" i="29"/>
  <c r="T7" i="29"/>
  <c r="U7" i="29"/>
  <c r="V7" i="29"/>
  <c r="W7" i="29"/>
  <c r="X7" i="29"/>
  <c r="Y7" i="29"/>
  <c r="Z7" i="29"/>
  <c r="AA7" i="29"/>
  <c r="AB7" i="29"/>
  <c r="AC7" i="29"/>
  <c r="AD7" i="29"/>
  <c r="AE7" i="29"/>
  <c r="AF7" i="29"/>
  <c r="AG7" i="29"/>
  <c r="AH7" i="29"/>
  <c r="AI7" i="29"/>
  <c r="AJ7" i="29"/>
  <c r="AK7" i="29"/>
  <c r="AK75" i="29" s="1"/>
  <c r="AL7" i="29"/>
  <c r="AM7" i="29"/>
  <c r="AN7" i="29"/>
  <c r="AO7" i="29"/>
  <c r="AP7" i="29"/>
  <c r="AP75" i="29" s="1"/>
  <c r="AQ7" i="29"/>
  <c r="AR7" i="29"/>
  <c r="AS7" i="29"/>
  <c r="AS75" i="29" s="1"/>
  <c r="AT7" i="29"/>
  <c r="AT75" i="29" s="1"/>
  <c r="AU7" i="29"/>
  <c r="AU75" i="29" s="1"/>
  <c r="AV7" i="29"/>
  <c r="AV75" i="29" s="1"/>
  <c r="AW7" i="29"/>
  <c r="AX7" i="29"/>
  <c r="AY7" i="29"/>
  <c r="AZ7" i="29"/>
  <c r="BA7" i="29"/>
  <c r="BB7" i="29"/>
  <c r="BB75" i="29" s="1"/>
  <c r="BC7" i="29"/>
  <c r="BD7" i="29"/>
  <c r="BD75" i="29" s="1"/>
  <c r="BE7" i="29"/>
  <c r="BE75" i="29" s="1"/>
  <c r="BF7" i="29"/>
  <c r="BG7" i="29"/>
  <c r="BH7" i="29"/>
  <c r="BI7" i="29"/>
  <c r="BI75" i="29" s="1"/>
  <c r="BJ7" i="29"/>
  <c r="BJ75" i="29" s="1"/>
  <c r="BK7" i="29"/>
  <c r="BL7" i="29"/>
  <c r="BL75" i="29" s="1"/>
  <c r="BM7" i="29"/>
  <c r="BM75" i="29" s="1"/>
  <c r="BN7" i="29"/>
  <c r="BO7" i="29"/>
  <c r="BP7" i="29"/>
  <c r="BQ7" i="29"/>
  <c r="BR7" i="29"/>
  <c r="BR75" i="29" s="1"/>
  <c r="BS7" i="29"/>
  <c r="BT7" i="29"/>
  <c r="BT75" i="29" s="1"/>
  <c r="BU7" i="29"/>
  <c r="BU75" i="29" s="1"/>
  <c r="BV7" i="29"/>
  <c r="BW7" i="29"/>
  <c r="BW75" i="29" s="1"/>
  <c r="BX7" i="29"/>
  <c r="BY7" i="29"/>
  <c r="BY75" i="29" s="1"/>
  <c r="BZ7" i="29"/>
  <c r="CA7" i="29"/>
  <c r="CA75" i="29" s="1"/>
  <c r="CB7" i="29"/>
  <c r="CB75" i="29" s="1"/>
  <c r="CC7" i="29"/>
  <c r="CD7" i="29"/>
  <c r="CD75" i="29" s="1"/>
  <c r="CE7" i="29"/>
  <c r="CE75" i="29" s="1"/>
  <c r="CF7" i="29"/>
  <c r="CF75" i="29" s="1"/>
  <c r="CG7" i="29"/>
  <c r="CH7" i="29"/>
  <c r="CI7" i="29"/>
  <c r="CJ7" i="29"/>
  <c r="CK7" i="29"/>
  <c r="CL7" i="29"/>
  <c r="CM7" i="29"/>
  <c r="CN7" i="29"/>
  <c r="CN75" i="29" s="1"/>
  <c r="CO7" i="29"/>
  <c r="CO75" i="29" s="1"/>
  <c r="CP7" i="29"/>
  <c r="CP75" i="29" s="1"/>
  <c r="CQ7" i="29"/>
  <c r="CQ75" i="29" s="1"/>
  <c r="CR7" i="29"/>
  <c r="CS7" i="29"/>
  <c r="CT7" i="29"/>
  <c r="CT75" i="29" s="1"/>
  <c r="CU7" i="29"/>
  <c r="CU75" i="29" s="1"/>
  <c r="CV7" i="29"/>
  <c r="CV75" i="29" s="1"/>
  <c r="CW7" i="29"/>
  <c r="CW75" i="29" s="1"/>
  <c r="CX7" i="29"/>
  <c r="CX75" i="29" s="1"/>
  <c r="CY7" i="29"/>
  <c r="CY75" i="29" s="1"/>
  <c r="CZ7" i="29"/>
  <c r="CZ75" i="29" s="1"/>
  <c r="DA7" i="29"/>
  <c r="DA75" i="29" s="1"/>
  <c r="DB7" i="29"/>
  <c r="DC7" i="29"/>
  <c r="DD7" i="29"/>
  <c r="DD75" i="29" s="1"/>
  <c r="DE7" i="29"/>
  <c r="DE75" i="29" s="1"/>
  <c r="DF7" i="29"/>
  <c r="DF75" i="29" s="1"/>
  <c r="DG7" i="29"/>
  <c r="DG75" i="29" s="1"/>
  <c r="DH7" i="29"/>
  <c r="DH75" i="29" s="1"/>
  <c r="C7" i="29"/>
  <c r="DJ251" i="29"/>
  <c r="DJ250" i="29"/>
  <c r="DJ249" i="29"/>
  <c r="DJ248" i="29"/>
  <c r="DJ247" i="29"/>
  <c r="DJ246" i="29"/>
  <c r="DJ245" i="29"/>
  <c r="DJ244" i="29"/>
  <c r="DJ243" i="29"/>
  <c r="DJ242" i="29"/>
  <c r="DJ241" i="29"/>
  <c r="DJ240" i="29"/>
  <c r="DJ239" i="29"/>
  <c r="DJ238" i="29"/>
  <c r="DJ237" i="29"/>
  <c r="DJ236" i="29"/>
  <c r="DJ235" i="29"/>
  <c r="DJ234" i="29"/>
  <c r="C165" i="28"/>
  <c r="C166" i="28"/>
  <c r="C167" i="28"/>
  <c r="C168" i="28"/>
  <c r="C169" i="28"/>
  <c r="C170" i="28"/>
  <c r="C171" i="28"/>
  <c r="C172" i="28"/>
  <c r="C173" i="28"/>
  <c r="C174" i="28"/>
  <c r="C175" i="28"/>
  <c r="C176" i="28"/>
  <c r="C177" i="28"/>
  <c r="C178" i="28"/>
  <c r="C179" i="28"/>
  <c r="C180" i="28"/>
  <c r="C181" i="28"/>
  <c r="C182" i="28"/>
  <c r="C183" i="28"/>
  <c r="AM183" i="28"/>
  <c r="AL183" i="28"/>
  <c r="AK183" i="28"/>
  <c r="AJ183" i="28"/>
  <c r="AI183" i="28"/>
  <c r="AH183" i="28"/>
  <c r="AG183" i="28"/>
  <c r="AF183" i="28"/>
  <c r="AE183" i="28"/>
  <c r="AD183" i="28"/>
  <c r="AC183" i="28"/>
  <c r="AB183" i="28"/>
  <c r="AA183" i="28"/>
  <c r="Z183" i="28"/>
  <c r="Y183" i="28"/>
  <c r="X183" i="28"/>
  <c r="W183" i="28"/>
  <c r="V183" i="28"/>
  <c r="U183" i="28"/>
  <c r="T183" i="28"/>
  <c r="S183" i="28"/>
  <c r="R183" i="28"/>
  <c r="Q183" i="28"/>
  <c r="P183" i="28"/>
  <c r="O183" i="28"/>
  <c r="N183" i="28"/>
  <c r="M183" i="28"/>
  <c r="L183" i="28"/>
  <c r="K183" i="28"/>
  <c r="J183" i="28"/>
  <c r="I183" i="28"/>
  <c r="H183" i="28"/>
  <c r="G183" i="28"/>
  <c r="F183" i="28"/>
  <c r="E183" i="28"/>
  <c r="D183" i="28"/>
  <c r="AM182" i="28"/>
  <c r="AL182" i="28"/>
  <c r="AK182" i="28"/>
  <c r="AJ182" i="28"/>
  <c r="AI182" i="28"/>
  <c r="AH182" i="28"/>
  <c r="AG182" i="28"/>
  <c r="AF182" i="28"/>
  <c r="AE182" i="28"/>
  <c r="AD182" i="28"/>
  <c r="AC182" i="28"/>
  <c r="AB182" i="28"/>
  <c r="AA182" i="28"/>
  <c r="Z182" i="28"/>
  <c r="Y182" i="28"/>
  <c r="X182" i="28"/>
  <c r="W182" i="28"/>
  <c r="V182" i="28"/>
  <c r="U182" i="28"/>
  <c r="T182" i="28"/>
  <c r="S182" i="28"/>
  <c r="R182" i="28"/>
  <c r="Q182" i="28"/>
  <c r="P182" i="28"/>
  <c r="O182" i="28"/>
  <c r="N182" i="28"/>
  <c r="M182" i="28"/>
  <c r="L182" i="28"/>
  <c r="K182" i="28"/>
  <c r="J182" i="28"/>
  <c r="I182" i="28"/>
  <c r="H182" i="28"/>
  <c r="G182" i="28"/>
  <c r="F182" i="28"/>
  <c r="E182" i="28"/>
  <c r="D182" i="28"/>
  <c r="AM181" i="28"/>
  <c r="AL181" i="28"/>
  <c r="AK181" i="28"/>
  <c r="AJ181" i="28"/>
  <c r="AI181" i="28"/>
  <c r="AH181" i="28"/>
  <c r="AG181" i="28"/>
  <c r="AF181" i="28"/>
  <c r="AE181" i="28"/>
  <c r="AD181" i="28"/>
  <c r="AC181" i="28"/>
  <c r="AB181" i="28"/>
  <c r="AA181" i="28"/>
  <c r="Z181" i="28"/>
  <c r="Y181" i="28"/>
  <c r="X181" i="28"/>
  <c r="W181" i="28"/>
  <c r="V181" i="28"/>
  <c r="U181" i="28"/>
  <c r="T181" i="28"/>
  <c r="S181" i="28"/>
  <c r="R181" i="28"/>
  <c r="Q181" i="28"/>
  <c r="P181" i="28"/>
  <c r="O181" i="28"/>
  <c r="N181" i="28"/>
  <c r="M181" i="28"/>
  <c r="L181" i="28"/>
  <c r="K181" i="28"/>
  <c r="J181" i="28"/>
  <c r="I181" i="28"/>
  <c r="H181" i="28"/>
  <c r="G181" i="28"/>
  <c r="F181" i="28"/>
  <c r="E181" i="28"/>
  <c r="D181" i="28"/>
  <c r="AM180" i="28"/>
  <c r="AL180" i="28"/>
  <c r="AK180" i="28"/>
  <c r="AJ180" i="28"/>
  <c r="AI180" i="28"/>
  <c r="AH180" i="28"/>
  <c r="AG180" i="28"/>
  <c r="AF180" i="28"/>
  <c r="AE180" i="28"/>
  <c r="AD180" i="28"/>
  <c r="AC180" i="28"/>
  <c r="AB180" i="28"/>
  <c r="AA180" i="28"/>
  <c r="Z180" i="28"/>
  <c r="Y180" i="28"/>
  <c r="X180" i="28"/>
  <c r="W180" i="28"/>
  <c r="V180" i="28"/>
  <c r="U180" i="28"/>
  <c r="T180" i="28"/>
  <c r="S180" i="28"/>
  <c r="R180" i="28"/>
  <c r="Q180" i="28"/>
  <c r="P180" i="28"/>
  <c r="O180" i="28"/>
  <c r="N180" i="28"/>
  <c r="M180" i="28"/>
  <c r="L180" i="28"/>
  <c r="K180" i="28"/>
  <c r="J180" i="28"/>
  <c r="I180" i="28"/>
  <c r="H180" i="28"/>
  <c r="G180" i="28"/>
  <c r="F180" i="28"/>
  <c r="E180" i="28"/>
  <c r="D180" i="28"/>
  <c r="AM179" i="28"/>
  <c r="AL179" i="28"/>
  <c r="AK179" i="28"/>
  <c r="AJ179" i="28"/>
  <c r="AI179" i="28"/>
  <c r="AH179" i="28"/>
  <c r="AG179" i="28"/>
  <c r="AF179" i="28"/>
  <c r="AE179" i="28"/>
  <c r="AD179" i="28"/>
  <c r="AC179" i="28"/>
  <c r="AB179" i="28"/>
  <c r="AA179" i="28"/>
  <c r="Z179" i="28"/>
  <c r="Y179" i="28"/>
  <c r="X179" i="28"/>
  <c r="W179" i="28"/>
  <c r="V179" i="28"/>
  <c r="U179" i="28"/>
  <c r="T179" i="28"/>
  <c r="S179" i="28"/>
  <c r="R179" i="28"/>
  <c r="Q179" i="28"/>
  <c r="P179" i="28"/>
  <c r="O179" i="28"/>
  <c r="N179" i="28"/>
  <c r="M179" i="28"/>
  <c r="L179" i="28"/>
  <c r="K179" i="28"/>
  <c r="J179" i="28"/>
  <c r="I179" i="28"/>
  <c r="H179" i="28"/>
  <c r="G179" i="28"/>
  <c r="F179" i="28"/>
  <c r="E179" i="28"/>
  <c r="D179" i="28"/>
  <c r="AM178" i="28"/>
  <c r="AL178" i="28"/>
  <c r="AK178" i="28"/>
  <c r="AJ178" i="28"/>
  <c r="AI178" i="28"/>
  <c r="AH178" i="28"/>
  <c r="AG178" i="28"/>
  <c r="AF178" i="28"/>
  <c r="AE178" i="28"/>
  <c r="AD178" i="28"/>
  <c r="AC178" i="28"/>
  <c r="AB178" i="28"/>
  <c r="AA178" i="28"/>
  <c r="Z178" i="28"/>
  <c r="Y178" i="28"/>
  <c r="X178" i="28"/>
  <c r="W178" i="28"/>
  <c r="V178" i="28"/>
  <c r="U178" i="28"/>
  <c r="T178" i="28"/>
  <c r="S178" i="28"/>
  <c r="R178" i="28"/>
  <c r="Q178" i="28"/>
  <c r="P178" i="28"/>
  <c r="O178" i="28"/>
  <c r="N178" i="28"/>
  <c r="M178" i="28"/>
  <c r="L178" i="28"/>
  <c r="K178" i="28"/>
  <c r="J178" i="28"/>
  <c r="I178" i="28"/>
  <c r="H178" i="28"/>
  <c r="G178" i="28"/>
  <c r="F178" i="28"/>
  <c r="E178" i="28"/>
  <c r="D178" i="28"/>
  <c r="AM177" i="28"/>
  <c r="AL177" i="28"/>
  <c r="AK177" i="28"/>
  <c r="AJ177" i="28"/>
  <c r="AI177" i="28"/>
  <c r="AH177" i="28"/>
  <c r="AG177" i="28"/>
  <c r="AF177" i="28"/>
  <c r="AE177" i="28"/>
  <c r="AD177" i="28"/>
  <c r="AC177" i="28"/>
  <c r="AB177" i="28"/>
  <c r="AA177" i="28"/>
  <c r="Z177" i="28"/>
  <c r="Y177" i="28"/>
  <c r="X177" i="28"/>
  <c r="W177" i="28"/>
  <c r="V177" i="28"/>
  <c r="U177" i="28"/>
  <c r="T177" i="28"/>
  <c r="S177" i="28"/>
  <c r="R177" i="28"/>
  <c r="Q177" i="28"/>
  <c r="P177" i="28"/>
  <c r="O177" i="28"/>
  <c r="N177" i="28"/>
  <c r="M177" i="28"/>
  <c r="L177" i="28"/>
  <c r="K177" i="28"/>
  <c r="J177" i="28"/>
  <c r="I177" i="28"/>
  <c r="H177" i="28"/>
  <c r="G177" i="28"/>
  <c r="F177" i="28"/>
  <c r="E177" i="28"/>
  <c r="D177" i="28"/>
  <c r="AM176" i="28"/>
  <c r="AL176" i="28"/>
  <c r="AK176" i="28"/>
  <c r="AJ176" i="28"/>
  <c r="AI176" i="28"/>
  <c r="AH176" i="28"/>
  <c r="AG176" i="28"/>
  <c r="AF176" i="28"/>
  <c r="AE176" i="28"/>
  <c r="AD176" i="28"/>
  <c r="AC176" i="28"/>
  <c r="AB176" i="28"/>
  <c r="AA176" i="28"/>
  <c r="Z176" i="28"/>
  <c r="Y176" i="28"/>
  <c r="X176" i="28"/>
  <c r="W176" i="28"/>
  <c r="V176" i="28"/>
  <c r="U176" i="28"/>
  <c r="T176" i="28"/>
  <c r="S176" i="28"/>
  <c r="R176" i="28"/>
  <c r="Q176" i="28"/>
  <c r="P176" i="28"/>
  <c r="O176" i="28"/>
  <c r="N176" i="28"/>
  <c r="M176" i="28"/>
  <c r="L176" i="28"/>
  <c r="K176" i="28"/>
  <c r="J176" i="28"/>
  <c r="I176" i="28"/>
  <c r="H176" i="28"/>
  <c r="G176" i="28"/>
  <c r="F176" i="28"/>
  <c r="E176" i="28"/>
  <c r="D176" i="28"/>
  <c r="AM175" i="28"/>
  <c r="AL175" i="28"/>
  <c r="AK175" i="28"/>
  <c r="AJ175" i="28"/>
  <c r="AI175" i="28"/>
  <c r="AH175" i="28"/>
  <c r="AG175" i="28"/>
  <c r="AF175" i="28"/>
  <c r="AE175" i="28"/>
  <c r="AD175" i="28"/>
  <c r="AC175" i="28"/>
  <c r="AB175" i="28"/>
  <c r="AA175" i="28"/>
  <c r="Z175" i="28"/>
  <c r="Y175" i="28"/>
  <c r="X175" i="28"/>
  <c r="W175" i="28"/>
  <c r="V175" i="28"/>
  <c r="U175" i="28"/>
  <c r="T175" i="28"/>
  <c r="S175" i="28"/>
  <c r="R175" i="28"/>
  <c r="Q175" i="28"/>
  <c r="P175" i="28"/>
  <c r="O175" i="28"/>
  <c r="N175" i="28"/>
  <c r="M175" i="28"/>
  <c r="L175" i="28"/>
  <c r="K175" i="28"/>
  <c r="J175" i="28"/>
  <c r="I175" i="28"/>
  <c r="H175" i="28"/>
  <c r="G175" i="28"/>
  <c r="F175" i="28"/>
  <c r="E175" i="28"/>
  <c r="D175" i="28"/>
  <c r="AM174" i="28"/>
  <c r="AL174" i="28"/>
  <c r="AK174" i="28"/>
  <c r="AJ174" i="28"/>
  <c r="AI174" i="28"/>
  <c r="AH174" i="28"/>
  <c r="AG174" i="28"/>
  <c r="AF174" i="28"/>
  <c r="AE174" i="28"/>
  <c r="AD174" i="28"/>
  <c r="AC174" i="28"/>
  <c r="AB174" i="28"/>
  <c r="AA174" i="28"/>
  <c r="Z174" i="28"/>
  <c r="Y174" i="28"/>
  <c r="X174" i="28"/>
  <c r="W174" i="28"/>
  <c r="V174" i="28"/>
  <c r="U174" i="28"/>
  <c r="T174" i="28"/>
  <c r="S174" i="28"/>
  <c r="R174" i="28"/>
  <c r="Q174" i="28"/>
  <c r="P174" i="28"/>
  <c r="O174" i="28"/>
  <c r="N174" i="28"/>
  <c r="M174" i="28"/>
  <c r="L174" i="28"/>
  <c r="K174" i="28"/>
  <c r="J174" i="28"/>
  <c r="I174" i="28"/>
  <c r="H174" i="28"/>
  <c r="G174" i="28"/>
  <c r="F174" i="28"/>
  <c r="E174" i="28"/>
  <c r="D174" i="28"/>
  <c r="AM173" i="28"/>
  <c r="AL173" i="28"/>
  <c r="AK173" i="28"/>
  <c r="AJ173" i="28"/>
  <c r="AI173" i="28"/>
  <c r="AH173" i="28"/>
  <c r="AG173" i="28"/>
  <c r="AF173" i="28"/>
  <c r="AE173" i="28"/>
  <c r="AD173" i="28"/>
  <c r="AC173" i="28"/>
  <c r="AB173" i="28"/>
  <c r="AA173" i="28"/>
  <c r="Z173" i="28"/>
  <c r="Y173" i="28"/>
  <c r="X173" i="28"/>
  <c r="W173" i="28"/>
  <c r="V173" i="28"/>
  <c r="U173" i="28"/>
  <c r="T173" i="28"/>
  <c r="S173" i="28"/>
  <c r="R173" i="28"/>
  <c r="Q173" i="28"/>
  <c r="P173" i="28"/>
  <c r="O173" i="28"/>
  <c r="N173" i="28"/>
  <c r="M173" i="28"/>
  <c r="L173" i="28"/>
  <c r="K173" i="28"/>
  <c r="J173" i="28"/>
  <c r="I173" i="28"/>
  <c r="H173" i="28"/>
  <c r="G173" i="28"/>
  <c r="F173" i="28"/>
  <c r="E173" i="28"/>
  <c r="D173" i="28"/>
  <c r="AM172" i="28"/>
  <c r="AL172" i="28"/>
  <c r="AK172" i="28"/>
  <c r="AJ172" i="28"/>
  <c r="AI172" i="28"/>
  <c r="AH172" i="28"/>
  <c r="AG172" i="28"/>
  <c r="AF172" i="28"/>
  <c r="AE172" i="28"/>
  <c r="AD172" i="28"/>
  <c r="AC172" i="28"/>
  <c r="AB172" i="28"/>
  <c r="AA172" i="28"/>
  <c r="Z172" i="28"/>
  <c r="Y172" i="28"/>
  <c r="X172" i="28"/>
  <c r="W172" i="28"/>
  <c r="V172" i="28"/>
  <c r="U172" i="28"/>
  <c r="T172" i="28"/>
  <c r="S172" i="28"/>
  <c r="R172" i="28"/>
  <c r="Q172" i="28"/>
  <c r="P172" i="28"/>
  <c r="O172" i="28"/>
  <c r="N172" i="28"/>
  <c r="M172" i="28"/>
  <c r="L172" i="28"/>
  <c r="K172" i="28"/>
  <c r="J172" i="28"/>
  <c r="I172" i="28"/>
  <c r="H172" i="28"/>
  <c r="G172" i="28"/>
  <c r="F172" i="28"/>
  <c r="E172" i="28"/>
  <c r="D172" i="28"/>
  <c r="AM171" i="28"/>
  <c r="AL171" i="28"/>
  <c r="AK171" i="28"/>
  <c r="AJ171" i="28"/>
  <c r="AI171" i="28"/>
  <c r="AH171" i="28"/>
  <c r="AG171" i="28"/>
  <c r="AF171" i="28"/>
  <c r="AE171" i="28"/>
  <c r="AD171" i="28"/>
  <c r="AC171" i="28"/>
  <c r="AB171" i="28"/>
  <c r="AA171" i="28"/>
  <c r="Z171" i="28"/>
  <c r="Y171" i="28"/>
  <c r="X171" i="28"/>
  <c r="W171" i="28"/>
  <c r="V171" i="28"/>
  <c r="U171" i="28"/>
  <c r="T171" i="28"/>
  <c r="S171" i="28"/>
  <c r="R171" i="28"/>
  <c r="Q171" i="28"/>
  <c r="P171" i="28"/>
  <c r="O171" i="28"/>
  <c r="N171" i="28"/>
  <c r="M171" i="28"/>
  <c r="L171" i="28"/>
  <c r="K171" i="28"/>
  <c r="J171" i="28"/>
  <c r="I171" i="28"/>
  <c r="H171" i="28"/>
  <c r="G171" i="28"/>
  <c r="F171" i="28"/>
  <c r="E171" i="28"/>
  <c r="D171" i="28"/>
  <c r="AM170" i="28"/>
  <c r="AL170" i="28"/>
  <c r="AK170" i="28"/>
  <c r="AJ170" i="28"/>
  <c r="AI170" i="28"/>
  <c r="AH170" i="28"/>
  <c r="AG170" i="28"/>
  <c r="AF170" i="28"/>
  <c r="AE170" i="28"/>
  <c r="AD170" i="28"/>
  <c r="AC170" i="28"/>
  <c r="AB170" i="28"/>
  <c r="AA170" i="28"/>
  <c r="Z170" i="28"/>
  <c r="Y170" i="28"/>
  <c r="X170" i="28"/>
  <c r="W170" i="28"/>
  <c r="V170" i="28"/>
  <c r="U170" i="28"/>
  <c r="T170" i="28"/>
  <c r="S170" i="28"/>
  <c r="R170" i="28"/>
  <c r="Q170" i="28"/>
  <c r="P170" i="28"/>
  <c r="O170" i="28"/>
  <c r="N170" i="28"/>
  <c r="M170" i="28"/>
  <c r="L170" i="28"/>
  <c r="K170" i="28"/>
  <c r="J170" i="28"/>
  <c r="I170" i="28"/>
  <c r="H170" i="28"/>
  <c r="G170" i="28"/>
  <c r="F170" i="28"/>
  <c r="E170" i="28"/>
  <c r="D170" i="28"/>
  <c r="AM169" i="28"/>
  <c r="AL169" i="28"/>
  <c r="AK169" i="28"/>
  <c r="AJ169" i="28"/>
  <c r="AI169" i="28"/>
  <c r="AH169" i="28"/>
  <c r="AG169" i="28"/>
  <c r="AF169" i="28"/>
  <c r="AE169" i="28"/>
  <c r="AD169" i="28"/>
  <c r="AC169" i="28"/>
  <c r="AB169" i="28"/>
  <c r="AA169" i="28"/>
  <c r="Z169" i="28"/>
  <c r="Y169" i="28"/>
  <c r="X169" i="28"/>
  <c r="W169" i="28"/>
  <c r="V169" i="28"/>
  <c r="U169" i="28"/>
  <c r="T169" i="28"/>
  <c r="S169" i="28"/>
  <c r="R169" i="28"/>
  <c r="Q169" i="28"/>
  <c r="P169" i="28"/>
  <c r="O169" i="28"/>
  <c r="N169" i="28"/>
  <c r="M169" i="28"/>
  <c r="L169" i="28"/>
  <c r="K169" i="28"/>
  <c r="J169" i="28"/>
  <c r="I169" i="28"/>
  <c r="H169" i="28"/>
  <c r="G169" i="28"/>
  <c r="F169" i="28"/>
  <c r="E169" i="28"/>
  <c r="D169" i="28"/>
  <c r="AM168" i="28"/>
  <c r="AL168" i="28"/>
  <c r="AK168" i="28"/>
  <c r="AJ168" i="28"/>
  <c r="AI168" i="28"/>
  <c r="AH168" i="28"/>
  <c r="AG168" i="28"/>
  <c r="AF168" i="28"/>
  <c r="AE168" i="28"/>
  <c r="AD168" i="28"/>
  <c r="AC168" i="28"/>
  <c r="AB168" i="28"/>
  <c r="AA168" i="28"/>
  <c r="Z168" i="28"/>
  <c r="Y168" i="28"/>
  <c r="X168" i="28"/>
  <c r="W168" i="28"/>
  <c r="V168" i="28"/>
  <c r="U168" i="28"/>
  <c r="T168" i="28"/>
  <c r="S168" i="28"/>
  <c r="R168" i="28"/>
  <c r="Q168" i="28"/>
  <c r="P168" i="28"/>
  <c r="O168" i="28"/>
  <c r="N168" i="28"/>
  <c r="M168" i="28"/>
  <c r="L168" i="28"/>
  <c r="K168" i="28"/>
  <c r="J168" i="28"/>
  <c r="I168" i="28"/>
  <c r="H168" i="28"/>
  <c r="G168" i="28"/>
  <c r="F168" i="28"/>
  <c r="E168" i="28"/>
  <c r="D168" i="28"/>
  <c r="AM167" i="28"/>
  <c r="AL167" i="28"/>
  <c r="AK167" i="28"/>
  <c r="AJ167" i="28"/>
  <c r="AI167" i="28"/>
  <c r="AH167" i="28"/>
  <c r="AG167" i="28"/>
  <c r="AF167" i="28"/>
  <c r="AE167" i="28"/>
  <c r="AD167" i="28"/>
  <c r="AC167" i="28"/>
  <c r="AB167" i="28"/>
  <c r="AA167" i="28"/>
  <c r="Z167" i="28"/>
  <c r="Y167" i="28"/>
  <c r="X167" i="28"/>
  <c r="W167" i="28"/>
  <c r="V167" i="28"/>
  <c r="U167" i="28"/>
  <c r="T167" i="28"/>
  <c r="S167" i="28"/>
  <c r="R167" i="28"/>
  <c r="Q167" i="28"/>
  <c r="P167" i="28"/>
  <c r="O167" i="28"/>
  <c r="N167" i="28"/>
  <c r="M167" i="28"/>
  <c r="L167" i="28"/>
  <c r="K167" i="28"/>
  <c r="J167" i="28"/>
  <c r="I167" i="28"/>
  <c r="H167" i="28"/>
  <c r="G167" i="28"/>
  <c r="F167" i="28"/>
  <c r="E167" i="28"/>
  <c r="D167" i="28"/>
  <c r="AM166" i="28"/>
  <c r="AL166" i="28"/>
  <c r="AK166" i="28"/>
  <c r="AJ166" i="28"/>
  <c r="AI166" i="28"/>
  <c r="AH166" i="28"/>
  <c r="AG166" i="28"/>
  <c r="AF166" i="28"/>
  <c r="AE166" i="28"/>
  <c r="AD166" i="28"/>
  <c r="AC166" i="28"/>
  <c r="AB166" i="28"/>
  <c r="AA166" i="28"/>
  <c r="Z166" i="28"/>
  <c r="Y166" i="28"/>
  <c r="X166" i="28"/>
  <c r="W166" i="28"/>
  <c r="V166" i="28"/>
  <c r="U166" i="28"/>
  <c r="T166" i="28"/>
  <c r="S166" i="28"/>
  <c r="R166" i="28"/>
  <c r="Q166" i="28"/>
  <c r="P166" i="28"/>
  <c r="O166" i="28"/>
  <c r="N166" i="28"/>
  <c r="M166" i="28"/>
  <c r="L166" i="28"/>
  <c r="K166" i="28"/>
  <c r="J166" i="28"/>
  <c r="I166" i="28"/>
  <c r="H166" i="28"/>
  <c r="G166" i="28"/>
  <c r="F166" i="28"/>
  <c r="E166" i="28"/>
  <c r="D166" i="28"/>
  <c r="AM165" i="28"/>
  <c r="AL165" i="28"/>
  <c r="AK165" i="28"/>
  <c r="AJ165" i="28"/>
  <c r="AI165" i="28"/>
  <c r="AH165" i="28"/>
  <c r="AG165" i="28"/>
  <c r="AF165" i="28"/>
  <c r="AE165" i="28"/>
  <c r="AD165" i="28"/>
  <c r="AC165" i="28"/>
  <c r="AB165" i="28"/>
  <c r="AA165" i="28"/>
  <c r="Z165" i="28"/>
  <c r="Y165" i="28"/>
  <c r="X165" i="28"/>
  <c r="W165" i="28"/>
  <c r="V165" i="28"/>
  <c r="U165" i="28"/>
  <c r="T165" i="28"/>
  <c r="S165" i="28"/>
  <c r="R165" i="28"/>
  <c r="Q165" i="28"/>
  <c r="P165" i="28"/>
  <c r="O165" i="28"/>
  <c r="N165" i="28"/>
  <c r="M165" i="28"/>
  <c r="L165" i="28"/>
  <c r="K165" i="28"/>
  <c r="J165" i="28"/>
  <c r="I165" i="28"/>
  <c r="H165" i="28"/>
  <c r="G165" i="28"/>
  <c r="F165" i="28"/>
  <c r="E165" i="28"/>
  <c r="D165" i="28"/>
  <c r="AN164" i="28"/>
  <c r="AM164" i="28"/>
  <c r="AL164" i="28"/>
  <c r="AK164" i="28"/>
  <c r="AJ164" i="28"/>
  <c r="AI164" i="28"/>
  <c r="AH164" i="28"/>
  <c r="AG164" i="28"/>
  <c r="AF164" i="28"/>
  <c r="AE164" i="28"/>
  <c r="AD164" i="28"/>
  <c r="AC164" i="28"/>
  <c r="AB164" i="28"/>
  <c r="AA164" i="28"/>
  <c r="Z164" i="28"/>
  <c r="Y164" i="28"/>
  <c r="X164" i="28"/>
  <c r="W164" i="28"/>
  <c r="V164" i="28"/>
  <c r="U164" i="28"/>
  <c r="T164" i="28"/>
  <c r="S164" i="28"/>
  <c r="R164" i="28"/>
  <c r="Q164" i="28"/>
  <c r="P164" i="28"/>
  <c r="O164" i="28"/>
  <c r="N164" i="28"/>
  <c r="M164" i="28"/>
  <c r="L164" i="28"/>
  <c r="K164" i="28"/>
  <c r="J164" i="28"/>
  <c r="I164" i="28"/>
  <c r="H164" i="28"/>
  <c r="G164" i="28"/>
  <c r="F164" i="28"/>
  <c r="E164" i="28"/>
  <c r="D164" i="28"/>
  <c r="C164" i="28"/>
  <c r="DH7" i="28"/>
  <c r="DG7" i="28"/>
  <c r="DF7" i="28"/>
  <c r="DE7" i="28"/>
  <c r="DD7" i="28"/>
  <c r="DC7" i="28"/>
  <c r="DB7" i="28"/>
  <c r="DA7" i="28"/>
  <c r="CZ7" i="28"/>
  <c r="CY7" i="28"/>
  <c r="CX7" i="28"/>
  <c r="CW7" i="28"/>
  <c r="CV7" i="28"/>
  <c r="CU7" i="28"/>
  <c r="CT7" i="28"/>
  <c r="CS7" i="28"/>
  <c r="CR7" i="28"/>
  <c r="CQ7" i="28"/>
  <c r="CP7" i="28"/>
  <c r="CO7" i="28"/>
  <c r="CN7" i="28"/>
  <c r="CM7" i="28"/>
  <c r="CL7" i="28"/>
  <c r="CK7" i="28"/>
  <c r="CJ7" i="28"/>
  <c r="CI7" i="28"/>
  <c r="CH7" i="28"/>
  <c r="CG7" i="28"/>
  <c r="CF7" i="28"/>
  <c r="CE7" i="28"/>
  <c r="CD7" i="28"/>
  <c r="CC7" i="28"/>
  <c r="CB7" i="28"/>
  <c r="CA7" i="28"/>
  <c r="BZ7" i="28"/>
  <c r="BY7" i="28"/>
  <c r="BX7" i="28"/>
  <c r="BW7" i="28"/>
  <c r="BV7" i="28"/>
  <c r="BU7" i="28"/>
  <c r="BT7" i="28"/>
  <c r="BS7" i="28"/>
  <c r="BR7" i="28"/>
  <c r="BQ7" i="28"/>
  <c r="BP7" i="28"/>
  <c r="BO7" i="28"/>
  <c r="BN7" i="28"/>
  <c r="BM7" i="28"/>
  <c r="BL7" i="28"/>
  <c r="BK7" i="28"/>
  <c r="BJ7" i="28"/>
  <c r="BI7" i="28"/>
  <c r="BH7" i="28"/>
  <c r="BG7" i="28"/>
  <c r="BF7" i="28"/>
  <c r="BE7" i="28"/>
  <c r="BD7" i="28"/>
  <c r="BC7" i="28"/>
  <c r="BB7" i="28"/>
  <c r="BA7" i="28"/>
  <c r="AZ7" i="28"/>
  <c r="AY7" i="28"/>
  <c r="AX7" i="28"/>
  <c r="AW7" i="28"/>
  <c r="AV7" i="28"/>
  <c r="AU7" i="28"/>
  <c r="AT7" i="28"/>
  <c r="AS7" i="28"/>
  <c r="AR7" i="28"/>
  <c r="AQ7" i="28"/>
  <c r="AP7" i="28"/>
  <c r="AO7" i="28"/>
  <c r="AN7" i="28"/>
  <c r="AM7" i="28"/>
  <c r="AL7" i="28"/>
  <c r="AK7" i="28"/>
  <c r="AJ7" i="28"/>
  <c r="AI7" i="28"/>
  <c r="AH7" i="28"/>
  <c r="AG7" i="28"/>
  <c r="AF7" i="28"/>
  <c r="AE7" i="28"/>
  <c r="AD7" i="28"/>
  <c r="AC7" i="28"/>
  <c r="AB7" i="28"/>
  <c r="AA7" i="28"/>
  <c r="Z7" i="28"/>
  <c r="Y7" i="28"/>
  <c r="X7" i="28"/>
  <c r="W7" i="28"/>
  <c r="V7" i="28"/>
  <c r="U7" i="28"/>
  <c r="T7" i="28"/>
  <c r="S7" i="28"/>
  <c r="R7" i="28"/>
  <c r="Q7" i="28"/>
  <c r="P7" i="28"/>
  <c r="O7" i="28"/>
  <c r="N7" i="28"/>
  <c r="M7" i="28"/>
  <c r="L7" i="28"/>
  <c r="K7" i="28"/>
  <c r="J7" i="28"/>
  <c r="I7" i="28"/>
  <c r="H7" i="28"/>
  <c r="G7" i="28"/>
  <c r="F7" i="28"/>
  <c r="E7" i="28"/>
  <c r="D7" i="28"/>
  <c r="C7" i="28"/>
  <c r="C29" i="28" l="1"/>
  <c r="C31" i="28" s="1"/>
  <c r="CM83" i="29"/>
  <c r="CM75" i="29"/>
  <c r="AI83" i="29"/>
  <c r="AI75" i="29"/>
  <c r="DE92" i="29"/>
  <c r="DE78" i="29"/>
  <c r="CW92" i="29"/>
  <c r="CW78" i="29"/>
  <c r="CO92" i="29"/>
  <c r="CO78" i="29"/>
  <c r="CG83" i="29"/>
  <c r="CG75" i="29"/>
  <c r="BY92" i="29"/>
  <c r="BY78" i="29"/>
  <c r="BQ83" i="29"/>
  <c r="BQ75" i="29"/>
  <c r="BI92" i="29"/>
  <c r="BI78" i="29"/>
  <c r="BA75" i="29"/>
  <c r="AS92" i="29"/>
  <c r="AS78" i="29"/>
  <c r="AK92" i="29"/>
  <c r="AK78" i="29"/>
  <c r="AC75" i="29"/>
  <c r="AC83" i="29"/>
  <c r="U75" i="29"/>
  <c r="U83" i="29"/>
  <c r="M75" i="29"/>
  <c r="M83" i="29"/>
  <c r="E75" i="29"/>
  <c r="E83" i="29"/>
  <c r="CF92" i="29"/>
  <c r="CF78" i="29"/>
  <c r="T83" i="29"/>
  <c r="T75" i="29"/>
  <c r="BX83" i="29"/>
  <c r="BX75" i="29"/>
  <c r="D83" i="29"/>
  <c r="D75" i="29"/>
  <c r="BO75" i="29"/>
  <c r="BO83" i="29"/>
  <c r="AY75" i="29"/>
  <c r="AY83" i="29"/>
  <c r="AA83" i="29"/>
  <c r="AA75" i="29"/>
  <c r="CN92" i="29"/>
  <c r="CN78" i="29"/>
  <c r="AZ75" i="29"/>
  <c r="AZ83" i="29"/>
  <c r="DC83" i="29"/>
  <c r="DC75" i="29"/>
  <c r="BG75" i="29"/>
  <c r="DB75" i="29"/>
  <c r="DB83" i="29"/>
  <c r="CT78" i="29"/>
  <c r="CT92" i="29"/>
  <c r="CL83" i="29"/>
  <c r="CL75" i="29"/>
  <c r="CD78" i="29"/>
  <c r="CD92" i="29"/>
  <c r="BV83" i="29"/>
  <c r="BV75" i="29"/>
  <c r="BN75" i="29"/>
  <c r="BN83" i="29"/>
  <c r="BF83" i="29"/>
  <c r="BF75" i="29"/>
  <c r="AP78" i="29"/>
  <c r="AP92" i="29"/>
  <c r="AH83" i="29"/>
  <c r="AH75" i="29"/>
  <c r="Z83" i="29"/>
  <c r="Z75" i="29"/>
  <c r="R83" i="29"/>
  <c r="R75" i="29"/>
  <c r="J83" i="29"/>
  <c r="J75" i="29"/>
  <c r="AR83" i="29"/>
  <c r="AR75" i="29"/>
  <c r="BW78" i="29"/>
  <c r="BW92" i="29"/>
  <c r="K83" i="29"/>
  <c r="K75" i="29"/>
  <c r="C83" i="29"/>
  <c r="C93" i="29" s="1"/>
  <c r="C75" i="29"/>
  <c r="C92" i="29" s="1"/>
  <c r="DA92" i="29"/>
  <c r="DA78" i="29"/>
  <c r="CS75" i="29"/>
  <c r="CS83" i="29"/>
  <c r="CK83" i="29"/>
  <c r="CK75" i="29"/>
  <c r="CC75" i="29"/>
  <c r="CC83" i="29"/>
  <c r="BU92" i="29"/>
  <c r="BU78" i="29"/>
  <c r="BM92" i="29"/>
  <c r="BM78" i="29"/>
  <c r="BE92" i="29"/>
  <c r="BE78" i="29"/>
  <c r="AW75" i="29"/>
  <c r="AW83" i="29"/>
  <c r="AO83" i="29"/>
  <c r="AO75" i="29"/>
  <c r="AG83" i="29"/>
  <c r="AG75" i="29"/>
  <c r="Y83" i="29"/>
  <c r="Y75" i="29"/>
  <c r="Q83" i="29"/>
  <c r="Q75" i="29"/>
  <c r="I83" i="29"/>
  <c r="I75" i="29"/>
  <c r="CV92" i="29"/>
  <c r="CV78" i="29"/>
  <c r="BH83" i="29"/>
  <c r="BH75" i="29"/>
  <c r="L83" i="29"/>
  <c r="L75" i="29"/>
  <c r="CE78" i="29"/>
  <c r="CE92" i="29"/>
  <c r="S83" i="29"/>
  <c r="S75" i="29"/>
  <c r="DH92" i="29"/>
  <c r="DH78" i="29"/>
  <c r="CZ92" i="29"/>
  <c r="CZ78" i="29"/>
  <c r="CR75" i="29"/>
  <c r="CR83" i="29"/>
  <c r="CJ83" i="29"/>
  <c r="CJ75" i="29"/>
  <c r="CB92" i="29"/>
  <c r="CB78" i="29"/>
  <c r="BT92" i="29"/>
  <c r="BT78" i="29"/>
  <c r="BL92" i="29"/>
  <c r="BL78" i="29"/>
  <c r="BD92" i="29"/>
  <c r="BD78" i="29"/>
  <c r="AV92" i="29"/>
  <c r="AV78" i="29"/>
  <c r="AN83" i="29"/>
  <c r="AN75" i="29"/>
  <c r="AF83" i="29"/>
  <c r="AF75" i="29"/>
  <c r="X83" i="29"/>
  <c r="X75" i="29"/>
  <c r="P83" i="29"/>
  <c r="P75" i="29"/>
  <c r="H83" i="29"/>
  <c r="H75" i="29"/>
  <c r="DD92" i="29"/>
  <c r="DD78" i="29"/>
  <c r="BP83" i="29"/>
  <c r="BP75" i="29"/>
  <c r="AB83" i="29"/>
  <c r="AB75" i="29"/>
  <c r="DG92" i="29"/>
  <c r="DG78" i="29"/>
  <c r="CY92" i="29"/>
  <c r="CY78" i="29"/>
  <c r="CQ92" i="29"/>
  <c r="CQ78" i="29"/>
  <c r="CI83" i="29"/>
  <c r="CI75" i="29"/>
  <c r="CA92" i="29"/>
  <c r="CA78" i="29"/>
  <c r="BS75" i="29"/>
  <c r="BS83" i="29"/>
  <c r="BK75" i="29"/>
  <c r="BK83" i="29"/>
  <c r="BC83" i="29"/>
  <c r="BC75" i="29"/>
  <c r="AU92" i="29"/>
  <c r="AU78" i="29"/>
  <c r="AM75" i="29"/>
  <c r="AE83" i="29"/>
  <c r="AE75" i="29"/>
  <c r="W83" i="29"/>
  <c r="W75" i="29"/>
  <c r="O83" i="29"/>
  <c r="O75" i="29"/>
  <c r="G83" i="29"/>
  <c r="G75" i="29"/>
  <c r="AJ83" i="29"/>
  <c r="AJ75" i="29"/>
  <c r="CU78" i="29"/>
  <c r="CU92" i="29"/>
  <c r="AQ83" i="29"/>
  <c r="AQ75" i="29"/>
  <c r="DF92" i="29"/>
  <c r="DF78" i="29"/>
  <c r="CX92" i="29"/>
  <c r="CX78" i="29"/>
  <c r="CP92" i="29"/>
  <c r="CP78" i="29"/>
  <c r="CH75" i="29"/>
  <c r="CH83" i="29"/>
  <c r="BZ83" i="29"/>
  <c r="BZ75" i="29"/>
  <c r="BR92" i="29"/>
  <c r="BR78" i="29"/>
  <c r="BJ92" i="29"/>
  <c r="BJ78" i="29"/>
  <c r="BB92" i="29"/>
  <c r="BB78" i="29"/>
  <c r="AT92" i="29"/>
  <c r="AT78" i="29"/>
  <c r="AL75" i="29"/>
  <c r="AL83" i="29"/>
  <c r="AD83" i="29"/>
  <c r="AD75" i="29"/>
  <c r="V75" i="29"/>
  <c r="V83" i="29"/>
  <c r="N75" i="29"/>
  <c r="N83" i="29"/>
  <c r="F75" i="29"/>
  <c r="F83" i="29"/>
  <c r="CC81" i="29"/>
  <c r="BS81" i="29"/>
  <c r="G81" i="29"/>
  <c r="CM81" i="29"/>
  <c r="AA81" i="29"/>
  <c r="BI81" i="29"/>
  <c r="BI83" i="29" s="1"/>
  <c r="BI93" i="29" s="1"/>
  <c r="CL81" i="29"/>
  <c r="DF81" i="29"/>
  <c r="DF83" i="29" s="1"/>
  <c r="DF86" i="29" s="1"/>
  <c r="BR81" i="29"/>
  <c r="BR83" i="29" s="1"/>
  <c r="BR86" i="29" s="1"/>
  <c r="V81" i="29"/>
  <c r="DE81" i="29"/>
  <c r="DE83" i="29" s="1"/>
  <c r="DE93" i="29" s="1"/>
  <c r="CW81" i="29"/>
  <c r="CW83" i="29" s="1"/>
  <c r="CW93" i="29" s="1"/>
  <c r="CO81" i="29"/>
  <c r="CO83" i="29" s="1"/>
  <c r="CO93" i="29" s="1"/>
  <c r="CG81" i="29"/>
  <c r="BY81" i="29"/>
  <c r="BY83" i="29" s="1"/>
  <c r="BY93" i="29" s="1"/>
  <c r="BQ81" i="29"/>
  <c r="BA81" i="29"/>
  <c r="BA83" i="29" s="1"/>
  <c r="AS81" i="29"/>
  <c r="AS83" i="29" s="1"/>
  <c r="AS86" i="29" s="1"/>
  <c r="AK81" i="29"/>
  <c r="AK83" i="29" s="1"/>
  <c r="AK86" i="29" s="1"/>
  <c r="AC81" i="29"/>
  <c r="U81" i="29"/>
  <c r="M81" i="29"/>
  <c r="E81" i="29"/>
  <c r="CP81" i="29"/>
  <c r="CP83" i="29" s="1"/>
  <c r="CP93" i="29" s="1"/>
  <c r="BB81" i="29"/>
  <c r="BB83" i="29" s="1"/>
  <c r="BB93" i="29" s="1"/>
  <c r="N81" i="29"/>
  <c r="DD81" i="29"/>
  <c r="DD83" i="29" s="1"/>
  <c r="DD86" i="29" s="1"/>
  <c r="CV81" i="29"/>
  <c r="CV83" i="29" s="1"/>
  <c r="CV86" i="29" s="1"/>
  <c r="CN81" i="29"/>
  <c r="CN83" i="29" s="1"/>
  <c r="CN93" i="29" s="1"/>
  <c r="CF81" i="29"/>
  <c r="CF83" i="29" s="1"/>
  <c r="CF93" i="29" s="1"/>
  <c r="BX81" i="29"/>
  <c r="BP81" i="29"/>
  <c r="AZ81" i="29"/>
  <c r="AR81" i="29"/>
  <c r="AJ81" i="29"/>
  <c r="AB81" i="29"/>
  <c r="T81" i="29"/>
  <c r="L81" i="29"/>
  <c r="D81" i="29"/>
  <c r="H81" i="29"/>
  <c r="AT81" i="29"/>
  <c r="AT83" i="29" s="1"/>
  <c r="AT93" i="29" s="1"/>
  <c r="F81" i="29"/>
  <c r="DC81" i="29"/>
  <c r="CU81" i="29"/>
  <c r="CU83" i="29" s="1"/>
  <c r="CU86" i="29" s="1"/>
  <c r="CE81" i="29"/>
  <c r="CE83" i="29" s="1"/>
  <c r="CE86" i="29" s="1"/>
  <c r="BW81" i="29"/>
  <c r="BW83" i="29" s="1"/>
  <c r="BW86" i="29" s="1"/>
  <c r="BO81" i="29"/>
  <c r="BG81" i="29"/>
  <c r="BG83" i="29" s="1"/>
  <c r="AY81" i="29"/>
  <c r="AQ81" i="29"/>
  <c r="AI81" i="29"/>
  <c r="S81" i="29"/>
  <c r="K81" i="29"/>
  <c r="BT81" i="29"/>
  <c r="BT83" i="29" s="1"/>
  <c r="BT93" i="29" s="1"/>
  <c r="BZ81" i="29"/>
  <c r="DB81" i="29"/>
  <c r="CT81" i="29"/>
  <c r="CT83" i="29" s="1"/>
  <c r="CT86" i="29" s="1"/>
  <c r="CD81" i="29"/>
  <c r="CD83" i="29" s="1"/>
  <c r="CD86" i="29" s="1"/>
  <c r="BV81" i="29"/>
  <c r="BN81" i="29"/>
  <c r="BF81" i="29"/>
  <c r="AP81" i="29"/>
  <c r="AP83" i="29" s="1"/>
  <c r="AP93" i="29" s="1"/>
  <c r="AH81" i="29"/>
  <c r="Z81" i="29"/>
  <c r="J81" i="29"/>
  <c r="AL81" i="29"/>
  <c r="DA81" i="29"/>
  <c r="DA83" i="29" s="1"/>
  <c r="DA86" i="29" s="1"/>
  <c r="CS81" i="29"/>
  <c r="CK81" i="29"/>
  <c r="BU81" i="29"/>
  <c r="BU83" i="29" s="1"/>
  <c r="BU86" i="29" s="1"/>
  <c r="BM81" i="29"/>
  <c r="BM83" i="29" s="1"/>
  <c r="BM86" i="29" s="1"/>
  <c r="BE81" i="29"/>
  <c r="BE83" i="29" s="1"/>
  <c r="BE86" i="29" s="1"/>
  <c r="AW81" i="29"/>
  <c r="AO81" i="29"/>
  <c r="AG81" i="29"/>
  <c r="Y81" i="29"/>
  <c r="Q81" i="29"/>
  <c r="I81" i="29"/>
  <c r="R81" i="29"/>
  <c r="CH81" i="29"/>
  <c r="DH81" i="29"/>
  <c r="DH83" i="29" s="1"/>
  <c r="DH86" i="29" s="1"/>
  <c r="CZ81" i="29"/>
  <c r="CZ83" i="29" s="1"/>
  <c r="CZ86" i="29" s="1"/>
  <c r="CR81" i="29"/>
  <c r="CJ81" i="29"/>
  <c r="CB81" i="29"/>
  <c r="CB83" i="29" s="1"/>
  <c r="CB86" i="29" s="1"/>
  <c r="BL81" i="29"/>
  <c r="BL83" i="29" s="1"/>
  <c r="BL93" i="29" s="1"/>
  <c r="BD81" i="29"/>
  <c r="BD83" i="29" s="1"/>
  <c r="BD86" i="29" s="1"/>
  <c r="AV81" i="29"/>
  <c r="AV83" i="29" s="1"/>
  <c r="AV86" i="29" s="1"/>
  <c r="AN81" i="29"/>
  <c r="AF81" i="29"/>
  <c r="X81" i="29"/>
  <c r="P81" i="29"/>
  <c r="BH81" i="29"/>
  <c r="CX81" i="29"/>
  <c r="CX83" i="29" s="1"/>
  <c r="CX93" i="29" s="1"/>
  <c r="BJ81" i="29"/>
  <c r="BJ83" i="29" s="1"/>
  <c r="BJ86" i="29" s="1"/>
  <c r="AD81" i="29"/>
  <c r="DG81" i="29"/>
  <c r="DG83" i="29" s="1"/>
  <c r="DG86" i="29" s="1"/>
  <c r="CY81" i="29"/>
  <c r="CY83" i="29" s="1"/>
  <c r="CY86" i="29" s="1"/>
  <c r="CQ81" i="29"/>
  <c r="CQ83" i="29" s="1"/>
  <c r="CQ86" i="29" s="1"/>
  <c r="CI81" i="29"/>
  <c r="CA81" i="29"/>
  <c r="CA83" i="29" s="1"/>
  <c r="CA93" i="29" s="1"/>
  <c r="BK81" i="29"/>
  <c r="BC81" i="29"/>
  <c r="AU81" i="29"/>
  <c r="AU83" i="29" s="1"/>
  <c r="AU93" i="29" s="1"/>
  <c r="AM81" i="29"/>
  <c r="AM83" i="29" s="1"/>
  <c r="AE81" i="29"/>
  <c r="W81" i="29"/>
  <c r="O81" i="29"/>
  <c r="AX81" i="29"/>
  <c r="AX83" i="29" s="1"/>
  <c r="AX75" i="29"/>
  <c r="P29" i="28"/>
  <c r="P31" i="28" s="1"/>
  <c r="BX29" i="28"/>
  <c r="BX31" i="28" s="1"/>
  <c r="CJ29" i="28"/>
  <c r="CJ31" i="28" s="1"/>
  <c r="AP29" i="28"/>
  <c r="AP31" i="28" s="1"/>
  <c r="H29" i="28"/>
  <c r="H31" i="28" s="1"/>
  <c r="X29" i="28"/>
  <c r="X31" i="28" s="1"/>
  <c r="AF29" i="28"/>
  <c r="AF31" i="28" s="1"/>
  <c r="AN29" i="28"/>
  <c r="AN31" i="28" s="1"/>
  <c r="AV29" i="28"/>
  <c r="AV31" i="28" s="1"/>
  <c r="BD29" i="28"/>
  <c r="BD31" i="28" s="1"/>
  <c r="BL29" i="28"/>
  <c r="BL31" i="28" s="1"/>
  <c r="BT29" i="28"/>
  <c r="BT31" i="28" s="1"/>
  <c r="CB29" i="28"/>
  <c r="CB31" i="28" s="1"/>
  <c r="CR29" i="28"/>
  <c r="CR31" i="28" s="1"/>
  <c r="CZ29" i="28"/>
  <c r="CZ31" i="28" s="1"/>
  <c r="DH29" i="28"/>
  <c r="DH31" i="28" s="1"/>
  <c r="AD29" i="28"/>
  <c r="AD31" i="28" s="1"/>
  <c r="AL29" i="28"/>
  <c r="AL31" i="28" s="1"/>
  <c r="CP29" i="28"/>
  <c r="CP31" i="28" s="1"/>
  <c r="CX29" i="28"/>
  <c r="CX31" i="28" s="1"/>
  <c r="D29" i="28"/>
  <c r="D31" i="28" s="1"/>
  <c r="L29" i="28"/>
  <c r="L31" i="28" s="1"/>
  <c r="BP29" i="28"/>
  <c r="BP31" i="28" s="1"/>
  <c r="BK29" i="28"/>
  <c r="BK31" i="28" s="1"/>
  <c r="AX29" i="28"/>
  <c r="AX31" i="28" s="1"/>
  <c r="DB29" i="28"/>
  <c r="DB31" i="28" s="1"/>
  <c r="F29" i="28"/>
  <c r="F31" i="28" s="1"/>
  <c r="AT29" i="28"/>
  <c r="AT31" i="28" s="1"/>
  <c r="N29" i="28"/>
  <c r="N31" i="28" s="1"/>
  <c r="BZ29" i="28"/>
  <c r="BZ31" i="28" s="1"/>
  <c r="BJ29" i="28"/>
  <c r="BJ31" i="28" s="1"/>
  <c r="I29" i="28"/>
  <c r="I31" i="28" s="1"/>
  <c r="Q29" i="28"/>
  <c r="Q31" i="28" s="1"/>
  <c r="Y29" i="28"/>
  <c r="Y31" i="28" s="1"/>
  <c r="AG29" i="28"/>
  <c r="AG31" i="28" s="1"/>
  <c r="AO29" i="28"/>
  <c r="AO31" i="28" s="1"/>
  <c r="AW29" i="28"/>
  <c r="AW31" i="28" s="1"/>
  <c r="BE29" i="28"/>
  <c r="BE31" i="28" s="1"/>
  <c r="BM29" i="28"/>
  <c r="BM31" i="28" s="1"/>
  <c r="BU29" i="28"/>
  <c r="BU31" i="28" s="1"/>
  <c r="CC29" i="28"/>
  <c r="CC31" i="28" s="1"/>
  <c r="CK29" i="28"/>
  <c r="CK31" i="28" s="1"/>
  <c r="CS29" i="28"/>
  <c r="CS31" i="28" s="1"/>
  <c r="DA29" i="28"/>
  <c r="DA31" i="28" s="1"/>
  <c r="CH29" i="28"/>
  <c r="CH31" i="28" s="1"/>
  <c r="T29" i="28"/>
  <c r="T31" i="28" s="1"/>
  <c r="AB29" i="28"/>
  <c r="AB31" i="28" s="1"/>
  <c r="AR29" i="28"/>
  <c r="AR31" i="28" s="1"/>
  <c r="AZ29" i="28"/>
  <c r="AZ31" i="28" s="1"/>
  <c r="CF29" i="28"/>
  <c r="CF31" i="28" s="1"/>
  <c r="CN29" i="28"/>
  <c r="CN31" i="28" s="1"/>
  <c r="DD29" i="28"/>
  <c r="DD31" i="28" s="1"/>
  <c r="G29" i="28"/>
  <c r="G31" i="28" s="1"/>
  <c r="O29" i="28"/>
  <c r="O31" i="28" s="1"/>
  <c r="W29" i="28"/>
  <c r="W31" i="28" s="1"/>
  <c r="AE29" i="28"/>
  <c r="AE31" i="28" s="1"/>
  <c r="AM29" i="28"/>
  <c r="AM31" i="28" s="1"/>
  <c r="AU29" i="28"/>
  <c r="AU31" i="28" s="1"/>
  <c r="BC29" i="28"/>
  <c r="BC31" i="28" s="1"/>
  <c r="BS29" i="28"/>
  <c r="BS31" i="28" s="1"/>
  <c r="CA29" i="28"/>
  <c r="CA31" i="28" s="1"/>
  <c r="CI29" i="28"/>
  <c r="CI31" i="28" s="1"/>
  <c r="CQ29" i="28"/>
  <c r="CQ31" i="28" s="1"/>
  <c r="CY29" i="28"/>
  <c r="CY31" i="28" s="1"/>
  <c r="DG29" i="28"/>
  <c r="DG31" i="28" s="1"/>
  <c r="BB29" i="28"/>
  <c r="BB31" i="28" s="1"/>
  <c r="R29" i="28"/>
  <c r="R31" i="28" s="1"/>
  <c r="Z29" i="28"/>
  <c r="Z31" i="28" s="1"/>
  <c r="BF29" i="28"/>
  <c r="BF31" i="28" s="1"/>
  <c r="BN29" i="28"/>
  <c r="BN31" i="28" s="1"/>
  <c r="CD29" i="28"/>
  <c r="CD31" i="28" s="1"/>
  <c r="CL29" i="28"/>
  <c r="CL31" i="28" s="1"/>
  <c r="E29" i="28"/>
  <c r="E31" i="28" s="1"/>
  <c r="M29" i="28"/>
  <c r="M31" i="28" s="1"/>
  <c r="U29" i="28"/>
  <c r="U31" i="28" s="1"/>
  <c r="AC29" i="28"/>
  <c r="AC31" i="28" s="1"/>
  <c r="AK29" i="28"/>
  <c r="AK31" i="28" s="1"/>
  <c r="AS29" i="28"/>
  <c r="AS31" i="28" s="1"/>
  <c r="BA29" i="28"/>
  <c r="BA31" i="28" s="1"/>
  <c r="BI29" i="28"/>
  <c r="BI31" i="28" s="1"/>
  <c r="BQ29" i="28"/>
  <c r="BQ31" i="28" s="1"/>
  <c r="BY29" i="28"/>
  <c r="BY31" i="28" s="1"/>
  <c r="CG29" i="28"/>
  <c r="CG31" i="28" s="1"/>
  <c r="CO29" i="28"/>
  <c r="CO31" i="28" s="1"/>
  <c r="CW29" i="28"/>
  <c r="CW31" i="28" s="1"/>
  <c r="DE29" i="28"/>
  <c r="DE31" i="28" s="1"/>
  <c r="DF29" i="28"/>
  <c r="DF31" i="28" s="1"/>
  <c r="K29" i="28"/>
  <c r="K31" i="28" s="1"/>
  <c r="S29" i="28"/>
  <c r="S31" i="28" s="1"/>
  <c r="AA29" i="28"/>
  <c r="AA31" i="28" s="1"/>
  <c r="AI29" i="28"/>
  <c r="AI31" i="28" s="1"/>
  <c r="AQ29" i="28"/>
  <c r="AQ31" i="28" s="1"/>
  <c r="AY29" i="28"/>
  <c r="AY31" i="28" s="1"/>
  <c r="BG29" i="28"/>
  <c r="BG31" i="28" s="1"/>
  <c r="BO29" i="28"/>
  <c r="BO31" i="28" s="1"/>
  <c r="BW29" i="28"/>
  <c r="BW31" i="28" s="1"/>
  <c r="CE29" i="28"/>
  <c r="CE31" i="28" s="1"/>
  <c r="CM29" i="28"/>
  <c r="CM31" i="28" s="1"/>
  <c r="CU29" i="28"/>
  <c r="CU31" i="28" s="1"/>
  <c r="DC29" i="28"/>
  <c r="DC31" i="28" s="1"/>
  <c r="AJ29" i="28"/>
  <c r="AJ31" i="28" s="1"/>
  <c r="BH29" i="28"/>
  <c r="BH31" i="28" s="1"/>
  <c r="CV29" i="28"/>
  <c r="CV31" i="28" s="1"/>
  <c r="V29" i="28"/>
  <c r="V31" i="28" s="1"/>
  <c r="BR29" i="28"/>
  <c r="BR31" i="28" s="1"/>
  <c r="J29" i="28"/>
  <c r="J31" i="28" s="1"/>
  <c r="AH29" i="28"/>
  <c r="AH31" i="28" s="1"/>
  <c r="BV29" i="28"/>
  <c r="BV31" i="28" s="1"/>
  <c r="CT29" i="28"/>
  <c r="CT31" i="28" s="1"/>
  <c r="DJ29" i="4"/>
  <c r="DJ30" i="4"/>
  <c r="DJ31" i="4"/>
  <c r="DJ32" i="4"/>
  <c r="DJ33" i="4"/>
  <c r="DJ34" i="4"/>
  <c r="DJ35" i="4"/>
  <c r="DJ36" i="4"/>
  <c r="DJ37" i="4"/>
  <c r="DJ38" i="4"/>
  <c r="DJ39" i="4"/>
  <c r="DJ40" i="4"/>
  <c r="DJ42" i="4"/>
  <c r="DJ43" i="4"/>
  <c r="DJ44" i="4"/>
  <c r="DJ45" i="4"/>
  <c r="DJ46" i="4"/>
  <c r="DJ47" i="4"/>
  <c r="DJ48" i="4"/>
  <c r="DJ49" i="4"/>
  <c r="DJ50" i="4"/>
  <c r="DJ51" i="4"/>
  <c r="DJ52" i="4"/>
  <c r="DJ53" i="4"/>
  <c r="DJ54" i="4"/>
  <c r="DJ55" i="4"/>
  <c r="DJ56" i="4"/>
  <c r="DJ57" i="4"/>
  <c r="DJ58" i="4"/>
  <c r="DJ59" i="4"/>
  <c r="DJ60" i="4"/>
  <c r="DJ61" i="4"/>
  <c r="DJ28" i="4"/>
  <c r="AE7" i="4"/>
  <c r="DF93" i="29" l="1"/>
  <c r="AX94" i="29"/>
  <c r="BR93" i="29"/>
  <c r="AK93" i="29"/>
  <c r="BB86" i="29"/>
  <c r="C94" i="29"/>
  <c r="AV93" i="29"/>
  <c r="CT93" i="29"/>
  <c r="BE93" i="29"/>
  <c r="AT86" i="29"/>
  <c r="BM93" i="29"/>
  <c r="BY86" i="29"/>
  <c r="BU93" i="29"/>
  <c r="BT86" i="29"/>
  <c r="AP86" i="29"/>
  <c r="CX86" i="29"/>
  <c r="BL86" i="29"/>
  <c r="CD93" i="29"/>
  <c r="AS93" i="29"/>
  <c r="CZ93" i="29"/>
  <c r="DE86" i="29"/>
  <c r="DD93" i="29"/>
  <c r="CY93" i="29"/>
  <c r="CF86" i="29"/>
  <c r="AU86" i="29"/>
  <c r="BJ93" i="29"/>
  <c r="BI86" i="29"/>
  <c r="AF93" i="29"/>
  <c r="AF86" i="29"/>
  <c r="CR92" i="29"/>
  <c r="CR78" i="29"/>
  <c r="I86" i="29"/>
  <c r="I93" i="29"/>
  <c r="AR93" i="29"/>
  <c r="AR86" i="29"/>
  <c r="AH86" i="29"/>
  <c r="AH93" i="29"/>
  <c r="D93" i="29"/>
  <c r="D86" i="29"/>
  <c r="V93" i="29"/>
  <c r="V86" i="29"/>
  <c r="AQ92" i="29"/>
  <c r="AQ78" i="29"/>
  <c r="O92" i="29"/>
  <c r="O78" i="29"/>
  <c r="H92" i="29"/>
  <c r="H78" i="29"/>
  <c r="BX92" i="29"/>
  <c r="BX78" i="29"/>
  <c r="CQ93" i="29"/>
  <c r="DA93" i="29"/>
  <c r="N93" i="29"/>
  <c r="N86" i="29"/>
  <c r="BZ92" i="29"/>
  <c r="BZ78" i="29"/>
  <c r="G92" i="29"/>
  <c r="G78" i="29"/>
  <c r="AM93" i="29"/>
  <c r="AM86" i="29"/>
  <c r="BS93" i="29"/>
  <c r="BS86" i="29"/>
  <c r="AF92" i="29"/>
  <c r="AF78" i="29"/>
  <c r="CR93" i="29"/>
  <c r="CR86" i="29"/>
  <c r="I78" i="29"/>
  <c r="I92" i="29"/>
  <c r="AO78" i="29"/>
  <c r="AO92" i="29"/>
  <c r="AR92" i="29"/>
  <c r="AR78" i="29"/>
  <c r="AH78" i="29"/>
  <c r="AH92" i="29"/>
  <c r="BV78" i="29"/>
  <c r="BV92" i="29"/>
  <c r="DB86" i="29"/>
  <c r="DB93" i="29"/>
  <c r="D92" i="29"/>
  <c r="D78" i="29"/>
  <c r="E93" i="29"/>
  <c r="E86" i="29"/>
  <c r="BQ92" i="29"/>
  <c r="BQ78" i="29"/>
  <c r="CH93" i="29"/>
  <c r="CH86" i="29"/>
  <c r="CU93" i="29"/>
  <c r="CV93" i="29"/>
  <c r="V92" i="29"/>
  <c r="V78" i="29"/>
  <c r="CH92" i="29"/>
  <c r="CH78" i="29"/>
  <c r="AQ86" i="29"/>
  <c r="AQ93" i="29"/>
  <c r="O93" i="29"/>
  <c r="O86" i="29"/>
  <c r="H93" i="29"/>
  <c r="H86" i="29"/>
  <c r="AN93" i="29"/>
  <c r="AN86" i="29"/>
  <c r="L93" i="29"/>
  <c r="L86" i="29"/>
  <c r="Q86" i="29"/>
  <c r="Q93" i="29"/>
  <c r="AW78" i="29"/>
  <c r="AW92" i="29"/>
  <c r="CC92" i="29"/>
  <c r="CC78" i="29"/>
  <c r="C86" i="29"/>
  <c r="J86" i="29"/>
  <c r="J93" i="29"/>
  <c r="BG86" i="29"/>
  <c r="BG93" i="29"/>
  <c r="AA86" i="29"/>
  <c r="AA93" i="29"/>
  <c r="BX86" i="29"/>
  <c r="BX93" i="29"/>
  <c r="M92" i="29"/>
  <c r="M78" i="29"/>
  <c r="BZ93" i="29"/>
  <c r="BZ86" i="29"/>
  <c r="G93" i="29"/>
  <c r="G86" i="29"/>
  <c r="BS92" i="29"/>
  <c r="BS78" i="29"/>
  <c r="BV86" i="29"/>
  <c r="BV93" i="29"/>
  <c r="E92" i="29"/>
  <c r="E78" i="29"/>
  <c r="CN86" i="29"/>
  <c r="AN92" i="29"/>
  <c r="AN78" i="29"/>
  <c r="AW86" i="29"/>
  <c r="AW93" i="29"/>
  <c r="CW86" i="29"/>
  <c r="AD92" i="29"/>
  <c r="AD78" i="29"/>
  <c r="W92" i="29"/>
  <c r="W78" i="29"/>
  <c r="BC92" i="29"/>
  <c r="BC78" i="29"/>
  <c r="CI92" i="29"/>
  <c r="CI78" i="29"/>
  <c r="AB92" i="29"/>
  <c r="AB78" i="29"/>
  <c r="P92" i="29"/>
  <c r="P78" i="29"/>
  <c r="BH92" i="29"/>
  <c r="BH78" i="29"/>
  <c r="Y78" i="29"/>
  <c r="Y92" i="29"/>
  <c r="CK92" i="29"/>
  <c r="CK78" i="29"/>
  <c r="K92" i="29"/>
  <c r="K78" i="29"/>
  <c r="R78" i="29"/>
  <c r="R92" i="29"/>
  <c r="BF78" i="29"/>
  <c r="BF92" i="29"/>
  <c r="CL78" i="29"/>
  <c r="CL92" i="29"/>
  <c r="DC78" i="29"/>
  <c r="DC92" i="29"/>
  <c r="AY86" i="29"/>
  <c r="AY93" i="29"/>
  <c r="T92" i="29"/>
  <c r="T78" i="29"/>
  <c r="U93" i="29"/>
  <c r="U86" i="29"/>
  <c r="BA92" i="29"/>
  <c r="BA78" i="29"/>
  <c r="CG92" i="29"/>
  <c r="CG78" i="29"/>
  <c r="AI92" i="29"/>
  <c r="AI78" i="29"/>
  <c r="AM92" i="29"/>
  <c r="AM78" i="29"/>
  <c r="Q78" i="29"/>
  <c r="Q92" i="29"/>
  <c r="AD93" i="29"/>
  <c r="AD86" i="29"/>
  <c r="W93" i="29"/>
  <c r="W86" i="29"/>
  <c r="BC93" i="29"/>
  <c r="BC86" i="29"/>
  <c r="CI93" i="29"/>
  <c r="CI86" i="29"/>
  <c r="AB93" i="29"/>
  <c r="AB86" i="29"/>
  <c r="P93" i="29"/>
  <c r="P86" i="29"/>
  <c r="BH86" i="29"/>
  <c r="BH93" i="29"/>
  <c r="Y86" i="29"/>
  <c r="Y93" i="29"/>
  <c r="CK93" i="29"/>
  <c r="CK86" i="29"/>
  <c r="K86" i="29"/>
  <c r="K93" i="29"/>
  <c r="R86" i="29"/>
  <c r="R93" i="29"/>
  <c r="BF86" i="29"/>
  <c r="BF93" i="29"/>
  <c r="CL86" i="29"/>
  <c r="CL93" i="29"/>
  <c r="DC86" i="29"/>
  <c r="DC93" i="29"/>
  <c r="AY78" i="29"/>
  <c r="AY92" i="29"/>
  <c r="T93" i="29"/>
  <c r="T86" i="29"/>
  <c r="U92" i="29"/>
  <c r="U78" i="29"/>
  <c r="BA93" i="29"/>
  <c r="BA86" i="29"/>
  <c r="CG93" i="29"/>
  <c r="CG86" i="29"/>
  <c r="AI86" i="29"/>
  <c r="AI93" i="29"/>
  <c r="AO86" i="29"/>
  <c r="AO93" i="29"/>
  <c r="DB78" i="29"/>
  <c r="DB92" i="29"/>
  <c r="BQ93" i="29"/>
  <c r="BQ86" i="29"/>
  <c r="L92" i="29"/>
  <c r="L78" i="29"/>
  <c r="AA92" i="29"/>
  <c r="AA78" i="29"/>
  <c r="F93" i="29"/>
  <c r="F86" i="29"/>
  <c r="AL93" i="29"/>
  <c r="AL86" i="29"/>
  <c r="AJ92" i="29"/>
  <c r="AJ78" i="29"/>
  <c r="AE92" i="29"/>
  <c r="AE78" i="29"/>
  <c r="BK93" i="29"/>
  <c r="BK86" i="29"/>
  <c r="BP92" i="29"/>
  <c r="BP78" i="29"/>
  <c r="X92" i="29"/>
  <c r="X78" i="29"/>
  <c r="CJ92" i="29"/>
  <c r="CJ78" i="29"/>
  <c r="S92" i="29"/>
  <c r="S78" i="29"/>
  <c r="AG78" i="29"/>
  <c r="AG92" i="29"/>
  <c r="CS93" i="29"/>
  <c r="CS86" i="29"/>
  <c r="Z78" i="29"/>
  <c r="Z92" i="29"/>
  <c r="BN86" i="29"/>
  <c r="BN93" i="29"/>
  <c r="AZ86" i="29"/>
  <c r="AZ93" i="29"/>
  <c r="BO86" i="29"/>
  <c r="BO93" i="29"/>
  <c r="AC93" i="29"/>
  <c r="AC86" i="29"/>
  <c r="CM78" i="29"/>
  <c r="CM92" i="29"/>
  <c r="N92" i="29"/>
  <c r="N78" i="29"/>
  <c r="CC93" i="29"/>
  <c r="CC86" i="29"/>
  <c r="C78" i="29"/>
  <c r="J78" i="29"/>
  <c r="J92" i="29"/>
  <c r="BG78" i="29"/>
  <c r="BG92" i="29"/>
  <c r="M93" i="29"/>
  <c r="M86" i="29"/>
  <c r="F92" i="29"/>
  <c r="F78" i="29"/>
  <c r="AL92" i="29"/>
  <c r="AL78" i="29"/>
  <c r="AJ93" i="29"/>
  <c r="AJ86" i="29"/>
  <c r="AE93" i="29"/>
  <c r="AE86" i="29"/>
  <c r="BK92" i="29"/>
  <c r="BK78" i="29"/>
  <c r="BP86" i="29"/>
  <c r="BP93" i="29"/>
  <c r="X93" i="29"/>
  <c r="X86" i="29"/>
  <c r="CJ93" i="29"/>
  <c r="CJ86" i="29"/>
  <c r="S86" i="29"/>
  <c r="S93" i="29"/>
  <c r="AG86" i="29"/>
  <c r="AG93" i="29"/>
  <c r="CS92" i="29"/>
  <c r="CS78" i="29"/>
  <c r="Z86" i="29"/>
  <c r="Z93" i="29"/>
  <c r="BN78" i="29"/>
  <c r="BN92" i="29"/>
  <c r="AZ92" i="29"/>
  <c r="AZ78" i="29"/>
  <c r="BO78" i="29"/>
  <c r="BO92" i="29"/>
  <c r="AC92" i="29"/>
  <c r="AC78" i="29"/>
  <c r="CM86" i="29"/>
  <c r="CM93" i="29"/>
  <c r="CO86" i="29"/>
  <c r="CP86" i="29"/>
  <c r="DG93" i="29"/>
  <c r="DH93" i="29"/>
  <c r="CE93" i="29"/>
  <c r="BD93" i="29"/>
  <c r="BW93" i="29"/>
  <c r="CA86" i="29"/>
  <c r="CB93" i="29"/>
  <c r="AX78" i="29"/>
  <c r="AX92" i="29"/>
  <c r="AX86" i="29"/>
  <c r="AX93" i="29"/>
  <c r="T126" i="24"/>
  <c r="T125" i="24"/>
  <c r="T124" i="24"/>
  <c r="T123" i="24"/>
  <c r="T122" i="24"/>
  <c r="T121" i="24"/>
  <c r="T120" i="24"/>
  <c r="T119" i="24"/>
  <c r="T118" i="24"/>
  <c r="T117" i="24"/>
  <c r="T116" i="24"/>
  <c r="T115" i="24"/>
  <c r="T114" i="24"/>
  <c r="T113" i="24"/>
  <c r="T112" i="24"/>
  <c r="T111" i="24"/>
  <c r="T110" i="24"/>
  <c r="T109" i="24"/>
  <c r="T108" i="24"/>
  <c r="T107" i="24"/>
  <c r="T106" i="24"/>
  <c r="T105" i="24"/>
  <c r="T104" i="24"/>
  <c r="T103" i="24"/>
  <c r="T102" i="24"/>
  <c r="T101" i="24"/>
  <c r="T100" i="24"/>
  <c r="T99" i="24"/>
  <c r="T98" i="24"/>
  <c r="T97" i="24"/>
  <c r="T96" i="24"/>
  <c r="T95" i="24"/>
  <c r="T94" i="24"/>
  <c r="T93" i="24"/>
  <c r="T92" i="24"/>
  <c r="T91" i="24"/>
  <c r="T90" i="24"/>
  <c r="T89" i="24"/>
  <c r="T88" i="24"/>
  <c r="T87" i="24"/>
  <c r="T86" i="24"/>
  <c r="T85" i="24"/>
  <c r="T84" i="24"/>
  <c r="T83" i="24"/>
  <c r="T82" i="24"/>
  <c r="T81" i="24"/>
  <c r="T80" i="24"/>
  <c r="T79" i="24"/>
  <c r="T78" i="24"/>
  <c r="T77" i="24"/>
  <c r="T76" i="24"/>
  <c r="T75" i="24"/>
  <c r="T74" i="24"/>
  <c r="T73" i="24"/>
  <c r="T72" i="24"/>
  <c r="T71" i="24"/>
  <c r="T70" i="24"/>
  <c r="T69" i="24"/>
  <c r="T68" i="24"/>
  <c r="T67" i="24"/>
  <c r="T66" i="24"/>
  <c r="T65" i="24"/>
  <c r="T64" i="24"/>
  <c r="T63" i="24"/>
  <c r="T62" i="24"/>
  <c r="T61" i="24"/>
  <c r="T60" i="24"/>
  <c r="T59" i="24"/>
  <c r="T58" i="24"/>
  <c r="T57" i="24"/>
  <c r="T56" i="24"/>
  <c r="T55" i="24"/>
  <c r="T54" i="24"/>
  <c r="T53" i="24"/>
  <c r="T52" i="24"/>
  <c r="T51" i="24"/>
  <c r="T50" i="24"/>
  <c r="T49" i="24"/>
  <c r="T48" i="24"/>
  <c r="T47" i="24"/>
  <c r="T46" i="24"/>
  <c r="T45" i="24"/>
  <c r="T44" i="24"/>
  <c r="T43" i="24"/>
  <c r="T42" i="24"/>
  <c r="T41" i="24"/>
  <c r="T40" i="24"/>
  <c r="T39" i="24"/>
  <c r="T38" i="24"/>
  <c r="T37" i="24"/>
  <c r="T36" i="24"/>
  <c r="T35" i="24"/>
  <c r="T34" i="24"/>
  <c r="T33" i="24"/>
  <c r="T32" i="24"/>
  <c r="T31" i="24"/>
  <c r="T30" i="24"/>
  <c r="T29" i="24"/>
  <c r="T28" i="24"/>
  <c r="T27" i="24"/>
  <c r="T26" i="24"/>
  <c r="T25" i="24"/>
  <c r="T24" i="24"/>
  <c r="T23" i="24"/>
  <c r="T22" i="24"/>
  <c r="T21" i="24"/>
  <c r="T20" i="24"/>
  <c r="T19" i="24"/>
  <c r="T18" i="24"/>
  <c r="T17" i="24"/>
  <c r="T16" i="24"/>
  <c r="T15" i="24"/>
  <c r="T14" i="24"/>
  <c r="T13" i="24"/>
  <c r="T12" i="24"/>
  <c r="T11" i="24"/>
  <c r="T10" i="24"/>
  <c r="T9" i="24"/>
  <c r="T8" i="24"/>
  <c r="T7" i="24"/>
  <c r="T6" i="24"/>
  <c r="T5" i="24"/>
  <c r="T4" i="24"/>
  <c r="T3" i="24"/>
  <c r="T2" i="24"/>
  <c r="S126" i="24"/>
  <c r="S125" i="24"/>
  <c r="S124" i="24"/>
  <c r="S123" i="24"/>
  <c r="S122" i="24"/>
  <c r="S121" i="24"/>
  <c r="S120" i="24"/>
  <c r="S119" i="24"/>
  <c r="S118" i="24"/>
  <c r="S117" i="24"/>
  <c r="S116" i="24"/>
  <c r="S115" i="24"/>
  <c r="S114" i="24"/>
  <c r="S113" i="24"/>
  <c r="S112" i="24"/>
  <c r="S111" i="24"/>
  <c r="S110" i="24"/>
  <c r="S109" i="24"/>
  <c r="S108" i="24"/>
  <c r="S107" i="24"/>
  <c r="S106" i="24"/>
  <c r="S105" i="24"/>
  <c r="S104" i="24"/>
  <c r="S103" i="24"/>
  <c r="S102" i="24"/>
  <c r="S101" i="24"/>
  <c r="S100" i="24"/>
  <c r="S99" i="24"/>
  <c r="S98" i="24"/>
  <c r="S97" i="24"/>
  <c r="S96" i="24"/>
  <c r="S95" i="24"/>
  <c r="S94" i="24"/>
  <c r="S93" i="24"/>
  <c r="S92" i="24"/>
  <c r="S91" i="24"/>
  <c r="S90" i="24"/>
  <c r="S89" i="24"/>
  <c r="S88" i="24"/>
  <c r="S87" i="24"/>
  <c r="S86" i="24"/>
  <c r="S85" i="24"/>
  <c r="S84" i="24"/>
  <c r="S83" i="24"/>
  <c r="S82" i="24"/>
  <c r="S81" i="24"/>
  <c r="S80" i="24"/>
  <c r="S79" i="24"/>
  <c r="S78" i="24"/>
  <c r="S77" i="24"/>
  <c r="S76" i="24"/>
  <c r="S75" i="24"/>
  <c r="S74" i="24"/>
  <c r="S73" i="24"/>
  <c r="S72" i="24"/>
  <c r="S71" i="24"/>
  <c r="S70" i="24"/>
  <c r="S69" i="24"/>
  <c r="S68" i="24"/>
  <c r="S67" i="24"/>
  <c r="S66" i="24"/>
  <c r="S65" i="24"/>
  <c r="S64" i="24"/>
  <c r="S63" i="24"/>
  <c r="S62" i="24"/>
  <c r="S61" i="24"/>
  <c r="S60" i="24"/>
  <c r="S59" i="24"/>
  <c r="S58" i="24"/>
  <c r="S57" i="24"/>
  <c r="S56" i="24"/>
  <c r="S55" i="24"/>
  <c r="S54" i="24"/>
  <c r="S53" i="24"/>
  <c r="S52" i="24"/>
  <c r="S51" i="24"/>
  <c r="S50" i="24"/>
  <c r="S49" i="24"/>
  <c r="S48" i="24"/>
  <c r="S47" i="24"/>
  <c r="S46" i="24"/>
  <c r="S45" i="24"/>
  <c r="S44" i="24"/>
  <c r="S43" i="24"/>
  <c r="S42" i="24"/>
  <c r="S41" i="24"/>
  <c r="S40" i="24"/>
  <c r="S39" i="24"/>
  <c r="S38" i="24"/>
  <c r="S37" i="24"/>
  <c r="S36" i="24"/>
  <c r="S35" i="24"/>
  <c r="S34" i="24"/>
  <c r="S33" i="24"/>
  <c r="S32" i="24"/>
  <c r="S31" i="24"/>
  <c r="S30" i="24"/>
  <c r="S29" i="24"/>
  <c r="S28" i="24"/>
  <c r="S27" i="24"/>
  <c r="S26" i="24"/>
  <c r="S25" i="24"/>
  <c r="S24" i="24"/>
  <c r="S23" i="24"/>
  <c r="S22" i="24"/>
  <c r="S21" i="24"/>
  <c r="S20" i="24"/>
  <c r="S19" i="24"/>
  <c r="S18" i="24"/>
  <c r="S17" i="24"/>
  <c r="S16" i="24"/>
  <c r="S15" i="24"/>
  <c r="S14" i="24"/>
  <c r="S13" i="24"/>
  <c r="S12" i="24"/>
  <c r="S11" i="24"/>
  <c r="S10" i="24"/>
  <c r="S9" i="24"/>
  <c r="S8" i="24"/>
  <c r="S7" i="24"/>
  <c r="S6" i="24"/>
  <c r="S5" i="24"/>
  <c r="S4" i="24"/>
  <c r="S3" i="24"/>
  <c r="S2" i="24"/>
  <c r="R126" i="24"/>
  <c r="R125" i="24"/>
  <c r="R124" i="24"/>
  <c r="R123" i="24"/>
  <c r="R122" i="24"/>
  <c r="R121" i="24"/>
  <c r="R120" i="24"/>
  <c r="R119" i="24"/>
  <c r="R118" i="24"/>
  <c r="R117" i="24"/>
  <c r="R116" i="24"/>
  <c r="R115" i="24"/>
  <c r="R114" i="24"/>
  <c r="R113" i="24"/>
  <c r="R112" i="24"/>
  <c r="R111" i="24"/>
  <c r="R110" i="24"/>
  <c r="R109" i="24"/>
  <c r="R108" i="24"/>
  <c r="R107" i="24"/>
  <c r="R106" i="24"/>
  <c r="R105" i="24"/>
  <c r="R104" i="24"/>
  <c r="R103" i="24"/>
  <c r="R102" i="24"/>
  <c r="R101" i="24"/>
  <c r="R100" i="24"/>
  <c r="R99" i="24"/>
  <c r="R98" i="24"/>
  <c r="R97" i="24"/>
  <c r="R96" i="24"/>
  <c r="R95" i="24"/>
  <c r="R94" i="24"/>
  <c r="R93" i="24"/>
  <c r="R92" i="24"/>
  <c r="R91" i="24"/>
  <c r="R90" i="24"/>
  <c r="R89" i="24"/>
  <c r="R88" i="24"/>
  <c r="R87" i="24"/>
  <c r="R86" i="24"/>
  <c r="R85" i="24"/>
  <c r="R84" i="24"/>
  <c r="R83" i="24"/>
  <c r="R82" i="24"/>
  <c r="R81" i="24"/>
  <c r="R80" i="24"/>
  <c r="R79" i="24"/>
  <c r="R78" i="24"/>
  <c r="R77" i="24"/>
  <c r="R76" i="24"/>
  <c r="R75" i="24"/>
  <c r="R74" i="24"/>
  <c r="R73" i="24"/>
  <c r="R72" i="24"/>
  <c r="R71" i="24"/>
  <c r="R70" i="24"/>
  <c r="R69" i="24"/>
  <c r="R68" i="24"/>
  <c r="R67" i="24"/>
  <c r="R66" i="24"/>
  <c r="R65" i="24"/>
  <c r="R64" i="24"/>
  <c r="R63" i="24"/>
  <c r="R62" i="24"/>
  <c r="R61" i="24"/>
  <c r="R60" i="24"/>
  <c r="R59" i="24"/>
  <c r="R58" i="24"/>
  <c r="R57" i="24"/>
  <c r="R56" i="24"/>
  <c r="R55" i="24"/>
  <c r="R54" i="24"/>
  <c r="R53" i="24"/>
  <c r="R52" i="24"/>
  <c r="R51" i="24"/>
  <c r="R50" i="24"/>
  <c r="R49" i="24"/>
  <c r="R48" i="24"/>
  <c r="R47" i="24"/>
  <c r="R46" i="24"/>
  <c r="R45" i="24"/>
  <c r="R44" i="24"/>
  <c r="R43" i="24"/>
  <c r="R42" i="24"/>
  <c r="R41" i="24"/>
  <c r="R40" i="24"/>
  <c r="R39" i="24"/>
  <c r="R38" i="24"/>
  <c r="R37" i="24"/>
  <c r="R36" i="24"/>
  <c r="R35" i="24"/>
  <c r="R34" i="24"/>
  <c r="R33" i="24"/>
  <c r="R32" i="24"/>
  <c r="R31" i="24"/>
  <c r="R30" i="24"/>
  <c r="R29" i="24"/>
  <c r="R28" i="24"/>
  <c r="R27" i="24"/>
  <c r="R26" i="24"/>
  <c r="R25" i="24"/>
  <c r="R24" i="24"/>
  <c r="R23" i="24"/>
  <c r="R22" i="24"/>
  <c r="R21" i="24"/>
  <c r="R20" i="24"/>
  <c r="R19" i="24"/>
  <c r="R18" i="24"/>
  <c r="R17" i="24"/>
  <c r="R16" i="24"/>
  <c r="R15" i="24"/>
  <c r="R14" i="24"/>
  <c r="R13" i="24"/>
  <c r="R12" i="24"/>
  <c r="R11" i="24"/>
  <c r="R10" i="24"/>
  <c r="R9" i="24"/>
  <c r="R8" i="24"/>
  <c r="R7" i="24"/>
  <c r="R6" i="24"/>
  <c r="R5" i="24"/>
  <c r="R4" i="24"/>
  <c r="R3" i="24"/>
  <c r="R2" i="24"/>
  <c r="N126" i="24"/>
  <c r="N125" i="24"/>
  <c r="N124" i="24"/>
  <c r="N123" i="24"/>
  <c r="N122" i="24"/>
  <c r="N121" i="24"/>
  <c r="N120" i="24"/>
  <c r="N119" i="24"/>
  <c r="N118" i="24"/>
  <c r="N117" i="24"/>
  <c r="N116" i="24"/>
  <c r="N115" i="24"/>
  <c r="N114" i="24"/>
  <c r="N113" i="24"/>
  <c r="N112" i="24"/>
  <c r="N111" i="24"/>
  <c r="N110" i="24"/>
  <c r="N109" i="24"/>
  <c r="N108" i="24"/>
  <c r="N107" i="24"/>
  <c r="N106" i="24"/>
  <c r="N105" i="24"/>
  <c r="N104" i="24"/>
  <c r="N103" i="24"/>
  <c r="N102" i="24"/>
  <c r="N101" i="24"/>
  <c r="N100" i="24"/>
  <c r="N99" i="24"/>
  <c r="N98" i="24"/>
  <c r="N97" i="24"/>
  <c r="N96" i="24"/>
  <c r="N95" i="24"/>
  <c r="N94" i="24"/>
  <c r="N93" i="24"/>
  <c r="N92" i="24"/>
  <c r="N91" i="24"/>
  <c r="N90" i="24"/>
  <c r="N89" i="24"/>
  <c r="N88" i="24"/>
  <c r="N87" i="24"/>
  <c r="N86" i="24"/>
  <c r="N85" i="24"/>
  <c r="N84" i="24"/>
  <c r="N83" i="24"/>
  <c r="N82" i="24"/>
  <c r="N81" i="24"/>
  <c r="N80" i="24"/>
  <c r="N79" i="24"/>
  <c r="N78" i="24"/>
  <c r="N77" i="24"/>
  <c r="N76" i="24"/>
  <c r="N75" i="24"/>
  <c r="N74" i="24"/>
  <c r="N73" i="24"/>
  <c r="N72" i="24"/>
  <c r="N71" i="24"/>
  <c r="N70" i="24"/>
  <c r="N69" i="24"/>
  <c r="N68" i="24"/>
  <c r="N67" i="24"/>
  <c r="N66" i="24"/>
  <c r="N65" i="24"/>
  <c r="N64" i="24"/>
  <c r="N63" i="24"/>
  <c r="N62" i="24"/>
  <c r="N61" i="24"/>
  <c r="N60" i="24"/>
  <c r="N59" i="24"/>
  <c r="N58" i="24"/>
  <c r="N57" i="24"/>
  <c r="N56" i="24"/>
  <c r="N55" i="24"/>
  <c r="N54" i="24"/>
  <c r="N53" i="24"/>
  <c r="N52" i="24"/>
  <c r="N51" i="24"/>
  <c r="N50" i="24"/>
  <c r="N49" i="24"/>
  <c r="N48" i="24"/>
  <c r="N47" i="24"/>
  <c r="N46" i="24"/>
  <c r="N45" i="24"/>
  <c r="N44" i="24"/>
  <c r="N43" i="24"/>
  <c r="N42" i="24"/>
  <c r="N41" i="24"/>
  <c r="N40" i="24"/>
  <c r="N39" i="24"/>
  <c r="N38" i="24"/>
  <c r="N37" i="24"/>
  <c r="N36" i="24"/>
  <c r="N35" i="24"/>
  <c r="N34" i="24"/>
  <c r="N33" i="24"/>
  <c r="N32" i="24"/>
  <c r="N31" i="24"/>
  <c r="N30" i="24"/>
  <c r="N29" i="24"/>
  <c r="N28" i="24"/>
  <c r="N27" i="24"/>
  <c r="N26" i="24"/>
  <c r="N25" i="24"/>
  <c r="N24" i="24"/>
  <c r="N23" i="24"/>
  <c r="N22" i="24"/>
  <c r="N21" i="24"/>
  <c r="N20" i="24"/>
  <c r="N19" i="24"/>
  <c r="N18" i="24"/>
  <c r="N17" i="24"/>
  <c r="N16" i="24"/>
  <c r="N15" i="24"/>
  <c r="N14" i="24"/>
  <c r="N13" i="24"/>
  <c r="N12" i="24"/>
  <c r="N11" i="24"/>
  <c r="N10" i="24"/>
  <c r="N9" i="24"/>
  <c r="N8" i="24"/>
  <c r="N7" i="24"/>
  <c r="N6" i="24"/>
  <c r="N5" i="24"/>
  <c r="N4" i="24"/>
  <c r="N3" i="24"/>
  <c r="N2" i="24"/>
  <c r="M126" i="24"/>
  <c r="M125" i="24"/>
  <c r="M124" i="24"/>
  <c r="M123" i="24"/>
  <c r="M122" i="24"/>
  <c r="M121" i="24"/>
  <c r="M120" i="24"/>
  <c r="M119" i="24"/>
  <c r="M118" i="24"/>
  <c r="M117" i="24"/>
  <c r="M116" i="24"/>
  <c r="M115" i="24"/>
  <c r="M114" i="24"/>
  <c r="M113" i="24"/>
  <c r="M112" i="24"/>
  <c r="M111" i="24"/>
  <c r="M110" i="24"/>
  <c r="M109" i="24"/>
  <c r="M108" i="24"/>
  <c r="M107" i="24"/>
  <c r="M106" i="24"/>
  <c r="M105" i="24"/>
  <c r="M104" i="24"/>
  <c r="M103" i="24"/>
  <c r="M102" i="24"/>
  <c r="M101" i="24"/>
  <c r="M100" i="24"/>
  <c r="M99" i="24"/>
  <c r="M98" i="24"/>
  <c r="M97" i="24"/>
  <c r="M96" i="24"/>
  <c r="M95" i="24"/>
  <c r="M94" i="24"/>
  <c r="M93" i="24"/>
  <c r="M92" i="24"/>
  <c r="M91" i="24"/>
  <c r="M90" i="24"/>
  <c r="M89" i="24"/>
  <c r="M88" i="24"/>
  <c r="M87" i="24"/>
  <c r="M86" i="24"/>
  <c r="M85" i="24"/>
  <c r="M84" i="24"/>
  <c r="M83" i="24"/>
  <c r="M82" i="24"/>
  <c r="M81" i="24"/>
  <c r="M80" i="24"/>
  <c r="M79" i="24"/>
  <c r="M78" i="24"/>
  <c r="M77" i="24"/>
  <c r="M76" i="24"/>
  <c r="M75" i="24"/>
  <c r="M74" i="24"/>
  <c r="M73" i="24"/>
  <c r="M72" i="24"/>
  <c r="M71" i="24"/>
  <c r="M70" i="24"/>
  <c r="M69" i="24"/>
  <c r="M68" i="24"/>
  <c r="M67" i="24"/>
  <c r="M66" i="24"/>
  <c r="M65" i="24"/>
  <c r="M64" i="24"/>
  <c r="M63" i="24"/>
  <c r="M62" i="24"/>
  <c r="M61" i="24"/>
  <c r="M60" i="24"/>
  <c r="M59" i="24"/>
  <c r="M58" i="24"/>
  <c r="M57" i="24"/>
  <c r="M56" i="24"/>
  <c r="M55" i="24"/>
  <c r="M54" i="24"/>
  <c r="M53" i="24"/>
  <c r="M52" i="24"/>
  <c r="M51" i="24"/>
  <c r="M50" i="24"/>
  <c r="M49" i="24"/>
  <c r="M48" i="24"/>
  <c r="M47" i="24"/>
  <c r="M46" i="24"/>
  <c r="M45" i="24"/>
  <c r="M44" i="24"/>
  <c r="M43" i="24"/>
  <c r="M42" i="24"/>
  <c r="M41" i="24"/>
  <c r="M40" i="24"/>
  <c r="M39" i="24"/>
  <c r="M38" i="24"/>
  <c r="M37" i="24"/>
  <c r="M36" i="24"/>
  <c r="M35" i="24"/>
  <c r="M34" i="24"/>
  <c r="M33" i="24"/>
  <c r="M32" i="24"/>
  <c r="M31" i="24"/>
  <c r="M30" i="24"/>
  <c r="M29" i="24"/>
  <c r="M28" i="24"/>
  <c r="M27" i="24"/>
  <c r="M26" i="24"/>
  <c r="M25" i="24"/>
  <c r="M24" i="24"/>
  <c r="M23" i="24"/>
  <c r="M22" i="24"/>
  <c r="M21" i="24"/>
  <c r="M20" i="24"/>
  <c r="M19" i="24"/>
  <c r="M18" i="24"/>
  <c r="M17" i="24"/>
  <c r="M16" i="24"/>
  <c r="M15" i="24"/>
  <c r="M14" i="24"/>
  <c r="M13" i="24"/>
  <c r="M12" i="24"/>
  <c r="M11" i="24"/>
  <c r="M10" i="24"/>
  <c r="M9" i="24"/>
  <c r="M8" i="24"/>
  <c r="M7" i="24"/>
  <c r="M6" i="24"/>
  <c r="M5" i="24"/>
  <c r="M4" i="24"/>
  <c r="M3" i="24"/>
  <c r="M2" i="24"/>
  <c r="V126" i="24"/>
  <c r="V125" i="24"/>
  <c r="V124" i="24"/>
  <c r="V123" i="24"/>
  <c r="V122" i="24"/>
  <c r="V121" i="24"/>
  <c r="V120" i="24"/>
  <c r="V119" i="24"/>
  <c r="V118" i="24"/>
  <c r="V117" i="24"/>
  <c r="V116" i="24"/>
  <c r="V115" i="24"/>
  <c r="V114" i="24"/>
  <c r="V113" i="24"/>
  <c r="V112" i="24"/>
  <c r="V111" i="24"/>
  <c r="V110" i="24"/>
  <c r="V109" i="24"/>
  <c r="V108" i="24"/>
  <c r="V107" i="24"/>
  <c r="V106" i="24"/>
  <c r="V105" i="24"/>
  <c r="V104" i="24"/>
  <c r="V103" i="24"/>
  <c r="V102" i="24"/>
  <c r="V101" i="24"/>
  <c r="V100" i="24"/>
  <c r="V99" i="24"/>
  <c r="V98" i="24"/>
  <c r="V97" i="24"/>
  <c r="V96" i="24"/>
  <c r="V95" i="24"/>
  <c r="V94" i="24"/>
  <c r="V93" i="24"/>
  <c r="V92" i="24"/>
  <c r="V91" i="24"/>
  <c r="V90" i="24"/>
  <c r="V89" i="24"/>
  <c r="V88" i="24"/>
  <c r="V87" i="24"/>
  <c r="V86" i="24"/>
  <c r="V85" i="24"/>
  <c r="V84" i="24"/>
  <c r="V83" i="24"/>
  <c r="V82" i="24"/>
  <c r="V81" i="24"/>
  <c r="V80" i="24"/>
  <c r="V79" i="24"/>
  <c r="V78" i="24"/>
  <c r="V77" i="24"/>
  <c r="V76" i="24"/>
  <c r="V75" i="24"/>
  <c r="V74" i="24"/>
  <c r="V73" i="24"/>
  <c r="V72" i="24"/>
  <c r="V71" i="24"/>
  <c r="V70" i="24"/>
  <c r="V69" i="24"/>
  <c r="V68" i="24"/>
  <c r="V67" i="24"/>
  <c r="V66" i="24"/>
  <c r="V65" i="24"/>
  <c r="V64" i="24"/>
  <c r="V63" i="24"/>
  <c r="V62" i="24"/>
  <c r="V61" i="24"/>
  <c r="V60" i="24"/>
  <c r="V59" i="24"/>
  <c r="V58" i="24"/>
  <c r="V57" i="24"/>
  <c r="V56" i="24"/>
  <c r="V55" i="24"/>
  <c r="V54" i="24"/>
  <c r="V53" i="24"/>
  <c r="V52" i="24"/>
  <c r="V51" i="24"/>
  <c r="V50" i="24"/>
  <c r="V49" i="24"/>
  <c r="V48" i="24"/>
  <c r="V47" i="24"/>
  <c r="V46" i="24"/>
  <c r="V45" i="24"/>
  <c r="V44" i="24"/>
  <c r="V43" i="24"/>
  <c r="V42" i="24"/>
  <c r="V41" i="24"/>
  <c r="V40" i="24"/>
  <c r="V39" i="24"/>
  <c r="V38" i="24"/>
  <c r="V37" i="24"/>
  <c r="V36" i="24"/>
  <c r="V35" i="24"/>
  <c r="V34" i="24"/>
  <c r="V33" i="24"/>
  <c r="V32" i="24"/>
  <c r="V31" i="24"/>
  <c r="V30" i="24"/>
  <c r="V29" i="24"/>
  <c r="V28" i="24"/>
  <c r="V27" i="24"/>
  <c r="V26" i="24"/>
  <c r="V25" i="24"/>
  <c r="V24" i="24"/>
  <c r="V23" i="24"/>
  <c r="V22" i="24"/>
  <c r="V21" i="24"/>
  <c r="V20" i="24"/>
  <c r="V19" i="24"/>
  <c r="V18" i="24"/>
  <c r="V17" i="24"/>
  <c r="V16" i="24"/>
  <c r="V15" i="24"/>
  <c r="V14" i="24"/>
  <c r="V13" i="24"/>
  <c r="V12" i="24"/>
  <c r="V11" i="24"/>
  <c r="V10" i="24"/>
  <c r="V9" i="24"/>
  <c r="V8" i="24"/>
  <c r="V7" i="24"/>
  <c r="V6" i="24"/>
  <c r="V5" i="24"/>
  <c r="V4" i="24"/>
  <c r="V3" i="24"/>
  <c r="L126" i="24"/>
  <c r="L125" i="24"/>
  <c r="L124" i="24"/>
  <c r="L123" i="24"/>
  <c r="L122" i="24"/>
  <c r="L121" i="24"/>
  <c r="L120" i="24"/>
  <c r="L119" i="24"/>
  <c r="L118" i="24"/>
  <c r="L117" i="24"/>
  <c r="L116" i="24"/>
  <c r="L115" i="24"/>
  <c r="L114" i="24"/>
  <c r="L113" i="24"/>
  <c r="L112" i="24"/>
  <c r="L111" i="24"/>
  <c r="L110" i="24"/>
  <c r="L109" i="24"/>
  <c r="L108" i="24"/>
  <c r="L107" i="24"/>
  <c r="L106" i="24"/>
  <c r="L105" i="24"/>
  <c r="L104" i="24"/>
  <c r="L103" i="24"/>
  <c r="L102" i="24"/>
  <c r="L101" i="24"/>
  <c r="L100" i="24"/>
  <c r="L99" i="24"/>
  <c r="L98" i="24"/>
  <c r="L97" i="24"/>
  <c r="L96" i="24"/>
  <c r="L95" i="24"/>
  <c r="L94" i="24"/>
  <c r="L93" i="24"/>
  <c r="L92" i="24"/>
  <c r="L91" i="24"/>
  <c r="L90" i="24"/>
  <c r="L89" i="24"/>
  <c r="L88" i="24"/>
  <c r="L87" i="24"/>
  <c r="L86" i="24"/>
  <c r="L85" i="24"/>
  <c r="L84" i="24"/>
  <c r="L83" i="24"/>
  <c r="L82" i="24"/>
  <c r="L81" i="24"/>
  <c r="L80" i="24"/>
  <c r="L79" i="24"/>
  <c r="L78" i="24"/>
  <c r="L77" i="24"/>
  <c r="L76" i="24"/>
  <c r="L75" i="24"/>
  <c r="L74" i="24"/>
  <c r="L73" i="24"/>
  <c r="L72" i="24"/>
  <c r="L71" i="24"/>
  <c r="L70" i="24"/>
  <c r="L69" i="24"/>
  <c r="L68" i="24"/>
  <c r="L67" i="24"/>
  <c r="L66" i="24"/>
  <c r="L65" i="24"/>
  <c r="L64" i="24"/>
  <c r="L63" i="24"/>
  <c r="L62" i="24"/>
  <c r="L61" i="24"/>
  <c r="L60" i="24"/>
  <c r="L59" i="24"/>
  <c r="L58" i="24"/>
  <c r="L57" i="24"/>
  <c r="L56" i="24"/>
  <c r="L55" i="24"/>
  <c r="L54" i="24"/>
  <c r="L53" i="24"/>
  <c r="L52" i="24"/>
  <c r="L51" i="24"/>
  <c r="L50" i="24"/>
  <c r="L49" i="24"/>
  <c r="L48" i="24"/>
  <c r="L47" i="24"/>
  <c r="L46" i="24"/>
  <c r="L45" i="24"/>
  <c r="L44" i="24"/>
  <c r="L43" i="24"/>
  <c r="L42" i="24"/>
  <c r="L40" i="24"/>
  <c r="L39" i="24"/>
  <c r="L38" i="24"/>
  <c r="L36" i="24"/>
  <c r="L35" i="24"/>
  <c r="L34" i="24"/>
  <c r="L33" i="24"/>
  <c r="L32" i="24"/>
  <c r="L31" i="24"/>
  <c r="L30" i="24"/>
  <c r="L29" i="24"/>
  <c r="L28" i="24"/>
  <c r="L27" i="24"/>
  <c r="L26" i="24"/>
  <c r="L25" i="24"/>
  <c r="L24" i="24"/>
  <c r="L23" i="24"/>
  <c r="L22" i="24"/>
  <c r="L21" i="24"/>
  <c r="L20" i="24"/>
  <c r="L19" i="24"/>
  <c r="L18" i="24"/>
  <c r="L17" i="24"/>
  <c r="L16" i="24"/>
  <c r="L15" i="24"/>
  <c r="L14" i="24"/>
  <c r="L41" i="24"/>
  <c r="L37" i="24"/>
  <c r="W39" i="26" l="1"/>
  <c r="W38" i="26"/>
  <c r="A48" i="26"/>
  <c r="A47" i="26"/>
  <c r="A46" i="26"/>
  <c r="A45" i="26"/>
  <c r="D126" i="27"/>
  <c r="C126" i="27"/>
  <c r="B126" i="27"/>
  <c r="D125" i="27"/>
  <c r="C125" i="27"/>
  <c r="B125" i="27"/>
  <c r="D124" i="27"/>
  <c r="C124" i="27"/>
  <c r="B124" i="27"/>
  <c r="D123" i="27"/>
  <c r="C123" i="27"/>
  <c r="B123" i="27"/>
  <c r="D122" i="27"/>
  <c r="C122" i="27"/>
  <c r="B122" i="27"/>
  <c r="D121" i="27"/>
  <c r="C121" i="27"/>
  <c r="B121" i="27"/>
  <c r="D120" i="27"/>
  <c r="C120" i="27"/>
  <c r="B120" i="27"/>
  <c r="D119" i="27"/>
  <c r="C119" i="27"/>
  <c r="B119" i="27"/>
  <c r="D118" i="27"/>
  <c r="C118" i="27"/>
  <c r="B118" i="27"/>
  <c r="D117" i="27"/>
  <c r="C117" i="27"/>
  <c r="B117" i="27"/>
  <c r="D116" i="27"/>
  <c r="C116" i="27"/>
  <c r="B116" i="27"/>
  <c r="D115" i="27"/>
  <c r="C115" i="27"/>
  <c r="B115" i="27"/>
  <c r="D114" i="27"/>
  <c r="C114" i="27"/>
  <c r="B114" i="27"/>
  <c r="D113" i="27"/>
  <c r="C113" i="27"/>
  <c r="B113" i="27"/>
  <c r="D112" i="27"/>
  <c r="C112" i="27"/>
  <c r="B112" i="27"/>
  <c r="D111" i="27"/>
  <c r="C111" i="27"/>
  <c r="B111" i="27"/>
  <c r="D110" i="27"/>
  <c r="C110" i="27"/>
  <c r="B110" i="27"/>
  <c r="D109" i="27"/>
  <c r="C109" i="27"/>
  <c r="B109" i="27"/>
  <c r="D108" i="27"/>
  <c r="C108" i="27"/>
  <c r="B108" i="27"/>
  <c r="D107" i="27"/>
  <c r="C107" i="27"/>
  <c r="B107" i="27"/>
  <c r="D106" i="27"/>
  <c r="C106" i="27"/>
  <c r="B106" i="27"/>
  <c r="D105" i="27"/>
  <c r="C105" i="27"/>
  <c r="B105" i="27"/>
  <c r="D104" i="27"/>
  <c r="C104" i="27"/>
  <c r="B104" i="27"/>
  <c r="D103" i="27"/>
  <c r="C103" i="27"/>
  <c r="B103" i="27"/>
  <c r="D102" i="27"/>
  <c r="C102" i="27"/>
  <c r="B102" i="27"/>
  <c r="D101" i="27"/>
  <c r="C101" i="27"/>
  <c r="B101" i="27"/>
  <c r="D100" i="27"/>
  <c r="C100" i="27"/>
  <c r="B100" i="27"/>
  <c r="D99" i="27"/>
  <c r="C99" i="27"/>
  <c r="B99" i="27"/>
  <c r="D98" i="27"/>
  <c r="C98" i="27"/>
  <c r="B98" i="27"/>
  <c r="D97" i="27"/>
  <c r="C97" i="27"/>
  <c r="B97" i="27"/>
  <c r="D96" i="27"/>
  <c r="C96" i="27"/>
  <c r="B96" i="27"/>
  <c r="D95" i="27"/>
  <c r="C95" i="27"/>
  <c r="B95" i="27"/>
  <c r="D94" i="27"/>
  <c r="C94" i="27"/>
  <c r="B94" i="27"/>
  <c r="D93" i="27"/>
  <c r="C93" i="27"/>
  <c r="B93" i="27"/>
  <c r="D92" i="27"/>
  <c r="C92" i="27"/>
  <c r="B92" i="27"/>
  <c r="D91" i="27"/>
  <c r="C91" i="27"/>
  <c r="B91" i="27"/>
  <c r="D90" i="27"/>
  <c r="C90" i="27"/>
  <c r="B90" i="27"/>
  <c r="D89" i="27"/>
  <c r="C89" i="27"/>
  <c r="B89" i="27"/>
  <c r="D88" i="27"/>
  <c r="C88" i="27"/>
  <c r="B88" i="27"/>
  <c r="D87" i="27"/>
  <c r="C87" i="27"/>
  <c r="B87" i="27"/>
  <c r="D86" i="27"/>
  <c r="C86" i="27"/>
  <c r="B86" i="27"/>
  <c r="D85" i="27"/>
  <c r="C85" i="27"/>
  <c r="B85" i="27"/>
  <c r="D84" i="27"/>
  <c r="C84" i="27"/>
  <c r="B84" i="27"/>
  <c r="D83" i="27"/>
  <c r="C83" i="27"/>
  <c r="B83" i="27"/>
  <c r="D82" i="27"/>
  <c r="C82" i="27"/>
  <c r="B82" i="27"/>
  <c r="D81" i="27"/>
  <c r="C81" i="27"/>
  <c r="B81" i="27"/>
  <c r="D80" i="27"/>
  <c r="C80" i="27"/>
  <c r="B80" i="27"/>
  <c r="D79" i="27"/>
  <c r="C79" i="27"/>
  <c r="B79" i="27"/>
  <c r="D78" i="27"/>
  <c r="C78" i="27"/>
  <c r="B78" i="27"/>
  <c r="D77" i="27"/>
  <c r="C77" i="27"/>
  <c r="B77" i="27"/>
  <c r="D76" i="27"/>
  <c r="C76" i="27"/>
  <c r="B76" i="27"/>
  <c r="D75" i="27"/>
  <c r="C75" i="27"/>
  <c r="B75" i="27"/>
  <c r="D74" i="27"/>
  <c r="C74" i="27"/>
  <c r="B74" i="27"/>
  <c r="D73" i="27"/>
  <c r="C73" i="27"/>
  <c r="B73" i="27"/>
  <c r="D72" i="27"/>
  <c r="C72" i="27"/>
  <c r="B72" i="27"/>
  <c r="D71" i="27"/>
  <c r="C71" i="27"/>
  <c r="B71" i="27"/>
  <c r="D70" i="27"/>
  <c r="C70" i="27"/>
  <c r="B70" i="27"/>
  <c r="D69" i="27"/>
  <c r="C69" i="27"/>
  <c r="B69" i="27"/>
  <c r="D68" i="27"/>
  <c r="C68" i="27"/>
  <c r="B68" i="27"/>
  <c r="D67" i="27"/>
  <c r="C67" i="27"/>
  <c r="B67" i="27"/>
  <c r="D66" i="27"/>
  <c r="C66" i="27"/>
  <c r="B66" i="27"/>
  <c r="D65" i="27"/>
  <c r="C65" i="27"/>
  <c r="B65" i="27"/>
  <c r="D64" i="27"/>
  <c r="C64" i="27"/>
  <c r="B64" i="27"/>
  <c r="D63" i="27"/>
  <c r="C63" i="27"/>
  <c r="B63" i="27"/>
  <c r="D62" i="27"/>
  <c r="C62" i="27"/>
  <c r="B62" i="27"/>
  <c r="D61" i="27"/>
  <c r="C61" i="27"/>
  <c r="B61" i="27"/>
  <c r="D60" i="27"/>
  <c r="C60" i="27"/>
  <c r="B60" i="27"/>
  <c r="D59" i="27"/>
  <c r="C59" i="27"/>
  <c r="B59" i="27"/>
  <c r="D58" i="27"/>
  <c r="C58" i="27"/>
  <c r="B58" i="27"/>
  <c r="D57" i="27"/>
  <c r="C57" i="27"/>
  <c r="B57" i="27"/>
  <c r="D56" i="27"/>
  <c r="C56" i="27"/>
  <c r="B56" i="27"/>
  <c r="D55" i="27"/>
  <c r="C55" i="27"/>
  <c r="B55" i="27"/>
  <c r="D54" i="27"/>
  <c r="C54" i="27"/>
  <c r="B54" i="27"/>
  <c r="D53" i="27"/>
  <c r="C53" i="27"/>
  <c r="B53" i="27"/>
  <c r="D52" i="27"/>
  <c r="C52" i="27"/>
  <c r="B52" i="27"/>
  <c r="D51" i="27"/>
  <c r="C51" i="27"/>
  <c r="B51" i="27"/>
  <c r="D50" i="27"/>
  <c r="C50" i="27"/>
  <c r="B50" i="27"/>
  <c r="D49" i="27"/>
  <c r="C49" i="27"/>
  <c r="B49" i="27"/>
  <c r="D48" i="27"/>
  <c r="C48" i="27"/>
  <c r="B48" i="27"/>
  <c r="D47" i="27"/>
  <c r="C47" i="27"/>
  <c r="B47" i="27"/>
  <c r="D46" i="27"/>
  <c r="C46" i="27"/>
  <c r="B46" i="27"/>
  <c r="D45" i="27"/>
  <c r="C45" i="27"/>
  <c r="B45" i="27"/>
  <c r="D44" i="27"/>
  <c r="C44" i="27"/>
  <c r="B44" i="27"/>
  <c r="D43" i="27"/>
  <c r="C43" i="27"/>
  <c r="B43" i="27"/>
  <c r="D42" i="27"/>
  <c r="C42" i="27"/>
  <c r="B42" i="27"/>
  <c r="D41" i="27"/>
  <c r="C41" i="27"/>
  <c r="B41" i="27"/>
  <c r="D40" i="27"/>
  <c r="C40" i="27"/>
  <c r="B40" i="27"/>
  <c r="D39" i="27"/>
  <c r="C39" i="27"/>
  <c r="B39" i="27"/>
  <c r="D38" i="27"/>
  <c r="C38" i="27"/>
  <c r="B38" i="27"/>
  <c r="D37" i="27"/>
  <c r="C37" i="27"/>
  <c r="B37" i="27"/>
  <c r="D36" i="27"/>
  <c r="C36" i="27"/>
  <c r="B36" i="27"/>
  <c r="D35" i="27"/>
  <c r="C35" i="27"/>
  <c r="B35" i="27"/>
  <c r="D34" i="27"/>
  <c r="C34" i="27"/>
  <c r="B34" i="27"/>
  <c r="D33" i="27"/>
  <c r="C33" i="27"/>
  <c r="B33" i="27"/>
  <c r="D32" i="27"/>
  <c r="C32" i="27"/>
  <c r="B32" i="27"/>
  <c r="D31" i="27"/>
  <c r="C31" i="27"/>
  <c r="B31" i="27"/>
  <c r="D30" i="27"/>
  <c r="C30" i="27"/>
  <c r="B30" i="27"/>
  <c r="D29" i="27"/>
  <c r="C29" i="27"/>
  <c r="B29" i="27"/>
  <c r="D28" i="27"/>
  <c r="C28" i="27"/>
  <c r="B28" i="27"/>
  <c r="D27" i="27"/>
  <c r="C27" i="27"/>
  <c r="B27" i="27"/>
  <c r="D26" i="27"/>
  <c r="N26" i="27" s="1"/>
  <c r="C26" i="27"/>
  <c r="J26" i="27" s="1"/>
  <c r="B26" i="27"/>
  <c r="D25" i="27"/>
  <c r="C25" i="27"/>
  <c r="B25" i="27"/>
  <c r="D24" i="27"/>
  <c r="C24" i="27"/>
  <c r="B24" i="27"/>
  <c r="D23" i="27"/>
  <c r="C23" i="27"/>
  <c r="B23" i="27"/>
  <c r="D22" i="27"/>
  <c r="C22" i="27"/>
  <c r="B22" i="27"/>
  <c r="D21" i="27"/>
  <c r="C21" i="27"/>
  <c r="B21" i="27"/>
  <c r="D20" i="27"/>
  <c r="C20" i="27"/>
  <c r="B20" i="27"/>
  <c r="D19" i="27"/>
  <c r="C19" i="27"/>
  <c r="B19" i="27"/>
  <c r="D18" i="27"/>
  <c r="C18" i="27"/>
  <c r="B18" i="27"/>
  <c r="D17" i="27"/>
  <c r="C17" i="27"/>
  <c r="B17" i="27"/>
  <c r="D16" i="27"/>
  <c r="C16" i="27"/>
  <c r="B16" i="27"/>
  <c r="D15" i="27"/>
  <c r="C15" i="27"/>
  <c r="B15" i="27"/>
  <c r="D14" i="27"/>
  <c r="C14" i="27"/>
  <c r="B14" i="27"/>
  <c r="D13" i="27"/>
  <c r="C13" i="27"/>
  <c r="B13" i="27"/>
  <c r="D12" i="27"/>
  <c r="C12" i="27"/>
  <c r="B12" i="27"/>
  <c r="D11" i="27"/>
  <c r="C11" i="27"/>
  <c r="B11" i="27"/>
  <c r="D10" i="27"/>
  <c r="C10" i="27"/>
  <c r="B10" i="27"/>
  <c r="D9" i="27"/>
  <c r="C9" i="27"/>
  <c r="B9" i="27"/>
  <c r="D8" i="27"/>
  <c r="C8" i="27"/>
  <c r="B8" i="27"/>
  <c r="D7" i="27"/>
  <c r="C7" i="27"/>
  <c r="B7" i="27"/>
  <c r="D6" i="27"/>
  <c r="C6" i="27"/>
  <c r="B6" i="27"/>
  <c r="D5" i="27"/>
  <c r="C5" i="27"/>
  <c r="B5" i="27"/>
  <c r="D4" i="27"/>
  <c r="C4" i="27"/>
  <c r="B4" i="27"/>
  <c r="D3" i="27"/>
  <c r="C3" i="27"/>
  <c r="B3" i="27"/>
  <c r="D2" i="27"/>
  <c r="C2" i="27"/>
  <c r="B2" i="27"/>
  <c r="N24" i="27" l="1"/>
  <c r="N25" i="27"/>
  <c r="M8" i="27"/>
  <c r="J28" i="27"/>
  <c r="J29" i="27"/>
  <c r="J30" i="27"/>
  <c r="M12" i="27"/>
  <c r="N32" i="27"/>
  <c r="N33" i="27"/>
  <c r="N35" i="27"/>
  <c r="N37" i="27"/>
  <c r="N5" i="27"/>
  <c r="J25" i="27"/>
  <c r="N27" i="27"/>
  <c r="N28" i="27"/>
  <c r="N29" i="27"/>
  <c r="N30" i="27"/>
  <c r="N31" i="27"/>
  <c r="J32" i="27"/>
  <c r="N34" i="27"/>
  <c r="N36" i="27"/>
  <c r="N14" i="27"/>
  <c r="L14" i="27"/>
  <c r="J14" i="27"/>
  <c r="J34" i="27"/>
  <c r="M15" i="27"/>
  <c r="K15" i="27"/>
  <c r="N16" i="27"/>
  <c r="L16" i="27"/>
  <c r="J16" i="27"/>
  <c r="J36" i="27"/>
  <c r="M17" i="27"/>
  <c r="K17" i="27"/>
  <c r="N18" i="27"/>
  <c r="L18" i="27"/>
  <c r="J18" i="27"/>
  <c r="K5" i="27"/>
  <c r="M5" i="27"/>
  <c r="J6" i="27"/>
  <c r="L6" i="27"/>
  <c r="N6" i="27"/>
  <c r="K7" i="27"/>
  <c r="M7" i="27"/>
  <c r="J8" i="27"/>
  <c r="L8" i="27"/>
  <c r="N8" i="27"/>
  <c r="K9" i="27"/>
  <c r="M9" i="27"/>
  <c r="J10" i="27"/>
  <c r="L10" i="27"/>
  <c r="N10" i="27"/>
  <c r="K11" i="27"/>
  <c r="M11" i="27"/>
  <c r="J12" i="27"/>
  <c r="L12" i="27"/>
  <c r="N12" i="27"/>
  <c r="K13" i="27"/>
  <c r="M13" i="27"/>
  <c r="K14" i="27"/>
  <c r="J15" i="27"/>
  <c r="N15" i="27"/>
  <c r="M16" i="27"/>
  <c r="L17" i="27"/>
  <c r="K18" i="27"/>
  <c r="J24" i="27"/>
  <c r="J27" i="27"/>
  <c r="J31" i="27"/>
  <c r="J35" i="27"/>
  <c r="M24" i="27"/>
  <c r="K24" i="27"/>
  <c r="M25" i="27"/>
  <c r="K25" i="27"/>
  <c r="M26" i="27"/>
  <c r="K26" i="27"/>
  <c r="M27" i="27"/>
  <c r="K27" i="27"/>
  <c r="M28" i="27"/>
  <c r="K28" i="27"/>
  <c r="M29" i="27"/>
  <c r="K29" i="27"/>
  <c r="M30" i="27"/>
  <c r="K30" i="27"/>
  <c r="M31" i="27"/>
  <c r="K31" i="27"/>
  <c r="M32" i="27"/>
  <c r="K32" i="27"/>
  <c r="M33" i="27"/>
  <c r="K33" i="27"/>
  <c r="M34" i="27"/>
  <c r="K34" i="27"/>
  <c r="M35" i="27"/>
  <c r="K35" i="27"/>
  <c r="M36" i="27"/>
  <c r="K36" i="27"/>
  <c r="M37" i="27"/>
  <c r="K37" i="27"/>
  <c r="J5" i="27"/>
  <c r="L5" i="27"/>
  <c r="K6" i="27"/>
  <c r="M6" i="27"/>
  <c r="J7" i="27"/>
  <c r="L7" i="27"/>
  <c r="N7" i="27"/>
  <c r="K8" i="27"/>
  <c r="J9" i="27"/>
  <c r="L9" i="27"/>
  <c r="N9" i="27"/>
  <c r="K10" i="27"/>
  <c r="M10" i="27"/>
  <c r="J11" i="27"/>
  <c r="L11" i="27"/>
  <c r="N11" i="27"/>
  <c r="K12" i="27"/>
  <c r="J13" i="27"/>
  <c r="L13" i="27"/>
  <c r="N13" i="27"/>
  <c r="M14" i="27"/>
  <c r="L15" i="27"/>
  <c r="K16" i="27"/>
  <c r="J17" i="27"/>
  <c r="N17" i="27"/>
  <c r="M18" i="27"/>
  <c r="J33" i="27"/>
  <c r="J37" i="27"/>
  <c r="L24" i="27"/>
  <c r="L25" i="27"/>
  <c r="L26" i="27"/>
  <c r="L27" i="27"/>
  <c r="L28" i="27"/>
  <c r="L29" i="27"/>
  <c r="L30" i="27"/>
  <c r="L31" i="27"/>
  <c r="L32" i="27"/>
  <c r="L33" i="27"/>
  <c r="L34" i="27"/>
  <c r="L35" i="27"/>
  <c r="L36" i="27"/>
  <c r="L37" i="27"/>
  <c r="W29" i="26"/>
  <c r="W28" i="26"/>
  <c r="W27" i="26"/>
  <c r="W26" i="26"/>
  <c r="N39" i="27" l="1"/>
  <c r="L39" i="27"/>
  <c r="J20" i="27"/>
  <c r="M39" i="27"/>
  <c r="J39" i="27"/>
  <c r="N20" i="27"/>
  <c r="K20" i="27"/>
  <c r="L20" i="27"/>
  <c r="K39" i="27"/>
  <c r="M20" i="27"/>
  <c r="B34" i="22"/>
  <c r="A34" i="22"/>
  <c r="B33" i="22"/>
  <c r="A33" i="22"/>
  <c r="B32" i="22"/>
  <c r="A32" i="22"/>
  <c r="B31" i="22"/>
  <c r="A31" i="22"/>
  <c r="B30" i="22"/>
  <c r="A30" i="22"/>
  <c r="B29" i="22"/>
  <c r="A29" i="22"/>
  <c r="B28" i="22"/>
  <c r="A28" i="22"/>
  <c r="B27" i="22"/>
  <c r="A27" i="22"/>
  <c r="B26" i="22"/>
  <c r="A26" i="22"/>
  <c r="B25" i="22"/>
  <c r="A25" i="22"/>
  <c r="B24" i="22"/>
  <c r="A24" i="22"/>
  <c r="B23" i="22"/>
  <c r="A23" i="22"/>
  <c r="B22" i="22"/>
  <c r="A22" i="22"/>
  <c r="B21" i="22"/>
  <c r="A21" i="22"/>
  <c r="B20" i="22"/>
  <c r="A20" i="22"/>
  <c r="B19" i="22"/>
  <c r="A19" i="22"/>
  <c r="B18" i="22"/>
  <c r="A18" i="22"/>
  <c r="B17" i="22"/>
  <c r="A17" i="22"/>
  <c r="B16" i="22"/>
  <c r="A16" i="22"/>
  <c r="B15" i="22"/>
  <c r="A15" i="22"/>
  <c r="B14" i="22"/>
  <c r="A14" i="22"/>
  <c r="B13" i="22"/>
  <c r="A13" i="22"/>
  <c r="B12" i="22"/>
  <c r="A12" i="22"/>
  <c r="B11" i="22"/>
  <c r="A11" i="22"/>
  <c r="B10" i="22"/>
  <c r="A10" i="22"/>
  <c r="B9" i="22"/>
  <c r="A9" i="22"/>
  <c r="B8" i="22"/>
  <c r="A8" i="22"/>
  <c r="B7" i="22"/>
  <c r="A7" i="22"/>
  <c r="B6" i="22"/>
  <c r="A6" i="22"/>
  <c r="B5" i="22"/>
  <c r="A5" i="22"/>
  <c r="B52" i="18"/>
  <c r="A52" i="18"/>
  <c r="B51" i="18"/>
  <c r="A51" i="18"/>
  <c r="B50" i="18"/>
  <c r="A50" i="18"/>
  <c r="B49" i="18"/>
  <c r="A49" i="18"/>
  <c r="B48" i="18"/>
  <c r="A48" i="18"/>
  <c r="B47" i="18"/>
  <c r="A47" i="18"/>
  <c r="B46" i="18"/>
  <c r="A46" i="18"/>
  <c r="B45" i="18"/>
  <c r="A45" i="18"/>
  <c r="B44" i="18"/>
  <c r="A44" i="18"/>
  <c r="B43" i="18"/>
  <c r="A43" i="18"/>
  <c r="B42" i="18"/>
  <c r="A42" i="18"/>
  <c r="B41" i="18"/>
  <c r="A41" i="18"/>
  <c r="B40" i="18"/>
  <c r="A40" i="18"/>
  <c r="B39" i="18"/>
  <c r="A39" i="18"/>
  <c r="B38" i="18"/>
  <c r="A38" i="18"/>
  <c r="B37" i="18"/>
  <c r="A37" i="18"/>
  <c r="B36" i="18"/>
  <c r="A36" i="18"/>
  <c r="B35" i="18"/>
  <c r="A35" i="18"/>
  <c r="B34" i="18"/>
  <c r="A34" i="18"/>
  <c r="B33" i="18"/>
  <c r="A33" i="18"/>
  <c r="B32" i="18"/>
  <c r="A32" i="18"/>
  <c r="B31" i="18"/>
  <c r="A31" i="18"/>
  <c r="B30" i="18"/>
  <c r="A30" i="18"/>
  <c r="B29" i="18"/>
  <c r="A29" i="18"/>
  <c r="B28" i="18"/>
  <c r="A28" i="18"/>
  <c r="B27" i="18"/>
  <c r="A27" i="18"/>
  <c r="B26" i="18"/>
  <c r="A26" i="18"/>
  <c r="B25" i="18"/>
  <c r="A25" i="18"/>
  <c r="B24" i="18"/>
  <c r="A24" i="18"/>
  <c r="B23" i="18"/>
  <c r="A23" i="18"/>
  <c r="B22" i="18"/>
  <c r="A22" i="18"/>
  <c r="B21" i="18"/>
  <c r="A21" i="18"/>
  <c r="B20" i="18"/>
  <c r="A20" i="18"/>
  <c r="B19" i="18"/>
  <c r="A19" i="18"/>
  <c r="B18" i="18"/>
  <c r="A18" i="18"/>
  <c r="B17" i="18"/>
  <c r="A17" i="18"/>
  <c r="B16" i="18"/>
  <c r="A16" i="18"/>
  <c r="B15" i="18"/>
  <c r="A15" i="18"/>
  <c r="B14" i="18"/>
  <c r="A14" i="18"/>
  <c r="B13" i="18"/>
  <c r="A13" i="18"/>
  <c r="B12" i="18"/>
  <c r="A12" i="18"/>
  <c r="B11" i="18"/>
  <c r="A11" i="18"/>
  <c r="B10" i="18"/>
  <c r="A10" i="18"/>
  <c r="B9" i="18"/>
  <c r="A9" i="18"/>
  <c r="B8" i="18"/>
  <c r="A8" i="18"/>
  <c r="B7" i="18"/>
  <c r="A7" i="18"/>
  <c r="B6" i="18"/>
  <c r="A6" i="18"/>
  <c r="B5" i="18"/>
  <c r="A5" i="18"/>
  <c r="DU3" i="10"/>
  <c r="DT3" i="10"/>
  <c r="DS3" i="10"/>
  <c r="DR3" i="10"/>
  <c r="DQ3" i="10"/>
  <c r="DP3" i="10"/>
  <c r="DO3" i="10"/>
  <c r="DN3" i="10"/>
  <c r="DM3" i="10"/>
  <c r="DL3" i="10"/>
  <c r="DK3" i="10"/>
  <c r="DJ3" i="10"/>
  <c r="DI3" i="10"/>
  <c r="DH3" i="10"/>
  <c r="DG3" i="10"/>
  <c r="DF3" i="10"/>
  <c r="DE3" i="10"/>
  <c r="DD3" i="10"/>
  <c r="DC3" i="10"/>
  <c r="DB3" i="10"/>
  <c r="DA3" i="10"/>
  <c r="CZ3" i="10"/>
  <c r="CY3" i="10"/>
  <c r="CX3" i="10"/>
  <c r="CW3" i="10"/>
  <c r="CV3" i="10"/>
  <c r="CU3" i="10"/>
  <c r="CT3" i="10"/>
  <c r="CS3" i="10"/>
  <c r="CR3" i="10"/>
  <c r="CQ3" i="10"/>
  <c r="CP3" i="10"/>
  <c r="CO3" i="10"/>
  <c r="CN3" i="10"/>
  <c r="CM3" i="10"/>
  <c r="CL3" i="10"/>
  <c r="CK3" i="10"/>
  <c r="CJ3" i="10"/>
  <c r="CI3" i="10"/>
  <c r="CH3" i="10"/>
  <c r="CG3" i="10"/>
  <c r="CF3" i="10"/>
  <c r="CE3" i="10"/>
  <c r="CD3" i="10"/>
  <c r="CC3" i="10"/>
  <c r="CB3" i="10"/>
  <c r="CA3" i="10"/>
  <c r="BZ3" i="10"/>
  <c r="BY3" i="10"/>
  <c r="BX3" i="10"/>
  <c r="BW3" i="10"/>
  <c r="BV3" i="10"/>
  <c r="BU3" i="10"/>
  <c r="BT3" i="10"/>
  <c r="BS3" i="10"/>
  <c r="BR3" i="10"/>
  <c r="BQ3" i="10"/>
  <c r="BP3" i="10"/>
  <c r="BO3" i="10"/>
  <c r="BN3" i="10"/>
  <c r="BM3" i="10"/>
  <c r="BL3" i="10"/>
  <c r="BK3" i="10"/>
  <c r="BJ3" i="10"/>
  <c r="BI3" i="10"/>
  <c r="BH3" i="10"/>
  <c r="BG3" i="10"/>
  <c r="BF3" i="10"/>
  <c r="BE3" i="10"/>
  <c r="BD3" i="10"/>
  <c r="BC3" i="10"/>
  <c r="BB3" i="10"/>
  <c r="BA3" i="10"/>
  <c r="AZ3" i="10"/>
  <c r="AY3" i="10"/>
  <c r="AX3" i="10"/>
  <c r="AW3" i="10"/>
  <c r="AV3" i="10"/>
  <c r="AU3" i="10"/>
  <c r="AT3" i="10"/>
  <c r="AS3" i="10"/>
  <c r="AR3" i="10"/>
  <c r="AQ3" i="10"/>
  <c r="AP3" i="10"/>
  <c r="AO3" i="10"/>
  <c r="AN3" i="10"/>
  <c r="AM3" i="10"/>
  <c r="AL3" i="10"/>
  <c r="AK3" i="10"/>
  <c r="AJ3" i="10"/>
  <c r="AI3" i="10"/>
  <c r="AH3" i="10"/>
  <c r="AG3" i="10"/>
  <c r="AF3" i="10"/>
  <c r="AE3" i="10"/>
  <c r="AD3" i="10"/>
  <c r="AC3" i="10"/>
  <c r="AB3" i="10"/>
  <c r="AA3" i="10"/>
  <c r="Z3" i="10"/>
  <c r="Y3" i="10"/>
  <c r="X3" i="10"/>
  <c r="W3" i="10"/>
  <c r="V3" i="10"/>
  <c r="U3" i="10"/>
  <c r="T3" i="10"/>
  <c r="S3" i="10"/>
  <c r="R3" i="10"/>
  <c r="Q3" i="10"/>
  <c r="P3" i="10"/>
  <c r="O3" i="10"/>
  <c r="N3" i="10"/>
  <c r="M3" i="10"/>
  <c r="L3" i="10"/>
  <c r="K3" i="10"/>
  <c r="J3" i="10"/>
  <c r="I3" i="10"/>
  <c r="H3" i="10"/>
  <c r="G3" i="10"/>
  <c r="F3" i="10"/>
  <c r="E3" i="10"/>
  <c r="D3" i="10"/>
  <c r="C3" i="10"/>
  <c r="B3" i="10"/>
  <c r="A3" i="10"/>
  <c r="D105" i="9"/>
  <c r="B105" i="9"/>
  <c r="A105" i="9"/>
  <c r="D104" i="9"/>
  <c r="B104" i="9"/>
  <c r="A104" i="9"/>
  <c r="D103" i="9"/>
  <c r="B103" i="9"/>
  <c r="A103" i="9"/>
  <c r="D102" i="9"/>
  <c r="B102" i="9"/>
  <c r="A102" i="9"/>
  <c r="D101" i="9"/>
  <c r="B101" i="9"/>
  <c r="A101" i="9"/>
  <c r="D100" i="9"/>
  <c r="B100" i="9"/>
  <c r="A100" i="9"/>
  <c r="D99" i="9"/>
  <c r="B99" i="9"/>
  <c r="A99" i="9"/>
  <c r="D98" i="9"/>
  <c r="B98" i="9"/>
  <c r="A98" i="9"/>
  <c r="D97" i="9"/>
  <c r="B97" i="9"/>
  <c r="A97" i="9"/>
  <c r="D96" i="9"/>
  <c r="B96" i="9"/>
  <c r="A96" i="9"/>
  <c r="D95" i="9"/>
  <c r="B95" i="9"/>
  <c r="A95" i="9"/>
  <c r="D94" i="9"/>
  <c r="B94" i="9"/>
  <c r="A94" i="9"/>
  <c r="D93" i="9"/>
  <c r="B93" i="9"/>
  <c r="A93" i="9"/>
  <c r="D92" i="9"/>
  <c r="B92" i="9"/>
  <c r="A92" i="9"/>
  <c r="D91" i="9"/>
  <c r="B91" i="9"/>
  <c r="A91" i="9"/>
  <c r="D90" i="9"/>
  <c r="B90" i="9"/>
  <c r="A90" i="9"/>
  <c r="D89" i="9"/>
  <c r="B89" i="9"/>
  <c r="A89" i="9"/>
  <c r="D88" i="9"/>
  <c r="B88" i="9"/>
  <c r="A88" i="9"/>
  <c r="D87" i="9"/>
  <c r="B87" i="9"/>
  <c r="A87" i="9"/>
  <c r="D86" i="9"/>
  <c r="B86" i="9"/>
  <c r="A86" i="9"/>
  <c r="D85" i="9"/>
  <c r="B85" i="9"/>
  <c r="A85" i="9"/>
  <c r="D84" i="9"/>
  <c r="B84" i="9"/>
  <c r="A84" i="9"/>
  <c r="D83" i="9"/>
  <c r="B83" i="9"/>
  <c r="A83" i="9"/>
  <c r="D82" i="9"/>
  <c r="B82" i="9"/>
  <c r="A82" i="9"/>
  <c r="D81" i="9"/>
  <c r="B81" i="9"/>
  <c r="A81" i="9"/>
  <c r="D80" i="9"/>
  <c r="B80" i="9"/>
  <c r="A80" i="9"/>
  <c r="D79" i="9"/>
  <c r="B79" i="9"/>
  <c r="A79" i="9"/>
  <c r="D78" i="9"/>
  <c r="B78" i="9"/>
  <c r="A78" i="9"/>
  <c r="D77" i="9"/>
  <c r="B77" i="9"/>
  <c r="A77" i="9"/>
  <c r="D76" i="9"/>
  <c r="B76" i="9"/>
  <c r="A76" i="9"/>
  <c r="D75" i="9"/>
  <c r="B75" i="9"/>
  <c r="A75" i="9"/>
  <c r="D74" i="9"/>
  <c r="B74" i="9"/>
  <c r="A74" i="9"/>
  <c r="D73" i="9"/>
  <c r="B73" i="9"/>
  <c r="A73" i="9"/>
  <c r="D72" i="9"/>
  <c r="B72" i="9"/>
  <c r="A72" i="9"/>
  <c r="D71" i="9"/>
  <c r="B71" i="9"/>
  <c r="A71" i="9"/>
  <c r="D70" i="9"/>
  <c r="B70" i="9"/>
  <c r="A70" i="9"/>
  <c r="D69" i="9"/>
  <c r="B69" i="9"/>
  <c r="A69" i="9"/>
  <c r="D68" i="9"/>
  <c r="B68" i="9"/>
  <c r="A68" i="9"/>
  <c r="D67" i="9"/>
  <c r="B67" i="9"/>
  <c r="A67" i="9"/>
  <c r="D66" i="9"/>
  <c r="B66" i="9"/>
  <c r="A66" i="9"/>
  <c r="D65" i="9"/>
  <c r="B65" i="9"/>
  <c r="A65" i="9"/>
  <c r="D64" i="9"/>
  <c r="B64" i="9"/>
  <c r="A64" i="9"/>
  <c r="D63" i="9"/>
  <c r="B63" i="9"/>
  <c r="A63" i="9"/>
  <c r="D62" i="9"/>
  <c r="B62" i="9"/>
  <c r="A62" i="9"/>
  <c r="D61" i="9"/>
  <c r="B61" i="9"/>
  <c r="A61" i="9"/>
  <c r="D60" i="9"/>
  <c r="B60" i="9"/>
  <c r="A60" i="9"/>
  <c r="D59" i="9"/>
  <c r="B59" i="9"/>
  <c r="A59" i="9"/>
  <c r="D58" i="9"/>
  <c r="B58" i="9"/>
  <c r="A58" i="9"/>
  <c r="D57" i="9"/>
  <c r="B57" i="9"/>
  <c r="A57" i="9"/>
  <c r="D56" i="9"/>
  <c r="B56" i="9"/>
  <c r="A56" i="9"/>
  <c r="D55" i="9"/>
  <c r="B55" i="9"/>
  <c r="A55" i="9"/>
  <c r="D54" i="9"/>
  <c r="B54" i="9"/>
  <c r="A54" i="9"/>
  <c r="D53" i="9"/>
  <c r="B53" i="9"/>
  <c r="A53" i="9"/>
  <c r="D52" i="9"/>
  <c r="B52" i="9"/>
  <c r="A52" i="9"/>
  <c r="D51" i="9"/>
  <c r="B51" i="9"/>
  <c r="A51" i="9"/>
  <c r="D50" i="9"/>
  <c r="B50" i="9"/>
  <c r="A50" i="9"/>
  <c r="D49" i="9"/>
  <c r="B49" i="9"/>
  <c r="A49" i="9"/>
  <c r="D48" i="9"/>
  <c r="B48" i="9"/>
  <c r="A48" i="9"/>
  <c r="D47" i="9"/>
  <c r="B47" i="9"/>
  <c r="A47" i="9"/>
  <c r="D46" i="9"/>
  <c r="B46" i="9"/>
  <c r="A46" i="9"/>
  <c r="D45" i="9"/>
  <c r="B45" i="9"/>
  <c r="A45" i="9"/>
  <c r="D44" i="9"/>
  <c r="B44" i="9"/>
  <c r="A44" i="9"/>
  <c r="D43" i="9"/>
  <c r="B43" i="9"/>
  <c r="A43" i="9"/>
  <c r="D42" i="9"/>
  <c r="B42" i="9"/>
  <c r="A42" i="9"/>
  <c r="D41" i="9"/>
  <c r="B41" i="9"/>
  <c r="A41" i="9"/>
  <c r="D40" i="9"/>
  <c r="B40" i="9"/>
  <c r="A40" i="9"/>
  <c r="D39" i="9"/>
  <c r="B39" i="9"/>
  <c r="A39" i="9"/>
  <c r="D38" i="9"/>
  <c r="B38" i="9"/>
  <c r="A38" i="9"/>
  <c r="D37" i="9"/>
  <c r="B37" i="9"/>
  <c r="A37" i="9"/>
  <c r="D36" i="9"/>
  <c r="B36" i="9"/>
  <c r="A36" i="9"/>
  <c r="D35" i="9"/>
  <c r="B35" i="9"/>
  <c r="A35" i="9"/>
  <c r="D34" i="9"/>
  <c r="B34" i="9"/>
  <c r="A34" i="9"/>
  <c r="D33" i="9"/>
  <c r="B33" i="9"/>
  <c r="A33" i="9"/>
  <c r="D32" i="9"/>
  <c r="B32" i="9"/>
  <c r="A32" i="9"/>
  <c r="D31" i="9"/>
  <c r="B31" i="9"/>
  <c r="A31" i="9"/>
  <c r="D30" i="9"/>
  <c r="B30" i="9"/>
  <c r="A30" i="9"/>
  <c r="D29" i="9"/>
  <c r="B29" i="9"/>
  <c r="A29" i="9"/>
  <c r="D28" i="9"/>
  <c r="B28" i="9"/>
  <c r="A28" i="9"/>
  <c r="D27" i="9"/>
  <c r="B27" i="9"/>
  <c r="A27" i="9"/>
  <c r="D26" i="9"/>
  <c r="B26" i="9"/>
  <c r="A26" i="9"/>
  <c r="D25" i="9"/>
  <c r="B25" i="9"/>
  <c r="A25" i="9"/>
  <c r="D24" i="9"/>
  <c r="B24" i="9"/>
  <c r="A24" i="9"/>
  <c r="D23" i="9"/>
  <c r="B23" i="9"/>
  <c r="A23" i="9"/>
  <c r="D22" i="9"/>
  <c r="B22" i="9"/>
  <c r="A22" i="9"/>
  <c r="D21" i="9"/>
  <c r="B21" i="9"/>
  <c r="A21" i="9"/>
  <c r="D20" i="9"/>
  <c r="B20" i="9"/>
  <c r="A20" i="9"/>
  <c r="D19" i="9"/>
  <c r="B19" i="9"/>
  <c r="A19" i="9"/>
  <c r="D18" i="9"/>
  <c r="B18" i="9"/>
  <c r="A18" i="9"/>
  <c r="D17" i="9"/>
  <c r="B17" i="9"/>
  <c r="A17" i="9"/>
  <c r="D16" i="9"/>
  <c r="B16" i="9"/>
  <c r="A16" i="9"/>
  <c r="D15" i="9"/>
  <c r="B15" i="9"/>
  <c r="A15" i="9"/>
  <c r="D14" i="9"/>
  <c r="B14" i="9"/>
  <c r="A14" i="9"/>
  <c r="D13" i="9"/>
  <c r="B13" i="9"/>
  <c r="A13" i="9"/>
  <c r="D12" i="9"/>
  <c r="B12" i="9"/>
  <c r="A12" i="9"/>
  <c r="D11" i="9"/>
  <c r="B11" i="9"/>
  <c r="A11" i="9"/>
  <c r="D10" i="9"/>
  <c r="B10" i="9"/>
  <c r="A10" i="9"/>
  <c r="D9" i="9"/>
  <c r="B9" i="9"/>
  <c r="A9" i="9"/>
  <c r="D8" i="9"/>
  <c r="B8" i="9"/>
  <c r="A8" i="9"/>
  <c r="D7" i="9"/>
  <c r="B7" i="9"/>
  <c r="A7" i="9"/>
  <c r="D6" i="9"/>
  <c r="B6" i="9"/>
  <c r="A6" i="9"/>
  <c r="D5" i="9"/>
  <c r="B5" i="9"/>
  <c r="A5" i="9"/>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C6" i="22"/>
  <c r="C5" i="22"/>
  <c r="Q126" i="24"/>
  <c r="Q125" i="24"/>
  <c r="Q124" i="24"/>
  <c r="Q123" i="24"/>
  <c r="Q122" i="24"/>
  <c r="Q121" i="24"/>
  <c r="Q120" i="24"/>
  <c r="Q119" i="24"/>
  <c r="Q118" i="24"/>
  <c r="Q117" i="24"/>
  <c r="Q116" i="24"/>
  <c r="Q115" i="24"/>
  <c r="Q114" i="24"/>
  <c r="Q113" i="24"/>
  <c r="Q112" i="24"/>
  <c r="Q111" i="24"/>
  <c r="Q110" i="24"/>
  <c r="Q109" i="24"/>
  <c r="Q108" i="24"/>
  <c r="Q107" i="24"/>
  <c r="Q106" i="24"/>
  <c r="Q105" i="24"/>
  <c r="Q104" i="24"/>
  <c r="Q103" i="24"/>
  <c r="Q102" i="24"/>
  <c r="Q101" i="24"/>
  <c r="Q100" i="24"/>
  <c r="Q99" i="24"/>
  <c r="Q98" i="24"/>
  <c r="Q97" i="24"/>
  <c r="Q96" i="24"/>
  <c r="Q95" i="24"/>
  <c r="Q94" i="24"/>
  <c r="Q93" i="24"/>
  <c r="Q92" i="24"/>
  <c r="Q91" i="24"/>
  <c r="Q90" i="24"/>
  <c r="Q89" i="24"/>
  <c r="Q88" i="24"/>
  <c r="Q87" i="24"/>
  <c r="Q86" i="24"/>
  <c r="Q85" i="24"/>
  <c r="Q84" i="24"/>
  <c r="Q83" i="24"/>
  <c r="Q82" i="24"/>
  <c r="Q81" i="24"/>
  <c r="Q80" i="24"/>
  <c r="Q79" i="24"/>
  <c r="Q78" i="24"/>
  <c r="Q77" i="24"/>
  <c r="Q76" i="24"/>
  <c r="Q75" i="24"/>
  <c r="Q74" i="24"/>
  <c r="Q73" i="24"/>
  <c r="Q72" i="24"/>
  <c r="Q71" i="24"/>
  <c r="Q70" i="24"/>
  <c r="Q69" i="24"/>
  <c r="Q68" i="24"/>
  <c r="Q67" i="24"/>
  <c r="Q66" i="24"/>
  <c r="Q65" i="24"/>
  <c r="Q64" i="24"/>
  <c r="Q63" i="24"/>
  <c r="Q62" i="24"/>
  <c r="Q61" i="24"/>
  <c r="Q60" i="24"/>
  <c r="Q59" i="24"/>
  <c r="Q58" i="24"/>
  <c r="Q57" i="24"/>
  <c r="Q56" i="24"/>
  <c r="Q55" i="24"/>
  <c r="Q54" i="24"/>
  <c r="Q53" i="24"/>
  <c r="Q52" i="24"/>
  <c r="Q51" i="24"/>
  <c r="Q50" i="24"/>
  <c r="Q49" i="24"/>
  <c r="Q48" i="24"/>
  <c r="Q47" i="24"/>
  <c r="Q46" i="24"/>
  <c r="Q45" i="24"/>
  <c r="Q44" i="24"/>
  <c r="Q43" i="24"/>
  <c r="Q42" i="24"/>
  <c r="Q41" i="24"/>
  <c r="Q40" i="24"/>
  <c r="Q39" i="24"/>
  <c r="Q38" i="24"/>
  <c r="Q37" i="24"/>
  <c r="Q36" i="24"/>
  <c r="Q35" i="24"/>
  <c r="Q34" i="24"/>
  <c r="Q33" i="24"/>
  <c r="Q32" i="24"/>
  <c r="Q31" i="24"/>
  <c r="Q30" i="24"/>
  <c r="Q29" i="24"/>
  <c r="Q28" i="24"/>
  <c r="Q27" i="24"/>
  <c r="Q26" i="24"/>
  <c r="Q25" i="24"/>
  <c r="Q24" i="24"/>
  <c r="Q23" i="24"/>
  <c r="Q22" i="24"/>
  <c r="Q21" i="24"/>
  <c r="Q20" i="24"/>
  <c r="Q19" i="24"/>
  <c r="Q18" i="24"/>
  <c r="Q17" i="24"/>
  <c r="Q16" i="24"/>
  <c r="Q15" i="24"/>
  <c r="Q14" i="24"/>
  <c r="Q13" i="24"/>
  <c r="Q12" i="24"/>
  <c r="Q11" i="24"/>
  <c r="Q10" i="24"/>
  <c r="Q9" i="24"/>
  <c r="Q8" i="24"/>
  <c r="Q7" i="24"/>
  <c r="Q6" i="24"/>
  <c r="Q5" i="24"/>
  <c r="Q4" i="24"/>
  <c r="Q3" i="24"/>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DJ27" i="4"/>
  <c r="C24" i="18" s="1"/>
  <c r="DJ26" i="4"/>
  <c r="C23" i="18" s="1"/>
  <c r="DJ25" i="4"/>
  <c r="C22" i="18" s="1"/>
  <c r="DJ24" i="4"/>
  <c r="C21" i="18" s="1"/>
  <c r="DJ23" i="4"/>
  <c r="C20" i="18" s="1"/>
  <c r="DJ22" i="4"/>
  <c r="C19" i="18" s="1"/>
  <c r="DJ21" i="4"/>
  <c r="C18" i="18" s="1"/>
  <c r="DJ20" i="4"/>
  <c r="C17" i="18" s="1"/>
  <c r="DJ16" i="4"/>
  <c r="C16" i="18" s="1"/>
  <c r="DJ19" i="4"/>
  <c r="C15" i="18" s="1"/>
  <c r="DJ18" i="4"/>
  <c r="C14" i="18" s="1"/>
  <c r="DJ17" i="4"/>
  <c r="C13" i="18" s="1"/>
  <c r="DJ15" i="4"/>
  <c r="C12" i="18" s="1"/>
  <c r="DJ14" i="4"/>
  <c r="C11" i="18" s="1"/>
  <c r="DJ13" i="4"/>
  <c r="C10" i="18" s="1"/>
  <c r="DJ12" i="4"/>
  <c r="C9" i="18" s="1"/>
  <c r="DJ11" i="4"/>
  <c r="C8" i="18" s="1"/>
  <c r="DJ10" i="4"/>
  <c r="C7" i="18" s="1"/>
  <c r="DJ9" i="4"/>
  <c r="C6" i="18" s="1"/>
  <c r="DJ8" i="4"/>
  <c r="C5" i="18" s="1"/>
  <c r="P126" i="24"/>
  <c r="P125" i="24"/>
  <c r="P124" i="24"/>
  <c r="P123" i="24"/>
  <c r="P122" i="24"/>
  <c r="P121" i="24"/>
  <c r="P120" i="24"/>
  <c r="P119" i="24"/>
  <c r="P118" i="24"/>
  <c r="P117" i="24"/>
  <c r="P116" i="24"/>
  <c r="P115" i="24"/>
  <c r="P114" i="24"/>
  <c r="P113" i="24"/>
  <c r="P111" i="24"/>
  <c r="P110" i="24"/>
  <c r="P109" i="24"/>
  <c r="P108" i="24"/>
  <c r="P107" i="24"/>
  <c r="P106" i="24"/>
  <c r="P105" i="24"/>
  <c r="P104" i="24"/>
  <c r="P103" i="24"/>
  <c r="P102" i="24"/>
  <c r="P101" i="24"/>
  <c r="P100" i="24"/>
  <c r="P99" i="24"/>
  <c r="P98" i="24"/>
  <c r="P97" i="24"/>
  <c r="P96" i="24"/>
  <c r="P95" i="24"/>
  <c r="P94" i="24"/>
  <c r="P93" i="24"/>
  <c r="P92" i="24"/>
  <c r="P91" i="24"/>
  <c r="P90" i="24"/>
  <c r="P89" i="24"/>
  <c r="P88" i="24"/>
  <c r="P87" i="24"/>
  <c r="P86" i="24"/>
  <c r="P85" i="24"/>
  <c r="P84" i="24"/>
  <c r="P83" i="24"/>
  <c r="P82" i="24"/>
  <c r="P81" i="24"/>
  <c r="P80" i="24"/>
  <c r="P79" i="24"/>
  <c r="P78" i="24"/>
  <c r="P77" i="24"/>
  <c r="P76" i="24"/>
  <c r="P75" i="24"/>
  <c r="P74" i="24"/>
  <c r="P73" i="24"/>
  <c r="P72" i="24"/>
  <c r="P71" i="24"/>
  <c r="P70" i="24"/>
  <c r="P69" i="24"/>
  <c r="P68" i="24"/>
  <c r="P67" i="24"/>
  <c r="P66" i="24"/>
  <c r="P65" i="24"/>
  <c r="P64" i="24"/>
  <c r="P63" i="24"/>
  <c r="P62" i="24"/>
  <c r="P61" i="24"/>
  <c r="P60" i="24"/>
  <c r="P59" i="24"/>
  <c r="P58" i="24"/>
  <c r="P57" i="24"/>
  <c r="P56" i="24"/>
  <c r="P55" i="24"/>
  <c r="P54" i="24"/>
  <c r="P53" i="24"/>
  <c r="P52" i="24"/>
  <c r="P51" i="24"/>
  <c r="P50" i="24"/>
  <c r="P49" i="24"/>
  <c r="P48" i="24"/>
  <c r="P47" i="24"/>
  <c r="P46" i="24"/>
  <c r="AT7" i="4"/>
  <c r="P45" i="24" s="1"/>
  <c r="AS7" i="4"/>
  <c r="P44" i="24" s="1"/>
  <c r="AR7" i="4"/>
  <c r="P43" i="24" s="1"/>
  <c r="AQ7" i="4"/>
  <c r="P42" i="24" s="1"/>
  <c r="AP7" i="4"/>
  <c r="P41" i="24" s="1"/>
  <c r="AO7" i="4"/>
  <c r="P40" i="24" s="1"/>
  <c r="AN7" i="4"/>
  <c r="P39" i="24" s="1"/>
  <c r="AM7" i="4"/>
  <c r="P38" i="24" s="1"/>
  <c r="AL7" i="4"/>
  <c r="P37" i="24" s="1"/>
  <c r="AK7" i="4"/>
  <c r="P36" i="24" s="1"/>
  <c r="AJ7" i="4"/>
  <c r="P35" i="24" s="1"/>
  <c r="AI7" i="4"/>
  <c r="P34" i="24" s="1"/>
  <c r="AH7" i="4"/>
  <c r="P33" i="24" s="1"/>
  <c r="AG7" i="4"/>
  <c r="P32" i="24" s="1"/>
  <c r="AF7" i="4"/>
  <c r="P31" i="24" s="1"/>
  <c r="P30" i="24"/>
  <c r="AD7" i="4"/>
  <c r="P29" i="24" s="1"/>
  <c r="AC7" i="4"/>
  <c r="P28" i="24" s="1"/>
  <c r="AB7" i="4"/>
  <c r="P27" i="24" s="1"/>
  <c r="AA7" i="4"/>
  <c r="P26" i="24" s="1"/>
  <c r="Z7" i="4"/>
  <c r="P25" i="24" s="1"/>
  <c r="Y7" i="4"/>
  <c r="P24" i="24" s="1"/>
  <c r="X7" i="4"/>
  <c r="P23" i="24" s="1"/>
  <c r="W7" i="4"/>
  <c r="P22" i="24" s="1"/>
  <c r="V7" i="4"/>
  <c r="P21" i="24" s="1"/>
  <c r="U7" i="4"/>
  <c r="P20" i="24" s="1"/>
  <c r="T7" i="4"/>
  <c r="P19" i="24" s="1"/>
  <c r="S7" i="4"/>
  <c r="P18" i="24" s="1"/>
  <c r="R7" i="4"/>
  <c r="P17" i="24" s="1"/>
  <c r="Q7" i="4"/>
  <c r="P16" i="24" s="1"/>
  <c r="P7" i="4"/>
  <c r="P15" i="24" s="1"/>
  <c r="O7" i="4"/>
  <c r="P14" i="24" s="1"/>
  <c r="N7" i="4"/>
  <c r="P13" i="24" s="1"/>
  <c r="M7" i="4"/>
  <c r="P12" i="24" s="1"/>
  <c r="L7" i="4"/>
  <c r="P11" i="24" s="1"/>
  <c r="K7" i="4"/>
  <c r="P10" i="24" s="1"/>
  <c r="J7" i="4"/>
  <c r="P9" i="24" s="1"/>
  <c r="I7" i="4"/>
  <c r="P8" i="24" s="1"/>
  <c r="H7" i="4"/>
  <c r="P7" i="24" s="1"/>
  <c r="G7" i="4"/>
  <c r="P6" i="24" s="1"/>
  <c r="F7" i="4"/>
  <c r="P5" i="24" s="1"/>
  <c r="E7" i="4"/>
  <c r="P4" i="24" s="1"/>
  <c r="D7" i="4"/>
  <c r="P3" i="24" s="1"/>
  <c r="C7" i="4"/>
  <c r="P2" i="24" s="1"/>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6" i="9"/>
  <c r="C65" i="9"/>
  <c r="C64" i="9"/>
  <c r="C63" i="9"/>
  <c r="C62" i="9"/>
  <c r="C61" i="9"/>
  <c r="C60" i="9"/>
  <c r="C59" i="9"/>
  <c r="C58" i="9"/>
  <c r="C57" i="9"/>
  <c r="C56" i="9"/>
  <c r="C55" i="9"/>
  <c r="C67"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C6" i="9"/>
  <c r="C5" i="9"/>
  <c r="O125" i="24"/>
  <c r="O123" i="24"/>
  <c r="O121" i="24"/>
  <c r="O119" i="24"/>
  <c r="O117" i="24"/>
  <c r="O115" i="24"/>
  <c r="O113" i="24"/>
  <c r="O111" i="24"/>
  <c r="O109" i="24"/>
  <c r="O107" i="24"/>
  <c r="O105" i="24"/>
  <c r="O103" i="24"/>
  <c r="O101" i="24"/>
  <c r="O99" i="24"/>
  <c r="O97" i="24"/>
  <c r="O95" i="24"/>
  <c r="O93" i="24"/>
  <c r="O91" i="24"/>
  <c r="O89" i="24"/>
  <c r="O87" i="24"/>
  <c r="O85" i="24"/>
  <c r="O83" i="24"/>
  <c r="O81" i="24"/>
  <c r="O79" i="24"/>
  <c r="O77" i="24"/>
  <c r="O75" i="24"/>
  <c r="O73" i="24"/>
  <c r="O71" i="24"/>
  <c r="O69" i="24"/>
  <c r="O67" i="24"/>
  <c r="O65" i="24"/>
  <c r="O63" i="24"/>
  <c r="O61" i="24"/>
  <c r="O59" i="24"/>
  <c r="O57" i="24"/>
  <c r="O55" i="24"/>
  <c r="O53" i="24"/>
  <c r="O51" i="24"/>
  <c r="O49" i="24"/>
  <c r="O47" i="24"/>
  <c r="O45" i="24"/>
  <c r="O43" i="24"/>
  <c r="O41" i="24"/>
  <c r="O39" i="24"/>
  <c r="O37" i="24"/>
  <c r="O35" i="24"/>
  <c r="O33" i="24"/>
  <c r="O31" i="24"/>
  <c r="O29" i="24"/>
  <c r="O27" i="24"/>
  <c r="O25" i="24"/>
  <c r="O23" i="24"/>
  <c r="O21" i="24"/>
  <c r="O19" i="24"/>
  <c r="O17" i="24"/>
  <c r="O15" i="24"/>
  <c r="O13" i="24"/>
  <c r="O11" i="24"/>
  <c r="O9" i="24"/>
  <c r="O7" i="24"/>
  <c r="O5" i="24"/>
  <c r="O3" i="24"/>
  <c r="S126" i="26"/>
  <c r="R126" i="26"/>
  <c r="Q126" i="26"/>
  <c r="O126" i="26"/>
  <c r="N126" i="26"/>
  <c r="S125" i="26"/>
  <c r="R125" i="26"/>
  <c r="Q125" i="26"/>
  <c r="O125" i="26"/>
  <c r="N125" i="26"/>
  <c r="S124" i="26"/>
  <c r="R124" i="26"/>
  <c r="Q124" i="26"/>
  <c r="O124" i="26"/>
  <c r="N124" i="26"/>
  <c r="S123" i="26"/>
  <c r="R123" i="26"/>
  <c r="Q123" i="26"/>
  <c r="O123" i="26"/>
  <c r="N123" i="26"/>
  <c r="S122" i="26"/>
  <c r="R122" i="26"/>
  <c r="Q122" i="26"/>
  <c r="O122" i="26"/>
  <c r="P122" i="26" s="1"/>
  <c r="N122" i="26"/>
  <c r="S121" i="26"/>
  <c r="R121" i="26"/>
  <c r="Q121" i="26"/>
  <c r="O121" i="26"/>
  <c r="N121" i="26"/>
  <c r="S120" i="26"/>
  <c r="R120" i="26"/>
  <c r="Q120" i="26"/>
  <c r="O120" i="26"/>
  <c r="N120" i="26"/>
  <c r="S119" i="26"/>
  <c r="R119" i="26"/>
  <c r="Q119" i="26"/>
  <c r="O119" i="26"/>
  <c r="N119" i="26"/>
  <c r="S118" i="26"/>
  <c r="R118" i="26"/>
  <c r="Q118" i="26"/>
  <c r="O118" i="26"/>
  <c r="N118" i="26"/>
  <c r="S117" i="26"/>
  <c r="R117" i="26"/>
  <c r="Q117" i="26"/>
  <c r="O117" i="26"/>
  <c r="N117" i="26"/>
  <c r="S116" i="26"/>
  <c r="R116" i="26"/>
  <c r="Q116" i="26"/>
  <c r="O116" i="26"/>
  <c r="N116" i="26"/>
  <c r="S115" i="26"/>
  <c r="R115" i="26"/>
  <c r="Q115" i="26"/>
  <c r="O115" i="26"/>
  <c r="N115" i="26"/>
  <c r="S114" i="26"/>
  <c r="R114" i="26"/>
  <c r="Q114" i="26"/>
  <c r="O114" i="26"/>
  <c r="P114" i="26" s="1"/>
  <c r="N114" i="26"/>
  <c r="S113" i="26"/>
  <c r="R113" i="26"/>
  <c r="Q113" i="26"/>
  <c r="O113" i="26"/>
  <c r="N113" i="26"/>
  <c r="S112" i="26"/>
  <c r="R112" i="26"/>
  <c r="Q112" i="26"/>
  <c r="O112" i="26"/>
  <c r="N112" i="26"/>
  <c r="S111" i="26"/>
  <c r="R111" i="26"/>
  <c r="Q111" i="26"/>
  <c r="O111" i="26"/>
  <c r="N111" i="26"/>
  <c r="S110" i="26"/>
  <c r="R110" i="26"/>
  <c r="Q110" i="26"/>
  <c r="O110" i="26"/>
  <c r="N110" i="26"/>
  <c r="S109" i="26"/>
  <c r="R109" i="26"/>
  <c r="Q109" i="26"/>
  <c r="O109" i="26"/>
  <c r="N109" i="26"/>
  <c r="S108" i="26"/>
  <c r="R108" i="26"/>
  <c r="Q108" i="26"/>
  <c r="O108" i="26"/>
  <c r="N108" i="26"/>
  <c r="S107" i="26"/>
  <c r="R107" i="26"/>
  <c r="Q107" i="26"/>
  <c r="O107" i="26"/>
  <c r="N107" i="26"/>
  <c r="S106" i="26"/>
  <c r="R106" i="26"/>
  <c r="Q106" i="26"/>
  <c r="O106" i="26"/>
  <c r="P106" i="26" s="1"/>
  <c r="N106" i="26"/>
  <c r="S105" i="26"/>
  <c r="R105" i="26"/>
  <c r="Q105" i="26"/>
  <c r="O105" i="26"/>
  <c r="N105" i="26"/>
  <c r="S104" i="26"/>
  <c r="R104" i="26"/>
  <c r="Q104" i="26"/>
  <c r="O104" i="26"/>
  <c r="N104" i="26"/>
  <c r="S103" i="26"/>
  <c r="R103" i="26"/>
  <c r="Q103" i="26"/>
  <c r="O103" i="26"/>
  <c r="N103" i="26"/>
  <c r="S102" i="26"/>
  <c r="R102" i="26"/>
  <c r="Q102" i="26"/>
  <c r="O102" i="26"/>
  <c r="N102" i="26"/>
  <c r="S101" i="26"/>
  <c r="R101" i="26"/>
  <c r="Q101" i="26"/>
  <c r="O101" i="26"/>
  <c r="N101" i="26"/>
  <c r="S100" i="26"/>
  <c r="R100" i="26"/>
  <c r="Q100" i="26"/>
  <c r="O100" i="26"/>
  <c r="N100" i="26"/>
  <c r="S99" i="26"/>
  <c r="R99" i="26"/>
  <c r="Q99" i="26"/>
  <c r="O99" i="26"/>
  <c r="N99" i="26"/>
  <c r="S98" i="26"/>
  <c r="R98" i="26"/>
  <c r="Q98" i="26"/>
  <c r="O98" i="26"/>
  <c r="P98" i="26" s="1"/>
  <c r="N98" i="26"/>
  <c r="S97" i="26"/>
  <c r="R97" i="26"/>
  <c r="Q97" i="26"/>
  <c r="O97" i="26"/>
  <c r="N97" i="26"/>
  <c r="S96" i="26"/>
  <c r="R96" i="26"/>
  <c r="Q96" i="26"/>
  <c r="O96" i="26"/>
  <c r="N96" i="26"/>
  <c r="S95" i="26"/>
  <c r="R95" i="26"/>
  <c r="Q95" i="26"/>
  <c r="O95" i="26"/>
  <c r="N95" i="26"/>
  <c r="S94" i="26"/>
  <c r="R94" i="26"/>
  <c r="Q94" i="26"/>
  <c r="O94" i="26"/>
  <c r="N94" i="26"/>
  <c r="S93" i="26"/>
  <c r="R93" i="26"/>
  <c r="Q93" i="26"/>
  <c r="O93" i="26"/>
  <c r="N93" i="26"/>
  <c r="S92" i="26"/>
  <c r="R92" i="26"/>
  <c r="Q92" i="26"/>
  <c r="O92" i="26"/>
  <c r="N92" i="26"/>
  <c r="S91" i="26"/>
  <c r="R91" i="26"/>
  <c r="Q91" i="26"/>
  <c r="O91" i="26"/>
  <c r="N91" i="26"/>
  <c r="S90" i="26"/>
  <c r="R90" i="26"/>
  <c r="Q90" i="26"/>
  <c r="O90" i="26"/>
  <c r="P90" i="26" s="1"/>
  <c r="N90" i="26"/>
  <c r="S89" i="26"/>
  <c r="R89" i="26"/>
  <c r="Q89" i="26"/>
  <c r="O89" i="26"/>
  <c r="N89" i="26"/>
  <c r="S88" i="26"/>
  <c r="R88" i="26"/>
  <c r="Q88" i="26"/>
  <c r="O88" i="26"/>
  <c r="N88" i="26"/>
  <c r="S87" i="26"/>
  <c r="R87" i="26"/>
  <c r="Q87" i="26"/>
  <c r="O87" i="26"/>
  <c r="N87" i="26"/>
  <c r="S86" i="26"/>
  <c r="R86" i="26"/>
  <c r="Q86" i="26"/>
  <c r="O86" i="26"/>
  <c r="N86" i="26"/>
  <c r="S85" i="26"/>
  <c r="R85" i="26"/>
  <c r="Q85" i="26"/>
  <c r="O85" i="26"/>
  <c r="N85" i="26"/>
  <c r="S84" i="26"/>
  <c r="R84" i="26"/>
  <c r="Q84" i="26"/>
  <c r="O84" i="26"/>
  <c r="N84" i="26"/>
  <c r="S83" i="26"/>
  <c r="R83" i="26"/>
  <c r="Q83" i="26"/>
  <c r="O83" i="26"/>
  <c r="N83" i="26"/>
  <c r="S82" i="26"/>
  <c r="R82" i="26"/>
  <c r="Q82" i="26"/>
  <c r="O82" i="26"/>
  <c r="P82" i="26" s="1"/>
  <c r="N82" i="26"/>
  <c r="S81" i="26"/>
  <c r="R81" i="26"/>
  <c r="Q81" i="26"/>
  <c r="O81" i="26"/>
  <c r="N81" i="26"/>
  <c r="S80" i="26"/>
  <c r="R80" i="26"/>
  <c r="Q80" i="26"/>
  <c r="O80" i="26"/>
  <c r="N80" i="26"/>
  <c r="S79" i="26"/>
  <c r="R79" i="26"/>
  <c r="Q79" i="26"/>
  <c r="O79" i="26"/>
  <c r="N79" i="26"/>
  <c r="S78" i="26"/>
  <c r="R78" i="26"/>
  <c r="Q78" i="26"/>
  <c r="O78" i="26"/>
  <c r="N78" i="26"/>
  <c r="S77" i="26"/>
  <c r="R77" i="26"/>
  <c r="Q77" i="26"/>
  <c r="O77" i="26"/>
  <c r="N77" i="26"/>
  <c r="S76" i="26"/>
  <c r="R76" i="26"/>
  <c r="Q76" i="26"/>
  <c r="O76" i="26"/>
  <c r="N76" i="26"/>
  <c r="S75" i="26"/>
  <c r="R75" i="26"/>
  <c r="Q75" i="26"/>
  <c r="O75" i="26"/>
  <c r="N75" i="26"/>
  <c r="S74" i="26"/>
  <c r="R74" i="26"/>
  <c r="Q74" i="26"/>
  <c r="O74" i="26"/>
  <c r="P74" i="26" s="1"/>
  <c r="N74" i="26"/>
  <c r="S73" i="26"/>
  <c r="R73" i="26"/>
  <c r="Q73" i="26"/>
  <c r="O73" i="26"/>
  <c r="N73" i="26"/>
  <c r="S72" i="26"/>
  <c r="R72" i="26"/>
  <c r="Q72" i="26"/>
  <c r="O72" i="26"/>
  <c r="N72" i="26"/>
  <c r="S71" i="26"/>
  <c r="R71" i="26"/>
  <c r="Q71" i="26"/>
  <c r="O71" i="26"/>
  <c r="N71" i="26"/>
  <c r="S70" i="26"/>
  <c r="R70" i="26"/>
  <c r="Q70" i="26"/>
  <c r="O70" i="26"/>
  <c r="N70" i="26"/>
  <c r="S69" i="26"/>
  <c r="R69" i="26"/>
  <c r="Q69" i="26"/>
  <c r="O69" i="26"/>
  <c r="N69" i="26"/>
  <c r="S68" i="26"/>
  <c r="R68" i="26"/>
  <c r="Q68" i="26"/>
  <c r="O68" i="26"/>
  <c r="N68" i="26"/>
  <c r="S67" i="26"/>
  <c r="R67" i="26"/>
  <c r="Q67" i="26"/>
  <c r="O67" i="26"/>
  <c r="N67" i="26"/>
  <c r="S66" i="26"/>
  <c r="R66" i="26"/>
  <c r="Q66" i="26"/>
  <c r="O66" i="26"/>
  <c r="P66" i="26" s="1"/>
  <c r="N66" i="26"/>
  <c r="S65" i="26"/>
  <c r="R65" i="26"/>
  <c r="Q65" i="26"/>
  <c r="O65" i="26"/>
  <c r="N65" i="26"/>
  <c r="S64" i="26"/>
  <c r="R64" i="26"/>
  <c r="Q64" i="26"/>
  <c r="O64" i="26"/>
  <c r="N64" i="26"/>
  <c r="S63" i="26"/>
  <c r="R63" i="26"/>
  <c r="Q63" i="26"/>
  <c r="O63" i="26"/>
  <c r="N63" i="26"/>
  <c r="S62" i="26"/>
  <c r="R62" i="26"/>
  <c r="Q62" i="26"/>
  <c r="O62" i="26"/>
  <c r="N62" i="26"/>
  <c r="S61" i="26"/>
  <c r="R61" i="26"/>
  <c r="Q61" i="26"/>
  <c r="O61" i="26"/>
  <c r="N61" i="26"/>
  <c r="S60" i="26"/>
  <c r="R60" i="26"/>
  <c r="Q60" i="26"/>
  <c r="O60" i="26"/>
  <c r="N60" i="26"/>
  <c r="S59" i="26"/>
  <c r="R59" i="26"/>
  <c r="Q59" i="26"/>
  <c r="O59" i="26"/>
  <c r="N59" i="26"/>
  <c r="S58" i="26"/>
  <c r="R58" i="26"/>
  <c r="Q58" i="26"/>
  <c r="O58" i="26"/>
  <c r="P58" i="26" s="1"/>
  <c r="N58" i="26"/>
  <c r="S57" i="26"/>
  <c r="R57" i="26"/>
  <c r="Q57" i="26"/>
  <c r="O57" i="26"/>
  <c r="N57" i="26"/>
  <c r="S56" i="26"/>
  <c r="R56" i="26"/>
  <c r="Q56" i="26"/>
  <c r="O56" i="26"/>
  <c r="N56" i="26"/>
  <c r="S55" i="26"/>
  <c r="R55" i="26"/>
  <c r="Q55" i="26"/>
  <c r="O55" i="26"/>
  <c r="N55" i="26"/>
  <c r="S54" i="26"/>
  <c r="R54" i="26"/>
  <c r="Q54" i="26"/>
  <c r="O54" i="26"/>
  <c r="N54" i="26"/>
  <c r="S53" i="26"/>
  <c r="R53" i="26"/>
  <c r="Q53" i="26"/>
  <c r="O53" i="26"/>
  <c r="N53" i="26"/>
  <c r="S52" i="26"/>
  <c r="R52" i="26"/>
  <c r="Q52" i="26"/>
  <c r="O52" i="26"/>
  <c r="N52" i="26"/>
  <c r="S51" i="26"/>
  <c r="R51" i="26"/>
  <c r="Q51" i="26"/>
  <c r="O51" i="26"/>
  <c r="N51" i="26"/>
  <c r="S50" i="26"/>
  <c r="R50" i="26"/>
  <c r="Q50" i="26"/>
  <c r="O50" i="26"/>
  <c r="P50" i="26" s="1"/>
  <c r="N50" i="26"/>
  <c r="S49" i="26"/>
  <c r="R49" i="26"/>
  <c r="Q49" i="26"/>
  <c r="O49" i="26"/>
  <c r="N49" i="26"/>
  <c r="S48" i="26"/>
  <c r="R48" i="26"/>
  <c r="Q48" i="26"/>
  <c r="O48" i="26"/>
  <c r="N48" i="26"/>
  <c r="S47" i="26"/>
  <c r="R47" i="26"/>
  <c r="Q47" i="26"/>
  <c r="O47" i="26"/>
  <c r="N47" i="26"/>
  <c r="S46" i="26"/>
  <c r="R46" i="26"/>
  <c r="Q46" i="26"/>
  <c r="O46" i="26"/>
  <c r="N46" i="26"/>
  <c r="S45" i="26"/>
  <c r="R45" i="26"/>
  <c r="Q45" i="26"/>
  <c r="O45" i="26"/>
  <c r="N45" i="26"/>
  <c r="S44" i="26"/>
  <c r="R44" i="26"/>
  <c r="Q44" i="26"/>
  <c r="O44" i="26"/>
  <c r="N44" i="26"/>
  <c r="S43" i="26"/>
  <c r="R43" i="26"/>
  <c r="Q43" i="26"/>
  <c r="O43" i="26"/>
  <c r="N43" i="26"/>
  <c r="S42" i="26"/>
  <c r="R42" i="26"/>
  <c r="Q42" i="26"/>
  <c r="O42" i="26"/>
  <c r="P42" i="26" s="1"/>
  <c r="N42" i="26"/>
  <c r="S41" i="26"/>
  <c r="R41" i="26"/>
  <c r="Q41" i="26"/>
  <c r="O41" i="26"/>
  <c r="N41" i="26"/>
  <c r="S40" i="26"/>
  <c r="R40" i="26"/>
  <c r="Q40" i="26"/>
  <c r="O40" i="26"/>
  <c r="N40" i="26"/>
  <c r="S39" i="26"/>
  <c r="R39" i="26"/>
  <c r="Q39" i="26"/>
  <c r="O39" i="26"/>
  <c r="N39" i="26"/>
  <c r="S38" i="26"/>
  <c r="R38" i="26"/>
  <c r="Q38" i="26"/>
  <c r="O38" i="26"/>
  <c r="N38" i="26"/>
  <c r="S37" i="26"/>
  <c r="R37" i="26"/>
  <c r="Q37" i="26"/>
  <c r="O37" i="26"/>
  <c r="N37" i="26"/>
  <c r="S36" i="26"/>
  <c r="R36" i="26"/>
  <c r="Q36" i="26"/>
  <c r="O36" i="26"/>
  <c r="N36" i="26"/>
  <c r="S35" i="26"/>
  <c r="R35" i="26"/>
  <c r="Q35" i="26"/>
  <c r="O35" i="26"/>
  <c r="N35" i="26"/>
  <c r="S34" i="26"/>
  <c r="R34" i="26"/>
  <c r="Q34" i="26"/>
  <c r="O34" i="26"/>
  <c r="P34" i="26" s="1"/>
  <c r="N34" i="26"/>
  <c r="S33" i="26"/>
  <c r="R33" i="26"/>
  <c r="Q33" i="26"/>
  <c r="O33" i="26"/>
  <c r="N33" i="26"/>
  <c r="S32" i="26"/>
  <c r="R32" i="26"/>
  <c r="Q32" i="26"/>
  <c r="O32" i="26"/>
  <c r="N32" i="26"/>
  <c r="S31" i="26"/>
  <c r="R31" i="26"/>
  <c r="Q31" i="26"/>
  <c r="O31" i="26"/>
  <c r="N31" i="26"/>
  <c r="S30" i="26"/>
  <c r="R30" i="26"/>
  <c r="Q30" i="26"/>
  <c r="O30" i="26"/>
  <c r="N30" i="26"/>
  <c r="S29" i="26"/>
  <c r="R29" i="26"/>
  <c r="Q29" i="26"/>
  <c r="O29" i="26"/>
  <c r="N29" i="26"/>
  <c r="S28" i="26"/>
  <c r="R28" i="26"/>
  <c r="Q28" i="26"/>
  <c r="O28" i="26"/>
  <c r="N28" i="26"/>
  <c r="S27" i="26"/>
  <c r="R27" i="26"/>
  <c r="Q27" i="26"/>
  <c r="O27" i="26"/>
  <c r="N27" i="26"/>
  <c r="S26" i="26"/>
  <c r="R26" i="26"/>
  <c r="Q26" i="26"/>
  <c r="O26" i="26"/>
  <c r="P26" i="26" s="1"/>
  <c r="N26" i="26"/>
  <c r="S25" i="26"/>
  <c r="R25" i="26"/>
  <c r="Q25" i="26"/>
  <c r="O25" i="26"/>
  <c r="N25" i="26"/>
  <c r="S24" i="26"/>
  <c r="R24" i="26"/>
  <c r="Q24" i="26"/>
  <c r="O24" i="26"/>
  <c r="N24" i="26"/>
  <c r="S23" i="26"/>
  <c r="R23" i="26"/>
  <c r="Q23" i="26"/>
  <c r="O23" i="26"/>
  <c r="N23" i="26"/>
  <c r="S22" i="26"/>
  <c r="R22" i="26"/>
  <c r="Q22" i="26"/>
  <c r="O22" i="26"/>
  <c r="N22" i="26"/>
  <c r="S21" i="26"/>
  <c r="R21" i="26"/>
  <c r="Q21" i="26"/>
  <c r="O21" i="26"/>
  <c r="N21" i="26"/>
  <c r="S20" i="26"/>
  <c r="R20" i="26"/>
  <c r="Q20" i="26"/>
  <c r="O20" i="26"/>
  <c r="N20" i="26"/>
  <c r="S19" i="26"/>
  <c r="R19" i="26"/>
  <c r="Q19" i="26"/>
  <c r="O19" i="26"/>
  <c r="N19" i="26"/>
  <c r="S18" i="26"/>
  <c r="R18" i="26"/>
  <c r="Q18" i="26"/>
  <c r="O18" i="26"/>
  <c r="P18" i="26" s="1"/>
  <c r="N18" i="26"/>
  <c r="S17" i="26"/>
  <c r="R17" i="26"/>
  <c r="Q17" i="26"/>
  <c r="O17" i="26"/>
  <c r="N17" i="26"/>
  <c r="S16" i="26"/>
  <c r="R16" i="26"/>
  <c r="Q16" i="26"/>
  <c r="O16" i="26"/>
  <c r="N16" i="26"/>
  <c r="S15" i="26"/>
  <c r="R15" i="26"/>
  <c r="Q15" i="26"/>
  <c r="O15" i="26"/>
  <c r="N15" i="26"/>
  <c r="S14" i="26"/>
  <c r="R14" i="26"/>
  <c r="Q14" i="26"/>
  <c r="O14" i="26"/>
  <c r="N14" i="26"/>
  <c r="S13" i="26"/>
  <c r="R13" i="26"/>
  <c r="Q13" i="26"/>
  <c r="O13" i="26"/>
  <c r="N13" i="26"/>
  <c r="S12" i="26"/>
  <c r="R12" i="26"/>
  <c r="Q12" i="26"/>
  <c r="O12" i="26"/>
  <c r="N12" i="26"/>
  <c r="S11" i="26"/>
  <c r="R11" i="26"/>
  <c r="Q11" i="26"/>
  <c r="O11" i="26"/>
  <c r="N11" i="26"/>
  <c r="S10" i="26"/>
  <c r="R10" i="26"/>
  <c r="Q10" i="26"/>
  <c r="O10" i="26"/>
  <c r="P10" i="26" s="1"/>
  <c r="N10" i="26"/>
  <c r="S9" i="26"/>
  <c r="R9" i="26"/>
  <c r="Q9" i="26"/>
  <c r="O9" i="26"/>
  <c r="N9" i="26"/>
  <c r="S8" i="26"/>
  <c r="R8" i="26"/>
  <c r="Q8" i="26"/>
  <c r="O8" i="26"/>
  <c r="N8" i="26"/>
  <c r="S7" i="26"/>
  <c r="R7" i="26"/>
  <c r="Q7" i="26"/>
  <c r="O7" i="26"/>
  <c r="N7" i="26"/>
  <c r="S6" i="26"/>
  <c r="R6" i="26"/>
  <c r="Q6" i="26"/>
  <c r="O6" i="26"/>
  <c r="N6" i="26"/>
  <c r="S5" i="26"/>
  <c r="R5" i="26"/>
  <c r="Q5" i="26"/>
  <c r="O5" i="26"/>
  <c r="N5" i="26"/>
  <c r="S4" i="26"/>
  <c r="R4" i="26"/>
  <c r="Q4" i="26"/>
  <c r="O4" i="26"/>
  <c r="N4" i="26"/>
  <c r="S3" i="26"/>
  <c r="R3" i="26"/>
  <c r="Q3" i="26"/>
  <c r="O3" i="26"/>
  <c r="N3" i="26"/>
  <c r="S2" i="26"/>
  <c r="R2" i="26"/>
  <c r="Q2" i="26"/>
  <c r="O2" i="26"/>
  <c r="P2" i="26" s="1"/>
  <c r="N2" i="26"/>
  <c r="P11" i="26" l="1"/>
  <c r="P19" i="26"/>
  <c r="P27" i="26"/>
  <c r="P35" i="26"/>
  <c r="P43" i="26"/>
  <c r="P51" i="26"/>
  <c r="P59" i="26"/>
  <c r="P67" i="26"/>
  <c r="P75" i="26"/>
  <c r="P83" i="26"/>
  <c r="P91" i="26"/>
  <c r="P99" i="26"/>
  <c r="P107" i="26"/>
  <c r="P115" i="26"/>
  <c r="P123" i="26"/>
  <c r="P3" i="26"/>
  <c r="P4" i="26"/>
  <c r="P12" i="26"/>
  <c r="P20" i="26"/>
  <c r="P28" i="26"/>
  <c r="P36" i="26"/>
  <c r="P44" i="26"/>
  <c r="P52" i="26"/>
  <c r="P60" i="26"/>
  <c r="P68" i="26"/>
  <c r="P76" i="26"/>
  <c r="P84" i="26"/>
  <c r="P92" i="26"/>
  <c r="P100" i="26"/>
  <c r="P108" i="26"/>
  <c r="P116" i="26"/>
  <c r="P124" i="26"/>
  <c r="C65" i="4"/>
  <c r="E65" i="4"/>
  <c r="E94" i="29" s="1"/>
  <c r="M65" i="4"/>
  <c r="M94" i="29" s="1"/>
  <c r="U65" i="4"/>
  <c r="U94" i="29" s="1"/>
  <c r="AC65" i="4"/>
  <c r="AC94" i="29" s="1"/>
  <c r="AK65" i="4"/>
  <c r="AK94" i="29" s="1"/>
  <c r="AS65" i="4"/>
  <c r="AS94" i="29" s="1"/>
  <c r="BA65" i="4"/>
  <c r="BA94" i="29" s="1"/>
  <c r="BI65" i="4"/>
  <c r="BI94" i="29" s="1"/>
  <c r="BQ65" i="4"/>
  <c r="BQ94" i="29" s="1"/>
  <c r="BY65" i="4"/>
  <c r="BY94" i="29" s="1"/>
  <c r="CG65" i="4"/>
  <c r="CG94" i="29" s="1"/>
  <c r="CO65" i="4"/>
  <c r="CO94" i="29" s="1"/>
  <c r="CW65" i="4"/>
  <c r="CW94" i="29" s="1"/>
  <c r="DE65" i="4"/>
  <c r="DE94" i="29" s="1"/>
  <c r="F65" i="4"/>
  <c r="F94" i="29" s="1"/>
  <c r="G65" i="4"/>
  <c r="G94" i="29" s="1"/>
  <c r="N65" i="4"/>
  <c r="N94" i="29" s="1"/>
  <c r="BR65" i="4"/>
  <c r="BR94" i="29" s="1"/>
  <c r="P65" i="4"/>
  <c r="P94" i="29" s="1"/>
  <c r="BL65" i="4"/>
  <c r="BL94" i="29" s="1"/>
  <c r="CB65" i="4"/>
  <c r="CB94" i="29" s="1"/>
  <c r="CJ65" i="4"/>
  <c r="CJ94" i="29" s="1"/>
  <c r="Y65" i="4"/>
  <c r="Y94" i="29" s="1"/>
  <c r="AG65" i="4"/>
  <c r="AG94" i="29" s="1"/>
  <c r="AA65" i="4"/>
  <c r="AA94" i="29" s="1"/>
  <c r="AY65" i="4"/>
  <c r="AY94" i="29" s="1"/>
  <c r="CM65" i="4"/>
  <c r="CM94" i="29" s="1"/>
  <c r="DC65" i="4"/>
  <c r="DC94" i="29" s="1"/>
  <c r="P112" i="24"/>
  <c r="AQ65" i="4"/>
  <c r="AQ94" i="29" s="1"/>
  <c r="CK65" i="4"/>
  <c r="CK94" i="29" s="1"/>
  <c r="CS65" i="4"/>
  <c r="CS94" i="29" s="1"/>
  <c r="AZ65" i="4"/>
  <c r="AZ94" i="29" s="1"/>
  <c r="AH65" i="4"/>
  <c r="AH94" i="29" s="1"/>
  <c r="CT65" i="4"/>
  <c r="CT94" i="29" s="1"/>
  <c r="BZ65" i="4"/>
  <c r="BZ94" i="29" s="1"/>
  <c r="X65" i="4"/>
  <c r="X94" i="29" s="1"/>
  <c r="AP65" i="4"/>
  <c r="AP94" i="29" s="1"/>
  <c r="DB65" i="4"/>
  <c r="DB94" i="29" s="1"/>
  <c r="BH65" i="4"/>
  <c r="BH94" i="29" s="1"/>
  <c r="V65" i="4"/>
  <c r="V94" i="29" s="1"/>
  <c r="AD65" i="4"/>
  <c r="AD94" i="29" s="1"/>
  <c r="AL65" i="4"/>
  <c r="AL94" i="29" s="1"/>
  <c r="AT65" i="4"/>
  <c r="AT94" i="29" s="1"/>
  <c r="BB65" i="4"/>
  <c r="BB94" i="29" s="1"/>
  <c r="BJ65" i="4"/>
  <c r="BJ94" i="29" s="1"/>
  <c r="CH65" i="4"/>
  <c r="CH94" i="29" s="1"/>
  <c r="CP65" i="4"/>
  <c r="CP94" i="29" s="1"/>
  <c r="CX65" i="4"/>
  <c r="CX94" i="29" s="1"/>
  <c r="DF65" i="4"/>
  <c r="DF94" i="29" s="1"/>
  <c r="I65" i="4"/>
  <c r="I94" i="29" s="1"/>
  <c r="Q65" i="4"/>
  <c r="Q94" i="29" s="1"/>
  <c r="AO65" i="4"/>
  <c r="AO94" i="29" s="1"/>
  <c r="AW65" i="4"/>
  <c r="AW94" i="29" s="1"/>
  <c r="BE65" i="4"/>
  <c r="BE94" i="29" s="1"/>
  <c r="BM65" i="4"/>
  <c r="BM94" i="29" s="1"/>
  <c r="BU65" i="4"/>
  <c r="BU94" i="29" s="1"/>
  <c r="CC65" i="4"/>
  <c r="CC94" i="29" s="1"/>
  <c r="DA65" i="4"/>
  <c r="DA94" i="29" s="1"/>
  <c r="D65" i="4"/>
  <c r="D94" i="29" s="1"/>
  <c r="T65" i="4"/>
  <c r="T94" i="29" s="1"/>
  <c r="AJ65" i="4"/>
  <c r="AJ94" i="29" s="1"/>
  <c r="BP65" i="4"/>
  <c r="BP94" i="29" s="1"/>
  <c r="CF65" i="4"/>
  <c r="CF94" i="29" s="1"/>
  <c r="CV65" i="4"/>
  <c r="CV94" i="29" s="1"/>
  <c r="R65" i="4"/>
  <c r="R94" i="29" s="1"/>
  <c r="BN65" i="4"/>
  <c r="BN94" i="29" s="1"/>
  <c r="CD65" i="4"/>
  <c r="CD94" i="29" s="1"/>
  <c r="H65" i="4"/>
  <c r="H94" i="29" s="1"/>
  <c r="AF65" i="4"/>
  <c r="AF94" i="29" s="1"/>
  <c r="AN65" i="4"/>
  <c r="AN94" i="29" s="1"/>
  <c r="AV65" i="4"/>
  <c r="AV94" i="29" s="1"/>
  <c r="BD65" i="4"/>
  <c r="BD94" i="29" s="1"/>
  <c r="BT65" i="4"/>
  <c r="BT94" i="29" s="1"/>
  <c r="CR65" i="4"/>
  <c r="CR94" i="29" s="1"/>
  <c r="CZ65" i="4"/>
  <c r="CZ94" i="29" s="1"/>
  <c r="DH65" i="4"/>
  <c r="DH94" i="29" s="1"/>
  <c r="K65" i="4"/>
  <c r="K94" i="29" s="1"/>
  <c r="AI65" i="4"/>
  <c r="AI94" i="29" s="1"/>
  <c r="BG65" i="4"/>
  <c r="BG94" i="29" s="1"/>
  <c r="BO65" i="4"/>
  <c r="BO94" i="29" s="1"/>
  <c r="BW65" i="4"/>
  <c r="BW94" i="29" s="1"/>
  <c r="CU65" i="4"/>
  <c r="CU94" i="29" s="1"/>
  <c r="J65" i="4"/>
  <c r="J94" i="29" s="1"/>
  <c r="AX65" i="4"/>
  <c r="BF65" i="4"/>
  <c r="BF94" i="29" s="1"/>
  <c r="BV65" i="4"/>
  <c r="BV94" i="29" s="1"/>
  <c r="CL65" i="4"/>
  <c r="CL94" i="29" s="1"/>
  <c r="S65" i="4"/>
  <c r="S94" i="29" s="1"/>
  <c r="CE65" i="4"/>
  <c r="CE94" i="29" s="1"/>
  <c r="L65" i="4"/>
  <c r="L94" i="29" s="1"/>
  <c r="AB65" i="4"/>
  <c r="AB94" i="29" s="1"/>
  <c r="AR65" i="4"/>
  <c r="AR94" i="29" s="1"/>
  <c r="BX65" i="4"/>
  <c r="BX94" i="29" s="1"/>
  <c r="CN65" i="4"/>
  <c r="CN94" i="29" s="1"/>
  <c r="DD65" i="4"/>
  <c r="DD94" i="29" s="1"/>
  <c r="Z65" i="4"/>
  <c r="Z94" i="29" s="1"/>
  <c r="O65" i="4"/>
  <c r="O94" i="29" s="1"/>
  <c r="W65" i="4"/>
  <c r="W94" i="29" s="1"/>
  <c r="AE65" i="4"/>
  <c r="AE94" i="29" s="1"/>
  <c r="AM65" i="4"/>
  <c r="AM94" i="29" s="1"/>
  <c r="AU65" i="4"/>
  <c r="AU94" i="29" s="1"/>
  <c r="BC65" i="4"/>
  <c r="BC94" i="29" s="1"/>
  <c r="BK65" i="4"/>
  <c r="BK94" i="29" s="1"/>
  <c r="BS65" i="4"/>
  <c r="BS94" i="29" s="1"/>
  <c r="CA65" i="4"/>
  <c r="CA94" i="29" s="1"/>
  <c r="CI65" i="4"/>
  <c r="CI94" i="29" s="1"/>
  <c r="CQ65" i="4"/>
  <c r="CQ94" i="29" s="1"/>
  <c r="CY65" i="4"/>
  <c r="CY94" i="29" s="1"/>
  <c r="DG65" i="4"/>
  <c r="DG94" i="29" s="1"/>
  <c r="O2" i="24"/>
  <c r="O18" i="24"/>
  <c r="O34" i="24"/>
  <c r="O50" i="24"/>
  <c r="O66" i="24"/>
  <c r="O82" i="24"/>
  <c r="O98" i="24"/>
  <c r="O114" i="24"/>
  <c r="P7" i="26"/>
  <c r="P15" i="26"/>
  <c r="P23" i="26"/>
  <c r="P31" i="26"/>
  <c r="P39" i="26"/>
  <c r="P47" i="26"/>
  <c r="P55" i="26"/>
  <c r="P63" i="26"/>
  <c r="P71" i="26"/>
  <c r="P79" i="26"/>
  <c r="P87" i="26"/>
  <c r="P95" i="26"/>
  <c r="P103" i="26"/>
  <c r="P111" i="26"/>
  <c r="P119" i="26"/>
  <c r="O12" i="24"/>
  <c r="O60" i="24"/>
  <c r="O92" i="24"/>
  <c r="O116" i="24"/>
  <c r="O4" i="24"/>
  <c r="O36" i="24"/>
  <c r="O76" i="24"/>
  <c r="O100" i="24"/>
  <c r="O124" i="24"/>
  <c r="P9" i="26"/>
  <c r="P17" i="26"/>
  <c r="P25" i="26"/>
  <c r="P33" i="26"/>
  <c r="P41" i="26"/>
  <c r="P49" i="26"/>
  <c r="P57" i="26"/>
  <c r="P65" i="26"/>
  <c r="P73" i="26"/>
  <c r="P81" i="26"/>
  <c r="P89" i="26"/>
  <c r="P97" i="26"/>
  <c r="P105" i="26"/>
  <c r="P113" i="26"/>
  <c r="P121" i="26"/>
  <c r="O20" i="24"/>
  <c r="O52" i="24"/>
  <c r="O84" i="24"/>
  <c r="O108" i="24"/>
  <c r="P6" i="26"/>
  <c r="P14" i="26"/>
  <c r="P22" i="26"/>
  <c r="P30" i="26"/>
  <c r="P38" i="26"/>
  <c r="P46" i="26"/>
  <c r="P54" i="26"/>
  <c r="P62" i="26"/>
  <c r="P70" i="26"/>
  <c r="P78" i="26"/>
  <c r="P86" i="26"/>
  <c r="P94" i="26"/>
  <c r="P102" i="26"/>
  <c r="P110" i="26"/>
  <c r="P118" i="26"/>
  <c r="P126" i="26"/>
  <c r="O6" i="24"/>
  <c r="O14" i="24"/>
  <c r="O22" i="24"/>
  <c r="O30" i="24"/>
  <c r="O38" i="24"/>
  <c r="O46" i="24"/>
  <c r="O54" i="24"/>
  <c r="O62" i="24"/>
  <c r="O70" i="24"/>
  <c r="O78" i="24"/>
  <c r="O86" i="24"/>
  <c r="O94" i="24"/>
  <c r="O102" i="24"/>
  <c r="O110" i="24"/>
  <c r="O118" i="24"/>
  <c r="O126" i="24"/>
  <c r="O68" i="24"/>
  <c r="O28" i="24"/>
  <c r="P8" i="26"/>
  <c r="P32" i="26"/>
  <c r="P96" i="26"/>
  <c r="P120" i="26"/>
  <c r="O8" i="24"/>
  <c r="O16" i="24"/>
  <c r="O24" i="24"/>
  <c r="O32" i="24"/>
  <c r="O40" i="24"/>
  <c r="O48" i="24"/>
  <c r="O56" i="24"/>
  <c r="O64" i="24"/>
  <c r="O72" i="24"/>
  <c r="O80" i="24"/>
  <c r="O88" i="24"/>
  <c r="O96" i="24"/>
  <c r="O104" i="24"/>
  <c r="O112" i="24"/>
  <c r="O120" i="24"/>
  <c r="O44" i="24"/>
  <c r="P16" i="26"/>
  <c r="P24" i="26"/>
  <c r="P40" i="26"/>
  <c r="P48" i="26"/>
  <c r="P56" i="26"/>
  <c r="P64" i="26"/>
  <c r="P72" i="26"/>
  <c r="P80" i="26"/>
  <c r="P88" i="26"/>
  <c r="P104" i="26"/>
  <c r="P112" i="26"/>
  <c r="P5" i="26"/>
  <c r="P13" i="26"/>
  <c r="P21" i="26"/>
  <c r="P29" i="26"/>
  <c r="P37" i="26"/>
  <c r="P45" i="26"/>
  <c r="P53" i="26"/>
  <c r="P61" i="26"/>
  <c r="P69" i="26"/>
  <c r="P77" i="26"/>
  <c r="P85" i="26"/>
  <c r="P93" i="26"/>
  <c r="P101" i="26"/>
  <c r="P109" i="26"/>
  <c r="P117" i="26"/>
  <c r="P125" i="26"/>
  <c r="O10" i="24"/>
  <c r="O26" i="24"/>
  <c r="O42" i="24"/>
  <c r="O58" i="24"/>
  <c r="O74" i="24"/>
  <c r="O90" i="24"/>
  <c r="O106" i="24"/>
  <c r="O122" i="24"/>
  <c r="O39" i="27"/>
  <c r="O20" i="27"/>
  <c r="B4" i="10"/>
  <c r="D4" i="10"/>
  <c r="F4" i="10"/>
  <c r="H4" i="10"/>
  <c r="J4" i="10"/>
  <c r="L4" i="10"/>
  <c r="N4" i="10"/>
  <c r="P4" i="10"/>
  <c r="R4" i="10"/>
  <c r="T4" i="10"/>
  <c r="V4" i="10"/>
  <c r="X4" i="10"/>
  <c r="Z4" i="10"/>
  <c r="AB4" i="10"/>
  <c r="AD4" i="10"/>
  <c r="AF4" i="10"/>
  <c r="AH4" i="10"/>
  <c r="AJ4" i="10"/>
  <c r="AL4" i="10"/>
  <c r="AN4" i="10"/>
  <c r="AP4" i="10"/>
  <c r="AR4" i="10"/>
  <c r="AT4" i="10"/>
  <c r="AV4" i="10"/>
  <c r="AX4" i="10"/>
  <c r="AZ4" i="10"/>
  <c r="BB4" i="10"/>
  <c r="BD4" i="10"/>
  <c r="BF4" i="10"/>
  <c r="BH4" i="10"/>
  <c r="BJ4" i="10"/>
  <c r="BL4" i="10"/>
  <c r="BN4" i="10"/>
  <c r="BP4" i="10"/>
  <c r="BR4" i="10"/>
  <c r="BT4" i="10"/>
  <c r="BV4" i="10"/>
  <c r="BX4" i="10"/>
  <c r="BZ4" i="10"/>
  <c r="CB4" i="10"/>
  <c r="CD4" i="10"/>
  <c r="CF4" i="10"/>
  <c r="CH4" i="10"/>
  <c r="CJ4" i="10"/>
  <c r="CL4" i="10"/>
  <c r="CN4" i="10"/>
  <c r="CP4" i="10"/>
  <c r="CR4" i="10"/>
  <c r="CT4" i="10"/>
  <c r="CV4" i="10"/>
  <c r="CX4" i="10"/>
  <c r="CZ4" i="10"/>
  <c r="DB4" i="10"/>
  <c r="DD4" i="10"/>
  <c r="DF4" i="10"/>
  <c r="DH4" i="10"/>
  <c r="DJ4" i="10"/>
  <c r="DL4" i="10"/>
  <c r="DN4" i="10"/>
  <c r="DP4" i="10"/>
  <c r="DR4" i="10"/>
  <c r="DT4" i="10"/>
  <c r="A4" i="10"/>
  <c r="C4" i="10"/>
  <c r="E4" i="10"/>
  <c r="G4" i="10"/>
  <c r="I4" i="10"/>
  <c r="K4" i="10"/>
  <c r="M4" i="10"/>
  <c r="O4" i="10"/>
  <c r="Q4" i="10"/>
  <c r="S4" i="10"/>
  <c r="U4" i="10"/>
  <c r="W4" i="10"/>
  <c r="Y4" i="10"/>
  <c r="AA4" i="10"/>
  <c r="AC4" i="10"/>
  <c r="AE4" i="10"/>
  <c r="AG4" i="10"/>
  <c r="AI4" i="10"/>
  <c r="AK4" i="10"/>
  <c r="AM4" i="10"/>
  <c r="AO4" i="10"/>
  <c r="AQ4" i="10"/>
  <c r="AS4" i="10"/>
  <c r="AU4" i="10"/>
  <c r="AW4" i="10"/>
  <c r="AY4" i="10"/>
  <c r="BA4" i="10"/>
  <c r="BC4" i="10"/>
  <c r="BE4" i="10"/>
  <c r="BG4" i="10"/>
  <c r="BI4" i="10"/>
  <c r="BK4" i="10"/>
  <c r="BM4" i="10"/>
  <c r="BO4" i="10"/>
  <c r="BQ4" i="10"/>
  <c r="BS4" i="10"/>
  <c r="BU4" i="10"/>
  <c r="BW4" i="10"/>
  <c r="BY4" i="10"/>
  <c r="CA4" i="10"/>
  <c r="CC4" i="10"/>
  <c r="CE4" i="10"/>
  <c r="CG4" i="10"/>
  <c r="CI4" i="10"/>
  <c r="CK4" i="10"/>
  <c r="CM4" i="10"/>
  <c r="CO4" i="10"/>
  <c r="CQ4" i="10"/>
  <c r="CS4" i="10"/>
  <c r="CU4" i="10"/>
  <c r="CW4" i="10"/>
  <c r="CY4" i="10"/>
  <c r="DA4" i="10"/>
  <c r="DC4" i="10"/>
  <c r="DE4" i="10"/>
  <c r="DG4" i="10"/>
  <c r="DI4" i="10"/>
  <c r="DK4" i="10"/>
  <c r="DM4" i="10"/>
  <c r="DO4" i="10"/>
  <c r="DQ4" i="10"/>
  <c r="DS4" i="10"/>
  <c r="DU4" i="10"/>
  <c r="E3" i="27" l="1"/>
  <c r="T3" i="26"/>
  <c r="E7" i="27"/>
  <c r="T7" i="26"/>
  <c r="E9" i="27"/>
  <c r="T9" i="26"/>
  <c r="E15" i="27"/>
  <c r="T15" i="26"/>
  <c r="E19" i="27"/>
  <c r="T19" i="26"/>
  <c r="E23" i="27"/>
  <c r="T23" i="26"/>
  <c r="E27" i="27"/>
  <c r="T27" i="26"/>
  <c r="E31" i="27"/>
  <c r="T31" i="26"/>
  <c r="E35" i="27"/>
  <c r="T35" i="26"/>
  <c r="E39" i="27"/>
  <c r="T39" i="26"/>
  <c r="E43" i="27"/>
  <c r="T43" i="26"/>
  <c r="E83" i="27"/>
  <c r="T83" i="26"/>
  <c r="E85" i="27"/>
  <c r="T85" i="26"/>
  <c r="E87" i="27"/>
  <c r="T87" i="26"/>
  <c r="E89" i="27"/>
  <c r="T89" i="26"/>
  <c r="E91" i="27"/>
  <c r="T91" i="26"/>
  <c r="E93" i="27"/>
  <c r="T93" i="26"/>
  <c r="E95" i="27"/>
  <c r="T95" i="26"/>
  <c r="E97" i="27"/>
  <c r="T97" i="26"/>
  <c r="E99" i="27"/>
  <c r="T99" i="26"/>
  <c r="E101" i="27"/>
  <c r="T101" i="26"/>
  <c r="E103" i="27"/>
  <c r="T103" i="26"/>
  <c r="E105" i="27"/>
  <c r="T105" i="26"/>
  <c r="E107" i="27"/>
  <c r="T107" i="26"/>
  <c r="E109" i="27"/>
  <c r="T109" i="26"/>
  <c r="E111" i="27"/>
  <c r="T111" i="26"/>
  <c r="E113" i="27"/>
  <c r="T113" i="26"/>
  <c r="E115" i="27"/>
  <c r="T115" i="26"/>
  <c r="E117" i="27"/>
  <c r="T117" i="26"/>
  <c r="E119" i="27"/>
  <c r="T119" i="26"/>
  <c r="E121" i="27"/>
  <c r="T121" i="26"/>
  <c r="E123" i="27"/>
  <c r="T123" i="26"/>
  <c r="E125" i="27"/>
  <c r="T125" i="26"/>
  <c r="E5" i="27"/>
  <c r="T5" i="26"/>
  <c r="E11" i="27"/>
  <c r="T11" i="26"/>
  <c r="E13" i="27"/>
  <c r="T13" i="26"/>
  <c r="E17" i="27"/>
  <c r="T17" i="26"/>
  <c r="E21" i="27"/>
  <c r="T21" i="26"/>
  <c r="E25" i="27"/>
  <c r="T25" i="26"/>
  <c r="E29" i="27"/>
  <c r="T29" i="26"/>
  <c r="E33" i="27"/>
  <c r="T33" i="26"/>
  <c r="E37" i="27"/>
  <c r="T37" i="26"/>
  <c r="E41" i="27"/>
  <c r="T41" i="26"/>
  <c r="E45" i="27"/>
  <c r="T45" i="26"/>
  <c r="E47" i="27"/>
  <c r="T47" i="26"/>
  <c r="E49" i="27"/>
  <c r="T49" i="26"/>
  <c r="E51" i="27"/>
  <c r="T51" i="26"/>
  <c r="E53" i="27"/>
  <c r="T53" i="26"/>
  <c r="E55" i="27"/>
  <c r="T55" i="26"/>
  <c r="E57" i="27"/>
  <c r="T57" i="26"/>
  <c r="E59" i="27"/>
  <c r="T59" i="26"/>
  <c r="E61" i="27"/>
  <c r="T61" i="26"/>
  <c r="E63" i="27"/>
  <c r="T63" i="26"/>
  <c r="E65" i="27"/>
  <c r="T65" i="26"/>
  <c r="E67" i="27"/>
  <c r="T67" i="26"/>
  <c r="E69" i="27"/>
  <c r="T69" i="26"/>
  <c r="E71" i="27"/>
  <c r="T71" i="26"/>
  <c r="E73" i="27"/>
  <c r="T73" i="26"/>
  <c r="E75" i="27"/>
  <c r="T75" i="26"/>
  <c r="E77" i="27"/>
  <c r="T77" i="26"/>
  <c r="E79" i="27"/>
  <c r="T79" i="26"/>
  <c r="E81" i="27"/>
  <c r="T81" i="26"/>
  <c r="E2" i="27"/>
  <c r="T2" i="26"/>
  <c r="E4" i="27"/>
  <c r="T4" i="26"/>
  <c r="E6" i="27"/>
  <c r="T6" i="26"/>
  <c r="E8" i="27"/>
  <c r="T8" i="26"/>
  <c r="E10" i="27"/>
  <c r="T10" i="26"/>
  <c r="E12" i="27"/>
  <c r="T12" i="26"/>
  <c r="E14" i="27"/>
  <c r="T14" i="26"/>
  <c r="E16" i="27"/>
  <c r="T16" i="26"/>
  <c r="E18" i="27"/>
  <c r="T18" i="26"/>
  <c r="E20" i="27"/>
  <c r="T20" i="26"/>
  <c r="E22" i="27"/>
  <c r="T22" i="26"/>
  <c r="E24" i="27"/>
  <c r="T24" i="26"/>
  <c r="E26" i="27"/>
  <c r="T26" i="26"/>
  <c r="E28" i="27"/>
  <c r="T28" i="26"/>
  <c r="E30" i="27"/>
  <c r="T30" i="26"/>
  <c r="E32" i="27"/>
  <c r="T32" i="26"/>
  <c r="E34" i="27"/>
  <c r="T34" i="26"/>
  <c r="E36" i="27"/>
  <c r="T36" i="26"/>
  <c r="E38" i="27"/>
  <c r="T38" i="26"/>
  <c r="E40" i="27"/>
  <c r="T40" i="26"/>
  <c r="E42" i="27"/>
  <c r="T42" i="26"/>
  <c r="E44" i="27"/>
  <c r="T44" i="26"/>
  <c r="E46" i="27"/>
  <c r="T46" i="26"/>
  <c r="E48" i="27"/>
  <c r="T48" i="26"/>
  <c r="E50" i="27"/>
  <c r="T50" i="26"/>
  <c r="E52" i="27"/>
  <c r="T52" i="26"/>
  <c r="E54" i="27"/>
  <c r="T54" i="26"/>
  <c r="E56" i="27"/>
  <c r="T56" i="26"/>
  <c r="E58" i="27"/>
  <c r="T58" i="26"/>
  <c r="E60" i="27"/>
  <c r="T60" i="26"/>
  <c r="E62" i="27"/>
  <c r="T62" i="26"/>
  <c r="E64" i="27"/>
  <c r="T64" i="26"/>
  <c r="E66" i="27"/>
  <c r="T66" i="26"/>
  <c r="E68" i="27"/>
  <c r="T68" i="26"/>
  <c r="E70" i="27"/>
  <c r="T70" i="26"/>
  <c r="E72" i="27"/>
  <c r="T72" i="26"/>
  <c r="E74" i="27"/>
  <c r="T74" i="26"/>
  <c r="E76" i="27"/>
  <c r="T76" i="26"/>
  <c r="E78" i="27"/>
  <c r="T78" i="26"/>
  <c r="E80" i="27"/>
  <c r="T80" i="26"/>
  <c r="E82" i="27"/>
  <c r="T82" i="26"/>
  <c r="E84" i="27"/>
  <c r="T84" i="26"/>
  <c r="E86" i="27"/>
  <c r="T86" i="26"/>
  <c r="E88" i="27"/>
  <c r="T88" i="26"/>
  <c r="E90" i="27"/>
  <c r="T90" i="26"/>
  <c r="E92" i="27"/>
  <c r="T92" i="26"/>
  <c r="E94" i="27"/>
  <c r="T94" i="26"/>
  <c r="E96" i="27"/>
  <c r="T96" i="26"/>
  <c r="E98" i="27"/>
  <c r="T98" i="26"/>
  <c r="E100" i="27"/>
  <c r="T100" i="26"/>
  <c r="E102" i="27"/>
  <c r="T102" i="26"/>
  <c r="E104" i="27"/>
  <c r="T104" i="26"/>
  <c r="E106" i="27"/>
  <c r="T106" i="26"/>
  <c r="E108" i="27"/>
  <c r="T108" i="26"/>
  <c r="E110" i="27"/>
  <c r="T110" i="26"/>
  <c r="E112" i="27"/>
  <c r="T112" i="26"/>
  <c r="E114" i="27"/>
  <c r="T114" i="26"/>
  <c r="E116" i="27"/>
  <c r="T116" i="26"/>
  <c r="E118" i="27"/>
  <c r="T118" i="26"/>
  <c r="E120" i="27"/>
  <c r="T120" i="26"/>
  <c r="E122" i="27"/>
  <c r="T122" i="26"/>
  <c r="E124" i="27"/>
  <c r="T124" i="26"/>
  <c r="E126" i="27"/>
  <c r="T126" i="26"/>
  <c r="N56" i="27" l="1"/>
  <c r="J56" i="27"/>
  <c r="K56" i="27"/>
  <c r="M56" i="27"/>
  <c r="L56" i="27"/>
  <c r="L54" i="27"/>
  <c r="M54" i="27"/>
  <c r="N54" i="27"/>
  <c r="J54" i="27"/>
  <c r="K54" i="27"/>
  <c r="N52" i="27"/>
  <c r="L52" i="27"/>
  <c r="J52" i="27"/>
  <c r="K52" i="27"/>
  <c r="M52" i="27"/>
  <c r="M51" i="27"/>
  <c r="N51" i="27"/>
  <c r="L51" i="27"/>
  <c r="K51" i="27"/>
  <c r="J51" i="27"/>
  <c r="K45" i="27"/>
  <c r="J45" i="27"/>
  <c r="N45" i="27"/>
  <c r="M45" i="27"/>
  <c r="L45" i="27"/>
  <c r="L44" i="27"/>
  <c r="N44" i="27"/>
  <c r="J44" i="27"/>
  <c r="K44" i="27"/>
  <c r="M44" i="27"/>
  <c r="M43" i="27"/>
  <c r="N43" i="27"/>
  <c r="L43" i="27"/>
  <c r="K43" i="27"/>
  <c r="J43" i="27"/>
  <c r="K53" i="27"/>
  <c r="J53" i="27"/>
  <c r="N53" i="27"/>
  <c r="M53" i="27"/>
  <c r="L53" i="27"/>
  <c r="N50" i="27"/>
  <c r="J50" i="27"/>
  <c r="K50" i="27"/>
  <c r="L50" i="27"/>
  <c r="M50" i="27"/>
  <c r="M47" i="27"/>
  <c r="K47" i="27"/>
  <c r="J47" i="27"/>
  <c r="N47" i="27"/>
  <c r="L47" i="27"/>
  <c r="M55" i="27"/>
  <c r="K55" i="27"/>
  <c r="J55" i="27"/>
  <c r="N55" i="27"/>
  <c r="L55" i="27"/>
  <c r="K49" i="27"/>
  <c r="J49" i="27"/>
  <c r="L49" i="27"/>
  <c r="M49" i="27"/>
  <c r="N49" i="27"/>
  <c r="L48" i="27"/>
  <c r="J48" i="27"/>
  <c r="K48" i="27"/>
  <c r="M48" i="27"/>
  <c r="N48" i="27"/>
  <c r="N46" i="27"/>
  <c r="M46" i="27"/>
  <c r="L46" i="27"/>
  <c r="J46" i="27"/>
  <c r="K46" i="27"/>
  <c r="K58" i="27" l="1"/>
  <c r="N58" i="27"/>
  <c r="J58" i="27"/>
  <c r="L58" i="27"/>
  <c r="M58" i="27"/>
  <c r="O58" i="27" l="1"/>
</calcChain>
</file>

<file path=xl/comments1.xml><?xml version="1.0" encoding="utf-8"?>
<comments xmlns="http://schemas.openxmlformats.org/spreadsheetml/2006/main">
  <authors>
    <author>FERRERAS HERNANDEZ ELENA</author>
  </authors>
  <commentList>
    <comment ref="C1" authorId="0" shapeId="0">
      <text>
        <r>
          <rPr>
            <sz val="9"/>
            <color indexed="81"/>
            <rFont val="Tahoma"/>
            <charset val="1"/>
          </rPr>
          <t>En la primera consulta, identificar erróneamente al paciente (asignando incorrectamente los datos de la exploración y entrevista de esta consulta) o los datos asociados al mismo (informes, analíticas, imágenes previas, etc.). Se asume que este error afectaría a la intención terapéutica y al plan de tratamiento del paciente.</t>
        </r>
      </text>
    </comment>
    <comment ref="D1" authorId="0" shapeId="0">
      <text>
        <r>
          <rPr>
            <sz val="9"/>
            <color indexed="81"/>
            <rFont val="Tahoma"/>
            <charset val="1"/>
          </rPr>
          <t xml:space="preserve">Al completar los datos de la intención terapéutica, o al seleccionar una plantilla de prescripción en la red de radioterapia, omitir o indicar incorrectamente todos o algunos de los órganos de riesgo considerados en la intención médica. Se asume que este error afectaría al plan de tratamiento del paciente. </t>
        </r>
      </text>
    </comment>
    <comment ref="E1" authorId="0" shapeId="0">
      <text>
        <r>
          <rPr>
            <sz val="9"/>
            <color indexed="81"/>
            <rFont val="Tahoma"/>
            <charset val="1"/>
          </rPr>
          <t>Al completar la ficha de tratamiento de acuerdo con la intención terapéutica, o al seleccionar una plantilla de prescripción en la red de radioterapia, indicar un valor de la dosis total dosis diaria o número de sesiones por semana de tratamiento diferente al considerado en la intención médica. Se asume que este error afectaría al plan de tratamiento del paciente.</t>
        </r>
      </text>
    </comment>
    <comment ref="F1" authorId="0" shapeId="0">
      <text>
        <r>
          <rPr>
            <sz val="9"/>
            <color indexed="81"/>
            <rFont val="Tahoma"/>
            <charset val="1"/>
          </rPr>
          <t xml:space="preserve">Al completar la ficha de tratamiento de acuerdo con la intención terapéutica, o al seleccionar una plantilla de prescripción en la red de radioterapia,  omitir o indicar incorrectamente el valor de la dosis permitida a los órganos de riesgo. Se asume que este error afectaría al plan de tratamiento del paciente. </t>
        </r>
      </text>
    </comment>
    <comment ref="G1" authorId="0" shapeId="0">
      <text>
        <r>
          <rPr>
            <sz val="9"/>
            <color indexed="81"/>
            <rFont val="Tahoma"/>
            <charset val="1"/>
          </rPr>
          <t>Al completar la ficha de tratamiento de acuerdo con la intención terapéutica, o al seleccionar una plantilla de prescripción en la red de radioterapia, omitir información sobre los volúmenes secundarios de tratamiento considerados durante la prescripción clínica del paciente. Se considera, además, que se omite esa información en la ficha de realización de la TC. Se asume que este error afectaría al plan de tratamiento del paciente.</t>
        </r>
      </text>
    </comment>
    <comment ref="H1" authorId="0" shapeId="0">
      <text>
        <r>
          <rPr>
            <sz val="9"/>
            <color indexed="81"/>
            <rFont val="Tahoma"/>
            <charset val="1"/>
          </rPr>
          <t>Al completar la ficha de tratamiento, o al rellenar la plantilla de prescripción en la red de radioterapia, aplicar la intención terapéutica del tratamiento a un paciente erróneo. Por ejemplo, se prescribe a un paciente la dosis de otro con la misma localización del tratamiento pero distinta dosis o fraccionamiento. Se asume que este error afectaría al plan de tratamiento del paciente.</t>
        </r>
      </text>
    </comment>
    <comment ref="I1" authorId="0" shapeId="0">
      <text>
        <r>
          <rPr>
            <sz val="9"/>
            <color indexed="81"/>
            <rFont val="Tahoma"/>
            <charset val="1"/>
          </rPr>
          <t xml:space="preserve">Al completar la ficha de tratamiento o al rellenar la plantilla de prescripción en la red de radioterapia,  seleccionar para la prescripción un volumen o un órgano erróneo (error de lateralidad o distinto volumen, o a un volumen con o sin cadenas ganglionares). Se asume que este error afectaría al plan de tratamiento del paciente. </t>
        </r>
      </text>
    </comment>
    <comment ref="J1" authorId="0" shapeId="0">
      <text>
        <r>
          <rPr>
            <sz val="9"/>
            <color indexed="81"/>
            <rFont val="Tahoma"/>
            <charset val="1"/>
          </rPr>
          <t>Obviar u omitir situaciones especiales de cara al tratamiento tales como presencia de marcapasos, paciente embarazada, tratamientos previos, tratamientos concomitantes, enfermedades concomitantes o situación del paciente. Se asume que este error afectaría al plan de tratamiento del paciente.</t>
        </r>
      </text>
    </comment>
    <comment ref="K1" authorId="0" shapeId="0">
      <text>
        <r>
          <rPr>
            <sz val="9"/>
            <color indexed="81"/>
            <rFont val="Tahoma"/>
            <charset val="1"/>
          </rPr>
          <t>En el TC de simulación llamar a otro paciente que no es el que corresponde. Se asume que este error afectaría al plan de tratamiento del paciente.</t>
        </r>
      </text>
    </comment>
    <comment ref="L1" authorId="0" shapeId="0">
      <text>
        <r>
          <rPr>
            <sz val="9"/>
            <color indexed="81"/>
            <rFont val="Tahoma"/>
            <charset val="1"/>
          </rPr>
          <t>Realizar indicaciones erróneas o incompletas que puedan llevar a una incorrecta inmovilización u obtención de imágenes del paciente por error en la aplicación del protocolo. Se asume que este error afectaría al plan de tratamiento del paciente.</t>
        </r>
      </text>
    </comment>
    <comment ref="M1" authorId="0" shapeId="0">
      <text>
        <r>
          <rPr>
            <sz val="9"/>
            <color indexed="81"/>
            <rFont val="Tahoma"/>
            <charset val="1"/>
          </rPr>
          <t>Realizar una preparación incorrecta del paciente para la obtención de imágenes por no estar en ayunas en caso de contraste, llenado vejiga, vaciamiento recto, estómago vacío, etc. (indicaciones en vejiga, recto, estómago, etc.). Se asume que este error afectaría al plan de tratamiento del paciente.</t>
        </r>
      </text>
    </comment>
    <comment ref="N1" authorId="0" shapeId="0">
      <text>
        <r>
          <rPr>
            <sz val="9"/>
            <color indexed="81"/>
            <rFont val="Tahoma"/>
            <charset val="1"/>
          </rPr>
          <t>Realizar simulación con objetos de alto contraste que puedan ser retirados en el momento previo a la simulación y que puedan afectar la calidad de las imágenes y/o a la planificación (p. ej.: dentadura, pendientes, etc.). Se asume que este error afectaría al plan de tratamiento del paciente.</t>
        </r>
      </text>
    </comment>
    <comment ref="O1" authorId="0" shapeId="0">
      <text>
        <r>
          <rPr>
            <sz val="9"/>
            <color indexed="81"/>
            <rFont val="Tahoma"/>
            <charset val="1"/>
          </rPr>
          <t>Durante la colocación del paciente en el TC de simulación omitir o identificar erróneamente los dispositivos de posicionamiento y/o colocación elaborados previamente (no utilizar inmovilizador, utilizar un inmovilizador que no es el adecuado, etiquetarlo mal, colocarlo mal o en una posición forzada del paciente, etc.), o se utilizan dispositivos elaborados incorrectamente. Se asume que este error afectaría al plan de tratamiento del paciente.</t>
        </r>
      </text>
    </comment>
    <comment ref="P1" authorId="0" shapeId="0">
      <text>
        <r>
          <rPr>
            <sz val="9"/>
            <color indexed="81"/>
            <rFont val="Tahoma"/>
            <charset val="1"/>
          </rPr>
          <t>Definir erróneamente la referencia del origen del TC, 0-TC (porque se omite la colocación de los perdigones o se colocan en un punto inadecuado), o colocar erróneamente otras referencias (cicatrices, etc.) o mover al paciente entre la colocación y la realización del TC. Se asume que este error afectaría al plan de tratamiento del paciente.</t>
        </r>
      </text>
    </comment>
    <comment ref="Q1" authorId="0" shapeId="0">
      <text>
        <r>
          <rPr>
            <sz val="9"/>
            <color indexed="81"/>
            <rFont val="Tahoma"/>
            <charset val="1"/>
          </rPr>
          <t>Durante el proceso de inmovilización y confección de los aditamentos de posicionamiento en la mesa de realización del TC de simulación omitir particularidades del posicionamiento o colocar al paciente en una posición incómoda o difícilmente reproducible. Esto provoca imágenes TC erróneas o inadecuadas y dispositivos de posicionamiento erróneos. Como consecuencia de este error, no se puede asegurar la reproducibilidad del tratamiento del paciente. Se asume que este error afectaría al plan de tratamiento del paciente.</t>
        </r>
      </text>
    </comment>
    <comment ref="R1" authorId="0" shapeId="0">
      <text>
        <r>
          <rPr>
            <sz val="9"/>
            <color indexed="81"/>
            <rFont val="Tahoma"/>
            <charset val="1"/>
          </rPr>
          <t xml:space="preserve">Utilización de dispositivos de inmovilización ineficientes (holguras, fijación deficiente, etc.) que no garantizan la inmovilización de los pacientes. Se asume que este error afectaría al desarrollo de todo el tratamiento de todos los pacientes. </t>
        </r>
      </text>
    </comment>
    <comment ref="S1" authorId="0" shapeId="0">
      <text>
        <r>
          <rPr>
            <sz val="9"/>
            <color indexed="81"/>
            <rFont val="Tahoma"/>
            <charset val="1"/>
          </rPr>
          <t>Realizar el TC de simulación del paciente con parámetros de adquisición o reconstrucción erróneos, ya sea por introducción de datos incorrectos en la consola del TC (extensión, 'field of view', espesor de corte y número de cortes), parámetros incorrectos de reconstrucción (espesor de reconstrucción, algoritmo de reducción de artefactos metálicos, fases respiratorias de reconstrucción) o por utilizar un TC no dedicado sin el protocolo adecuado de simulación (dadas las diferencias del TC de simulación con respecto a la mesa de tratamiento como tablero no plano o inclinado). Se asume que este error afectaría al plan de tratamiento del paciente.</t>
        </r>
      </text>
    </comment>
    <comment ref="T1" authorId="0" shapeId="0">
      <text>
        <r>
          <rPr>
            <sz val="9"/>
            <color indexed="81"/>
            <rFont val="Tahoma"/>
            <charset val="1"/>
          </rPr>
          <t>Fallo del TC que produce una imagen que no es válida para delineación o planificación, por ser demasiado ruidosa, con artefactos, etc., incluyendo la degradación de la imagen no detectada por no realizar controles de calidad. Se asume que este error afectaría al plan de tratamiento del paciente.</t>
        </r>
      </text>
    </comment>
    <comment ref="U1" authorId="0" shapeId="0">
      <text>
        <r>
          <rPr>
            <sz val="9"/>
            <color indexed="81"/>
            <rFont val="Tahoma"/>
            <charset val="1"/>
          </rPr>
          <t>En la adquisición de imágenes de localización, se comete un error al no tener en cuenta el movimiento del tumor (TC rápido que no muestra el movimiento del tumor con la respiración, TC que debería haberse adquirido en 4D y se adquiere de forma convencional) o realizar una adquisición incorrecta (colocación del sistema de adquisición e la señal respiratoria o manejo incorrecto de la misma). Este error puede afectar a la delineación de volúmenes y cálculo de densidades. Se asume que este error afectaría al plan de tratamiento del paciente.</t>
        </r>
      </text>
    </comment>
    <comment ref="V1" authorId="0" shapeId="0">
      <text>
        <r>
          <rPr>
            <sz val="9"/>
            <color indexed="81"/>
            <rFont val="Tahoma"/>
            <charset val="1"/>
          </rPr>
          <t>Introducir o seleccionar datos de identificación del paciente que no se corresponden con el paciente que ha entrado a la sala, de tal forma que la imagen de la fusión posterior se realizaría entre conjuntos de imágenes de pacientes distintos. Se asume que este error afectaría al plan de tratamiento del paciente.</t>
        </r>
      </text>
    </comment>
    <comment ref="W1" authorId="0" shapeId="0">
      <text>
        <r>
          <rPr>
            <sz val="9"/>
            <color indexed="81"/>
            <rFont val="Tahoma"/>
            <charset val="1"/>
          </rPr>
          <t>Durante la adquisición de imágenes en otras modalidades (RM, PET), colocar al paciente en una posición inadecuada (posición de brazos, inmovilizadores, tablero plano, etc.) que limitan las posibilidades y fiabilidad de la fusión de las imágenes adquiridas con las de TC. Este error puede afectar a la delineación de volúmenes. Se asume que este error afectaría al plan de tratamiento del paciente.</t>
        </r>
      </text>
    </comment>
    <comment ref="X1" authorId="0" shapeId="0">
      <text>
        <r>
          <rPr>
            <sz val="9"/>
            <color indexed="81"/>
            <rFont val="Tahoma"/>
            <charset val="1"/>
          </rPr>
          <t>Colocar incorrectamente las marcas fiduciarias en las imágenes de fusión que pueda llevar a errores en la fusión con el TC y a errores de localización de volúmenes. Se asume que este error afectaría al plan de tratamiento del paciente.</t>
        </r>
      </text>
    </comment>
    <comment ref="Y1" authorId="0" shapeId="0">
      <text>
        <r>
          <rPr>
            <sz val="9"/>
            <color indexed="81"/>
            <rFont val="Tahoma"/>
            <charset val="1"/>
          </rPr>
          <t>Utilizar imágenes PET o RM inadecuadas por uso de radiofármaco inadecuado para la patología del paciente; por efecto de volumen parcial (filtro de reconstrucción, FOV o matriz inadecuados); por uso de una secuencia inadecuada de RM (insuficiente contraste que limita la visualización de lesiones) o por realizar la RM con una antena inadecuada (distorsión y pérdida de calidad de las imágenes). Se asume que este error afectaría al plan de tratamiento del paciente.</t>
        </r>
      </text>
    </comment>
    <comment ref="Z1" authorId="0" shapeId="0">
      <text>
        <r>
          <rPr>
            <sz val="9"/>
            <color indexed="81"/>
            <rFont val="Tahoma"/>
            <charset val="1"/>
          </rPr>
          <t>Omitir las marcas de referencia en el TC de simulación o no se tatúan correctamente en la piel del paciente.  Como consecuencia de este error, no se puede asegurar la reproducibilidad del tratamiento del paciente. Se asume que este error afectaría al plan de tratamiento del paciente.</t>
        </r>
      </text>
    </comment>
    <comment ref="AA1" authorId="0" shapeId="0">
      <text>
        <r>
          <rPr>
            <sz val="9"/>
            <color indexed="81"/>
            <rFont val="Tahoma"/>
            <charset val="1"/>
          </rPr>
          <t xml:space="preserve"> Omitir o tatuar en una posición incorrecta la posición de los elementos del sistema de seguimiento de respiración. Como consecuencia de este error no se puede asegurar la reproducibilidad de la posición de estos elementos a lo largo del tratamiento. Se asume que este error afectaría al plan de tratamiento del paciente.</t>
        </r>
      </text>
    </comment>
    <comment ref="AB1" authorId="0" shapeId="0">
      <text>
        <r>
          <rPr>
            <sz val="9"/>
            <color indexed="81"/>
            <rFont val="Tahoma"/>
            <charset val="1"/>
          </rPr>
          <t>Durante la edición del TC previa a su transferencia al sistema de planificación (TPS) o la red en la que está contenido el TPS, introducir información errónea, por ejemplo, sobre la posición del paciente (prono/supino o cabeza primero/pies primero). Se asume que este error afectaría al plan de tratamiento del paciente.</t>
        </r>
      </text>
    </comment>
    <comment ref="AC1" authorId="0" shapeId="0">
      <text>
        <r>
          <rPr>
            <sz val="9"/>
            <color indexed="81"/>
            <rFont val="Tahoma"/>
            <charset val="1"/>
          </rPr>
          <t>Omitir o registrar incorrectamente datos en la hoja de tratamiento sobre la posición del paciente, los dispositivos de colocación o inmovilización utilizados y otras particularidades consideradas durante la realización del TC de simulación. Este error afectaría a la reproducibilidad de la posición del paciente durante la administración del tratamiento. Se asume que este error afectaría al plan de tratamiento del paciente.</t>
        </r>
      </text>
    </comment>
    <comment ref="AD1" authorId="0" shapeId="0">
      <text>
        <r>
          <rPr>
            <sz val="9"/>
            <color indexed="81"/>
            <rFont val="Tahoma"/>
            <charset val="1"/>
          </rPr>
          <t>Fallo en la transferencia e importación de imágenes (TC, fusión, etc.) al sistema de planificación (TPS) o la red en la que está contenido el TPS que ocasiona que las imágenes transferidas no sean correctas. Por ejemplo, se transfiere un número de cortes erróneo o se introduce un cambio en las densidades o las coordenadas. Se asume que este error afectaría al plan de tratamiento del paciente.</t>
        </r>
      </text>
    </comment>
    <comment ref="AE1" authorId="0" shapeId="0">
      <text>
        <r>
          <rPr>
            <sz val="9"/>
            <color indexed="81"/>
            <rFont val="Tahoma"/>
            <charset val="1"/>
          </rPr>
          <t>Asignar las imágenes de un paciente a otro en el planificador. Se asume que este error afectaría al plan de tratamiento del paciente.</t>
        </r>
      </text>
    </comment>
    <comment ref="AF1" authorId="0" shapeId="0">
      <text>
        <r>
          <rPr>
            <sz val="9"/>
            <color indexed="81"/>
            <rFont val="Tahoma"/>
            <charset val="1"/>
          </rPr>
          <t>Durante la fusión de imágenes con otras modalidades (RM, PET) o TC del mismo paciente (TC previo) seleccionar erróneamente imágenes de otros pacientes o set de imágenes incorrectas del mismo paciente (serie incorrecta de RM, TC previo de fecha incorrecta, etc.). Este error puede afectar a la delineación de volúmenes. Se asume que este error afectaría al plan de tratamiento del paciente.</t>
        </r>
      </text>
    </comment>
    <comment ref="AG1" authorId="0" shapeId="0">
      <text>
        <r>
          <rPr>
            <sz val="9"/>
            <color indexed="81"/>
            <rFont val="Tahoma"/>
            <charset val="1"/>
          </rPr>
          <t>Fusión incorrecta debida a una mala interpretación de la morfología observada en ambas imágenes o por usar parámetros para la fusión incorrecta o fuera de los requisitos del software, que lleva a la determinación errónea de volúmenes de tratamiento y órganos de riesgo. Se asume que este error afectaría al plan de tratamiento del paciente.</t>
        </r>
      </text>
    </comment>
    <comment ref="AH1" authorId="0" shapeId="0">
      <text>
        <r>
          <rPr>
            <sz val="9"/>
            <color indexed="81"/>
            <rFont val="Tahoma"/>
            <charset val="1"/>
          </rPr>
          <t>Al delinear los volúmenes en el sistema de planificación (TPS), omitir delinear uno, varios o todos los órganos de riesgo de un paciente. Se asume que este error afectaría al plan de tratamiento del paciente.</t>
        </r>
      </text>
    </comment>
    <comment ref="AI1" authorId="0" shapeId="0">
      <text>
        <r>
          <rPr>
            <sz val="9"/>
            <color indexed="81"/>
            <rFont val="Tahoma"/>
            <charset val="1"/>
          </rPr>
          <t>Al delinear los volúmenes en el sistema de planificación (TPS), realizar una delineación incompleta de un órgano de riesgo, o se nombra incorrectamente. Se asume que este error afectaría al plan de tratamiento del paciente.</t>
        </r>
      </text>
    </comment>
    <comment ref="AJ1" authorId="0" shapeId="0">
      <text>
        <r>
          <rPr>
            <sz val="9"/>
            <color indexed="81"/>
            <rFont val="Tahoma"/>
            <charset val="1"/>
          </rPr>
          <t>Durante la delineación de volúmenes identificar o seleccionar erróneamente al paciente. Esto implica la delimitación de volúmenes teniendo en cuenta la información clínica de un paciente equivocado. Se asume que este error afectaría al plan de tratamiento del paciente.</t>
        </r>
      </text>
    </comment>
    <comment ref="AK1" authorId="0" shapeId="0">
      <text>
        <r>
          <rPr>
            <sz val="9"/>
            <color indexed="81"/>
            <rFont val="Tahoma"/>
            <charset val="1"/>
          </rPr>
          <t>Después de la delineación correcta de los volúmenes de tratamiento utilizar una nomenclatura no convenida o se comete un error al denominar los volúmenes en el sistema de planificación (TPS) que puede interpretarse de forma errónea. Se asume que este error afectaría al plan de tratamiento del paciente.</t>
        </r>
      </text>
    </comment>
    <comment ref="AL1" authorId="0" shapeId="0">
      <text>
        <r>
          <rPr>
            <sz val="9"/>
            <color indexed="81"/>
            <rFont val="Tahoma"/>
            <charset val="1"/>
          </rPr>
          <t>Al delinear los volúmenes en el sistema de planificación (TPS), omitir la delineación de uno o varios CTVs secundarios del paciente o realiza una delineación incompleta. Se asume que este error afectaría al plan de tratamiento del paciente.</t>
        </r>
      </text>
    </comment>
    <comment ref="AM1" authorId="0" shapeId="0">
      <text>
        <r>
          <rPr>
            <sz val="9"/>
            <color indexed="81"/>
            <rFont val="Tahoma"/>
            <charset val="1"/>
          </rPr>
          <t>Delinear incorrectamente el PTV (utilización de métodos automáticos de delimitación de contornos no validados, no utilizar imágenes que tengan en cuenta el movimiento del tumor, asignación errónea de la lateralidad del tumor, etc.). Se asume que este error afectaría al plan de tratamiento del paciente.</t>
        </r>
      </text>
    </comment>
    <comment ref="AN1" authorId="0" shapeId="0">
      <text>
        <r>
          <rPr>
            <sz val="9"/>
            <color indexed="81"/>
            <rFont val="Tahoma"/>
            <charset val="1"/>
          </rPr>
          <t>Durante la planificación del tratamiento asignar incorrectamente las imágenes de un paciente a otro paciente o al introducir algún dato demográfico. Esto implica el uso de información de un paciente equivocado para la planificación, afectando al plan de tratamiento del mismo. Se asume que este error afectaría al plan de tratamiento del paciente.</t>
        </r>
      </text>
    </comment>
    <comment ref="AO1" authorId="0" shapeId="0">
      <text>
        <r>
          <rPr>
            <sz val="9"/>
            <color indexed="81"/>
            <rFont val="Tahoma"/>
            <charset val="1"/>
          </rPr>
          <t>Al planificar el tratamiento de un paciente cometer un error al introducir los datos de la dosis total, dosis por fracción y número de sesiones en el sistema de planificación (TPS)  o en la red de radioterapia. Se asume que este error afectaría al plan de tratamiento del paciente.</t>
        </r>
      </text>
    </comment>
    <comment ref="AP1" authorId="0" shapeId="0">
      <text>
        <r>
          <rPr>
            <sz val="9"/>
            <color indexed="81"/>
            <rFont val="Tahoma"/>
            <charset val="1"/>
          </rPr>
          <t>Durante la prescripción clínica definitiva (teniendo en cuenta la configuración de volúmenes de tratamiento y la inmovilización del paciente), no se adapta ésta y se mantiene la prescripción provisional de la intención terapéutica. Se asume que este error afectaría al plan de tratamiento del paciente.</t>
        </r>
      </text>
    </comment>
    <comment ref="AQ1" authorId="0" shapeId="0">
      <text>
        <r>
          <rPr>
            <sz val="9"/>
            <color indexed="81"/>
            <rFont val="Tahoma"/>
            <charset val="1"/>
          </rPr>
          <t>Al asignar el conjunto de imágenes para la planificación, seleccionar por error un conjunto incorrecto (fase errónea de un CT4D o promediado de fase incorrecto, adquisición con una colocación del paciente o inmovilización distinta a la definitiva). Se asume que este error afectaría al plan de tratamiento del paciente.</t>
        </r>
      </text>
    </comment>
    <comment ref="AR1" authorId="0" shapeId="0">
      <text>
        <r>
          <rPr>
            <sz val="9"/>
            <color indexed="81"/>
            <rFont val="Tahoma"/>
            <charset val="1"/>
          </rPr>
          <t>No asignar o asignar incorrectamente el origen de coordenadas a partir de las marcas de TC. Se asume que este error afectaría al plan de tratamiento del paciente.</t>
        </r>
      </text>
    </comment>
    <comment ref="AS1" authorId="0" shapeId="0">
      <text>
        <r>
          <rPr>
            <sz val="9"/>
            <color indexed="81"/>
            <rFont val="Tahoma"/>
            <charset val="1"/>
          </rPr>
          <t>Durante la planificación del tratamiento no tener en cuenta el efecto de la mesa por no considerarla, o tenerlo en cuenta pero de manera incorrecta por utilizar un modelo de mesa distinto al de la mesa de tratamiento o por colocar ésta en una posición distinta respecto al paciente. Se asume que este error afectaría al plan de tratamiento del paciente.</t>
        </r>
      </text>
    </comment>
    <comment ref="AT1" authorId="0" shapeId="0">
      <text>
        <r>
          <rPr>
            <sz val="9"/>
            <color indexed="81"/>
            <rFont val="Tahoma"/>
            <charset val="1"/>
          </rPr>
          <t>No corregir o corregir incorrectamente las densidades en prótesis, bolus, contrastes, artefactos, etc. Se asume que este error afectaría al plan de tratamiento del paciente.</t>
        </r>
      </text>
    </comment>
    <comment ref="AU1" authorId="0" shapeId="0">
      <text>
        <r>
          <rPr>
            <sz val="9"/>
            <color indexed="81"/>
            <rFont val="Tahoma"/>
            <charset val="1"/>
          </rPr>
          <t>Utilizar una curva de conversión a densidad electrónica incorrecta. Se asume que este error afectaría al plan de tratamiento del paciente.</t>
        </r>
      </text>
    </comment>
    <comment ref="AV1" authorId="0" shapeId="0">
      <text>
        <r>
          <rPr>
            <sz val="9"/>
            <color indexed="81"/>
            <rFont val="Tahoma"/>
            <charset val="1"/>
          </rPr>
          <t>Al planificar el tratamiento de un paciente seleccionar erróneamente en el sistema de planificación (TPS) la unidad de tratamiento, de forma que se emplean datos que no se corresponden con la unidad donde será tratado. Por ejemplo, se usan datos de un acelerador de otro servicio o de un acelerador diferente del mismo servicio (modelos diferentes, marcas diferentes, etc.). Se asume que este error afectaría al plan de tratamiento del paciente.</t>
        </r>
      </text>
    </comment>
    <comment ref="AW1" authorId="0" shapeId="0">
      <text>
        <r>
          <rPr>
            <sz val="9"/>
            <color indexed="81"/>
            <rFont val="Tahoma"/>
            <charset val="1"/>
          </rPr>
          <t>Realizar planificación incorrecta por uso de parámetros no adecuados: número de arcos, scripts o 'templates' erróneos, definir erróneamente las estructuras de cálculo, elegir algoritmo o matriz de cálculo inadecuados, definir erróneamente los objetivos y restricciones de dosis y/o radiobiológicas en la optimización de la planificación. Se asume que este error afectaría al plan de tratamiento del paciente.</t>
        </r>
      </text>
    </comment>
    <comment ref="AX1" authorId="0" shapeId="0">
      <text>
        <r>
          <rPr>
            <sz val="9"/>
            <color indexed="81"/>
            <rFont val="Tahoma"/>
            <charset val="1"/>
          </rPr>
          <t>Delimitar erróneamente el rango de números CT del paciente que pudiera dar lugar a no reconocimiento de inmovilizadores en el planificador, cavidades aéreas, etc. Se asume que este error afectaría al plan de tratamiento del paciente.</t>
        </r>
      </text>
    </comment>
    <comment ref="AY1" authorId="0" shapeId="0">
      <text>
        <r>
          <rPr>
            <sz val="9"/>
            <color indexed="81"/>
            <rFont val="Tahoma"/>
            <charset val="1"/>
          </rPr>
          <t>Se utiliza un sistema de planificación (TPS) con modificaciones de los procedimientos de su uso y/o modelado que no han sido validados y autorizados en el servicio. Se asume que este error afectaría al plan de tratamiento del paciente.</t>
        </r>
      </text>
    </comment>
    <comment ref="AZ1" authorId="0" shapeId="0">
      <text>
        <r>
          <rPr>
            <sz val="9"/>
            <color indexed="81"/>
            <rFont val="Tahoma"/>
            <charset val="1"/>
          </rPr>
          <t>Al planificar el tratamiento de un paciente omitir la planificación de localizaciones secundarias. Este error afectaría al plan de tratamiento del paciente. Se asume que este error afectaría al plan de tratamiento del paciente.</t>
        </r>
      </text>
    </comment>
    <comment ref="BA1" authorId="0" shapeId="0">
      <text>
        <r>
          <rPr>
            <sz val="9"/>
            <color indexed="81"/>
            <rFont val="Tahoma"/>
            <charset val="1"/>
          </rPr>
          <t>El error consiste en tener en cuenta una distribución de dosis de una fase previa o tratamiento previo en una optimización de una fase posterior, de tal forma que el optimizador compensa una zona caliente en la fase previa con una zona fría o al revés.  La distribución debe ser aceptable en cada fase por separado y luego además cumplir con la suma, pero cada fase debe optimizarse de forma independiente. Se asume que este error afectaría al plan de tratamiento del paciente.</t>
        </r>
      </text>
    </comment>
    <comment ref="BB1" authorId="0" shapeId="0">
      <text>
        <r>
          <rPr>
            <sz val="9"/>
            <color indexed="81"/>
            <rFont val="Tahoma"/>
            <charset val="1"/>
          </rPr>
          <t>Fallo espurio del software del sistema de planificación (TPS). Se asume que este error afectaría al plan de tratamiento del paciente.</t>
        </r>
      </text>
    </comment>
    <comment ref="BC1" authorId="0" shapeId="0">
      <text>
        <r>
          <rPr>
            <sz val="9"/>
            <color indexed="81"/>
            <rFont val="Tahoma"/>
            <charset val="1"/>
          </rPr>
          <t>Durante la revisión de la planificación (del RFH al dosimetrista o conjunta del RFH y el ORT) o como resultado de la verificación de la misma, por nuevos hallazgos que hacen cambiar la prescripción, por problemas durante la colocación o inmovilización del paciente, por cambios anatómicos del paciente, etc., se decide realizar una replanificación y ésta o no se realiza o no se utiliza para el tratamiento. Se asume que este error afectaría al plan de tratamiento del paciente.</t>
        </r>
      </text>
    </comment>
    <comment ref="BD1" authorId="0" shapeId="0">
      <text>
        <r>
          <rPr>
            <sz val="9"/>
            <color indexed="81"/>
            <rFont val="Tahoma"/>
            <charset val="1"/>
          </rPr>
          <t>Incorporar incorrectamente un cambio en la dosimetría después de que ésta ya había sido aprobada. Puede haber cambios en la dosimetría por nuevos hallazgos, cambios en el paciente, cambios de criterio médico, problemas para impartir el tratamiento previamente aceptado por colisión con mesa o paciente, etc. Se asume que este error afectaría al plan de tratamiento del paciente.</t>
        </r>
      </text>
    </comment>
    <comment ref="BE1" authorId="0" shapeId="0">
      <text>
        <r>
          <rPr>
            <sz val="9"/>
            <color indexed="81"/>
            <rFont val="Tahoma"/>
            <charset val="1"/>
          </rPr>
          <t>Aprobar un plan de tratamiento distinto al escogido conjuntamente por el ORT y el RFH. Este error puede ser cometido por el OR o el RFH. Se asume que este error afectaría al plan de tratamiento del paciente.</t>
        </r>
      </text>
    </comment>
    <comment ref="BF1" authorId="0" shapeId="0">
      <text>
        <r>
          <rPr>
            <sz val="9"/>
            <color indexed="81"/>
            <rFont val="Tahoma"/>
            <charset val="1"/>
          </rPr>
          <t>Fallo en la transmisión electrónica de la información del plan de tratamiento desde el sistema de planificación (TPS) a la red o al PC de tratamiento. Por ejemplo, se transfiere incorrectamente la posición del colimador multiláminas. Se asume que este error afectaría al plan de tratamiento del paciente.</t>
        </r>
      </text>
    </comment>
    <comment ref="BG1" authorId="0" shapeId="0">
      <text>
        <r>
          <rPr>
            <sz val="9"/>
            <color indexed="81"/>
            <rFont val="Tahoma"/>
            <charset val="1"/>
          </rPr>
          <t>Agendar erróneamente para tratar todos los días tratamientos que están previstos para ser tratados en días alternos, una vez por semana, etc.  Estos esquemas pueden ser muy variables y muy habituales en hipofraccionamientos extremos.</t>
        </r>
      </text>
    </comment>
    <comment ref="BH1" authorId="0" shapeId="0">
      <text>
        <r>
          <rPr>
            <sz val="9"/>
            <color indexed="81"/>
            <rFont val="Tahoma"/>
            <charset val="1"/>
          </rPr>
          <t xml:space="preserve">Debido a este error se omite una sesión de tratamiento por contabilizar erróneamente la sesión de verificación como sesión de tratamiento. Se asume que este error afectaría solamente a una sesión de tratamiento de un paciente. </t>
        </r>
      </text>
    </comment>
    <comment ref="BI1" authorId="0" shapeId="0">
      <text>
        <r>
          <rPr>
            <sz val="9"/>
            <color indexed="81"/>
            <rFont val="Tahoma"/>
            <charset val="1"/>
          </rPr>
          <t>Debido a errores en el proceso de verificación se aplica una modificación errónea al plan de tratamiento. Se asume que este error afectaría al plan de tratamiento del paciente.</t>
        </r>
      </text>
    </comment>
    <comment ref="BJ1" authorId="0" shapeId="0">
      <text>
        <r>
          <rPr>
            <sz val="9"/>
            <color indexed="81"/>
            <rFont val="Tahoma"/>
            <charset val="1"/>
          </rPr>
          <t xml:space="preserve">Omitir o realizar con retraso el inicio de tratamiento de un paciente debido a una tarea incompleta en alguna de las etapas previas o tarea completada sin citar la siguiente tarea. Se asume que este error afectaría al desarrollo de todo el tratamiento del paciente. </t>
        </r>
      </text>
    </comment>
    <comment ref="BK1" authorId="0" shapeId="0">
      <text>
        <r>
          <rPr>
            <sz val="9"/>
            <color indexed="81"/>
            <rFont val="Tahoma"/>
            <charset val="1"/>
          </rPr>
          <t>Realizar un tratamiento con respiración normal en vez de 'gating' o 'breathhold', o al revés, o en general cualquier modo de respiración distinto del planificado. Se asume que este error afectaría al desarrollo de todo el tratamiento del paciente.</t>
        </r>
      </text>
    </comment>
    <comment ref="BL1" authorId="0" shapeId="0">
      <text>
        <r>
          <rPr>
            <sz val="9"/>
            <color indexed="81"/>
            <rFont val="Tahoma"/>
            <charset val="1"/>
          </rPr>
          <t>Impartir el plan de verificación al paciente. Como resultado de este error, se administra una sesión más al paciente, ya que no se contabiliza esta sesión como de tratamiento. Se asume que este error afectaría solamente a una sesión de tratamiento de un paciente.</t>
        </r>
      </text>
    </comment>
    <comment ref="BM1" authorId="0" shapeId="0">
      <text>
        <r>
          <rPr>
            <sz val="9"/>
            <color indexed="81"/>
            <rFont val="Tahoma"/>
            <charset val="1"/>
          </rPr>
          <t>Impartir el tratamiento de un paciente con un plan que no es el mismo que el de tratamiento (p.ej.: plan colapsado a gantry 0º). Se asume que este error afectaría solamente a una sesión de tratamiento de un paciente.</t>
        </r>
      </text>
    </comment>
    <comment ref="BN1" authorId="0" shapeId="0">
      <text>
        <r>
          <rPr>
            <sz val="9"/>
            <color indexed="81"/>
            <rFont val="Tahoma"/>
            <charset val="1"/>
          </rPr>
          <t>En la preparación del inicio del tratamiento, seleccionar un paciente que no es el que corresponde. Se asume que este error afectaría al desarrollo de todo el tratamiento del paciente.</t>
        </r>
      </text>
    </comment>
    <comment ref="BO1" authorId="0" shapeId="0">
      <text>
        <r>
          <rPr>
            <sz val="9"/>
            <color indexed="81"/>
            <rFont val="Tahoma"/>
            <charset val="1"/>
          </rPr>
          <t>En el inicio del tratamiento, llamar a otro paciente que no es el que corresponde o se presenta un paciente que no es el llamado. Este error afectaría a la sesión inicial de tratamiento del paciente y a las referencias y adaptaciones para sesiones posteriores. Se asume que este error afectaría al desarrollo de todo el tratamiento del paciente.</t>
        </r>
      </text>
    </comment>
    <comment ref="BP1" authorId="0" shapeId="0">
      <text>
        <r>
          <rPr>
            <sz val="9"/>
            <color indexed="81"/>
            <rFont val="Tahoma"/>
            <charset val="1"/>
          </rPr>
          <t xml:space="preserve">Al realizar el posicionamiento en el inicio del tratamiento colocar erróneamente al paciente en la mesa de tratamiento. Por ejemplo, sobre la orientación del paciente (prono/supino o cabeza primero/pies primero). Se asume que este error afectaría al desarrollo de todo el tratamiento del paciente. </t>
        </r>
      </text>
    </comment>
    <comment ref="BQ1" authorId="0" shapeId="0">
      <text>
        <r>
          <rPr>
            <sz val="9"/>
            <color indexed="81"/>
            <rFont val="Tahoma"/>
            <charset val="1"/>
          </rPr>
          <t>Colocar erróneamente al paciente en la mesa de tratamiento en el inicio del tratamiento al utilizar inmovilizadores de otro paciente. Se asume que este error afectaría al desarrollo de todo el tratamiento del paciente.</t>
        </r>
      </text>
    </comment>
    <comment ref="BR1" authorId="0" shapeId="0">
      <text>
        <r>
          <rPr>
            <sz val="9"/>
            <color indexed="81"/>
            <rFont val="Tahoma"/>
            <charset val="1"/>
          </rPr>
          <t xml:space="preserve">El material del inmovilizador no es suficientemente rígido y se generan holguras que pueden llevar a una falta de reproducibilidad del sistema de inmovilización (cunas, sistemas de compresión, etc.) y/o sistemas de inmovilización caducados. Esto implica que el uso de estos dispositivos no garantiza la inmovilización del paciente. Se asume que este error afectaría solamente a una sesión de tratamiento de un paciente. </t>
        </r>
      </text>
    </comment>
    <comment ref="BS1" authorId="0" shapeId="0">
      <text>
        <r>
          <rPr>
            <sz val="9"/>
            <color indexed="81"/>
            <rFont val="Tahoma"/>
            <charset val="1"/>
          </rPr>
          <t>No colocar algún sistema de inmovilización o colocarlo mal (incorrecta compresión, en sistemas de compresión indexados no colocarlos en la posición correcta por lo que se ejerce la fuerza en una posición distinta de la anatomía, no reproducir la fuerza de compresión de la simulación, no indexar correctamente en la mesa, etc.). Se asume que este error afectaría al desarrollo de todo el tratamiento del paciente.</t>
        </r>
      </text>
    </comment>
    <comment ref="BT1" authorId="0" shapeId="0">
      <text>
        <r>
          <rPr>
            <sz val="9"/>
            <color indexed="81"/>
            <rFont val="Tahoma"/>
            <charset val="1"/>
          </rPr>
          <t xml:space="preserve">Desviación de la alineación de los láseres. Esto implicaría un error en el posicionamiento de los pacientes. Se asume que este error afectaría al desarrollo de todo el tratamiento de todos los pacientes. </t>
        </r>
      </text>
    </comment>
    <comment ref="BU1" authorId="0" shapeId="0">
      <text>
        <r>
          <rPr>
            <sz val="9"/>
            <color indexed="81"/>
            <rFont val="Tahoma"/>
            <charset val="1"/>
          </rPr>
          <t xml:space="preserve">Desviación óptica de la distancia por fallos locales. Esto implicaría un error en el posicionamiento de los pacientes. Se asume que este error afectaría al desarrollo de todo el tratamiento de todos los pacientes. </t>
        </r>
      </text>
    </comment>
    <comment ref="BV1" authorId="0" shapeId="0">
      <text>
        <r>
          <rPr>
            <sz val="9"/>
            <color indexed="81"/>
            <rFont val="Tahoma"/>
            <charset val="1"/>
          </rPr>
          <t xml:space="preserve">Durante la sesión de inicio, colocar erróneamente al paciente en el isocentro planificado por no volver a la posición de tratamiento tras la adquisición de imágenes (CBCT), por no aplicar o aplicar incorrectamente los desplazamientos necesarios tras la adquisición de imágenes. Esto afecta a la toma de referencias para el resto de tratamiento y puede afectar a la totalidad del mismo. Se asume que este error afectaría al desarrollo de todo el tratamiento del paciente. </t>
        </r>
      </text>
    </comment>
    <comment ref="BW1" authorId="0" shapeId="0">
      <text>
        <r>
          <rPr>
            <sz val="9"/>
            <color indexed="81"/>
            <rFont val="Tahoma"/>
            <charset val="1"/>
          </rPr>
          <t>Durante inicio del tratamiento omitir o colocar incorrectamente el bolus indicado en el tratamiento del paciente o se coloca uno erróneo. Se asume que este error afectaría al desarrollo de todo el tratamiento del paciente.</t>
        </r>
      </text>
    </comment>
    <comment ref="BX1" authorId="0" shapeId="0">
      <text>
        <r>
          <rPr>
            <sz val="9"/>
            <color indexed="81"/>
            <rFont val="Tahoma"/>
            <charset val="1"/>
          </rPr>
          <t xml:space="preserve">Inexactitud del movimiento de los elementos mecánicos del sistema de IGRT (detector, tubo de RX, etc.) que puedan llevar a un cálculo incorrecto de distancias, magnificación, etc. También puede conducir a que el isocentro de la imagen sea distintos al de radiación, que llevarían a una incorrecta colocación del paciente. Se asume que este error afectaría al desarrollo de todo el tratamiento del paciente. </t>
        </r>
      </text>
    </comment>
    <comment ref="BY1" authorId="0" shapeId="0">
      <text>
        <r>
          <rPr>
            <sz val="9"/>
            <color indexed="81"/>
            <rFont val="Tahoma"/>
            <charset val="1"/>
          </rPr>
          <t xml:space="preserve">En algunos sistemas, si el isocentro está muy lateralizado y no se puede hacer el CBCT porque choca el equipo con el paciente, existe la posibilidad de guardar las coordenadas del isocentro, centrar al paciente para hacer el CBCT y una vez realizado desplazar la mesa automáticamente al isocentro; por lo que si este movimiento no está bien calibrado la colocación del paciente será incorrecta. Se asume que este error afectaría al desarrollo de todo el tratamiento del paciente. </t>
        </r>
      </text>
    </comment>
    <comment ref="BZ1" authorId="0" shapeId="0">
      <text>
        <r>
          <rPr>
            <sz val="9"/>
            <color indexed="81"/>
            <rFont val="Tahoma"/>
            <charset val="1"/>
          </rPr>
          <t>Realización incorrecta de la fusión de imágenes de la IGRT con las imágenes de referencia por mala interpretación de la anatomía, elección de parámetros de fusión inadecuados, etc. Se asume que este error afectaría al desarrollo de todo el tratamiento del paciente.</t>
        </r>
      </text>
    </comment>
    <comment ref="CA1" authorId="0" shapeId="0">
      <text>
        <r>
          <rPr>
            <sz val="9"/>
            <color indexed="81"/>
            <rFont val="Tahoma"/>
            <charset val="1"/>
          </rPr>
          <t>Si los desplazamientos de la mesa resultantes de la comparación de la IGRT con las imágenes de referencia son manuales, realizarlos incorrectamente por interpretación incorrecta de signos, cambio de unidades, etc. Se asume que este error afectaría al desarrollo de todo el tratamiento del paciente.</t>
        </r>
      </text>
    </comment>
    <comment ref="CB1" authorId="0" shapeId="0">
      <text>
        <r>
          <rPr>
            <sz val="9"/>
            <color indexed="81"/>
            <rFont val="Tahoma"/>
            <charset val="1"/>
          </rPr>
          <t xml:space="preserve">Si los desplazamientos de la mesa resultantes de la comparación de la IGRT con las imágenes de referencia son automáticos, que el sistema mueva la mesa incorrectamente por mal funcionamiento del equipo. Se asume que este error afectaría al desarrollo de todo el tratamiento del paciente. </t>
        </r>
      </text>
    </comment>
    <comment ref="CC1" authorId="0" shapeId="0">
      <text>
        <r>
          <rPr>
            <sz val="9"/>
            <color indexed="81"/>
            <rFont val="Tahoma"/>
            <charset val="1"/>
          </rPr>
          <t xml:space="preserve">En el inicio del tratamiento, y una vez ubicado el isocentro, posicionar erróneamente el ángulo de la mesa de tratamiento. Este error afectaría a la sesión inicial de tratamiento del paciente y a las referencias y adaptaciones para sesiones posteriores. Se asume que este error afectaría al desarrollo de todo el tratamiento del paciente. </t>
        </r>
      </text>
    </comment>
    <comment ref="CD1" authorId="0" shapeId="0">
      <text>
        <r>
          <rPr>
            <sz val="9"/>
            <color indexed="81"/>
            <rFont val="Tahoma"/>
            <charset val="1"/>
          </rPr>
          <t xml:space="preserve">Al realizar el inicio del tratamiento realizar erróneamente el marcado definitivo del paciente, este error puede ser bien por marcar en un lugar incorrecto o bien por haber realizado desplazamientos incorrectos desde marcas TC. Se asume que este error afectaría al desarrollo de todo el tratamiento del paciente. </t>
        </r>
      </text>
    </comment>
    <comment ref="CE1" authorId="0" shapeId="0">
      <text>
        <r>
          <rPr>
            <sz val="9"/>
            <color indexed="81"/>
            <rFont val="Tahoma"/>
            <charset val="1"/>
          </rPr>
          <t xml:space="preserve">Después de aprobado un cambio del plan de tratamiento (ya sea antes de la primera sesión o cuando el paciente lleva varias sesiones) omitir incorporar al plan las modificaciones requeridas. Las causas del cambio podrían ser, por ejemplo: nuevos hallazgos (que pueden hacer cambiar el PTV, la dosis o el fraccionamiento), corrección de errores previos en la prescripción, falta de disponibilidad del equipo de tratamiento o de la técnica inicialmente planificada, cambios realizados durante la sesión de inicio del tratamiento (pequeños cambios en parámetros técnicos como desplazamientos, pequeñas variaciones por posibilidad de colisión, etc.), reajustes radiobiológicos para compensar paradas en el tratamiento, etc. Se asume que este error afectaría al desarrollo de todo el tratamiento del paciente. </t>
        </r>
      </text>
    </comment>
    <comment ref="CF1" authorId="0" shapeId="0">
      <text>
        <r>
          <rPr>
            <sz val="9"/>
            <color indexed="81"/>
            <rFont val="Tahoma"/>
            <charset val="1"/>
          </rPr>
          <t xml:space="preserve">Después de aprobado un cambio del plan de tratamiento (ya sea antes de la primera sesión o cuando el paciente lleva varias sesiones) incorporar erróneamente al plan las modificaciones requeridas. Las causas del cambio podrían ser, por ejemplo: nuevos hallazgos (que pueden hacer cambiar el PTV, la dosis o el fraccionamiento), corrección de errores previos en la prescripción, falta de disponibilidad del equipo de tratamiento o de la técnica inicialmente planificada, cambios realizados durante la sesión de inicio del tratamiento (pequeños cambios en parámetros técnicos como desplazamientos, pequeñas variaciones por posibilidad de colisión, etc.), reajustes radiobiológicos para compensar paradas en el tratamiento, etc. Se asume que este error afectaría al desarrollo de todo el tratamiento del paciente. </t>
        </r>
      </text>
    </comment>
    <comment ref="CG1" authorId="0" shapeId="0">
      <text>
        <r>
          <rPr>
            <sz val="9"/>
            <color indexed="81"/>
            <rFont val="Tahoma"/>
            <charset val="1"/>
          </rPr>
          <t xml:space="preserve">Para el tratamiento diario  llamar a otro paciente que no es el que corresponde o se presenta un paciente que no es el llamado. Se asume que este error afectaría solamente a una sesión de tratamiento de un paciente. </t>
        </r>
      </text>
    </comment>
    <comment ref="CH1" authorId="0" shapeId="0">
      <text>
        <r>
          <rPr>
            <sz val="9"/>
            <color indexed="81"/>
            <rFont val="Tahoma"/>
            <charset val="1"/>
          </rPr>
          <t>En la preparación del inicio del tratamiento, seleccionar un paciente que no es el que corresponde. Se asume que este error afectaría solamente a una sesión de tratamiento de un paciente.</t>
        </r>
      </text>
    </comment>
    <comment ref="CI1" authorId="0" shapeId="0">
      <text>
        <r>
          <rPr>
            <sz val="9"/>
            <color indexed="81"/>
            <rFont val="Tahoma"/>
            <charset val="1"/>
          </rPr>
          <t>Al realizar el posicionamiento para el tratamiento diario inmovilizar erróneamente al paciente. Se asume que este error afectaría solamente a una sesión de tratamiento de un paciente.</t>
        </r>
      </text>
    </comment>
    <comment ref="CJ1" authorId="0" shapeId="0">
      <text>
        <r>
          <rPr>
            <sz val="9"/>
            <color indexed="81"/>
            <rFont val="Tahoma"/>
            <charset val="1"/>
          </rPr>
          <t>Colocar erróneamente al paciente en la mesa de tratamiento en el inicio del tratamiento al utilizar inmovilizadores de otro paciente. Se asume que este error afectaría solamente a una sesión de tratamiento de un paciente.</t>
        </r>
      </text>
    </comment>
    <comment ref="CK1" authorId="0" shapeId="0">
      <text>
        <r>
          <rPr>
            <sz val="9"/>
            <color indexed="81"/>
            <rFont val="Tahoma"/>
            <charset val="1"/>
          </rPr>
          <t>Falta de eficacia de los dispositivos de inmovilización (holguras, fijación deficiente, etc.) por deterioro. Esto implica que el uso de estos dispositivos no garantiza la inmovilización del paciente. Se asume que este error afectaría solamente a una sesión de tratamiento de un paciente.</t>
        </r>
      </text>
    </comment>
    <comment ref="CL1" authorId="0" shapeId="0">
      <text>
        <r>
          <rPr>
            <sz val="9"/>
            <color indexed="81"/>
            <rFont val="Tahoma"/>
            <charset val="1"/>
          </rPr>
          <t>No colocar algún sistema de inmovilización o colocarlos mal (incorrecta compresión, en sistemas de compresión indexados no colocarlos en la posición correcta por lo que se ejerce la fuerza en una posición distinta de la anatomía, no reproducir la fuerza de compresión de la simulación, no indexar correctamente en la mesa, etc.).  Se asume que este error afectaría solamente a una sesión de tratamiento de un paciente.</t>
        </r>
      </text>
    </comment>
    <comment ref="CM1" authorId="0" shapeId="0">
      <text>
        <r>
          <rPr>
            <sz val="9"/>
            <color indexed="81"/>
            <rFont val="Tahoma"/>
            <charset val="1"/>
          </rPr>
          <t>Después de inmovilizar y colocar al paciente para el tratamiento diario, alineado en marcas TC, realizar erróneamente los desplazamientos para alinearlo en el isocentro. Se asume que este error afectaría solamente a una sesión de tratamiento de un paciente.</t>
        </r>
      </text>
    </comment>
    <comment ref="CN1" authorId="0" shapeId="0">
      <text>
        <r>
          <rPr>
            <sz val="9"/>
            <color indexed="81"/>
            <rFont val="Tahoma"/>
            <charset val="1"/>
          </rPr>
          <t>Al realizar el posicionamiento para el tratamiento diario omitir la colocación de bolus indicado en el tratamiento del paciente o se coloca uno erróneo. Se asume que este error afectaría solamente a una sesión de tratamiento de un paciente.</t>
        </r>
      </text>
    </comment>
    <comment ref="CO1" authorId="0" shapeId="0">
      <text>
        <r>
          <rPr>
            <sz val="9"/>
            <color indexed="81"/>
            <rFont val="Tahoma"/>
            <charset val="1"/>
          </rPr>
          <t xml:space="preserve">Desviación de la alineación de los láseres. Esto implicaría un error en el posicionamiento de los pacientes. Se asume que este fallo afectaría al tratamiento de varios pacientes. </t>
        </r>
      </text>
    </comment>
    <comment ref="CP1" authorId="0" shapeId="0">
      <text>
        <r>
          <rPr>
            <sz val="9"/>
            <color indexed="81"/>
            <rFont val="Tahoma"/>
            <charset val="1"/>
          </rPr>
          <t xml:space="preserve">Desviación óptica de la distancia por fallos locales. Esto implicaría un error en el posicionamiento de los pacientes. Se asume que este fallo afectaría al tratamiento de varios pacientes. </t>
        </r>
      </text>
    </comment>
    <comment ref="CQ1" authorId="0" shapeId="0">
      <text>
        <r>
          <rPr>
            <sz val="9"/>
            <color indexed="81"/>
            <rFont val="Tahoma"/>
            <charset val="1"/>
          </rPr>
          <t xml:space="preserve">Tratar al paciente en condiciones distintas a las de simulación (dentadura, llenado vejiga, vaciado recto, etc.). Se asume que este error afectaría solamente a una sesión de tratamiento de un paciente. </t>
        </r>
      </text>
    </comment>
    <comment ref="CR1" authorId="0" shapeId="0">
      <text>
        <r>
          <rPr>
            <sz val="9"/>
            <color indexed="81"/>
            <rFont val="Tahoma"/>
            <charset val="1"/>
          </rPr>
          <t xml:space="preserve">Durante una sesión de tratamiento diario, colocar erróneamente los accesorios de seguimiento de la respiración, afectando a la amplitud (lo cual puede afectar a la precisión) o incluso a la forma de la señal (si la posición es más torácica o más abdominal). Se asume que este error afectaría solamente a una sesión de tratamiento de un paciente. </t>
        </r>
      </text>
    </comment>
    <comment ref="CS1" authorId="0" shapeId="0">
      <text>
        <r>
          <rPr>
            <sz val="9"/>
            <color indexed="81"/>
            <rFont val="Tahoma"/>
            <charset val="1"/>
          </rPr>
          <t xml:space="preserve">Inexactitud del movimiento de los elementos mecánicos del sistema de IGRT (detector, tubo de RX, etc.) que puedan llevar a un cálculo incorrecto de distancias, magnificación, etc. También puede conducir a que el isocentro de la imagen sea distintos al de radiación, que llevarían a una incorrecta colocación del paciente. Se asume que este fallo afectaría al tratamiento de varios pacientes. </t>
        </r>
      </text>
    </comment>
    <comment ref="CT1" authorId="0" shapeId="0">
      <text>
        <r>
          <rPr>
            <sz val="9"/>
            <color indexed="81"/>
            <rFont val="Tahoma"/>
            <charset val="1"/>
          </rPr>
          <t>En algunos sistemas si el isocentro está muy lateralizado y no se puede hacer el CBCT porque choca el equipo con el paciente, existe la posibilidad de guardar las coordenadas del isocentro, centrar al paciente para hacer el CBCT y una vez realizado desplazar la mesa automáticamente al isocentro; por lo que si este movimiento no está bien calibrado la colocación del paciente será incorrecta. Se asume que este error afectaría solamente a una sesión de tratamiento de un paciente.</t>
        </r>
      </text>
    </comment>
    <comment ref="CU1" authorId="0" shapeId="0">
      <text>
        <r>
          <rPr>
            <sz val="9"/>
            <color indexed="81"/>
            <rFont val="Tahoma"/>
            <charset val="1"/>
          </rPr>
          <t xml:space="preserve">Realizar erróneamente la fusión de imágenes de la IGRT con las imágenes de referencia por mala interpretación de la anatomía, elección de parámetros de fusión inadecuados, etc. Se asume que este error afectaría solamente a una sesión de tratamiento de un paciente. </t>
        </r>
      </text>
    </comment>
    <comment ref="CV1" authorId="0" shapeId="0">
      <text>
        <r>
          <rPr>
            <sz val="9"/>
            <color indexed="81"/>
            <rFont val="Tahoma"/>
            <charset val="1"/>
          </rPr>
          <t xml:space="preserve">Si los desplazamientos de la mesa resultantes de la comparación de la IGRT con las imágenes de referencia son manuales, realizarlos incorrectamente por interpretación incorrecta de signos, cambio de unidades, etc. Se asume que este error afectaría solamente a una sesión de tratamiento de un paciente. </t>
        </r>
      </text>
    </comment>
    <comment ref="CW1" authorId="0" shapeId="0">
      <text>
        <r>
          <rPr>
            <sz val="9"/>
            <color indexed="81"/>
            <rFont val="Tahoma"/>
            <charset val="1"/>
          </rPr>
          <t xml:space="preserve">Si los desplazamientos de la mesa resultantes de la comparación de la IGRT con las imágenes de referencia son automáticos, que el sistema mueva la mesa incorrectamente por mal funcionamiento del equipo. Se asume que este fallo afectaría al tratamiento de varios pacientes. </t>
        </r>
      </text>
    </comment>
    <comment ref="CX1" authorId="0" shapeId="0">
      <text>
        <r>
          <rPr>
            <sz val="9"/>
            <color indexed="81"/>
            <rFont val="Tahoma"/>
            <charset val="1"/>
          </rPr>
          <t>Fallo de algún elemento (láminas, energía, colimador, gantry, mesa de tratamiento, etc.) del equipo que implica que el tratamiento no se administre con los parámetros previstos lo que causa errores dosimétricos y/o geométricos. Se asume que este fallo afectaría al tratamiento de varios pacientes.</t>
        </r>
      </text>
    </comment>
    <comment ref="CY1" authorId="0" shapeId="0">
      <text>
        <r>
          <rPr>
            <sz val="9"/>
            <color indexed="81"/>
            <rFont val="Tahoma"/>
            <charset val="1"/>
          </rPr>
          <t>Dar un tratamiento con respiración normal en vez de 'gating' o 'breathhold', o al revés, o en general cualquier modo de respiración distinto del planificado. Se asume que este error afectaría solamente a una sesión de tratamiento de un paciente.</t>
        </r>
      </text>
    </comment>
    <comment ref="CZ1" authorId="0" shapeId="0">
      <text>
        <r>
          <rPr>
            <sz val="9"/>
            <color indexed="81"/>
            <rFont val="Tahoma"/>
            <charset val="1"/>
          </rPr>
          <t>Al realizar la ejecución del tratamiento, seleccionar erróneamente una localización de tratamiento. Únicamente ocurre cuando el tratamiento de un paciente incluye varias localizaciones. Se asume que este error afectaría solamente a una sesión de tratamiento de un paciente.</t>
        </r>
      </text>
    </comment>
    <comment ref="DA1" authorId="0" shapeId="0">
      <text>
        <r>
          <rPr>
            <sz val="9"/>
            <color indexed="81"/>
            <rFont val="Tahoma"/>
            <charset val="1"/>
          </rPr>
          <t xml:space="preserve">Al realizar el posicionamiento durante el tratamiento diario, después de ubicar el isocentro, al mover el ángulo de mesa manualmente en el tratamiento diario, se coloca incorrectamente. Se asume que este error afectaría solamente a una sesión de tratamiento. </t>
        </r>
      </text>
    </comment>
    <comment ref="DB1" authorId="0" shapeId="0">
      <text>
        <r>
          <rPr>
            <sz val="9"/>
            <color indexed="81"/>
            <rFont val="Tahoma"/>
            <charset val="1"/>
          </rPr>
          <t xml:space="preserve">Durante el periodo de tratamiento omitir por error la administración de una sesión de tratamiento diario. Se asume que este error afectaría solamente a una sesión de tratamiento de un paciente. </t>
        </r>
      </text>
    </comment>
    <comment ref="DC1" authorId="0" shapeId="0">
      <text>
        <r>
          <rPr>
            <sz val="9"/>
            <color indexed="81"/>
            <rFont val="Tahoma"/>
            <charset val="1"/>
          </rPr>
          <t xml:space="preserve">Durante el periodo de tratamiento omitir por error la administración de un campo o un arco. Por ejemplo, por la terminación irregular de éste durante el tratamiento del paciente (debido a problemas locales, fallos de equipos, problemas del paciente, por accionamiento inadvertido de la tecla 'terminar' en la consola de tratamiento o por cualquier otra causa). Se asume que este error afectaría solamente a una sesión de tratamiento de un paciente. </t>
        </r>
      </text>
    </comment>
    <comment ref="DD1" authorId="0" shapeId="0">
      <text>
        <r>
          <rPr>
            <sz val="9"/>
            <color indexed="81"/>
            <rFont val="Tahoma"/>
            <charset val="1"/>
          </rPr>
          <t xml:space="preserve">Cuando un tratamiento se corta antes de finalizar, no administrar las UM restantes o administrar de más porque no se registró correctamente dónde se había cortado. Se asume que este error afectaría solamente a una sesión de tratamiento de un paciente.  </t>
        </r>
      </text>
    </comment>
    <comment ref="DE1" authorId="0" shapeId="0">
      <text>
        <r>
          <rPr>
            <sz val="9"/>
            <color indexed="81"/>
            <rFont val="Tahoma"/>
            <charset val="1"/>
          </rPr>
          <t xml:space="preserve">Administrar erróneamente al paciente una o varias sesiones adicionales de tratamiento al no advertir que se ha llegado al número prescrito de sesiones.  Se asume que este error afectaría al desarrollo de todo el tratamiento del paciente. </t>
        </r>
      </text>
    </comment>
    <comment ref="DF1" authorId="0" shapeId="0">
      <text>
        <r>
          <rPr>
            <sz val="9"/>
            <color indexed="81"/>
            <rFont val="Tahoma"/>
            <charset val="1"/>
          </rPr>
          <t xml:space="preserve">Se administra erróneamente al paciente dos veces en un mismo día el tratamiento diario prescrito. Se da crédito para pacientes ingresados. Se asume que este error afectaría solamente a una sesión de tratamiento de un paciente. </t>
        </r>
      </text>
    </comment>
    <comment ref="DG1" authorId="0" shapeId="0">
      <text>
        <r>
          <rPr>
            <sz val="9"/>
            <color indexed="81"/>
            <rFont val="Tahoma"/>
            <charset val="1"/>
          </rPr>
          <t xml:space="preserve">Administrar erróneamente un mismo campo o un mismo arco dos veces en una sesión de tratamiento. Se asume que este error afectaría solamente a una sesión de tratamiento de un paciente.  </t>
        </r>
      </text>
    </comment>
    <comment ref="DH1" authorId="0" shapeId="0">
      <text>
        <r>
          <rPr>
            <sz val="9"/>
            <color indexed="81"/>
            <rFont val="Tahoma"/>
            <charset val="1"/>
          </rPr>
          <t xml:space="preserve">Movimiento significativo (observable) del paciente, de forma voluntaria o involuntaria, en cualquier momento desde la adquisición de la imagen de verificación hasta el final de tratamiento. Se asume que este error afectaría solamente a una sesión de tratamiento de un paciente.  </t>
        </r>
      </text>
    </comment>
    <comment ref="B8" authorId="0" shapeId="0">
      <text>
        <r>
          <rPr>
            <sz val="9"/>
            <color indexed="81"/>
            <rFont val="Tahoma"/>
            <charset val="1"/>
          </rPr>
          <t>Protocolos nacionales o internacionales para la aceptación y puesta en servicio del TPS.</t>
        </r>
      </text>
    </comment>
    <comment ref="B9" authorId="0" shapeId="0">
      <text>
        <r>
          <rPr>
            <sz val="9"/>
            <color indexed="81"/>
            <rFont val="Tahoma"/>
            <charset val="1"/>
          </rPr>
          <t>Protocolos de control ambiental adecuado para impedir excesiva humedad y temperatura.</t>
        </r>
      </text>
    </comment>
    <comment ref="B10" authorId="0" shapeId="0">
      <text>
        <r>
          <rPr>
            <sz val="9"/>
            <color indexed="81"/>
            <rFont val="Tahoma"/>
            <charset val="1"/>
          </rPr>
          <t>Protocolos establecidos para los estados de referencia inicial y los controles de calidad.</t>
        </r>
      </text>
    </comment>
    <comment ref="B11" authorId="0" shapeId="0">
      <text>
        <r>
          <rPr>
            <sz val="9"/>
            <color indexed="81"/>
            <rFont val="Tahoma"/>
            <charset val="1"/>
          </rPr>
          <t>Programa de mantenimiento preventivo.</t>
        </r>
      </text>
    </comment>
    <comment ref="B12" authorId="0" shapeId="0">
      <text>
        <r>
          <rPr>
            <sz val="9"/>
            <color indexed="81"/>
            <rFont val="Tahoma"/>
            <charset val="1"/>
          </rPr>
          <t>Controles de calidad diarios que permiten identificar derivas en parámetros y corregirlos antes de que salgan de tolerancias (p.ej.: láseres, UM/cGy, sistema de imagen, etc.).</t>
        </r>
      </text>
    </comment>
    <comment ref="B13" authorId="0" shapeId="0">
      <text>
        <r>
          <rPr>
            <sz val="9"/>
            <color indexed="81"/>
            <rFont val="Tahoma"/>
            <charset val="1"/>
          </rPr>
          <t>Protocolos clínicos.</t>
        </r>
      </text>
    </comment>
    <comment ref="B14" authorId="0" shapeId="0">
      <text>
        <r>
          <rPr>
            <sz val="9"/>
            <color indexed="81"/>
            <rFont val="Tahoma"/>
            <charset val="1"/>
          </rPr>
          <t>Plantillas automáticas de prescripción.</t>
        </r>
      </text>
    </comment>
    <comment ref="B15" authorId="0" shapeId="0">
      <text>
        <r>
          <rPr>
            <sz val="9"/>
            <color indexed="81"/>
            <rFont val="Tahoma"/>
            <charset val="1"/>
          </rPr>
          <t>Sistema integrado en el que se pueda consultar toda la información asociada al paciente.</t>
        </r>
      </text>
    </comment>
    <comment ref="B16" authorId="0" shapeId="0">
      <text>
        <r>
          <rPr>
            <sz val="9"/>
            <color indexed="81"/>
            <rFont val="Tahoma"/>
            <charset val="1"/>
          </rPr>
          <t>Establecer usuarios con contraseña y perfil para que nadie sin autorización y formación adecuada pueda cambiar inadvertidamente parámetros del TPS.</t>
        </r>
      </text>
    </comment>
    <comment ref="B17" authorId="0" shapeId="0">
      <text>
        <r>
          <rPr>
            <sz val="9"/>
            <color indexed="81"/>
            <rFont val="Tahoma"/>
            <charset val="1"/>
          </rPr>
          <t>Procedimiento de trabajo por el que se establece incluir en el nombre de los volúmenes a tratar la localización anatómica. (Ejemplo: PTV1_dorsal, PTV2_lumbar,etc.).</t>
        </r>
      </text>
    </comment>
    <comment ref="B18" authorId="0" shapeId="0">
      <text>
        <r>
          <rPr>
            <sz val="9"/>
            <color indexed="81"/>
            <rFont val="Tahoma"/>
            <charset val="1"/>
          </rPr>
          <t>Herramienta de autosegmentación o delineación automática.</t>
        </r>
      </text>
    </comment>
    <comment ref="B19" authorId="0" shapeId="0">
      <text>
        <r>
          <rPr>
            <sz val="9"/>
            <color indexed="81"/>
            <rFont val="Tahoma"/>
            <charset val="1"/>
          </rPr>
          <t>Protocolos o guías de delimitación y márgenes por localización para los volúmenes de tratamiento.</t>
        </r>
      </text>
    </comment>
    <comment ref="B20" authorId="0" shapeId="0">
      <text>
        <r>
          <rPr>
            <sz val="9"/>
            <color indexed="81"/>
            <rFont val="Tahoma"/>
            <charset val="1"/>
          </rPr>
          <t>Mantener la carga de trabajo moderada.</t>
        </r>
      </text>
    </comment>
    <comment ref="B21" authorId="0" shapeId="0">
      <text>
        <r>
          <rPr>
            <sz val="9"/>
            <color indexed="81"/>
            <rFont val="Tahoma"/>
            <charset val="1"/>
          </rPr>
          <t>Mantener las condiciones de trabajo propiciando la concentración para evitar distracciones. Área/tiempos sin interrupciones.</t>
        </r>
      </text>
    </comment>
    <comment ref="B22" authorId="0" shapeId="0">
      <text>
        <r>
          <rPr>
            <sz val="9"/>
            <color indexed="81"/>
            <rFont val="Tahoma"/>
            <charset val="1"/>
          </rPr>
          <t>Procedimiento para implementar cambios en los tratamientos.</t>
        </r>
      </text>
    </comment>
    <comment ref="B23" authorId="0" shapeId="0">
      <text>
        <r>
          <rPr>
            <sz val="9"/>
            <color indexed="81"/>
            <rFont val="Tahoma"/>
            <charset val="1"/>
          </rPr>
          <t>Capacitación y formación de profesionales implicados.</t>
        </r>
      </text>
    </comment>
    <comment ref="B24" authorId="0" shapeId="0">
      <text>
        <r>
          <rPr>
            <sz val="9"/>
            <color indexed="81"/>
            <rFont val="Tahoma"/>
            <charset val="1"/>
          </rPr>
          <t>Procedimiento para reanudar el tratamiento cuando hay una interrupción del mismo.</t>
        </r>
      </text>
    </comment>
    <comment ref="B25" authorId="0" shapeId="0">
      <text>
        <r>
          <rPr>
            <sz val="9"/>
            <color indexed="81"/>
            <rFont val="Tahoma"/>
            <charset val="1"/>
          </rPr>
          <t>Utilización de un flujo automático de trabajo en la red de radioterapia.</t>
        </r>
      </text>
    </comment>
    <comment ref="B26" authorId="0" shapeId="0">
      <text>
        <r>
          <rPr>
            <sz val="9"/>
            <color indexed="81"/>
            <rFont val="Tahoma"/>
            <charset val="1"/>
          </rPr>
          <t>Acceso a las alertas del fabricante acerca de fallos en el TPS.</t>
        </r>
      </text>
    </comment>
    <comment ref="B27" authorId="0" shapeId="0">
      <text>
        <r>
          <rPr>
            <sz val="9"/>
            <color indexed="81"/>
            <rFont val="Tahoma"/>
            <charset val="1"/>
          </rPr>
          <t>Procedimiento por el que se inserta la fotografía del paciente en la hoja de tratamiento que elabora el ORT al finalizar la prescripción clínica del tratamiento.</t>
        </r>
      </text>
    </comment>
    <comment ref="B28" authorId="0" shapeId="0">
      <text>
        <r>
          <rPr>
            <sz val="9"/>
            <color indexed="81"/>
            <rFont val="Tahoma"/>
            <charset val="1"/>
          </rPr>
          <t>Procedimiento por el que se inserta la fotografía de posicionamiento del paciente en la hoja de tratamiento electrónica.</t>
        </r>
      </text>
    </comment>
    <comment ref="B29" authorId="0" shapeId="0">
      <text>
        <r>
          <rPr>
            <sz val="9"/>
            <color indexed="81"/>
            <rFont val="Tahoma"/>
            <charset val="1"/>
          </rPr>
          <t>Existencia de una fotografía del paciente realizada en una etapa previa.</t>
        </r>
      </text>
    </comment>
    <comment ref="B30" authorId="0" shapeId="0">
      <text>
        <r>
          <rPr>
            <sz val="9"/>
            <color indexed="81"/>
            <rFont val="Tahoma"/>
            <charset val="1"/>
          </rPr>
          <t>Comprobación de la identidad del paciente mediante sistemas electrónicos de identificación.</t>
        </r>
      </text>
    </comment>
    <comment ref="B31" authorId="0" shapeId="0">
      <text>
        <r>
          <rPr>
            <sz val="9"/>
            <color indexed="81"/>
            <rFont val="Tahoma"/>
            <charset val="1"/>
          </rPr>
          <t>Comprobación de los accesorios de inmovilización antes de su uso.</t>
        </r>
      </text>
    </comment>
    <comment ref="B32" authorId="0" shapeId="0">
      <text>
        <r>
          <rPr>
            <sz val="9"/>
            <color indexed="81"/>
            <rFont val="Tahoma"/>
            <charset val="1"/>
          </rPr>
          <t>Protocolo para la obtención de imágenes y ficha de simulación.</t>
        </r>
      </text>
    </comment>
    <comment ref="B33" authorId="0" shapeId="0">
      <text>
        <r>
          <rPr>
            <sz val="9"/>
            <color indexed="81"/>
            <rFont val="Tahoma"/>
            <charset val="1"/>
          </rPr>
          <t>Procedimiento por el que se incluye en la ficha de tratamiento  (en papel o electrónica) advertencias sobre circunstancias especiales como posicionamientos no habituales, posibilidad de movimiento del paciente, prótesis, contraste, bolus, etc.</t>
        </r>
      </text>
    </comment>
    <comment ref="B34" authorId="0" shapeId="0">
      <text>
        <r>
          <rPr>
            <sz val="9"/>
            <color indexed="81"/>
            <rFont val="Tahoma"/>
            <charset val="1"/>
          </rPr>
          <t>Procedimiento establecido para la compra y revisión de los inmovilizadores.</t>
        </r>
      </text>
    </comment>
    <comment ref="B35" authorId="0" shapeId="0">
      <text>
        <r>
          <rPr>
            <sz val="9"/>
            <color indexed="81"/>
            <rFont val="Tahoma"/>
            <charset val="1"/>
          </rPr>
          <t>Revisión del TSRTyD y/o de enfermería, antes de hacer el TC, de los datos para el mismo.</t>
        </r>
      </text>
    </comment>
    <comment ref="B36" authorId="0" shapeId="0">
      <text>
        <r>
          <rPr>
            <sz val="9"/>
            <color indexed="81"/>
            <rFont val="Tahoma"/>
            <charset val="1"/>
          </rPr>
          <t>Entregar al paciente información sobre cómo debe prepararse para la obtención de imágenes y/o su tratamiento.</t>
        </r>
      </text>
    </comment>
    <comment ref="B37" authorId="0" shapeId="0">
      <text>
        <r>
          <rPr>
            <sz val="9"/>
            <color indexed="81"/>
            <rFont val="Tahoma"/>
            <charset val="1"/>
          </rPr>
          <t>Disponer de protocolos para la realización de fusión de imágenes por localización anatómica.</t>
        </r>
      </text>
    </comment>
    <comment ref="B38" authorId="0" shapeId="0">
      <text>
        <r>
          <rPr>
            <sz val="9"/>
            <color indexed="81"/>
            <rFont val="Tahoma"/>
            <charset val="1"/>
          </rPr>
          <t>Etiquetar de forma clara por parte del ORT el estudio correcto para planificación.</t>
        </r>
      </text>
    </comment>
    <comment ref="B39" authorId="0" shapeId="0">
      <text>
        <r>
          <rPr>
            <sz val="9"/>
            <color indexed="81"/>
            <rFont val="Tahoma"/>
            <charset val="1"/>
          </rPr>
          <t>Protocolo de colocación de los elementos de control respiratorio según patología.</t>
        </r>
      </text>
    </comment>
    <comment ref="B40" authorId="0" shapeId="0">
      <text>
        <r>
          <rPr>
            <sz val="9"/>
            <color indexed="81"/>
            <rFont val="Tahoma"/>
            <charset val="1"/>
          </rPr>
          <t>Procedimiento que consiste en tatuar la posición del sistema de seguimiento de la respiración.</t>
        </r>
      </text>
    </comment>
    <comment ref="B41" authorId="0" shapeId="0">
      <text>
        <r>
          <rPr>
            <sz val="9"/>
            <color indexed="81"/>
            <rFont val="Tahoma"/>
            <charset val="1"/>
          </rPr>
          <t>Protocolos de planificación.</t>
        </r>
      </text>
    </comment>
    <comment ref="B42" authorId="0" shapeId="0">
      <text>
        <r>
          <rPr>
            <sz val="9"/>
            <color indexed="81"/>
            <rFont val="Tahoma"/>
            <charset val="1"/>
          </rPr>
          <t>Procedimientos para el uso del TPS.</t>
        </r>
      </text>
    </comment>
    <comment ref="B43" authorId="0" shapeId="0">
      <text>
        <r>
          <rPr>
            <sz val="9"/>
            <color indexed="81"/>
            <rFont val="Tahoma"/>
            <charset val="1"/>
          </rPr>
          <t>Prohibición explícita para hacer cambios en procedimientos de uso del TPS si estos no están validados.</t>
        </r>
      </text>
    </comment>
    <comment ref="B44" authorId="0" shapeId="0">
      <text>
        <r>
          <rPr>
            <sz val="9"/>
            <color indexed="81"/>
            <rFont val="Tahoma"/>
            <charset val="1"/>
          </rPr>
          <t>Asignación automática de la mesa con los valores correctos de densidad automática en el planificador.</t>
        </r>
      </text>
    </comment>
    <comment ref="B45" authorId="0" shapeId="0">
      <text>
        <r>
          <rPr>
            <sz val="9"/>
            <color indexed="81"/>
            <rFont val="Tahoma"/>
            <charset val="1"/>
          </rPr>
          <t>Identificación automática de la fuente de imagen y asociación de la curva de conversión a densidad electrónica correspondiente.</t>
        </r>
      </text>
    </comment>
    <comment ref="B46" authorId="0" shapeId="0">
      <text>
        <r>
          <rPr>
            <sz val="9"/>
            <color indexed="81"/>
            <rFont val="Tahoma"/>
            <charset val="1"/>
          </rPr>
          <t>Procedimiento para usar plantillas automáticas  de planificación.</t>
        </r>
      </text>
    </comment>
    <comment ref="B47" authorId="0" shapeId="0">
      <text>
        <r>
          <rPr>
            <sz val="9"/>
            <color indexed="81"/>
            <rFont val="Tahoma"/>
            <charset val="1"/>
          </rPr>
          <t>Uso de desplazamiento automático de la mesa.</t>
        </r>
      </text>
    </comment>
    <comment ref="B48" authorId="0" shapeId="0">
      <text>
        <r>
          <rPr>
            <sz val="9"/>
            <color indexed="81"/>
            <rFont val="Tahoma"/>
            <charset val="1"/>
          </rPr>
          <t>Procedimiento por el que se establece que el TSRTyD que marca con rotulador las coordenadas al paciente es el mismo que lo tatúa.</t>
        </r>
      </text>
    </comment>
    <comment ref="B49" authorId="0" shapeId="0">
      <text>
        <r>
          <rPr>
            <sz val="9"/>
            <color indexed="81"/>
            <rFont val="Tahoma"/>
            <charset val="1"/>
          </rPr>
          <t>Procedimiento por el que se establece una secuencia lógica de campos editada en el acelerador.</t>
        </r>
      </text>
    </comment>
    <comment ref="B50" authorId="0" shapeId="0">
      <text>
        <r>
          <rPr>
            <sz val="9"/>
            <color indexed="81"/>
            <rFont val="Tahoma"/>
            <charset val="1"/>
          </rPr>
          <t>Secuencia automática de irradiación de los campos de tratamiento.</t>
        </r>
      </text>
    </comment>
    <comment ref="B51" authorId="0" shapeId="0">
      <text>
        <r>
          <rPr>
            <sz val="9"/>
            <color indexed="81"/>
            <rFont val="Tahoma"/>
            <charset val="1"/>
          </rPr>
          <t>Protocolos de IGRT por patologías.</t>
        </r>
      </text>
    </comment>
    <comment ref="B52" authorId="0" shapeId="0">
      <text>
        <r>
          <rPr>
            <sz val="9"/>
            <color indexed="81"/>
            <rFont val="Tahoma"/>
            <charset val="1"/>
          </rPr>
          <t>Utilización de un campo de bolus.</t>
        </r>
      </text>
    </comment>
    <comment ref="B53" authorId="0" shapeId="0">
      <text>
        <r>
          <rPr>
            <sz val="9"/>
            <color indexed="81"/>
            <rFont val="Tahoma"/>
            <charset val="1"/>
          </rPr>
          <t>Procedimiento por el que se establece la presencia continua de dos TSRTyDs en máquina que permite la vigilancia redundante del tratamiento.</t>
        </r>
      </text>
    </comment>
    <comment ref="B54" authorId="0" shapeId="0">
      <text>
        <r>
          <rPr>
            <sz val="9"/>
            <color indexed="81"/>
            <rFont val="Tahoma"/>
            <charset val="1"/>
          </rPr>
          <t>Procedimiento por el que se establece un sistema de identificación del bolus con los datos del paciente.</t>
        </r>
      </text>
    </comment>
    <comment ref="B55" authorId="0" shapeId="0">
      <text>
        <r>
          <rPr>
            <sz val="9"/>
            <color indexed="81"/>
            <rFont val="Tahoma"/>
            <charset val="1"/>
          </rPr>
          <t>Procedimiento por el que se indica mediante una nota en el campo correspondiente la presencia de bolus para que aparezca una indicación clara al descargarlo mediante la red.</t>
        </r>
      </text>
    </comment>
    <comment ref="B56" authorId="0" shapeId="0">
      <text>
        <r>
          <rPr>
            <sz val="9"/>
            <color indexed="81"/>
            <rFont val="Tahoma"/>
            <charset val="1"/>
          </rPr>
          <t>Procedimiento por el que el TSRTyD revisa sistemáticamente el cronograma del tratamiento.</t>
        </r>
      </text>
    </comment>
    <comment ref="B57" authorId="0" shapeId="0">
      <text>
        <r>
          <rPr>
            <sz val="9"/>
            <color indexed="81"/>
            <rFont val="Tahoma"/>
            <charset val="1"/>
          </rPr>
          <t>Procedimiento de trabajo por el que se establece un orden de irradiación de las localizaciones que se mantiene en cada sesión (por ejemplo, tratar siempre primero el volumen más cercano a la cabeza y después el más cercano a pies).</t>
        </r>
      </text>
    </comment>
    <comment ref="B58" authorId="0" shapeId="0">
      <text>
        <r>
          <rPr>
            <sz val="9"/>
            <color indexed="81"/>
            <rFont val="Tahoma"/>
            <charset val="1"/>
          </rPr>
          <t>Instrucciones al paciente para que no se mueva durante el tratamiento.</t>
        </r>
      </text>
    </comment>
    <comment ref="B59" authorId="0" shapeId="0">
      <text>
        <r>
          <rPr>
            <sz val="9"/>
            <color indexed="81"/>
            <rFont val="Tahoma"/>
            <charset val="1"/>
          </rPr>
          <t>Procedimiento que prohíbe la modificación manual de planes en la red.</t>
        </r>
      </text>
    </comment>
    <comment ref="B60" authorId="0" shapeId="0">
      <text>
        <r>
          <rPr>
            <sz val="9"/>
            <color indexed="81"/>
            <rFont val="Tahoma"/>
            <charset val="1"/>
          </rPr>
          <t>Protocolo por el que, una vez completada la verificación, el plan de verificación se desautoriza o elimina.</t>
        </r>
      </text>
    </comment>
    <comment ref="B61" authorId="0" shapeId="0">
      <text>
        <r>
          <rPr>
            <sz val="9"/>
            <color indexed="81"/>
            <rFont val="Tahoma"/>
            <charset val="1"/>
          </rPr>
          <t>Existencia de un procedimiento por el cual no se aprueba el tratamiento hasta que no se ha verificado el plan.</t>
        </r>
      </text>
    </comment>
  </commentList>
</comments>
</file>

<file path=xl/comments2.xml><?xml version="1.0" encoding="utf-8"?>
<comments xmlns="http://schemas.openxmlformats.org/spreadsheetml/2006/main">
  <authors>
    <author>FERRERAS HERNANDEZ ELENA</author>
  </authors>
  <commentList>
    <comment ref="C1" authorId="0" shapeId="0">
      <text>
        <r>
          <rPr>
            <sz val="9"/>
            <color indexed="81"/>
            <rFont val="Tahoma"/>
            <charset val="1"/>
          </rPr>
          <t>En la primera consulta, identificar erróneamente al paciente (asignando incorrectamente los datos de la exploración y entrevista de esta consulta) o los datos asociados al mismo (informes, analíticas, imágenes previas, etc.). Se asume que este error afectaría a la intención terapéutica y al plan de tratamiento del paciente.</t>
        </r>
      </text>
    </comment>
    <comment ref="D1" authorId="0" shapeId="0">
      <text>
        <r>
          <rPr>
            <sz val="9"/>
            <color indexed="81"/>
            <rFont val="Tahoma"/>
            <charset val="1"/>
          </rPr>
          <t xml:space="preserve">Al completar los datos de la intención terapéutica, o al seleccionar una plantilla de prescripción en la red de radioterapia, omitir o indicar incorrectamente todos o algunos de los órganos de riesgo considerados en la intención médica. Se asume que este error afectaría al plan de tratamiento del paciente. </t>
        </r>
      </text>
    </comment>
    <comment ref="E1" authorId="0" shapeId="0">
      <text>
        <r>
          <rPr>
            <sz val="9"/>
            <color indexed="81"/>
            <rFont val="Tahoma"/>
            <charset val="1"/>
          </rPr>
          <t>Al completar la ficha de tratamiento de acuerdo con la intención terapéutica, o al seleccionar una plantilla de prescripción en la red de radioterapia, indicar un valor de la dosis total dosis diaria o número de sesiones por semana de tratamiento diferente al considerado en la intención médica. Se asume que este error afectaría al plan de tratamiento del paciente.</t>
        </r>
      </text>
    </comment>
    <comment ref="F1" authorId="0" shapeId="0">
      <text>
        <r>
          <rPr>
            <sz val="9"/>
            <color indexed="81"/>
            <rFont val="Tahoma"/>
            <charset val="1"/>
          </rPr>
          <t xml:space="preserve">Al completar la ficha de tratamiento de acuerdo con la intención terapéutica, o al seleccionar una plantilla de prescripción en la red de radioterapia,  omitir o indicar incorrectamente el valor de la dosis permitida a los órganos de riesgo. Se asume que este error afectaría al plan de tratamiento del paciente. </t>
        </r>
      </text>
    </comment>
    <comment ref="G1" authorId="0" shapeId="0">
      <text>
        <r>
          <rPr>
            <sz val="9"/>
            <color indexed="81"/>
            <rFont val="Tahoma"/>
            <charset val="1"/>
          </rPr>
          <t>Al completar la ficha de tratamiento de acuerdo con la intención terapéutica, o al seleccionar una plantilla de prescripción en la red de radioterapia, omitir información sobre los volúmenes secundarios de tratamiento considerados durante la prescripción clínica del paciente. Se considera, además, que se omite esa información en la ficha de realización de la TC. Se asume que este error afectaría al plan de tratamiento del paciente.</t>
        </r>
      </text>
    </comment>
    <comment ref="H1" authorId="0" shapeId="0">
      <text>
        <r>
          <rPr>
            <sz val="9"/>
            <color indexed="81"/>
            <rFont val="Tahoma"/>
            <charset val="1"/>
          </rPr>
          <t>Al completar la ficha de tratamiento, o al rellenar la plantilla de prescripción en la red de radioterapia, aplicar la intención terapéutica del tratamiento a un paciente erróneo. Por ejemplo, se prescribe a un paciente la dosis de otro con la misma localización del tratamiento pero distinta dosis o fraccionamiento. Se asume que este error afectaría al plan de tratamiento del paciente.</t>
        </r>
      </text>
    </comment>
    <comment ref="I1" authorId="0" shapeId="0">
      <text>
        <r>
          <rPr>
            <sz val="9"/>
            <color indexed="81"/>
            <rFont val="Tahoma"/>
            <charset val="1"/>
          </rPr>
          <t xml:space="preserve">Al completar la ficha de tratamiento o al rellenar la plantilla de prescripción en la red de radioterapia,  seleccionar para la prescripción un volumen o un órgano erróneo (error de lateralidad o distinto volumen, o a un volumen con o sin cadenas ganglionares). Se asume que este error afectaría al plan de tratamiento del paciente. </t>
        </r>
      </text>
    </comment>
    <comment ref="J1" authorId="0" shapeId="0">
      <text>
        <r>
          <rPr>
            <sz val="9"/>
            <color indexed="81"/>
            <rFont val="Tahoma"/>
            <charset val="1"/>
          </rPr>
          <t>Obviar u omitir situaciones especiales de cara al tratamiento tales como presencia de marcapasos, paciente embarazada, tratamientos previos, tratamientos concomitantes, enfermedades concomitantes o situación del paciente. Se asume que este error afectaría al plan de tratamiento del paciente.</t>
        </r>
      </text>
    </comment>
    <comment ref="K1" authorId="0" shapeId="0">
      <text>
        <r>
          <rPr>
            <sz val="9"/>
            <color indexed="81"/>
            <rFont val="Tahoma"/>
            <charset val="1"/>
          </rPr>
          <t>En el TC de simulación llamar a otro paciente que no es el que corresponde. Se asume que este error afectaría al plan de tratamiento del paciente.</t>
        </r>
      </text>
    </comment>
    <comment ref="L1" authorId="0" shapeId="0">
      <text>
        <r>
          <rPr>
            <sz val="9"/>
            <color indexed="81"/>
            <rFont val="Tahoma"/>
            <charset val="1"/>
          </rPr>
          <t>Realizar indicaciones erróneas o incompletas que puedan llevar a una incorrecta inmovilización u obtención de imágenes del paciente por error en la aplicación del protocolo. Se asume que este error afectaría al plan de tratamiento del paciente.</t>
        </r>
      </text>
    </comment>
    <comment ref="M1" authorId="0" shapeId="0">
      <text>
        <r>
          <rPr>
            <sz val="9"/>
            <color indexed="81"/>
            <rFont val="Tahoma"/>
            <charset val="1"/>
          </rPr>
          <t>Realizar una preparación incorrecta del paciente para la obtención de imágenes por no estar en ayunas en caso de contraste, llenado vejiga, vaciamiento recto, estómago vacío, etc. (indicaciones en vejiga, recto, estómago, etc.). Se asume que este error afectaría al plan de tratamiento del paciente.</t>
        </r>
      </text>
    </comment>
    <comment ref="N1" authorId="0" shapeId="0">
      <text>
        <r>
          <rPr>
            <sz val="9"/>
            <color indexed="81"/>
            <rFont val="Tahoma"/>
            <charset val="1"/>
          </rPr>
          <t>Realizar simulación con objetos de alto contraste que puedan ser retirados en el momento previo a la simulación y que puedan afectar la calidad de las imágenes y/o a la planificación (p. ej.: dentadura, pendientes, etc.). Se asume que este error afectaría al plan de tratamiento del paciente.</t>
        </r>
      </text>
    </comment>
    <comment ref="O1" authorId="0" shapeId="0">
      <text>
        <r>
          <rPr>
            <sz val="9"/>
            <color indexed="81"/>
            <rFont val="Tahoma"/>
            <charset val="1"/>
          </rPr>
          <t>Durante la colocación del paciente en el TC de simulación omitir o identificar erróneamente los dispositivos de posicionamiento y/o colocación elaborados previamente (no utilizar inmovilizador, utilizar un inmovilizador que no es el adecuado, etiquetarlo mal, colocarlo mal o en una posición forzada del paciente, etc.), o se utilizan dispositivos elaborados incorrectamente. Se asume que este error afectaría al plan de tratamiento del paciente.</t>
        </r>
      </text>
    </comment>
    <comment ref="P1" authorId="0" shapeId="0">
      <text>
        <r>
          <rPr>
            <sz val="9"/>
            <color indexed="81"/>
            <rFont val="Tahoma"/>
            <charset val="1"/>
          </rPr>
          <t>Definir erróneamente la referencia del origen del TC, 0-TC (porque se omite la colocación de los perdigones o se colocan en un punto inadecuado), o colocar erróneamente otras referencias (cicatrices, etc.) o mover al paciente entre la colocación y la realización del TC. Se asume que este error afectaría al plan de tratamiento del paciente.</t>
        </r>
      </text>
    </comment>
    <comment ref="Q1" authorId="0" shapeId="0">
      <text>
        <r>
          <rPr>
            <sz val="9"/>
            <color indexed="81"/>
            <rFont val="Tahoma"/>
            <charset val="1"/>
          </rPr>
          <t>Durante el proceso de inmovilización y confección de los aditamentos de posicionamiento en la mesa de realización del TC de simulación omitir particularidades del posicionamiento o colocar al paciente en una posición incómoda o difícilmente reproducible. Esto provoca imágenes TC erróneas o inadecuadas y dispositivos de posicionamiento erróneos. Como consecuencia de este error, no se puede asegurar la reproducibilidad del tratamiento del paciente. Se asume que este error afectaría al plan de tratamiento del paciente.</t>
        </r>
      </text>
    </comment>
    <comment ref="R1" authorId="0" shapeId="0">
      <text>
        <r>
          <rPr>
            <sz val="9"/>
            <color indexed="81"/>
            <rFont val="Tahoma"/>
            <charset val="1"/>
          </rPr>
          <t xml:space="preserve">Utilización de dispositivos de inmovilización ineficientes (holguras, fijación deficiente, etc.) que no garantizan la inmovilización de los pacientes. Se asume que este error afectaría al desarrollo de todo el tratamiento de todos los pacientes. </t>
        </r>
      </text>
    </comment>
    <comment ref="S1" authorId="0" shapeId="0">
      <text>
        <r>
          <rPr>
            <sz val="9"/>
            <color indexed="81"/>
            <rFont val="Tahoma"/>
            <charset val="1"/>
          </rPr>
          <t>Realizar el TC de simulación del paciente con parámetros de adquisición o reconstrucción erróneos, ya sea por introducción de datos incorrectos en la consola del TC (extensión, 'field of view', espesor de corte y número de cortes), parámetros incorrectos de reconstrucción (espesor de reconstrucción, algoritmo de reducción de artefactos metálicos, fases respiratorias de reconstrucción) o por utilizar un TC no dedicado sin el protocolo adecuado de simulación (dadas las diferencias del TC de simulación con respecto a la mesa de tratamiento como tablero no plano o inclinado). Se asume que este error afectaría al plan de tratamiento del paciente.</t>
        </r>
      </text>
    </comment>
    <comment ref="T1" authorId="0" shapeId="0">
      <text>
        <r>
          <rPr>
            <sz val="9"/>
            <color indexed="81"/>
            <rFont val="Tahoma"/>
            <charset val="1"/>
          </rPr>
          <t>Fallo del TC que produce una imagen que no es válida para delineación o planificación, por ser demasiado ruidosa, con artefactos, etc., incluyendo la degradación de la imagen no detectada por no realizar controles de calidad. Se asume que este error afectaría al plan de tratamiento del paciente.</t>
        </r>
      </text>
    </comment>
    <comment ref="U1" authorId="0" shapeId="0">
      <text>
        <r>
          <rPr>
            <sz val="9"/>
            <color indexed="81"/>
            <rFont val="Tahoma"/>
            <charset val="1"/>
          </rPr>
          <t>En la adquisición de imágenes de localización, se comete un error al no tener en cuenta el movimiento del tumor (TC rápido que no muestra el movimiento del tumor con la respiración, TC que debería haberse adquirido en 4D y se adquiere de forma convencional) o realizar una adquisición incorrecta (colocación del sistema de adquisición e la señal respiratoria o manejo incorrecto de la misma). Este error puede afectar a la delineación de volúmenes y cálculo de densidades. Se asume que este error afectaría al plan de tratamiento del paciente.</t>
        </r>
      </text>
    </comment>
    <comment ref="V1" authorId="0" shapeId="0">
      <text>
        <r>
          <rPr>
            <sz val="9"/>
            <color indexed="81"/>
            <rFont val="Tahoma"/>
            <charset val="1"/>
          </rPr>
          <t>Introducir o seleccionar datos de identificación del paciente que no se corresponden con el paciente que ha entrado a la sala, de tal forma que la imagen de la fusión posterior se realizaría entre conjuntos de imágenes de pacientes distintos. Se asume que este error afectaría al plan de tratamiento del paciente.</t>
        </r>
      </text>
    </comment>
    <comment ref="W1" authorId="0" shapeId="0">
      <text>
        <r>
          <rPr>
            <sz val="9"/>
            <color indexed="81"/>
            <rFont val="Tahoma"/>
            <charset val="1"/>
          </rPr>
          <t>Durante la adquisición de imágenes en otras modalidades (RM, PET), colocar al paciente en una posición inadecuada (posición de brazos, inmovilizadores, tablero plano, etc.) que limitan las posibilidades y fiabilidad de la fusión de las imágenes adquiridas con las de TC. Este error puede afectar a la delineación de volúmenes. Se asume que este error afectaría al plan de tratamiento del paciente.</t>
        </r>
      </text>
    </comment>
    <comment ref="X1" authorId="0" shapeId="0">
      <text>
        <r>
          <rPr>
            <sz val="9"/>
            <color indexed="81"/>
            <rFont val="Tahoma"/>
            <charset val="1"/>
          </rPr>
          <t>Colocar incorrectamente las marcas fiduciarias en las imágenes de fusión que pueda llevar a errores en la fusión con el TC y a errores de localización de volúmenes. Se asume que este error afectaría al plan de tratamiento del paciente.</t>
        </r>
      </text>
    </comment>
    <comment ref="Y1" authorId="0" shapeId="0">
      <text>
        <r>
          <rPr>
            <sz val="9"/>
            <color indexed="81"/>
            <rFont val="Tahoma"/>
            <charset val="1"/>
          </rPr>
          <t>Utilizar imágenes PET o RM inadecuadas por uso de radiofármaco inadecuado para la patología del paciente; por efecto de volumen parcial (filtro de reconstrucción, FOV o matriz inadecuados); por uso de una secuencia inadecuada de RM (insuficiente contraste que limita la visualización de lesiones) o por realizar la RM con una antena inadecuada (distorsión y pérdida de calidad de las imágenes). Se asume que este error afectaría al plan de tratamiento del paciente.</t>
        </r>
      </text>
    </comment>
    <comment ref="Z1" authorId="0" shapeId="0">
      <text>
        <r>
          <rPr>
            <sz val="9"/>
            <color indexed="81"/>
            <rFont val="Tahoma"/>
            <charset val="1"/>
          </rPr>
          <t>Omitir las marcas de referencia en el TC de simulación o no se tatúan correctamente en la piel del paciente.  Como consecuencia de este error, no se puede asegurar la reproducibilidad del tratamiento del paciente. Se asume que este error afectaría al plan de tratamiento del paciente.</t>
        </r>
      </text>
    </comment>
    <comment ref="AA1" authorId="0" shapeId="0">
      <text>
        <r>
          <rPr>
            <sz val="9"/>
            <color indexed="81"/>
            <rFont val="Tahoma"/>
            <charset val="1"/>
          </rPr>
          <t xml:space="preserve"> Omitir o tatuar en una posición incorrecta la posición de los elementos del sistema de seguimiento de respiración. Como consecuencia de este error no se puede asegurar la reproducibilidad de la posición de estos elementos a lo largo del tratamiento. Se asume que este error afectaría al plan de tratamiento del paciente.</t>
        </r>
      </text>
    </comment>
    <comment ref="AB1" authorId="0" shapeId="0">
      <text>
        <r>
          <rPr>
            <sz val="9"/>
            <color indexed="81"/>
            <rFont val="Tahoma"/>
            <charset val="1"/>
          </rPr>
          <t>Durante la edición del TC previa a su transferencia al sistema de planificación (TPS) o la red en la que está contenido el TPS, introducir información errónea, por ejemplo, sobre la posición del paciente (prono/supino o cabeza primero/pies primero). Se asume que este error afectaría al plan de tratamiento del paciente.</t>
        </r>
      </text>
    </comment>
    <comment ref="AC1" authorId="0" shapeId="0">
      <text>
        <r>
          <rPr>
            <sz val="9"/>
            <color indexed="81"/>
            <rFont val="Tahoma"/>
            <charset val="1"/>
          </rPr>
          <t>Omitir o registrar incorrectamente datos en la hoja de tratamiento sobre la posición del paciente, los dispositivos de colocación o inmovilización utilizados y otras particularidades consideradas durante la realización del TC de simulación. Este error afectaría a la reproducibilidad de la posición del paciente durante la administración del tratamiento. Se asume que este error afectaría al plan de tratamiento del paciente.</t>
        </r>
      </text>
    </comment>
    <comment ref="AD1" authorId="0" shapeId="0">
      <text>
        <r>
          <rPr>
            <sz val="9"/>
            <color indexed="81"/>
            <rFont val="Tahoma"/>
            <charset val="1"/>
          </rPr>
          <t>Fallo en la transferencia e importación de imágenes (TC, fusión, etc.) al sistema de planificación (TPS) o la red en la que está contenido el TPS que ocasiona que las imágenes transferidas no sean correctas. Por ejemplo, se transfiere un número de cortes erróneo o se introduce un cambio en las densidades o las coordenadas. Se asume que este error afectaría al plan de tratamiento del paciente.</t>
        </r>
      </text>
    </comment>
    <comment ref="AE1" authorId="0" shapeId="0">
      <text>
        <r>
          <rPr>
            <sz val="9"/>
            <color indexed="81"/>
            <rFont val="Tahoma"/>
            <charset val="1"/>
          </rPr>
          <t>Asignar las imágenes de un paciente a otro en el planificador. Se asume que este error afectaría al plan de tratamiento del paciente.</t>
        </r>
      </text>
    </comment>
    <comment ref="AF1" authorId="0" shapeId="0">
      <text>
        <r>
          <rPr>
            <sz val="9"/>
            <color indexed="81"/>
            <rFont val="Tahoma"/>
            <charset val="1"/>
          </rPr>
          <t>Durante la fusión de imágenes con otras modalidades (RM, PET) o TC del mismo paciente (TC previo) seleccionar erróneamente imágenes de otros pacientes o set de imágenes incorrectas del mismo paciente (serie incorrecta de RM, TC previo de fecha incorrecta, etc.). Este error puede afectar a la delineación de volúmenes. Se asume que este error afectaría al plan de tratamiento del paciente.</t>
        </r>
      </text>
    </comment>
    <comment ref="AG1" authorId="0" shapeId="0">
      <text>
        <r>
          <rPr>
            <sz val="9"/>
            <color indexed="81"/>
            <rFont val="Tahoma"/>
            <charset val="1"/>
          </rPr>
          <t>Fusión incorrecta debida a una mala interpretación de la morfología observada en ambas imágenes o por usar parámetros para la fusión incorrecta o fuera de los requisitos del software, que lleva a la determinación errónea de volúmenes de tratamiento y órganos de riesgo. Se asume que este error afectaría al plan de tratamiento del paciente.</t>
        </r>
      </text>
    </comment>
    <comment ref="AH1" authorId="0" shapeId="0">
      <text>
        <r>
          <rPr>
            <sz val="9"/>
            <color indexed="81"/>
            <rFont val="Tahoma"/>
            <charset val="1"/>
          </rPr>
          <t>Al delinear los volúmenes en el sistema de planificación (TPS), omitir delinear uno, varios o todos los órganos de riesgo de un paciente. Se asume que este error afectaría al plan de tratamiento del paciente.</t>
        </r>
      </text>
    </comment>
    <comment ref="AI1" authorId="0" shapeId="0">
      <text>
        <r>
          <rPr>
            <sz val="9"/>
            <color indexed="81"/>
            <rFont val="Tahoma"/>
            <charset val="1"/>
          </rPr>
          <t>Al delinear los volúmenes en el sistema de planificación (TPS), realizar una delineación incompleta de un órgano de riesgo, o se nombra incorrectamente. Se asume que este error afectaría al plan de tratamiento del paciente.</t>
        </r>
      </text>
    </comment>
    <comment ref="AJ1" authorId="0" shapeId="0">
      <text>
        <r>
          <rPr>
            <sz val="9"/>
            <color indexed="81"/>
            <rFont val="Tahoma"/>
            <charset val="1"/>
          </rPr>
          <t>Durante la delineación de volúmenes identificar o seleccionar erróneamente al paciente. Esto implica la delimitación de volúmenes teniendo en cuenta la información clínica de un paciente equivocado. Se asume que este error afectaría al plan de tratamiento del paciente.</t>
        </r>
      </text>
    </comment>
    <comment ref="AK1" authorId="0" shapeId="0">
      <text>
        <r>
          <rPr>
            <sz val="9"/>
            <color indexed="81"/>
            <rFont val="Tahoma"/>
            <charset val="1"/>
          </rPr>
          <t>Después de la delineación correcta de los volúmenes de tratamiento utilizar una nomenclatura no convenida o se comete un error al denominar los volúmenes en el sistema de planificación (TPS) que puede interpretarse de forma errónea. Se asume que este error afectaría al plan de tratamiento del paciente.</t>
        </r>
      </text>
    </comment>
    <comment ref="AL1" authorId="0" shapeId="0">
      <text>
        <r>
          <rPr>
            <sz val="9"/>
            <color indexed="81"/>
            <rFont val="Tahoma"/>
            <charset val="1"/>
          </rPr>
          <t>Al delinear los volúmenes en el sistema de planificación (TPS), omitir la delineación de uno o varios CTVs secundarios del paciente o realiza una delineación incompleta. Se asume que este error afectaría al plan de tratamiento del paciente.</t>
        </r>
      </text>
    </comment>
    <comment ref="AM1" authorId="0" shapeId="0">
      <text>
        <r>
          <rPr>
            <sz val="9"/>
            <color indexed="81"/>
            <rFont val="Tahoma"/>
            <charset val="1"/>
          </rPr>
          <t>Delinear incorrectamente el PTV (utilización de métodos automáticos de delimitación de contornos no validados, no utilizar imágenes que tengan en cuenta el movimiento del tumor, asignación errónea de la lateralidad del tumor, etc.). Se asume que este error afectaría al plan de tratamiento del paciente.</t>
        </r>
      </text>
    </comment>
    <comment ref="AN1" authorId="0" shapeId="0">
      <text>
        <r>
          <rPr>
            <sz val="9"/>
            <color indexed="81"/>
            <rFont val="Tahoma"/>
            <charset val="1"/>
          </rPr>
          <t>Durante la planificación del tratamiento asignar incorrectamente las imágenes de un paciente a otro paciente o al introducir algún dato demográfico. Esto implica el uso de información de un paciente equivocado para la planificación, afectando al plan de tratamiento del mismo. Se asume que este error afectaría al plan de tratamiento del paciente.</t>
        </r>
      </text>
    </comment>
    <comment ref="AO1" authorId="0" shapeId="0">
      <text>
        <r>
          <rPr>
            <sz val="9"/>
            <color indexed="81"/>
            <rFont val="Tahoma"/>
            <charset val="1"/>
          </rPr>
          <t>Al planificar el tratamiento de un paciente cometer un error al introducir los datos de la dosis total, dosis por fracción y número de sesiones en el sistema de planificación (TPS)  o en la red de radioterapia. Se asume que este error afectaría al plan de tratamiento del paciente.</t>
        </r>
      </text>
    </comment>
    <comment ref="AP1" authorId="0" shapeId="0">
      <text>
        <r>
          <rPr>
            <sz val="9"/>
            <color indexed="81"/>
            <rFont val="Tahoma"/>
            <charset val="1"/>
          </rPr>
          <t>Durante la prescripción clínica definitiva (teniendo en cuenta la configuración de volúmenes de tratamiento y la inmovilización del paciente), no se adapta ésta y se mantiene la prescripción provisional de la intención terapéutica. Se asume que este error afectaría al plan de tratamiento del paciente.</t>
        </r>
      </text>
    </comment>
    <comment ref="AQ1" authorId="0" shapeId="0">
      <text>
        <r>
          <rPr>
            <sz val="9"/>
            <color indexed="81"/>
            <rFont val="Tahoma"/>
            <charset val="1"/>
          </rPr>
          <t>Al asignar el conjunto de imágenes para la planificación, seleccionar por error un conjunto incorrecto (fase errónea de un CT4D o promediado de fase incorrecto, adquisición con una colocación del paciente o inmovilización distinta a la definitiva). Se asume que este error afectaría al plan de tratamiento del paciente.</t>
        </r>
      </text>
    </comment>
    <comment ref="AR1" authorId="0" shapeId="0">
      <text>
        <r>
          <rPr>
            <sz val="9"/>
            <color indexed="81"/>
            <rFont val="Tahoma"/>
            <charset val="1"/>
          </rPr>
          <t>No asignar o asignar incorrectamente el origen de coordenadas a partir de las marcas de TC. Se asume que este error afectaría al plan de tratamiento del paciente.</t>
        </r>
      </text>
    </comment>
    <comment ref="AS1" authorId="0" shapeId="0">
      <text>
        <r>
          <rPr>
            <sz val="9"/>
            <color indexed="81"/>
            <rFont val="Tahoma"/>
            <charset val="1"/>
          </rPr>
          <t>Durante la planificación del tratamiento no tener en cuenta el efecto de la mesa por no considerarla, o tenerlo en cuenta pero de manera incorrecta por utilizar un modelo de mesa distinto al de la mesa de tratamiento o por colocar ésta en una posición distinta respecto al paciente. Se asume que este error afectaría al plan de tratamiento del paciente.</t>
        </r>
      </text>
    </comment>
    <comment ref="AT1" authorId="0" shapeId="0">
      <text>
        <r>
          <rPr>
            <sz val="9"/>
            <color indexed="81"/>
            <rFont val="Tahoma"/>
            <charset val="1"/>
          </rPr>
          <t>No corregir o corregir incorrectamente las densidades en prótesis, bolus, contrastes, artefactos, etc. Se asume que este error afectaría al plan de tratamiento del paciente.</t>
        </r>
      </text>
    </comment>
    <comment ref="AU1" authorId="0" shapeId="0">
      <text>
        <r>
          <rPr>
            <sz val="9"/>
            <color indexed="81"/>
            <rFont val="Tahoma"/>
            <charset val="1"/>
          </rPr>
          <t>Utilizar una curva de conversión a densidad electrónica incorrecta. Se asume que este error afectaría al plan de tratamiento del paciente.</t>
        </r>
      </text>
    </comment>
    <comment ref="AV1" authorId="0" shapeId="0">
      <text>
        <r>
          <rPr>
            <sz val="9"/>
            <color indexed="81"/>
            <rFont val="Tahoma"/>
            <charset val="1"/>
          </rPr>
          <t>Al planificar el tratamiento de un paciente seleccionar erróneamente en el sistema de planificación (TPS) la unidad de tratamiento, de forma que se emplean datos que no se corresponden con la unidad donde será tratado. Por ejemplo, se usan datos de un acelerador de otro servicio o de un acelerador diferente del mismo servicio (modelos diferentes, marcas diferentes, etc.). Se asume que este error afectaría al plan de tratamiento del paciente.</t>
        </r>
      </text>
    </comment>
    <comment ref="AW1" authorId="0" shapeId="0">
      <text>
        <r>
          <rPr>
            <sz val="9"/>
            <color indexed="81"/>
            <rFont val="Tahoma"/>
            <charset val="1"/>
          </rPr>
          <t>Realizar planificación incorrecta por uso de parámetros no adecuados: número de arcos, scripts o 'templates' erróneos, definir erróneamente las estructuras de cálculo, elegir algoritmo o matriz de cálculo inadecuados, definir erróneamente los objetivos y restricciones de dosis y/o radiobiológicas en la optimización de la planificación. Se asume que este error afectaría al plan de tratamiento del paciente.</t>
        </r>
      </text>
    </comment>
    <comment ref="AX1" authorId="0" shapeId="0">
      <text>
        <r>
          <rPr>
            <sz val="9"/>
            <color indexed="81"/>
            <rFont val="Tahoma"/>
            <charset val="1"/>
          </rPr>
          <t>Delimitar erróneamente el rango de números CT del paciente que pudiera dar lugar a no reconocimiento de inmovilizadores en el planificador, cavidades aéreas, etc. Se asume que este error afectaría al plan de tratamiento del paciente.</t>
        </r>
      </text>
    </comment>
    <comment ref="AY1" authorId="0" shapeId="0">
      <text>
        <r>
          <rPr>
            <sz val="9"/>
            <color indexed="81"/>
            <rFont val="Tahoma"/>
            <charset val="1"/>
          </rPr>
          <t>Se utiliza un sistema de planificación (TPS) con modificaciones de los procedimientos de su uso y/o modelado que no han sido validados y autorizados en el servicio. Se asume que este error afectaría al plan de tratamiento del paciente.</t>
        </r>
      </text>
    </comment>
    <comment ref="AZ1" authorId="0" shapeId="0">
      <text>
        <r>
          <rPr>
            <sz val="9"/>
            <color indexed="81"/>
            <rFont val="Tahoma"/>
            <charset val="1"/>
          </rPr>
          <t>Al planificar el tratamiento de un paciente omitir la planificación de localizaciones secundarias. Este error afectaría al plan de tratamiento del paciente. Se asume que este error afectaría al plan de tratamiento del paciente.</t>
        </r>
      </text>
    </comment>
    <comment ref="BA1" authorId="0" shapeId="0">
      <text>
        <r>
          <rPr>
            <sz val="9"/>
            <color indexed="81"/>
            <rFont val="Tahoma"/>
            <charset val="1"/>
          </rPr>
          <t>El error consiste en tener en cuenta una distribución de dosis de una fase previa o tratamiento previo en una optimización de una fase posterior, de tal forma que el optimizador compensa una zona caliente en la fase previa con una zona fría o al revés.  La distribución debe ser aceptable en cada fase por separado y luego además cumplir con la suma, pero cada fase debe optimizarse de forma independiente. Se asume que este error afectaría al plan de tratamiento del paciente.</t>
        </r>
      </text>
    </comment>
    <comment ref="BB1" authorId="0" shapeId="0">
      <text>
        <r>
          <rPr>
            <sz val="9"/>
            <color indexed="81"/>
            <rFont val="Tahoma"/>
            <charset val="1"/>
          </rPr>
          <t>Fallo espurio del software del sistema de planificación (TPS). Se asume que este error afectaría al plan de tratamiento del paciente.</t>
        </r>
      </text>
    </comment>
    <comment ref="BC1" authorId="0" shapeId="0">
      <text>
        <r>
          <rPr>
            <sz val="9"/>
            <color indexed="81"/>
            <rFont val="Tahoma"/>
            <charset val="1"/>
          </rPr>
          <t>Durante la revisión de la planificación (del RFH al dosimetrista o conjunta del RFH y el ORT) o como resultado de la verificación de la misma, por nuevos hallazgos que hacen cambiar la prescripción, por problemas durante la colocación o inmovilización del paciente, por cambios anatómicos del paciente, etc., se decide realizar una replanificación y ésta o no se realiza o no se utiliza para el tratamiento. Se asume que este error afectaría al plan de tratamiento del paciente.</t>
        </r>
      </text>
    </comment>
    <comment ref="BD1" authorId="0" shapeId="0">
      <text>
        <r>
          <rPr>
            <sz val="9"/>
            <color indexed="81"/>
            <rFont val="Tahoma"/>
            <charset val="1"/>
          </rPr>
          <t>Incorporar incorrectamente un cambio en la dosimetría después de que ésta ya había sido aprobada. Puede haber cambios en la dosimetría por nuevos hallazgos, cambios en el paciente, cambios de criterio médico, problemas para impartir el tratamiento previamente aceptado por colisión con mesa o paciente, etc. Se asume que este error afectaría al plan de tratamiento del paciente.</t>
        </r>
      </text>
    </comment>
    <comment ref="BE1" authorId="0" shapeId="0">
      <text>
        <r>
          <rPr>
            <sz val="9"/>
            <color indexed="81"/>
            <rFont val="Tahoma"/>
            <charset val="1"/>
          </rPr>
          <t>Aprobar un plan de tratamiento distinto al escogido conjuntamente por el ORT y el RFH. Este error puede ser cometido por el OR o el RFH. Se asume que este error afectaría al plan de tratamiento del paciente.</t>
        </r>
      </text>
    </comment>
    <comment ref="BF1" authorId="0" shapeId="0">
      <text>
        <r>
          <rPr>
            <sz val="9"/>
            <color indexed="81"/>
            <rFont val="Tahoma"/>
            <charset val="1"/>
          </rPr>
          <t>Fallo en la transmisión electrónica de la información del plan de tratamiento desde el sistema de planificación (TPS) a la red o al PC de tratamiento. Por ejemplo, se transfiere incorrectamente la posición del colimador multiláminas. Se asume que este error afectaría al plan de tratamiento del paciente.</t>
        </r>
      </text>
    </comment>
    <comment ref="BG1" authorId="0" shapeId="0">
      <text>
        <r>
          <rPr>
            <sz val="9"/>
            <color indexed="81"/>
            <rFont val="Tahoma"/>
            <charset val="1"/>
          </rPr>
          <t>Agendar erróneamente para tratar todos los días tratamientos que están previstos para ser tratados en días alternos, una vez por semana, etc.  Estos esquemas pueden ser muy variables y muy habituales en hipofraccionamientos extremos.</t>
        </r>
      </text>
    </comment>
    <comment ref="BH1" authorId="0" shapeId="0">
      <text>
        <r>
          <rPr>
            <sz val="9"/>
            <color indexed="81"/>
            <rFont val="Tahoma"/>
            <charset val="1"/>
          </rPr>
          <t xml:space="preserve">Debido a este error se omite una sesión de tratamiento por contabilizar erróneamente la sesión de verificación como sesión de tratamiento. Se asume que este error afectaría solamente a una sesión de tratamiento de un paciente. </t>
        </r>
      </text>
    </comment>
    <comment ref="BI1" authorId="0" shapeId="0">
      <text>
        <r>
          <rPr>
            <sz val="9"/>
            <color indexed="81"/>
            <rFont val="Tahoma"/>
            <charset val="1"/>
          </rPr>
          <t>Debido a errores en el proceso de verificación se aplica una modificación errónea al plan de tratamiento. Se asume que este error afectaría al plan de tratamiento del paciente.</t>
        </r>
      </text>
    </comment>
    <comment ref="BJ1" authorId="0" shapeId="0">
      <text>
        <r>
          <rPr>
            <sz val="9"/>
            <color indexed="81"/>
            <rFont val="Tahoma"/>
            <charset val="1"/>
          </rPr>
          <t xml:space="preserve">Omitir o realizar con retraso el inicio de tratamiento de un paciente debido a una tarea incompleta en alguna de las etapas previas o tarea completada sin citar la siguiente tarea. Se asume que este error afectaría al desarrollo de todo el tratamiento del paciente. </t>
        </r>
      </text>
    </comment>
    <comment ref="BK1" authorId="0" shapeId="0">
      <text>
        <r>
          <rPr>
            <sz val="9"/>
            <color indexed="81"/>
            <rFont val="Tahoma"/>
            <charset val="1"/>
          </rPr>
          <t>Realizar un tratamiento con respiración normal en vez de 'gating' o 'breathhold', o al revés, o en general cualquier modo de respiración distinto del planificado. Se asume que este error afectaría al desarrollo de todo el tratamiento del paciente.</t>
        </r>
      </text>
    </comment>
    <comment ref="BL1" authorId="0" shapeId="0">
      <text>
        <r>
          <rPr>
            <sz val="9"/>
            <color indexed="81"/>
            <rFont val="Tahoma"/>
            <charset val="1"/>
          </rPr>
          <t>Impartir el plan de verificación al paciente. Como resultado de este error, se administra una sesión más al paciente, ya que no se contabiliza esta sesión como de tratamiento. Se asume que este error afectaría solamente a una sesión de tratamiento de un paciente.</t>
        </r>
      </text>
    </comment>
    <comment ref="BM1" authorId="0" shapeId="0">
      <text>
        <r>
          <rPr>
            <sz val="9"/>
            <color indexed="81"/>
            <rFont val="Tahoma"/>
            <charset val="1"/>
          </rPr>
          <t>Impartir el tratamiento de un paciente con un plan que no es el mismo que el de tratamiento (p.ej.: plan colapsado a gantry 0º). Se asume que este error afectaría solamente a una sesión de tratamiento de un paciente.</t>
        </r>
      </text>
    </comment>
    <comment ref="BN1" authorId="0" shapeId="0">
      <text>
        <r>
          <rPr>
            <sz val="9"/>
            <color indexed="81"/>
            <rFont val="Tahoma"/>
            <charset val="1"/>
          </rPr>
          <t>En la preparación del inicio del tratamiento, seleccionar un paciente que no es el que corresponde. Se asume que este error afectaría al desarrollo de todo el tratamiento del paciente.</t>
        </r>
      </text>
    </comment>
    <comment ref="BO1" authorId="0" shapeId="0">
      <text>
        <r>
          <rPr>
            <sz val="9"/>
            <color indexed="81"/>
            <rFont val="Tahoma"/>
            <charset val="1"/>
          </rPr>
          <t>En el inicio del tratamiento, llamar a otro paciente que no es el que corresponde o se presenta un paciente que no es el llamado. Este error afectaría a la sesión inicial de tratamiento del paciente y a las referencias y adaptaciones para sesiones posteriores. Se asume que este error afectaría al desarrollo de todo el tratamiento del paciente.</t>
        </r>
      </text>
    </comment>
    <comment ref="BP1" authorId="0" shapeId="0">
      <text>
        <r>
          <rPr>
            <sz val="9"/>
            <color indexed="81"/>
            <rFont val="Tahoma"/>
            <charset val="1"/>
          </rPr>
          <t xml:space="preserve">Al realizar el posicionamiento en el inicio del tratamiento colocar erróneamente al paciente en la mesa de tratamiento. Por ejemplo, sobre la orientación del paciente (prono/supino o cabeza primero/pies primero). Se asume que este error afectaría al desarrollo de todo el tratamiento del paciente. </t>
        </r>
      </text>
    </comment>
    <comment ref="BQ1" authorId="0" shapeId="0">
      <text>
        <r>
          <rPr>
            <sz val="9"/>
            <color indexed="81"/>
            <rFont val="Tahoma"/>
            <charset val="1"/>
          </rPr>
          <t>Colocar erróneamente al paciente en la mesa de tratamiento en el inicio del tratamiento al utilizar inmovilizadores de otro paciente. Se asume que este error afectaría al desarrollo de todo el tratamiento del paciente.</t>
        </r>
      </text>
    </comment>
    <comment ref="BR1" authorId="0" shapeId="0">
      <text>
        <r>
          <rPr>
            <sz val="9"/>
            <color indexed="81"/>
            <rFont val="Tahoma"/>
            <charset val="1"/>
          </rPr>
          <t xml:space="preserve">El material del inmovilizador no es suficientemente rígido y se generan holguras que pueden llevar a una falta de reproducibilidad del sistema de inmovilización (cunas, sistemas de compresión, etc.) y/o sistemas de inmovilización caducados. Esto implica que el uso de estos dispositivos no garantiza la inmovilización del paciente. Se asume que este error afectaría solamente a una sesión de tratamiento de un paciente. </t>
        </r>
      </text>
    </comment>
    <comment ref="BS1" authorId="0" shapeId="0">
      <text>
        <r>
          <rPr>
            <sz val="9"/>
            <color indexed="81"/>
            <rFont val="Tahoma"/>
            <charset val="1"/>
          </rPr>
          <t>No colocar algún sistema de inmovilización o colocarlo mal (incorrecta compresión, en sistemas de compresión indexados no colocarlos en la posición correcta por lo que se ejerce la fuerza en una posición distinta de la anatomía, no reproducir la fuerza de compresión de la simulación, no indexar correctamente en la mesa, etc.). Se asume que este error afectaría al desarrollo de todo el tratamiento del paciente.</t>
        </r>
      </text>
    </comment>
    <comment ref="BT1" authorId="0" shapeId="0">
      <text>
        <r>
          <rPr>
            <sz val="9"/>
            <color indexed="81"/>
            <rFont val="Tahoma"/>
            <charset val="1"/>
          </rPr>
          <t xml:space="preserve">Desviación de la alineación de los láseres. Esto implicaría un error en el posicionamiento de los pacientes. Se asume que este error afectaría al desarrollo de todo el tratamiento de todos los pacientes. </t>
        </r>
      </text>
    </comment>
    <comment ref="BU1" authorId="0" shapeId="0">
      <text>
        <r>
          <rPr>
            <sz val="9"/>
            <color indexed="81"/>
            <rFont val="Tahoma"/>
            <charset val="1"/>
          </rPr>
          <t xml:space="preserve">Desviación óptica de la distancia por fallos locales. Esto implicaría un error en el posicionamiento de los pacientes. Se asume que este error afectaría al desarrollo de todo el tratamiento de todos los pacientes. </t>
        </r>
      </text>
    </comment>
    <comment ref="BV1" authorId="0" shapeId="0">
      <text>
        <r>
          <rPr>
            <sz val="9"/>
            <color indexed="81"/>
            <rFont val="Tahoma"/>
            <charset val="1"/>
          </rPr>
          <t xml:space="preserve">Durante la sesión de inicio, colocar erróneamente al paciente en el isocentro planificado por no volver a la posición de tratamiento tras la adquisición de imágenes (CBCT), por no aplicar o aplicar incorrectamente los desplazamientos necesarios tras la adquisición de imágenes. Esto afecta a la toma de referencias para el resto de tratamiento y puede afectar a la totalidad del mismo. Se asume que este error afectaría al desarrollo de todo el tratamiento del paciente. </t>
        </r>
      </text>
    </comment>
    <comment ref="BW1" authorId="0" shapeId="0">
      <text>
        <r>
          <rPr>
            <sz val="9"/>
            <color indexed="81"/>
            <rFont val="Tahoma"/>
            <charset val="1"/>
          </rPr>
          <t>Durante inicio del tratamiento omitir o colocar incorrectamente el bolus indicado en el tratamiento del paciente o se coloca uno erróneo. Se asume que este error afectaría al desarrollo de todo el tratamiento del paciente.</t>
        </r>
      </text>
    </comment>
    <comment ref="BX1" authorId="0" shapeId="0">
      <text>
        <r>
          <rPr>
            <sz val="9"/>
            <color indexed="81"/>
            <rFont val="Tahoma"/>
            <charset val="1"/>
          </rPr>
          <t xml:space="preserve">Inexactitud del movimiento de los elementos mecánicos del sistema de IGRT (detector, tubo de RX, etc.) que puedan llevar a un cálculo incorrecto de distancias, magnificación, etc. También puede conducir a que el isocentro de la imagen sea distintos al de radiación, que llevarían a una incorrecta colocación del paciente. Se asume que este error afectaría al desarrollo de todo el tratamiento del paciente. </t>
        </r>
      </text>
    </comment>
    <comment ref="BY1" authorId="0" shapeId="0">
      <text>
        <r>
          <rPr>
            <sz val="9"/>
            <color indexed="81"/>
            <rFont val="Tahoma"/>
            <charset val="1"/>
          </rPr>
          <t xml:space="preserve">En algunos sistemas, si el isocentro está muy lateralizado y no se puede hacer el CBCT porque choca el equipo con el paciente, existe la posibilidad de guardar las coordenadas del isocentro, centrar al paciente para hacer el CBCT y una vez realizado desplazar la mesa automáticamente al isocentro; por lo que si este movimiento no está bien calibrado la colocación del paciente será incorrecta. Se asume que este error afectaría al desarrollo de todo el tratamiento del paciente. </t>
        </r>
      </text>
    </comment>
    <comment ref="BZ1" authorId="0" shapeId="0">
      <text>
        <r>
          <rPr>
            <sz val="9"/>
            <color indexed="81"/>
            <rFont val="Tahoma"/>
            <charset val="1"/>
          </rPr>
          <t>Realización incorrecta de la fusión de imágenes de la IGRT con las imágenes de referencia por mala interpretación de la anatomía, elección de parámetros de fusión inadecuados, etc. Se asume que este error afectaría al desarrollo de todo el tratamiento del paciente.</t>
        </r>
      </text>
    </comment>
    <comment ref="CA1" authorId="0" shapeId="0">
      <text>
        <r>
          <rPr>
            <sz val="9"/>
            <color indexed="81"/>
            <rFont val="Tahoma"/>
            <charset val="1"/>
          </rPr>
          <t>Si los desplazamientos de la mesa resultantes de la comparación de la IGRT con las imágenes de referencia son manuales, realizarlos incorrectamente por interpretación incorrecta de signos, cambio de unidades, etc. Se asume que este error afectaría al desarrollo de todo el tratamiento del paciente.</t>
        </r>
      </text>
    </comment>
    <comment ref="CB1" authorId="0" shapeId="0">
      <text>
        <r>
          <rPr>
            <sz val="9"/>
            <color indexed="81"/>
            <rFont val="Tahoma"/>
            <charset val="1"/>
          </rPr>
          <t xml:space="preserve">Si los desplazamientos de la mesa resultantes de la comparación de la IGRT con las imágenes de referencia son automáticos, que el sistema mueva la mesa incorrectamente por mal funcionamiento del equipo. Se asume que este error afectaría al desarrollo de todo el tratamiento del paciente. </t>
        </r>
      </text>
    </comment>
    <comment ref="CC1" authorId="0" shapeId="0">
      <text>
        <r>
          <rPr>
            <sz val="9"/>
            <color indexed="81"/>
            <rFont val="Tahoma"/>
            <charset val="1"/>
          </rPr>
          <t xml:space="preserve">En el inicio del tratamiento, y una vez ubicado el isocentro, posicionar erróneamente el ángulo de la mesa de tratamiento. Este error afectaría a la sesión inicial de tratamiento del paciente y a las referencias y adaptaciones para sesiones posteriores. Se asume que este error afectaría al desarrollo de todo el tratamiento del paciente. </t>
        </r>
      </text>
    </comment>
    <comment ref="CD1" authorId="0" shapeId="0">
      <text>
        <r>
          <rPr>
            <sz val="9"/>
            <color indexed="81"/>
            <rFont val="Tahoma"/>
            <charset val="1"/>
          </rPr>
          <t xml:space="preserve">Al realizar el inicio del tratamiento realizar erróneamente el marcado definitivo del paciente, este error puede ser bien por marcar en un lugar incorrecto o bien por haber realizado desplazamientos incorrectos desde marcas TC. Se asume que este error afectaría al desarrollo de todo el tratamiento del paciente. </t>
        </r>
      </text>
    </comment>
    <comment ref="CE1" authorId="0" shapeId="0">
      <text>
        <r>
          <rPr>
            <sz val="9"/>
            <color indexed="81"/>
            <rFont val="Tahoma"/>
            <charset val="1"/>
          </rPr>
          <t xml:space="preserve">Después de aprobado un cambio del plan de tratamiento (ya sea antes de la primera sesión o cuando el paciente lleva varias sesiones) omitir incorporar al plan las modificaciones requeridas. Las causas del cambio podrían ser, por ejemplo: nuevos hallazgos (que pueden hacer cambiar el PTV, la dosis o el fraccionamiento), corrección de errores previos en la prescripción, falta de disponibilidad del equipo de tratamiento o de la técnica inicialmente planificada, cambios realizados durante la sesión de inicio del tratamiento (pequeños cambios en parámetros técnicos como desplazamientos, pequeñas variaciones por posibilidad de colisión, etc.), reajustes radiobiológicos para compensar paradas en el tratamiento, etc. Se asume que este error afectaría al desarrollo de todo el tratamiento del paciente. </t>
        </r>
      </text>
    </comment>
    <comment ref="CF1" authorId="0" shapeId="0">
      <text>
        <r>
          <rPr>
            <sz val="9"/>
            <color indexed="81"/>
            <rFont val="Tahoma"/>
            <charset val="1"/>
          </rPr>
          <t xml:space="preserve">Después de aprobado un cambio del plan de tratamiento (ya sea antes de la primera sesión o cuando el paciente lleva varias sesiones) incorporar erróneamente al plan las modificaciones requeridas. Las causas del cambio podrían ser, por ejemplo: nuevos hallazgos (que pueden hacer cambiar el PTV, la dosis o el fraccionamiento), corrección de errores previos en la prescripción, falta de disponibilidad del equipo de tratamiento o de la técnica inicialmente planificada, cambios realizados durante la sesión de inicio del tratamiento (pequeños cambios en parámetros técnicos como desplazamientos, pequeñas variaciones por posibilidad de colisión, etc.), reajustes radiobiológicos para compensar paradas en el tratamiento, etc. Se asume que este error afectaría al desarrollo de todo el tratamiento del paciente. </t>
        </r>
      </text>
    </comment>
    <comment ref="CG1" authorId="0" shapeId="0">
      <text>
        <r>
          <rPr>
            <sz val="9"/>
            <color indexed="81"/>
            <rFont val="Tahoma"/>
            <charset val="1"/>
          </rPr>
          <t xml:space="preserve">Para el tratamiento diario  llamar a otro paciente que no es el que corresponde o se presenta un paciente que no es el llamado. Se asume que este error afectaría solamente a una sesión de tratamiento de un paciente. </t>
        </r>
      </text>
    </comment>
    <comment ref="CH1" authorId="0" shapeId="0">
      <text>
        <r>
          <rPr>
            <sz val="9"/>
            <color indexed="81"/>
            <rFont val="Tahoma"/>
            <charset val="1"/>
          </rPr>
          <t>En la preparación del inicio del tratamiento, seleccionar un paciente que no es el que corresponde. Se asume que este error afectaría solamente a una sesión de tratamiento de un paciente.</t>
        </r>
      </text>
    </comment>
    <comment ref="CI1" authorId="0" shapeId="0">
      <text>
        <r>
          <rPr>
            <sz val="9"/>
            <color indexed="81"/>
            <rFont val="Tahoma"/>
            <charset val="1"/>
          </rPr>
          <t>Al realizar el posicionamiento para el tratamiento diario inmovilizar erróneamente al paciente. Se asume que este error afectaría solamente a una sesión de tratamiento de un paciente.</t>
        </r>
      </text>
    </comment>
    <comment ref="CJ1" authorId="0" shapeId="0">
      <text>
        <r>
          <rPr>
            <sz val="9"/>
            <color indexed="81"/>
            <rFont val="Tahoma"/>
            <charset val="1"/>
          </rPr>
          <t>Colocar erróneamente al paciente en la mesa de tratamiento en el inicio del tratamiento al utilizar inmovilizadores de otro paciente. Se asume que este error afectaría solamente a una sesión de tratamiento de un paciente.</t>
        </r>
      </text>
    </comment>
    <comment ref="CK1" authorId="0" shapeId="0">
      <text>
        <r>
          <rPr>
            <sz val="9"/>
            <color indexed="81"/>
            <rFont val="Tahoma"/>
            <charset val="1"/>
          </rPr>
          <t>Falta de eficacia de los dispositivos de inmovilización (holguras, fijación deficiente, etc.) por deterioro. Esto implica que el uso de estos dispositivos no garantiza la inmovilización del paciente. Se asume que este error afectaría solamente a una sesión de tratamiento de un paciente.</t>
        </r>
      </text>
    </comment>
    <comment ref="CL1" authorId="0" shapeId="0">
      <text>
        <r>
          <rPr>
            <sz val="9"/>
            <color indexed="81"/>
            <rFont val="Tahoma"/>
            <charset val="1"/>
          </rPr>
          <t>No colocar algún sistema de inmovilización o colocarlos mal (incorrecta compresión, en sistemas de compresión indexados no colocarlos en la posición correcta por lo que se ejerce la fuerza en una posición distinta de la anatomía, no reproducir la fuerza de compresión de la simulación, no indexar correctamente en la mesa, etc.).  Se asume que este error afectaría solamente a una sesión de tratamiento de un paciente.</t>
        </r>
      </text>
    </comment>
    <comment ref="CM1" authorId="0" shapeId="0">
      <text>
        <r>
          <rPr>
            <sz val="9"/>
            <color indexed="81"/>
            <rFont val="Tahoma"/>
            <charset val="1"/>
          </rPr>
          <t>Después de inmovilizar y colocar al paciente para el tratamiento diario, alineado en marcas TC, realizar erróneamente los desplazamientos para alinearlo en el isocentro. Se asume que este error afectaría solamente a una sesión de tratamiento de un paciente.</t>
        </r>
      </text>
    </comment>
    <comment ref="CN1" authorId="0" shapeId="0">
      <text>
        <r>
          <rPr>
            <sz val="9"/>
            <color indexed="81"/>
            <rFont val="Tahoma"/>
            <charset val="1"/>
          </rPr>
          <t>Al realizar el posicionamiento para el tratamiento diario omitir la colocación de bolus indicado en el tratamiento del paciente o se coloca uno erróneo. Se asume que este error afectaría solamente a una sesión de tratamiento de un paciente.</t>
        </r>
      </text>
    </comment>
    <comment ref="CO1" authorId="0" shapeId="0">
      <text>
        <r>
          <rPr>
            <sz val="9"/>
            <color indexed="81"/>
            <rFont val="Tahoma"/>
            <charset val="1"/>
          </rPr>
          <t xml:space="preserve">Desviación de la alineación de los láseres. Esto implicaría un error en el posicionamiento de los pacientes. Se asume que este fallo afectaría al tratamiento de varios pacientes. </t>
        </r>
      </text>
    </comment>
    <comment ref="CP1" authorId="0" shapeId="0">
      <text>
        <r>
          <rPr>
            <sz val="9"/>
            <color indexed="81"/>
            <rFont val="Tahoma"/>
            <charset val="1"/>
          </rPr>
          <t xml:space="preserve">Desviación óptica de la distancia por fallos locales. Esto implicaría un error en el posicionamiento de los pacientes. Se asume que este fallo afectaría al tratamiento de varios pacientes. </t>
        </r>
      </text>
    </comment>
    <comment ref="CQ1" authorId="0" shapeId="0">
      <text>
        <r>
          <rPr>
            <sz val="9"/>
            <color indexed="81"/>
            <rFont val="Tahoma"/>
            <charset val="1"/>
          </rPr>
          <t xml:space="preserve">Tratar al paciente en condiciones distintas a las de simulación (dentadura, llenado vejiga, vaciado recto, etc.). Se asume que este error afectaría solamente a una sesión de tratamiento de un paciente. </t>
        </r>
      </text>
    </comment>
    <comment ref="CR1" authorId="0" shapeId="0">
      <text>
        <r>
          <rPr>
            <sz val="9"/>
            <color indexed="81"/>
            <rFont val="Tahoma"/>
            <charset val="1"/>
          </rPr>
          <t xml:space="preserve">Durante una sesión de tratamiento diario, colocar erróneamente los accesorios de seguimiento de la respiración, afectando a la amplitud (lo cual puede afectar a la precisión) o incluso a la forma de la señal (si la posición es más torácica o más abdominal). Se asume que este error afectaría solamente a una sesión de tratamiento de un paciente. </t>
        </r>
      </text>
    </comment>
    <comment ref="CS1" authorId="0" shapeId="0">
      <text>
        <r>
          <rPr>
            <sz val="9"/>
            <color indexed="81"/>
            <rFont val="Tahoma"/>
            <charset val="1"/>
          </rPr>
          <t xml:space="preserve">Inexactitud del movimiento de los elementos mecánicos del sistema de IGRT (detector, tubo de RX, etc.) que puedan llevar a un cálculo incorrecto de distancias, magnificación, etc. También puede conducir a que el isocentro de la imagen sea distintos al de radiación, que llevarían a una incorrecta colocación del paciente. Se asume que este fallo afectaría al tratamiento de varios pacientes. </t>
        </r>
      </text>
    </comment>
    <comment ref="CT1" authorId="0" shapeId="0">
      <text>
        <r>
          <rPr>
            <sz val="9"/>
            <color indexed="81"/>
            <rFont val="Tahoma"/>
            <charset val="1"/>
          </rPr>
          <t>En algunos sistemas si el isocentro está muy lateralizado y no se puede hacer el CBCT porque choca el equipo con el paciente, existe la posibilidad de guardar las coordenadas del isocentro, centrar al paciente para hacer el CBCT y una vez realizado desplazar la mesa automáticamente al isocentro; por lo que si este movimiento no está bien calibrado la colocación del paciente será incorrecta. Se asume que este error afectaría solamente a una sesión de tratamiento de un paciente.</t>
        </r>
      </text>
    </comment>
    <comment ref="CU1" authorId="0" shapeId="0">
      <text>
        <r>
          <rPr>
            <sz val="9"/>
            <color indexed="81"/>
            <rFont val="Tahoma"/>
            <charset val="1"/>
          </rPr>
          <t xml:space="preserve">Realizar erróneamente la fusión de imágenes de la IGRT con las imágenes de referencia por mala interpretación de la anatomía, elección de parámetros de fusión inadecuados, etc. Se asume que este error afectaría solamente a una sesión de tratamiento de un paciente. </t>
        </r>
      </text>
    </comment>
    <comment ref="CV1" authorId="0" shapeId="0">
      <text>
        <r>
          <rPr>
            <sz val="9"/>
            <color indexed="81"/>
            <rFont val="Tahoma"/>
            <charset val="1"/>
          </rPr>
          <t xml:space="preserve">Si los desplazamientos de la mesa resultantes de la comparación de la IGRT con las imágenes de referencia son manuales, realizarlos incorrectamente por interpretación incorrecta de signos, cambio de unidades, etc. Se asume que este error afectaría solamente a una sesión de tratamiento de un paciente. </t>
        </r>
      </text>
    </comment>
    <comment ref="CW1" authorId="0" shapeId="0">
      <text>
        <r>
          <rPr>
            <sz val="9"/>
            <color indexed="81"/>
            <rFont val="Tahoma"/>
            <charset val="1"/>
          </rPr>
          <t xml:space="preserve">Si los desplazamientos de la mesa resultantes de la comparación de la IGRT con las imágenes de referencia son automáticos, que el sistema mueva la mesa incorrectamente por mal funcionamiento del equipo. Se asume que este fallo afectaría al tratamiento de varios pacientes. </t>
        </r>
      </text>
    </comment>
    <comment ref="CX1" authorId="0" shapeId="0">
      <text>
        <r>
          <rPr>
            <sz val="9"/>
            <color indexed="81"/>
            <rFont val="Tahoma"/>
            <charset val="1"/>
          </rPr>
          <t>Fallo de algún elemento (láminas, energía, colimador, gantry, mesa de tratamiento, etc.) del equipo que implica que el tratamiento no se administre con los parámetros previstos lo que causa errores dosimétricos y/o geométricos. Se asume que este fallo afectaría al tratamiento de varios pacientes.</t>
        </r>
      </text>
    </comment>
    <comment ref="CY1" authorId="0" shapeId="0">
      <text>
        <r>
          <rPr>
            <sz val="9"/>
            <color indexed="81"/>
            <rFont val="Tahoma"/>
            <charset val="1"/>
          </rPr>
          <t>Dar un tratamiento con respiración normal en vez de 'gating' o 'breathhold', o al revés, o en general cualquier modo de respiración distinto del planificado. Se asume que este error afectaría solamente a una sesión de tratamiento de un paciente.</t>
        </r>
      </text>
    </comment>
    <comment ref="CZ1" authorId="0" shapeId="0">
      <text>
        <r>
          <rPr>
            <sz val="9"/>
            <color indexed="81"/>
            <rFont val="Tahoma"/>
            <charset val="1"/>
          </rPr>
          <t>Al realizar la ejecución del tratamiento, seleccionar erróneamente una localización de tratamiento. Únicamente ocurre cuando el tratamiento de un paciente incluye varias localizaciones. Se asume que este error afectaría solamente a una sesión de tratamiento de un paciente.</t>
        </r>
      </text>
    </comment>
    <comment ref="DA1" authorId="0" shapeId="0">
      <text>
        <r>
          <rPr>
            <sz val="9"/>
            <color indexed="81"/>
            <rFont val="Tahoma"/>
            <charset val="1"/>
          </rPr>
          <t xml:space="preserve">Al realizar el posicionamiento durante el tratamiento diario, después de ubicar el isocentro, al mover el ángulo de mesa manualmente en el tratamiento diario, se coloca incorrectamente. Se asume que este error afectaría solamente a una sesión de tratamiento. </t>
        </r>
      </text>
    </comment>
    <comment ref="DB1" authorId="0" shapeId="0">
      <text>
        <r>
          <rPr>
            <sz val="9"/>
            <color indexed="81"/>
            <rFont val="Tahoma"/>
            <charset val="1"/>
          </rPr>
          <t xml:space="preserve">Durante el periodo de tratamiento omitir por error la administración de una sesión de tratamiento diario. Se asume que este error afectaría solamente a una sesión de tratamiento de un paciente. </t>
        </r>
      </text>
    </comment>
    <comment ref="DC1" authorId="0" shapeId="0">
      <text>
        <r>
          <rPr>
            <sz val="9"/>
            <color indexed="81"/>
            <rFont val="Tahoma"/>
            <charset val="1"/>
          </rPr>
          <t xml:space="preserve">Durante el periodo de tratamiento omitir por error la administración de un campo o un arco. Por ejemplo, por la terminación irregular de éste durante el tratamiento del paciente (debido a problemas locales, fallos de equipos, problemas del paciente, por accionamiento inadvertido de la tecla 'terminar' en la consola de tratamiento o por cualquier otra causa). Se asume que este error afectaría solamente a una sesión de tratamiento de un paciente. </t>
        </r>
      </text>
    </comment>
    <comment ref="DD1" authorId="0" shapeId="0">
      <text>
        <r>
          <rPr>
            <sz val="9"/>
            <color indexed="81"/>
            <rFont val="Tahoma"/>
            <charset val="1"/>
          </rPr>
          <t xml:space="preserve">Cuando un tratamiento se corta antes de finalizar, no administrar las UM restantes o administrar de más porque no se registró correctamente dónde se había cortado. Se asume que este error afectaría solamente a una sesión de tratamiento de un paciente.  </t>
        </r>
      </text>
    </comment>
    <comment ref="DE1" authorId="0" shapeId="0">
      <text>
        <r>
          <rPr>
            <sz val="9"/>
            <color indexed="81"/>
            <rFont val="Tahoma"/>
            <charset val="1"/>
          </rPr>
          <t xml:space="preserve">Administrar erróneamente al paciente una o varias sesiones adicionales de tratamiento al no advertir que se ha llegado al número prescrito de sesiones.  Se asume que este error afectaría al desarrollo de todo el tratamiento del paciente. </t>
        </r>
      </text>
    </comment>
    <comment ref="DF1" authorId="0" shapeId="0">
      <text>
        <r>
          <rPr>
            <sz val="9"/>
            <color indexed="81"/>
            <rFont val="Tahoma"/>
            <charset val="1"/>
          </rPr>
          <t xml:space="preserve">Se administra erróneamente al paciente dos veces en un mismo día el tratamiento diario prescrito. Se da crédito para pacientes ingresados. Se asume que este error afectaría solamente a una sesión de tratamiento de un paciente. </t>
        </r>
      </text>
    </comment>
    <comment ref="DG1" authorId="0" shapeId="0">
      <text>
        <r>
          <rPr>
            <sz val="9"/>
            <color indexed="81"/>
            <rFont val="Tahoma"/>
            <charset val="1"/>
          </rPr>
          <t xml:space="preserve">Administrar erróneamente un mismo campo o un mismo arco dos veces en una sesión de tratamiento. Se asume que este error afectaría solamente a una sesión de tratamiento de un paciente.  </t>
        </r>
      </text>
    </comment>
    <comment ref="DH1" authorId="0" shapeId="0">
      <text>
        <r>
          <rPr>
            <sz val="9"/>
            <color indexed="81"/>
            <rFont val="Tahoma"/>
            <charset val="1"/>
          </rPr>
          <t xml:space="preserve">Movimiento significativo (observable) del paciente, de forma voluntaria o involuntaria, en cualquier momento desde la adquisición de la imagen de verificación hasta el final de tratamiento. Se asume que este error afectaría solamente a una sesión de tratamiento de un paciente.  </t>
        </r>
      </text>
    </comment>
    <comment ref="B8" authorId="0" shapeId="0">
      <text>
        <r>
          <rPr>
            <sz val="9"/>
            <color indexed="81"/>
            <rFont val="Tahoma"/>
            <family val="2"/>
          </rPr>
          <t>Peer Review Interno de ORs.</t>
        </r>
      </text>
    </comment>
    <comment ref="B9" authorId="0" shapeId="0">
      <text>
        <r>
          <rPr>
            <sz val="9"/>
            <color indexed="81"/>
            <rFont val="Tahoma"/>
            <family val="2"/>
          </rPr>
          <t>Comparación automática de los datos introducidos con el protocolo de planificación.</t>
        </r>
      </text>
    </comment>
    <comment ref="B10" authorId="0" shapeId="0">
      <text>
        <r>
          <rPr>
            <sz val="9"/>
            <color indexed="81"/>
            <rFont val="Tahoma"/>
            <family val="2"/>
          </rPr>
          <t>Selección automática de la historia clínica digitalizada del paciente.</t>
        </r>
      </text>
    </comment>
    <comment ref="B11" authorId="0" shapeId="0">
      <text>
        <r>
          <rPr>
            <sz val="9"/>
            <color indexed="81"/>
            <rFont val="Tahoma"/>
            <family val="2"/>
          </rPr>
          <t>Interlock del Sistema de registro y verificación.</t>
        </r>
      </text>
    </comment>
    <comment ref="B12" authorId="0" shapeId="0">
      <text>
        <r>
          <rPr>
            <sz val="9"/>
            <color indexed="81"/>
            <rFont val="Tahoma"/>
            <family val="2"/>
          </rPr>
          <t>Aviso del Sistema de registro y verificación.</t>
        </r>
      </text>
    </comment>
    <comment ref="B13" authorId="0" shapeId="0">
      <text>
        <r>
          <rPr>
            <sz val="9"/>
            <color indexed="81"/>
            <rFont val="Tahoma"/>
            <family val="2"/>
          </rPr>
          <t>Enclavamiento por error del ángulo de la mesa de tratamiento.</t>
        </r>
      </text>
    </comment>
    <comment ref="B14" authorId="0" shapeId="0">
      <text>
        <r>
          <rPr>
            <sz val="9"/>
            <color indexed="81"/>
            <rFont val="Tahoma"/>
            <family val="2"/>
          </rPr>
          <t>Enclavamiento debido a un error en la posición de la mesa de tratamiento.</t>
        </r>
      </text>
    </comment>
    <comment ref="B15" authorId="0" shapeId="0">
      <text>
        <r>
          <rPr>
            <sz val="9"/>
            <color indexed="81"/>
            <rFont val="Tahoma"/>
            <family val="2"/>
          </rPr>
          <t>Alerta de software indicando que la transferencia e importación de datos o imágenes ha sido incorrecta, ya sea del TC al TPS, del TPS a la red, etc.</t>
        </r>
      </text>
    </comment>
    <comment ref="B16" authorId="0" shapeId="0">
      <text>
        <r>
          <rPr>
            <sz val="9"/>
            <color indexed="81"/>
            <rFont val="Tahoma"/>
            <family val="2"/>
          </rPr>
          <t>Alerta de la red de radioterapia al responsable de la tarea.</t>
        </r>
      </text>
    </comment>
    <comment ref="B17" authorId="0" shapeId="0">
      <text>
        <r>
          <rPr>
            <sz val="9"/>
            <color indexed="81"/>
            <rFont val="Tahoma"/>
            <family val="2"/>
          </rPr>
          <t>Enclavamiento del sistema de imagen.</t>
        </r>
      </text>
    </comment>
    <comment ref="B18" authorId="0" shapeId="0">
      <text>
        <r>
          <rPr>
            <sz val="9"/>
            <color indexed="81"/>
            <rFont val="Tahoma"/>
            <family val="2"/>
          </rPr>
          <t>Enclavamiento del equipo que impide el disparo o lo detiene en caso de detectarse el fallo de un componente que produce una variación de parámetros dosimétricos o geométricos del equipo fuera de tolerancias.</t>
        </r>
      </text>
    </comment>
    <comment ref="B19" authorId="0" shapeId="0">
      <text>
        <r>
          <rPr>
            <sz val="9"/>
            <color indexed="81"/>
            <rFont val="Tahoma"/>
            <family val="2"/>
          </rPr>
          <t>Enclavamiento del equipo que impide el disparo o lo detiene en caso de detectarse, con un sistema alternativo y/o redundante de medida, una variación de parámetros dosimétricos o geométricos del equipo fuera de tolerancias.</t>
        </r>
      </text>
    </comment>
    <comment ref="B20" authorId="0" shapeId="0">
      <text>
        <r>
          <rPr>
            <sz val="9"/>
            <color indexed="81"/>
            <rFont val="Tahoma"/>
            <family val="2"/>
          </rPr>
          <t>Verificaciones durante la delineación de volúmenes y órganos de riesgo por parte del ORT o TSRTyD</t>
        </r>
      </text>
    </comment>
    <comment ref="B21" authorId="0" shapeId="0">
      <text>
        <r>
          <rPr>
            <sz val="9"/>
            <color indexed="81"/>
            <rFont val="Tahoma"/>
            <family val="2"/>
          </rPr>
          <t>Revisión por parte del ORT de los órganos de riesgo delineados por el TSRTyD.</t>
        </r>
      </text>
    </comment>
    <comment ref="B22" authorId="0" shapeId="0">
      <text>
        <r>
          <rPr>
            <sz val="9"/>
            <color indexed="81"/>
            <rFont val="Tahoma"/>
            <family val="2"/>
          </rPr>
          <t>Lista de chequeo con este parámetro.</t>
        </r>
      </text>
    </comment>
    <comment ref="B23" authorId="0" shapeId="0">
      <text>
        <r>
          <rPr>
            <sz val="9"/>
            <color indexed="81"/>
            <rFont val="Tahoma"/>
            <family val="2"/>
          </rPr>
          <t>Revisión médica semanal del paciente.</t>
        </r>
      </text>
    </comment>
    <comment ref="B24" authorId="0" shapeId="0">
      <text>
        <r>
          <rPr>
            <sz val="9"/>
            <color indexed="81"/>
            <rFont val="Tahoma"/>
            <family val="2"/>
          </rPr>
          <t>Revisión semanal y al final del tratamiento de la ficha de tratamiento ('chart check') por parte del radiofísico.</t>
        </r>
      </text>
    </comment>
    <comment ref="B25" authorId="0" shapeId="0">
      <text>
        <r>
          <rPr>
            <sz val="9"/>
            <color indexed="81"/>
            <rFont val="Tahoma"/>
            <family val="2"/>
          </rPr>
          <t>Entrega al paciente de una cita para un nuevo inicio de tratamiento.</t>
        </r>
      </text>
    </comment>
    <comment ref="B26" authorId="0" shapeId="0">
      <text>
        <r>
          <rPr>
            <sz val="9"/>
            <color indexed="81"/>
            <rFont val="Tahoma"/>
            <family val="2"/>
          </rPr>
          <t>Discusión de los casos previa al inicio de tratamiento en sesión técnico/clínica, incluyendo los cambios del plan.</t>
        </r>
      </text>
    </comment>
    <comment ref="B27" authorId="0" shapeId="0">
      <text>
        <r>
          <rPr>
            <sz val="9"/>
            <color indexed="81"/>
            <rFont val="Tahoma"/>
            <family val="2"/>
          </rPr>
          <t>Sistema alternativo de registro de la etapa del proceso en la que está cada paciente.</t>
        </r>
      </text>
    </comment>
    <comment ref="B28" authorId="0" shapeId="0">
      <text>
        <r>
          <rPr>
            <sz val="9"/>
            <color indexed="81"/>
            <rFont val="Tahoma"/>
            <family val="2"/>
          </rPr>
          <t>Comprobación manual de la identidad del paciente (fotografía, DNI, número de historia, etc.).</t>
        </r>
      </text>
    </comment>
    <comment ref="B29" authorId="0" shapeId="0">
      <text>
        <r>
          <rPr>
            <sz val="9"/>
            <color indexed="81"/>
            <rFont val="Tahoma"/>
            <family val="2"/>
          </rPr>
          <t>Comprobación de la identidad del paciente preguntándole al propio paciente su nombre, apellidos, fecha de nacimiento y la zona a tratar.</t>
        </r>
      </text>
    </comment>
    <comment ref="B30" authorId="0" shapeId="0">
      <text>
        <r>
          <rPr>
            <sz val="9"/>
            <color indexed="81"/>
            <rFont val="Tahoma"/>
            <family val="2"/>
          </rPr>
          <t>Comprobación de la identidad del paciente mediante sistemas electrónicos de identificación.</t>
        </r>
      </text>
    </comment>
    <comment ref="B31" authorId="0" shapeId="0">
      <text>
        <r>
          <rPr>
            <sz val="9"/>
            <color indexed="81"/>
            <rFont val="Tahoma"/>
            <family val="2"/>
          </rPr>
          <t xml:space="preserve">Verificación por otro TSRTyD del proceso para la adquisición de imágenes. </t>
        </r>
      </text>
    </comment>
    <comment ref="B32" authorId="0" shapeId="0">
      <text>
        <r>
          <rPr>
            <sz val="9"/>
            <color indexed="81"/>
            <rFont val="Tahoma"/>
            <family val="2"/>
          </rPr>
          <t>Verificación mediante unos parámetros específicos de las condiciones de preparación del paciente en las imágenes adquiridas.</t>
        </r>
      </text>
    </comment>
    <comment ref="B33" authorId="0" shapeId="0">
      <text>
        <r>
          <rPr>
            <sz val="9"/>
            <color indexed="81"/>
            <rFont val="Tahoma"/>
            <family val="2"/>
          </rPr>
          <t>Alerta del sistema al no coincidir datos de identificación del paciente.</t>
        </r>
      </text>
    </comment>
    <comment ref="B34" authorId="0" shapeId="0">
      <text>
        <r>
          <rPr>
            <sz val="9"/>
            <color indexed="81"/>
            <rFont val="Tahoma"/>
            <family val="2"/>
          </rPr>
          <t>Sistema automático de reconocimiento de superficies (SGRT) para verificación de superficies y seguimiento del ciclo respiratorio.</t>
        </r>
      </text>
    </comment>
    <comment ref="B35" authorId="0" shapeId="0">
      <text>
        <r>
          <rPr>
            <sz val="9"/>
            <color indexed="81"/>
            <rFont val="Tahoma"/>
            <family val="2"/>
          </rPr>
          <t>Revisión redundante de las indicaciones para la obtención de imágenes y propuesta de inmovilización por parte de otro especialista (OR, RFH o TSRTyD).</t>
        </r>
      </text>
    </comment>
    <comment ref="B36" authorId="0" shapeId="0">
      <text>
        <r>
          <rPr>
            <sz val="9"/>
            <color indexed="81"/>
            <rFont val="Tahoma"/>
            <family val="2"/>
          </rPr>
          <t xml:space="preserve">Presencia del ORT y, según el caso, RFH o personal de enfermería, durante la adquisición de las imágenes.	</t>
        </r>
      </text>
    </comment>
    <comment ref="B37" authorId="0" shapeId="0">
      <text>
        <r>
          <rPr>
            <sz val="9"/>
            <color indexed="81"/>
            <rFont val="Tahoma"/>
            <family val="2"/>
          </rPr>
          <t>Sistemas de identificación electrónica para los inmovilizadores.</t>
        </r>
      </text>
    </comment>
    <comment ref="B38" authorId="0" shapeId="0">
      <text>
        <r>
          <rPr>
            <sz val="9"/>
            <color indexed="81"/>
            <rFont val="Tahoma"/>
            <family val="2"/>
          </rPr>
          <t>Verificación de imágenes tras la realización del TC.</t>
        </r>
      </text>
    </comment>
    <comment ref="B39" authorId="0" shapeId="0">
      <text>
        <r>
          <rPr>
            <sz val="9"/>
            <color indexed="81"/>
            <rFont val="Tahoma"/>
            <family val="2"/>
          </rPr>
          <t>Revisión de las imágenes para la fusión por parte de un radiólogo o un médico nuclear.</t>
        </r>
      </text>
    </comment>
    <comment ref="B40" authorId="0" shapeId="0">
      <text>
        <r>
          <rPr>
            <sz val="9"/>
            <color indexed="81"/>
            <rFont val="Tahoma"/>
            <family val="2"/>
          </rPr>
          <t>Verificación del TPS siempre que se realice alguna modificación a sus procedimientos de uso.</t>
        </r>
      </text>
    </comment>
    <comment ref="B41" authorId="0" shapeId="0">
      <text>
        <r>
          <rPr>
            <sz val="9"/>
            <color indexed="81"/>
            <rFont val="Tahoma"/>
            <family val="2"/>
          </rPr>
          <t>Revisión previa a la planificación de los datos de prescripción y simulación.</t>
        </r>
      </text>
    </comment>
    <comment ref="B42" authorId="0" shapeId="0">
      <text>
        <r>
          <rPr>
            <sz val="9"/>
            <color indexed="81"/>
            <rFont val="Tahoma"/>
            <family val="2"/>
          </rPr>
          <t>Cálculo independiente de la dosimetría.</t>
        </r>
      </text>
    </comment>
    <comment ref="B43" authorId="0" shapeId="0">
      <text>
        <r>
          <rPr>
            <sz val="9"/>
            <color indexed="81"/>
            <rFont val="Tahoma"/>
            <family val="2"/>
          </rPr>
          <t>Revisión independiente de la planificación por un RFH.</t>
        </r>
      </text>
    </comment>
    <comment ref="B44" authorId="0" shapeId="0">
      <text>
        <r>
          <rPr>
            <sz val="9"/>
            <color indexed="81"/>
            <rFont val="Tahoma"/>
            <family val="2"/>
          </rPr>
          <t>Evaluación conjunta del plan dosimétrico por parte del ORT y el RFH.</t>
        </r>
      </text>
    </comment>
    <comment ref="B45" authorId="0" shapeId="0">
      <text>
        <r>
          <rPr>
            <sz val="9"/>
            <color indexed="81"/>
            <rFont val="Tahoma"/>
            <family val="2"/>
          </rPr>
          <t>Evaluación conjunta del nuevo plan dosimétrico por parte del ORT y el RFH.</t>
        </r>
      </text>
    </comment>
    <comment ref="B46" authorId="0" shapeId="0">
      <text>
        <r>
          <rPr>
            <sz val="9"/>
            <color indexed="81"/>
            <rFont val="Tahoma"/>
            <family val="2"/>
          </rPr>
          <t>Enclavamiento que impide tratar al paciente en una máquina distinta a la asignada en el planificador.</t>
        </r>
      </text>
    </comment>
    <comment ref="B47" authorId="0" shapeId="0">
      <text>
        <r>
          <rPr>
            <sz val="9"/>
            <color indexed="81"/>
            <rFont val="Tahoma"/>
            <family val="2"/>
          </rPr>
          <t>Aviso del software que indica que hay una diferencia entre los datos demográficos de la cabecera DICOM y los datos del paciente en el planificador.</t>
        </r>
      </text>
    </comment>
    <comment ref="B48" authorId="0" shapeId="0">
      <text>
        <r>
          <rPr>
            <sz val="9"/>
            <color indexed="81"/>
            <rFont val="Tahoma"/>
            <family val="2"/>
          </rPr>
          <t>Colocación e inmovilización del paciente en la posición de tratamiento para una sesión especial de tratamiento, como la de inicio, en presencia del ORT y TSRTyD, y siempre que sea posible el RFH.</t>
        </r>
      </text>
    </comment>
    <comment ref="B49" authorId="0" shapeId="0">
      <text>
        <r>
          <rPr>
            <sz val="9"/>
            <color indexed="81"/>
            <rFont val="Tahoma"/>
            <family val="2"/>
          </rPr>
          <t>Dispositivos de colocación e inmovilización personalizados.</t>
        </r>
      </text>
    </comment>
    <comment ref="B50" authorId="0" shapeId="0">
      <text>
        <r>
          <rPr>
            <sz val="9"/>
            <color indexed="81"/>
            <rFont val="Tahoma"/>
            <family val="2"/>
          </rPr>
          <t>Comprobación de la distancia fuente-superficie (DFS) y/o altura de la mesa.</t>
        </r>
      </text>
    </comment>
    <comment ref="B51" authorId="0" shapeId="0">
      <text>
        <r>
          <rPr>
            <sz val="9"/>
            <color indexed="81"/>
            <rFont val="Tahoma"/>
            <family val="2"/>
          </rPr>
          <t>Análisis de la imagen de verificación en sesión inicial y en algunas sesiones de tratamiento diario.</t>
        </r>
      </text>
    </comment>
    <comment ref="B52" authorId="0" shapeId="0">
      <text>
        <r>
          <rPr>
            <sz val="9"/>
            <color indexed="81"/>
            <rFont val="Tahoma"/>
            <family val="2"/>
          </rPr>
          <t>Preparación y revisión de la información del tratamiento antes de la sesión inicial por el TSRTyD.</t>
        </r>
      </text>
    </comment>
    <comment ref="B53" authorId="0" shapeId="0">
      <text>
        <r>
          <rPr>
            <sz val="9"/>
            <color indexed="81"/>
            <rFont val="Tahoma"/>
            <family val="2"/>
          </rPr>
          <t>Realización y análisis diario de imágenes de IGRT.</t>
        </r>
      </text>
    </comment>
    <comment ref="B54" authorId="0" shapeId="0">
      <text>
        <r>
          <rPr>
            <sz val="9"/>
            <color indexed="81"/>
            <rFont val="Tahoma"/>
            <family val="2"/>
          </rPr>
          <t>Comprobación del resultado de la fusión.</t>
        </r>
      </text>
    </comment>
    <comment ref="B55" authorId="0" shapeId="0">
      <text>
        <r>
          <rPr>
            <sz val="9"/>
            <color indexed="81"/>
            <rFont val="Tahoma"/>
            <family val="2"/>
          </rPr>
          <t>Realizar imágenes de verificación para cada isocentro una vez realizados todos los desplazamientos y justo antes del tratamiento.</t>
        </r>
      </text>
    </comment>
    <comment ref="B56" authorId="0" shapeId="0">
      <text>
        <r>
          <rPr>
            <sz val="9"/>
            <color indexed="81"/>
            <rFont val="Tahoma"/>
            <family val="2"/>
          </rPr>
          <t xml:space="preserve">Verificación previa al tratamiento de que la fase y amplitud del movimiento respiratorio son iguales que la adquisición en la simulación. </t>
        </r>
      </text>
    </comment>
    <comment ref="B57" authorId="0" shapeId="0">
      <text>
        <r>
          <rPr>
            <sz val="9"/>
            <color indexed="81"/>
            <rFont val="Tahoma"/>
            <family val="2"/>
          </rPr>
          <t>Comprobación del posicionamiento e inmovilización durante el tratamiento diario.</t>
        </r>
      </text>
    </comment>
    <comment ref="B58" authorId="0" shapeId="0">
      <text>
        <r>
          <rPr>
            <sz val="9"/>
            <color indexed="81"/>
            <rFont val="Tahoma"/>
            <family val="2"/>
          </rPr>
          <t>Comprobación de los parámetros de inmovilización, indexación y posicionamiento del paciente en general (incluido el seguimiento de la respiración) comparándolos con los que aparecen de referencia la hoja de simulación.</t>
        </r>
      </text>
    </comment>
    <comment ref="B59" authorId="0" shapeId="0">
      <text>
        <r>
          <rPr>
            <sz val="9"/>
            <color indexed="81"/>
            <rFont val="Tahoma"/>
            <family val="2"/>
          </rPr>
          <t>Consulta de la dosis acumulada en el punto de dosis diariamente.</t>
        </r>
      </text>
    </comment>
    <comment ref="B60" authorId="0" shapeId="0">
      <text>
        <r>
          <rPr>
            <sz val="9"/>
            <color indexed="81"/>
            <rFont val="Tahoma"/>
            <family val="2"/>
          </rPr>
          <t>Bloqueo por software del tratamiento de un paciente por indicación del ORT.</t>
        </r>
      </text>
    </comment>
    <comment ref="B61" authorId="0" shapeId="0">
      <text>
        <r>
          <rPr>
            <sz val="9"/>
            <color indexed="81"/>
            <rFont val="Tahoma"/>
            <family val="2"/>
          </rPr>
          <t>Verificación dosimétrica post-planificación y de toda modificación del mismo.</t>
        </r>
      </text>
    </comment>
    <comment ref="B62" authorId="0" shapeId="0">
      <text>
        <r>
          <rPr>
            <sz val="9"/>
            <color indexed="81"/>
            <rFont val="Tahoma"/>
            <family val="2"/>
          </rPr>
          <t>Alerta del sistema previa a una irradiación en modo verificación.</t>
        </r>
      </text>
    </comment>
    <comment ref="B63" authorId="0" shapeId="0">
      <text>
        <r>
          <rPr>
            <sz val="9"/>
            <color indexed="81"/>
            <rFont val="Tahoma"/>
            <family val="2"/>
          </rPr>
          <t>Permisos por grupos de usuarios que permiten tratar en modo QA o verificación.</t>
        </r>
      </text>
    </comment>
    <comment ref="B64" authorId="0" shapeId="0">
      <text>
        <r>
          <rPr>
            <sz val="9"/>
            <color indexed="81"/>
            <rFont val="Tahoma"/>
            <family val="2"/>
          </rPr>
          <t>Registro independiente del tratamiento diario.
Registro manual independiente del tratamiento diario</t>
        </r>
      </text>
    </comment>
    <comment ref="B65" authorId="0" shapeId="0">
      <text>
        <r>
          <rPr>
            <sz val="9"/>
            <color indexed="81"/>
            <rFont val="Tahoma"/>
            <family val="2"/>
          </rPr>
          <t>Replanificación y evaluación conjunta de los resultados por parte del ORT y el RFH.</t>
        </r>
      </text>
    </comment>
    <comment ref="B66" authorId="0" shapeId="0">
      <text>
        <r>
          <rPr>
            <sz val="9"/>
            <color indexed="81"/>
            <rFont val="Tahoma"/>
            <family val="2"/>
          </rPr>
          <t>Aprobación del plan para tratamiento por parte del ORT después de que se haya realizado la verificación dosimétrica.</t>
        </r>
      </text>
    </comment>
  </commentList>
</comments>
</file>

<file path=xl/comments3.xml><?xml version="1.0" encoding="utf-8"?>
<comments xmlns="http://schemas.openxmlformats.org/spreadsheetml/2006/main">
  <authors>
    <author>FERRERAS HERNANDEZ ELENA</author>
  </authors>
  <commentList>
    <comment ref="C1" authorId="0" shapeId="0">
      <text>
        <r>
          <rPr>
            <sz val="9"/>
            <color indexed="81"/>
            <rFont val="Tahoma"/>
            <charset val="1"/>
          </rPr>
          <t>En la primera consulta, identificar erróneamente al paciente (asignando incorrectamente los datos de la exploración y entrevista de esta consulta) o los datos asociados al mismo (informes, analíticas, imágenes previas, etc.). Se asume que este error afectaría a la intención terapéutica y al plan de tratamiento del paciente.</t>
        </r>
      </text>
    </comment>
    <comment ref="D1" authorId="0" shapeId="0">
      <text>
        <r>
          <rPr>
            <sz val="9"/>
            <color indexed="81"/>
            <rFont val="Tahoma"/>
            <charset val="1"/>
          </rPr>
          <t xml:space="preserve">Al completar los datos de la intención terapéutica, o al seleccionar una plantilla de prescripción en la red de radioterapia, omitir o indicar incorrectamente todos o algunos de los órganos de riesgo considerados en la intención médica. Se asume que este error afectaría al plan de tratamiento del paciente. </t>
        </r>
      </text>
    </comment>
    <comment ref="E1" authorId="0" shapeId="0">
      <text>
        <r>
          <rPr>
            <sz val="9"/>
            <color indexed="81"/>
            <rFont val="Tahoma"/>
            <charset val="1"/>
          </rPr>
          <t>Al completar la ficha de tratamiento de acuerdo con la intención terapéutica, o al seleccionar una plantilla de prescripción en la red de radioterapia, indicar un valor de la dosis total dosis diaria o número de sesiones por semana de tratamiento diferente al considerado en la intención médica. Se asume que este error afectaría al plan de tratamiento del paciente.</t>
        </r>
      </text>
    </comment>
    <comment ref="F1" authorId="0" shapeId="0">
      <text>
        <r>
          <rPr>
            <sz val="9"/>
            <color indexed="81"/>
            <rFont val="Tahoma"/>
            <charset val="1"/>
          </rPr>
          <t xml:space="preserve">Al completar la ficha de tratamiento de acuerdo con la intención terapéutica, o al seleccionar una plantilla de prescripción en la red de radioterapia,  omitir o indicar incorrectamente el valor de la dosis permitida a los órganos de riesgo. Se asume que este error afectaría al plan de tratamiento del paciente. </t>
        </r>
      </text>
    </comment>
    <comment ref="G1" authorId="0" shapeId="0">
      <text>
        <r>
          <rPr>
            <sz val="9"/>
            <color indexed="81"/>
            <rFont val="Tahoma"/>
            <charset val="1"/>
          </rPr>
          <t>Al completar la ficha de tratamiento de acuerdo con la intención terapéutica, o al seleccionar una plantilla de prescripción en la red de radioterapia, omitir información sobre los volúmenes secundarios de tratamiento considerados durante la prescripción clínica del paciente. Se considera, además, que se omite esa información en la ficha de realización de la TC. Se asume que este error afectaría al plan de tratamiento del paciente.</t>
        </r>
      </text>
    </comment>
    <comment ref="H1" authorId="0" shapeId="0">
      <text>
        <r>
          <rPr>
            <sz val="9"/>
            <color indexed="81"/>
            <rFont val="Tahoma"/>
            <charset val="1"/>
          </rPr>
          <t>Al completar la ficha de tratamiento, o al rellenar la plantilla de prescripción en la red de radioterapia, aplicar la intención terapéutica del tratamiento a un paciente erróneo. Por ejemplo, se prescribe a un paciente la dosis de otro con la misma localización del tratamiento pero distinta dosis o fraccionamiento. Se asume que este error afectaría al plan de tratamiento del paciente.</t>
        </r>
      </text>
    </comment>
    <comment ref="I1" authorId="0" shapeId="0">
      <text>
        <r>
          <rPr>
            <sz val="9"/>
            <color indexed="81"/>
            <rFont val="Tahoma"/>
            <charset val="1"/>
          </rPr>
          <t xml:space="preserve">Al completar la ficha de tratamiento o al rellenar la plantilla de prescripción en la red de radioterapia,  seleccionar para la prescripción un volumen o un órgano erróneo (error de lateralidad o distinto volumen, o a un volumen con o sin cadenas ganglionares). Se asume que este error afectaría al plan de tratamiento del paciente. </t>
        </r>
      </text>
    </comment>
    <comment ref="J1" authorId="0" shapeId="0">
      <text>
        <r>
          <rPr>
            <sz val="9"/>
            <color indexed="81"/>
            <rFont val="Tahoma"/>
            <charset val="1"/>
          </rPr>
          <t>Obviar u omitir situaciones especiales de cara al tratamiento tales como presencia de marcapasos, paciente embarazada, tratamientos previos, tratamientos concomitantes, enfermedades concomitantes o situación del paciente. Se asume que este error afectaría al plan de tratamiento del paciente.</t>
        </r>
      </text>
    </comment>
    <comment ref="K1" authorId="0" shapeId="0">
      <text>
        <r>
          <rPr>
            <sz val="9"/>
            <color indexed="81"/>
            <rFont val="Tahoma"/>
            <charset val="1"/>
          </rPr>
          <t>En el TC de simulación llamar a otro paciente que no es el que corresponde. Se asume que este error afectaría al plan de tratamiento del paciente.</t>
        </r>
      </text>
    </comment>
    <comment ref="L1" authorId="0" shapeId="0">
      <text>
        <r>
          <rPr>
            <sz val="9"/>
            <color indexed="81"/>
            <rFont val="Tahoma"/>
            <charset val="1"/>
          </rPr>
          <t>Realizar indicaciones erróneas o incompletas que puedan llevar a una incorrecta inmovilización u obtención de imágenes del paciente por error en la aplicación del protocolo. Se asume que este error afectaría al plan de tratamiento del paciente.</t>
        </r>
      </text>
    </comment>
    <comment ref="M1" authorId="0" shapeId="0">
      <text>
        <r>
          <rPr>
            <sz val="9"/>
            <color indexed="81"/>
            <rFont val="Tahoma"/>
            <charset val="1"/>
          </rPr>
          <t>Realizar una preparación incorrecta del paciente para la obtención de imágenes por no estar en ayunas en caso de contraste, llenado vejiga, vaciamiento recto, estómago vacío, etc. (indicaciones en vejiga, recto, estómago, etc.). Se asume que este error afectaría al plan de tratamiento del paciente.</t>
        </r>
      </text>
    </comment>
    <comment ref="N1" authorId="0" shapeId="0">
      <text>
        <r>
          <rPr>
            <sz val="9"/>
            <color indexed="81"/>
            <rFont val="Tahoma"/>
            <charset val="1"/>
          </rPr>
          <t>Realizar simulación con objetos de alto contraste que puedan ser retirados en el momento previo a la simulación y que puedan afectar la calidad de las imágenes y/o a la planificación (p. ej.: dentadura, pendientes, etc.). Se asume que este error afectaría al plan de tratamiento del paciente.</t>
        </r>
      </text>
    </comment>
    <comment ref="O1" authorId="0" shapeId="0">
      <text>
        <r>
          <rPr>
            <sz val="9"/>
            <color indexed="81"/>
            <rFont val="Tahoma"/>
            <charset val="1"/>
          </rPr>
          <t>Durante la colocación del paciente en el TC de simulación omitir o identificar erróneamente los dispositivos de posicionamiento y/o colocación elaborados previamente (no utilizar inmovilizador, utilizar un inmovilizador que no es el adecuado, etiquetarlo mal, colocarlo mal o en una posición forzada del paciente, etc.), o se utilizan dispositivos elaborados incorrectamente. Se asume que este error afectaría al plan de tratamiento del paciente.</t>
        </r>
      </text>
    </comment>
    <comment ref="P1" authorId="0" shapeId="0">
      <text>
        <r>
          <rPr>
            <sz val="9"/>
            <color indexed="81"/>
            <rFont val="Tahoma"/>
            <charset val="1"/>
          </rPr>
          <t>Definir erróneamente la referencia del origen del TC, 0-TC (porque se omite la colocación de los perdigones o se colocan en un punto inadecuado), o colocar erróneamente otras referencias (cicatrices, etc.) o mover al paciente entre la colocación y la realización del TC. Se asume que este error afectaría al plan de tratamiento del paciente.</t>
        </r>
      </text>
    </comment>
    <comment ref="Q1" authorId="0" shapeId="0">
      <text>
        <r>
          <rPr>
            <sz val="9"/>
            <color indexed="81"/>
            <rFont val="Tahoma"/>
            <charset val="1"/>
          </rPr>
          <t>Durante el proceso de inmovilización y confección de los aditamentos de posicionamiento en la mesa de realización del TC de simulación omitir particularidades del posicionamiento o colocar al paciente en una posición incómoda o difícilmente reproducible. Esto provoca imágenes TC erróneas o inadecuadas y dispositivos de posicionamiento erróneos. Como consecuencia de este error, no se puede asegurar la reproducibilidad del tratamiento del paciente. Se asume que este error afectaría al plan de tratamiento del paciente.</t>
        </r>
      </text>
    </comment>
    <comment ref="R1" authorId="0" shapeId="0">
      <text>
        <r>
          <rPr>
            <sz val="9"/>
            <color indexed="81"/>
            <rFont val="Tahoma"/>
            <charset val="1"/>
          </rPr>
          <t xml:space="preserve">Utilización de dispositivos de inmovilización ineficientes (holguras, fijación deficiente, etc.) que no garantizan la inmovilización de los pacientes. Se asume que este error afectaría al desarrollo de todo el tratamiento de todos los pacientes. </t>
        </r>
      </text>
    </comment>
    <comment ref="S1" authorId="0" shapeId="0">
      <text>
        <r>
          <rPr>
            <sz val="9"/>
            <color indexed="81"/>
            <rFont val="Tahoma"/>
            <charset val="1"/>
          </rPr>
          <t>Realizar el TC de simulación del paciente con parámetros de adquisición o reconstrucción erróneos, ya sea por introducción de datos incorrectos en la consola del TC (extensión, 'field of view', espesor de corte y número de cortes), parámetros incorrectos de reconstrucción (espesor de reconstrucción, algoritmo de reducción de artefactos metálicos, fases respiratorias de reconstrucción) o por utilizar un TC no dedicado sin el protocolo adecuado de simulación (dadas las diferencias del TC de simulación con respecto a la mesa de tratamiento como tablero no plano o inclinado). Se asume que este error afectaría al plan de tratamiento del paciente.</t>
        </r>
      </text>
    </comment>
    <comment ref="T1" authorId="0" shapeId="0">
      <text>
        <r>
          <rPr>
            <sz val="9"/>
            <color indexed="81"/>
            <rFont val="Tahoma"/>
            <charset val="1"/>
          </rPr>
          <t>Fallo del TC que produce una imagen que no es válida para delineación o planificación, por ser demasiado ruidosa, con artefactos, etc., incluyendo la degradación de la imagen no detectada por no realizar controles de calidad. Se asume que este error afectaría al plan de tratamiento del paciente.</t>
        </r>
      </text>
    </comment>
    <comment ref="U1" authorId="0" shapeId="0">
      <text>
        <r>
          <rPr>
            <sz val="9"/>
            <color indexed="81"/>
            <rFont val="Tahoma"/>
            <charset val="1"/>
          </rPr>
          <t>En la adquisición de imágenes de localización, se comete un error al no tener en cuenta el movimiento del tumor (TC rápido que no muestra el movimiento del tumor con la respiración, TC que debería haberse adquirido en 4D y se adquiere de forma convencional) o realizar una adquisición incorrecta (colocación del sistema de adquisición e la señal respiratoria o manejo incorrecto de la misma). Este error puede afectar a la delineación de volúmenes y cálculo de densidades. Se asume que este error afectaría al plan de tratamiento del paciente.</t>
        </r>
      </text>
    </comment>
    <comment ref="V1" authorId="0" shapeId="0">
      <text>
        <r>
          <rPr>
            <sz val="9"/>
            <color indexed="81"/>
            <rFont val="Tahoma"/>
            <charset val="1"/>
          </rPr>
          <t>Introducir o seleccionar datos de identificación del paciente que no se corresponden con el paciente que ha entrado a la sala, de tal forma que la imagen de la fusión posterior se realizaría entre conjuntos de imágenes de pacientes distintos. Se asume que este error afectaría al plan de tratamiento del paciente.</t>
        </r>
      </text>
    </comment>
    <comment ref="W1" authorId="0" shapeId="0">
      <text>
        <r>
          <rPr>
            <sz val="9"/>
            <color indexed="81"/>
            <rFont val="Tahoma"/>
            <charset val="1"/>
          </rPr>
          <t>Durante la adquisición de imágenes en otras modalidades (RM, PET), colocar al paciente en una posición inadecuada (posición de brazos, inmovilizadores, tablero plano, etc.) que limitan las posibilidades y fiabilidad de la fusión de las imágenes adquiridas con las de TC. Este error puede afectar a la delineación de volúmenes. Se asume que este error afectaría al plan de tratamiento del paciente.</t>
        </r>
      </text>
    </comment>
    <comment ref="X1" authorId="0" shapeId="0">
      <text>
        <r>
          <rPr>
            <sz val="9"/>
            <color indexed="81"/>
            <rFont val="Tahoma"/>
            <charset val="1"/>
          </rPr>
          <t>Colocar incorrectamente las marcas fiduciarias en las imágenes de fusión que pueda llevar a errores en la fusión con el TC y a errores de localización de volúmenes. Se asume que este error afectaría al plan de tratamiento del paciente.</t>
        </r>
      </text>
    </comment>
    <comment ref="Y1" authorId="0" shapeId="0">
      <text>
        <r>
          <rPr>
            <sz val="9"/>
            <color indexed="81"/>
            <rFont val="Tahoma"/>
            <charset val="1"/>
          </rPr>
          <t>Utilizar imágenes PET o RM inadecuadas por uso de radiofármaco inadecuado para la patología del paciente; por efecto de volumen parcial (filtro de reconstrucción, FOV o matriz inadecuados); por uso de una secuencia inadecuada de RM (insuficiente contraste que limita la visualización de lesiones) o por realizar la RM con una antena inadecuada (distorsión y pérdida de calidad de las imágenes). Se asume que este error afectaría al plan de tratamiento del paciente.</t>
        </r>
      </text>
    </comment>
    <comment ref="Z1" authorId="0" shapeId="0">
      <text>
        <r>
          <rPr>
            <sz val="9"/>
            <color indexed="81"/>
            <rFont val="Tahoma"/>
            <charset val="1"/>
          </rPr>
          <t>Omitir las marcas de referencia en el TC de simulación o no se tatúan correctamente en la piel del paciente.  Como consecuencia de este error, no se puede asegurar la reproducibilidad del tratamiento del paciente. Se asume que este error afectaría al plan de tratamiento del paciente.</t>
        </r>
      </text>
    </comment>
    <comment ref="AA1" authorId="0" shapeId="0">
      <text>
        <r>
          <rPr>
            <sz val="9"/>
            <color indexed="81"/>
            <rFont val="Tahoma"/>
            <charset val="1"/>
          </rPr>
          <t xml:space="preserve"> Omitir o tatuar en una posición incorrecta la posición de los elementos del sistema de seguimiento de respiración. Como consecuencia de este error no se puede asegurar la reproducibilidad de la posición de estos elementos a lo largo del tratamiento. Se asume que este error afectaría al plan de tratamiento del paciente.</t>
        </r>
      </text>
    </comment>
    <comment ref="AB1" authorId="0" shapeId="0">
      <text>
        <r>
          <rPr>
            <sz val="9"/>
            <color indexed="81"/>
            <rFont val="Tahoma"/>
            <charset val="1"/>
          </rPr>
          <t>Durante la edición del TC previa a su transferencia al sistema de planificación (TPS) o la red en la que está contenido el TPS, introducir información errónea, por ejemplo, sobre la posición del paciente (prono/supino o cabeza primero/pies primero). Se asume que este error afectaría al plan de tratamiento del paciente.</t>
        </r>
      </text>
    </comment>
    <comment ref="AC1" authorId="0" shapeId="0">
      <text>
        <r>
          <rPr>
            <sz val="9"/>
            <color indexed="81"/>
            <rFont val="Tahoma"/>
            <charset val="1"/>
          </rPr>
          <t>Omitir o registrar incorrectamente datos en la hoja de tratamiento sobre la posición del paciente, los dispositivos de colocación o inmovilización utilizados y otras particularidades consideradas durante la realización del TC de simulación. Este error afectaría a la reproducibilidad de la posición del paciente durante la administración del tratamiento. Se asume que este error afectaría al plan de tratamiento del paciente.</t>
        </r>
      </text>
    </comment>
    <comment ref="AD1" authorId="0" shapeId="0">
      <text>
        <r>
          <rPr>
            <sz val="9"/>
            <color indexed="81"/>
            <rFont val="Tahoma"/>
            <charset val="1"/>
          </rPr>
          <t>Fallo en la transferencia e importación de imágenes (TC, fusión, etc.) al sistema de planificación (TPS) o la red en la que está contenido el TPS que ocasiona que las imágenes transferidas no sean correctas. Por ejemplo, se transfiere un número de cortes erróneo o se introduce un cambio en las densidades o las coordenadas. Se asume que este error afectaría al plan de tratamiento del paciente.</t>
        </r>
      </text>
    </comment>
    <comment ref="AE1" authorId="0" shapeId="0">
      <text>
        <r>
          <rPr>
            <sz val="9"/>
            <color indexed="81"/>
            <rFont val="Tahoma"/>
            <charset val="1"/>
          </rPr>
          <t>Asignar las imágenes de un paciente a otro en el planificador. Se asume que este error afectaría al plan de tratamiento del paciente.</t>
        </r>
      </text>
    </comment>
    <comment ref="AF1" authorId="0" shapeId="0">
      <text>
        <r>
          <rPr>
            <sz val="9"/>
            <color indexed="81"/>
            <rFont val="Tahoma"/>
            <charset val="1"/>
          </rPr>
          <t>Durante la fusión de imágenes con otras modalidades (RM, PET) o TC del mismo paciente (TC previo) seleccionar erróneamente imágenes de otros pacientes o set de imágenes incorrectas del mismo paciente (serie incorrecta de RM, TC previo de fecha incorrecta, etc.). Este error puede afectar a la delineación de volúmenes. Se asume que este error afectaría al plan de tratamiento del paciente.</t>
        </r>
      </text>
    </comment>
    <comment ref="AG1" authorId="0" shapeId="0">
      <text>
        <r>
          <rPr>
            <sz val="9"/>
            <color indexed="81"/>
            <rFont val="Tahoma"/>
            <charset val="1"/>
          </rPr>
          <t>Fusión incorrecta debida a una mala interpretación de la morfología observada en ambas imágenes o por usar parámetros para la fusión incorrecta o fuera de los requisitos del software, que lleva a la determinación errónea de volúmenes de tratamiento y órganos de riesgo. Se asume que este error afectaría al plan de tratamiento del paciente.</t>
        </r>
      </text>
    </comment>
    <comment ref="AH1" authorId="0" shapeId="0">
      <text>
        <r>
          <rPr>
            <sz val="9"/>
            <color indexed="81"/>
            <rFont val="Tahoma"/>
            <charset val="1"/>
          </rPr>
          <t>Al delinear los volúmenes en el sistema de planificación (TPS), omitir delinear uno, varios o todos los órganos de riesgo de un paciente. Se asume que este error afectaría al plan de tratamiento del paciente.</t>
        </r>
      </text>
    </comment>
    <comment ref="AI1" authorId="0" shapeId="0">
      <text>
        <r>
          <rPr>
            <sz val="9"/>
            <color indexed="81"/>
            <rFont val="Tahoma"/>
            <charset val="1"/>
          </rPr>
          <t>Al delinear los volúmenes en el sistema de planificación (TPS), realizar una delineación incompleta de un órgano de riesgo, o se nombra incorrectamente. Se asume que este error afectaría al plan de tratamiento del paciente.</t>
        </r>
      </text>
    </comment>
    <comment ref="AJ1" authorId="0" shapeId="0">
      <text>
        <r>
          <rPr>
            <sz val="9"/>
            <color indexed="81"/>
            <rFont val="Tahoma"/>
            <charset val="1"/>
          </rPr>
          <t>Durante la delineación de volúmenes identificar o seleccionar erróneamente al paciente. Esto implica la delimitación de volúmenes teniendo en cuenta la información clínica de un paciente equivocado. Se asume que este error afectaría al plan de tratamiento del paciente.</t>
        </r>
      </text>
    </comment>
    <comment ref="AK1" authorId="0" shapeId="0">
      <text>
        <r>
          <rPr>
            <sz val="9"/>
            <color indexed="81"/>
            <rFont val="Tahoma"/>
            <charset val="1"/>
          </rPr>
          <t>Después de la delineación correcta de los volúmenes de tratamiento utilizar una nomenclatura no convenida o se comete un error al denominar los volúmenes en el sistema de planificación (TPS) que puede interpretarse de forma errónea. Se asume que este error afectaría al plan de tratamiento del paciente.</t>
        </r>
      </text>
    </comment>
    <comment ref="AL1" authorId="0" shapeId="0">
      <text>
        <r>
          <rPr>
            <sz val="9"/>
            <color indexed="81"/>
            <rFont val="Tahoma"/>
            <charset val="1"/>
          </rPr>
          <t>Al delinear los volúmenes en el sistema de planificación (TPS), omitir la delineación de uno o varios CTVs secundarios del paciente o realiza una delineación incompleta. Se asume que este error afectaría al plan de tratamiento del paciente.</t>
        </r>
      </text>
    </comment>
    <comment ref="AM1" authorId="0" shapeId="0">
      <text>
        <r>
          <rPr>
            <sz val="9"/>
            <color indexed="81"/>
            <rFont val="Tahoma"/>
            <charset val="1"/>
          </rPr>
          <t>Delinear incorrectamente el PTV (utilización de métodos automáticos de delimitación de contornos no validados, no utilizar imágenes que tengan en cuenta el movimiento del tumor, asignación errónea de la lateralidad del tumor, etc.). Se asume que este error afectaría al plan de tratamiento del paciente.</t>
        </r>
      </text>
    </comment>
    <comment ref="AN1" authorId="0" shapeId="0">
      <text>
        <r>
          <rPr>
            <sz val="9"/>
            <color indexed="81"/>
            <rFont val="Tahoma"/>
            <charset val="1"/>
          </rPr>
          <t>Durante la planificación del tratamiento asignar incorrectamente las imágenes de un paciente a otro paciente o al introducir algún dato demográfico. Esto implica el uso de información de un paciente equivocado para la planificación, afectando al plan de tratamiento del mismo. Se asume que este error afectaría al plan de tratamiento del paciente.</t>
        </r>
      </text>
    </comment>
    <comment ref="AO1" authorId="0" shapeId="0">
      <text>
        <r>
          <rPr>
            <sz val="9"/>
            <color indexed="81"/>
            <rFont val="Tahoma"/>
            <charset val="1"/>
          </rPr>
          <t>Al planificar el tratamiento de un paciente cometer un error al introducir los datos de la dosis total, dosis por fracción y número de sesiones en el sistema de planificación (TPS)  o en la red de radioterapia. Se asume que este error afectaría al plan de tratamiento del paciente.</t>
        </r>
      </text>
    </comment>
    <comment ref="AP1" authorId="0" shapeId="0">
      <text>
        <r>
          <rPr>
            <sz val="9"/>
            <color indexed="81"/>
            <rFont val="Tahoma"/>
            <charset val="1"/>
          </rPr>
          <t>Durante la prescripción clínica definitiva (teniendo en cuenta la configuración de volúmenes de tratamiento y la inmovilización del paciente), no se adapta ésta y se mantiene la prescripción provisional de la intención terapéutica. Se asume que este error afectaría al plan de tratamiento del paciente.</t>
        </r>
      </text>
    </comment>
    <comment ref="AQ1" authorId="0" shapeId="0">
      <text>
        <r>
          <rPr>
            <sz val="9"/>
            <color indexed="81"/>
            <rFont val="Tahoma"/>
            <charset val="1"/>
          </rPr>
          <t>Al asignar el conjunto de imágenes para la planificación, seleccionar por error un conjunto incorrecto (fase errónea de un CT4D o promediado de fase incorrecto, adquisición con una colocación del paciente o inmovilización distinta a la definitiva). Se asume que este error afectaría al plan de tratamiento del paciente.</t>
        </r>
      </text>
    </comment>
    <comment ref="AR1" authorId="0" shapeId="0">
      <text>
        <r>
          <rPr>
            <sz val="9"/>
            <color indexed="81"/>
            <rFont val="Tahoma"/>
            <charset val="1"/>
          </rPr>
          <t>No asignar o asignar incorrectamente el origen de coordenadas a partir de las marcas de TC. Se asume que este error afectaría al plan de tratamiento del paciente.</t>
        </r>
      </text>
    </comment>
    <comment ref="AS1" authorId="0" shapeId="0">
      <text>
        <r>
          <rPr>
            <sz val="9"/>
            <color indexed="81"/>
            <rFont val="Tahoma"/>
            <charset val="1"/>
          </rPr>
          <t>Durante la planificación del tratamiento no tener en cuenta el efecto de la mesa por no considerarla, o tenerlo en cuenta pero de manera incorrecta por utilizar un modelo de mesa distinto al de la mesa de tratamiento o por colocar ésta en una posición distinta respecto al paciente. Se asume que este error afectaría al plan de tratamiento del paciente.</t>
        </r>
      </text>
    </comment>
    <comment ref="AT1" authorId="0" shapeId="0">
      <text>
        <r>
          <rPr>
            <sz val="9"/>
            <color indexed="81"/>
            <rFont val="Tahoma"/>
            <charset val="1"/>
          </rPr>
          <t>No corregir o corregir incorrectamente las densidades en prótesis, bolus, contrastes, artefactos, etc. Se asume que este error afectaría al plan de tratamiento del paciente.</t>
        </r>
      </text>
    </comment>
    <comment ref="AU1" authorId="0" shapeId="0">
      <text>
        <r>
          <rPr>
            <sz val="9"/>
            <color indexed="81"/>
            <rFont val="Tahoma"/>
            <charset val="1"/>
          </rPr>
          <t>Utilizar una curva de conversión a densidad electrónica incorrecta. Se asume que este error afectaría al plan de tratamiento del paciente.</t>
        </r>
      </text>
    </comment>
    <comment ref="AV1" authorId="0" shapeId="0">
      <text>
        <r>
          <rPr>
            <sz val="9"/>
            <color indexed="81"/>
            <rFont val="Tahoma"/>
            <charset val="1"/>
          </rPr>
          <t>Al planificar el tratamiento de un paciente seleccionar erróneamente en el sistema de planificación (TPS) la unidad de tratamiento, de forma que se emplean datos que no se corresponden con la unidad donde será tratado. Por ejemplo, se usan datos de un acelerador de otro servicio o de un acelerador diferente del mismo servicio (modelos diferentes, marcas diferentes, etc.). Se asume que este error afectaría al plan de tratamiento del paciente.</t>
        </r>
      </text>
    </comment>
    <comment ref="AW1" authorId="0" shapeId="0">
      <text>
        <r>
          <rPr>
            <sz val="9"/>
            <color indexed="81"/>
            <rFont val="Tahoma"/>
            <charset val="1"/>
          </rPr>
          <t>Realizar planificación incorrecta por uso de parámetros no adecuados: número de arcos, scripts o 'templates' erróneos, definir erróneamente las estructuras de cálculo, elegir algoritmo o matriz de cálculo inadecuados, definir erróneamente los objetivos y restricciones de dosis y/o radiobiológicas en la optimización de la planificación. Se asume que este error afectaría al plan de tratamiento del paciente.</t>
        </r>
      </text>
    </comment>
    <comment ref="AX1" authorId="0" shapeId="0">
      <text>
        <r>
          <rPr>
            <sz val="9"/>
            <color indexed="81"/>
            <rFont val="Tahoma"/>
            <charset val="1"/>
          </rPr>
          <t>Delimitar erróneamente el rango de números CT del paciente que pudiera dar lugar a no reconocimiento de inmovilizadores en el planificador, cavidades aéreas, etc. Se asume que este error afectaría al plan de tratamiento del paciente.</t>
        </r>
      </text>
    </comment>
    <comment ref="AY1" authorId="0" shapeId="0">
      <text>
        <r>
          <rPr>
            <sz val="9"/>
            <color indexed="81"/>
            <rFont val="Tahoma"/>
            <charset val="1"/>
          </rPr>
          <t>Se utiliza un sistema de planificación (TPS) con modificaciones de los procedimientos de su uso y/o modelado que no han sido validados y autorizados en el servicio. Se asume que este error afectaría al plan de tratamiento del paciente.</t>
        </r>
      </text>
    </comment>
    <comment ref="AZ1" authorId="0" shapeId="0">
      <text>
        <r>
          <rPr>
            <sz val="9"/>
            <color indexed="81"/>
            <rFont val="Tahoma"/>
            <charset val="1"/>
          </rPr>
          <t>Al planificar el tratamiento de un paciente omitir la planificación de localizaciones secundarias. Este error afectaría al plan de tratamiento del paciente. Se asume que este error afectaría al plan de tratamiento del paciente.</t>
        </r>
      </text>
    </comment>
    <comment ref="BA1" authorId="0" shapeId="0">
      <text>
        <r>
          <rPr>
            <sz val="9"/>
            <color indexed="81"/>
            <rFont val="Tahoma"/>
            <charset val="1"/>
          </rPr>
          <t>El error consiste en tener en cuenta una distribución de dosis de una fase previa o tratamiento previo en una optimización de una fase posterior, de tal forma que el optimizador compensa una zona caliente en la fase previa con una zona fría o al revés.  La distribución debe ser aceptable en cada fase por separado y luego además cumplir con la suma, pero cada fase debe optimizarse de forma independiente. Se asume que este error afectaría al plan de tratamiento del paciente.</t>
        </r>
      </text>
    </comment>
    <comment ref="BB1" authorId="0" shapeId="0">
      <text>
        <r>
          <rPr>
            <sz val="9"/>
            <color indexed="81"/>
            <rFont val="Tahoma"/>
            <charset val="1"/>
          </rPr>
          <t>Fallo espurio del software del sistema de planificación (TPS). Se asume que este error afectaría al plan de tratamiento del paciente.</t>
        </r>
      </text>
    </comment>
    <comment ref="BC1" authorId="0" shapeId="0">
      <text>
        <r>
          <rPr>
            <sz val="9"/>
            <color indexed="81"/>
            <rFont val="Tahoma"/>
            <charset val="1"/>
          </rPr>
          <t>Durante la revisión de la planificación (del RFH al dosimetrista o conjunta del RFH y el ORT) o como resultado de la verificación de la misma, por nuevos hallazgos que hacen cambiar la prescripción, por problemas durante la colocación o inmovilización del paciente, por cambios anatómicos del paciente, etc., se decide realizar una replanificación y ésta o no se realiza o no se utiliza para el tratamiento. Se asume que este error afectaría al plan de tratamiento del paciente.</t>
        </r>
      </text>
    </comment>
    <comment ref="BD1" authorId="0" shapeId="0">
      <text>
        <r>
          <rPr>
            <sz val="9"/>
            <color indexed="81"/>
            <rFont val="Tahoma"/>
            <charset val="1"/>
          </rPr>
          <t>Incorporar incorrectamente un cambio en la dosimetría después de que ésta ya había sido aprobada. Puede haber cambios en la dosimetría por nuevos hallazgos, cambios en el paciente, cambios de criterio médico, problemas para impartir el tratamiento previamente aceptado por colisión con mesa o paciente, etc. Se asume que este error afectaría al plan de tratamiento del paciente.</t>
        </r>
      </text>
    </comment>
    <comment ref="BE1" authorId="0" shapeId="0">
      <text>
        <r>
          <rPr>
            <sz val="9"/>
            <color indexed="81"/>
            <rFont val="Tahoma"/>
            <charset val="1"/>
          </rPr>
          <t>Aprobar un plan de tratamiento distinto al escogido conjuntamente por el ORT y el RFH. Este error puede ser cometido por el OR o el RFH. Se asume que este error afectaría al plan de tratamiento del paciente.</t>
        </r>
      </text>
    </comment>
    <comment ref="BF1" authorId="0" shapeId="0">
      <text>
        <r>
          <rPr>
            <sz val="9"/>
            <color indexed="81"/>
            <rFont val="Tahoma"/>
            <charset val="1"/>
          </rPr>
          <t>Fallo en la transmisión electrónica de la información del plan de tratamiento desde el sistema de planificación (TPS) a la red o al PC de tratamiento. Por ejemplo, se transfiere incorrectamente la posición del colimador multiláminas. Se asume que este error afectaría al plan de tratamiento del paciente.</t>
        </r>
      </text>
    </comment>
    <comment ref="BG1" authorId="0" shapeId="0">
      <text>
        <r>
          <rPr>
            <sz val="9"/>
            <color indexed="81"/>
            <rFont val="Tahoma"/>
            <charset val="1"/>
          </rPr>
          <t>Agendar erróneamente para tratar todos los días tratamientos que están previstos para ser tratados en días alternos, una vez por semana, etc.  Estos esquemas pueden ser muy variables y muy habituales en hipofraccionamientos extremos.</t>
        </r>
      </text>
    </comment>
    <comment ref="BH1" authorId="0" shapeId="0">
      <text>
        <r>
          <rPr>
            <sz val="9"/>
            <color indexed="81"/>
            <rFont val="Tahoma"/>
            <charset val="1"/>
          </rPr>
          <t xml:space="preserve">Debido a este error se omite una sesión de tratamiento por contabilizar erróneamente la sesión de verificación como sesión de tratamiento. Se asume que este error afectaría solamente a una sesión de tratamiento de un paciente. </t>
        </r>
      </text>
    </comment>
    <comment ref="BI1" authorId="0" shapeId="0">
      <text>
        <r>
          <rPr>
            <sz val="9"/>
            <color indexed="81"/>
            <rFont val="Tahoma"/>
            <charset val="1"/>
          </rPr>
          <t>Debido a errores en el proceso de verificación se aplica una modificación errónea al plan de tratamiento. Se asume que este error afectaría al plan de tratamiento del paciente.</t>
        </r>
      </text>
    </comment>
    <comment ref="BJ1" authorId="0" shapeId="0">
      <text>
        <r>
          <rPr>
            <sz val="9"/>
            <color indexed="81"/>
            <rFont val="Tahoma"/>
            <charset val="1"/>
          </rPr>
          <t xml:space="preserve">Omitir o realizar con retraso el inicio de tratamiento de un paciente debido a una tarea incompleta en alguna de las etapas previas o tarea completada sin citar la siguiente tarea. Se asume que este error afectaría al desarrollo de todo el tratamiento del paciente. </t>
        </r>
      </text>
    </comment>
    <comment ref="BK1" authorId="0" shapeId="0">
      <text>
        <r>
          <rPr>
            <sz val="9"/>
            <color indexed="81"/>
            <rFont val="Tahoma"/>
            <charset val="1"/>
          </rPr>
          <t>Realizar un tratamiento con respiración normal en vez de 'gating' o 'breathhold', o al revés, o en general cualquier modo de respiración distinto del planificado. Se asume que este error afectaría al desarrollo de todo el tratamiento del paciente.</t>
        </r>
      </text>
    </comment>
    <comment ref="BL1" authorId="0" shapeId="0">
      <text>
        <r>
          <rPr>
            <sz val="9"/>
            <color indexed="81"/>
            <rFont val="Tahoma"/>
            <charset val="1"/>
          </rPr>
          <t>Impartir el plan de verificación al paciente. Como resultado de este error, se administra una sesión más al paciente, ya que no se contabiliza esta sesión como de tratamiento. Se asume que este error afectaría solamente a una sesión de tratamiento de un paciente.</t>
        </r>
      </text>
    </comment>
    <comment ref="BM1" authorId="0" shapeId="0">
      <text>
        <r>
          <rPr>
            <sz val="9"/>
            <color indexed="81"/>
            <rFont val="Tahoma"/>
            <charset val="1"/>
          </rPr>
          <t>Impartir el tratamiento de un paciente con un plan que no es el mismo que el de tratamiento (p.ej.: plan colapsado a gantry 0º). Se asume que este error afectaría solamente a una sesión de tratamiento de un paciente.</t>
        </r>
      </text>
    </comment>
    <comment ref="BN1" authorId="0" shapeId="0">
      <text>
        <r>
          <rPr>
            <sz val="9"/>
            <color indexed="81"/>
            <rFont val="Tahoma"/>
            <charset val="1"/>
          </rPr>
          <t>En la preparación del inicio del tratamiento, seleccionar un paciente que no es el que corresponde. Se asume que este error afectaría al desarrollo de todo el tratamiento del paciente.</t>
        </r>
      </text>
    </comment>
    <comment ref="BO1" authorId="0" shapeId="0">
      <text>
        <r>
          <rPr>
            <sz val="9"/>
            <color indexed="81"/>
            <rFont val="Tahoma"/>
            <charset val="1"/>
          </rPr>
          <t>En el inicio del tratamiento, llamar a otro paciente que no es el que corresponde o se presenta un paciente que no es el llamado. Este error afectaría a la sesión inicial de tratamiento del paciente y a las referencias y adaptaciones para sesiones posteriores. Se asume que este error afectaría al desarrollo de todo el tratamiento del paciente.</t>
        </r>
      </text>
    </comment>
    <comment ref="BP1" authorId="0" shapeId="0">
      <text>
        <r>
          <rPr>
            <sz val="9"/>
            <color indexed="81"/>
            <rFont val="Tahoma"/>
            <charset val="1"/>
          </rPr>
          <t xml:space="preserve">Al realizar el posicionamiento en el inicio del tratamiento colocar erróneamente al paciente en la mesa de tratamiento. Por ejemplo, sobre la orientación del paciente (prono/supino o cabeza primero/pies primero). Se asume que este error afectaría al desarrollo de todo el tratamiento del paciente. </t>
        </r>
      </text>
    </comment>
    <comment ref="BQ1" authorId="0" shapeId="0">
      <text>
        <r>
          <rPr>
            <sz val="9"/>
            <color indexed="81"/>
            <rFont val="Tahoma"/>
            <charset val="1"/>
          </rPr>
          <t>Colocar erróneamente al paciente en la mesa de tratamiento en el inicio del tratamiento al utilizar inmovilizadores de otro paciente. Se asume que este error afectaría al desarrollo de todo el tratamiento del paciente.</t>
        </r>
      </text>
    </comment>
    <comment ref="BR1" authorId="0" shapeId="0">
      <text>
        <r>
          <rPr>
            <sz val="9"/>
            <color indexed="81"/>
            <rFont val="Tahoma"/>
            <charset val="1"/>
          </rPr>
          <t xml:space="preserve">El material del inmovilizador no es suficientemente rígido y se generan holguras que pueden llevar a una falta de reproducibilidad del sistema de inmovilización (cunas, sistemas de compresión, etc.) y/o sistemas de inmovilización caducados. Esto implica que el uso de estos dispositivos no garantiza la inmovilización del paciente. Se asume que este error afectaría solamente a una sesión de tratamiento de un paciente. </t>
        </r>
      </text>
    </comment>
    <comment ref="BS1" authorId="0" shapeId="0">
      <text>
        <r>
          <rPr>
            <sz val="9"/>
            <color indexed="81"/>
            <rFont val="Tahoma"/>
            <charset val="1"/>
          </rPr>
          <t>No colocar algún sistema de inmovilización o colocarlo mal (incorrecta compresión, en sistemas de compresión indexados no colocarlos en la posición correcta por lo que se ejerce la fuerza en una posición distinta de la anatomía, no reproducir la fuerza de compresión de la simulación, no indexar correctamente en la mesa, etc.). Se asume que este error afectaría al desarrollo de todo el tratamiento del paciente.</t>
        </r>
      </text>
    </comment>
    <comment ref="BT1" authorId="0" shapeId="0">
      <text>
        <r>
          <rPr>
            <sz val="9"/>
            <color indexed="81"/>
            <rFont val="Tahoma"/>
            <charset val="1"/>
          </rPr>
          <t xml:space="preserve">Desviación de la alineación de los láseres. Esto implicaría un error en el posicionamiento de los pacientes. Se asume que este error afectaría al desarrollo de todo el tratamiento de todos los pacientes. </t>
        </r>
      </text>
    </comment>
    <comment ref="BU1" authorId="0" shapeId="0">
      <text>
        <r>
          <rPr>
            <sz val="9"/>
            <color indexed="81"/>
            <rFont val="Tahoma"/>
            <charset val="1"/>
          </rPr>
          <t xml:space="preserve">Desviación óptica de la distancia por fallos locales. Esto implicaría un error en el posicionamiento de los pacientes. Se asume que este error afectaría al desarrollo de todo el tratamiento de todos los pacientes. </t>
        </r>
      </text>
    </comment>
    <comment ref="BV1" authorId="0" shapeId="0">
      <text>
        <r>
          <rPr>
            <sz val="9"/>
            <color indexed="81"/>
            <rFont val="Tahoma"/>
            <charset val="1"/>
          </rPr>
          <t xml:space="preserve">Durante la sesión de inicio, colocar erróneamente al paciente en el isocentro planificado por no volver a la posición de tratamiento tras la adquisición de imágenes (CBCT), por no aplicar o aplicar incorrectamente los desplazamientos necesarios tras la adquisición de imágenes. Esto afecta a la toma de referencias para el resto de tratamiento y puede afectar a la totalidad del mismo. Se asume que este error afectaría al desarrollo de todo el tratamiento del paciente. </t>
        </r>
      </text>
    </comment>
    <comment ref="BW1" authorId="0" shapeId="0">
      <text>
        <r>
          <rPr>
            <sz val="9"/>
            <color indexed="81"/>
            <rFont val="Tahoma"/>
            <charset val="1"/>
          </rPr>
          <t>Durante inicio del tratamiento omitir o colocar incorrectamente el bolus indicado en el tratamiento del paciente o se coloca uno erróneo. Se asume que este error afectaría al desarrollo de todo el tratamiento del paciente.</t>
        </r>
      </text>
    </comment>
    <comment ref="BX1" authorId="0" shapeId="0">
      <text>
        <r>
          <rPr>
            <sz val="9"/>
            <color indexed="81"/>
            <rFont val="Tahoma"/>
            <charset val="1"/>
          </rPr>
          <t xml:space="preserve">Inexactitud del movimiento de los elementos mecánicos del sistema de IGRT (detector, tubo de RX, etc.) que puedan llevar a un cálculo incorrecto de distancias, magnificación, etc. También puede conducir a que el isocentro de la imagen sea distintos al de radiación, que llevarían a una incorrecta colocación del paciente. Se asume que este error afectaría al desarrollo de todo el tratamiento del paciente. </t>
        </r>
      </text>
    </comment>
    <comment ref="BY1" authorId="0" shapeId="0">
      <text>
        <r>
          <rPr>
            <sz val="9"/>
            <color indexed="81"/>
            <rFont val="Tahoma"/>
            <charset val="1"/>
          </rPr>
          <t xml:space="preserve">En algunos sistemas, si el isocentro está muy lateralizado y no se puede hacer el CBCT porque choca el equipo con el paciente, existe la posibilidad de guardar las coordenadas del isocentro, centrar al paciente para hacer el CBCT y una vez realizado desplazar la mesa automáticamente al isocentro; por lo que si este movimiento no está bien calibrado la colocación del paciente será incorrecta. Se asume que este error afectaría al desarrollo de todo el tratamiento del paciente. </t>
        </r>
      </text>
    </comment>
    <comment ref="BZ1" authorId="0" shapeId="0">
      <text>
        <r>
          <rPr>
            <sz val="9"/>
            <color indexed="81"/>
            <rFont val="Tahoma"/>
            <charset val="1"/>
          </rPr>
          <t>Realización incorrecta de la fusión de imágenes de la IGRT con las imágenes de referencia por mala interpretación de la anatomía, elección de parámetros de fusión inadecuados, etc. Se asume que este error afectaría al desarrollo de todo el tratamiento del paciente.</t>
        </r>
      </text>
    </comment>
    <comment ref="CA1" authorId="0" shapeId="0">
      <text>
        <r>
          <rPr>
            <sz val="9"/>
            <color indexed="81"/>
            <rFont val="Tahoma"/>
            <charset val="1"/>
          </rPr>
          <t>Si los desplazamientos de la mesa resultantes de la comparación de la IGRT con las imágenes de referencia son manuales, realizarlos incorrectamente por interpretación incorrecta de signos, cambio de unidades, etc. Se asume que este error afectaría al desarrollo de todo el tratamiento del paciente.</t>
        </r>
      </text>
    </comment>
    <comment ref="CB1" authorId="0" shapeId="0">
      <text>
        <r>
          <rPr>
            <sz val="9"/>
            <color indexed="81"/>
            <rFont val="Tahoma"/>
            <charset val="1"/>
          </rPr>
          <t xml:space="preserve">Si los desplazamientos de la mesa resultantes de la comparación de la IGRT con las imágenes de referencia son automáticos, que el sistema mueva la mesa incorrectamente por mal funcionamiento del equipo. Se asume que este error afectaría al desarrollo de todo el tratamiento del paciente. </t>
        </r>
      </text>
    </comment>
    <comment ref="CC1" authorId="0" shapeId="0">
      <text>
        <r>
          <rPr>
            <sz val="9"/>
            <color indexed="81"/>
            <rFont val="Tahoma"/>
            <charset val="1"/>
          </rPr>
          <t xml:space="preserve">En el inicio del tratamiento, y una vez ubicado el isocentro, posicionar erróneamente el ángulo de la mesa de tratamiento. Este error afectaría a la sesión inicial de tratamiento del paciente y a las referencias y adaptaciones para sesiones posteriores. Se asume que este error afectaría al desarrollo de todo el tratamiento del paciente. </t>
        </r>
      </text>
    </comment>
    <comment ref="CD1" authorId="0" shapeId="0">
      <text>
        <r>
          <rPr>
            <sz val="9"/>
            <color indexed="81"/>
            <rFont val="Tahoma"/>
            <charset val="1"/>
          </rPr>
          <t xml:space="preserve">Al realizar el inicio del tratamiento realizar erróneamente el marcado definitivo del paciente, este error puede ser bien por marcar en un lugar incorrecto o bien por haber realizado desplazamientos incorrectos desde marcas TC. Se asume que este error afectaría al desarrollo de todo el tratamiento del paciente. </t>
        </r>
      </text>
    </comment>
    <comment ref="CE1" authorId="0" shapeId="0">
      <text>
        <r>
          <rPr>
            <sz val="9"/>
            <color indexed="81"/>
            <rFont val="Tahoma"/>
            <charset val="1"/>
          </rPr>
          <t xml:space="preserve">Después de aprobado un cambio del plan de tratamiento (ya sea antes de la primera sesión o cuando el paciente lleva varias sesiones) omitir incorporar al plan las modificaciones requeridas. Las causas del cambio podrían ser, por ejemplo: nuevos hallazgos (que pueden hacer cambiar el PTV, la dosis o el fraccionamiento), corrección de errores previos en la prescripción, falta de disponibilidad del equipo de tratamiento o de la técnica inicialmente planificada, cambios realizados durante la sesión de inicio del tratamiento (pequeños cambios en parámetros técnicos como desplazamientos, pequeñas variaciones por posibilidad de colisión, etc.), reajustes radiobiológicos para compensar paradas en el tratamiento, etc. Se asume que este error afectaría al desarrollo de todo el tratamiento del paciente. </t>
        </r>
      </text>
    </comment>
    <comment ref="CF1" authorId="0" shapeId="0">
      <text>
        <r>
          <rPr>
            <sz val="9"/>
            <color indexed="81"/>
            <rFont val="Tahoma"/>
            <charset val="1"/>
          </rPr>
          <t xml:space="preserve">Después de aprobado un cambio del plan de tratamiento (ya sea antes de la primera sesión o cuando el paciente lleva varias sesiones) incorporar erróneamente al plan las modificaciones requeridas. Las causas del cambio podrían ser, por ejemplo: nuevos hallazgos (que pueden hacer cambiar el PTV, la dosis o el fraccionamiento), corrección de errores previos en la prescripción, falta de disponibilidad del equipo de tratamiento o de la técnica inicialmente planificada, cambios realizados durante la sesión de inicio del tratamiento (pequeños cambios en parámetros técnicos como desplazamientos, pequeñas variaciones por posibilidad de colisión, etc.), reajustes radiobiológicos para compensar paradas en el tratamiento, etc. Se asume que este error afectaría al desarrollo de todo el tratamiento del paciente. </t>
        </r>
      </text>
    </comment>
    <comment ref="CG1" authorId="0" shapeId="0">
      <text>
        <r>
          <rPr>
            <sz val="9"/>
            <color indexed="81"/>
            <rFont val="Tahoma"/>
            <charset val="1"/>
          </rPr>
          <t xml:space="preserve">Para el tratamiento diario  llamar a otro paciente que no es el que corresponde o se presenta un paciente que no es el llamado. Se asume que este error afectaría solamente a una sesión de tratamiento de un paciente. </t>
        </r>
      </text>
    </comment>
    <comment ref="CH1" authorId="0" shapeId="0">
      <text>
        <r>
          <rPr>
            <sz val="9"/>
            <color indexed="81"/>
            <rFont val="Tahoma"/>
            <charset val="1"/>
          </rPr>
          <t>En la preparación del inicio del tratamiento, seleccionar un paciente que no es el que corresponde. Se asume que este error afectaría solamente a una sesión de tratamiento de un paciente.</t>
        </r>
      </text>
    </comment>
    <comment ref="CI1" authorId="0" shapeId="0">
      <text>
        <r>
          <rPr>
            <sz val="9"/>
            <color indexed="81"/>
            <rFont val="Tahoma"/>
            <charset val="1"/>
          </rPr>
          <t>Al realizar el posicionamiento para el tratamiento diario inmovilizar erróneamente al paciente. Se asume que este error afectaría solamente a una sesión de tratamiento de un paciente.</t>
        </r>
      </text>
    </comment>
    <comment ref="CJ1" authorId="0" shapeId="0">
      <text>
        <r>
          <rPr>
            <sz val="9"/>
            <color indexed="81"/>
            <rFont val="Tahoma"/>
            <charset val="1"/>
          </rPr>
          <t>Colocar erróneamente al paciente en la mesa de tratamiento en el inicio del tratamiento al utilizar inmovilizadores de otro paciente. Se asume que este error afectaría solamente a una sesión de tratamiento de un paciente.</t>
        </r>
      </text>
    </comment>
    <comment ref="CK1" authorId="0" shapeId="0">
      <text>
        <r>
          <rPr>
            <sz val="9"/>
            <color indexed="81"/>
            <rFont val="Tahoma"/>
            <charset val="1"/>
          </rPr>
          <t>Falta de eficacia de los dispositivos de inmovilización (holguras, fijación deficiente, etc.) por deterioro. Esto implica que el uso de estos dispositivos no garantiza la inmovilización del paciente. Se asume que este error afectaría solamente a una sesión de tratamiento de un paciente.</t>
        </r>
      </text>
    </comment>
    <comment ref="CL1" authorId="0" shapeId="0">
      <text>
        <r>
          <rPr>
            <sz val="9"/>
            <color indexed="81"/>
            <rFont val="Tahoma"/>
            <charset val="1"/>
          </rPr>
          <t>No colocar algún sistema de inmovilización o colocarlos mal (incorrecta compresión, en sistemas de compresión indexados no colocarlos en la posición correcta por lo que se ejerce la fuerza en una posición distinta de la anatomía, no reproducir la fuerza de compresión de la simulación, no indexar correctamente en la mesa, etc.).  Se asume que este error afectaría solamente a una sesión de tratamiento de un paciente.</t>
        </r>
      </text>
    </comment>
    <comment ref="CM1" authorId="0" shapeId="0">
      <text>
        <r>
          <rPr>
            <sz val="9"/>
            <color indexed="81"/>
            <rFont val="Tahoma"/>
            <charset val="1"/>
          </rPr>
          <t>Después de inmovilizar y colocar al paciente para el tratamiento diario, alineado en marcas TC, realizar erróneamente los desplazamientos para alinearlo en el isocentro. Se asume que este error afectaría solamente a una sesión de tratamiento de un paciente.</t>
        </r>
      </text>
    </comment>
    <comment ref="CN1" authorId="0" shapeId="0">
      <text>
        <r>
          <rPr>
            <sz val="9"/>
            <color indexed="81"/>
            <rFont val="Tahoma"/>
            <charset val="1"/>
          </rPr>
          <t>Al realizar el posicionamiento para el tratamiento diario omitir la colocación de bolus indicado en el tratamiento del paciente o se coloca uno erróneo. Se asume que este error afectaría solamente a una sesión de tratamiento de un paciente.</t>
        </r>
      </text>
    </comment>
    <comment ref="CO1" authorId="0" shapeId="0">
      <text>
        <r>
          <rPr>
            <sz val="9"/>
            <color indexed="81"/>
            <rFont val="Tahoma"/>
            <charset val="1"/>
          </rPr>
          <t xml:space="preserve">Desviación de la alineación de los láseres. Esto implicaría un error en el posicionamiento de los pacientes. Se asume que este fallo afectaría al tratamiento de varios pacientes. </t>
        </r>
      </text>
    </comment>
    <comment ref="CP1" authorId="0" shapeId="0">
      <text>
        <r>
          <rPr>
            <sz val="9"/>
            <color indexed="81"/>
            <rFont val="Tahoma"/>
            <charset val="1"/>
          </rPr>
          <t xml:space="preserve">Desviación óptica de la distancia por fallos locales. Esto implicaría un error en el posicionamiento de los pacientes. Se asume que este fallo afectaría al tratamiento de varios pacientes. </t>
        </r>
      </text>
    </comment>
    <comment ref="CQ1" authorId="0" shapeId="0">
      <text>
        <r>
          <rPr>
            <sz val="9"/>
            <color indexed="81"/>
            <rFont val="Tahoma"/>
            <charset val="1"/>
          </rPr>
          <t xml:space="preserve">Tratar al paciente en condiciones distintas a las de simulación (dentadura, llenado vejiga, vaciado recto, etc.). Se asume que este error afectaría solamente a una sesión de tratamiento de un paciente. </t>
        </r>
      </text>
    </comment>
    <comment ref="CR1" authorId="0" shapeId="0">
      <text>
        <r>
          <rPr>
            <sz val="9"/>
            <color indexed="81"/>
            <rFont val="Tahoma"/>
            <charset val="1"/>
          </rPr>
          <t xml:space="preserve">Durante una sesión de tratamiento diario, colocar erróneamente los accesorios de seguimiento de la respiración, afectando a la amplitud (lo cual puede afectar a la precisión) o incluso a la forma de la señal (si la posición es más torácica o más abdominal). Se asume que este error afectaría solamente a una sesión de tratamiento de un paciente. </t>
        </r>
      </text>
    </comment>
    <comment ref="CS1" authorId="0" shapeId="0">
      <text>
        <r>
          <rPr>
            <sz val="9"/>
            <color indexed="81"/>
            <rFont val="Tahoma"/>
            <charset val="1"/>
          </rPr>
          <t xml:space="preserve">Inexactitud del movimiento de los elementos mecánicos del sistema de IGRT (detector, tubo de RX, etc.) que puedan llevar a un cálculo incorrecto de distancias, magnificación, etc. También puede conducir a que el isocentro de la imagen sea distintos al de radiación, que llevarían a una incorrecta colocación del paciente. Se asume que este fallo afectaría al tratamiento de varios pacientes. </t>
        </r>
      </text>
    </comment>
    <comment ref="CT1" authorId="0" shapeId="0">
      <text>
        <r>
          <rPr>
            <sz val="9"/>
            <color indexed="81"/>
            <rFont val="Tahoma"/>
            <charset val="1"/>
          </rPr>
          <t>En algunos sistemas si el isocentro está muy lateralizado y no se puede hacer el CBCT porque choca el equipo con el paciente, existe la posibilidad de guardar las coordenadas del isocentro, centrar al paciente para hacer el CBCT y una vez realizado desplazar la mesa automáticamente al isocentro; por lo que si este movimiento no está bien calibrado la colocación del paciente será incorrecta. Se asume que este error afectaría solamente a una sesión de tratamiento de un paciente.</t>
        </r>
      </text>
    </comment>
    <comment ref="CU1" authorId="0" shapeId="0">
      <text>
        <r>
          <rPr>
            <sz val="9"/>
            <color indexed="81"/>
            <rFont val="Tahoma"/>
            <charset val="1"/>
          </rPr>
          <t xml:space="preserve">Realizar erróneamente la fusión de imágenes de la IGRT con las imágenes de referencia por mala interpretación de la anatomía, elección de parámetros de fusión inadecuados, etc. Se asume que este error afectaría solamente a una sesión de tratamiento de un paciente. </t>
        </r>
      </text>
    </comment>
    <comment ref="CV1" authorId="0" shapeId="0">
      <text>
        <r>
          <rPr>
            <sz val="9"/>
            <color indexed="81"/>
            <rFont val="Tahoma"/>
            <charset val="1"/>
          </rPr>
          <t xml:space="preserve">Si los desplazamientos de la mesa resultantes de la comparación de la IGRT con las imágenes de referencia son manuales, realizarlos incorrectamente por interpretación incorrecta de signos, cambio de unidades, etc. Se asume que este error afectaría solamente a una sesión de tratamiento de un paciente. </t>
        </r>
      </text>
    </comment>
    <comment ref="CW1" authorId="0" shapeId="0">
      <text>
        <r>
          <rPr>
            <sz val="9"/>
            <color indexed="81"/>
            <rFont val="Tahoma"/>
            <charset val="1"/>
          </rPr>
          <t xml:space="preserve">Si los desplazamientos de la mesa resultantes de la comparación de la IGRT con las imágenes de referencia son automáticos, que el sistema mueva la mesa incorrectamente por mal funcionamiento del equipo. Se asume que este fallo afectaría al tratamiento de varios pacientes. </t>
        </r>
      </text>
    </comment>
    <comment ref="CX1" authorId="0" shapeId="0">
      <text>
        <r>
          <rPr>
            <sz val="9"/>
            <color indexed="81"/>
            <rFont val="Tahoma"/>
            <charset val="1"/>
          </rPr>
          <t>Fallo de algún elemento (láminas, energía, colimador, gantry, mesa de tratamiento, etc.) del equipo que implica que el tratamiento no se administre con los parámetros previstos lo que causa errores dosimétricos y/o geométricos. Se asume que este fallo afectaría al tratamiento de varios pacientes.</t>
        </r>
      </text>
    </comment>
    <comment ref="CY1" authorId="0" shapeId="0">
      <text>
        <r>
          <rPr>
            <sz val="9"/>
            <color indexed="81"/>
            <rFont val="Tahoma"/>
            <charset val="1"/>
          </rPr>
          <t>Dar un tratamiento con respiración normal en vez de 'gating' o 'breathhold', o al revés, o en general cualquier modo de respiración distinto del planificado. Se asume que este error afectaría solamente a una sesión de tratamiento de un paciente.</t>
        </r>
      </text>
    </comment>
    <comment ref="CZ1" authorId="0" shapeId="0">
      <text>
        <r>
          <rPr>
            <sz val="9"/>
            <color indexed="81"/>
            <rFont val="Tahoma"/>
            <charset val="1"/>
          </rPr>
          <t>Al realizar la ejecución del tratamiento, seleccionar erróneamente una localización de tratamiento. Únicamente ocurre cuando el tratamiento de un paciente incluye varias localizaciones. Se asume que este error afectaría solamente a una sesión de tratamiento de un paciente.</t>
        </r>
      </text>
    </comment>
    <comment ref="DA1" authorId="0" shapeId="0">
      <text>
        <r>
          <rPr>
            <sz val="9"/>
            <color indexed="81"/>
            <rFont val="Tahoma"/>
            <charset val="1"/>
          </rPr>
          <t xml:space="preserve">Al realizar el posicionamiento durante el tratamiento diario, después de ubicar el isocentro, al mover el ángulo de mesa manualmente en el tratamiento diario, se coloca incorrectamente. Se asume que este error afectaría solamente a una sesión de tratamiento. </t>
        </r>
      </text>
    </comment>
    <comment ref="DB1" authorId="0" shapeId="0">
      <text>
        <r>
          <rPr>
            <sz val="9"/>
            <color indexed="81"/>
            <rFont val="Tahoma"/>
            <charset val="1"/>
          </rPr>
          <t xml:space="preserve">Durante el periodo de tratamiento omitir por error la administración de una sesión de tratamiento diario. Se asume que este error afectaría solamente a una sesión de tratamiento de un paciente. </t>
        </r>
      </text>
    </comment>
    <comment ref="DC1" authorId="0" shapeId="0">
      <text>
        <r>
          <rPr>
            <sz val="9"/>
            <color indexed="81"/>
            <rFont val="Tahoma"/>
            <charset val="1"/>
          </rPr>
          <t xml:space="preserve">Durante el periodo de tratamiento omitir por error la administración de un campo o un arco. Por ejemplo, por la terminación irregular de éste durante el tratamiento del paciente (debido a problemas locales, fallos de equipos, problemas del paciente, por accionamiento inadvertido de la tecla 'terminar' en la consola de tratamiento o por cualquier otra causa). Se asume que este error afectaría solamente a una sesión de tratamiento de un paciente. </t>
        </r>
      </text>
    </comment>
    <comment ref="DD1" authorId="0" shapeId="0">
      <text>
        <r>
          <rPr>
            <sz val="9"/>
            <color indexed="81"/>
            <rFont val="Tahoma"/>
            <charset val="1"/>
          </rPr>
          <t xml:space="preserve">Cuando un tratamiento se corta antes de finalizar, no administrar las UM restantes o administrar de más porque no se registró correctamente dónde se había cortado. Se asume que este error afectaría solamente a una sesión de tratamiento de un paciente.  </t>
        </r>
      </text>
    </comment>
    <comment ref="DE1" authorId="0" shapeId="0">
      <text>
        <r>
          <rPr>
            <sz val="9"/>
            <color indexed="81"/>
            <rFont val="Tahoma"/>
            <charset val="1"/>
          </rPr>
          <t xml:space="preserve">Administrar erróneamente al paciente una o varias sesiones adicionales de tratamiento al no advertir que se ha llegado al número prescrito de sesiones.  Se asume que este error afectaría al desarrollo de todo el tratamiento del paciente. </t>
        </r>
      </text>
    </comment>
    <comment ref="DF1" authorId="0" shapeId="0">
      <text>
        <r>
          <rPr>
            <sz val="9"/>
            <color indexed="81"/>
            <rFont val="Tahoma"/>
            <charset val="1"/>
          </rPr>
          <t xml:space="preserve">Se administra erróneamente al paciente dos veces en un mismo día el tratamiento diario prescrito. Se da crédito para pacientes ingresados. Se asume que este error afectaría solamente a una sesión de tratamiento de un paciente. </t>
        </r>
      </text>
    </comment>
    <comment ref="DG1" authorId="0" shapeId="0">
      <text>
        <r>
          <rPr>
            <sz val="9"/>
            <color indexed="81"/>
            <rFont val="Tahoma"/>
            <charset val="1"/>
          </rPr>
          <t xml:space="preserve">Administrar erróneamente un mismo campo o un mismo arco dos veces en una sesión de tratamiento. Se asume que este error afectaría solamente a una sesión de tratamiento de un paciente.  </t>
        </r>
      </text>
    </comment>
    <comment ref="DH1" authorId="0" shapeId="0">
      <text>
        <r>
          <rPr>
            <sz val="9"/>
            <color indexed="81"/>
            <rFont val="Tahoma"/>
            <charset val="1"/>
          </rPr>
          <t xml:space="preserve">Movimiento significativo (observable) del paciente, de forma voluntaria o involuntaria, en cualquier momento desde la adquisición de la imagen de verificación hasta el final de tratamiento. Se asume que este error afectaría solamente a una sesión de tratamiento de un paciente.  </t>
        </r>
      </text>
    </comment>
    <comment ref="B8" authorId="0" shapeId="0">
      <text>
        <r>
          <rPr>
            <sz val="9"/>
            <color indexed="81"/>
            <rFont val="Tahoma"/>
            <charset val="1"/>
          </rPr>
          <t>Detección de desviaciones sistemáticas del posicionamiento mediante el análisis de imágenes, de acuerdo a un procedimiento.</t>
        </r>
      </text>
    </comment>
    <comment ref="B9" authorId="0" shapeId="0">
      <text>
        <r>
          <rPr>
            <sz val="9"/>
            <color indexed="81"/>
            <rFont val="Tahoma"/>
            <charset val="1"/>
          </rPr>
          <t>Pruebas de QA del sistema de adquisición de imágenes</t>
        </r>
      </text>
    </comment>
    <comment ref="B10" authorId="0" shapeId="0">
      <text>
        <r>
          <rPr>
            <sz val="9"/>
            <color indexed="81"/>
            <rFont val="Tahoma"/>
            <charset val="1"/>
          </rPr>
          <t xml:space="preserve">Programa de control de calidad periódico de TPS. </t>
        </r>
      </text>
    </comment>
    <comment ref="B11" authorId="0" shapeId="0">
      <text>
        <r>
          <rPr>
            <sz val="9"/>
            <color indexed="81"/>
            <rFont val="Tahoma"/>
            <charset val="1"/>
          </rPr>
          <t>Controles de calidad periódicos que incluyen la verificación de este parámetro.</t>
        </r>
      </text>
    </comment>
    <comment ref="B12" authorId="0" shapeId="0">
      <text>
        <r>
          <rPr>
            <sz val="9"/>
            <color indexed="81"/>
            <rFont val="Tahoma"/>
            <charset val="1"/>
          </rPr>
          <t>Controles de calidad diarios que incluyen la verificación de este parámetro.</t>
        </r>
      </text>
    </comment>
    <comment ref="B13" authorId="0" shapeId="0">
      <text>
        <r>
          <rPr>
            <sz val="9"/>
            <color indexed="81"/>
            <rFont val="Tahoma"/>
            <charset val="1"/>
          </rPr>
          <t>Control de calidad de los sistemas de inmovilización.</t>
        </r>
      </text>
    </comment>
    <comment ref="B14" authorId="0" shapeId="0">
      <text>
        <r>
          <rPr>
            <sz val="9"/>
            <color indexed="81"/>
            <rFont val="Tahoma"/>
            <charset val="1"/>
          </rPr>
          <t>Control periódico de la coincidencia de isocentro de imagen con isocentro de radiación.</t>
        </r>
      </text>
    </comment>
    <comment ref="B15" authorId="0" shapeId="0">
      <text>
        <r>
          <rPr>
            <sz val="9"/>
            <color indexed="81"/>
            <rFont val="Tahoma"/>
            <charset val="1"/>
          </rPr>
          <t>Revisión médica y/o de enfermería periódica del paciente que puede detectar errores en la administración del tratamiento, o en las etapas previas.</t>
        </r>
      </text>
    </comment>
    <comment ref="B16" authorId="0" shapeId="0">
      <text>
        <r>
          <rPr>
            <sz val="9"/>
            <color indexed="81"/>
            <rFont val="Tahoma"/>
            <charset val="1"/>
          </rPr>
          <t>Revisión semanal de la ficha de tratamiento.</t>
        </r>
      </text>
    </comment>
    <comment ref="B17" authorId="0" shapeId="0">
      <text>
        <r>
          <rPr>
            <sz val="9"/>
            <color indexed="81"/>
            <rFont val="Tahoma"/>
            <charset val="1"/>
          </rPr>
          <t>Revisión offline de la imagen de IGRT.</t>
        </r>
      </text>
    </comment>
    <comment ref="B18" authorId="0" shapeId="0">
      <text>
        <r>
          <rPr>
            <sz val="9"/>
            <color indexed="81"/>
            <rFont val="Tahoma"/>
            <charset val="1"/>
          </rPr>
          <t>Mantener las condiciones de trabajo propiciando la concentración para evitar distracciones. Área/tiempos sin interrupciones</t>
        </r>
      </text>
    </comment>
    <comment ref="B19" authorId="0" shapeId="0">
      <text>
        <r>
          <rPr>
            <sz val="9"/>
            <color indexed="81"/>
            <rFont val="Tahoma"/>
            <charset val="1"/>
          </rPr>
          <t>Comprobación del marcado definitivo del isocentro al día siguiente del inicio del tratamiento, de acuerdo a un procedimiento</t>
        </r>
      </text>
    </comment>
    <comment ref="B20" authorId="0" shapeId="0">
      <text>
        <r>
          <rPr>
            <sz val="9"/>
            <color indexed="81"/>
            <rFont val="Tahoma"/>
            <charset val="1"/>
          </rPr>
          <t>Evaluación de la dosimetría sobre la imagen de CBCT.</t>
        </r>
      </text>
    </comment>
    <comment ref="B21" authorId="0" shapeId="0">
      <text>
        <r>
          <rPr>
            <sz val="9"/>
            <color indexed="81"/>
            <rFont val="Tahoma"/>
            <charset val="1"/>
          </rPr>
          <t>Observación del transcurso del tratamiento por el circuito cerrado de TV y accionamiento del botón de emergencia.</t>
        </r>
      </text>
    </comment>
    <comment ref="B22" authorId="0" shapeId="0">
      <text>
        <r>
          <rPr>
            <sz val="9"/>
            <color indexed="81"/>
            <rFont val="Tahoma"/>
            <charset val="1"/>
          </rPr>
          <t>Detección de errores de geometría o de dosis por signos visuales (coloración de la piel, etc.) en la comprobación del posicionamiento durante el tratamiento diario</t>
        </r>
      </text>
    </comment>
    <comment ref="B23" authorId="0" shapeId="0">
      <text>
        <r>
          <rPr>
            <sz val="9"/>
            <color indexed="81"/>
            <rFont val="Tahoma"/>
            <charset val="1"/>
          </rPr>
          <t>Uso del intercomunicador en la sala de control que permite la comunicación bidireccional entre el paciente y los TSRTyD para interrumpir el tratamiento.</t>
        </r>
      </text>
    </comment>
    <comment ref="B24" authorId="0" shapeId="0">
      <text>
        <r>
          <rPr>
            <sz val="9"/>
            <color indexed="81"/>
            <rFont val="Tahoma"/>
            <charset val="1"/>
          </rPr>
          <t>Consulta o impresión diaria de la hoja de sesión de acuerdo a un procedimiento.</t>
        </r>
      </text>
    </comment>
    <comment ref="B25" authorId="0" shapeId="0">
      <text>
        <r>
          <rPr>
            <sz val="9"/>
            <color indexed="81"/>
            <rFont val="Tahoma"/>
            <charset val="1"/>
          </rPr>
          <t>Registro manual independiente del tratamiento diario por parte del TSRTyD, de acuerdo a un procedimiento.</t>
        </r>
      </text>
    </comment>
    <comment ref="B26" authorId="0" shapeId="0">
      <text>
        <r>
          <rPr>
            <sz val="9"/>
            <color indexed="81"/>
            <rFont val="Tahoma"/>
            <charset val="1"/>
          </rPr>
          <t>Sistema de monitorización del tratamiento con medidas de fluencia.</t>
        </r>
      </text>
    </comment>
    <comment ref="B27" authorId="0" shapeId="0">
      <text>
        <r>
          <rPr>
            <sz val="9"/>
            <color indexed="81"/>
            <rFont val="Tahoma"/>
            <charset val="1"/>
          </rPr>
          <t>Revisión periódica de los registros respiratorios de tratamiento.</t>
        </r>
      </text>
    </comment>
  </commentList>
</comments>
</file>

<file path=xl/comments4.xml><?xml version="1.0" encoding="utf-8"?>
<comments xmlns="http://schemas.openxmlformats.org/spreadsheetml/2006/main">
  <authors>
    <author>Arturo Perez Mulas</author>
  </authors>
  <commentList>
    <comment ref="U1" authorId="0" shapeId="0">
      <text>
        <r>
          <rPr>
            <b/>
            <sz val="9"/>
            <color indexed="81"/>
            <rFont val="Tahoma"/>
            <family val="2"/>
          </rPr>
          <t>Arturo Perez Mulas:</t>
        </r>
        <r>
          <rPr>
            <sz val="9"/>
            <color indexed="81"/>
            <rFont val="Tahoma"/>
            <family val="2"/>
          </rPr>
          <t xml:space="preserve">
Según SEVRRA - 2016-11-18
</t>
        </r>
      </text>
    </comment>
    <comment ref="V2" authorId="0" shapeId="0">
      <text>
        <r>
          <rPr>
            <sz val="9"/>
            <color indexed="81"/>
            <rFont val="Tahoma"/>
            <family val="2"/>
          </rPr>
          <t>Durante la calibración inicial del equipo se utiliza en las mediciones un sistema de calibración dosimétrica con un factor de calibración erróneo. Esto implica un ajuste incorrecto de la relación dosis/Unidad Monitor que afectaría al tratamiento de todos los pacientes.</t>
        </r>
      </text>
    </comment>
    <comment ref="V3" authorId="0" shapeId="0">
      <text>
        <r>
          <rPr>
            <sz val="9"/>
            <color indexed="81"/>
            <rFont val="Tahoma"/>
            <family val="2"/>
          </rPr>
          <t>El certificado es correcto pero se toman erróneamente algunos datos de dicho certificado, por ejemplo: confusión de unidades mGy-cGy, lectura del coeficiente de calibración, confusión de Nk con ND,w, , Po y To. Esto implica la obtención de valores erróneos durante la calibración inicial del equipo que afectarían al tratamiento de todos los pacientes.</t>
        </r>
      </text>
    </comment>
    <comment ref="V4" authorId="0" shapeId="0">
      <text>
        <r>
          <rPr>
            <sz val="9"/>
            <color indexed="81"/>
            <rFont val="Tahoma"/>
            <family val="2"/>
          </rPr>
          <t>Durante la calibración inicial del equipo se comete un error al establecer las condiciones de medida (profundidad, tamaño de campo, SSD, etc.). Esto implica un error en la determinación de la dosis absoluta y por tanto en el establecimiento de la relación dosis/Unidades Monitor que afectaría al tratamiento de todos los pacientes.</t>
        </r>
      </text>
    </comment>
    <comment ref="V5" authorId="0" shapeId="0">
      <text>
        <r>
          <rPr>
            <sz val="9"/>
            <color indexed="81"/>
            <rFont val="Tahoma"/>
            <family val="2"/>
          </rPr>
          <t>Se usa un valor erróneo de presión o temperatura (barómetro o termómetro descalibrado, lectura errónea o aplicación de valores otro lugar, como laboratorio meteorológico o aeropuerto). Esto implica un error en la corrección por presión y temperatura y por tanto una desviación en los resultados de la calibración inicial del equipo que afectaría al tratamiento de todos los pacientes.</t>
        </r>
      </text>
    </comment>
    <comment ref="V6" authorId="0" shapeId="0">
      <text>
        <r>
          <rPr>
            <sz val="9"/>
            <color indexed="81"/>
            <rFont val="Tahoma"/>
            <family val="2"/>
          </rPr>
          <t>Durante la calibración inicial del equipo se comete un error al determinar el coeficiente de calibración de las cámaras monitoras (por transcribir mal los números, realizar mal el cálculo, etc.) Esto implica un error en la determinación de la dosis absoluta y por tanto en el establecimiento de la relación dosis/Unidades Monitor que afectaría al tratamiento de todos los pacientes.</t>
        </r>
      </text>
    </comment>
    <comment ref="V7" authorId="0" shapeId="0">
      <text>
        <r>
          <rPr>
            <sz val="9"/>
            <color indexed="81"/>
            <rFont val="Tahoma"/>
            <family val="2"/>
          </rPr>
          <t>Al realizar la puesta en servicio se comete un error al determinar los perfiles a lo largo del eje del haz y sus perpendiculares debido, por ejemplo, a un posicionamiento incorrecto para la medición o al uso de un dosímetro inadecuado. Esto implica la introducción de valores erróneos en el sistema de planificación (TPS) que afectarían al tratamiento de todos los pacientes.</t>
        </r>
      </text>
    </comment>
    <comment ref="V8" authorId="0" shapeId="0">
      <text>
        <r>
          <rPr>
            <sz val="9"/>
            <color indexed="81"/>
            <rFont val="Tahoma"/>
            <family val="2"/>
          </rPr>
          <t>Al realizar la puesta en servicio se comete un error al determinar los parámetros geométricos del haz (tamaño del campo de radiación, coincidencia del campo luminoso y radiante, posición de la fuente efectiva, verticalidad del haz). Esto implica la transferencia de valores erróneos al sistema de planificación (TPS) que afectarían al tratamiento de todos los pacientes.</t>
        </r>
      </text>
    </comment>
    <comment ref="V9" authorId="0" shapeId="0">
      <text>
        <r>
          <rPr>
            <sz val="9"/>
            <color indexed="81"/>
            <rFont val="Tahoma"/>
            <family val="2"/>
          </rPr>
          <t>Al realizar la puesta en servicio se comete un error al determinar los factores de campo. Esto implica la transferencia de valores erróneos al sistema de planificación (TPS) que afectarían al tratamiento de todos los pacientes.</t>
        </r>
      </text>
    </comment>
    <comment ref="V10" authorId="0" shapeId="0">
      <text>
        <r>
          <rPr>
            <sz val="9"/>
            <color indexed="81"/>
            <rFont val="Tahoma"/>
            <family val="2"/>
          </rPr>
          <t>Al realizar la puesta en servicio se comete un error al determinar los parámetros geométricos y mecánicos de la unidad (errores del eje de rotación y translación, errores de las escalas angulares y lineales, incluyendo el telémetro, errores en el indicador luminoso del eje del haz (cruceta), errores en la verificación de los láseres). Esto implica la transferencia de valores erróneos al sistema de planificación (TPS) que afectarían al tratamiento de todos los pacientes.</t>
        </r>
      </text>
    </comment>
    <comment ref="V11" authorId="0" shapeId="0">
      <text>
        <r>
          <rPr>
            <sz val="9"/>
            <color indexed="81"/>
            <rFont val="Tahoma"/>
            <family val="2"/>
          </rPr>
          <t>Al realizar la puesta en servicio se comete un error al determinar los factores de transmisión de bandejas. Esto implica la transferencia de valores erróneos al sistema de planificación (TPS) que afectarían al tratamiento de todos los pacientes.</t>
        </r>
      </text>
    </comment>
    <comment ref="V12" authorId="0" shapeId="0">
      <text>
        <r>
          <rPr>
            <sz val="9"/>
            <color indexed="81"/>
            <rFont val="Tahoma"/>
            <family val="2"/>
          </rPr>
          <t>Al realizar la puesta en servicio se comete un error al determinar los factores de transmisión de cuñas. Esto implica la transferencia de valores erróneos al sistema de planificación (TPS) que afectarían al tratamiento de todos los pacientes.</t>
        </r>
      </text>
    </comment>
    <comment ref="V13" authorId="0" shapeId="0">
      <text>
        <r>
          <rPr>
            <sz val="9"/>
            <color indexed="81"/>
            <rFont val="Tahoma"/>
            <family val="2"/>
          </rPr>
          <t>Al realizar la puesta en servicio se comete un error al determinar los factores de transmisión del colimador multiláminas (MLC). Esto implica la transferencia de valores erróneos al sistema de planificación (TPS) que afectarían al tratamiento de todos los pacientes.</t>
        </r>
      </text>
    </comment>
    <comment ref="V14" authorId="0" shapeId="0">
      <text>
        <r>
          <rPr>
            <sz val="9"/>
            <color indexed="81"/>
            <rFont val="Tahoma"/>
            <family val="2"/>
          </rPr>
          <t>Al realizar la puesta en servicio se comete un error u omisión al determinar los factores de transmisión del tablero. Esto implica la transferencia de valores erróneos al sistema de planificación (TPS) que afectarían al tratamiento de todos los pacientes.</t>
        </r>
      </text>
    </comment>
    <comment ref="V15" authorId="0" shapeId="0">
      <text>
        <r>
          <rPr>
            <sz val="9"/>
            <color indexed="81"/>
            <rFont val="Tahoma"/>
            <family val="2"/>
          </rPr>
          <t>Al realizar la puesta en servicio se comete un error al determinar los perfiles de campos con cuñas o puntos fuera del eje del haz. Esto implica la transferencia de valores erróneos al sistema de planificación (TPS) que afectarían al tratamiento de todos los pacientes.</t>
        </r>
      </text>
    </comment>
    <comment ref="V16" authorId="0" shapeId="0">
      <text>
        <r>
          <rPr>
            <sz val="9"/>
            <color indexed="81"/>
            <rFont val="Tahoma"/>
            <family val="2"/>
          </rPr>
          <t>Al realizar la puesta en servicio se comete un error al determinar los parámetros geométricos que caracterizan el multiláminas (el centrado del sistema colimador multiláminas, MLC, respecto al eje de rotación del cabezal y del brazo, ortogonalidad de los bancos de láminas respecto a los colimadores, exactitud y repetibilidad del posicionamiento de las láminas y ancho de las láminas en el isocentro). Esto implica la transferencia de valores erróneos al sistema de planificación (TPS) que afectarían al tratamiento de todos los pacientes.</t>
        </r>
      </text>
    </comment>
    <comment ref="V17" authorId="0" shapeId="0">
      <text>
        <r>
          <rPr>
            <sz val="9"/>
            <color indexed="81"/>
            <rFont val="Tahoma"/>
            <family val="2"/>
          </rPr>
          <t>Al realizar la puesta en servicio se adquieren dispositivos de inmovilización ineficaces (holguras, fijación deficiente, etc.), lo que implica que el uso de estos dispositivos no garantiza la seguridad de los tratamientos de todos los pacientes.</t>
        </r>
      </text>
    </comment>
    <comment ref="V18" authorId="0" shapeId="0">
      <text>
        <r>
          <rPr>
            <sz val="9"/>
            <color indexed="81"/>
            <rFont val="Tahoma"/>
            <family val="2"/>
          </rPr>
          <t>Al realizar la puesta en servicio se comete un error u omisión al registrar los parámetros determinados en este proceso de medidas que deben ser introducidos al sistema de planificación del tratamiento (TPS). Esto implica la transferencia de valores erróneos al sistema de planificación (TPS) que afectarían al tratamiento de todos los pacientes.</t>
        </r>
      </text>
    </comment>
    <comment ref="V19" authorId="0" shapeId="0">
      <text>
        <r>
          <rPr>
            <sz val="9"/>
            <color indexed="81"/>
            <rFont val="Tahoma"/>
            <family val="2"/>
          </rPr>
          <t>Al realizar la puesta en servicio del sistema de planificación de tratamientos (TPS) se introducen erróneamente datos sobre la configuración geométrica del acelerador en el TPS. Esto implica valores incorrectos en el TPS que afectarían al tratamiento de todos los pacientes.</t>
        </r>
      </text>
    </comment>
    <comment ref="V20" authorId="0" shapeId="0">
      <text>
        <r>
          <rPr>
            <sz val="9"/>
            <color indexed="81"/>
            <rFont val="Tahoma"/>
            <family val="2"/>
          </rPr>
          <t>Al realizar la puesta en servicio del sistema de planificación de tratamientos (TPS) se introducen erróneamente datos sobre la configuración del multiláminas del acelerador (MLC) en el TPS. Por ejemplo, la configuración de los movimientos de las láminas del multiláminas, su posición relativa respecto al giro del colimador, el espesor de las láminas y su absorción. Esto implica el uso de valores incorrectos en el TPS que afectarían al tratamiento de todos los pacientes.</t>
        </r>
      </text>
    </comment>
    <comment ref="V21" authorId="0" shapeId="0">
      <text>
        <r>
          <rPr>
            <sz val="9"/>
            <color indexed="81"/>
            <rFont val="Tahoma"/>
            <family val="2"/>
          </rPr>
          <t>Al realizar la puesta en servicio del sistema de planificación de tratamientos (TPS) se introducen erróneamente datos sobre la configuración de las cuñas del acelerador en el TPS. Esto implica el uso de valores incorrectos en el TPS que afectarían al tratamiento de todos los pacientes.</t>
        </r>
      </text>
    </comment>
    <comment ref="V22" authorId="0" shapeId="0">
      <text>
        <r>
          <rPr>
            <sz val="9"/>
            <color indexed="81"/>
            <rFont val="Tahoma"/>
            <family val="2"/>
          </rPr>
          <t>Al realizar la puesta en servicio del sistema de planificación de tratamientos (TPS) se introducen erróneamente datos sobre la configuración de los bloques del acelerador en el TPS. Esto implica el uso de valores incorrectos en el TPS que afectarían al tratamiento de todos los pacientes.</t>
        </r>
      </text>
    </comment>
    <comment ref="V23" authorId="0" shapeId="0">
      <text>
        <r>
          <rPr>
            <sz val="9"/>
            <color indexed="81"/>
            <rFont val="Tahoma"/>
            <family val="2"/>
          </rPr>
          <t>Al realizar la puesta en servicio del sistema de planificación de tratamientos (TPS) se introducen erróneamente datos sobre la caracterización y rendimiento de los haces y/o su modelado, en el TPS. Esto implica el uso de valores incorrectos en el TPS que afectarían al tratamiento de todos los pacientes.</t>
        </r>
      </text>
    </comment>
    <comment ref="V24" authorId="0" shapeId="0">
      <text>
        <r>
          <rPr>
            <sz val="9"/>
            <color indexed="81"/>
            <rFont val="Tahoma"/>
            <family val="2"/>
          </rPr>
          <t>Al realizar la puesta en servicio del sistema de planificación de tratamientos (TPS) se introducen erróneamente datos sobre la asignación de unidades Hounsfield a densidad electrónica en el TPS. Esto implica el uso de valores incorrectos en el TPS que afectarían al tratamiento de todos los pacientes.</t>
        </r>
      </text>
    </comment>
    <comment ref="V25" authorId="0" shapeId="0">
      <text>
        <r>
          <rPr>
            <sz val="9"/>
            <color indexed="81"/>
            <rFont val="Tahoma"/>
            <family val="2"/>
          </rPr>
          <t>Al realizar la puesta en servicio del sistema de planificación de tratamientos (TPS) se introducen erróneamente datos sobre los factores de campo en el TPS. Esto implica el uso de valores incorrectos en el TPS que afectarían al tratamiento de todos los pacientes.</t>
        </r>
      </text>
    </comment>
    <comment ref="V26" authorId="0" shapeId="0">
      <text>
        <r>
          <rPr>
            <sz val="9"/>
            <color indexed="81"/>
            <rFont val="Tahoma"/>
            <family val="2"/>
          </rPr>
          <t>Al realizar la puesta en servicio del TAC se omite realizar todas las pruebas necesarias para garantizar la correspondencia de la escala de geometría de las imágenes respecto a la realidad. Esto implica un error en la geometría de las imágenes que afectaría al tratamiento de todos los pacientes.</t>
        </r>
      </text>
    </comment>
    <comment ref="V27" authorId="0" shapeId="0">
      <text>
        <r>
          <rPr>
            <sz val="9"/>
            <color indexed="81"/>
            <rFont val="Tahoma"/>
            <family val="2"/>
          </rPr>
          <t>Fallo en la integración del sistema de planificación (TPS) y la red o el PC de tratamiento. Por ejemplo, por falta de coherencia en las normas que definen los diferentes parámetros de los planes de tratamiento que son transferidos (ángulos, unidades monitor y sistemas de coordenadas). Esto impide la correcta transferencia electrónica de los datos y afectaría al tratamiento de todos los pacientes.</t>
        </r>
      </text>
    </comment>
    <comment ref="V28" authorId="0" shapeId="0">
      <text>
        <r>
          <rPr>
            <sz val="9"/>
            <color indexed="81"/>
            <rFont val="Tahoma"/>
            <family val="2"/>
          </rPr>
          <t>Fallo en la integración del TAC y el sistema de planificación (TPS) o la red en la que está contenido el TPS lo que implica errores en la constancia geométrica, escalas, números Hounsfield o datos demográficos. Esto impide la correcta transferencia electrónica de los datos y afectaría al tratamiento de todos los pacientes.</t>
        </r>
      </text>
    </comment>
    <comment ref="V29" authorId="0" shapeId="0">
      <text>
        <r>
          <rPr>
            <sz val="9"/>
            <color indexed="81"/>
            <rFont val="Tahoma"/>
            <family val="2"/>
          </rPr>
          <t>Durante la reparación de averías o los mantenimientos programados del equipo de tratamiento se varía algunos parámetros de la máquina que afectan el tratamiento y no se comunica al radiofísico. Esto implica un error que afectaría al tratamiento de todos los pacientes.</t>
        </r>
      </text>
    </comment>
    <comment ref="V30" authorId="0" shapeId="0">
      <text>
        <r>
          <rPr>
            <sz val="9"/>
            <color indexed="81"/>
            <rFont val="Tahoma"/>
            <family val="2"/>
          </rPr>
          <t>Durante la reparación de averías o los mantenimientos programados del equipo de tratamiento se varía algunos parámetros de la máquina que afectan el tratamiento y no se registran las modficicacones. Esto implica un error que afectarían al tratamiento de todos los pacientes.</t>
        </r>
      </text>
    </comment>
    <comment ref="V31" authorId="0" shapeId="0">
      <text>
        <r>
          <rPr>
            <sz val="9"/>
            <color indexed="81"/>
            <rFont val="Tahoma"/>
            <family val="2"/>
          </rPr>
          <t>Al completar la hoja de tratamiento resultante de la prescripción clínica, o al seleccionar una plantilla de prescripción en la red de radioterapia, se omiten o se indican incorrectamente todos o algunos de los órganos de riesgo considerados en la intención médica. Este error afectaría al plan de tratamiento del paciente.</t>
        </r>
      </text>
    </comment>
    <comment ref="V32" authorId="0" shapeId="0">
      <text>
        <r>
          <rPr>
            <sz val="9"/>
            <color indexed="81"/>
            <rFont val="Tahoma"/>
            <family val="2"/>
          </rPr>
          <t>Al completar la hoja de tratamiento resultante de la prescripción clínica, o al seleccionar una plantilla de prescripción en la red de radioterapia,se indica un valor de la dosis total de tratamiento diferente al considerado en la intención médica. Este error afectaría al plan de tratamiento del paciente.</t>
        </r>
      </text>
    </comment>
    <comment ref="V33" authorId="0" shapeId="0">
      <text>
        <r>
          <rPr>
            <sz val="9"/>
            <color indexed="81"/>
            <rFont val="Tahoma"/>
            <family val="2"/>
          </rPr>
          <t>Al completar la hoja de tratamiento resultante de la prescripción clínica, o al seleccionar una plantilla de prescripción en la red de radioterapia, se indica un valor de la dosis diaria de tratamiento diferente al contemplado en la intención médica. Este error afectaría al plan de tratamiento del paciente.</t>
        </r>
      </text>
    </comment>
    <comment ref="V34" authorId="0" shapeId="0">
      <text>
        <r>
          <rPr>
            <sz val="9"/>
            <color indexed="81"/>
            <rFont val="Tahoma"/>
            <family val="2"/>
          </rPr>
          <t>Al completar la hoja de tratamiento resultante de la prescripción clínica, o al seleccionar una plantilla de prescripción en la red de radioterapia, se indica un valor de número de sesiones por semana diferente al considerado en la intención médica. Esto implica que aunque la dosis total es correcta, el fraccionamiento de dosis es incorrecto. Este error afectaría al plan de tratamiento del paciente.</t>
        </r>
      </text>
    </comment>
    <comment ref="V35" authorId="0" shapeId="0">
      <text>
        <r>
          <rPr>
            <sz val="9"/>
            <color indexed="81"/>
            <rFont val="Tahoma"/>
            <family val="2"/>
          </rPr>
          <t>Al completar la hoja de tratamiento resultante de la prescripción clínica, o al seleccionar una plantilla de prescripción en la red de radioterapia, se comete un error u omisión del valor de la dosis permitida a los órganos de riesgo, superior al contemplado en la intención médica. Este error afectaría al plan de tratamiento del paciente.</t>
        </r>
      </text>
    </comment>
    <comment ref="V36" authorId="0" shapeId="0">
      <text>
        <r>
          <rPr>
            <sz val="9"/>
            <color indexed="81"/>
            <rFont val="Tahoma"/>
            <family val="2"/>
          </rPr>
          <t>Al completar la hoja de tratamiento resultante de la prescripción clínica, o al seleccionar una plantilla de prescripción en la red de radioterapia, se omite información sobre los volúmenes secundarios de tratamiento considerados durante la prescripción clínica del paciente. Se considera además que se omite esa información en la hoja de realización de la TAC. Este error afectaría al plan de tratamiento del paciente.</t>
        </r>
      </text>
    </comment>
    <comment ref="V37" authorId="0" shapeId="0">
      <text>
        <r>
          <rPr>
            <sz val="9"/>
            <color indexed="81"/>
            <rFont val="Tahoma"/>
            <family val="2"/>
          </rPr>
          <t>Al completar la hoja de tratamiento, o al rellenar la plantilla de prescripción en la red de radioterapia, se realiza la prescripción clínica del tratamiento a un paciente erróneo. Por ejemplo, se prescribe a un paciente la dosis de otro con la misma localización del tratamiento pero distinta dosis o fraccionamiento. Este error afectaría al plan de tratamiento del paciente.</t>
        </r>
      </text>
    </comment>
    <comment ref="V38" authorId="0" shapeId="0">
      <text>
        <r>
          <rPr>
            <sz val="9"/>
            <color indexed="81"/>
            <rFont val="Tahoma"/>
            <family val="2"/>
          </rPr>
          <t>Al completar la hoja de tratamiento, o al rellenar la plantilla de prescripción en la red de radioterapia, se realiza la prescripción clínica del tratamiento a un volumen o a un órgano erróneo (error de lateralidad o distinto volumen). Este error afectaría al plan de tratamiento del paciente.</t>
        </r>
      </text>
    </comment>
    <comment ref="V39" authorId="0" shapeId="0">
      <text>
        <r>
          <rPr>
            <sz val="9"/>
            <color indexed="81"/>
            <rFont val="Tahoma"/>
            <family val="2"/>
          </rPr>
          <t>En el TAC de simulación se llama a otro paciente que no es el que corresponde. Este error afectaría al plan de tratamiento del paciente.</t>
        </r>
      </text>
    </comment>
    <comment ref="V40" authorId="0" shapeId="0">
      <text>
        <r>
          <rPr>
            <sz val="9"/>
            <color indexed="81"/>
            <rFont val="Tahoma"/>
            <family val="2"/>
          </rPr>
          <t>Durante la colocación del paciente en el TAC de simulación se omiten o identifican erróneamente los dispositivos de posicionamiento y/o colocación elaborados previamente (no utilizar inmovilizador, utilizar un inmovilizador que no es el adecuado, etiquetarlo mal, colocarlo mal o en una posición forzada del paciente, etc.). Como consecuencia de este error, no se puede asegurar la reproducibilidad del tratamiento del paciente.</t>
        </r>
      </text>
    </comment>
    <comment ref="V41" authorId="0" shapeId="0">
      <text>
        <r>
          <rPr>
            <sz val="9"/>
            <color indexed="81"/>
            <rFont val="Tahoma"/>
            <family val="2"/>
          </rPr>
          <t>Se define erróneamente la referencia del origen del TAC, el cero-TAC, (porque se omite la colocación de los perdigones o se colocan en un punto inadecuado), o se omite o colocan erróneamente otras referencias (cicatrices, etc.). Este error afectaría al plan de tratamiento del paciente.</t>
        </r>
      </text>
    </comment>
    <comment ref="V42" authorId="0" shapeId="0">
      <text>
        <r>
          <rPr>
            <sz val="9"/>
            <color indexed="81"/>
            <rFont val="Tahoma"/>
            <family val="2"/>
          </rPr>
          <t>Se realiza el TAC de simulación del paciente con parámetros geométricos erróneos, ya sea por introducción de datos incorrectos en la consola del TAC (extensión, field of view, espesor de corte y número de cortes), o por utilizar un TAC no dedicado sin el protocolo adecuado de simulación (dadas las diferencias del TAC de simulación con respecto a la mesa de tratamiento como tablero no plano o inclinado). Este error afectaría al plan de tratamiento del paciente.</t>
        </r>
      </text>
    </comment>
    <comment ref="V43" authorId="0" shapeId="0">
      <text>
        <r>
          <rPr>
            <sz val="9"/>
            <color indexed="81"/>
            <rFont val="Tahoma"/>
            <family val="2"/>
          </rPr>
          <t>Se omite tatuar en la piel del paciente las marcas de referencia del TAC de simulación o no se tatúan correctamente. Como consecuencia de este error, no se puede asegurar la reproducibilidad del tratamiento del paciente.</t>
        </r>
      </text>
    </comment>
    <comment ref="V44" authorId="0" shapeId="0">
      <text>
        <r>
          <rPr>
            <sz val="9"/>
            <color indexed="81"/>
            <rFont val="Tahoma"/>
            <family val="2"/>
          </rPr>
          <t>Durante el proceso de inmovilización y confección de los aditamentos de posicionamiento en la mesa de realización del TAC de simulación se omiten particularidades del posicionamiento o se posiciona erróneamente al paciente generando imágenes del TAC y dispositivos de posicionamiento erróneos. Este error afectaría al plan de tratamiento del paciente.</t>
        </r>
      </text>
    </comment>
    <comment ref="V45" authorId="0" shapeId="0">
      <text>
        <r>
          <rPr>
            <sz val="9"/>
            <color indexed="81"/>
            <rFont val="Tahoma"/>
            <family val="2"/>
          </rPr>
          <t>Durante la edición del TAC previa a su transferencia al sistema de planificación (TPS) o la red en la que está contenido el TPS, se introduce información errónea, por ejemplo sobre la posición del paciente (prono/supino o cabeza primero/pies primero). Este error afectaría al plan de tratamiento del paciente.</t>
        </r>
      </text>
    </comment>
    <comment ref="V46" authorId="0" shapeId="0">
      <text>
        <r>
          <rPr>
            <sz val="9"/>
            <color indexed="81"/>
            <rFont val="Tahoma"/>
            <family val="2"/>
          </rPr>
          <t>Se comete un error u omisión al registrar datos en la hoja de tratamiento sobre la posición del paciente, los dispositivos de colocación o inmovilización utilizados y otras particularidades consideradas durante la realización del TAC de simulación. Este error afectaría a la reproducibilidad de la posición del paciente durante la administración del tratamiento.</t>
        </r>
      </text>
    </comment>
    <comment ref="V47" authorId="0" shapeId="0">
      <text>
        <r>
          <rPr>
            <sz val="9"/>
            <color indexed="81"/>
            <rFont val="Tahoma"/>
            <family val="2"/>
          </rPr>
          <t>Fallo espurio del TAC o del software del TAC que produciría una imagen errónea que afectaría al plan de tratamiento del paciente.</t>
        </r>
      </text>
    </comment>
    <comment ref="V48" authorId="0" shapeId="0">
      <text>
        <r>
          <rPr>
            <sz val="9"/>
            <color indexed="81"/>
            <rFont val="Tahoma"/>
            <family val="2"/>
          </rPr>
          <t>Fallo en la transferencia e importación de datos del TAC al sistema de planificación (TPS) o la red en la que está contenido el TPS que ocasiona que las imágenes transferidas no sean correctas. Por ejemplo, se transfiere un número de cortes erróneo o se introduce un cambio en las densidades o las coordenadas. Este error afectaría al plan de tratamiento del paciente.</t>
        </r>
      </text>
    </comment>
    <comment ref="V49" authorId="0" shapeId="0">
      <text>
        <r>
          <rPr>
            <sz val="9"/>
            <color indexed="81"/>
            <rFont val="Tahoma"/>
            <family val="2"/>
          </rPr>
          <t>Durante la delineación de volúmenes se comete un error en la identificación del paciente. Esto implica la delimitación de volúmenes teniendo en cuenta la información clínica de un paciente equivocado. Este error afectaría al plan de tratamiento del paciente.</t>
        </r>
      </text>
    </comment>
    <comment ref="V50" authorId="0" shapeId="0">
      <text>
        <r>
          <rPr>
            <sz val="9"/>
            <color indexed="81"/>
            <rFont val="Tahoma"/>
            <family val="2"/>
          </rPr>
          <t>Después de la delineación correcta de los volúmenes de tratamiento se utiliza una nomenclatura no convenida o se comete un error al denominar los volúmenes en el sistema de planificación (TPS) que puede interpretarse de forma errónea. Este error afectaría al plan de tratamiento del paciente.</t>
        </r>
      </text>
    </comment>
    <comment ref="V51" authorId="0" shapeId="0">
      <text>
        <r>
          <rPr>
            <sz val="9"/>
            <color indexed="81"/>
            <rFont val="Tahoma"/>
            <family val="2"/>
          </rPr>
          <t>Al delinear los volúmenes en el sistema de planificación (TPS), se omite la delineación de uno o varios CTVs secundarios del paciente o realiza una delineación incompleta. Este error afectaría al plan de tratamiento del paciente.</t>
        </r>
      </text>
    </comment>
    <comment ref="V52" authorId="0" shapeId="0">
      <text>
        <r>
          <rPr>
            <sz val="9"/>
            <color indexed="81"/>
            <rFont val="Tahoma"/>
            <family val="2"/>
          </rPr>
          <t>Al delinear los volúmenes en el sistema de planificación (TPS), se omite delinear uno, varios o todos los órganos de riesgo de un paciente o realiza una delineación incompleta. Este error afectaría al plan de tratamiento del paciente.</t>
        </r>
      </text>
    </comment>
    <comment ref="V53" authorId="0" shapeId="0">
      <text>
        <r>
          <rPr>
            <sz val="9"/>
            <color indexed="81"/>
            <rFont val="Tahoma"/>
            <family val="2"/>
          </rPr>
          <t>Al delinear los volúmenes en el sistema de planificación (TPS) se comete un error en la identificación de la lateralidad del tumor y se delinea en el lado contrario. Por ejemplo, delinear el PTV en la mama izquierda cuando el tumor es de mama derecha. Este error afectaría al plan de tratamiento del paciente.</t>
        </r>
      </text>
    </comment>
    <comment ref="V54" authorId="0" shapeId="0">
      <text>
        <r>
          <rPr>
            <sz val="9"/>
            <color indexed="81"/>
            <rFont val="Tahoma"/>
            <family val="2"/>
          </rPr>
          <t>Al planificar el tratamiento de un paciente no se siguen los procedimientos de uso recomendados por el proveedor del sistema de planificación (TPS). Este error afectaría al plan de tratamiento del paciente.</t>
        </r>
      </text>
    </comment>
    <comment ref="V55" authorId="0" shapeId="0">
      <text>
        <r>
          <rPr>
            <sz val="9"/>
            <color indexed="81"/>
            <rFont val="Tahoma"/>
            <family val="2"/>
          </rPr>
          <t>Se utiliza un sistema de planificación (TPS) con modificaciones de los procedimientos de su uso y/o modelado que no han sido validados y autorizados en el servicio. Este error afectaría al tratamiento de todos los pacientes.</t>
        </r>
      </text>
    </comment>
    <comment ref="V56" authorId="0" shapeId="0">
      <text>
        <r>
          <rPr>
            <sz val="9"/>
            <color indexed="81"/>
            <rFont val="Tahoma"/>
            <family val="2"/>
          </rPr>
          <t>Al planificar el tratamiento de un paciente se comete un error al seleccionar en el sistema de planificación (TPS) la unidad de tratamiento, de forma que se emplean datos que no se corresponden con la unidad donde será tratado. Por ejemplo, se usan datos de un acelerador de otro servicio o de un acelerador diferente del mismo servicio (modelos diferentes, marcas diferentes, etc.). Este error afectaría al plan de tratamiento del paciente.</t>
        </r>
      </text>
    </comment>
    <comment ref="V57" authorId="0" shapeId="0">
      <text>
        <r>
          <rPr>
            <sz val="9"/>
            <color indexed="81"/>
            <rFont val="Tahoma"/>
            <family val="2"/>
          </rPr>
          <t>Al realizar una planificación en situaciones o técnicas especiales (planificación manual para una única irradiación urgente), se comete un error debido a que no se siguen los procedimientos habituales. Este error afectaría al tratamiento del paciente.</t>
        </r>
      </text>
    </comment>
    <comment ref="V58" authorId="0" shapeId="0">
      <text>
        <r>
          <rPr>
            <sz val="9"/>
            <color indexed="81"/>
            <rFont val="Tahoma"/>
            <family val="2"/>
          </rPr>
          <t>Al planificar el tratamiento de un paciente, se comete un error en la elaboración dosimétrica y geométrica o en la protección de órganos críticos y tejido normal. Este error afectaría al plan de tratamiento del paciente.</t>
        </r>
      </text>
    </comment>
    <comment ref="V59" authorId="0" shapeId="0">
      <text>
        <r>
          <rPr>
            <sz val="9"/>
            <color indexed="81"/>
            <rFont val="Tahoma"/>
            <family val="2"/>
          </rPr>
          <t>Al planificar el tratamiento de un paciente se comete un error al introducir los datos de la dosis total, dosis por fracción y número de sesiones en el sistema de planificación (TPS) para el cálculo de las Unidades Monitor. Este error afectaría al plan de tratamiento del paciente.</t>
        </r>
      </text>
    </comment>
    <comment ref="V60" authorId="0" shapeId="0">
      <text>
        <r>
          <rPr>
            <sz val="9"/>
            <color indexed="81"/>
            <rFont val="Tahoma"/>
            <family val="2"/>
          </rPr>
          <t>Al planificar el tratamiento de un paciente se comete un error al calcular el número de fracciones a partir de la dosis total y la dosis por fracción (o al calcular la dosis por fracción a partir de la dosis total y el número de fracciones). Este error afectaría al plan de tratamiento del paciente.</t>
        </r>
      </text>
    </comment>
    <comment ref="V61" authorId="0" shapeId="0">
      <text>
        <r>
          <rPr>
            <sz val="9"/>
            <color indexed="81"/>
            <rFont val="Tahoma"/>
            <family val="2"/>
          </rPr>
          <t>Fallo en la transmisión electrónica de la información del plan de tratamiento deesde el sistema de planificación (TPS) a la red o al PC de tratamiento (incluye la posición del colimador multiláminas, MLC). Por ejemplo, se transfiere incorrectamente la posición del colimador multiláminas. Este error afectaría al plan de tratamiento del paciente.</t>
        </r>
      </text>
    </comment>
    <comment ref="V62" authorId="0" shapeId="0">
      <text>
        <r>
          <rPr>
            <sz val="9"/>
            <color indexed="81"/>
            <rFont val="Tahoma"/>
            <family val="2"/>
          </rPr>
          <t>Se comete un error al introducir manualmente los datos de la planificación del tratamiento de un paciente en la red o en el PC de tratamiento (Unidades Monitor, DFS, tamaño de campo, ángulo del gantry, ángulo del colimador, conformación de campo, cuñas, posición de camilla). Este error afectaría a todo el tratamiento de un paciente.</t>
        </r>
      </text>
    </comment>
    <comment ref="V63" authorId="0" shapeId="0">
      <text>
        <r>
          <rPr>
            <sz val="9"/>
            <color indexed="81"/>
            <rFont val="Tahoma"/>
            <family val="2"/>
          </rPr>
          <t>Fallo espurio del software del sistema de planificación (TPS). Este fallo implica un plan de tratamiento incorrecto que afectaría a todo el tratamiento de un paciente.</t>
        </r>
      </text>
    </comment>
    <comment ref="V64" authorId="0" shapeId="0">
      <text>
        <r>
          <rPr>
            <sz val="9"/>
            <color indexed="81"/>
            <rFont val="Tahoma"/>
            <family val="2"/>
          </rPr>
          <t>Al planificar el tratamiento de un paciente se omite la planificación de localizaciones secundarias. Este error afectaría al plan de tratamiento del paciente.</t>
        </r>
      </text>
    </comment>
    <comment ref="V65" authorId="0" shapeId="0">
      <text>
        <r>
          <rPr>
            <sz val="9"/>
            <color indexed="81"/>
            <rFont val="Tahoma"/>
            <family val="2"/>
          </rPr>
          <t>Durante la planificación del tratamiento se comete un error en la identificación del paciente. Esto implica el uso de información de un paciente equivocado para la planificación. Este error afectaría al plan de tratamiento del paciente.</t>
        </r>
      </text>
    </comment>
    <comment ref="V66" authorId="0" shapeId="0">
      <text>
        <r>
          <rPr>
            <sz val="9"/>
            <color indexed="81"/>
            <rFont val="Tahoma"/>
            <family val="2"/>
          </rPr>
          <t>Se omite la elaboración de los bloques de conformación, por error o por ausencia de la solicitud de elaboración de los moldes requeridos para el tratamiento del paciente. Este error afectaría a todo el tratamiento del paciente.</t>
        </r>
      </text>
    </comment>
    <comment ref="V67" authorId="0" shapeId="0">
      <text>
        <r>
          <rPr>
            <sz val="9"/>
            <color indexed="81"/>
            <rFont val="Tahoma"/>
            <family val="2"/>
          </rPr>
          <t>Se comete un error en la elaboración de los bloques de electrones. Por ejemplo, fabricarlos con características diferentes a las prescritas (tamaño diferente, forma del bloque incorrecta). Este error afectaría a todo el tratamiento de un paciente.</t>
        </r>
      </text>
    </comment>
    <comment ref="V68" authorId="0" shapeId="0">
      <text>
        <r>
          <rPr>
            <sz val="9"/>
            <color indexed="81"/>
            <rFont val="Tahoma"/>
            <family val="2"/>
          </rPr>
          <t>Se comete un error en la elaboración del bolus. Por ejemplo, fabricarlo con características diferentes a las prescritas (tamaño o espesor incorrecto). Este error afectaría a todo el tratamiento de un paciente.</t>
        </r>
      </text>
    </comment>
    <comment ref="V69" authorId="0" shapeId="0">
      <text>
        <r>
          <rPr>
            <sz val="9"/>
            <color indexed="81"/>
            <rFont val="Tahoma"/>
            <family val="2"/>
          </rPr>
          <t>Al realizar el inicio del tratamiento se comete un error en la introducción de los parámetros en el acelerador. Aplica sólo al caso de que se introduzcan manualmente. Se asume que este error afectaría a todo el tratamiento de un paciente.</t>
        </r>
      </text>
    </comment>
    <comment ref="V70" authorId="0" shapeId="0">
      <text>
        <r>
          <rPr>
            <sz val="9"/>
            <color indexed="81"/>
            <rFont val="Tahoma"/>
            <family val="2"/>
          </rPr>
          <t>Al editar la hoja de tratamiento electrónica, se comete un error al renombrar (para facilitar su reconocimiento durante el tratamiento diario) los volúmenes, fases, fracciones y campos que se recibieron del sistema de planificación (TPS). Esto puede ocurrir cuando el TPS y el software PC de tratamiento o la red son de fabricantes diferentes. Aplica sólo al caso de que se introduzcan manualmente. Se asume que este error afectaría a todo el tratamiento de un paciente.</t>
        </r>
      </text>
    </comment>
    <comment ref="V71" authorId="0" shapeId="0">
      <text>
        <r>
          <rPr>
            <sz val="9"/>
            <color indexed="81"/>
            <rFont val="Tahoma"/>
            <family val="2"/>
          </rPr>
          <t>Al editar la hoja de tratamiento electrónica, se comete un error en la introducción u omisión de información sobre la cuña (ángulo de la misma o segmento al que corresponde). Se asume que afecta todo el tratamiento. Aplica sólo al caso de que se introduzcan manualmente. Se asume que este error afectaría todo el tratamiento de un paciente.</t>
        </r>
      </text>
    </comment>
    <comment ref="V72" authorId="0" shapeId="0">
      <text>
        <r>
          <rPr>
            <sz val="9"/>
            <color indexed="81"/>
            <rFont val="Tahoma"/>
            <family val="2"/>
          </rPr>
          <t>Al comenzar el inicio del tratamiento, se llama a otro paciente que no es el que corresponde. Este error afectaría al plan de tratamiento del paciente.</t>
        </r>
      </text>
    </comment>
    <comment ref="V73" authorId="0" shapeId="0">
      <text>
        <r>
          <rPr>
            <sz val="9"/>
            <color indexed="81"/>
            <rFont val="Tahoma"/>
            <family val="2"/>
          </rPr>
          <t>Al realizar el posicionamiento en el inicio del tratamiento se comete un error en la colocación del paciente en la mesa de tratamiento. Por ejemplo sobre la orientación del paciente (prono/supino o cabeza primero/pies primero). Se asume que este error afectaría todo el tratamiento de un paciente.</t>
        </r>
      </text>
    </comment>
    <comment ref="V74" authorId="0" shapeId="0">
      <text>
        <r>
          <rPr>
            <sz val="9"/>
            <color indexed="81"/>
            <rFont val="Tahoma"/>
            <family val="2"/>
          </rPr>
          <t>Durante el inicio del tratamiento, después de colocar e inmovilizar al paciente, se comete un error en la ubicación del isocentro (para tratamientos isocéntricos con el gantry a 0 grados) que se realiza con ayuda de los láseres, los movimientos de la mesa de tratamiento y las marcas de referencia de la TAC de simulación en la piel del paciente. Se asume que este error afectaría todo el tratamiento de un paciente.</t>
        </r>
      </text>
    </comment>
    <comment ref="V75" authorId="0" shapeId="0">
      <text>
        <r>
          <rPr>
            <sz val="9"/>
            <color indexed="81"/>
            <rFont val="Tahoma"/>
            <family val="2"/>
          </rPr>
          <t>Durante el inicio de un tratamiento con electrones, después de colocar e inmovilizar al paciente, se comete un error en la ubicación del campo de tratamiento (para tratamientos no-isocéntricos (DFS constante) con el gantry a 0 grados) que se realiza con ayuda de los láseres, los movimientos de la mesa de tratamiento y las marcas de referencia de la TAC de simulación en la piel del paciente. Se asume que este error afectaría a todo el tratamiento de un paciente.</t>
        </r>
      </text>
    </comment>
    <comment ref="V76" authorId="0" shapeId="0">
      <text>
        <r>
          <rPr>
            <sz val="9"/>
            <color indexed="81"/>
            <rFont val="Tahoma"/>
            <family val="2"/>
          </rPr>
          <t>Durante el inicio del tratamiento, y una vez ubicado el isocentro, se comete un error al posicionar la mesa de tratamiento.Se asume que este error afectaría a todo el tratamiento de un paciente.</t>
        </r>
      </text>
    </comment>
    <comment ref="V77" authorId="0" shapeId="0">
      <text>
        <r>
          <rPr>
            <sz val="9"/>
            <color indexed="81"/>
            <rFont val="Tahoma"/>
            <family val="2"/>
          </rPr>
          <t>Durante el inicio de un tratamiento con electrones se omite la colocación de los bloques de conformación, se coloca la bandeja con un bloque erróneo o se coloca mal (eg. girada). Se asume que este error afectaría a todo el tratamiento de un paciente.</t>
        </r>
      </text>
    </comment>
    <comment ref="V78" authorId="0" shapeId="0">
      <text>
        <r>
          <rPr>
            <sz val="9"/>
            <color indexed="81"/>
            <rFont val="Tahoma"/>
            <family val="2"/>
          </rPr>
          <t>Durante inicio del tratamiento se omite la colocación de bolus indicado en el tratamiento del paciente o se coloca uno erróneo. Se asume que este error afectaría a todo el tratamiento de un paciente.</t>
        </r>
      </text>
    </comment>
    <comment ref="V79" authorId="0" shapeId="0">
      <text>
        <r>
          <rPr>
            <sz val="9"/>
            <color indexed="81"/>
            <rFont val="Tahoma"/>
            <family val="2"/>
          </rPr>
          <t>Durante el inicio del tratamiento con electrones se omite la colocación del aplicador de electrones, se coloca mal o se coloca un aplicador que no se corresponde con la energía del haz de tratamiento planificado. Se asume que este error afectaría a todo el tratamiento de un paciente.</t>
        </r>
      </text>
    </comment>
    <comment ref="V80" authorId="0" shapeId="0">
      <text>
        <r>
          <rPr>
            <sz val="9"/>
            <color indexed="81"/>
            <rFont val="Tahoma"/>
            <family val="2"/>
          </rPr>
          <t xml:space="preserve">Al realizar el proceso de revelado y análisis de la imagen portal en el inicio de tratamiento, durante el cual el paciente permanece posicionado en espera, se produce un movimiento voluntario o involuntario del propio paciente. Esto daría lugar a un error en la posición del paciente que afectaría solo a una sesión. </t>
        </r>
      </text>
    </comment>
    <comment ref="V81" authorId="0" shapeId="0">
      <text>
        <r>
          <rPr>
            <sz val="9"/>
            <color indexed="81"/>
            <rFont val="Tahoma"/>
            <family val="2"/>
          </rPr>
          <t>Después de aprobado un cambio del plan de tratamiento (ya sea antes de la primera sesión o cuando el paciente lleva varias sesiones) se omite incorporar al plan las modificaciones requeridas. Las causas del cambio podrían ser, por ejemplo: nuevos hallazgos (que pueden hacer cambiar el PTV, la dosis o el fraccionamiento), corrección de errores previos en la prescripción, falta de disponibilidad del equipo de tratamiento o de la técnica inicialmente planificada, cambios realizados durante la sesión de inicio del tratamiento (pequeños cambios en parámetros técnicos como desplazamientos, pequeñas variaciones por posibilidad de colisión, etc.), reajustes radiobiológicos para compensar paradas en el tratamiento, etc. Se asume que este error afectaría a todo el tratamiento de un paciente.</t>
        </r>
      </text>
    </comment>
    <comment ref="V82" authorId="0" shapeId="0">
      <text>
        <r>
          <rPr>
            <sz val="9"/>
            <color indexed="81"/>
            <rFont val="Tahoma"/>
            <family val="2"/>
          </rPr>
          <t>Después de aprobado un cambio del plan de tratamiento (ya sea antes de la primera sesión o cuando el paciente lleva varias sesiones) se comete un error al incorporar al plan las modificaciones requeridas. Las causas del cambio podrían ser, por ejemplo: nuevos hallazgos (que pueden hacer cambiar el PTV, la dosis o el fraccionamiento), corrección de errores previos en la prescripción, falta de disponibilidad del equipo de tratamiento o de la técnica inicialmente planificada, cambios realizados durante la sesión de inicio del tratamiento (pequeños cambios en parámetros técnicos como desplazamientos, pequeñas variaciones por posibilidad de colisión, etc.), reajustes radiobiológicos para compensar paradas en el tratamiento, etc. Se asume que este error afectaría a todo el tratamiento de un paciente.</t>
        </r>
      </text>
    </comment>
    <comment ref="V83" authorId="0" shapeId="0">
      <text>
        <r>
          <rPr>
            <sz val="9"/>
            <color indexed="81"/>
            <rFont val="Tahoma"/>
            <family val="2"/>
          </rPr>
          <t>Al realizar el inicio del tratamiento se comete un error al introducir el marcado definitivo del paciente. Se asume que este error afectaría a todo el tratamiento de un paciente.</t>
        </r>
      </text>
    </comment>
    <comment ref="V84" authorId="0" shapeId="0">
      <text>
        <r>
          <rPr>
            <sz val="9"/>
            <color indexed="81"/>
            <rFont val="Tahoma"/>
            <family val="2"/>
          </rPr>
          <t>Al realizar el posicionamiento para el tratamiento diario, se comete un error en la identificación del paciente, ya sea porque se llama a otro paciente o porque se selecciona en el PC de tratamiento los datos de un paciente diferente al que ha sido llamado. Se asume que este error afectaría solamente a una sesión de tratamiento.</t>
        </r>
      </text>
    </comment>
    <comment ref="V85" authorId="0" shapeId="0">
      <text>
        <r>
          <rPr>
            <sz val="9"/>
            <color indexed="81"/>
            <rFont val="Tahoma"/>
            <family val="2"/>
          </rPr>
          <t>Se selecciona de forma errónea una fase del tratamiento. Únicamente ocurre cuando el tratamiento incluye varias fases dentro de una localización. Se asume que este error afectaría solamente a una sesión de tratamiento.</t>
        </r>
      </text>
    </comment>
    <comment ref="V86" authorId="0" shapeId="0">
      <text>
        <r>
          <rPr>
            <sz val="9"/>
            <color indexed="81"/>
            <rFont val="Tahoma"/>
            <family val="2"/>
          </rPr>
          <t>Al realizar la ejecución del tratamiento, se selecciona erróneamente una localización de tratamiento. Únicamente ocurre cuando el tratamiento de un paciente incluye varias localizaciones. Se asume que este error afectaría solamente a una sesión de tratamiento.</t>
        </r>
      </text>
    </comment>
    <comment ref="V87" authorId="0" shapeId="0">
      <text>
        <r>
          <rPr>
            <sz val="9"/>
            <color indexed="81"/>
            <rFont val="Tahoma"/>
            <family val="2"/>
          </rPr>
          <t>Al realizar el posicionamiento para el tratamiento diario se comete un error en la inmovilización del paciente. Se asume que este error afectaría solamente a una sesión de tratamiento.</t>
        </r>
      </text>
    </comment>
    <comment ref="V88" authorId="0" shapeId="0">
      <text>
        <r>
          <rPr>
            <sz val="9"/>
            <color indexed="81"/>
            <rFont val="Tahoma"/>
            <family val="2"/>
          </rPr>
          <t>Al realizar el posicionamiento para el tratamiento diario, se verifica erróneamente o se omite la verificación de la eficacia de los dispositivos de inmovilización (holguras, fijación deficiente). Esto implica que el uso de estos dispositivos no garantiza la inmovilización del paciente. Se asume que este error afectaría solamente a una sesión de tratamiento.</t>
        </r>
      </text>
    </comment>
    <comment ref="V89" authorId="0" shapeId="0">
      <text>
        <r>
          <rPr>
            <sz val="9"/>
            <color indexed="81"/>
            <rFont val="Tahoma"/>
            <family val="2"/>
          </rPr>
          <t>Al realizar el posicionamiento para el tratamiento diario se omite la fijación manual de la mesa de tratamiento. Se asume que este error afectaría solamente a una sesión de tratamiento.</t>
        </r>
      </text>
    </comment>
    <comment ref="V90" authorId="0" shapeId="0">
      <text>
        <r>
          <rPr>
            <sz val="9"/>
            <color indexed="81"/>
            <rFont val="Tahoma"/>
            <family val="2"/>
          </rPr>
          <t>Después de colocar e inmovilizar al paciente para el tratamiento diario, se comete un error en la ubicación del isocentro (para tratamientos isocéntricos con el gantry a 0 grados) que se realiza con ayuda de los láseres, los movimientos de la mesa de tratamiento y las marcas de referencia del TAC de simulación en la piel del paciente. Se asume que este error afectaría solamente a una sesión de tratamiento.</t>
        </r>
      </text>
    </comment>
    <comment ref="V91" authorId="0" shapeId="0">
      <text>
        <r>
          <rPr>
            <sz val="9"/>
            <color indexed="81"/>
            <rFont val="Tahoma"/>
            <family val="2"/>
          </rPr>
          <t>Durante el tratamiento diario con electrones, después de colocar e inmovilizar al paciente se comete un error en la ubicación del centro de campo (para tratamientos no isocéntricos con el gantry a 0 grados) que se realiza con ayuda de la luz de campo y la marca del campo de tratamiento en la piel del paciente. Se asume que este error afectaría solamente a una sesión de tratamiento.</t>
        </r>
      </text>
    </comment>
    <comment ref="V92" authorId="0" shapeId="0">
      <text>
        <r>
          <rPr>
            <sz val="9"/>
            <color indexed="81"/>
            <rFont val="Tahoma"/>
            <family val="2"/>
          </rPr>
          <t>Al realizar el posicionamiento durante el tratamiento diario, después de ubicar el isocentro, se seleccionan erróneamente los ángulos de la mesa. Se asume que este error afectaría solamente a una sesión de tratamiento.</t>
        </r>
      </text>
    </comment>
    <comment ref="V93" authorId="0" shapeId="0">
      <text>
        <r>
          <rPr>
            <sz val="9"/>
            <color indexed="81"/>
            <rFont val="Tahoma"/>
            <family val="2"/>
          </rPr>
          <t>Al realizar el posicionamiento para el tratamiento diario con electrones se omite la colocación de los bloques de conformación, se coloca la bandeja con un bloque erróneo o se coloca mal (eg. girada). Se asume que este error afectaría solamente a una sesión de tratamiento.</t>
        </r>
      </text>
    </comment>
    <comment ref="V94" authorId="0" shapeId="0">
      <text>
        <r>
          <rPr>
            <sz val="9"/>
            <color indexed="81"/>
            <rFont val="Tahoma"/>
            <family val="2"/>
          </rPr>
          <t>Al realizar el posicionamiento para el tratamiento diario se omite la colocación de bolus indicado en el tratamiento del paciente o se coloca uno erróneo. Se asume que este error afectaría solamente a una sesión de tratamiento.</t>
        </r>
      </text>
    </comment>
    <comment ref="V95" authorId="0" shapeId="0">
      <text>
        <r>
          <rPr>
            <sz val="9"/>
            <color indexed="81"/>
            <rFont val="Tahoma"/>
            <family val="2"/>
          </rPr>
          <t>Al realizar el posicionamiento para el tratamiento diario se omite la colocación del aplicador de electrones o se coloca un aplicador que no se corresponde con la energía del haz de tratamiento planificado. Se asume que este error afectaría solamente a una sesión de tratamiento.</t>
        </r>
      </text>
    </comment>
    <comment ref="V96" authorId="0" shapeId="0">
      <text>
        <r>
          <rPr>
            <sz val="9"/>
            <color indexed="81"/>
            <rFont val="Tahoma"/>
            <family val="2"/>
          </rPr>
          <t>Se produce un error al introducir el número de Unidades Monitor necesarias para la toma de imágenes con el haz de megavoltaje realizada en el acelerador. Aplica sólo en el caso de que se introduzca manualmente. Se asume que este error podría afectar al tratamiento del paciente.</t>
        </r>
      </text>
    </comment>
    <comment ref="V97" authorId="0" shapeId="0">
      <text>
        <r>
          <rPr>
            <sz val="9"/>
            <color indexed="81"/>
            <rFont val="Tahoma"/>
            <family val="2"/>
          </rPr>
          <t>Durante el periodo de tratamiento se omite por error la administración de una sesión de tratamiento diario.</t>
        </r>
      </text>
    </comment>
    <comment ref="V98" authorId="0" shapeId="0">
      <text>
        <r>
          <rPr>
            <sz val="9"/>
            <color indexed="81"/>
            <rFont val="Tahoma"/>
            <family val="2"/>
          </rPr>
          <t>Durante el periodo de tratamiento se omite por error la administración de un campo. Por ejemplo, por la terminación irregular de éste durante el tratamiento del paciente (debido a problemas locales, fallos de equipos, problemas del paciente, por accionamiento inadvertido de la tecla 'terminar' en la consola de tratamiento o por cualquier otra causa). Se asume que este error afectaría solamente a una sesión de tratamiento.</t>
        </r>
      </text>
    </comment>
    <comment ref="V99" authorId="0" shapeId="0">
      <text>
        <r>
          <rPr>
            <sz val="9"/>
            <color indexed="81"/>
            <rFont val="Tahoma"/>
            <family val="2"/>
          </rPr>
          <t>Se administra erróneamente una dosis restante incorrecta por error al registrar manualmente la dosis no administrada cuando el tratamiento se interrumpe por fallos que no permiten al software de tratamiento crear automáticamente 'campos o fracciones por finalizar'. Se asume que este error afectaría solamente a una sesión de tratamiento.</t>
        </r>
      </text>
    </comment>
    <comment ref="V100" authorId="0" shapeId="0">
      <text>
        <r>
          <rPr>
            <sz val="9"/>
            <color indexed="81"/>
            <rFont val="Tahoma"/>
            <family val="2"/>
          </rPr>
          <t>Se administra erróneamente al paciente una o varias sesiones adicionales de tratamiento al no advertir que se ha llegado al número prescrito de sesiones. Se asume que este error afectaría al tratamiento del paciente.</t>
        </r>
      </text>
    </comment>
    <comment ref="V101" authorId="0" shapeId="0">
      <text>
        <r>
          <rPr>
            <sz val="9"/>
            <color indexed="81"/>
            <rFont val="Tahoma"/>
            <family val="2"/>
          </rPr>
          <t xml:space="preserve">Se administra erróneamente al paciente una o varias sesiones adicionales del tratamiento porque dosis tratadas manualmente (por ejemplo por una compresión medular) no han sido registradas en el sistema de registro y verificación. Se asume que este error afectaría al tratamiento del paciente. </t>
        </r>
      </text>
    </comment>
    <comment ref="V102" authorId="0" shapeId="0">
      <text>
        <r>
          <rPr>
            <sz val="9"/>
            <color indexed="81"/>
            <rFont val="Tahoma"/>
            <family val="2"/>
          </rPr>
          <t>Se administra erróneamente al paciente dos veces en un mismo día el tratamiento diario prescrito. Se da crédito para pacientes ingresados. Se asume que este error afectaría solamente a una sesión de tratamiento.</t>
        </r>
      </text>
    </comment>
    <comment ref="V103" authorId="0" shapeId="0">
      <text>
        <r>
          <rPr>
            <sz val="9"/>
            <color indexed="81"/>
            <rFont val="Tahoma"/>
            <family val="2"/>
          </rPr>
          <t>Se comete un error al tratar al paciente en modo no clínico. A diferencia del modo manual, en modo no clínico es posible puentear enclavamientos y cambiar parámetros de ajuste de las cámaras. Se asume que este error afectaría al tratamiento del paciente.</t>
        </r>
      </text>
    </comment>
    <comment ref="V104" authorId="0" shapeId="0">
      <text>
        <r>
          <rPr>
            <sz val="9"/>
            <color indexed="81"/>
            <rFont val="Tahoma"/>
            <family val="2"/>
          </rPr>
          <t>Se administra erróneamente un mismo campo dos veces en una sesión de tratamiento. Se asume que este error afectaría solamente a una sesión de tratamiento.</t>
        </r>
      </text>
    </comment>
    <comment ref="V105" authorId="0" shapeId="0">
      <text>
        <r>
          <rPr>
            <sz val="9"/>
            <color indexed="81"/>
            <rFont val="Tahoma"/>
            <family val="2"/>
          </rPr>
          <t>Al realizar una sesión del tratamiento diario, se omite por error el tratamiento de un volumen secundario. Se asume que este error afectaría solamente a una sesión de tratamiento.</t>
        </r>
      </text>
    </comment>
    <comment ref="V106" authorId="0" shapeId="0">
      <text>
        <r>
          <rPr>
            <sz val="9"/>
            <color indexed="81"/>
            <rFont val="Tahoma"/>
            <family val="2"/>
          </rPr>
          <t>Al realizar la administración del tratamiento diario el paciente se mueve significativamente (incomodidad, tensión nerviosa, tos, etc.). Se asume que este error implicaría desplazamientos significativos del PTV que afectaría solo a una sesión.</t>
        </r>
      </text>
    </comment>
    <comment ref="V107" authorId="0" shapeId="0">
      <text>
        <r>
          <rPr>
            <sz val="9"/>
            <color indexed="81"/>
            <rFont val="Tahoma"/>
            <family val="2"/>
          </rPr>
          <t>Antes de accionar el botón de tratamiento en la sala de control el paciente se mueve significativamente pudiendo ser detectado por los técnicos de radioterapia a través de los monitores de televisión. Se asume que este error afectaría solamente a una sesión de tratamiento.</t>
        </r>
      </text>
    </comment>
    <comment ref="V108" authorId="0" shapeId="0">
      <text>
        <r>
          <rPr>
            <sz val="9"/>
            <color indexed="81"/>
            <rFont val="Tahoma"/>
            <family val="2"/>
          </rPr>
          <t>Fallo en el sistema de modulación que puede provocar una variación indeseada del ancho, amplitud o frecuencia de los pulsos y por tanto una variación de la energía del haz. Se asume que este fallo afectaría al tratamiento de todos los pacientes.</t>
        </r>
      </text>
    </comment>
    <comment ref="V109" authorId="0" shapeId="0">
      <text>
        <r>
          <rPr>
            <sz val="9"/>
            <color indexed="81"/>
            <rFont val="Tahoma"/>
            <family val="2"/>
          </rPr>
          <t>Fallo en los componentes del acelerador involucrados en el cálculo de la relación dosis/Unidades Monitor. Se asume que este fallo afectaría al tratamiento de todos los pacientes.</t>
        </r>
      </text>
    </comment>
    <comment ref="V110" authorId="0" shapeId="0">
      <text>
        <r>
          <rPr>
            <sz val="9"/>
            <color indexed="81"/>
            <rFont val="Tahoma"/>
            <family val="2"/>
          </rPr>
          <t>Fallo en los componentes del acelerador involucrados en la obtención de la simetría del haz. Se asume que este fallo afectaría al tratamiento de todos los pacientes.</t>
        </r>
      </text>
    </comment>
    <comment ref="V111" authorId="0" shapeId="0">
      <text>
        <r>
          <rPr>
            <sz val="9"/>
            <color indexed="81"/>
            <rFont val="Tahoma"/>
            <family val="2"/>
          </rPr>
          <t>Fallo en los componentes del acelerador involucrados en la obtención de la planitud del haz. Se asume que este fallo afectaría al tratamiento de todos los pacientes.</t>
        </r>
      </text>
    </comment>
    <comment ref="V112" authorId="0" shapeId="0">
      <text>
        <r>
          <rPr>
            <sz val="9"/>
            <color indexed="81"/>
            <rFont val="Tahoma"/>
            <family val="2"/>
          </rPr>
          <t>Fallos locales en las bobinas de deflexión o de la alimentación de dichas bobinas que impiden la deflexión correcta del haz. Se asume que este fallo afectaría al tratamiento de todos los pacientes.</t>
        </r>
      </text>
    </comment>
    <comment ref="V113" authorId="0" shapeId="0">
      <text>
        <r>
          <rPr>
            <sz val="9"/>
            <color indexed="81"/>
            <rFont val="Tahoma"/>
            <family val="2"/>
          </rPr>
          <t>Fallo en el sistema de cambio de blanco por bloqueo del movimiento. Esto implicaría una posición errónea del blanco. Se asume que este fallo afectaría al tratamiento de todos los pacientes.</t>
        </r>
      </text>
    </comment>
    <comment ref="V114" authorId="0" shapeId="0">
      <text>
        <r>
          <rPr>
            <sz val="9"/>
            <color indexed="81"/>
            <rFont val="Tahoma"/>
            <family val="2"/>
          </rPr>
          <t>Fallo de equipo que produce una posición incorrecta de las láminas dispersoras o del sistema de barrido. Este error da lugar produce la no correspondencia de la posición de las láminas dispersoras o sistema de barrido con la energía correspondiente. Se asume que este fallo afectaría al tratamiento de todos los pacientes.</t>
        </r>
      </text>
    </comment>
    <comment ref="V115" authorId="0" shapeId="0">
      <text>
        <r>
          <rPr>
            <sz val="9"/>
            <color indexed="81"/>
            <rFont val="Tahoma"/>
            <family val="2"/>
          </rPr>
          <t>Fallo en el sistema de control de rotación del colimador primario. Esto implicaría que el colimador no rote hacia una de las dos posiciones previstas según el tipo de energía. Se asume que este fallo afectaría al tratamiento de todos los pacientes.</t>
        </r>
      </text>
    </comment>
    <comment ref="V116" authorId="0" shapeId="0">
      <text>
        <r>
          <rPr>
            <sz val="9"/>
            <color indexed="81"/>
            <rFont val="Tahoma"/>
            <family val="2"/>
          </rPr>
          <t>Fallo en la posición del filtro aplanador que impide la correlación adecuada entre el filtro con el modo de tratamiento y la energía seleccionada. Se asume que este fallo afectaría al tratamiento de todos los pacientes.</t>
        </r>
      </text>
    </comment>
    <comment ref="V117" authorId="0" shapeId="0">
      <text>
        <r>
          <rPr>
            <sz val="9"/>
            <color indexed="81"/>
            <rFont val="Tahoma"/>
            <family val="2"/>
          </rPr>
          <t>Fallo coincidente de los canales redundantes de control dosimétrico que potencialmente puede provocar sobreirradiación o subirradiación de los pacientes. Se asume que este fallo afectaría al tratamiento de todos los pacientes.</t>
        </r>
      </text>
    </comment>
    <comment ref="V118" authorId="0" shapeId="0">
      <text>
        <r>
          <rPr>
            <sz val="9"/>
            <color indexed="81"/>
            <rFont val="Tahoma"/>
            <family val="2"/>
          </rPr>
          <t>Fallos locales del filtro cuña o del sistema que controla su movimiento. Esto implica que el filtro cuña no se posiciona correctamente. Se asume que este fallo afectaría al tratamiento de todos los pacientes.</t>
        </r>
      </text>
    </comment>
    <comment ref="V119" authorId="0" shapeId="0">
      <text>
        <r>
          <rPr>
            <sz val="9"/>
            <color indexed="81"/>
            <rFont val="Tahoma"/>
            <family val="2"/>
          </rPr>
          <t>Fallos locales de las láminas, o del sistema de movimiento y control del colimador multiláminas (MLC). Esto implica que la posición de las láminas del colimador multiláminas no se corresponde con la prescrita. Se asume que este fallo afectaría al tratamiento de todos los pacientes.</t>
        </r>
      </text>
    </comment>
    <comment ref="V120" authorId="0" shapeId="0">
      <text>
        <r>
          <rPr>
            <sz val="9"/>
            <color indexed="81"/>
            <rFont val="Tahoma"/>
            <family val="2"/>
          </rPr>
          <t>Fallo del sistema de movimiento de los diafragmas. Esto implica la posición incorrecta de los diafragmas X o Y, y por tanto la delimitación incorrecta del campo rectangular. Se asume que este fallo afectaría al tratamiento de todos los pacientes.</t>
        </r>
      </text>
    </comment>
    <comment ref="V121" authorId="0" shapeId="0">
      <text>
        <r>
          <rPr>
            <sz val="9"/>
            <color indexed="81"/>
            <rFont val="Tahoma"/>
            <family val="2"/>
          </rPr>
          <t>Fallo del sistema de agua de enfriamiento del acelerador. Esto implica sobrecalentamiento en el acelerador y potencialmente disminución de la dosis administrada. Se asume que este fallo afectaría al tratamiento de todos los pacientes.</t>
        </r>
      </text>
    </comment>
    <comment ref="V122" authorId="0" shapeId="0">
      <text>
        <r>
          <rPr>
            <sz val="9"/>
            <color indexed="81"/>
            <rFont val="Tahoma"/>
            <family val="2"/>
          </rPr>
          <t>Fallo de los sistemas de vacío provoca que se pierdan las condiciones de vacío durante tratamiento. Se asume que este fallo afectaría al tratamiento de todos los pacientes.</t>
        </r>
      </text>
    </comment>
    <comment ref="V123" authorId="0" shapeId="0">
      <text>
        <r>
          <rPr>
            <sz val="9"/>
            <color indexed="81"/>
            <rFont val="Tahoma"/>
            <family val="2"/>
          </rPr>
          <t>Fallo en el sistema de control del movimiento del gantry. Esto implica que el gantry no se sitúa según lo previsto. Se asume que este fallo afectaría al tratamiento de todos los pacientes con una desviación de la dosis por debajo del 10%.</t>
        </r>
      </text>
    </comment>
    <comment ref="V124" authorId="0" shapeId="0">
      <text>
        <r>
          <rPr>
            <sz val="9"/>
            <color indexed="81"/>
            <rFont val="Tahoma"/>
            <family val="2"/>
          </rPr>
          <t>Fallo del freno, el embrague, o el sistema de control de la camilla. Esto implica movimiento de la camilla durante el tratamiento. Se asume que este error afectaría solamente a una sesión de tratamiento.</t>
        </r>
      </text>
    </comment>
    <comment ref="V125" authorId="0" shapeId="0">
      <text>
        <r>
          <rPr>
            <sz val="9"/>
            <color indexed="81"/>
            <rFont val="Tahoma"/>
            <family val="2"/>
          </rPr>
          <t>Desviación de alguno de los punteros láser. Esto implicaría un error en el posicionamiento de los pacientes. Se asume que este error afectaría al tratamiento de varios pacientes.</t>
        </r>
      </text>
    </comment>
    <comment ref="V126" authorId="0" shapeId="0">
      <text>
        <r>
          <rPr>
            <sz val="9"/>
            <color indexed="81"/>
            <rFont val="Tahoma"/>
            <family val="2"/>
          </rPr>
          <t>Desviación óptica de la distancia por fallos locales. Esto implicaría un error en el posicionamiento de los pacientes. Se asume que este fallo afectaría al tratamiento de varios pacientes.</t>
        </r>
      </text>
    </comment>
  </commentList>
</comments>
</file>

<file path=xl/comments5.xml><?xml version="1.0" encoding="utf-8"?>
<comments xmlns="http://schemas.openxmlformats.org/spreadsheetml/2006/main">
  <authors>
    <author>Arturo Perez Mulas</author>
  </authors>
  <commentList>
    <comment ref="I4" authorId="0" shapeId="0">
      <text>
        <r>
          <rPr>
            <b/>
            <sz val="9"/>
            <color indexed="81"/>
            <rFont val="Tahoma"/>
            <family val="2"/>
          </rPr>
          <t>Arturo Perez Mulas:</t>
        </r>
        <r>
          <rPr>
            <sz val="9"/>
            <color indexed="81"/>
            <rFont val="Tahoma"/>
            <family val="2"/>
          </rPr>
          <t xml:space="preserve">
POSIBLES GRÁFICAS ADICIONALES:
- PROBABILIDAD
- COMPARATIVA DE FRECUENCIAS ORIGINALES Y FRECUENCIAS TRAS RF
- COMPARATIVA DE CONSECUENCIAS ORIGINALES Y CONSECUENCIAS TRAS RC</t>
        </r>
      </text>
    </comment>
  </commentList>
</comments>
</file>

<file path=xl/sharedStrings.xml><?xml version="1.0" encoding="utf-8"?>
<sst xmlns="http://schemas.openxmlformats.org/spreadsheetml/2006/main" count="4945" uniqueCount="938">
  <si>
    <t>Etapa</t>
  </si>
  <si>
    <t>10.49</t>
  </si>
  <si>
    <t>10.48</t>
  </si>
  <si>
    <t>10.47</t>
  </si>
  <si>
    <t>X</t>
  </si>
  <si>
    <t>10.46</t>
  </si>
  <si>
    <t>10.45</t>
  </si>
  <si>
    <t>10.44</t>
  </si>
  <si>
    <t>10.43</t>
  </si>
  <si>
    <t>10.42</t>
  </si>
  <si>
    <t>10.41</t>
  </si>
  <si>
    <t>10.40</t>
  </si>
  <si>
    <t>10.39</t>
  </si>
  <si>
    <t>10.38</t>
  </si>
  <si>
    <t>10.37</t>
  </si>
  <si>
    <t>10.35</t>
  </si>
  <si>
    <t>10.02</t>
  </si>
  <si>
    <t>10.06</t>
  </si>
  <si>
    <t>10.08</t>
  </si>
  <si>
    <t>10.09</t>
  </si>
  <si>
    <t>10.10</t>
  </si>
  <si>
    <t>10.11</t>
  </si>
  <si>
    <t>10.12</t>
  </si>
  <si>
    <t>10.13</t>
  </si>
  <si>
    <t>02.01</t>
  </si>
  <si>
    <t>02.02</t>
  </si>
  <si>
    <t>02.03</t>
  </si>
  <si>
    <t>02.04</t>
  </si>
  <si>
    <t>02.05</t>
  </si>
  <si>
    <t>02.06</t>
  </si>
  <si>
    <t>02.07</t>
  </si>
  <si>
    <t>02.08</t>
  </si>
  <si>
    <t>02.09</t>
  </si>
  <si>
    <t>02.10</t>
  </si>
  <si>
    <t>02.11</t>
  </si>
  <si>
    <t>02.12</t>
  </si>
  <si>
    <t>02.13</t>
  </si>
  <si>
    <t>02.14</t>
  </si>
  <si>
    <t>02.15</t>
  </si>
  <si>
    <t>02.17</t>
  </si>
  <si>
    <t>02.18</t>
  </si>
  <si>
    <t>02.19</t>
  </si>
  <si>
    <t>02.20</t>
  </si>
  <si>
    <t>02.21</t>
  </si>
  <si>
    <t>02.22</t>
  </si>
  <si>
    <t>02.24</t>
  </si>
  <si>
    <t>02.25</t>
  </si>
  <si>
    <t>02.26</t>
  </si>
  <si>
    <t>02.27</t>
  </si>
  <si>
    <t>02.28</t>
  </si>
  <si>
    <t>02.29</t>
  </si>
  <si>
    <t>03.01</t>
  </si>
  <si>
    <t>03.02</t>
  </si>
  <si>
    <t>04.01</t>
  </si>
  <si>
    <t>04.02</t>
  </si>
  <si>
    <t>04.03</t>
  </si>
  <si>
    <t>04.04</t>
  </si>
  <si>
    <t>04.05</t>
  </si>
  <si>
    <t>04.06</t>
  </si>
  <si>
    <t>04.07a</t>
  </si>
  <si>
    <t>04.07b</t>
  </si>
  <si>
    <t>05.01</t>
  </si>
  <si>
    <t>05.02</t>
  </si>
  <si>
    <t>05.03</t>
  </si>
  <si>
    <t>05.04</t>
  </si>
  <si>
    <t>05.05</t>
  </si>
  <si>
    <t>05.06</t>
  </si>
  <si>
    <t>05.07</t>
  </si>
  <si>
    <t>05.08</t>
  </si>
  <si>
    <t>05.09</t>
  </si>
  <si>
    <t>05.10</t>
  </si>
  <si>
    <t>06.01a</t>
  </si>
  <si>
    <t>06.01b</t>
  </si>
  <si>
    <t>06.02</t>
  </si>
  <si>
    <t>06.03</t>
  </si>
  <si>
    <t>06.04</t>
  </si>
  <si>
    <t>06.05</t>
  </si>
  <si>
    <t>07.01</t>
  </si>
  <si>
    <t>07.02</t>
  </si>
  <si>
    <t>07.03</t>
  </si>
  <si>
    <t>07.09</t>
  </si>
  <si>
    <t>07.10</t>
  </si>
  <si>
    <t>07.11</t>
  </si>
  <si>
    <t>07.12</t>
  </si>
  <si>
    <t>07.13</t>
  </si>
  <si>
    <t>07.14</t>
  </si>
  <si>
    <t>07.15</t>
  </si>
  <si>
    <t>07.16</t>
  </si>
  <si>
    <t>08.01</t>
  </si>
  <si>
    <t>08.02a</t>
  </si>
  <si>
    <t>08.02b</t>
  </si>
  <si>
    <t>09.01</t>
  </si>
  <si>
    <t>09.02</t>
  </si>
  <si>
    <t>09.04</t>
  </si>
  <si>
    <t>09.05</t>
  </si>
  <si>
    <t>09.06</t>
  </si>
  <si>
    <t>09.07</t>
  </si>
  <si>
    <t>09.08</t>
  </si>
  <si>
    <t>09.09</t>
  </si>
  <si>
    <t>09.10</t>
  </si>
  <si>
    <t>09.11</t>
  </si>
  <si>
    <t>09.12</t>
  </si>
  <si>
    <t>09.13</t>
  </si>
  <si>
    <t>09.14b</t>
  </si>
  <si>
    <t>09.15</t>
  </si>
  <si>
    <t>09.17</t>
  </si>
  <si>
    <t>10.03</t>
  </si>
  <si>
    <t>10.05</t>
  </si>
  <si>
    <t>10.07</t>
  </si>
  <si>
    <t>10.14</t>
  </si>
  <si>
    <t>10.15</t>
  </si>
  <si>
    <t>10.16</t>
  </si>
  <si>
    <t>10.17</t>
  </si>
  <si>
    <t>10.18</t>
  </si>
  <si>
    <t>10.19a</t>
  </si>
  <si>
    <t>10.19b</t>
  </si>
  <si>
    <t>10.20</t>
  </si>
  <si>
    <t>10.21</t>
  </si>
  <si>
    <t>10.22</t>
  </si>
  <si>
    <t>10.24</t>
  </si>
  <si>
    <t>10.25</t>
  </si>
  <si>
    <t>10.26</t>
  </si>
  <si>
    <t>10.29</t>
  </si>
  <si>
    <t>10.31</t>
  </si>
  <si>
    <t>10.33</t>
  </si>
  <si>
    <t>10.xx</t>
  </si>
  <si>
    <t>Mantener la carga de trabajo moderada</t>
  </si>
  <si>
    <t>Mantener las condiciones de trabajo propiciando la concentración para evitar distracciones</t>
  </si>
  <si>
    <t>Programa de mantenimiento preventivo</t>
  </si>
  <si>
    <t>Capacitación y formación de profesionales implicados</t>
  </si>
  <si>
    <t>Instrucciones al paciente para que no se mueva durante el tratamiento</t>
  </si>
  <si>
    <t>Procedimiento de seguridad para verificación de pacientes y trazabilidad de historias</t>
  </si>
  <si>
    <t>Lista de chequeo por tipo de procedimiento con los pasos a seguir para la planificación</t>
  </si>
  <si>
    <t>RF</t>
  </si>
  <si>
    <t>RC</t>
  </si>
  <si>
    <t>Auditoría periódica externa en la que se verifican los parámetros relacionados con este suceso</t>
  </si>
  <si>
    <t>Dosimetría in vivo periódica por la que se pueden detectar errores en la dosis administrada</t>
  </si>
  <si>
    <t>Pruebas de QA del sistema de adquisición de imágenes</t>
  </si>
  <si>
    <t>Controles periódicos (semanal, mensual…) del estado de referencia</t>
  </si>
  <si>
    <t>Calibración periódica del equipo dosimétrico en laboratorio secundario trazada a patrón primario</t>
  </si>
  <si>
    <t>Número de iniciadores en que aparece cada barrera:</t>
  </si>
  <si>
    <t>Número de barreras por iniciador</t>
  </si>
  <si>
    <t>Datos originales</t>
  </si>
  <si>
    <t>Clase</t>
  </si>
  <si>
    <t>y mayor...</t>
  </si>
  <si>
    <t>Frecuencia</t>
  </si>
  <si>
    <t>FB</t>
  </si>
  <si>
    <t>CMA</t>
  </si>
  <si>
    <t>CM</t>
  </si>
  <si>
    <t>CA</t>
  </si>
  <si>
    <t>FMB</t>
  </si>
  <si>
    <t>FM</t>
  </si>
  <si>
    <t>CB</t>
  </si>
  <si>
    <t>FA</t>
  </si>
  <si>
    <t>Para mostar/ocultar flechitas de comentarios</t>
  </si>
  <si>
    <t>http://www.officetooltips.com/excel/tips/how_to_hide_display_comment_indicators.html</t>
  </si>
  <si>
    <t>04.07</t>
  </si>
  <si>
    <t>04.08</t>
  </si>
  <si>
    <t>06.01</t>
  </si>
  <si>
    <t>07.17</t>
  </si>
  <si>
    <t>09.14a</t>
  </si>
  <si>
    <t>10.06a</t>
  </si>
  <si>
    <t>10.06b</t>
  </si>
  <si>
    <t>SI final</t>
  </si>
  <si>
    <t>SI MARR</t>
  </si>
  <si>
    <t>Para copiar texto a comentarios</t>
  </si>
  <si>
    <t>http://superuser.com/questions/42182/excel-move-cell-contents-to-comment</t>
  </si>
  <si>
    <t>Para copiar comentarios a texto</t>
  </si>
  <si>
    <t>https://www.extendoffice.com/documents/excel/765-excel-convert-comments-to-cells.html</t>
  </si>
  <si>
    <t>FINAL</t>
  </si>
  <si>
    <t>MARR</t>
  </si>
  <si>
    <t>SI Final</t>
  </si>
  <si>
    <t>Aparece en</t>
  </si>
  <si>
    <t>Número sucesos iniciadores</t>
  </si>
  <si>
    <t>RA</t>
  </si>
  <si>
    <t>RM</t>
  </si>
  <si>
    <t>RMA</t>
  </si>
  <si>
    <t>Riesgo sin barreras</t>
  </si>
  <si>
    <t>Riesgo primer cribado</t>
  </si>
  <si>
    <t>FAPACA</t>
  </si>
  <si>
    <t>FAPACB</t>
  </si>
  <si>
    <t>FAPACM</t>
  </si>
  <si>
    <t>FAPACMA</t>
  </si>
  <si>
    <t>FAPBCA</t>
  </si>
  <si>
    <t>FAPBCB</t>
  </si>
  <si>
    <t>RB</t>
  </si>
  <si>
    <t>FAPBCM</t>
  </si>
  <si>
    <t>FAPBCMA</t>
  </si>
  <si>
    <t>FAPMBCA</t>
  </si>
  <si>
    <t>FAPMBCB</t>
  </si>
  <si>
    <t>FAPMBCM</t>
  </si>
  <si>
    <t>FAPMBCMA</t>
  </si>
  <si>
    <t>FAPMCA</t>
  </si>
  <si>
    <t>FAPMCB</t>
  </si>
  <si>
    <t>FAPMCM</t>
  </si>
  <si>
    <t>FAPMCMA</t>
  </si>
  <si>
    <t>FBPACA</t>
  </si>
  <si>
    <t>FBPACB</t>
  </si>
  <si>
    <t>FBPACM</t>
  </si>
  <si>
    <t>FBPACMA</t>
  </si>
  <si>
    <t>FBPBCA</t>
  </si>
  <si>
    <t>FBPBCB</t>
  </si>
  <si>
    <t>FBPBCM</t>
  </si>
  <si>
    <t>FBPBCMA</t>
  </si>
  <si>
    <t>FBPMBCA</t>
  </si>
  <si>
    <t>FBPMBCB</t>
  </si>
  <si>
    <t>FBPMBCM</t>
  </si>
  <si>
    <t>FBPMBCMA</t>
  </si>
  <si>
    <t>FBPMCA</t>
  </si>
  <si>
    <t>FBPMCB</t>
  </si>
  <si>
    <t>FBPMCM</t>
  </si>
  <si>
    <t>FBPMCMA</t>
  </si>
  <si>
    <t>FMBPACA</t>
  </si>
  <si>
    <t>FMBPACB</t>
  </si>
  <si>
    <t>FMBPACM</t>
  </si>
  <si>
    <t>FMBPACMA</t>
  </si>
  <si>
    <t>FMBPBCA</t>
  </si>
  <si>
    <t>FMBPBCB</t>
  </si>
  <si>
    <t>FMBPBCM</t>
  </si>
  <si>
    <t>FMBPBCMA</t>
  </si>
  <si>
    <t>FMBPMBCA</t>
  </si>
  <si>
    <t>FMBPMBCB</t>
  </si>
  <si>
    <t>FMBPMBCM</t>
  </si>
  <si>
    <t>FMBPMBCMA</t>
  </si>
  <si>
    <t>FMBPMCA</t>
  </si>
  <si>
    <t>FMBPMCB</t>
  </si>
  <si>
    <t>FMBPMCM</t>
  </si>
  <si>
    <t>FMBPMCMA</t>
  </si>
  <si>
    <t>FMPACA</t>
  </si>
  <si>
    <t>FMPACB</t>
  </si>
  <si>
    <t>FMPACM</t>
  </si>
  <si>
    <t>FMPACMA</t>
  </si>
  <si>
    <t>FMPBCA</t>
  </si>
  <si>
    <t>FMPBCB</t>
  </si>
  <si>
    <t>FMPBCM</t>
  </si>
  <si>
    <t>FMPBCMA</t>
  </si>
  <si>
    <t>FMPMBCA</t>
  </si>
  <si>
    <t>FMPMBCB</t>
  </si>
  <si>
    <t>FMPMBCM</t>
  </si>
  <si>
    <t>FMPMBCMA</t>
  </si>
  <si>
    <t>FMPMCA</t>
  </si>
  <si>
    <t>FMPMCB</t>
  </si>
  <si>
    <t>FMPMCM</t>
  </si>
  <si>
    <t>FMPMCMA</t>
  </si>
  <si>
    <t>Prob. primer cribado</t>
  </si>
  <si>
    <t>Procedimiento por el que se inserta la fotografía del paciente en la hoja de tratamiento que elabora el oncólogo-radioterapeuta al finalizar la prescripción clínica del tratamiento</t>
  </si>
  <si>
    <t>Procedimiento por el que se opera con movimientos motorizados de la camilla, evitando liberar los frenos</t>
  </si>
  <si>
    <t>Procedimiento por el que se imprime la hoja de tratamiento con los datos directamente de la salida del TPS para la recogida y reporte de información del tratamiento</t>
  </si>
  <si>
    <t>Procedimiento por el que se imprime la plantilla generada por el TPS que indica la existencia de moldes</t>
  </si>
  <si>
    <t>Procedimiento de QA para verificar la transferencia de datos</t>
  </si>
  <si>
    <t>Procedimientos de trabajo del electromédico que requiere verificación previa a la entrega del equipo</t>
  </si>
  <si>
    <t>Procedimiento para implementar cambios en los tratamientos</t>
  </si>
  <si>
    <t>Procedimiento por el que se establece una secuencia lógica de campos editada en la maquina</t>
  </si>
  <si>
    <t>Procedimiento por el que se realizan marcas en los bloques de conformación con el nombre del paciente y la orientación pies-cabeza</t>
  </si>
  <si>
    <t>Procedimiento por el que se incluye en la ficha de tratamiento una señal visual de color indicando posicionamientos no habituales</t>
  </si>
  <si>
    <t>Procedimiento por el que se indica mediante una nota en el campo correspondiente la presencia de bolus para que aparezca una indicación clara al descargarlo mediante la red</t>
  </si>
  <si>
    <t>Procedimiento por el que se establece que la misma persona que marca con rotulador al paciente, es la que tatúa</t>
  </si>
  <si>
    <t>Procedimiento de trabajo en el que se indica claramente en la ficha de tratamiento en qué consiste el cambio y cómo comunicarlo a los profesionales implicados</t>
  </si>
  <si>
    <t>Procedimiento por el que el técnico imprime y revisa sistemáticamente el cronograma del tratamiento</t>
  </si>
  <si>
    <t>Procedimiento de trabajo por el que se establece un orden de irradiación de irradiación de las localizaciones que se mantiene en cada sesión (por ejemplo, tratar siempre primero el volumen más cercano a la cabeza y después el más cercano a pies)</t>
  </si>
  <si>
    <t>Procedimiento escrito para reaundar el tratamiento cuando hay una interrupción irregular del tratamiento</t>
  </si>
  <si>
    <t>Calibración de termómetro e higrómetro en laboratorios acreditados</t>
  </si>
  <si>
    <t>Procedimiento por el que se establece un sistema de identificación del bolus con los datos del paciente</t>
  </si>
  <si>
    <t>Fortaleza</t>
  </si>
  <si>
    <t>Desc Final</t>
  </si>
  <si>
    <t>Pruebas de QA del TPS</t>
  </si>
  <si>
    <t>Controles dosimétricos diarios</t>
  </si>
  <si>
    <t>Riesgo segundo cribado</t>
  </si>
  <si>
    <t>RIESGO FINAL</t>
  </si>
  <si>
    <t>RIESCGO FINAL</t>
  </si>
  <si>
    <t>F</t>
  </si>
  <si>
    <t>C</t>
  </si>
  <si>
    <t>BARR</t>
  </si>
  <si>
    <t>10.50</t>
  </si>
  <si>
    <t>Auditoría postal periódica con dosímetros TLD</t>
  </si>
  <si>
    <t>Pruebas de QA del láser</t>
  </si>
  <si>
    <t>Pruebas de QA del telémetro</t>
  </si>
  <si>
    <t>Pruebas geométricas de QA del acelerador, con frecuencia mensual o anual</t>
  </si>
  <si>
    <t>Pruebas mecánicas de QA del acelerador, con frecuencia mensual o anual</t>
  </si>
  <si>
    <t>Pruebas de constancia en el marco de los controles de QA, con frecuencia mensual o anual</t>
  </si>
  <si>
    <t>Medida de dosis de campos de tratamiento en pacientes seleccionados o escogidos aleatoriamente, de acuerdo a un procedimiento</t>
  </si>
  <si>
    <t>Revisión médica y/o enfermería semanal del paciente que puede detectar errores en la administración del tratamiento, o en las etapas previas</t>
  </si>
  <si>
    <t>Revisión semanal de la hoja de tratamiento por parte del físico de acuerdo a un procedimiento</t>
  </si>
  <si>
    <t>Detección de desviaciones sistemáticas del posicionamiento mediante el análisis de imágenes, de acuerdo a un procedimiento</t>
  </si>
  <si>
    <t>Alarma emitida por el acelerador si se modifican parámetros en un valor fuera del rango permitido</t>
  </si>
  <si>
    <t>Verificación del posicionamiento para el tratamiento diario mediante la correspondencia del campo a tratar (luz de campo) con las marcas del campo en la piel del paciente, de acuerdo a un procedimiento</t>
  </si>
  <si>
    <t>Enclavamiento del acelerador durante el posicionamiento que no permite irradiar si no se han colocado los accesorios de conformación (bandejas, conos e insertos) o se han colocado incorrectamente</t>
  </si>
  <si>
    <t>Comprobación, durante el tratamiento diario, de que los datos de la hoja de tratamiento coinciden con la información de la hoja electrónica del tratamiento, de acuerdo a un procedimiento</t>
  </si>
  <si>
    <t>Observación del transcurso del tratamiento por el circuito cerrado de TV y accionamiento del boón de emergencia, de acuerdo a un procedimiento</t>
  </si>
  <si>
    <t>Uso del intercomunicadoren la sala de control que permite la comunicación bidireccional entre el paciente y los técnicos-radioterapeutas para interrumpir el tratamiento, de acuerdo a un procedimiento</t>
  </si>
  <si>
    <t>Visualización en panel de control de la posición del gantry, que permite detener el tratamiento en caso de error, de acuerdo a un procedimiento</t>
  </si>
  <si>
    <t>Consulta o impresión diaria de la hoja de sesión de acuerdo a un procedimiento</t>
  </si>
  <si>
    <t>Registro manual independiente del tratamiento diario por parte del técnico de radioterapia, de acuerdo a un procedimiento</t>
  </si>
  <si>
    <t>Revisión semanal de la imagen portal con la que se puede detectar errores de geometría</t>
  </si>
  <si>
    <t>Detección de errores de geometría o de dosis por signos visuales (coloración de la piel, etc.) en la comprobación del posicionamiento durante el tratamiento diario</t>
  </si>
  <si>
    <t>Protocolo de calibración del dosímetro clínico en un laboratorio secundario de calibración acreditado con programa de QA</t>
  </si>
  <si>
    <t>Protocolos de control ambiental adecuado para impedir excesiva humedad y temperatura</t>
  </si>
  <si>
    <t>Formulario para el registro de acciones de mantenimiento</t>
  </si>
  <si>
    <t>Protocolos para la realización de las pruebas de aceptación del TAC iniciales, y tras labores de mantenimiento o reparación</t>
  </si>
  <si>
    <t>Protocolos establecidos para los estados de referencia inicial y los controles de calidad</t>
  </si>
  <si>
    <t>Protocolos nacionales o internacionales para la aceptación y puesta en servicio del TPS</t>
  </si>
  <si>
    <t>Protocolo para la realización del TAC</t>
  </si>
  <si>
    <t>Procedimientos para el uso del TPS</t>
  </si>
  <si>
    <t>Procedimiento por el que se establece la revisión sistemática de los pacientes que van a requerir molde por parte del técnico que hace los moldes, para evitar la omisión de alguno</t>
  </si>
  <si>
    <t>Protocolos clínicos</t>
  </si>
  <si>
    <t>Protocolo de estandarización para la denominación de volúmenes</t>
  </si>
  <si>
    <t>Procedimiento por el que se establece la prohibición explícita para hacer cambio en procedimientos de uso del TPS si estos no están validados</t>
  </si>
  <si>
    <t>Protocolos reconocidos internacionalmente para la modificación del TPS</t>
  </si>
  <si>
    <t>Procedimiento establecido para la compra y revisión de los suministros de inmovilización</t>
  </si>
  <si>
    <t>Procedimiento para la realización de la selección manual de los parámetros durante la toma radiográfica</t>
  </si>
  <si>
    <t>Protocolos por los que se establece el uso de dispositivos de inmovilización</t>
  </si>
  <si>
    <t>10.51</t>
  </si>
  <si>
    <t>Subetapa</t>
  </si>
  <si>
    <t>Riesgo</t>
  </si>
  <si>
    <t>Etapas</t>
  </si>
  <si>
    <t>Subetapas</t>
  </si>
  <si>
    <t>Et.Sub</t>
  </si>
  <si>
    <t>Instalación inicial de los equipos</t>
  </si>
  <si>
    <t>Aceptación y puesta en servicio</t>
  </si>
  <si>
    <t>Mantenimiento de los equipos</t>
  </si>
  <si>
    <t>Prescripción Clínica del tratamiento</t>
  </si>
  <si>
    <t>Adquisición datos anatómicos del paciente</t>
  </si>
  <si>
    <t>Delineación de volúmenes</t>
  </si>
  <si>
    <t>Planificación del tratamiento</t>
  </si>
  <si>
    <t>Elaboración de accesorios personalizados</t>
  </si>
  <si>
    <t>Inicio del tratamiento</t>
  </si>
  <si>
    <t>Posicionamiento para tratamiento diario</t>
  </si>
  <si>
    <t>Ejecución del tratamiento</t>
  </si>
  <si>
    <t>Del LINAC</t>
  </si>
  <si>
    <t>Del Sistema de Planificación (TPS)</t>
  </si>
  <si>
    <t>Del equipo de Adquisición de Imágenes</t>
  </si>
  <si>
    <t>Sistemas de transferencia y conexiones</t>
  </si>
  <si>
    <t>Iniciadores</t>
  </si>
  <si>
    <t>Aceptación y puesta en servicio - Del LINAC</t>
  </si>
  <si>
    <t>Aceptación y puesta en servicio - Del Sistema de Planificación (TPS)</t>
  </si>
  <si>
    <t>Aceptación y puesta en servicio - Del equipo de Adquisición de Imágenes</t>
  </si>
  <si>
    <t>Aceptación y puesta en servicio - Sistemas de transferencia y conexiones</t>
  </si>
  <si>
    <t>Prueba periódica de la seguridad del enclavamiento 'código de cuña'</t>
  </si>
  <si>
    <t>Protocolo de calibración (TRS-398)</t>
  </si>
  <si>
    <t>Procedimiento de trabajo por el que se establece incluir en el nombre de los volúmenes a irradiar la localización anatómica. (Ejemplo: PTV1_dorsal, PTV2_lumbar…)</t>
  </si>
  <si>
    <t>Protocolos de estandarización de los nombres de las prescripciones, fases y campos</t>
  </si>
  <si>
    <t>Procedimiento por el que establecen el uso de plantillas de prescripción en papel o en la red de radioterapia</t>
  </si>
  <si>
    <t>Procedimiento por el que se inserta la fotografía de posicionamiento del paciente en la hoja de tratamiento electrónica</t>
  </si>
  <si>
    <t>Procedimiento por el que se establece la presencia continua de dos técnicos en máquina que permite la vigilancia redundante del tratamiento</t>
  </si>
  <si>
    <t>Protocolo para la sedación del paciente en casos aplicables, que impiden movimientos significativos</t>
  </si>
  <si>
    <t>Comprobacion del marcado definitivo del isocentro al día siguiente del inicio del tratamiento, de acuerdo a un procedimiento</t>
  </si>
  <si>
    <t>Asociados al proceso de tratamiento</t>
  </si>
  <si>
    <t>Asociados a fallos de equipo</t>
  </si>
  <si>
    <t>Ejecución del tratamiento - Asociados al proceso de tratamiento</t>
  </si>
  <si>
    <t>Ejecución del tratamiento - Asociados a fallos de equipo</t>
  </si>
  <si>
    <t>Buscar/reemplazar en comentarios</t>
  </si>
  <si>
    <t>https://www.extendoffice.com/documents/excel/680-excel-find-and-replace-in-comments.html</t>
  </si>
  <si>
    <t>Comprobación del marcado definitivo del isocentro al día siguiente del inicio del tratamiento, de acuerdo a un procedimiento</t>
  </si>
  <si>
    <t>DEC-01</t>
  </si>
  <si>
    <t>Identificar erróneamente al paciente o los datos del paciente durante la evaluación de información de la primera consulta.</t>
  </si>
  <si>
    <t>DEC-02</t>
  </si>
  <si>
    <t>DEC-03</t>
  </si>
  <si>
    <t>Indicar en la ficha de tratamiento un valor de prescripción de dosis total, dosis diaria o número de sesiones por semana de tratamiento diferente de la intención terapéutica.</t>
  </si>
  <si>
    <t>DEC-04</t>
  </si>
  <si>
    <t>DEC-05</t>
  </si>
  <si>
    <t>DEC-06</t>
  </si>
  <si>
    <t>Prescribir la dosis de un paciente a otro paciente.</t>
  </si>
  <si>
    <t>DEC-07</t>
  </si>
  <si>
    <t>DEC-08</t>
  </si>
  <si>
    <t>LOC-01</t>
  </si>
  <si>
    <t>Llamar para hacer el TC de simulación a un paciente erróneo.</t>
  </si>
  <si>
    <t>LOC-02</t>
  </si>
  <si>
    <t>Realizar indicaciones erróneas o incompletas que puedan llevar a una incorrecta inmovilización u obtención de imágenes del paciente.</t>
  </si>
  <si>
    <t>LOC-03</t>
  </si>
  <si>
    <t>Realizar incorrectamente la preparación del paciente para la obtención de imágenes del mismo.</t>
  </si>
  <si>
    <t>LOC-04</t>
  </si>
  <si>
    <t>Realizar simulación con objetos de alto contraste.</t>
  </si>
  <si>
    <t>LOC-05</t>
  </si>
  <si>
    <t>Omitir, elaborar o utilizar erróneamente los dispositivos de inmovilización durante la realización del TC de simulación.</t>
  </si>
  <si>
    <t>LOC-06</t>
  </si>
  <si>
    <t>Utilizar referencias erróneas para la realización del TC de simulación.</t>
  </si>
  <si>
    <t>LOC-07</t>
  </si>
  <si>
    <t>Posicionar incorrectamente al paciente para el TC de simulación.</t>
  </si>
  <si>
    <t>LOC-08</t>
  </si>
  <si>
    <t>Utilización de sistemas de inmovilización o productos inmovilizadores deteriorados o caducados.</t>
  </si>
  <si>
    <t>LOC-09</t>
  </si>
  <si>
    <t>Realizar el TC de simulación con parámetros de adquisición erróneos.</t>
  </si>
  <si>
    <t>LOC-10</t>
  </si>
  <si>
    <t>Fallo del TC que produce una imagen errónea.</t>
  </si>
  <si>
    <t>LOC-11</t>
  </si>
  <si>
    <t>Omitir o realizar incorrectamente imágenes que tengan en cuenta el movimiento del tumor.</t>
  </si>
  <si>
    <t>LOC-12</t>
  </si>
  <si>
    <t>Introducir o seleccionar datos de identificación del paciente que no se corresponden con el paciente que ha sido llamado para adquirir la imagen de fusión. Incorrecta identificación del paciente.</t>
  </si>
  <si>
    <t>LOC-13</t>
  </si>
  <si>
    <t>Situar al paciente en una posición inadecuada para la toma de imágenes de fusión (posición muy diferente del TC).</t>
  </si>
  <si>
    <t>LOC-14</t>
  </si>
  <si>
    <t>Colocar incorrectamente las marcas fiduciarias en la imágenes de fusión.</t>
  </si>
  <si>
    <t>LOC-15</t>
  </si>
  <si>
    <t>Realizar imágenes de fusión con parámetros inadecuados.</t>
  </si>
  <si>
    <t>LOC-16</t>
  </si>
  <si>
    <t>Omitir o marcar erróneamente los tatuajes de referencia del TC de simulación sobre el paciente o sobre dispositivos de inmovilización.</t>
  </si>
  <si>
    <t>LOC-17</t>
  </si>
  <si>
    <t xml:space="preserve"> Omitir o marcar erróneamente los tatuajes de posición de los elementos del sistema de seguimiento de respiración.</t>
  </si>
  <si>
    <t>LOC-18</t>
  </si>
  <si>
    <t>Editar erróneamente la información del TC previamente a su transferencia al TPS o la red en la que está contenido el TPS.</t>
  </si>
  <si>
    <t>LOC-19</t>
  </si>
  <si>
    <t>Omitir o registrar incorrectamente en la ficha de tratamiento los datos de las particularidades del posicionamiento del paciente consideradas durante la realización del TC de simulación.</t>
  </si>
  <si>
    <t>LOC-20</t>
  </si>
  <si>
    <t>Fallo en la transferencia e importación de imágenes (TC, fusión, etc.) al TPS o a la red en la que está contenido el TPS.</t>
  </si>
  <si>
    <t>LOC-21</t>
  </si>
  <si>
    <t>LOC-22</t>
  </si>
  <si>
    <t>Realizar fusión con imágenes de pacientes diferentes o estudios diferentes/incorrectos.</t>
  </si>
  <si>
    <t>LOC-23</t>
  </si>
  <si>
    <t>DEL-01</t>
  </si>
  <si>
    <t>Omitir la delineación en el TPS de uno, varios o todos los órganos de riesgo.</t>
  </si>
  <si>
    <t>DEL-02</t>
  </si>
  <si>
    <t>Delinear o nombrar incorrectamente un órgano de riesgo en el TPS.</t>
  </si>
  <si>
    <t>DEL-03</t>
  </si>
  <si>
    <t>DEL-04</t>
  </si>
  <si>
    <t>Denominar erróneamente los volúmenes de tratamiento delineados en el TPS.</t>
  </si>
  <si>
    <t>DEL-05</t>
  </si>
  <si>
    <t>Omitir la delineación en el TPS de uno o varios CTVs secundarios prescritos.</t>
  </si>
  <si>
    <t>DEL-06</t>
  </si>
  <si>
    <t>Delinear incorrectamente el PTV .</t>
  </si>
  <si>
    <t>PLA-01</t>
  </si>
  <si>
    <t>PLA-02</t>
  </si>
  <si>
    <t>PLA-03</t>
  </si>
  <si>
    <t>PLA-04</t>
  </si>
  <si>
    <t>Seleccionar un estudio incorrecto para la planificación (p.ej.: fase errónea de un estudio 4D CT).</t>
  </si>
  <si>
    <t>PLA-05</t>
  </si>
  <si>
    <t>No asignar o asignar incorrectamente el origen de coordenadas a partir de las marcas de TC.</t>
  </si>
  <si>
    <t>PLA-06</t>
  </si>
  <si>
    <t>No tener en cuenta la absorción de la mesa en la planificación del tratamiento o utilizar una mesa distinta de la mesa del acelerador.</t>
  </si>
  <si>
    <t>PLA-07</t>
  </si>
  <si>
    <t>No corregir o corregir incorrectamente la densidad de heterogeneidades.</t>
  </si>
  <si>
    <t>PLA-08</t>
  </si>
  <si>
    <t>Utilizar una curva de conversión a densidad electrónica incorrecta.</t>
  </si>
  <si>
    <t>PLA-09</t>
  </si>
  <si>
    <t>Seleccionar durante el proceso de planificación una unidad de tratamiento diferente de la deseada.</t>
  </si>
  <si>
    <t>PLA-10</t>
  </si>
  <si>
    <t>Planificar incorrectamente por uso de parámetros no adecuados.</t>
  </si>
  <si>
    <t>PLA-11</t>
  </si>
  <si>
    <t>PLA-12</t>
  </si>
  <si>
    <t>Hacer modificaciones a los procedimientos de uso y/o modelado del TPS y no realizar la validación de dichas modificaciones antes de utilizar el TPS en la planificación de los tratamientos.</t>
  </si>
  <si>
    <t>PLA-13</t>
  </si>
  <si>
    <t>Omitir la planificación dosimétrica de localizaciones secundarias requeridas.</t>
  </si>
  <si>
    <t>PLA-14</t>
  </si>
  <si>
    <t>PLA-15</t>
  </si>
  <si>
    <t>Fallo del TPS.</t>
  </si>
  <si>
    <t>PLA-16</t>
  </si>
  <si>
    <t>PLA-17</t>
  </si>
  <si>
    <t>PLA-18</t>
  </si>
  <si>
    <t>VER-01</t>
  </si>
  <si>
    <t>Fallo en la transferencia de la información electrónica del plan de tratamiento del TPS a la red o al PC de tratamiento.</t>
  </si>
  <si>
    <t>VER-02</t>
  </si>
  <si>
    <t>Agendar por error un tratamiento con un fraccionamiento distinto del previsto.</t>
  </si>
  <si>
    <t>VER-03</t>
  </si>
  <si>
    <t>Realizar la verificación del plan en modo tratamiento.</t>
  </si>
  <si>
    <t>VER-04</t>
  </si>
  <si>
    <t>Modificación incorrecta del plan inicial considerando los resultados de una verificación pre-tratamiento incorrectamente realizada.</t>
  </si>
  <si>
    <t>SIN-01</t>
  </si>
  <si>
    <t>Omitir o realizar con retraso el inicio de tratamiento de un paciente debido a una tarea incompleta en alguna de las etapas previas.</t>
  </si>
  <si>
    <t>SIN-02</t>
  </si>
  <si>
    <t xml:space="preserve"> Realizar el tratamiento en un modo respiratorio distinto del  planificado.</t>
  </si>
  <si>
    <t>SIN-03</t>
  </si>
  <si>
    <t>Impartir el tratamiento de un paciente con un plan de verificación que no se contabiliza como sesión de tratamiento.</t>
  </si>
  <si>
    <t>SIN-04</t>
  </si>
  <si>
    <t>Impartir el tratamiento de un paciente con un plan modificado para las medidas de verificación.</t>
  </si>
  <si>
    <t>SIN-05</t>
  </si>
  <si>
    <t>Seleccionar en el PC de tratamiento paciente erróneo.</t>
  </si>
  <si>
    <t>SIN-06</t>
  </si>
  <si>
    <t>Identificar incorrectamente al paciente para el inicio del tratamiento o que se identifique correctamente pero que se presente otro por error.</t>
  </si>
  <si>
    <t>SIN-07</t>
  </si>
  <si>
    <t>Colocar erróneamente al paciente en la mesa de tratamiento (error prono/supino, cabeza/pie) en el inicio del tratamiento.</t>
  </si>
  <si>
    <t>SIN-08</t>
  </si>
  <si>
    <t>Utilizar inmovilizadores de otro paciente.</t>
  </si>
  <si>
    <t>SIN-09</t>
  </si>
  <si>
    <t>SIN-10</t>
  </si>
  <si>
    <t>No colocar algún sistema de inmovilización o colocarlos mal.</t>
  </si>
  <si>
    <t>SIN-11</t>
  </si>
  <si>
    <t>Desviación de la alineación de los láseres.</t>
  </si>
  <si>
    <t>SIN-12</t>
  </si>
  <si>
    <t>Desviación óptica de la distancia (telémetro y retícula).</t>
  </si>
  <si>
    <t>SIN-13</t>
  </si>
  <si>
    <t>Colocar erróneamente al paciente respecto al isocentro planificado.</t>
  </si>
  <si>
    <t>SIN-14</t>
  </si>
  <si>
    <t>SIN-15</t>
  </si>
  <si>
    <t>Movimientos incorrectos de los elementos mecánicos del sistema de IGRT.</t>
  </si>
  <si>
    <t>SIN-16</t>
  </si>
  <si>
    <t>Movimiento de retorno automático incorrecto de la mesa, de la posición de realización de la imagen de verificación al isocentro.</t>
  </si>
  <si>
    <t>SIN-17</t>
  </si>
  <si>
    <t>Realizar erróneamente la fusión de IGRT.</t>
  </si>
  <si>
    <t>SIN-18</t>
  </si>
  <si>
    <t>Realizar la corrección manual de las coordenadas del isocentro erróneamente o no corregir los desplazamientos.</t>
  </si>
  <si>
    <t>SIN-19</t>
  </si>
  <si>
    <t>Fallo en el sistema automático de corrección de las coordenadas del isocentro.</t>
  </si>
  <si>
    <t>SIN-20</t>
  </si>
  <si>
    <t>Mover incorrectamente los ángulos de la mesa de tratamiento de manera manual.</t>
  </si>
  <si>
    <t>SIN-21</t>
  </si>
  <si>
    <t>SIN-22</t>
  </si>
  <si>
    <t>Omitir la modificación del plan de tratamiento tras aprobarse un cambio.</t>
  </si>
  <si>
    <t>SIN-23</t>
  </si>
  <si>
    <t>Incorporar incorrectamente la modificación del plan de tratamiento tras aprobarse un cambio.</t>
  </si>
  <si>
    <t>TTD-01</t>
  </si>
  <si>
    <t>Identificar incorrectamente al paciente en el tratamiento diario o que se identifique correctamente pero que se presente otro por error.</t>
  </si>
  <si>
    <t>TTD-02</t>
  </si>
  <si>
    <t>TTD-03</t>
  </si>
  <si>
    <t>Colocar erróneamente al paciente en la mesa de tratamiento (error prono/supino, cabeza/pie) para el tratamiento diario.</t>
  </si>
  <si>
    <t>TTD-04</t>
  </si>
  <si>
    <t>TTD-05</t>
  </si>
  <si>
    <t>TTD-06</t>
  </si>
  <si>
    <t>TTD-07</t>
  </si>
  <si>
    <t>Realizar desplazamientos erróneos de marcas TC al isocentro.</t>
  </si>
  <si>
    <t>TTD-08</t>
  </si>
  <si>
    <t>Omitir o colocar incorrectamente los bolus, o colocar bolus erróneos, en el tratamiento diario.</t>
  </si>
  <si>
    <t>TTD-09</t>
  </si>
  <si>
    <t>TTD-10</t>
  </si>
  <si>
    <t>TTD-11</t>
  </si>
  <si>
    <t>TTD-12</t>
  </si>
  <si>
    <t>Posicionar erróneamente el o los accesorios de seguimiento de la respiración.</t>
  </si>
  <si>
    <t>TTD-13</t>
  </si>
  <si>
    <t>TTD-14</t>
  </si>
  <si>
    <t>TTD-15</t>
  </si>
  <si>
    <t>TTD-16</t>
  </si>
  <si>
    <t>TTD-17</t>
  </si>
  <si>
    <t>TTD-18</t>
  </si>
  <si>
    <t>TTD-19</t>
  </si>
  <si>
    <t>Dar una sesión de tratamiento en un modo respiratorio distinto del  planificado.</t>
  </si>
  <si>
    <t>TTD-20</t>
  </si>
  <si>
    <t>Seleccionar en el PC de tratamiento una localización (isocentro) de tratamiento errónea.</t>
  </si>
  <si>
    <t>TTD-21</t>
  </si>
  <si>
    <t>TTD-22</t>
  </si>
  <si>
    <t>Omitir una sesión de tratamiento diario.</t>
  </si>
  <si>
    <t>TTD-23</t>
  </si>
  <si>
    <t>Omitir la ejecución de un arco o campo .</t>
  </si>
  <si>
    <t>TTD-24</t>
  </si>
  <si>
    <t>Finalizar incorrectamente un tratamiento tras una interrupción por una asignación incorrecta de las UM restantes.</t>
  </si>
  <si>
    <t>TTD-25</t>
  </si>
  <si>
    <t>Administrar por error una o más sesiones de tratamiento diario una vez alcanzado el número prescrito de sesiones.</t>
  </si>
  <si>
    <t>TTD-26</t>
  </si>
  <si>
    <t>Administrar por error el tratamiento diario de un paciente dos veces en un mismo día.</t>
  </si>
  <si>
    <t>TTD-27</t>
  </si>
  <si>
    <t>Irradiar dos veces el mismo arco o campo.</t>
  </si>
  <si>
    <t>TTD-28</t>
  </si>
  <si>
    <t>Movimiento significativo (observable) del paciente, de forma voluntaria o involuntaria.</t>
  </si>
  <si>
    <t>DEC-X1</t>
  </si>
  <si>
    <t>DEC-09</t>
  </si>
  <si>
    <t>DEC-10</t>
  </si>
  <si>
    <t>DEC-XX</t>
  </si>
  <si>
    <t>LOC-XX</t>
  </si>
  <si>
    <t>DEL-07</t>
  </si>
  <si>
    <t>PLA-XX</t>
  </si>
  <si>
    <t>VER-XX</t>
  </si>
  <si>
    <t>SIN-XX</t>
  </si>
  <si>
    <t>SIN-X1</t>
  </si>
  <si>
    <t>TTD-29</t>
  </si>
  <si>
    <t>TTD-XX</t>
  </si>
  <si>
    <t>TTD-X1</t>
  </si>
  <si>
    <t>TTD-30</t>
  </si>
  <si>
    <t>MARRTA0</t>
  </si>
  <si>
    <t>MARRTA1</t>
  </si>
  <si>
    <t>[AL-PAC04.01]</t>
  </si>
  <si>
    <t>[AL-PAC04.05]</t>
  </si>
  <si>
    <t>[AL-PAC04.06]</t>
  </si>
  <si>
    <t>[AL-PAC04.07]</t>
  </si>
  <si>
    <t>[AL-PAC04.08]</t>
  </si>
  <si>
    <t>[AL-PAC05.01]</t>
  </si>
  <si>
    <t>[AL-PAC05.02]</t>
  </si>
  <si>
    <t>[AL-PAC05.03]</t>
  </si>
  <si>
    <t>[AL-PAC05.06]</t>
  </si>
  <si>
    <t>[AL-PAC02.17]</t>
  </si>
  <si>
    <t>[AL-PAC05.04]</t>
  </si>
  <si>
    <t>[AL-PAC05.09]</t>
  </si>
  <si>
    <t>[AL-PAC05.05]</t>
  </si>
  <si>
    <t>[AL-PAC05.07]</t>
  </si>
  <si>
    <t>[AL-PAC05.08]</t>
  </si>
  <si>
    <t>[AL-PAC05.10]</t>
  </si>
  <si>
    <t>[AL-PAC06.04]</t>
  </si>
  <si>
    <t>[AL-PAC06.01]</t>
  </si>
  <si>
    <t>[AL-PAC06.02]</t>
  </si>
  <si>
    <t>[AL-PAC06.03]</t>
  </si>
  <si>
    <t>[AL-PAC06.05]</t>
  </si>
  <si>
    <t>[AL-PAC07.17]</t>
  </si>
  <si>
    <t>[AL-PAC07.11]</t>
  </si>
  <si>
    <t>[AL-PAC07.03]</t>
  </si>
  <si>
    <t>[AL-PAC07.02]</t>
  </si>
  <si>
    <t>[AL-PAC07.16]</t>
  </si>
  <si>
    <t>[AL-PAC07.15]</t>
  </si>
  <si>
    <t>[AL-PAC07.13]</t>
  </si>
  <si>
    <t>[AL-PAC09.05]</t>
  </si>
  <si>
    <t>[AL-PAC09.06]</t>
  </si>
  <si>
    <t>[AL-PAC10.06b]</t>
  </si>
  <si>
    <t>[AL-PAC10.50]</t>
  </si>
  <si>
    <t>[AL-PAC10.51]</t>
  </si>
  <si>
    <t>[AL-PAC09.11]</t>
  </si>
  <si>
    <t>[AL-PAC09.09]</t>
  </si>
  <si>
    <t>[AL-PAC09.17]</t>
  </si>
  <si>
    <t>[AL-PAC09.14a]</t>
  </si>
  <si>
    <t>[AL-PAC09.14b]</t>
  </si>
  <si>
    <t>[AL-PAC10.02]</t>
  </si>
  <si>
    <t>[AL-PAC10.06a]</t>
  </si>
  <si>
    <t>[AL-PAC10.08]</t>
  </si>
  <si>
    <t>[AL-PAC10.12]</t>
  </si>
  <si>
    <t>[AL-PAC10.05]</t>
  </si>
  <si>
    <t xml:space="preserve">[AL-PAC10.10] </t>
  </si>
  <si>
    <t>[AL-PAC10.16]</t>
  </si>
  <si>
    <t>[AL-PAC10.17]</t>
  </si>
  <si>
    <t>[AL-PAC10.18]</t>
  </si>
  <si>
    <t>[AL-PAC10.19a]</t>
  </si>
  <si>
    <t>[AL-PAC10.20]</t>
  </si>
  <si>
    <t>[AL-PAC10.22]</t>
  </si>
  <si>
    <t>[AL-PAC10.25]</t>
  </si>
  <si>
    <t>RF-ACE-001</t>
  </si>
  <si>
    <t>RF-ACE-002</t>
  </si>
  <si>
    <t>RF-ACE-003</t>
  </si>
  <si>
    <t>RF-CON-001</t>
  </si>
  <si>
    <t>RF-CON-002</t>
  </si>
  <si>
    <t>RF-DEC-001</t>
  </si>
  <si>
    <t>RF-DEC-002</t>
  </si>
  <si>
    <t>RF-DEC-003</t>
  </si>
  <si>
    <t>RF-DEL-001</t>
  </si>
  <si>
    <t>RF-DEL-002</t>
  </si>
  <si>
    <t>RF-DEL-003</t>
  </si>
  <si>
    <t>RF-DEF-001</t>
  </si>
  <si>
    <t>RF-DEV-001</t>
  </si>
  <si>
    <t>RF-DEV-002</t>
  </si>
  <si>
    <t>RF-DEV-003</t>
  </si>
  <si>
    <t>RF-DEV-004</t>
  </si>
  <si>
    <t>RF-DEV-005</t>
  </si>
  <si>
    <t>RF-DEV-006</t>
  </si>
  <si>
    <t>RF-DEV-007</t>
  </si>
  <si>
    <t>RF-IDE-001</t>
  </si>
  <si>
    <t>RF-IDE-002</t>
  </si>
  <si>
    <t>RF-IDE-003</t>
  </si>
  <si>
    <t>RF-IDE-004</t>
  </si>
  <si>
    <t>RF-LOC-001</t>
  </si>
  <si>
    <t>RF-LOC-002</t>
  </si>
  <si>
    <t>RF-LOC-003</t>
  </si>
  <si>
    <t>RF-LOC-004</t>
  </si>
  <si>
    <t>RF-LOC-005</t>
  </si>
  <si>
    <t>RF-LOC-006</t>
  </si>
  <si>
    <t>RF-LOC-007</t>
  </si>
  <si>
    <t>RF-LOC-008</t>
  </si>
  <si>
    <t>RF-LOC-009</t>
  </si>
  <si>
    <t>RF-LOC-010</t>
  </si>
  <si>
    <t>RF-PLA-001</t>
  </si>
  <si>
    <t>RF-PLA-002</t>
  </si>
  <si>
    <t>RF-PLA-003</t>
  </si>
  <si>
    <t>RF-PLA-004</t>
  </si>
  <si>
    <t>RF-PLA-005</t>
  </si>
  <si>
    <t>RF-PLA-006</t>
  </si>
  <si>
    <t>RF-SIN-001</t>
  </si>
  <si>
    <t>RF-SIN-002</t>
  </si>
  <si>
    <t>RF-SIN-003</t>
  </si>
  <si>
    <t>RF-SIN-004</t>
  </si>
  <si>
    <t>RF-SIN-005</t>
  </si>
  <si>
    <t>RF-SIN-006</t>
  </si>
  <si>
    <t>RF-TTD-001</t>
  </si>
  <si>
    <t>RF-TTD-002</t>
  </si>
  <si>
    <t>RF-TTD-003</t>
  </si>
  <si>
    <t>RF-TTD-004</t>
  </si>
  <si>
    <t>RF-TTD-005</t>
  </si>
  <si>
    <t>RF-TTD-006</t>
  </si>
  <si>
    <t>RF-TTD-007</t>
  </si>
  <si>
    <t>RF-VER-001</t>
  </si>
  <si>
    <t>RF-VER-002</t>
  </si>
  <si>
    <t>RF-VER-003</t>
  </si>
  <si>
    <t>Protocolos nacionales o internacionales para la aceptación y puesta en servicio del TPS.</t>
  </si>
  <si>
    <t>Sistema de control de las condiciones ambientales (temperatura, humedad) y de suministro (eléctrico, agua) para mantenerse dentro de los parámetros de funcionamiento del acelerador recomendados por el fabricante.</t>
  </si>
  <si>
    <t>Protocolos establecidos para los estados de referencia inicial y los controles de calidad.</t>
  </si>
  <si>
    <t>Programa de mantenimiento preventivo.</t>
  </si>
  <si>
    <t>Protocolos clínicos escritos que avalen y formalicen los procedimientos de trabajo.</t>
  </si>
  <si>
    <t>Plantillas de prescripción que cargan automáticamente los volúmenes y sus nombres estandarizados para su delineación, así como los objetivos de dosis. Si se realiza mediante protocolo sin automatismo la robustez se reduciría a Normal.</t>
  </si>
  <si>
    <t>Sistema integrado en la red de radioterapia (OIS) en el que se pueda consultar toda la información asociada al paciente que puede incluir imágenes e historia clínica.</t>
  </si>
  <si>
    <t>Procedimiento de trabajo por el que se establece incluir en el nombre de los volúmenes a tratar la localización anatómica. (Ejemplo: PTV1_dorsal, PTV2_lumbar,etc.).</t>
  </si>
  <si>
    <t>Herramienta de autosegmentación o delineación automática.</t>
  </si>
  <si>
    <t>Establecer usuarios con contraseña y perfil para que nadie sin autorización y formación adecuada pueda cambiar inadvertidamente parámetros del TPS.</t>
  </si>
  <si>
    <t>Mantener la carga de trabajo moderada, esto es, aquella carga que permite realizar las tareas en el momento y orden adecuados, consultando la información necesaria y con tiempo para asegurarse de que se está realizando correctamente.</t>
  </si>
  <si>
    <t>Mantener las condiciones de trabajo propiciando la concentración para evitar distracciones. Área/tiempos sin interrupciones.</t>
  </si>
  <si>
    <t>Procedimiento para implementar cambios en los tratamientos.</t>
  </si>
  <si>
    <t>Capacitación y formación de profesionales implicados.</t>
  </si>
  <si>
    <t>Utilización de un flujo automático de trabajo en la red de radioterapia que permite la concatenación de actividades asociadas al tratamiento de un paciente.  Puede incluir la consulta de datos e imágenes de historia clínica.</t>
  </si>
  <si>
    <t>Procedimiento por el que se inserta la fotografía de posicionamiento del paciente en la hoja de tratamiento electrónica.</t>
  </si>
  <si>
    <t>Existencia de una fotografía del paciente realizada en una etapa previa.</t>
  </si>
  <si>
    <t>Comprobación de la identidad del paciente mediante sistemas electrónicos de identificación.</t>
  </si>
  <si>
    <t>Comprobación de los accesorios de inmovilización antes de su uso.</t>
  </si>
  <si>
    <t>Protocolo y ficha para el posicionamiento, inmovilización y adquisición de imágenes para la planificación del tratamiento.</t>
  </si>
  <si>
    <t>Procedimiento establecido para la compra y revisión de los inmovilizadores.</t>
  </si>
  <si>
    <t>Entregar al paciente información (escrita, vídeos, etc.) sobre cómo debe prepararse para la obtención de imágenes y/o su tratamiento. Esta información  se puede complementar con una llamada o recordatorio.</t>
  </si>
  <si>
    <t>Disponer de protocolos para la realización de fusión de imágenes por localización anatómica.</t>
  </si>
  <si>
    <t>Procedimiento que consiste en tatuar la posición del sistema de seguimiento de la respiración durante la etapa de adquisición de imágenes para la planificación.</t>
  </si>
  <si>
    <t>Protocolos de planificación.</t>
  </si>
  <si>
    <t>Procedimientos para el uso (incluyendo las recomendaciones del fabricante) para el uso y modelado del TPS. Este procedimiento puede indicar los parámetros y la secuencia de pasos que deben realizarse para planificar el tratamiento. Accidente de Panamá.</t>
  </si>
  <si>
    <t>Prohibición explícita  que refiere a prohibir la utilización del planificador en modos no autorizados o contemplados por el vendedor, como puede ser la modificación de archivos, el cambio de localización en el sistema de archivos, etc. Accidente de Panamá.</t>
  </si>
  <si>
    <t>Identificación automática de la fuente de imagen y asociación de la curva de conversión a densidad electrónica correspondiente.</t>
  </si>
  <si>
    <t>Uso de desplazamiento automático de la mesa.</t>
  </si>
  <si>
    <t>Procedimiento por el que se establece una secuencia lógica de campos editada en el acelerador.</t>
  </si>
  <si>
    <t>Secuencia automática de campos para tratar todos sin tener que cargarlos uno a uno.</t>
  </si>
  <si>
    <t>Protocolo que incluya los parámetros de fusión adecuados, metodología de fusión y opciones para comprobar que la fusión es correcta.</t>
  </si>
  <si>
    <t>Utilización de un campo de colocación con la forma del bolus sobre el paciente desde el sistema de planificación cuya simulación luminosa guíe sobre donde se ha de colocar el bolus de tratamiento.</t>
  </si>
  <si>
    <t>Procedimiento por el que se establece un sistema de identificación del bolus con los datos del paciente.</t>
  </si>
  <si>
    <t>Procedimiento por el que se indica mediante una nota en el campo correspondiente la presencia de bolus para que aparezca una indicación clara al descargarlo mediante la red.</t>
  </si>
  <si>
    <t>Instrucciones al paciente para que no se mueva durante el tratamiento.</t>
  </si>
  <si>
    <t>Procedimiento que prohíbe la modificación manual de planes en la red.</t>
  </si>
  <si>
    <t>Protocolo por el que, una vez completada la verificación, el plan de verificación se desautoriza o elimina.</t>
  </si>
  <si>
    <t>RF-17</t>
  </si>
  <si>
    <t>RF-DEC-004</t>
  </si>
  <si>
    <t>RF-1</t>
  </si>
  <si>
    <t>RF-6</t>
  </si>
  <si>
    <t>RF-7</t>
  </si>
  <si>
    <t>RF-12</t>
  </si>
  <si>
    <t>RF-5</t>
  </si>
  <si>
    <t>RF-13</t>
  </si>
  <si>
    <t>RF-IDE-006</t>
  </si>
  <si>
    <t>RF-2</t>
  </si>
  <si>
    <t>RF-3</t>
  </si>
  <si>
    <t>RF-4</t>
  </si>
  <si>
    <t>RF-8</t>
  </si>
  <si>
    <t>RF-20</t>
  </si>
  <si>
    <t>RF-9</t>
  </si>
  <si>
    <t>RF-10</t>
  </si>
  <si>
    <t>RF-11</t>
  </si>
  <si>
    <t>RF-14</t>
  </si>
  <si>
    <t>RF-18</t>
  </si>
  <si>
    <t>RF-TTD-008</t>
  </si>
  <si>
    <t>RF-15</t>
  </si>
  <si>
    <t>RF-22</t>
  </si>
  <si>
    <t>RC-CON-001</t>
  </si>
  <si>
    <t>RC-CON-002</t>
  </si>
  <si>
    <t>RC-CON-003</t>
  </si>
  <si>
    <t>RC-CON-004</t>
  </si>
  <si>
    <t>RC-CON-006</t>
  </si>
  <si>
    <t>RC-CON-005</t>
  </si>
  <si>
    <t>RC-CON-007</t>
  </si>
  <si>
    <t>RC-CON-008</t>
  </si>
  <si>
    <t>RF-CON-003</t>
  </si>
  <si>
    <t>RC-DEV-001</t>
  </si>
  <si>
    <t>RC-DEV-002</t>
  </si>
  <si>
    <t>RC-DEV-003</t>
  </si>
  <si>
    <t>RC-DEV-004</t>
  </si>
  <si>
    <t>RC-TTD-001</t>
  </si>
  <si>
    <t>RC-TTD-002</t>
  </si>
  <si>
    <t>RC-TTD-003</t>
  </si>
  <si>
    <t>RC-TTD-004</t>
  </si>
  <si>
    <t>RC-TTD-005</t>
  </si>
  <si>
    <t>RC-TTD-006</t>
  </si>
  <si>
    <t>RC-TTD-008</t>
  </si>
  <si>
    <t>RC-TTD-007</t>
  </si>
  <si>
    <t>RC-TTD-009</t>
  </si>
  <si>
    <t>RC-TTD-XXX</t>
  </si>
  <si>
    <t>RC-TTD-XX1</t>
  </si>
  <si>
    <t>Pruebas de QA del sistema de adquisición de imágenes. Incluyen parámetros de desplazamientos adecuados, calidad de imagen y dosis asociada.</t>
  </si>
  <si>
    <t xml:space="preserve">Programa de control de calidad periódico de TPS. </t>
  </si>
  <si>
    <t>Control de calidad de los sistemas de inmovilización.</t>
  </si>
  <si>
    <t>Control periódico de la coincidencia de isocentro de imagen con isocentro de radiación.</t>
  </si>
  <si>
    <t>Revisión semanal de la ficha de tratamiento. Esta verificación puede apoyarse en una lista de chequeo y en scripts o automatismos para verificar el desarrollo del tratamiento según el plan previsto.</t>
  </si>
  <si>
    <t>Mantener las condiciones de trabajo propiciando la concentración para evitar distracciones. Área/tiempos sin interrupciones</t>
  </si>
  <si>
    <t>Evaluación de la dosimetría sobre la imagen de CBCT.</t>
  </si>
  <si>
    <t>Observación del transcurso del tratamiento por el circuito cerrado de TV y accionamiento del botón de emergencia.</t>
  </si>
  <si>
    <t>Uso del intercomunicador en la sala de control que permite la comunicación bidireccional entre el paciente y los TSRTyD para interrumpir el tratamiento.</t>
  </si>
  <si>
    <t>Sistema que monitoriza en tiempo real la fluencia del haz antes o después del paciente y que permite avisar de desviaciones respecto a lo previsto.</t>
  </si>
  <si>
    <t>Revisión periódica de los registros respiratorios de tratamiento y comparación con la referencia.</t>
  </si>
  <si>
    <t>BA-DEL-001</t>
  </si>
  <si>
    <t>BA-DEC-001</t>
  </si>
  <si>
    <t>BA-DEC-002</t>
  </si>
  <si>
    <t>BA-DEC-003</t>
  </si>
  <si>
    <t>BA-DEF-001</t>
  </si>
  <si>
    <t>BA-DEF-002</t>
  </si>
  <si>
    <t>BA-DEF-003</t>
  </si>
  <si>
    <t>BA-DEF-004</t>
  </si>
  <si>
    <t>BA-DEF-005</t>
  </si>
  <si>
    <t>BA-DEF-006</t>
  </si>
  <si>
    <t>BA-DEF-007</t>
  </si>
  <si>
    <t>BA-DEF-008</t>
  </si>
  <si>
    <t>BA-DEF-009</t>
  </si>
  <si>
    <t>BA-DEL-002</t>
  </si>
  <si>
    <t>BA-DEV-001</t>
  </si>
  <si>
    <t>BA-DEV-002</t>
  </si>
  <si>
    <t>BA-DEV-003</t>
  </si>
  <si>
    <t>BA-DEV-004</t>
  </si>
  <si>
    <t>BA-DEV-005</t>
  </si>
  <si>
    <t>BA-DEV-006</t>
  </si>
  <si>
    <t>BA-IDE-001</t>
  </si>
  <si>
    <t>BA-IDE-002</t>
  </si>
  <si>
    <t>BA-IDE-003</t>
  </si>
  <si>
    <t>BA-LOC-001</t>
  </si>
  <si>
    <t>BA-LOC-002</t>
  </si>
  <si>
    <t>BA-LOC-003</t>
  </si>
  <si>
    <t>BA-LOC-004</t>
  </si>
  <si>
    <t>BA-LOC-006</t>
  </si>
  <si>
    <t>BA-LOC-007</t>
  </si>
  <si>
    <t>BA-LOC-008</t>
  </si>
  <si>
    <t>BA-LOC-009</t>
  </si>
  <si>
    <t>BA-MAN-001</t>
  </si>
  <si>
    <t>BA-PLA-001</t>
  </si>
  <si>
    <t>BA-PLA-002</t>
  </si>
  <si>
    <t>BA-PLA-003</t>
  </si>
  <si>
    <t>BA-PLA-004</t>
  </si>
  <si>
    <t>BA-PLA-005</t>
  </si>
  <si>
    <t>BA-PLA-006</t>
  </si>
  <si>
    <t>BA-PLA-007</t>
  </si>
  <si>
    <t>BA-SIN-001</t>
  </si>
  <si>
    <t>BA-SIN-002</t>
  </si>
  <si>
    <t>BA-SIN-003</t>
  </si>
  <si>
    <t>BA-SIN-004</t>
  </si>
  <si>
    <t>BA-SIN-005</t>
  </si>
  <si>
    <t>BA-SIN-006</t>
  </si>
  <si>
    <t>BA-SIN-007</t>
  </si>
  <si>
    <t>BA-SIN-008</t>
  </si>
  <si>
    <t>BA-SIN-009</t>
  </si>
  <si>
    <t>BA-SIN-010</t>
  </si>
  <si>
    <t>BA-TTD-001</t>
  </si>
  <si>
    <t>BA-TTD-002</t>
  </si>
  <si>
    <t>BA-TTD-003</t>
  </si>
  <si>
    <t>BA-TTD-004</t>
  </si>
  <si>
    <t>BA-VER-001</t>
  </si>
  <si>
    <t>BA-VER-002</t>
  </si>
  <si>
    <t>BA-VER-003</t>
  </si>
  <si>
    <t>BA-VER-004</t>
  </si>
  <si>
    <t>BA-VER-005</t>
  </si>
  <si>
    <t>BA-VER-006</t>
  </si>
  <si>
    <t>BA-VER-007</t>
  </si>
  <si>
    <t>BA-1</t>
  </si>
  <si>
    <t>BA-4</t>
  </si>
  <si>
    <t>BA-5</t>
  </si>
  <si>
    <t>BA-8</t>
  </si>
  <si>
    <t>BA-10</t>
  </si>
  <si>
    <t>BA-11</t>
  </si>
  <si>
    <t>BA-6</t>
  </si>
  <si>
    <t>BA-LOC-005</t>
  </si>
  <si>
    <t>BA-2</t>
  </si>
  <si>
    <t>BA-PLA-008</t>
  </si>
  <si>
    <t>BA-SIN-011</t>
  </si>
  <si>
    <t>BA-SIN-012</t>
  </si>
  <si>
    <t>BA-9</t>
  </si>
  <si>
    <t>BA-TTD-005</t>
  </si>
  <si>
    <t>Presentación y discusión de nuevos pacientes en sesión clínica de los Oncólogos Radioterápicos de la propia instalación.</t>
  </si>
  <si>
    <t>El protocolo de planificación espera unos ROIs. La comparación automática (scripts/templates) de los datos introducidos para la planificación con los requeridos para ese tipo de planificación, permite detectar errores de prescripción (dosis, nombres de PTV y OR, etc.).</t>
  </si>
  <si>
    <t>Selección automática de la historia clínica digitalizada del paciente mediante la lectura de la tarjeta sanitaria, DNI o similar.</t>
  </si>
  <si>
    <t>Enclavamiento del sistema de registro y verificación. Este sistema electrónico registra y verifica toda la información sobre el tratamiento administrado a un paciente, comparando con el tratamiento planificado y agendado, e impide tratar si detecta inconsistencias.</t>
  </si>
  <si>
    <t>Aviso o alarma del sistema de registro y verificación. Sistema electrónico que registra y verifica toda la información sobre el tratamiento administrado a un paciente y muestra un aviso o alarma si detecta inconsistencias.</t>
  </si>
  <si>
    <t>Enclavamiento que impide irradiar si el ángulo de la mesa de tratamiento no coincide con el definido en el plan de tratamiento.</t>
  </si>
  <si>
    <t>Enclavamiento que impide irradiar si la posición de la mesa de tratamiento no coincide con la definida en el plan de tratamiento o en la sesión inicial.</t>
  </si>
  <si>
    <t>Sistema automático para verificar la integridad en la transferencia de datos, ya sea del TC al TPS, o del TPS a la red.</t>
  </si>
  <si>
    <t>Alerta de software indicando que la transferencia e importación de datos o imágenes ha sido incorrecta.</t>
  </si>
  <si>
    <t>Alerta de la red de radioterapia al responsable de la tarea y/o al responsable del flujo de paciente cuando el tiempo para realizar la tarea exceda del programado.</t>
  </si>
  <si>
    <t>Enclavamiento del sistema de imagen que no permite su uso si no está en su posición (receptor de imagen y tubo de RX).</t>
  </si>
  <si>
    <t xml:space="preserve">Enclavamiento del equipo que impide el disparo o lo detiene en caso de detectarse el fallo de un componente que produce una variación de parámetros dosimétricos o geométricos del equipo fuera de tolerancias. Por ejemplo: enclavamiento por error de la posición del gantry, enclavamiento por errores del sistema de deflexión del haz, enclavamiento por error de posición del MLC, etc. </t>
  </si>
  <si>
    <t>La delineación de los volúmenes a tratar y de los órganos críticos por parte del ORT o TSRTyD permite detectar errores cometidos en las etapas previas, es decir, en la de prescripción del tratamiento o en la toma de datos anatómicos.</t>
  </si>
  <si>
    <t>La revisión de la delineación de los órganos críticos por parte del oncólogo radioterápico permite detectar errores cometidos en las etapas previas, es decir, en la de prescripción del tratamiento o en la toma de datos anatómicos.</t>
  </si>
  <si>
    <t>Verificación mediante 'Listas de chequeo' u 'Hojas de Verificación'. Son formatos creados para controlar de forma secuencial y sistemática el cumplimiento de una lista de requisitos. Se usan para asegurar que se verifican de una forma ordenada y exhaustiva los parámetros que se considere de mayor relevancia antes de una acción que supone el final de una serie de tareas (p. ej.: antes de aprobar un plan o antes de irradiar al paciente).</t>
  </si>
  <si>
    <t>La revisión médica semanal del paciente permite la detección de errores en la administración del tratamiento o en las etapas previas.</t>
  </si>
  <si>
    <t xml:space="preserve"> La revisión semanal y al final del tratamiento de la ficha de tratamiento ('chart check') por parte del radiofísico que permite comprobar que el tratamiento se está administrando según lo planificado.</t>
  </si>
  <si>
    <t>Entrega al paciente de cita para un nuevo inicio de tratamiento (p. ej.: con una nueva tarjeta de sesión inicial de tratamiento), anulando la cita de continuación de tratamiento de forma que se impide que el paciente se trate en caso de modificaciones del plan de tratamiento que requieren replanificación.</t>
  </si>
  <si>
    <t>Presentación y discusión de los casos previa al inicio de tratamiento en sesión técnico/clínica diaria, con OR, RF y TSRTyD de la propia instalación (Peer Review Interno), en la que se discuten diversos aspectos del tratamiento incluyendo los posibles cambios del plan.</t>
  </si>
  <si>
    <t>Sistema alternativo de registro (tarjeta, hoja Excel, etc.) de la etapa del proceso en la que está cada paciente.</t>
  </si>
  <si>
    <t>Comprobación manual de la identidad del paciente (fotografía realizada en una etapa previa, preferiblemente en la creación de la historia clínica, DNI, número de historia, etc.) que permite detectar errores de identificación de paciente durante las etapas del proceso de tratamiento.</t>
  </si>
  <si>
    <t>Comprobación de la identidad del paciente preguntándole al propio paciente su nombre, apellidos, fecha de nacimiento y la zona a tratar.</t>
  </si>
  <si>
    <t>Comprobación de la identidad del paciente mediante sistemas electrónicos de identificación (código de chip, código de barras, lectura de huella digital, reconocimiento facial, etc.) que permite detectar errores de identificación de paciente durante las etapas del proceso de tratamiento.</t>
  </si>
  <si>
    <t>Verificación independiente por otro TSRTyD del proceso de colocación, protocolo de adquisición e imágenes durante el proceso de simulación.</t>
  </si>
  <si>
    <t>Verificación de las condiciones de preparación del paciente mediante la verificación de parámetros específicos en las imágenes adquiridas.  Sistema de comprobación de volúmenes (vejiga, recto, estómago, etc.), fase respiratoria, mediante medida de distancias y volúmenes que se comparan con unas tolerancias.</t>
  </si>
  <si>
    <t>Alerta del sistema indicando que no coinciden los datos de identificación del paciente con los datos demográficos asociados a las imágenes.</t>
  </si>
  <si>
    <t>Utilización de sistemas automáticos externos para la verificación del posicionamiento del paciente mediante el reconocimiento de superficies y seguimiento del ciclo respiratorio.</t>
  </si>
  <si>
    <t>Revisión redundante de las indicaciones para la obtención de imágenes y propuesta de inmovilización por parte de otro especialista (ORT, RF o TSRTyD).</t>
  </si>
  <si>
    <t xml:space="preserve">Presencia del ORT y, según el caso, RF o personal de enfermería, durante la adquisición de las imágenes.	</t>
  </si>
  <si>
    <t>Utilización de sistemas identificación electrónica para los inmovilizadores de forma que la máquina no permitirá irradiar con un inmovilizador correspondiente a otro paciente.</t>
  </si>
  <si>
    <t>Verificación de imágenes tras la realización del TC que pudieran detectar fallos.</t>
  </si>
  <si>
    <t>Revisión previa de las imágenes para la fusión por parte de un radiólogo o un médico nuclear.</t>
  </si>
  <si>
    <t>Verificación del TPS requerida por un procedimiento del servicio que establece la realización de controles (planificación y medición de casos) después de modificaciones del TPS que permite su validación y aprobación para uso clínico.</t>
  </si>
  <si>
    <t>La revisión previa a la planificación por el RFH o dosimetrista permite la comprobación de que los datos de prescripción e imágenes del paciente son correctos.</t>
  </si>
  <si>
    <t>Verificación de los resultados de la planificación mediante cálculo independiente de unidades monitor con otra herramienta que permite verificar que los datos y modelos del TPS son correctos.</t>
  </si>
  <si>
    <t>Verificación de los resultados de la planificación dosimétrica del tratamiento por un RF diferente a la persona que hizo la planificación. Puede ser realizada con metodologías diferentes y utilizar scripts para la verificación automática de diferentes parámetros.</t>
  </si>
  <si>
    <t>La evaluación conjunta del plan dosimétrico por parte del oncólogo radioterápico y el radiofísico durante la etapa de planificación dosimétrica del tratamiento permite detectar errores de dosimetría o geometría producidos en las etapas o pasos precedentes.</t>
  </si>
  <si>
    <t>La evaluación conjunta del nuevo plan dosimétrico por parte del oncólogo radioterápico y el radiofísico durante la etapa de planificación dosimétrica del tratamiento permite detectar errores de dosimetría o geometría producidos en las etapas o pasos precedentes.</t>
  </si>
  <si>
    <t>Enclavamiento que impide tratar al paciente en una máquina distinta a la asignada en el planificador.</t>
  </si>
  <si>
    <t>Aviso del software que indica que hay un diferencia entre los datos demográficos de la cabecera DICOM y los datos del paciente en el planificador.</t>
  </si>
  <si>
    <t xml:space="preserve"> La colocación e inmovilización del paciente en presencia del ORT y TSRTyD, y siempre que sea posible el RF, de acuerdo a un procedimiento que incluya las tareas de cada uno de los profesionales presentes en esa etapa permite detectar errores de geometría del tratamiento o de identificación del paciente en las etapas precedentes del proceso de planificación del tratamiento. La barrera es aplicable siempre que el error pueda ser detectado por las funciones que realiza cada uno de los profesionales y esa función no esté incluida explícitamente en alguna otra barrera asignada a este iniciador.</t>
  </si>
  <si>
    <t>La puesta en tratamiento del paciente para una nueva sesión en presencia del ORT y/o RF y/o TSRTyD de acuerdo a un procedimiento que incluya las tareas de cada uno de los profesionales presentes en esa etapa permite detectar errores de geometría del tratamiento o de identificación del paciente en las etapas precedentes del proceso de planificación del tratamiento. La barrera es aplicable siempre que el error pueda ser detectado por las funciones que realiza cada uno de los profesionales y esa función no esté incluida explícitamente en alguna otra barrera asignada a este iniciador.</t>
  </si>
  <si>
    <t>Los dispositivos de colocación e inmovilización personalizados fabricados durante la adquisición de sus datos anatómicos permiten detectar errores de reproducibilidad de la posición del paciente para el tratamiento.</t>
  </si>
  <si>
    <t>Verificación del correcto posicionamiento mediante la comprobación de la distancia fuente-superficie (DFS) y/o altura del isocentro sobre la mesa que permite detectar errores en el posicionamiento o geometría.</t>
  </si>
  <si>
    <t>Análisis de la imagen de verificación en sesión inicial y en algunas sesiones de tratamiento diario que permite detectar errores de geometría del tratamiento en las etapas o pasos precedentes del proceso.</t>
  </si>
  <si>
    <t>Preparación y revisión de toda la información relativa al tratamiento paciente en la red de radioterapia previamente a la sesión inicial. El TSRyD revisa que se han transferido correctamente todos los campos de tratamiento, que se ha creado la agenda de tratamiento, imágenes de .</t>
  </si>
  <si>
    <t>La realización y análisis diario de imágenes de IGRT permite detectar errores de identificación del paciente, de posicionamiento o cambios anatómicos en el paciente.</t>
  </si>
  <si>
    <t>En casos que se utilicen herramientas de fusión automática el resultado de la fusión será revisado por un profesional adecuado para esta tarea. Cuando la fusión la realice manualmente una persona, será comprobada por otra persona independiente.</t>
  </si>
  <si>
    <t>Realizar imágenes de verificación para cada isocentro una vez realizados todos los desplazamientos y justo antes del tratamiento.  Son imágenes que se adquieren, no ya para corregir posicionamiento, sino para cerciorarse de que los movimientos realizados han sido correctos.</t>
  </si>
  <si>
    <t>Verificación previa al tratamiento de que la fase y amplitud del movimiento respiratorio son iguales que la adquisición en la simulación. Esta verificación se realiza monitorizando unos ciclos de respiración previos al tratamiento y se mantiene durante todo el tratamiento.</t>
  </si>
  <si>
    <t>La comprobación por parte de un TSRTyD del posicionamiento e inmovilización del paciente para el tratamiento diario permite detectar errores de geometría (posicionamiento incorrecto o deficiencias de los dispositivos de inmovilización).</t>
  </si>
  <si>
    <t>Comprobación de los parámetros de inmovilización e indexación utilizados en el posicionamiento del paciente comparándolos con los que aparecen en la hoja de simulación que permite detectar errores de posicionamiento.</t>
  </si>
  <si>
    <t>Verificación de la dosis acumulada en el punto de dosis al finalizar la sesión.</t>
  </si>
  <si>
    <t>El bloqueo del tratamiento del paciente en la red por parte del oncólogo radioterápico impide continuar el tratamiento hasta que se haya incorporado y aprobado la modificación.</t>
  </si>
  <si>
    <t>La medida de campos de tratamiento que puede llevarse a cabo por distintos métodos (como cámara de ionización, película o matriz de diodos) permite detectar errores en los parámetros del acelerador, TPS o de la planificación a verificar.  Con algunos sistemas, incluso los resultados de la medida se pueden retroproyectar sobre las imágenes de TC del paciente y realizar una evaluación del plan con datos medidos.</t>
  </si>
  <si>
    <t>El sistema alerta de que se va a irradiar en modo verificación.</t>
  </si>
  <si>
    <t>Permisos que impiden que el TSRyD de máquina pueda tratar con su usuario y contraseña en modo verificación.</t>
  </si>
  <si>
    <t>Registro manual independiente, por ejemplo, mediante una tarjeta en la que se contabiliza el número de sesiones, contando el número de veces que el paciente ha acudido al tratamiento (ha realizado check-in), etc.</t>
  </si>
  <si>
    <t>Prob. segundo cribado</t>
  </si>
  <si>
    <t>Detección de desviaciones sistemáticas del posicionamiento mediante el análisis de imágenes, de acuerdo a un procedimiento.</t>
  </si>
  <si>
    <t>Controles de calidad diarios que permiten identificar fallos de equipo ocurridos desde la última comprobación.</t>
  </si>
  <si>
    <t>Aprobar un plan de tratamiento distinto al escogido conjuntamente por el OR y el RFH.</t>
  </si>
  <si>
    <t xml:space="preserve"> </t>
  </si>
  <si>
    <t>Fusión incorrecta que lleva a la determinación errónea de volúmenes de tratamiento y órganos de riesgo.</t>
  </si>
  <si>
    <t>Omitir o indicar incorrectamente en la ficha de tratamiento órganos de riesgo considerados en la intención terapéutica.</t>
  </si>
  <si>
    <t>Omitir en la ficha de tratamiento un volumen secundario de tratamiento que consta en la intención terapéutica, en caso de existir varias localizaciones.</t>
  </si>
  <si>
    <t>Prescribir a un volumen de tratamiento erróneo.</t>
  </si>
  <si>
    <t>Asignar las imágenes de un paciente a otro en el planificador.</t>
  </si>
  <si>
    <t>Identificar o seleccionar erróneamente al paciente durante la delineación de PTV.</t>
  </si>
  <si>
    <t>Identificar incorrectamente al paciente al añadir las imágenes manualmente a un paciente o al introducir algún dato demográfico.</t>
  </si>
  <si>
    <t xml:space="preserve">Introducir incorrectamente en el TPS o en la red de radioterapia la dosis total, dosis por fracción y número de sesiones.	</t>
  </si>
  <si>
    <t>No reflejar en la prescripción clínica definitiva los cambios respecto a la prescripción provisional (dosis total, fraccionamiento, etc.).</t>
  </si>
  <si>
    <t>Delimitar erróneamente el rango de números CT del paciente.</t>
  </si>
  <si>
    <t>Cometer un error al tener en cuenta, en la optimización, la distribución de dosis de una fase o tratamiento previo.</t>
  </si>
  <si>
    <t>No aplicar un cambio en la dosimetría de un paciente.</t>
  </si>
  <si>
    <t>Incorporar incorrectamente un cambio en la dosimetría después de que ésta ya había sido aprobada.</t>
  </si>
  <si>
    <t>Utilizar dispositivos deficientes de inmovilización del paciente.</t>
  </si>
  <si>
    <t>Omitir o colocar incorrectamente el bolus, o colocar un bolus incorrecto, en el inicio del tratamiento.</t>
  </si>
  <si>
    <t>Realizar erróneamente el marcado definitivo del paciente.</t>
  </si>
  <si>
    <t>Tratar con una preparación incorrecta del paciente.</t>
  </si>
  <si>
    <t>Protocolos o guías de delimitación y márgenes por localización para los volúmenes de tratamiento.</t>
  </si>
  <si>
    <t>Procedimiento para reanudar el tratamiento cuando hay una interrupción del mismo.</t>
  </si>
  <si>
    <t>Procedimiento por el que se incluye en la ficha de tratamiento  (en papel o electrónica) advertencias sobre circunstancias especiales como posicionamientos no habituales, posibilidad de movimiento del paciente, prótesis, contraste, bolus, etc.</t>
  </si>
  <si>
    <t>Revisión del TSRTyD y/o de enfermería, antes de hacer el TC, de los datos para el mismo.</t>
  </si>
  <si>
    <t>Asignación automática de la mesa con los valores correctos de densidad automática en el planificador.</t>
  </si>
  <si>
    <t>Procedimiento por el que se establece que el TSRTyD que marca con rotulador las coordenadas al paciente es el mismo que lo tatúa.</t>
  </si>
  <si>
    <t>Procedimiento por el que el TSRTyD revisa sistemáticamente el cronograma del tratamiento.</t>
  </si>
  <si>
    <t>Procedimiento de trabajo por el que se establece un orden de irradiación de las localizaciones que se mantiene en cada sesión (por ejemplo, tratar siempre primero el volumen más cercano a la cabeza y después el más cercano a pies).</t>
  </si>
  <si>
    <t>Controles de calidad diarios que permiten identificar variaciones lentas y continuas de las referencias y corregirlas antes de que se salgan de tolerancias (p.ej.: láseres, UM/cGy, sistema de imagen, etc.).</t>
  </si>
  <si>
    <t>Acceso a las alertas del fabricante acerca de fallos en el TPS que permite adaptar los procedimientos de planificación para evitar dichos errores.</t>
  </si>
  <si>
    <t xml:space="preserve">Protocolo de colocación de los elementos de control respiratorios según patología (mama, pulmón, etc.). </t>
  </si>
  <si>
    <t>Procedimiento para usar plantillas de planificación que carga automáticamente los objetivos de dosis para PTV y órganos de riesgo. Puede incluir la generación de volúmenes de planificación, mesa, grid de cálculo y distribución de haces.</t>
  </si>
  <si>
    <t>Controles de calidad periódicos que incluyen la verificación de este parámetro.</t>
  </si>
  <si>
    <t>Revisión médica y/o de enfermería periódica del paciente que puede detectar errores en la administración del tratamiento, o en las etapas previas.</t>
  </si>
  <si>
    <t>Omitir situaciones especiales de cara al tratamiento tales como presencia de marcapasos, paciente embarazada o tratamiento previo.</t>
  </si>
  <si>
    <t>Omitir o indicar incorrectamente en la ficha de tratamiento los límites de dosis de órganos de riesgo considerados en la intención terapéutica.</t>
  </si>
  <si>
    <t xml:space="preserve">Fallo de algún elemento del equipo que implica errores dosimétricos y/o geométricos en la administración del tratamiento. </t>
  </si>
  <si>
    <t>Aprobar un plan de tratamiento distinto al escogido conjuntamente por el ORT y el RFH.</t>
  </si>
  <si>
    <t>Procedimiento por el que se inserta la fotografía del paciente en la hoja de tratamiento que elabora el ORT al finalizar la prescripción clínica del tratamiento.</t>
  </si>
  <si>
    <t xml:space="preserve"> Etiquetar de forma clara por parte del ORT el estudio correcto para planificación.</t>
  </si>
  <si>
    <t>Existencia de un procedimiento por el cual el ORT no aprueba el tratamiento hasta que no se ha verificado el plan. Por tanto, no se puede impartir el plan de verificación en modo tratamiento.</t>
  </si>
  <si>
    <t>Revisión offline de la imagen de IGRT por parte del ORT.</t>
  </si>
  <si>
    <t>Detección de errores de geometría o de dosis por signos visuales (coloración de la piel, etc.) en la comprobación del posicionamiento durante el tratamiento diario.</t>
  </si>
  <si>
    <t>Consulta o impresión diaria de la hoja de sesión de acuerdo a un procedimiento.</t>
  </si>
  <si>
    <t>Registro manual independiente del tratamiento diario por parte del TSRTyD, de acuerdo a un procedimiento.</t>
  </si>
  <si>
    <t>La delineación de los volúmenes a tratar y de los órganos críticos por parte del ORT o TSRTyD permite detectar errores cometidos en las etapas previas, es decir, en la de prescripción del tratamiento o en la toma de datos anatómicos. Estas revisiones pueden incluir espesor de corte adecuado, presencia de artefactos, etc.</t>
  </si>
  <si>
    <t>Procedimiento por el que se establece la presencia continua de dos TSRTyDs en máquina que permite la vigilancia redundante del tratamiento, revisando continuamente los parámetros de tratamiento, cámaras de televisión e interfono.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</si>
</sst>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sz val="10"/>
      <color indexed="8"/>
      <name val="Arial"/>
      <family val="2"/>
    </font>
    <font>
      <sz val="11"/>
      <color indexed="8"/>
      <name val="Calibri"/>
      <family val="2"/>
    </font>
    <font>
      <sz val="11"/>
      <name val="Calibri"/>
      <family val="2"/>
      <scheme val="minor"/>
    </font>
    <font>
      <b/>
      <sz val="9"/>
      <color indexed="81"/>
      <name val="Tahoma"/>
      <family val="2"/>
    </font>
    <font>
      <sz val="9"/>
      <color indexed="81"/>
      <name val="Tahoma"/>
      <family val="2"/>
    </font>
    <font>
      <b/>
      <sz val="11"/>
      <color rgb="FF000000"/>
      <name val="Calibri"/>
      <family val="2"/>
    </font>
    <font>
      <sz val="11"/>
      <color rgb="FF000000"/>
      <name val="Calibri"/>
      <family val="2"/>
    </font>
    <font>
      <sz val="11"/>
      <name val="Calibri"/>
      <family val="2"/>
    </font>
    <font>
      <i/>
      <sz val="11"/>
      <color theme="1"/>
      <name val="Calibri"/>
      <family val="2"/>
      <scheme val="minor"/>
    </font>
    <font>
      <b/>
      <sz val="11"/>
      <color theme="1"/>
      <name val="Calibri"/>
      <family val="2"/>
      <scheme val="minor"/>
    </font>
    <font>
      <sz val="8"/>
      <color theme="1"/>
      <name val="Calibri"/>
      <family val="2"/>
      <scheme val="minor"/>
    </font>
    <font>
      <b/>
      <sz val="11"/>
      <name val="Calibri"/>
      <family val="2"/>
      <scheme val="minor"/>
    </font>
    <font>
      <b/>
      <sz val="11"/>
      <name val="Calibri"/>
      <family val="2"/>
    </font>
    <font>
      <sz val="11"/>
      <color theme="2" tint="-9.9978637043366805E-2"/>
      <name val="Calibri"/>
      <family val="2"/>
      <scheme val="minor"/>
    </font>
    <font>
      <sz val="11"/>
      <color theme="2" tint="-9.9978637043366805E-2"/>
      <name val="Calibri"/>
      <family val="2"/>
    </font>
    <font>
      <sz val="8"/>
      <name val="Calibri"/>
      <family val="2"/>
      <scheme val="minor"/>
    </font>
    <font>
      <sz val="11"/>
      <color theme="0" tint="-0.14999847407452621"/>
      <name val="Calibri"/>
      <family val="2"/>
      <scheme val="minor"/>
    </font>
    <font>
      <sz val="12"/>
      <color theme="1"/>
      <name val="Calibri"/>
      <family val="2"/>
      <scheme val="minor"/>
    </font>
    <font>
      <sz val="10"/>
      <name val="Calibri"/>
      <family val="2"/>
      <scheme val="minor"/>
    </font>
    <font>
      <u/>
      <sz val="10"/>
      <name val="Calibri"/>
      <family val="2"/>
      <scheme val="minor"/>
    </font>
    <font>
      <sz val="10"/>
      <color theme="1"/>
      <name val="Calibri"/>
      <family val="2"/>
      <scheme val="minor"/>
    </font>
    <font>
      <sz val="10"/>
      <color rgb="FF000000"/>
      <name val="Arial"/>
      <family val="2"/>
    </font>
    <font>
      <u/>
      <sz val="11"/>
      <color theme="10"/>
      <name val="Calibri"/>
      <family val="2"/>
      <scheme val="minor"/>
    </font>
    <font>
      <sz val="11"/>
      <color rgb="FF00B050"/>
      <name val="Calibri"/>
      <family val="2"/>
      <scheme val="minor"/>
    </font>
    <font>
      <sz val="11"/>
      <color rgb="FF0070C0"/>
      <name val="Calibri"/>
      <family val="2"/>
      <scheme val="minor"/>
    </font>
    <font>
      <sz val="9"/>
      <color indexed="81"/>
      <name val="Tahoma"/>
      <charset val="1"/>
    </font>
  </fonts>
  <fills count="6">
    <fill>
      <patternFill patternType="none"/>
    </fill>
    <fill>
      <patternFill patternType="gray125"/>
    </fill>
    <fill>
      <patternFill patternType="solid">
        <fgColor rgb="FFFFEB9C"/>
      </patternFill>
    </fill>
    <fill>
      <patternFill patternType="solid">
        <fgColor theme="9" tint="0.59999389629810485"/>
        <bgColor indexed="65"/>
      </patternFill>
    </fill>
    <fill>
      <patternFill patternType="solid">
        <fgColor rgb="FFFFFF00"/>
        <bgColor indexed="64"/>
      </patternFill>
    </fill>
    <fill>
      <patternFill patternType="solid">
        <fgColor theme="0"/>
        <bgColor indexed="64"/>
      </patternFill>
    </fill>
  </fills>
  <borders count="9">
    <border>
      <left/>
      <right/>
      <top/>
      <bottom/>
      <diagonal/>
    </border>
    <border>
      <left style="thin">
        <color rgb="FFD0D7E5"/>
      </left>
      <right style="thin">
        <color rgb="FFD0D7E5"/>
      </right>
      <top style="thin">
        <color rgb="FFD0D7E5"/>
      </top>
      <bottom style="thin">
        <color rgb="FFD0D7E5"/>
      </bottom>
      <diagonal/>
    </border>
    <border>
      <left/>
      <right/>
      <top/>
      <bottom style="medium">
        <color indexed="64"/>
      </bottom>
      <diagonal/>
    </border>
    <border>
      <left/>
      <right/>
      <top style="medium">
        <color indexed="64"/>
      </top>
      <bottom style="thin">
        <color indexed="64"/>
      </bottom>
      <diagonal/>
    </border>
    <border>
      <left style="thin">
        <color rgb="FFD0D7E5"/>
      </left>
      <right style="thin">
        <color rgb="FFD0D7E5"/>
      </right>
      <top/>
      <bottom/>
      <diagonal/>
    </border>
    <border>
      <left style="thin">
        <color indexed="22"/>
      </left>
      <right style="thin">
        <color indexed="22"/>
      </right>
      <top style="thin">
        <color indexed="22"/>
      </top>
      <bottom style="thin">
        <color indexed="22"/>
      </bottom>
      <diagonal/>
    </border>
    <border>
      <left/>
      <right style="thin">
        <color indexed="64"/>
      </right>
      <top/>
      <bottom/>
      <diagonal/>
    </border>
    <border>
      <left/>
      <right style="thin">
        <color rgb="FFD0D7E5"/>
      </right>
      <top style="thin">
        <color rgb="FFD0D7E5"/>
      </top>
      <bottom style="thin">
        <color rgb="FFD0D7E5"/>
      </bottom>
      <diagonal/>
    </border>
    <border>
      <left style="thin">
        <color indexed="64"/>
      </left>
      <right/>
      <top/>
      <bottom/>
      <diagonal/>
    </border>
  </borders>
  <cellStyleXfs count="7">
    <xf numFmtId="0" fontId="0" fillId="0" borderId="0"/>
    <xf numFmtId="0" fontId="2" fillId="2" borderId="0" applyNumberFormat="0" applyBorder="0" applyAlignment="0" applyProtection="0"/>
    <xf numFmtId="0" fontId="1" fillId="3" borderId="0" applyNumberFormat="0" applyBorder="0" applyAlignment="0" applyProtection="0"/>
    <xf numFmtId="0" fontId="4" fillId="0" borderId="0"/>
    <xf numFmtId="0" fontId="4" fillId="0" borderId="0"/>
    <xf numFmtId="0" fontId="4" fillId="0" borderId="0"/>
    <xf numFmtId="0" fontId="26" fillId="0" borderId="0" applyNumberFormat="0" applyFill="0" applyBorder="0" applyAlignment="0" applyProtection="0"/>
  </cellStyleXfs>
  <cellXfs count="116">
    <xf numFmtId="0" fontId="0" fillId="0" borderId="0" xfId="0"/>
    <xf numFmtId="0" fontId="6" fillId="0" borderId="0" xfId="0" applyFont="1" applyFill="1" applyBorder="1"/>
    <xf numFmtId="0" fontId="0" fillId="0" borderId="0" xfId="0" applyFill="1"/>
    <xf numFmtId="0" fontId="0" fillId="0" borderId="0" xfId="0" applyFill="1" applyBorder="1" applyAlignment="1"/>
    <xf numFmtId="0" fontId="0" fillId="0" borderId="0" xfId="0" applyAlignment="1">
      <alignment horizontal="center"/>
    </xf>
    <xf numFmtId="0" fontId="0" fillId="0" borderId="0" xfId="0" applyFill="1" applyBorder="1" applyAlignment="1">
      <alignment horizontal="center" wrapText="1"/>
    </xf>
    <xf numFmtId="0" fontId="0" fillId="0" borderId="0" xfId="0" applyFill="1" applyBorder="1"/>
    <xf numFmtId="0" fontId="0" fillId="0" borderId="0" xfId="0" applyFill="1" applyBorder="1" applyAlignment="1">
      <alignment horizontal="center"/>
    </xf>
    <xf numFmtId="0" fontId="10" fillId="5" borderId="1" xfId="0" applyFont="1" applyFill="1" applyBorder="1" applyAlignment="1" applyProtection="1">
      <alignment horizontal="center" vertical="center" wrapText="1"/>
    </xf>
    <xf numFmtId="0" fontId="0" fillId="0" borderId="0" xfId="0" applyFill="1" applyBorder="1" applyAlignment="1">
      <alignment horizontal="center" vertical="center"/>
    </xf>
    <xf numFmtId="0" fontId="0" fillId="0" borderId="0" xfId="0" applyFont="1" applyFill="1" applyBorder="1" applyAlignment="1">
      <alignment horizontal="center" vertical="center"/>
    </xf>
    <xf numFmtId="0" fontId="0" fillId="0" borderId="0" xfId="0" applyAlignment="1">
      <alignment horizontal="left"/>
    </xf>
    <xf numFmtId="0" fontId="0" fillId="0" borderId="2" xfId="0" applyFill="1" applyBorder="1" applyAlignment="1"/>
    <xf numFmtId="0" fontId="12" fillId="0" borderId="3" xfId="0" applyFont="1" applyFill="1" applyBorder="1" applyAlignment="1">
      <alignment horizontal="center"/>
    </xf>
    <xf numFmtId="0" fontId="10" fillId="0" borderId="1" xfId="0" applyFont="1" applyFill="1" applyBorder="1" applyAlignment="1" applyProtection="1">
      <alignment horizontal="center" vertical="center"/>
    </xf>
    <xf numFmtId="0" fontId="0" fillId="0" borderId="0" xfId="0" applyBorder="1" applyAlignment="1">
      <alignment horizontal="center"/>
    </xf>
    <xf numFmtId="0" fontId="11" fillId="0" borderId="1" xfId="0" applyFont="1" applyFill="1" applyBorder="1" applyAlignment="1" applyProtection="1">
      <alignment horizontal="center" vertical="center"/>
    </xf>
    <xf numFmtId="0" fontId="13" fillId="0" borderId="0" xfId="0" applyFont="1" applyFill="1" applyBorder="1"/>
    <xf numFmtId="0" fontId="13" fillId="0" borderId="0" xfId="0" applyFont="1" applyAlignment="1">
      <alignment horizontal="center" vertical="center"/>
    </xf>
    <xf numFmtId="0" fontId="13" fillId="0" borderId="0" xfId="0" applyFont="1" applyAlignment="1">
      <alignment horizontal="center"/>
    </xf>
    <xf numFmtId="0" fontId="9" fillId="0" borderId="0" xfId="0" applyFont="1" applyFill="1" applyBorder="1" applyAlignment="1" applyProtection="1">
      <alignment horizontal="center" vertical="center" wrapText="1"/>
    </xf>
    <xf numFmtId="0" fontId="17" fillId="0" borderId="0" xfId="0" applyFont="1" applyFill="1" applyBorder="1"/>
    <xf numFmtId="0" fontId="17" fillId="0" borderId="0" xfId="0" applyFont="1" applyAlignment="1">
      <alignment horizontal="center" vertical="center"/>
    </xf>
    <xf numFmtId="0" fontId="17" fillId="0" borderId="0" xfId="0" applyFont="1" applyFill="1" applyAlignment="1">
      <alignment horizontal="center" vertical="center"/>
    </xf>
    <xf numFmtId="0" fontId="17" fillId="0" borderId="0" xfId="0" applyFont="1" applyAlignment="1">
      <alignment horizontal="center"/>
    </xf>
    <xf numFmtId="0" fontId="18" fillId="0" borderId="0" xfId="0" applyFont="1" applyFill="1" applyBorder="1" applyAlignment="1" applyProtection="1">
      <alignment horizontal="center" vertical="center" wrapText="1"/>
    </xf>
    <xf numFmtId="0" fontId="10" fillId="0" borderId="0" xfId="0" applyFont="1" applyFill="1" applyBorder="1" applyAlignment="1" applyProtection="1">
      <alignment horizontal="center" vertical="center"/>
    </xf>
    <xf numFmtId="0" fontId="3" fillId="4" borderId="1" xfId="0" applyFont="1" applyFill="1" applyBorder="1" applyAlignment="1">
      <alignment horizontal="center" vertical="center"/>
    </xf>
    <xf numFmtId="0" fontId="0" fillId="0" borderId="1" xfId="0" applyBorder="1" applyAlignment="1">
      <alignment horizontal="center"/>
    </xf>
    <xf numFmtId="0" fontId="10" fillId="0" borderId="4" xfId="0" applyFont="1" applyFill="1" applyBorder="1" applyAlignment="1" applyProtection="1">
      <alignment horizontal="center" vertical="center"/>
    </xf>
    <xf numFmtId="0" fontId="6" fillId="0" borderId="0" xfId="0" applyFont="1" applyFill="1" applyAlignment="1">
      <alignment horizontal="center"/>
    </xf>
    <xf numFmtId="0" fontId="11" fillId="0" borderId="0" xfId="0" applyFont="1" applyFill="1" applyBorder="1" applyAlignment="1" applyProtection="1">
      <alignment horizontal="center" vertical="center" wrapText="1"/>
    </xf>
    <xf numFmtId="0" fontId="16" fillId="0" borderId="0" xfId="0" applyFont="1" applyFill="1" applyBorder="1" applyAlignment="1" applyProtection="1">
      <alignment horizontal="center" vertical="center" wrapText="1"/>
    </xf>
    <xf numFmtId="0" fontId="6" fillId="0" borderId="0" xfId="0" applyFont="1" applyFill="1" applyBorder="1" applyAlignment="1">
      <alignment horizontal="center"/>
    </xf>
    <xf numFmtId="0" fontId="20" fillId="0" borderId="0" xfId="0" applyFont="1" applyAlignment="1">
      <alignment horizontal="center"/>
    </xf>
    <xf numFmtId="1" fontId="0" fillId="0" borderId="0" xfId="0" applyNumberFormat="1" applyFill="1" applyBorder="1" applyAlignment="1">
      <alignment horizontal="center" vertical="center"/>
    </xf>
    <xf numFmtId="49" fontId="0" fillId="0" borderId="0" xfId="0" applyNumberFormat="1" applyAlignment="1">
      <alignment horizontal="center"/>
    </xf>
    <xf numFmtId="1" fontId="0" fillId="0" borderId="0" xfId="0" applyNumberFormat="1" applyAlignment="1">
      <alignment horizontal="center"/>
    </xf>
    <xf numFmtId="49" fontId="0" fillId="0" borderId="0" xfId="0" applyNumberFormat="1"/>
    <xf numFmtId="0" fontId="0" fillId="0" borderId="0" xfId="0" applyNumberFormat="1" applyFill="1" applyBorder="1" applyAlignment="1"/>
    <xf numFmtId="0" fontId="6" fillId="0" borderId="0" xfId="0" applyFont="1" applyFill="1"/>
    <xf numFmtId="0" fontId="0" fillId="0" borderId="0" xfId="0" applyAlignment="1">
      <alignment horizontal="center" vertical="center"/>
    </xf>
    <xf numFmtId="49" fontId="5" fillId="0" borderId="0" xfId="3" applyNumberFormat="1" applyFont="1" applyFill="1" applyBorder="1" applyAlignment="1"/>
    <xf numFmtId="49" fontId="0" fillId="0" borderId="0" xfId="0" applyNumberFormat="1" applyBorder="1" applyAlignment="1"/>
    <xf numFmtId="0" fontId="0" fillId="0" borderId="0" xfId="0" applyBorder="1" applyAlignment="1"/>
    <xf numFmtId="0" fontId="0" fillId="0" borderId="0" xfId="0" applyFont="1" applyFill="1" applyBorder="1" applyAlignment="1">
      <alignment horizontal="center"/>
    </xf>
    <xf numFmtId="0" fontId="0" fillId="0" borderId="0" xfId="0" applyFill="1" applyBorder="1" applyAlignment="1">
      <alignment horizontal="center"/>
    </xf>
    <xf numFmtId="0" fontId="0" fillId="4" borderId="0" xfId="0" applyFill="1" applyBorder="1"/>
    <xf numFmtId="0" fontId="0" fillId="4" borderId="0" xfId="0" applyFill="1" applyBorder="1" applyAlignment="1">
      <alignment horizontal="center"/>
    </xf>
    <xf numFmtId="0" fontId="0" fillId="4" borderId="0" xfId="0" applyFill="1" applyBorder="1" applyAlignment="1">
      <alignment horizontal="center" vertical="center"/>
    </xf>
    <xf numFmtId="0" fontId="6" fillId="4" borderId="0" xfId="0" applyFont="1" applyFill="1" applyBorder="1"/>
    <xf numFmtId="0" fontId="14" fillId="0" borderId="0" xfId="0" applyFont="1" applyFill="1" applyBorder="1" applyAlignment="1">
      <alignment horizontal="left" vertical="center" wrapText="1"/>
    </xf>
    <xf numFmtId="0" fontId="14" fillId="0" borderId="0" xfId="0" applyFont="1" applyAlignment="1">
      <alignment horizontal="left" vertical="center" wrapText="1"/>
    </xf>
    <xf numFmtId="0" fontId="19" fillId="0" borderId="0" xfId="0" applyFont="1" applyFill="1" applyBorder="1" applyAlignment="1">
      <alignment horizontal="left" vertical="center" wrapText="1"/>
    </xf>
    <xf numFmtId="0" fontId="0" fillId="0" borderId="0" xfId="0" applyAlignment="1">
      <alignment horizontal="left" vertical="center"/>
    </xf>
    <xf numFmtId="0" fontId="0" fillId="0" borderId="0" xfId="0" applyAlignment="1"/>
    <xf numFmtId="0" fontId="17" fillId="0" borderId="0" xfId="0" applyFont="1" applyFill="1" applyBorder="1" applyAlignment="1">
      <alignment horizontal="center"/>
    </xf>
    <xf numFmtId="0" fontId="13" fillId="0" borderId="0" xfId="0" applyFont="1" applyFill="1" applyBorder="1" applyAlignment="1">
      <alignment horizontal="center"/>
    </xf>
    <xf numFmtId="0" fontId="14" fillId="0" borderId="0" xfId="0" applyFont="1" applyFill="1" applyBorder="1" applyAlignment="1">
      <alignment horizontal="center" vertical="center"/>
    </xf>
    <xf numFmtId="49" fontId="5" fillId="0" borderId="5" xfId="3" applyNumberFormat="1" applyFont="1" applyFill="1" applyBorder="1" applyAlignment="1"/>
    <xf numFmtId="0" fontId="1" fillId="5" borderId="5" xfId="2" applyFill="1" applyBorder="1" applyAlignment="1"/>
    <xf numFmtId="0" fontId="0" fillId="0" borderId="5" xfId="0" applyBorder="1" applyAlignment="1"/>
    <xf numFmtId="49" fontId="0" fillId="0" borderId="5" xfId="0" applyNumberFormat="1" applyBorder="1" applyAlignment="1"/>
    <xf numFmtId="49" fontId="5" fillId="0" borderId="5" xfId="3" applyNumberFormat="1" applyFont="1" applyFill="1" applyBorder="1" applyAlignment="1">
      <alignment horizontal="left"/>
    </xf>
    <xf numFmtId="49" fontId="5" fillId="0" borderId="0" xfId="3" applyNumberFormat="1" applyFont="1" applyFill="1" applyBorder="1" applyAlignment="1">
      <alignment horizontal="left"/>
    </xf>
    <xf numFmtId="49" fontId="0" fillId="0" borderId="5" xfId="0" applyNumberFormat="1" applyFill="1" applyBorder="1" applyAlignment="1"/>
    <xf numFmtId="0" fontId="21" fillId="0" borderId="5" xfId="0" applyFont="1" applyBorder="1" applyAlignment="1"/>
    <xf numFmtId="49" fontId="0" fillId="0" borderId="0" xfId="0" applyNumberFormat="1" applyFill="1" applyBorder="1" applyAlignment="1"/>
    <xf numFmtId="0" fontId="22" fillId="0" borderId="0" xfId="0" applyFont="1" applyFill="1" applyBorder="1" applyAlignment="1">
      <alignment horizontal="center" vertical="center" wrapText="1"/>
    </xf>
    <xf numFmtId="0" fontId="23" fillId="0" borderId="0" xfId="0" applyFont="1" applyFill="1" applyBorder="1" applyAlignment="1">
      <alignment horizontal="center" vertical="center" wrapText="1"/>
    </xf>
    <xf numFmtId="0" fontId="15" fillId="0" borderId="0" xfId="0" applyFont="1" applyFill="1" applyAlignment="1">
      <alignment horizontal="center"/>
    </xf>
    <xf numFmtId="0" fontId="15" fillId="0" borderId="0" xfId="0" applyFont="1" applyFill="1" applyBorder="1"/>
    <xf numFmtId="0" fontId="6" fillId="0" borderId="0" xfId="0" applyFont="1" applyFill="1" applyAlignment="1"/>
    <xf numFmtId="0" fontId="5" fillId="0" borderId="5" xfId="4" applyFont="1" applyFill="1" applyBorder="1" applyAlignment="1"/>
    <xf numFmtId="0" fontId="5" fillId="0" borderId="5" xfId="5" applyFont="1" applyFill="1" applyBorder="1" applyAlignment="1"/>
    <xf numFmtId="0" fontId="24" fillId="0" borderId="0" xfId="0" applyFont="1" applyAlignment="1">
      <alignment horizontal="left" vertical="center"/>
    </xf>
    <xf numFmtId="0" fontId="5" fillId="0" borderId="5" xfId="4" applyFont="1" applyFill="1" applyBorder="1" applyAlignment="1">
      <alignment wrapText="1"/>
    </xf>
    <xf numFmtId="0" fontId="25" fillId="0" borderId="0" xfId="0" applyFont="1"/>
    <xf numFmtId="0" fontId="26" fillId="0" borderId="0" xfId="6"/>
    <xf numFmtId="0" fontId="15" fillId="0" borderId="0" xfId="0" applyFont="1" applyAlignment="1">
      <alignment horizontal="center" vertical="center" wrapText="1"/>
    </xf>
    <xf numFmtId="0" fontId="6" fillId="0" borderId="0" xfId="0" applyFont="1" applyAlignment="1">
      <alignment horizontal="center" vertical="center" wrapText="1"/>
    </xf>
    <xf numFmtId="0" fontId="19" fillId="0" borderId="0" xfId="0" applyFont="1" applyAlignment="1">
      <alignment horizontal="center" vertical="center" textRotation="84" wrapText="1"/>
    </xf>
    <xf numFmtId="0" fontId="2" fillId="0" borderId="0" xfId="1" applyFill="1" applyBorder="1" applyAlignment="1">
      <alignment horizontal="center" vertical="center"/>
    </xf>
    <xf numFmtId="0" fontId="6" fillId="0" borderId="0" xfId="0" applyFont="1" applyAlignment="1">
      <alignment horizontal="left" vertical="center"/>
    </xf>
    <xf numFmtId="0" fontId="0" fillId="0" borderId="0" xfId="0" applyFill="1" applyBorder="1" applyAlignment="1">
      <alignment horizontal="left" vertical="center"/>
    </xf>
    <xf numFmtId="0" fontId="17" fillId="0" borderId="0" xfId="0" applyFont="1" applyFill="1" applyBorder="1" applyAlignment="1">
      <alignment horizontal="left" vertical="center"/>
    </xf>
    <xf numFmtId="0" fontId="0" fillId="4" borderId="0" xfId="0" applyFill="1" applyBorder="1" applyAlignment="1">
      <alignment horizontal="left" vertical="center"/>
    </xf>
    <xf numFmtId="0" fontId="17" fillId="0" borderId="0" xfId="0" applyFont="1" applyFill="1" applyBorder="1" applyAlignment="1">
      <alignment horizontal="center" vertical="center"/>
    </xf>
    <xf numFmtId="1" fontId="6" fillId="0" borderId="0" xfId="0" applyNumberFormat="1" applyFont="1" applyFill="1" applyBorder="1" applyAlignment="1">
      <alignment horizontal="center" vertical="center"/>
    </xf>
    <xf numFmtId="0" fontId="28" fillId="0" borderId="0" xfId="0" applyFont="1" applyAlignment="1">
      <alignment horizontal="left" vertical="center"/>
    </xf>
    <xf numFmtId="0" fontId="10" fillId="0" borderId="7" xfId="0" applyFont="1" applyFill="1" applyBorder="1" applyAlignment="1" applyProtection="1">
      <alignment horizontal="center" vertical="center"/>
    </xf>
    <xf numFmtId="0" fontId="0" fillId="0" borderId="6" xfId="0" applyFill="1" applyBorder="1" applyAlignment="1">
      <alignment horizontal="center"/>
    </xf>
    <xf numFmtId="0" fontId="0" fillId="0" borderId="6" xfId="0" applyBorder="1" applyAlignment="1">
      <alignment horizontal="center"/>
    </xf>
    <xf numFmtId="0" fontId="17" fillId="0" borderId="6" xfId="0" applyFont="1" applyFill="1" applyBorder="1" applyAlignment="1">
      <alignment horizontal="center"/>
    </xf>
    <xf numFmtId="0" fontId="13" fillId="0" borderId="6" xfId="0" applyFont="1" applyFill="1" applyBorder="1" applyAlignment="1">
      <alignment horizontal="center"/>
    </xf>
    <xf numFmtId="0" fontId="6" fillId="0" borderId="6" xfId="0" applyFont="1" applyBorder="1" applyAlignment="1">
      <alignment horizontal="left" vertical="center"/>
    </xf>
    <xf numFmtId="0" fontId="0" fillId="0" borderId="6" xfId="0" applyFont="1" applyFill="1" applyBorder="1" applyAlignment="1">
      <alignment horizontal="center"/>
    </xf>
    <xf numFmtId="0" fontId="0" fillId="4" borderId="6" xfId="0" applyFill="1" applyBorder="1" applyAlignment="1">
      <alignment horizontal="center"/>
    </xf>
    <xf numFmtId="0" fontId="0" fillId="0" borderId="8" xfId="0" applyFill="1" applyBorder="1"/>
    <xf numFmtId="0" fontId="0" fillId="0" borderId="8" xfId="0" applyBorder="1" applyAlignment="1">
      <alignment horizontal="center"/>
    </xf>
    <xf numFmtId="0" fontId="18" fillId="0" borderId="8" xfId="0" applyFont="1" applyFill="1" applyBorder="1" applyAlignment="1" applyProtection="1">
      <alignment horizontal="center" vertical="center" wrapText="1"/>
    </xf>
    <xf numFmtId="0" fontId="9" fillId="0" borderId="8" xfId="0" applyFont="1" applyFill="1" applyBorder="1" applyAlignment="1" applyProtection="1">
      <alignment horizontal="center" vertical="center" wrapText="1"/>
    </xf>
    <xf numFmtId="1" fontId="0" fillId="0" borderId="8" xfId="0" applyNumberFormat="1" applyFill="1" applyBorder="1" applyAlignment="1">
      <alignment horizontal="center" vertical="center"/>
    </xf>
    <xf numFmtId="0" fontId="0" fillId="0" borderId="8" xfId="0" applyFill="1" applyBorder="1" applyAlignment="1">
      <alignment horizontal="center" vertical="center"/>
    </xf>
    <xf numFmtId="0" fontId="0" fillId="4" borderId="8" xfId="0" applyFill="1" applyBorder="1"/>
    <xf numFmtId="0" fontId="0" fillId="0" borderId="0" xfId="0" applyAlignment="1">
      <alignment horizontal="center" vertical="center" wrapText="1"/>
    </xf>
    <xf numFmtId="0" fontId="3" fillId="0" borderId="0" xfId="0" applyFont="1" applyAlignment="1">
      <alignment horizontal="center" vertical="center" wrapText="1"/>
    </xf>
    <xf numFmtId="0" fontId="27" fillId="0" borderId="0" xfId="0" applyFont="1" applyAlignment="1">
      <alignment horizontal="center" vertical="center" wrapText="1"/>
    </xf>
    <xf numFmtId="0" fontId="6" fillId="0" borderId="0" xfId="0" applyFont="1" applyAlignment="1">
      <alignment horizontal="center" vertical="center"/>
    </xf>
    <xf numFmtId="0" fontId="0" fillId="0" borderId="0" xfId="0" applyFill="1" applyAlignment="1">
      <alignment horizontal="center"/>
    </xf>
    <xf numFmtId="0" fontId="0" fillId="0" borderId="0" xfId="0" applyFill="1" applyBorder="1" applyAlignment="1">
      <alignment horizontal="center" vertical="center" wrapText="1"/>
    </xf>
    <xf numFmtId="0" fontId="19" fillId="0" borderId="0" xfId="0" applyFont="1" applyFill="1" applyBorder="1" applyAlignment="1">
      <alignment horizontal="left" vertical="center" textRotation="84" wrapText="1"/>
    </xf>
    <xf numFmtId="0" fontId="19" fillId="0" borderId="0" xfId="0" applyFont="1" applyFill="1" applyBorder="1" applyAlignment="1">
      <alignment horizontal="center" vertical="top" textRotation="84" wrapText="1"/>
    </xf>
    <xf numFmtId="0" fontId="19" fillId="0" borderId="0" xfId="0" applyFont="1" applyAlignment="1">
      <alignment horizontal="center" vertical="top" textRotation="84" wrapText="1"/>
    </xf>
    <xf numFmtId="0" fontId="19" fillId="0" borderId="0" xfId="0" applyFont="1" applyFill="1" applyBorder="1" applyAlignment="1">
      <alignment vertical="top" textRotation="84" wrapText="1"/>
    </xf>
    <xf numFmtId="0" fontId="6" fillId="0" borderId="0" xfId="0" applyFont="1" applyFill="1" applyAlignment="1">
      <alignment horizontal="left" vertical="center"/>
    </xf>
  </cellXfs>
  <cellStyles count="7">
    <cellStyle name="40% - Énfasis6" xfId="2" builtinId="51"/>
    <cellStyle name="Hipervínculo" xfId="6" builtinId="8"/>
    <cellStyle name="Neutral" xfId="1" builtinId="28"/>
    <cellStyle name="Normal" xfId="0" builtinId="0"/>
    <cellStyle name="Normal_+cat_subetapa" xfId="5"/>
    <cellStyle name="Normal_Barreras originales" xfId="3"/>
    <cellStyle name="Normal_cat_etapa" xfId="4"/>
  </cellStyles>
  <dxfs count="315">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14"/>
      <tableStyleElement type="headerRow" dxfId="313"/>
    </tableStyle>
  </tableStyles>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1"/>
          <c:order val="1"/>
          <c:tx>
            <c:strRef>
              <c:f>'Riesgo - Análisis - 2'!$C$3</c:f>
              <c:strCache>
                <c:ptCount val="1"/>
                <c:pt idx="0">
                  <c:v>Iniciadores</c:v>
                </c:pt>
              </c:strCache>
            </c:strRef>
          </c:tx>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'Riesgo - Análisis - 2'!$A$4:$A$14</c:f>
              <c:strCache>
                <c:ptCount val="11"/>
                <c:pt idx="0">
                  <c:v>Instalación inicial de los equipos</c:v>
                </c:pt>
                <c:pt idx="1">
                  <c:v>Aceptación y puesta en servicio</c:v>
                </c:pt>
                <c:pt idx="2">
                  <c:v>Mantenimiento de los equipos</c:v>
                </c:pt>
                <c:pt idx="3">
                  <c:v>Prescripción Clínica del tratamiento</c:v>
                </c:pt>
                <c:pt idx="4">
                  <c:v>Adquisición datos anatómicos del paciente</c:v>
                </c:pt>
                <c:pt idx="5">
                  <c:v>Delineación de volúmenes</c:v>
                </c:pt>
                <c:pt idx="6">
                  <c:v>Planificación del tratamiento</c:v>
                </c:pt>
                <c:pt idx="7">
                  <c:v>Elaboración de accesorios personalizados</c:v>
                </c:pt>
                <c:pt idx="8">
                  <c:v>Inicio del tratamiento</c:v>
                </c:pt>
                <c:pt idx="9">
                  <c:v>Posicionamiento para tratamiento diario</c:v>
                </c:pt>
                <c:pt idx="10">
                  <c:v>Ejecución del tratamiento</c:v>
                </c:pt>
              </c:strCache>
            </c:strRef>
          </c:cat>
          <c:val>
            <c:numRef>
              <c:f>'Riesgo - Análisis - 2'!$C$4:$C$14</c:f>
              <c:numCache>
                <c:formatCode>General</c:formatCode>
                <c:ptCount val="11"/>
                <c:pt idx="0">
                  <c:v>0</c:v>
                </c:pt>
                <c:pt idx="1">
                  <c:v>27</c:v>
                </c:pt>
                <c:pt idx="2">
                  <c:v>2</c:v>
                </c:pt>
                <c:pt idx="3">
                  <c:v>8</c:v>
                </c:pt>
                <c:pt idx="4">
                  <c:v>10</c:v>
                </c:pt>
                <c:pt idx="5">
                  <c:v>5</c:v>
                </c:pt>
                <c:pt idx="6">
                  <c:v>12</c:v>
                </c:pt>
                <c:pt idx="7">
                  <c:v>3</c:v>
                </c:pt>
                <c:pt idx="8">
                  <c:v>15</c:v>
                </c:pt>
                <c:pt idx="9">
                  <c:v>13</c:v>
                </c:pt>
                <c:pt idx="10">
                  <c:v>30</c:v>
                </c:pt>
              </c:numCache>
            </c:numRef>
          </c:val>
          <c:extLst>
            <c:ext xmlns:c16="http://schemas.microsoft.com/office/drawing/2014/chart" uri="{C3380CC4-5D6E-409C-BE32-E72D297353CC}">
              <c16:uniqueId val="{00000000-754D-4FB7-A6FB-43EFACFEF6D2}"/>
            </c:ext>
          </c:extLst>
        </c:ser>
        <c:dLbls>
          <c:dLblPos val="outEnd"/>
          <c:showLegendKey val="0"/>
          <c:showVal val="1"/>
          <c:showCatName val="0"/>
          <c:showSerName val="0"/>
          <c:showPercent val="0"/>
          <c:showBubbleSize val="0"/>
        </c:dLbls>
        <c:gapWidth val="100"/>
        <c:overlap val="-24"/>
        <c:axId val="414440944"/>
        <c:axId val="414441336"/>
        <c:extLst>
          <c:ext xmlns:c15="http://schemas.microsoft.com/office/drawing/2012/chart" uri="{02D57815-91ED-43cb-92C2-25804820EDAC}">
            <c15:filteredBarSeries>
              <c15:ser>
                <c:idx val="0"/>
                <c:order val="0"/>
                <c:tx>
                  <c:strRef>
                    <c:extLst>
                      <c:ext uri="{02D57815-91ED-43cb-92C2-25804820EDAC}">
                        <c15:formulaRef>
                          <c15:sqref>'Riesgo - Análisis - 2'!$B$3</c15:sqref>
                        </c15:formulaRef>
                      </c:ext>
                    </c:extLst>
                    <c:strCache>
                      <c:ptCount val="1"/>
                      <c:pt idx="0">
                        <c:v>Etapa</c:v>
                      </c:pt>
                    </c:strCache>
                  </c:strRef>
                </c:tx>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'Riesgo - Análisis - 2'!$A$4:$A$14</c15:sqref>
                        </c15:formulaRef>
                      </c:ext>
                    </c:extLst>
                    <c:strCache>
                      <c:ptCount val="11"/>
                      <c:pt idx="0">
                        <c:v>Instalación inicial de los equipos</c:v>
                      </c:pt>
                      <c:pt idx="1">
                        <c:v>Aceptación y puesta en servicio</c:v>
                      </c:pt>
                      <c:pt idx="2">
                        <c:v>Mantenimiento de los equipos</c:v>
                      </c:pt>
                      <c:pt idx="3">
                        <c:v>Prescripción Clínica del tratamiento</c:v>
                      </c:pt>
                      <c:pt idx="4">
                        <c:v>Adquisición datos anatómicos del paciente</c:v>
                      </c:pt>
                      <c:pt idx="5">
                        <c:v>Delineación de volúmenes</c:v>
                      </c:pt>
                      <c:pt idx="6">
                        <c:v>Planificación del tratamiento</c:v>
                      </c:pt>
                      <c:pt idx="7">
                        <c:v>Elaboración de accesorios personalizados</c:v>
                      </c:pt>
                      <c:pt idx="8">
                        <c:v>Inicio del tratamiento</c:v>
                      </c:pt>
                      <c:pt idx="9">
                        <c:v>Posicionamiento para tratamiento diario</c:v>
                      </c:pt>
                      <c:pt idx="10">
                        <c:v>Ejecución del tratamiento</c:v>
                      </c:pt>
                    </c:strCache>
                  </c:strRef>
                </c:cat>
                <c:val>
                  <c:numRef>
                    <c:extLst>
                      <c:ext uri="{02D57815-91ED-43cb-92C2-25804820EDAC}">
                        <c15:formulaRef>
                          <c15:sqref>'Riesgo - Análisis - 2'!$B$4:$B$14</c15:sqref>
                        </c15:formulaRef>
                      </c:ext>
                    </c:extLst>
                    <c:numCache>
                      <c:formatCode>General</c:formatCode>
                      <c:ptCount val="11"/>
                      <c:pt idx="0">
                        <c:v>1</c:v>
                      </c:pt>
                      <c:pt idx="1">
                        <c:v>2</c:v>
                      </c:pt>
                      <c:pt idx="2">
                        <c:v>3</c:v>
                      </c:pt>
                      <c:pt idx="3">
                        <c:v>4</c:v>
                      </c:pt>
                      <c:pt idx="4">
                        <c:v>5</c:v>
                      </c:pt>
                      <c:pt idx="5">
                        <c:v>6</c:v>
                      </c:pt>
                      <c:pt idx="6">
                        <c:v>7</c:v>
                      </c:pt>
                      <c:pt idx="7">
                        <c:v>8</c:v>
                      </c:pt>
                      <c:pt idx="8">
                        <c:v>9</c:v>
                      </c:pt>
                      <c:pt idx="9">
                        <c:v>10</c:v>
                      </c:pt>
                      <c:pt idx="10">
                        <c:v>11</c:v>
                      </c:pt>
                    </c:numCache>
                  </c:numRef>
                </c:val>
                <c:extLst>
                  <c:ext xmlns:c16="http://schemas.microsoft.com/office/drawing/2014/chart" uri="{C3380CC4-5D6E-409C-BE32-E72D297353CC}">
                    <c16:uniqueId val="{00000001-754D-4FB7-A6FB-43EFACFEF6D2}"/>
                  </c:ext>
                </c:extLst>
              </c15:ser>
            </c15:filteredBarSeries>
          </c:ext>
        </c:extLst>
      </c:barChart>
      <c:catAx>
        <c:axId val="41444094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14441336"/>
        <c:crosses val="autoZero"/>
        <c:auto val="1"/>
        <c:lblAlgn val="ctr"/>
        <c:lblOffset val="100"/>
        <c:noMultiLvlLbl val="0"/>
      </c:catAx>
      <c:valAx>
        <c:axId val="414441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14440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7.4673155258939236E-2"/>
          <c:y val="9.5984601213905271E-2"/>
          <c:w val="0.91272970837584233"/>
          <c:h val="0.51097363784440752"/>
        </c:manualLayout>
      </c:layout>
      <c:barChart>
        <c:barDir val="col"/>
        <c:grouping val="clustered"/>
        <c:varyColors val="0"/>
        <c:ser>
          <c:idx val="1"/>
          <c:order val="1"/>
          <c:tx>
            <c:strRef>
              <c:f>'Riesgo - Análisis - 2'!$C$43</c:f>
              <c:strCache>
                <c:ptCount val="1"/>
                <c:pt idx="0">
                  <c:v>Iniciadores</c:v>
                </c:pt>
              </c:strCache>
            </c:strRef>
          </c:tx>
          <c:spPr>
            <a:solidFill>
              <a:schemeClr val="accent1">
                <a:lumMod val="75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'Riesgo - Análisis - 2'!$A$44:$A$58</c:f>
              <c:strCache>
                <c:ptCount val="15"/>
                <c:pt idx="0">
                  <c:v>Instalación inicial de los equipos</c:v>
                </c:pt>
                <c:pt idx="1">
                  <c:v>Aceptación y puesta en servicio - Del LINAC</c:v>
                </c:pt>
                <c:pt idx="2">
                  <c:v>Aceptación y puesta en servicio - Del Sistema de Planificación (TPS)</c:v>
                </c:pt>
                <c:pt idx="3">
                  <c:v>Aceptación y puesta en servicio - Del equipo de Adquisición de Imágenes</c:v>
                </c:pt>
                <c:pt idx="4">
                  <c:v>Aceptación y puesta en servicio - Sistemas de transferencia y conexiones</c:v>
                </c:pt>
                <c:pt idx="5">
                  <c:v>Mantenimiento de los equipos</c:v>
                </c:pt>
                <c:pt idx="6">
                  <c:v>Prescripción Clínica del tratamiento</c:v>
                </c:pt>
                <c:pt idx="7">
                  <c:v>Adquisición datos anatómicos del paciente</c:v>
                </c:pt>
                <c:pt idx="8">
                  <c:v>Delineación de volúmenes</c:v>
                </c:pt>
                <c:pt idx="9">
                  <c:v>Planificación del tratamiento</c:v>
                </c:pt>
                <c:pt idx="10">
                  <c:v>Elaboración de accesorios personalizados</c:v>
                </c:pt>
                <c:pt idx="11">
                  <c:v>Inicio del tratamiento</c:v>
                </c:pt>
                <c:pt idx="12">
                  <c:v>Posicionamiento para tratamiento diario</c:v>
                </c:pt>
                <c:pt idx="13">
                  <c:v>Ejecución del tratamiento - Asociados al proceso de tratamiento</c:v>
                </c:pt>
                <c:pt idx="14">
                  <c:v>Ejecución del tratamiento - Asociados a fallos de equipo</c:v>
                </c:pt>
              </c:strCache>
            </c:strRef>
          </c:cat>
          <c:val>
            <c:numRef>
              <c:f>'Riesgo - Análisis - 2'!$C$44:$C$58</c:f>
              <c:numCache>
                <c:formatCode>General</c:formatCode>
                <c:ptCount val="15"/>
                <c:pt idx="0">
                  <c:v>0</c:v>
                </c:pt>
                <c:pt idx="1">
                  <c:v>16</c:v>
                </c:pt>
                <c:pt idx="2">
                  <c:v>8</c:v>
                </c:pt>
                <c:pt idx="3">
                  <c:v>1</c:v>
                </c:pt>
                <c:pt idx="4">
                  <c:v>2</c:v>
                </c:pt>
                <c:pt idx="5">
                  <c:v>2</c:v>
                </c:pt>
                <c:pt idx="6">
                  <c:v>8</c:v>
                </c:pt>
                <c:pt idx="7">
                  <c:v>10</c:v>
                </c:pt>
                <c:pt idx="8">
                  <c:v>5</c:v>
                </c:pt>
                <c:pt idx="9">
                  <c:v>12</c:v>
                </c:pt>
                <c:pt idx="10">
                  <c:v>3</c:v>
                </c:pt>
                <c:pt idx="11">
                  <c:v>15</c:v>
                </c:pt>
                <c:pt idx="12">
                  <c:v>13</c:v>
                </c:pt>
                <c:pt idx="13">
                  <c:v>11</c:v>
                </c:pt>
                <c:pt idx="14">
                  <c:v>19</c:v>
                </c:pt>
              </c:numCache>
            </c:numRef>
          </c:val>
          <c:extLst>
            <c:ext xmlns:c16="http://schemas.microsoft.com/office/drawing/2014/chart" uri="{C3380CC4-5D6E-409C-BE32-E72D297353CC}">
              <c16:uniqueId val="{00000000-60FF-4D8F-A9C8-C41097943139}"/>
            </c:ext>
          </c:extLst>
        </c:ser>
        <c:dLbls>
          <c:dLblPos val="outEnd"/>
          <c:showLegendKey val="0"/>
          <c:showVal val="1"/>
          <c:showCatName val="0"/>
          <c:showSerName val="0"/>
          <c:showPercent val="0"/>
          <c:showBubbleSize val="0"/>
        </c:dLbls>
        <c:gapWidth val="100"/>
        <c:overlap val="-24"/>
        <c:axId val="414442120"/>
        <c:axId val="414442512"/>
        <c:extLst>
          <c:ext xmlns:c15="http://schemas.microsoft.com/office/drawing/2012/chart" uri="{02D57815-91ED-43cb-92C2-25804820EDAC}">
            <c15:filteredBarSeries>
              <c15:ser>
                <c:idx val="0"/>
                <c:order val="0"/>
                <c:tx>
                  <c:strRef>
                    <c:extLst>
                      <c:ext uri="{02D57815-91ED-43cb-92C2-25804820EDAC}">
                        <c15:formulaRef>
                          <c15:sqref>'Riesgo - Análisis - 2'!$B$43</c15:sqref>
                        </c15:formulaRef>
                      </c:ext>
                    </c:extLst>
                    <c:strCache>
                      <c:ptCount val="1"/>
                      <c:pt idx="0">
                        <c:v>Subetapa</c:v>
                      </c:pt>
                    </c:strCache>
                  </c:strRef>
                </c:tx>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'Riesgo - Análisis - 2'!$A$44:$A$58</c15:sqref>
                        </c15:formulaRef>
                      </c:ext>
                    </c:extLst>
                    <c:strCache>
                      <c:ptCount val="15"/>
                      <c:pt idx="0">
                        <c:v>Instalación inicial de los equipos</c:v>
                      </c:pt>
                      <c:pt idx="1">
                        <c:v>Aceptación y puesta en servicio - Del LINAC</c:v>
                      </c:pt>
                      <c:pt idx="2">
                        <c:v>Aceptación y puesta en servicio - Del Sistema de Planificación (TPS)</c:v>
                      </c:pt>
                      <c:pt idx="3">
                        <c:v>Aceptación y puesta en servicio - Del equipo de Adquisición de Imágenes</c:v>
                      </c:pt>
                      <c:pt idx="4">
                        <c:v>Aceptación y puesta en servicio - Sistemas de transferencia y conexiones</c:v>
                      </c:pt>
                      <c:pt idx="5">
                        <c:v>Mantenimiento de los equipos</c:v>
                      </c:pt>
                      <c:pt idx="6">
                        <c:v>Prescripción Clínica del tratamiento</c:v>
                      </c:pt>
                      <c:pt idx="7">
                        <c:v>Adquisición datos anatómicos del paciente</c:v>
                      </c:pt>
                      <c:pt idx="8">
                        <c:v>Delineación de volúmenes</c:v>
                      </c:pt>
                      <c:pt idx="9">
                        <c:v>Planificación del tratamiento</c:v>
                      </c:pt>
                      <c:pt idx="10">
                        <c:v>Elaboración de accesorios personalizados</c:v>
                      </c:pt>
                      <c:pt idx="11">
                        <c:v>Inicio del tratamiento</c:v>
                      </c:pt>
                      <c:pt idx="12">
                        <c:v>Posicionamiento para tratamiento diario</c:v>
                      </c:pt>
                      <c:pt idx="13">
                        <c:v>Ejecución del tratamiento - Asociados al proceso de tratamiento</c:v>
                      </c:pt>
                      <c:pt idx="14">
                        <c:v>Ejecución del tratamiento - Asociados a fallos de equipo</c:v>
                      </c:pt>
                    </c:strCache>
                  </c:strRef>
                </c:cat>
                <c:val>
                  <c:numRef>
                    <c:extLst>
                      <c:ext uri="{02D57815-91ED-43cb-92C2-25804820EDAC}">
                        <c15:formulaRef>
                          <c15:sqref>'Riesgo - Análisis - 2'!$B$44:$B$58</c15:sqref>
                        </c15:formulaRef>
                      </c:ext>
                    </c:extLst>
                    <c:numCache>
                      <c:formatCode>General</c:formatCode>
                      <c:ptCount val="15"/>
                      <c:pt idx="0">
                        <c:v>10</c:v>
                      </c:pt>
                      <c:pt idx="1">
                        <c:v>21</c:v>
                      </c:pt>
                      <c:pt idx="2">
                        <c:v>22</c:v>
                      </c:pt>
                      <c:pt idx="3">
                        <c:v>23</c:v>
                      </c:pt>
                      <c:pt idx="4">
                        <c:v>24</c:v>
                      </c:pt>
                      <c:pt idx="5">
                        <c:v>30</c:v>
                      </c:pt>
                      <c:pt idx="6">
                        <c:v>40</c:v>
                      </c:pt>
                      <c:pt idx="7">
                        <c:v>50</c:v>
                      </c:pt>
                      <c:pt idx="8">
                        <c:v>60</c:v>
                      </c:pt>
                      <c:pt idx="9">
                        <c:v>70</c:v>
                      </c:pt>
                      <c:pt idx="10">
                        <c:v>80</c:v>
                      </c:pt>
                      <c:pt idx="11">
                        <c:v>90</c:v>
                      </c:pt>
                      <c:pt idx="12">
                        <c:v>100</c:v>
                      </c:pt>
                      <c:pt idx="13">
                        <c:v>111</c:v>
                      </c:pt>
                      <c:pt idx="14">
                        <c:v>112</c:v>
                      </c:pt>
                    </c:numCache>
                  </c:numRef>
                </c:val>
                <c:extLst>
                  <c:ext xmlns:c16="http://schemas.microsoft.com/office/drawing/2014/chart" uri="{C3380CC4-5D6E-409C-BE32-E72D297353CC}">
                    <c16:uniqueId val="{00000001-60FF-4D8F-A9C8-C41097943139}"/>
                  </c:ext>
                </c:extLst>
              </c15:ser>
            </c15:filteredBarSeries>
          </c:ext>
        </c:extLst>
      </c:barChart>
      <c:catAx>
        <c:axId val="41444212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14442512"/>
        <c:crosses val="autoZero"/>
        <c:auto val="0"/>
        <c:lblAlgn val="ctr"/>
        <c:lblOffset val="100"/>
        <c:noMultiLvlLbl val="0"/>
      </c:catAx>
      <c:valAx>
        <c:axId val="414442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14442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FRECUENCIA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stacked"/>
        <c:varyColors val="0"/>
        <c:ser>
          <c:idx val="2"/>
          <c:order val="2"/>
          <c:tx>
            <c:strRef>
              <c:f>'Riesgo - Análisis - 3'!$K$4</c:f>
              <c:strCache>
                <c:ptCount val="1"/>
                <c:pt idx="0">
                  <c:v>FA</c:v>
                </c:pt>
              </c:strCache>
            </c:strRef>
          </c:tx>
          <c:spPr>
            <a:solidFill>
              <a:srgbClr val="FF0000"/>
            </a:solidFill>
            <a:ln>
              <a:noFill/>
            </a:ln>
            <a:effectLst/>
          </c:spPr>
          <c:invertIfNegative val="0"/>
          <c:cat>
            <c:strRef>
              <c:f>'Riesgo - Análisis - 3'!$H$5:$H$18</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- 3'!$K$5:$K$18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CEF-4913-A347-0A1C13A52951}"/>
            </c:ext>
          </c:extLst>
        </c:ser>
        <c:ser>
          <c:idx val="3"/>
          <c:order val="3"/>
          <c:tx>
            <c:strRef>
              <c:f>'Riesgo - Análisis - 3'!$L$4</c:f>
              <c:strCache>
                <c:ptCount val="1"/>
                <c:pt idx="0">
                  <c:v>FM</c:v>
                </c:pt>
              </c:strCache>
            </c:strRef>
          </c:tx>
          <c:spPr>
            <a:solidFill>
              <a:schemeClr val="accent4"/>
            </a:solidFill>
            <a:ln>
              <a:noFill/>
            </a:ln>
            <a:effectLst/>
          </c:spPr>
          <c:invertIfNegative val="0"/>
          <c:cat>
            <c:strRef>
              <c:f>'Riesgo - Análisis - 3'!$H$5:$H$18</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- 3'!$L$5:$L$18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1CEF-4913-A347-0A1C13A52951}"/>
            </c:ext>
          </c:extLst>
        </c:ser>
        <c:ser>
          <c:idx val="4"/>
          <c:order val="4"/>
          <c:tx>
            <c:strRef>
              <c:f>'Riesgo - Análisis - 3'!$M$4</c:f>
              <c:strCache>
                <c:ptCount val="1"/>
                <c:pt idx="0">
                  <c:v>FB</c:v>
                </c:pt>
              </c:strCache>
            </c:strRef>
          </c:tx>
          <c:spPr>
            <a:solidFill>
              <a:srgbClr val="00B050"/>
            </a:solidFill>
            <a:ln>
              <a:noFill/>
            </a:ln>
            <a:effectLst/>
          </c:spPr>
          <c:invertIfNegative val="0"/>
          <c:cat>
            <c:strRef>
              <c:f>'Riesgo - Análisis - 3'!$H$5:$H$18</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- 3'!$M$5:$M$18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1CEF-4913-A347-0A1C13A52951}"/>
            </c:ext>
          </c:extLst>
        </c:ser>
        <c:ser>
          <c:idx val="5"/>
          <c:order val="5"/>
          <c:tx>
            <c:strRef>
              <c:f>'Riesgo - Análisis - 3'!$N$4</c:f>
              <c:strCache>
                <c:ptCount val="1"/>
                <c:pt idx="0">
                  <c:v>FMB</c:v>
                </c:pt>
              </c:strCache>
            </c:strRef>
          </c:tx>
          <c:spPr>
            <a:solidFill>
              <a:schemeClr val="accent3">
                <a:lumMod val="60000"/>
                <a:lumOff val="40000"/>
              </a:schemeClr>
            </a:solidFill>
            <a:ln>
              <a:noFill/>
            </a:ln>
            <a:effectLst/>
          </c:spPr>
          <c:invertIfNegative val="0"/>
          <c:cat>
            <c:strRef>
              <c:f>'Riesgo - Análisis - 3'!$H$5:$H$18</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- 3'!$N$5:$N$18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3-1CEF-4913-A347-0A1C13A52951}"/>
            </c:ext>
          </c:extLst>
        </c:ser>
        <c:dLbls>
          <c:showLegendKey val="0"/>
          <c:showVal val="0"/>
          <c:showCatName val="0"/>
          <c:showSerName val="0"/>
          <c:showPercent val="0"/>
          <c:showBubbleSize val="0"/>
        </c:dLbls>
        <c:gapWidth val="150"/>
        <c:overlap val="100"/>
        <c:axId val="414443296"/>
        <c:axId val="414443688"/>
        <c:extLst>
          <c:ext xmlns:c15="http://schemas.microsoft.com/office/drawing/2012/chart" uri="{02D57815-91ED-43cb-92C2-25804820EDAC}">
            <c15:filteredBarSeries>
              <c15:ser>
                <c:idx val="0"/>
                <c:order val="0"/>
                <c:tx>
                  <c:strRef>
                    <c:extLst>
                      <c:ext uri="{02D57815-91ED-43cb-92C2-25804820EDAC}">
                        <c15:formulaRef>
                          <c15:sqref>'Riesgo - Análisis - 3'!$I$4</c15:sqref>
                        </c15:formulaRef>
                      </c:ext>
                    </c:extLst>
                    <c:strCache>
                      <c:ptCount val="1"/>
                      <c:pt idx="0">
                        <c:v>Et.Sub</c:v>
                      </c:pt>
                    </c:strCache>
                  </c:strRef>
                </c:tx>
                <c:spPr>
                  <a:solidFill>
                    <a:schemeClr val="accent1"/>
                  </a:solidFill>
                  <a:ln>
                    <a:noFill/>
                  </a:ln>
                  <a:effectLst/>
                </c:spPr>
                <c:invertIfNegative val="0"/>
                <c:cat>
                  <c:strRef>
                    <c:extLst>
                      <c:ext uri="{02D57815-91ED-43cb-92C2-25804820EDAC}">
                        <c15:formulaRef>
                          <c15:sqref>'Riesgo - Análisis - 3'!$H$5:$H$18</c15:sqref>
                        </c15:formulaRef>
                      </c:ext>
                    </c:extLst>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extLst>
                      <c:ext uri="{02D57815-91ED-43cb-92C2-25804820EDAC}">
                        <c15:formulaRef>
                          <c15:sqref>'Riesgo - Análisis - 3'!$I$5:$I$18</c15:sqref>
                        </c15:formulaRef>
                      </c:ext>
                    </c:extLst>
                    <c:numCache>
                      <c:formatCode>General</c:formatCode>
                      <c:ptCount val="14"/>
                      <c:pt idx="0">
                        <c:v>21</c:v>
                      </c:pt>
                      <c:pt idx="1">
                        <c:v>22</c:v>
                      </c:pt>
                      <c:pt idx="2">
                        <c:v>23</c:v>
                      </c:pt>
                      <c:pt idx="3">
                        <c:v>24</c:v>
                      </c:pt>
                      <c:pt idx="4">
                        <c:v>30</c:v>
                      </c:pt>
                      <c:pt idx="5">
                        <c:v>40</c:v>
                      </c:pt>
                      <c:pt idx="6">
                        <c:v>50</c:v>
                      </c:pt>
                      <c:pt idx="7">
                        <c:v>60</c:v>
                      </c:pt>
                      <c:pt idx="8">
                        <c:v>70</c:v>
                      </c:pt>
                      <c:pt idx="9">
                        <c:v>80</c:v>
                      </c:pt>
                      <c:pt idx="10">
                        <c:v>90</c:v>
                      </c:pt>
                      <c:pt idx="11">
                        <c:v>100</c:v>
                      </c:pt>
                      <c:pt idx="12">
                        <c:v>111</c:v>
                      </c:pt>
                      <c:pt idx="13">
                        <c:v>112</c:v>
                      </c:pt>
                    </c:numCache>
                  </c:numRef>
                </c:val>
                <c:extLst>
                  <c:ext xmlns:c16="http://schemas.microsoft.com/office/drawing/2014/chart" uri="{C3380CC4-5D6E-409C-BE32-E72D297353CC}">
                    <c16:uniqueId val="{00000004-1CEF-4913-A347-0A1C13A52951}"/>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'Riesgo - Análisis - 3'!$J$4</c15:sqref>
                        </c15:formulaRef>
                      </c:ext>
                    </c:extLst>
                    <c:strCache>
                      <c:ptCount val="1"/>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'Riesgo - Análisis - 3'!$H$5:$H$18</c15:sqref>
                        </c15:formulaRef>
                      </c:ext>
                    </c:extLst>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extLst xmlns:c15="http://schemas.microsoft.com/office/drawing/2012/chart">
                      <c:ext xmlns:c15="http://schemas.microsoft.com/office/drawing/2012/chart" uri="{02D57815-91ED-43cb-92C2-25804820EDAC}">
                        <c15:formulaRef>
                          <c15:sqref>'Riesgo - Análisis - 3'!$J$5:$J$18</c15:sqref>
                        </c15:formulaRef>
                      </c:ext>
                    </c:extLst>
                    <c:numCache>
                      <c:formatCode>General</c:formatCode>
                      <c:ptCount val="14"/>
                      <c:pt idx="0">
                        <c:v>16</c:v>
                      </c:pt>
                      <c:pt idx="1">
                        <c:v>8</c:v>
                      </c:pt>
                      <c:pt idx="2">
                        <c:v>1</c:v>
                      </c:pt>
                      <c:pt idx="3">
                        <c:v>2</c:v>
                      </c:pt>
                      <c:pt idx="4">
                        <c:v>2</c:v>
                      </c:pt>
                      <c:pt idx="5">
                        <c:v>8</c:v>
                      </c:pt>
                      <c:pt idx="6">
                        <c:v>10</c:v>
                      </c:pt>
                      <c:pt idx="7">
                        <c:v>5</c:v>
                      </c:pt>
                      <c:pt idx="8">
                        <c:v>12</c:v>
                      </c:pt>
                      <c:pt idx="9">
                        <c:v>3</c:v>
                      </c:pt>
                      <c:pt idx="10">
                        <c:v>15</c:v>
                      </c:pt>
                      <c:pt idx="11">
                        <c:v>13</c:v>
                      </c:pt>
                      <c:pt idx="12">
                        <c:v>11</c:v>
                      </c:pt>
                      <c:pt idx="13">
                        <c:v>19</c:v>
                      </c:pt>
                    </c:numCache>
                  </c:numRef>
                </c:val>
                <c:extLst xmlns:c15="http://schemas.microsoft.com/office/drawing/2012/chart">
                  <c:ext xmlns:c16="http://schemas.microsoft.com/office/drawing/2014/chart" uri="{C3380CC4-5D6E-409C-BE32-E72D297353CC}">
                    <c16:uniqueId val="{00000005-1CEF-4913-A347-0A1C13A52951}"/>
                  </c:ext>
                </c:extLst>
              </c15:ser>
            </c15:filteredBarSeries>
          </c:ext>
        </c:extLst>
      </c:barChart>
      <c:catAx>
        <c:axId val="414443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14443688"/>
        <c:crosses val="autoZero"/>
        <c:auto val="1"/>
        <c:lblAlgn val="ctr"/>
        <c:lblOffset val="100"/>
        <c:noMultiLvlLbl val="0"/>
      </c:catAx>
      <c:valAx>
        <c:axId val="414443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14443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CONSECUENCIAS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stacked"/>
        <c:varyColors val="0"/>
        <c:ser>
          <c:idx val="2"/>
          <c:order val="2"/>
          <c:tx>
            <c:strRef>
              <c:f>'Riesgo - Análisis - 3'!$K$21:$K$23</c:f>
              <c:strCache>
                <c:ptCount val="3"/>
                <c:pt idx="2">
                  <c:v>CMA</c:v>
                </c:pt>
              </c:strCache>
            </c:strRef>
          </c:tx>
          <c:spPr>
            <a:solidFill>
              <a:srgbClr val="FF0000"/>
            </a:solidFill>
            <a:ln>
              <a:noFill/>
            </a:ln>
            <a:effectLst/>
          </c:spPr>
          <c:invertIfNegative val="0"/>
          <c:cat>
            <c:strRef>
              <c:f>'Riesgo - Análisis - 3'!$H$24:$H$37</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- 3'!$K$24:$K$37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F9E9-4EF7-8A97-2DD9043D9967}"/>
            </c:ext>
          </c:extLst>
        </c:ser>
        <c:ser>
          <c:idx val="3"/>
          <c:order val="3"/>
          <c:tx>
            <c:strRef>
              <c:f>'Riesgo - Análisis - 3'!$L$21:$L$23</c:f>
              <c:strCache>
                <c:ptCount val="3"/>
                <c:pt idx="2">
                  <c:v>CA</c:v>
                </c:pt>
              </c:strCache>
            </c:strRef>
          </c:tx>
          <c:spPr>
            <a:solidFill>
              <a:schemeClr val="accent4"/>
            </a:solidFill>
            <a:ln>
              <a:noFill/>
            </a:ln>
            <a:effectLst/>
          </c:spPr>
          <c:invertIfNegative val="0"/>
          <c:cat>
            <c:strRef>
              <c:f>'Riesgo - Análisis - 3'!$H$24:$H$37</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- 3'!$L$24:$L$37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F9E9-4EF7-8A97-2DD9043D9967}"/>
            </c:ext>
          </c:extLst>
        </c:ser>
        <c:ser>
          <c:idx val="4"/>
          <c:order val="4"/>
          <c:tx>
            <c:strRef>
              <c:f>'Riesgo - Análisis - 3'!$M$21:$M$23</c:f>
              <c:strCache>
                <c:ptCount val="3"/>
                <c:pt idx="2">
                  <c:v>CM</c:v>
                </c:pt>
              </c:strCache>
            </c:strRef>
          </c:tx>
          <c:spPr>
            <a:solidFill>
              <a:srgbClr val="00B050"/>
            </a:solidFill>
            <a:ln>
              <a:noFill/>
            </a:ln>
            <a:effectLst/>
          </c:spPr>
          <c:invertIfNegative val="0"/>
          <c:cat>
            <c:strRef>
              <c:f>'Riesgo - Análisis - 3'!$H$24:$H$37</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- 3'!$M$24:$M$37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F9E9-4EF7-8A97-2DD9043D9967}"/>
            </c:ext>
          </c:extLst>
        </c:ser>
        <c:ser>
          <c:idx val="5"/>
          <c:order val="5"/>
          <c:tx>
            <c:strRef>
              <c:f>'Riesgo - Análisis - 3'!$N$21:$N$23</c:f>
              <c:strCache>
                <c:ptCount val="3"/>
                <c:pt idx="2">
                  <c:v>CB</c:v>
                </c:pt>
              </c:strCache>
            </c:strRef>
          </c:tx>
          <c:spPr>
            <a:solidFill>
              <a:schemeClr val="bg2">
                <a:lumMod val="75000"/>
              </a:schemeClr>
            </a:solidFill>
            <a:ln>
              <a:noFill/>
            </a:ln>
            <a:effectLst/>
          </c:spPr>
          <c:invertIfNegative val="0"/>
          <c:cat>
            <c:strRef>
              <c:f>'Riesgo - Análisis - 3'!$H$24:$H$37</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- 3'!$N$24:$N$37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3-F9E9-4EF7-8A97-2DD9043D9967}"/>
            </c:ext>
          </c:extLst>
        </c:ser>
        <c:dLbls>
          <c:showLegendKey val="0"/>
          <c:showVal val="0"/>
          <c:showCatName val="0"/>
          <c:showSerName val="0"/>
          <c:showPercent val="0"/>
          <c:showBubbleSize val="0"/>
        </c:dLbls>
        <c:gapWidth val="150"/>
        <c:overlap val="100"/>
        <c:axId val="414446040"/>
        <c:axId val="414446432"/>
        <c:extLst>
          <c:ext xmlns:c15="http://schemas.microsoft.com/office/drawing/2012/chart" uri="{02D57815-91ED-43cb-92C2-25804820EDAC}">
            <c15:filteredBarSeries>
              <c15:ser>
                <c:idx val="0"/>
                <c:order val="0"/>
                <c:tx>
                  <c:strRef>
                    <c:extLst>
                      <c:ext uri="{02D57815-91ED-43cb-92C2-25804820EDAC}">
                        <c15:formulaRef>
                          <c15:sqref>'Riesgo - Análisis - 3'!$I$21:$I$23</c15:sqref>
                        </c15:formulaRef>
                      </c:ext>
                    </c:extLst>
                    <c:strCache>
                      <c:ptCount val="3"/>
                      <c:pt idx="2">
                        <c:v>Et.Sub</c:v>
                      </c:pt>
                    </c:strCache>
                  </c:strRef>
                </c:tx>
                <c:spPr>
                  <a:solidFill>
                    <a:schemeClr val="accent1"/>
                  </a:solidFill>
                  <a:ln>
                    <a:noFill/>
                  </a:ln>
                  <a:effectLst/>
                </c:spPr>
                <c:invertIfNegative val="0"/>
                <c:cat>
                  <c:strRef>
                    <c:extLst>
                      <c:ext uri="{02D57815-91ED-43cb-92C2-25804820EDAC}">
                        <c15:formulaRef>
                          <c15:sqref>'Riesgo - Análisis - 3'!$H$24:$H$37</c15:sqref>
                        </c15:formulaRef>
                      </c:ext>
                    </c:extLst>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extLst>
                      <c:ext uri="{02D57815-91ED-43cb-92C2-25804820EDAC}">
                        <c15:formulaRef>
                          <c15:sqref>'Riesgo - Análisis - 3'!$I$24:$I$37</c15:sqref>
                        </c15:formulaRef>
                      </c:ext>
                    </c:extLst>
                    <c:numCache>
                      <c:formatCode>General</c:formatCode>
                      <c:ptCount val="14"/>
                      <c:pt idx="0">
                        <c:v>21</c:v>
                      </c:pt>
                      <c:pt idx="1">
                        <c:v>22</c:v>
                      </c:pt>
                      <c:pt idx="2">
                        <c:v>23</c:v>
                      </c:pt>
                      <c:pt idx="3">
                        <c:v>24</c:v>
                      </c:pt>
                      <c:pt idx="4">
                        <c:v>30</c:v>
                      </c:pt>
                      <c:pt idx="5">
                        <c:v>40</c:v>
                      </c:pt>
                      <c:pt idx="6">
                        <c:v>50</c:v>
                      </c:pt>
                      <c:pt idx="7">
                        <c:v>60</c:v>
                      </c:pt>
                      <c:pt idx="8">
                        <c:v>70</c:v>
                      </c:pt>
                      <c:pt idx="9">
                        <c:v>80</c:v>
                      </c:pt>
                      <c:pt idx="10">
                        <c:v>90</c:v>
                      </c:pt>
                      <c:pt idx="11">
                        <c:v>100</c:v>
                      </c:pt>
                      <c:pt idx="12">
                        <c:v>111</c:v>
                      </c:pt>
                      <c:pt idx="13">
                        <c:v>112</c:v>
                      </c:pt>
                    </c:numCache>
                  </c:numRef>
                </c:val>
                <c:extLst>
                  <c:ext xmlns:c16="http://schemas.microsoft.com/office/drawing/2014/chart" uri="{C3380CC4-5D6E-409C-BE32-E72D297353CC}">
                    <c16:uniqueId val="{00000004-F9E9-4EF7-8A97-2DD9043D9967}"/>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'Riesgo - Análisis - 3'!$J$21:$J$23</c15:sqref>
                        </c15:formulaRef>
                      </c:ext>
                    </c:extLst>
                    <c:strCache>
                      <c:ptCount val="3"/>
                      <c:pt idx="2">
                        <c:v>Et.Sub</c:v>
                      </c:pt>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'Riesgo - Análisis - 3'!$H$24:$H$37</c15:sqref>
                        </c15:formulaRef>
                      </c:ext>
                    </c:extLst>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extLst xmlns:c15="http://schemas.microsoft.com/office/drawing/2012/chart">
                      <c:ext xmlns:c15="http://schemas.microsoft.com/office/drawing/2012/chart" uri="{02D57815-91ED-43cb-92C2-25804820EDAC}">
                        <c15:formulaRef>
                          <c15:sqref>'Riesgo - Análisis - 3'!$J$24:$J$37</c15:sqref>
                        </c15:formulaRef>
                      </c:ext>
                    </c:extLst>
                    <c:numCache>
                      <c:formatCode>General</c:formatCode>
                      <c:ptCount val="14"/>
                      <c:pt idx="0">
                        <c:v>16</c:v>
                      </c:pt>
                      <c:pt idx="1">
                        <c:v>8</c:v>
                      </c:pt>
                      <c:pt idx="2">
                        <c:v>1</c:v>
                      </c:pt>
                      <c:pt idx="3">
                        <c:v>2</c:v>
                      </c:pt>
                      <c:pt idx="4">
                        <c:v>2</c:v>
                      </c:pt>
                      <c:pt idx="5">
                        <c:v>8</c:v>
                      </c:pt>
                      <c:pt idx="6">
                        <c:v>10</c:v>
                      </c:pt>
                      <c:pt idx="7">
                        <c:v>5</c:v>
                      </c:pt>
                      <c:pt idx="8">
                        <c:v>12</c:v>
                      </c:pt>
                      <c:pt idx="9">
                        <c:v>3</c:v>
                      </c:pt>
                      <c:pt idx="10">
                        <c:v>15</c:v>
                      </c:pt>
                      <c:pt idx="11">
                        <c:v>13</c:v>
                      </c:pt>
                      <c:pt idx="12">
                        <c:v>11</c:v>
                      </c:pt>
                      <c:pt idx="13">
                        <c:v>19</c:v>
                      </c:pt>
                    </c:numCache>
                  </c:numRef>
                </c:val>
                <c:extLst xmlns:c15="http://schemas.microsoft.com/office/drawing/2012/chart">
                  <c:ext xmlns:c16="http://schemas.microsoft.com/office/drawing/2014/chart" uri="{C3380CC4-5D6E-409C-BE32-E72D297353CC}">
                    <c16:uniqueId val="{00000005-F9E9-4EF7-8A97-2DD9043D9967}"/>
                  </c:ext>
                </c:extLst>
              </c15:ser>
            </c15:filteredBarSeries>
          </c:ext>
        </c:extLst>
      </c:barChart>
      <c:catAx>
        <c:axId val="414446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14446432"/>
        <c:crosses val="autoZero"/>
        <c:auto val="1"/>
        <c:lblAlgn val="ctr"/>
        <c:lblOffset val="100"/>
        <c:noMultiLvlLbl val="0"/>
      </c:catAx>
      <c:valAx>
        <c:axId val="414446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14446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RIESGO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stacked"/>
        <c:varyColors val="0"/>
        <c:ser>
          <c:idx val="2"/>
          <c:order val="2"/>
          <c:tx>
            <c:strRef>
              <c:f>'Riesgo - Análisis - 3'!$K$42</c:f>
              <c:strCache>
                <c:ptCount val="1"/>
                <c:pt idx="0">
                  <c:v>RMA</c:v>
                </c:pt>
              </c:strCache>
            </c:strRef>
          </c:tx>
          <c:spPr>
            <a:solidFill>
              <a:srgbClr val="FF0000"/>
            </a:solidFill>
            <a:ln>
              <a:noFill/>
            </a:ln>
            <a:effectLst/>
          </c:spPr>
          <c:invertIfNegative val="0"/>
          <c:cat>
            <c:strRef>
              <c:f>'Riesgo - Análisis - 3'!$H$43:$H$56</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- 3'!$K$43:$K$56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CDE7-4DED-9775-DAAFE0C602E0}"/>
            </c:ext>
          </c:extLst>
        </c:ser>
        <c:ser>
          <c:idx val="3"/>
          <c:order val="3"/>
          <c:tx>
            <c:strRef>
              <c:f>'Riesgo - Análisis - 3'!$L$42</c:f>
              <c:strCache>
                <c:ptCount val="1"/>
                <c:pt idx="0">
                  <c:v>RA</c:v>
                </c:pt>
              </c:strCache>
            </c:strRef>
          </c:tx>
          <c:spPr>
            <a:solidFill>
              <a:schemeClr val="accent4">
                <a:lumMod val="60000"/>
                <a:lumOff val="40000"/>
              </a:schemeClr>
            </a:solidFill>
            <a:ln>
              <a:noFill/>
            </a:ln>
            <a:effectLst/>
          </c:spPr>
          <c:invertIfNegative val="0"/>
          <c:cat>
            <c:strRef>
              <c:f>'Riesgo - Análisis - 3'!$H$43:$H$56</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- 3'!$L$43:$L$56</c:f>
              <c:numCache>
                <c:formatCode>General</c:formatCode>
                <c:ptCount val="14"/>
                <c:pt idx="0">
                  <c:v>0</c:v>
                </c:pt>
                <c:pt idx="1">
                  <c:v>0</c:v>
                </c:pt>
                <c:pt idx="2">
                  <c:v>0</c:v>
                </c:pt>
                <c:pt idx="3">
                  <c:v>0</c:v>
                </c:pt>
                <c:pt idx="4">
                  <c:v>0</c:v>
                </c:pt>
                <c:pt idx="5">
                  <c:v>1</c:v>
                </c:pt>
                <c:pt idx="6">
                  <c:v>0</c:v>
                </c:pt>
                <c:pt idx="7">
                  <c:v>1</c:v>
                </c:pt>
                <c:pt idx="8">
                  <c:v>0</c:v>
                </c:pt>
                <c:pt idx="9">
                  <c:v>0</c:v>
                </c:pt>
                <c:pt idx="10">
                  <c:v>0</c:v>
                </c:pt>
                <c:pt idx="11">
                  <c:v>0</c:v>
                </c:pt>
                <c:pt idx="12">
                  <c:v>1</c:v>
                </c:pt>
                <c:pt idx="13">
                  <c:v>1</c:v>
                </c:pt>
              </c:numCache>
            </c:numRef>
          </c:val>
          <c:extLst>
            <c:ext xmlns:c16="http://schemas.microsoft.com/office/drawing/2014/chart" uri="{C3380CC4-5D6E-409C-BE32-E72D297353CC}">
              <c16:uniqueId val="{00000001-CDE7-4DED-9775-DAAFE0C602E0}"/>
            </c:ext>
          </c:extLst>
        </c:ser>
        <c:ser>
          <c:idx val="4"/>
          <c:order val="4"/>
          <c:tx>
            <c:strRef>
              <c:f>'Riesgo - Análisis - 3'!$M$42</c:f>
              <c:strCache>
                <c:ptCount val="1"/>
                <c:pt idx="0">
                  <c:v>RM</c:v>
                </c:pt>
              </c:strCache>
            </c:strRef>
          </c:tx>
          <c:spPr>
            <a:solidFill>
              <a:srgbClr val="00B050"/>
            </a:solidFill>
            <a:ln>
              <a:noFill/>
            </a:ln>
            <a:effectLst/>
          </c:spPr>
          <c:invertIfNegative val="0"/>
          <c:cat>
            <c:strRef>
              <c:f>'Riesgo - Análisis - 3'!$H$43:$H$56</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- 3'!$M$43:$M$56</c:f>
              <c:numCache>
                <c:formatCode>General</c:formatCode>
                <c:ptCount val="14"/>
                <c:pt idx="0">
                  <c:v>8</c:v>
                </c:pt>
                <c:pt idx="1">
                  <c:v>0</c:v>
                </c:pt>
                <c:pt idx="2">
                  <c:v>0</c:v>
                </c:pt>
                <c:pt idx="3">
                  <c:v>1</c:v>
                </c:pt>
                <c:pt idx="4">
                  <c:v>1</c:v>
                </c:pt>
                <c:pt idx="5">
                  <c:v>1</c:v>
                </c:pt>
                <c:pt idx="6">
                  <c:v>1</c:v>
                </c:pt>
                <c:pt idx="7">
                  <c:v>1</c:v>
                </c:pt>
                <c:pt idx="8">
                  <c:v>2</c:v>
                </c:pt>
                <c:pt idx="9">
                  <c:v>1</c:v>
                </c:pt>
                <c:pt idx="10">
                  <c:v>4</c:v>
                </c:pt>
                <c:pt idx="11">
                  <c:v>2</c:v>
                </c:pt>
                <c:pt idx="12">
                  <c:v>6</c:v>
                </c:pt>
                <c:pt idx="13">
                  <c:v>16</c:v>
                </c:pt>
              </c:numCache>
            </c:numRef>
          </c:val>
          <c:extLst>
            <c:ext xmlns:c16="http://schemas.microsoft.com/office/drawing/2014/chart" uri="{C3380CC4-5D6E-409C-BE32-E72D297353CC}">
              <c16:uniqueId val="{00000002-CDE7-4DED-9775-DAAFE0C602E0}"/>
            </c:ext>
          </c:extLst>
        </c:ser>
        <c:ser>
          <c:idx val="5"/>
          <c:order val="5"/>
          <c:tx>
            <c:strRef>
              <c:f>'Riesgo - Análisis - 3'!$N$42</c:f>
              <c:strCache>
                <c:ptCount val="1"/>
                <c:pt idx="0">
                  <c:v>RB</c:v>
                </c:pt>
              </c:strCache>
            </c:strRef>
          </c:tx>
          <c:spPr>
            <a:solidFill>
              <a:schemeClr val="tx2">
                <a:lumMod val="40000"/>
                <a:lumOff val="60000"/>
              </a:schemeClr>
            </a:solidFill>
            <a:ln>
              <a:noFill/>
            </a:ln>
            <a:effectLst/>
          </c:spPr>
          <c:invertIfNegative val="0"/>
          <c:cat>
            <c:strRef>
              <c:f>'Riesgo - Análisis - 3'!$H$43:$H$56</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- 3'!$N$43:$N$56</c:f>
              <c:numCache>
                <c:formatCode>General</c:formatCode>
                <c:ptCount val="14"/>
                <c:pt idx="0">
                  <c:v>8</c:v>
                </c:pt>
                <c:pt idx="1">
                  <c:v>8</c:v>
                </c:pt>
                <c:pt idx="2">
                  <c:v>1</c:v>
                </c:pt>
                <c:pt idx="3">
                  <c:v>1</c:v>
                </c:pt>
                <c:pt idx="4">
                  <c:v>1</c:v>
                </c:pt>
                <c:pt idx="5">
                  <c:v>6</c:v>
                </c:pt>
                <c:pt idx="6">
                  <c:v>9</c:v>
                </c:pt>
                <c:pt idx="7">
                  <c:v>3</c:v>
                </c:pt>
                <c:pt idx="8">
                  <c:v>10</c:v>
                </c:pt>
                <c:pt idx="9">
                  <c:v>2</c:v>
                </c:pt>
                <c:pt idx="10">
                  <c:v>11</c:v>
                </c:pt>
                <c:pt idx="11">
                  <c:v>11</c:v>
                </c:pt>
                <c:pt idx="12">
                  <c:v>4</c:v>
                </c:pt>
                <c:pt idx="13">
                  <c:v>2</c:v>
                </c:pt>
              </c:numCache>
            </c:numRef>
          </c:val>
          <c:extLst>
            <c:ext xmlns:c16="http://schemas.microsoft.com/office/drawing/2014/chart" uri="{C3380CC4-5D6E-409C-BE32-E72D297353CC}">
              <c16:uniqueId val="{00000003-CDE7-4DED-9775-DAAFE0C602E0}"/>
            </c:ext>
          </c:extLst>
        </c:ser>
        <c:dLbls>
          <c:showLegendKey val="0"/>
          <c:showVal val="0"/>
          <c:showCatName val="0"/>
          <c:showSerName val="0"/>
          <c:showPercent val="0"/>
          <c:showBubbleSize val="0"/>
        </c:dLbls>
        <c:gapWidth val="150"/>
        <c:overlap val="100"/>
        <c:axId val="416209256"/>
        <c:axId val="416209648"/>
        <c:extLst>
          <c:ext xmlns:c15="http://schemas.microsoft.com/office/drawing/2012/chart" uri="{02D57815-91ED-43cb-92C2-25804820EDAC}">
            <c15:filteredBarSeries>
              <c15:ser>
                <c:idx val="0"/>
                <c:order val="0"/>
                <c:tx>
                  <c:strRef>
                    <c:extLst>
                      <c:ext uri="{02D57815-91ED-43cb-92C2-25804820EDAC}">
                        <c15:formulaRef>
                          <c15:sqref>'Riesgo - Análisis - 3'!$I$42</c15:sqref>
                        </c15:formulaRef>
                      </c:ext>
                    </c:extLst>
                    <c:strCache>
                      <c:ptCount val="1"/>
                      <c:pt idx="0">
                        <c:v>Et.Sub</c:v>
                      </c:pt>
                    </c:strCache>
                  </c:strRef>
                </c:tx>
                <c:spPr>
                  <a:solidFill>
                    <a:schemeClr val="accent1"/>
                  </a:solidFill>
                  <a:ln>
                    <a:noFill/>
                  </a:ln>
                  <a:effectLst/>
                </c:spPr>
                <c:invertIfNegative val="0"/>
                <c:cat>
                  <c:strRef>
                    <c:extLst>
                      <c:ext uri="{02D57815-91ED-43cb-92C2-25804820EDAC}">
                        <c15:formulaRef>
                          <c15:sqref>'Riesgo - Análisis - 3'!$H$43:$H$56</c15:sqref>
                        </c15:formulaRef>
                      </c:ext>
                    </c:extLst>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extLst>
                      <c:ext uri="{02D57815-91ED-43cb-92C2-25804820EDAC}">
                        <c15:formulaRef>
                          <c15:sqref>'Riesgo - Análisis - 3'!$I$43:$I$56</c15:sqref>
                        </c15:formulaRef>
                      </c:ext>
                    </c:extLst>
                    <c:numCache>
                      <c:formatCode>General</c:formatCode>
                      <c:ptCount val="14"/>
                      <c:pt idx="0">
                        <c:v>21</c:v>
                      </c:pt>
                      <c:pt idx="1">
                        <c:v>22</c:v>
                      </c:pt>
                      <c:pt idx="2">
                        <c:v>23</c:v>
                      </c:pt>
                      <c:pt idx="3">
                        <c:v>24</c:v>
                      </c:pt>
                      <c:pt idx="4">
                        <c:v>30</c:v>
                      </c:pt>
                      <c:pt idx="5">
                        <c:v>40</c:v>
                      </c:pt>
                      <c:pt idx="6">
                        <c:v>50</c:v>
                      </c:pt>
                      <c:pt idx="7">
                        <c:v>60</c:v>
                      </c:pt>
                      <c:pt idx="8">
                        <c:v>70</c:v>
                      </c:pt>
                      <c:pt idx="9">
                        <c:v>80</c:v>
                      </c:pt>
                      <c:pt idx="10">
                        <c:v>90</c:v>
                      </c:pt>
                      <c:pt idx="11">
                        <c:v>100</c:v>
                      </c:pt>
                      <c:pt idx="12">
                        <c:v>111</c:v>
                      </c:pt>
                      <c:pt idx="13">
                        <c:v>112</c:v>
                      </c:pt>
                    </c:numCache>
                  </c:numRef>
                </c:val>
                <c:extLst>
                  <c:ext xmlns:c16="http://schemas.microsoft.com/office/drawing/2014/chart" uri="{C3380CC4-5D6E-409C-BE32-E72D297353CC}">
                    <c16:uniqueId val="{00000004-CDE7-4DED-9775-DAAFE0C602E0}"/>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'Riesgo - Análisis - 3'!$J$42</c15:sqref>
                        </c15:formulaRef>
                      </c:ext>
                    </c:extLst>
                    <c:strCache>
                      <c:ptCount val="1"/>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'Riesgo - Análisis - 3'!$H$43:$H$56</c15:sqref>
                        </c15:formulaRef>
                      </c:ext>
                    </c:extLst>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extLst xmlns:c15="http://schemas.microsoft.com/office/drawing/2012/chart">
                      <c:ext xmlns:c15="http://schemas.microsoft.com/office/drawing/2012/chart" uri="{02D57815-91ED-43cb-92C2-25804820EDAC}">
                        <c15:formulaRef>
                          <c15:sqref>'Riesgo - Análisis - 3'!$J$43:$J$56</c15:sqref>
                        </c15:formulaRef>
                      </c:ext>
                    </c:extLst>
                    <c:numCache>
                      <c:formatCode>General</c:formatCode>
                      <c:ptCount val="14"/>
                      <c:pt idx="0">
                        <c:v>16</c:v>
                      </c:pt>
                      <c:pt idx="1">
                        <c:v>8</c:v>
                      </c:pt>
                      <c:pt idx="2">
                        <c:v>1</c:v>
                      </c:pt>
                      <c:pt idx="3">
                        <c:v>2</c:v>
                      </c:pt>
                      <c:pt idx="4">
                        <c:v>2</c:v>
                      </c:pt>
                      <c:pt idx="5">
                        <c:v>8</c:v>
                      </c:pt>
                      <c:pt idx="6">
                        <c:v>10</c:v>
                      </c:pt>
                      <c:pt idx="7">
                        <c:v>5</c:v>
                      </c:pt>
                      <c:pt idx="8">
                        <c:v>12</c:v>
                      </c:pt>
                      <c:pt idx="9">
                        <c:v>3</c:v>
                      </c:pt>
                      <c:pt idx="10">
                        <c:v>15</c:v>
                      </c:pt>
                      <c:pt idx="11">
                        <c:v>13</c:v>
                      </c:pt>
                      <c:pt idx="12">
                        <c:v>11</c:v>
                      </c:pt>
                      <c:pt idx="13">
                        <c:v>19</c:v>
                      </c:pt>
                    </c:numCache>
                  </c:numRef>
                </c:val>
                <c:extLst xmlns:c15="http://schemas.microsoft.com/office/drawing/2012/chart">
                  <c:ext xmlns:c16="http://schemas.microsoft.com/office/drawing/2014/chart" uri="{C3380CC4-5D6E-409C-BE32-E72D297353CC}">
                    <c16:uniqueId val="{00000005-CDE7-4DED-9775-DAAFE0C602E0}"/>
                  </c:ext>
                </c:extLst>
              </c15:ser>
            </c15:filteredBarSeries>
          </c:ext>
        </c:extLst>
      </c:barChart>
      <c:catAx>
        <c:axId val="416209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16209648"/>
        <c:crosses val="autoZero"/>
        <c:auto val="1"/>
        <c:lblAlgn val="ctr"/>
        <c:lblOffset val="100"/>
        <c:noMultiLvlLbl val="0"/>
      </c:catAx>
      <c:valAx>
        <c:axId val="416209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16209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FRECUENCIA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2"/>
          <c:order val="2"/>
          <c:tx>
            <c:strRef>
              <c:f>'Riesgo - Análisis - 3'!$K$4</c:f>
              <c:strCache>
                <c:ptCount val="1"/>
                <c:pt idx="0">
                  <c:v>FA</c:v>
                </c:pt>
              </c:strCache>
            </c:strRef>
          </c:tx>
          <c:spPr>
            <a:solidFill>
              <a:srgbClr val="FF0000"/>
            </a:solidFill>
            <a:ln>
              <a:noFill/>
            </a:ln>
            <a:effectLst/>
          </c:spPr>
          <c:invertIfNegative val="0"/>
          <c:cat>
            <c:strRef>
              <c:f>'Riesgo - Análisis - 3'!$H$5:$H$18</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- 3'!$K$5:$K$18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B0F6-4267-91E2-E4928177B661}"/>
            </c:ext>
          </c:extLst>
        </c:ser>
        <c:ser>
          <c:idx val="3"/>
          <c:order val="3"/>
          <c:tx>
            <c:strRef>
              <c:f>'Riesgo - Análisis - 3'!$L$4</c:f>
              <c:strCache>
                <c:ptCount val="1"/>
                <c:pt idx="0">
                  <c:v>FM</c:v>
                </c:pt>
              </c:strCache>
            </c:strRef>
          </c:tx>
          <c:spPr>
            <a:solidFill>
              <a:schemeClr val="accent4"/>
            </a:solidFill>
            <a:ln>
              <a:noFill/>
            </a:ln>
            <a:effectLst/>
          </c:spPr>
          <c:invertIfNegative val="0"/>
          <c:cat>
            <c:strRef>
              <c:f>'Riesgo - Análisis - 3'!$H$5:$H$18</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- 3'!$L$5:$L$18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B0F6-4267-91E2-E4928177B661}"/>
            </c:ext>
          </c:extLst>
        </c:ser>
        <c:ser>
          <c:idx val="4"/>
          <c:order val="4"/>
          <c:tx>
            <c:strRef>
              <c:f>'Riesgo - Análisis - 3'!$M$4</c:f>
              <c:strCache>
                <c:ptCount val="1"/>
                <c:pt idx="0">
                  <c:v>FB</c:v>
                </c:pt>
              </c:strCache>
            </c:strRef>
          </c:tx>
          <c:spPr>
            <a:solidFill>
              <a:srgbClr val="00B050"/>
            </a:solidFill>
            <a:ln>
              <a:noFill/>
            </a:ln>
            <a:effectLst/>
          </c:spPr>
          <c:invertIfNegative val="0"/>
          <c:cat>
            <c:strRef>
              <c:f>'Riesgo - Análisis - 3'!$H$5:$H$18</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- 3'!$M$5:$M$18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B0F6-4267-91E2-E4928177B661}"/>
            </c:ext>
          </c:extLst>
        </c:ser>
        <c:ser>
          <c:idx val="5"/>
          <c:order val="5"/>
          <c:tx>
            <c:strRef>
              <c:f>'Riesgo - Análisis - 3'!$N$4</c:f>
              <c:strCache>
                <c:ptCount val="1"/>
                <c:pt idx="0">
                  <c:v>FMB</c:v>
                </c:pt>
              </c:strCache>
            </c:strRef>
          </c:tx>
          <c:spPr>
            <a:solidFill>
              <a:schemeClr val="tx2">
                <a:lumMod val="60000"/>
                <a:lumOff val="40000"/>
              </a:schemeClr>
            </a:solidFill>
            <a:ln>
              <a:noFill/>
            </a:ln>
            <a:effectLst/>
          </c:spPr>
          <c:invertIfNegative val="0"/>
          <c:cat>
            <c:strRef>
              <c:f>'Riesgo - Análisis - 3'!$H$5:$H$18</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- 3'!$N$5:$N$18</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3-B0F6-4267-91E2-E4928177B661}"/>
            </c:ext>
          </c:extLst>
        </c:ser>
        <c:dLbls>
          <c:showLegendKey val="0"/>
          <c:showVal val="0"/>
          <c:showCatName val="0"/>
          <c:showSerName val="0"/>
          <c:showPercent val="0"/>
          <c:showBubbleSize val="0"/>
        </c:dLbls>
        <c:gapWidth val="0"/>
        <c:axId val="416210432"/>
        <c:axId val="416210824"/>
        <c:extLst>
          <c:ext xmlns:c15="http://schemas.microsoft.com/office/drawing/2012/chart" uri="{02D57815-91ED-43cb-92C2-25804820EDAC}">
            <c15:filteredBarSeries>
              <c15:ser>
                <c:idx val="0"/>
                <c:order val="0"/>
                <c:tx>
                  <c:strRef>
                    <c:extLst>
                      <c:ext uri="{02D57815-91ED-43cb-92C2-25804820EDAC}">
                        <c15:formulaRef>
                          <c15:sqref>'Riesgo - Análisis - 3'!$I$4</c15:sqref>
                        </c15:formulaRef>
                      </c:ext>
                    </c:extLst>
                    <c:strCache>
                      <c:ptCount val="1"/>
                      <c:pt idx="0">
                        <c:v>Et.Sub</c:v>
                      </c:pt>
                    </c:strCache>
                  </c:strRef>
                </c:tx>
                <c:spPr>
                  <a:solidFill>
                    <a:schemeClr val="accent1"/>
                  </a:solidFill>
                  <a:ln>
                    <a:noFill/>
                  </a:ln>
                  <a:effectLst/>
                </c:spPr>
                <c:invertIfNegative val="0"/>
                <c:cat>
                  <c:strRef>
                    <c:extLst>
                      <c:ext uri="{02D57815-91ED-43cb-92C2-25804820EDAC}">
                        <c15:formulaRef>
                          <c15:sqref>'Riesgo - Análisis - 3'!$H$5:$H$18</c15:sqref>
                        </c15:formulaRef>
                      </c:ext>
                    </c:extLst>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extLst>
                      <c:ext uri="{02D57815-91ED-43cb-92C2-25804820EDAC}">
                        <c15:formulaRef>
                          <c15:sqref>'Riesgo - Análisis - 3'!$I$5:$I$18</c15:sqref>
                        </c15:formulaRef>
                      </c:ext>
                    </c:extLst>
                    <c:numCache>
                      <c:formatCode>General</c:formatCode>
                      <c:ptCount val="14"/>
                      <c:pt idx="0">
                        <c:v>21</c:v>
                      </c:pt>
                      <c:pt idx="1">
                        <c:v>22</c:v>
                      </c:pt>
                      <c:pt idx="2">
                        <c:v>23</c:v>
                      </c:pt>
                      <c:pt idx="3">
                        <c:v>24</c:v>
                      </c:pt>
                      <c:pt idx="4">
                        <c:v>30</c:v>
                      </c:pt>
                      <c:pt idx="5">
                        <c:v>40</c:v>
                      </c:pt>
                      <c:pt idx="6">
                        <c:v>50</c:v>
                      </c:pt>
                      <c:pt idx="7">
                        <c:v>60</c:v>
                      </c:pt>
                      <c:pt idx="8">
                        <c:v>70</c:v>
                      </c:pt>
                      <c:pt idx="9">
                        <c:v>80</c:v>
                      </c:pt>
                      <c:pt idx="10">
                        <c:v>90</c:v>
                      </c:pt>
                      <c:pt idx="11">
                        <c:v>100</c:v>
                      </c:pt>
                      <c:pt idx="12">
                        <c:v>111</c:v>
                      </c:pt>
                      <c:pt idx="13">
                        <c:v>112</c:v>
                      </c:pt>
                    </c:numCache>
                  </c:numRef>
                </c:val>
                <c:extLst>
                  <c:ext xmlns:c16="http://schemas.microsoft.com/office/drawing/2014/chart" uri="{C3380CC4-5D6E-409C-BE32-E72D297353CC}">
                    <c16:uniqueId val="{00000004-B0F6-4267-91E2-E4928177B661}"/>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'Riesgo - Análisis - 3'!$J$4</c15:sqref>
                        </c15:formulaRef>
                      </c:ext>
                    </c:extLst>
                    <c:strCache>
                      <c:ptCount val="1"/>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'Riesgo - Análisis - 3'!$H$5:$H$18</c15:sqref>
                        </c15:formulaRef>
                      </c:ext>
                    </c:extLst>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extLst xmlns:c15="http://schemas.microsoft.com/office/drawing/2012/chart">
                      <c:ext xmlns:c15="http://schemas.microsoft.com/office/drawing/2012/chart" uri="{02D57815-91ED-43cb-92C2-25804820EDAC}">
                        <c15:formulaRef>
                          <c15:sqref>'Riesgo - Análisis - 3'!$J$5:$J$18</c15:sqref>
                        </c15:formulaRef>
                      </c:ext>
                    </c:extLst>
                    <c:numCache>
                      <c:formatCode>General</c:formatCode>
                      <c:ptCount val="14"/>
                      <c:pt idx="0">
                        <c:v>16</c:v>
                      </c:pt>
                      <c:pt idx="1">
                        <c:v>8</c:v>
                      </c:pt>
                      <c:pt idx="2">
                        <c:v>1</c:v>
                      </c:pt>
                      <c:pt idx="3">
                        <c:v>2</c:v>
                      </c:pt>
                      <c:pt idx="4">
                        <c:v>2</c:v>
                      </c:pt>
                      <c:pt idx="5">
                        <c:v>8</c:v>
                      </c:pt>
                      <c:pt idx="6">
                        <c:v>10</c:v>
                      </c:pt>
                      <c:pt idx="7">
                        <c:v>5</c:v>
                      </c:pt>
                      <c:pt idx="8">
                        <c:v>12</c:v>
                      </c:pt>
                      <c:pt idx="9">
                        <c:v>3</c:v>
                      </c:pt>
                      <c:pt idx="10">
                        <c:v>15</c:v>
                      </c:pt>
                      <c:pt idx="11">
                        <c:v>13</c:v>
                      </c:pt>
                      <c:pt idx="12">
                        <c:v>11</c:v>
                      </c:pt>
                      <c:pt idx="13">
                        <c:v>19</c:v>
                      </c:pt>
                    </c:numCache>
                  </c:numRef>
                </c:val>
                <c:extLst xmlns:c15="http://schemas.microsoft.com/office/drawing/2012/chart">
                  <c:ext xmlns:c16="http://schemas.microsoft.com/office/drawing/2014/chart" uri="{C3380CC4-5D6E-409C-BE32-E72D297353CC}">
                    <c16:uniqueId val="{00000005-B0F6-4267-91E2-E4928177B661}"/>
                  </c:ext>
                </c:extLst>
              </c15:ser>
            </c15:filteredBarSeries>
          </c:ext>
        </c:extLst>
      </c:barChart>
      <c:catAx>
        <c:axId val="41621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16210824"/>
        <c:crosses val="autoZero"/>
        <c:auto val="1"/>
        <c:lblAlgn val="ctr"/>
        <c:lblOffset val="100"/>
        <c:noMultiLvlLbl val="0"/>
      </c:catAx>
      <c:valAx>
        <c:axId val="416210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16210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CONSECUENCIAS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2"/>
          <c:order val="2"/>
          <c:tx>
            <c:strRef>
              <c:f>'Riesgo - Análisis - 3'!$K$23</c:f>
              <c:strCache>
                <c:ptCount val="1"/>
                <c:pt idx="0">
                  <c:v>CMA</c:v>
                </c:pt>
              </c:strCache>
            </c:strRef>
          </c:tx>
          <c:spPr>
            <a:solidFill>
              <a:srgbClr val="FF0000"/>
            </a:solidFill>
            <a:ln>
              <a:noFill/>
            </a:ln>
            <a:effectLst/>
          </c:spPr>
          <c:invertIfNegative val="0"/>
          <c:cat>
            <c:strRef>
              <c:f>'Riesgo - Análisis - 3'!$H$24:$H$37</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- 3'!$K$24:$K$37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4094-4F64-B8B3-856925087290}"/>
            </c:ext>
          </c:extLst>
        </c:ser>
        <c:ser>
          <c:idx val="3"/>
          <c:order val="3"/>
          <c:tx>
            <c:strRef>
              <c:f>'Riesgo - Análisis - 3'!$L$23</c:f>
              <c:strCache>
                <c:ptCount val="1"/>
                <c:pt idx="0">
                  <c:v>CA</c:v>
                </c:pt>
              </c:strCache>
            </c:strRef>
          </c:tx>
          <c:spPr>
            <a:solidFill>
              <a:schemeClr val="accent4"/>
            </a:solidFill>
            <a:ln>
              <a:noFill/>
            </a:ln>
            <a:effectLst/>
          </c:spPr>
          <c:invertIfNegative val="0"/>
          <c:cat>
            <c:strRef>
              <c:f>'Riesgo - Análisis - 3'!$H$24:$H$37</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- 3'!$L$24:$L$37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4094-4F64-B8B3-856925087290}"/>
            </c:ext>
          </c:extLst>
        </c:ser>
        <c:ser>
          <c:idx val="4"/>
          <c:order val="4"/>
          <c:tx>
            <c:strRef>
              <c:f>'Riesgo - Análisis - 3'!$M$23</c:f>
              <c:strCache>
                <c:ptCount val="1"/>
                <c:pt idx="0">
                  <c:v>CM</c:v>
                </c:pt>
              </c:strCache>
            </c:strRef>
          </c:tx>
          <c:spPr>
            <a:solidFill>
              <a:srgbClr val="00B050"/>
            </a:solidFill>
            <a:ln>
              <a:noFill/>
            </a:ln>
            <a:effectLst/>
          </c:spPr>
          <c:invertIfNegative val="0"/>
          <c:cat>
            <c:strRef>
              <c:f>'Riesgo - Análisis - 3'!$H$24:$H$37</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- 3'!$M$24:$M$37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4094-4F64-B8B3-856925087290}"/>
            </c:ext>
          </c:extLst>
        </c:ser>
        <c:ser>
          <c:idx val="5"/>
          <c:order val="5"/>
          <c:tx>
            <c:strRef>
              <c:f>'Riesgo - Análisis - 3'!$N$23</c:f>
              <c:strCache>
                <c:ptCount val="1"/>
                <c:pt idx="0">
                  <c:v>CB</c:v>
                </c:pt>
              </c:strCache>
            </c:strRef>
          </c:tx>
          <c:spPr>
            <a:solidFill>
              <a:schemeClr val="tx2">
                <a:lumMod val="60000"/>
                <a:lumOff val="40000"/>
              </a:schemeClr>
            </a:solidFill>
            <a:ln>
              <a:noFill/>
            </a:ln>
            <a:effectLst/>
          </c:spPr>
          <c:invertIfNegative val="0"/>
          <c:cat>
            <c:strRef>
              <c:f>'Riesgo - Análisis - 3'!$H$24:$H$37</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- 3'!$N$24:$N$37</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3-4094-4F64-B8B3-856925087290}"/>
            </c:ext>
          </c:extLst>
        </c:ser>
        <c:dLbls>
          <c:showLegendKey val="0"/>
          <c:showVal val="0"/>
          <c:showCatName val="0"/>
          <c:showSerName val="0"/>
          <c:showPercent val="0"/>
          <c:showBubbleSize val="0"/>
        </c:dLbls>
        <c:gapWidth val="0"/>
        <c:axId val="414445648"/>
        <c:axId val="414445256"/>
        <c:extLst>
          <c:ext xmlns:c15="http://schemas.microsoft.com/office/drawing/2012/chart" uri="{02D57815-91ED-43cb-92C2-25804820EDAC}">
            <c15:filteredBarSeries>
              <c15:ser>
                <c:idx val="0"/>
                <c:order val="0"/>
                <c:tx>
                  <c:strRef>
                    <c:extLst>
                      <c:ext uri="{02D57815-91ED-43cb-92C2-25804820EDAC}">
                        <c15:formulaRef>
                          <c15:sqref>'Riesgo - Análisis - 3'!$I$23</c15:sqref>
                        </c15:formulaRef>
                      </c:ext>
                    </c:extLst>
                    <c:strCache>
                      <c:ptCount val="1"/>
                      <c:pt idx="0">
                        <c:v>Et.Sub</c:v>
                      </c:pt>
                    </c:strCache>
                  </c:strRef>
                </c:tx>
                <c:spPr>
                  <a:solidFill>
                    <a:schemeClr val="accent1"/>
                  </a:solidFill>
                  <a:ln>
                    <a:noFill/>
                  </a:ln>
                  <a:effectLst/>
                </c:spPr>
                <c:invertIfNegative val="0"/>
                <c:cat>
                  <c:strRef>
                    <c:extLst>
                      <c:ext uri="{02D57815-91ED-43cb-92C2-25804820EDAC}">
                        <c15:formulaRef>
                          <c15:sqref>'Riesgo - Análisis - 3'!$H$24:$H$37</c15:sqref>
                        </c15:formulaRef>
                      </c:ext>
                    </c:extLst>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extLst>
                      <c:ext uri="{02D57815-91ED-43cb-92C2-25804820EDAC}">
                        <c15:formulaRef>
                          <c15:sqref>'Riesgo - Análisis - 3'!$I$24:$I$37</c15:sqref>
                        </c15:formulaRef>
                      </c:ext>
                    </c:extLst>
                    <c:numCache>
                      <c:formatCode>General</c:formatCode>
                      <c:ptCount val="14"/>
                      <c:pt idx="0">
                        <c:v>21</c:v>
                      </c:pt>
                      <c:pt idx="1">
                        <c:v>22</c:v>
                      </c:pt>
                      <c:pt idx="2">
                        <c:v>23</c:v>
                      </c:pt>
                      <c:pt idx="3">
                        <c:v>24</c:v>
                      </c:pt>
                      <c:pt idx="4">
                        <c:v>30</c:v>
                      </c:pt>
                      <c:pt idx="5">
                        <c:v>40</c:v>
                      </c:pt>
                      <c:pt idx="6">
                        <c:v>50</c:v>
                      </c:pt>
                      <c:pt idx="7">
                        <c:v>60</c:v>
                      </c:pt>
                      <c:pt idx="8">
                        <c:v>70</c:v>
                      </c:pt>
                      <c:pt idx="9">
                        <c:v>80</c:v>
                      </c:pt>
                      <c:pt idx="10">
                        <c:v>90</c:v>
                      </c:pt>
                      <c:pt idx="11">
                        <c:v>100</c:v>
                      </c:pt>
                      <c:pt idx="12">
                        <c:v>111</c:v>
                      </c:pt>
                      <c:pt idx="13">
                        <c:v>112</c:v>
                      </c:pt>
                    </c:numCache>
                  </c:numRef>
                </c:val>
                <c:extLst>
                  <c:ext xmlns:c16="http://schemas.microsoft.com/office/drawing/2014/chart" uri="{C3380CC4-5D6E-409C-BE32-E72D297353CC}">
                    <c16:uniqueId val="{00000004-4094-4F64-B8B3-856925087290}"/>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'Riesgo - Análisis - 3'!$J$23</c15:sqref>
                        </c15:formulaRef>
                      </c:ext>
                    </c:extLst>
                    <c:strCache>
                      <c:ptCount val="1"/>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'Riesgo - Análisis - 3'!$H$24:$H$37</c15:sqref>
                        </c15:formulaRef>
                      </c:ext>
                    </c:extLst>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extLst xmlns:c15="http://schemas.microsoft.com/office/drawing/2012/chart">
                      <c:ext xmlns:c15="http://schemas.microsoft.com/office/drawing/2012/chart" uri="{02D57815-91ED-43cb-92C2-25804820EDAC}">
                        <c15:formulaRef>
                          <c15:sqref>'Riesgo - Análisis - 3'!$J$24:$J$37</c15:sqref>
                        </c15:formulaRef>
                      </c:ext>
                    </c:extLst>
                    <c:numCache>
                      <c:formatCode>General</c:formatCode>
                      <c:ptCount val="14"/>
                      <c:pt idx="0">
                        <c:v>16</c:v>
                      </c:pt>
                      <c:pt idx="1">
                        <c:v>8</c:v>
                      </c:pt>
                      <c:pt idx="2">
                        <c:v>1</c:v>
                      </c:pt>
                      <c:pt idx="3">
                        <c:v>2</c:v>
                      </c:pt>
                      <c:pt idx="4">
                        <c:v>2</c:v>
                      </c:pt>
                      <c:pt idx="5">
                        <c:v>8</c:v>
                      </c:pt>
                      <c:pt idx="6">
                        <c:v>10</c:v>
                      </c:pt>
                      <c:pt idx="7">
                        <c:v>5</c:v>
                      </c:pt>
                      <c:pt idx="8">
                        <c:v>12</c:v>
                      </c:pt>
                      <c:pt idx="9">
                        <c:v>3</c:v>
                      </c:pt>
                      <c:pt idx="10">
                        <c:v>15</c:v>
                      </c:pt>
                      <c:pt idx="11">
                        <c:v>13</c:v>
                      </c:pt>
                      <c:pt idx="12">
                        <c:v>11</c:v>
                      </c:pt>
                      <c:pt idx="13">
                        <c:v>19</c:v>
                      </c:pt>
                    </c:numCache>
                  </c:numRef>
                </c:val>
                <c:extLst xmlns:c15="http://schemas.microsoft.com/office/drawing/2012/chart">
                  <c:ext xmlns:c16="http://schemas.microsoft.com/office/drawing/2014/chart" uri="{C3380CC4-5D6E-409C-BE32-E72D297353CC}">
                    <c16:uniqueId val="{00000005-4094-4F64-B8B3-856925087290}"/>
                  </c:ext>
                </c:extLst>
              </c15:ser>
            </c15:filteredBarSeries>
          </c:ext>
        </c:extLst>
      </c:barChart>
      <c:catAx>
        <c:axId val="414445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14445256"/>
        <c:crosses val="autoZero"/>
        <c:auto val="1"/>
        <c:lblAlgn val="ctr"/>
        <c:lblOffset val="100"/>
        <c:noMultiLvlLbl val="0"/>
      </c:catAx>
      <c:valAx>
        <c:axId val="414445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14445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RIESGO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barChart>
        <c:barDir val="col"/>
        <c:grouping val="clustered"/>
        <c:varyColors val="0"/>
        <c:ser>
          <c:idx val="2"/>
          <c:order val="2"/>
          <c:tx>
            <c:strRef>
              <c:f>'Riesgo - Análisis - 3'!$K$42</c:f>
              <c:strCache>
                <c:ptCount val="1"/>
                <c:pt idx="0">
                  <c:v>RMA</c:v>
                </c:pt>
              </c:strCache>
            </c:strRef>
          </c:tx>
          <c:spPr>
            <a:solidFill>
              <a:srgbClr val="FF0000"/>
            </a:solidFill>
            <a:ln>
              <a:noFill/>
            </a:ln>
            <a:effectLst/>
          </c:spPr>
          <c:invertIfNegative val="0"/>
          <c:cat>
            <c:strRef>
              <c:f>'Riesgo - Análisis - 3'!$H$43:$H$56</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- 3'!$K$43:$K$56</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BBA9-4117-BB0B-912D1B18B946}"/>
            </c:ext>
          </c:extLst>
        </c:ser>
        <c:ser>
          <c:idx val="3"/>
          <c:order val="3"/>
          <c:tx>
            <c:strRef>
              <c:f>'Riesgo - Análisis - 3'!$L$42</c:f>
              <c:strCache>
                <c:ptCount val="1"/>
                <c:pt idx="0">
                  <c:v>RA</c:v>
                </c:pt>
              </c:strCache>
            </c:strRef>
          </c:tx>
          <c:spPr>
            <a:solidFill>
              <a:schemeClr val="accent4"/>
            </a:solidFill>
            <a:ln>
              <a:noFill/>
            </a:ln>
            <a:effectLst/>
          </c:spPr>
          <c:invertIfNegative val="0"/>
          <c:cat>
            <c:strRef>
              <c:f>'Riesgo - Análisis - 3'!$H$43:$H$56</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- 3'!$L$43:$L$56</c:f>
              <c:numCache>
                <c:formatCode>General</c:formatCode>
                <c:ptCount val="14"/>
                <c:pt idx="0">
                  <c:v>0</c:v>
                </c:pt>
                <c:pt idx="1">
                  <c:v>0</c:v>
                </c:pt>
                <c:pt idx="2">
                  <c:v>0</c:v>
                </c:pt>
                <c:pt idx="3">
                  <c:v>0</c:v>
                </c:pt>
                <c:pt idx="4">
                  <c:v>0</c:v>
                </c:pt>
                <c:pt idx="5">
                  <c:v>1</c:v>
                </c:pt>
                <c:pt idx="6">
                  <c:v>0</c:v>
                </c:pt>
                <c:pt idx="7">
                  <c:v>1</c:v>
                </c:pt>
                <c:pt idx="8">
                  <c:v>0</c:v>
                </c:pt>
                <c:pt idx="9">
                  <c:v>0</c:v>
                </c:pt>
                <c:pt idx="10">
                  <c:v>0</c:v>
                </c:pt>
                <c:pt idx="11">
                  <c:v>0</c:v>
                </c:pt>
                <c:pt idx="12">
                  <c:v>1</c:v>
                </c:pt>
                <c:pt idx="13">
                  <c:v>1</c:v>
                </c:pt>
              </c:numCache>
            </c:numRef>
          </c:val>
          <c:extLst>
            <c:ext xmlns:c16="http://schemas.microsoft.com/office/drawing/2014/chart" uri="{C3380CC4-5D6E-409C-BE32-E72D297353CC}">
              <c16:uniqueId val="{00000001-BBA9-4117-BB0B-912D1B18B946}"/>
            </c:ext>
          </c:extLst>
        </c:ser>
        <c:ser>
          <c:idx val="4"/>
          <c:order val="4"/>
          <c:tx>
            <c:strRef>
              <c:f>'Riesgo - Análisis - 3'!$M$42</c:f>
              <c:strCache>
                <c:ptCount val="1"/>
                <c:pt idx="0">
                  <c:v>RM</c:v>
                </c:pt>
              </c:strCache>
            </c:strRef>
          </c:tx>
          <c:spPr>
            <a:solidFill>
              <a:srgbClr val="00B050"/>
            </a:solidFill>
            <a:ln>
              <a:noFill/>
            </a:ln>
            <a:effectLst/>
          </c:spPr>
          <c:invertIfNegative val="0"/>
          <c:cat>
            <c:strRef>
              <c:f>'Riesgo - Análisis - 3'!$H$43:$H$56</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- 3'!$M$43:$M$56</c:f>
              <c:numCache>
                <c:formatCode>General</c:formatCode>
                <c:ptCount val="14"/>
                <c:pt idx="0">
                  <c:v>8</c:v>
                </c:pt>
                <c:pt idx="1">
                  <c:v>0</c:v>
                </c:pt>
                <c:pt idx="2">
                  <c:v>0</c:v>
                </c:pt>
                <c:pt idx="3">
                  <c:v>1</c:v>
                </c:pt>
                <c:pt idx="4">
                  <c:v>1</c:v>
                </c:pt>
                <c:pt idx="5">
                  <c:v>1</c:v>
                </c:pt>
                <c:pt idx="6">
                  <c:v>1</c:v>
                </c:pt>
                <c:pt idx="7">
                  <c:v>1</c:v>
                </c:pt>
                <c:pt idx="8">
                  <c:v>2</c:v>
                </c:pt>
                <c:pt idx="9">
                  <c:v>1</c:v>
                </c:pt>
                <c:pt idx="10">
                  <c:v>4</c:v>
                </c:pt>
                <c:pt idx="11">
                  <c:v>2</c:v>
                </c:pt>
                <c:pt idx="12">
                  <c:v>6</c:v>
                </c:pt>
                <c:pt idx="13">
                  <c:v>16</c:v>
                </c:pt>
              </c:numCache>
            </c:numRef>
          </c:val>
          <c:extLst>
            <c:ext xmlns:c16="http://schemas.microsoft.com/office/drawing/2014/chart" uri="{C3380CC4-5D6E-409C-BE32-E72D297353CC}">
              <c16:uniqueId val="{00000002-BBA9-4117-BB0B-912D1B18B946}"/>
            </c:ext>
          </c:extLst>
        </c:ser>
        <c:ser>
          <c:idx val="5"/>
          <c:order val="5"/>
          <c:tx>
            <c:strRef>
              <c:f>'Riesgo - Análisis - 3'!$N$42</c:f>
              <c:strCache>
                <c:ptCount val="1"/>
                <c:pt idx="0">
                  <c:v>RB</c:v>
                </c:pt>
              </c:strCache>
            </c:strRef>
          </c:tx>
          <c:spPr>
            <a:solidFill>
              <a:schemeClr val="tx2">
                <a:lumMod val="60000"/>
                <a:lumOff val="40000"/>
              </a:schemeClr>
            </a:solidFill>
            <a:ln>
              <a:noFill/>
            </a:ln>
            <a:effectLst/>
          </c:spPr>
          <c:invertIfNegative val="0"/>
          <c:cat>
            <c:strRef>
              <c:f>'Riesgo - Análisis - 3'!$H$43:$H$56</c:f>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f>'Riesgo - Análisis - 3'!$N$43:$N$56</c:f>
              <c:numCache>
                <c:formatCode>General</c:formatCode>
                <c:ptCount val="14"/>
                <c:pt idx="0">
                  <c:v>8</c:v>
                </c:pt>
                <c:pt idx="1">
                  <c:v>8</c:v>
                </c:pt>
                <c:pt idx="2">
                  <c:v>1</c:v>
                </c:pt>
                <c:pt idx="3">
                  <c:v>1</c:v>
                </c:pt>
                <c:pt idx="4">
                  <c:v>1</c:v>
                </c:pt>
                <c:pt idx="5">
                  <c:v>6</c:v>
                </c:pt>
                <c:pt idx="6">
                  <c:v>9</c:v>
                </c:pt>
                <c:pt idx="7">
                  <c:v>3</c:v>
                </c:pt>
                <c:pt idx="8">
                  <c:v>10</c:v>
                </c:pt>
                <c:pt idx="9">
                  <c:v>2</c:v>
                </c:pt>
                <c:pt idx="10">
                  <c:v>11</c:v>
                </c:pt>
                <c:pt idx="11">
                  <c:v>11</c:v>
                </c:pt>
                <c:pt idx="12">
                  <c:v>4</c:v>
                </c:pt>
                <c:pt idx="13">
                  <c:v>2</c:v>
                </c:pt>
              </c:numCache>
            </c:numRef>
          </c:val>
          <c:extLst>
            <c:ext xmlns:c16="http://schemas.microsoft.com/office/drawing/2014/chart" uri="{C3380CC4-5D6E-409C-BE32-E72D297353CC}">
              <c16:uniqueId val="{00000003-BBA9-4117-BB0B-912D1B18B946}"/>
            </c:ext>
          </c:extLst>
        </c:ser>
        <c:dLbls>
          <c:showLegendKey val="0"/>
          <c:showVal val="0"/>
          <c:showCatName val="0"/>
          <c:showSerName val="0"/>
          <c:showPercent val="0"/>
          <c:showBubbleSize val="0"/>
        </c:dLbls>
        <c:gapWidth val="0"/>
        <c:axId val="414444472"/>
        <c:axId val="416211608"/>
        <c:extLst>
          <c:ext xmlns:c15="http://schemas.microsoft.com/office/drawing/2012/chart" uri="{02D57815-91ED-43cb-92C2-25804820EDAC}">
            <c15:filteredBarSeries>
              <c15:ser>
                <c:idx val="0"/>
                <c:order val="0"/>
                <c:tx>
                  <c:strRef>
                    <c:extLst>
                      <c:ext uri="{02D57815-91ED-43cb-92C2-25804820EDAC}">
                        <c15:formulaRef>
                          <c15:sqref>'Riesgo - Análisis - 3'!$I$42</c15:sqref>
                        </c15:formulaRef>
                      </c:ext>
                    </c:extLst>
                    <c:strCache>
                      <c:ptCount val="1"/>
                      <c:pt idx="0">
                        <c:v>Et.Sub</c:v>
                      </c:pt>
                    </c:strCache>
                  </c:strRef>
                </c:tx>
                <c:spPr>
                  <a:solidFill>
                    <a:schemeClr val="accent1"/>
                  </a:solidFill>
                  <a:ln>
                    <a:noFill/>
                  </a:ln>
                  <a:effectLst/>
                </c:spPr>
                <c:invertIfNegative val="0"/>
                <c:cat>
                  <c:strRef>
                    <c:extLst>
                      <c:ext uri="{02D57815-91ED-43cb-92C2-25804820EDAC}">
                        <c15:formulaRef>
                          <c15:sqref>'Riesgo - Análisis - 3'!$H$43:$H$56</c15:sqref>
                        </c15:formulaRef>
                      </c:ext>
                    </c:extLst>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extLst>
                      <c:ext uri="{02D57815-91ED-43cb-92C2-25804820EDAC}">
                        <c15:formulaRef>
                          <c15:sqref>'Riesgo - Análisis - 3'!$I$43:$I$56</c15:sqref>
                        </c15:formulaRef>
                      </c:ext>
                    </c:extLst>
                    <c:numCache>
                      <c:formatCode>General</c:formatCode>
                      <c:ptCount val="14"/>
                      <c:pt idx="0">
                        <c:v>21</c:v>
                      </c:pt>
                      <c:pt idx="1">
                        <c:v>22</c:v>
                      </c:pt>
                      <c:pt idx="2">
                        <c:v>23</c:v>
                      </c:pt>
                      <c:pt idx="3">
                        <c:v>24</c:v>
                      </c:pt>
                      <c:pt idx="4">
                        <c:v>30</c:v>
                      </c:pt>
                      <c:pt idx="5">
                        <c:v>40</c:v>
                      </c:pt>
                      <c:pt idx="6">
                        <c:v>50</c:v>
                      </c:pt>
                      <c:pt idx="7">
                        <c:v>60</c:v>
                      </c:pt>
                      <c:pt idx="8">
                        <c:v>70</c:v>
                      </c:pt>
                      <c:pt idx="9">
                        <c:v>80</c:v>
                      </c:pt>
                      <c:pt idx="10">
                        <c:v>90</c:v>
                      </c:pt>
                      <c:pt idx="11">
                        <c:v>100</c:v>
                      </c:pt>
                      <c:pt idx="12">
                        <c:v>111</c:v>
                      </c:pt>
                      <c:pt idx="13">
                        <c:v>112</c:v>
                      </c:pt>
                    </c:numCache>
                  </c:numRef>
                </c:val>
                <c:extLst>
                  <c:ext xmlns:c16="http://schemas.microsoft.com/office/drawing/2014/chart" uri="{C3380CC4-5D6E-409C-BE32-E72D297353CC}">
                    <c16:uniqueId val="{00000004-BBA9-4117-BB0B-912D1B18B946}"/>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'Riesgo - Análisis - 3'!$J$42</c15:sqref>
                        </c15:formulaRef>
                      </c:ext>
                    </c:extLst>
                    <c:strCache>
                      <c:ptCount val="1"/>
                    </c:strCache>
                  </c:strRef>
                </c:tx>
                <c:spPr>
                  <a:solidFill>
                    <a:schemeClr val="accent2"/>
                  </a:solidFill>
                  <a:ln>
                    <a:noFill/>
                  </a:ln>
                  <a:effectLst/>
                </c:spPr>
                <c:invertIfNegative val="0"/>
                <c:cat>
                  <c:strRef>
                    <c:extLst xmlns:c15="http://schemas.microsoft.com/office/drawing/2012/chart">
                      <c:ext xmlns:c15="http://schemas.microsoft.com/office/drawing/2012/chart" uri="{02D57815-91ED-43cb-92C2-25804820EDAC}">
                        <c15:formulaRef>
                          <c15:sqref>'Riesgo - Análisis - 3'!$H$43:$H$56</c15:sqref>
                        </c15:formulaRef>
                      </c:ext>
                    </c:extLst>
                    <c:strCache>
                      <c:ptCount val="14"/>
                      <c:pt idx="0">
                        <c:v>Aceptación y puesta en servicio - Del LINAC</c:v>
                      </c:pt>
                      <c:pt idx="1">
                        <c:v>Aceptación y puesta en servicio - Del Sistema de Planificación (TPS)</c:v>
                      </c:pt>
                      <c:pt idx="2">
                        <c:v>Aceptación y puesta en servicio - Del equipo de Adquisición de Imágenes</c:v>
                      </c:pt>
                      <c:pt idx="3">
                        <c:v>Aceptación y puesta en servicio - Sistemas de transferencia y conexiones</c:v>
                      </c:pt>
                      <c:pt idx="4">
                        <c:v>Mantenimiento de los equipos</c:v>
                      </c:pt>
                      <c:pt idx="5">
                        <c:v>Prescripción Clínica del tratamiento</c:v>
                      </c:pt>
                      <c:pt idx="6">
                        <c:v>Adquisición datos anatómicos del paciente</c:v>
                      </c:pt>
                      <c:pt idx="7">
                        <c:v>Delineación de volúmenes</c:v>
                      </c:pt>
                      <c:pt idx="8">
                        <c:v>Planificación del tratamiento</c:v>
                      </c:pt>
                      <c:pt idx="9">
                        <c:v>Elaboración de accesorios personalizados</c:v>
                      </c:pt>
                      <c:pt idx="10">
                        <c:v>Inicio del tratamiento</c:v>
                      </c:pt>
                      <c:pt idx="11">
                        <c:v>Posicionamiento para tratamiento diario</c:v>
                      </c:pt>
                      <c:pt idx="12">
                        <c:v>Ejecución del tratamiento - Asociados al proceso de tratamiento</c:v>
                      </c:pt>
                      <c:pt idx="13">
                        <c:v>Ejecución del tratamiento - Asociados a fallos de equipo</c:v>
                      </c:pt>
                    </c:strCache>
                  </c:strRef>
                </c:cat>
                <c:val>
                  <c:numRef>
                    <c:extLst xmlns:c15="http://schemas.microsoft.com/office/drawing/2012/chart">
                      <c:ext xmlns:c15="http://schemas.microsoft.com/office/drawing/2012/chart" uri="{02D57815-91ED-43cb-92C2-25804820EDAC}">
                        <c15:formulaRef>
                          <c15:sqref>'Riesgo - Análisis - 3'!$J$43:$J$56</c15:sqref>
                        </c15:formulaRef>
                      </c:ext>
                    </c:extLst>
                    <c:numCache>
                      <c:formatCode>General</c:formatCode>
                      <c:ptCount val="14"/>
                      <c:pt idx="0">
                        <c:v>16</c:v>
                      </c:pt>
                      <c:pt idx="1">
                        <c:v>8</c:v>
                      </c:pt>
                      <c:pt idx="2">
                        <c:v>1</c:v>
                      </c:pt>
                      <c:pt idx="3">
                        <c:v>2</c:v>
                      </c:pt>
                      <c:pt idx="4">
                        <c:v>2</c:v>
                      </c:pt>
                      <c:pt idx="5">
                        <c:v>8</c:v>
                      </c:pt>
                      <c:pt idx="6">
                        <c:v>10</c:v>
                      </c:pt>
                      <c:pt idx="7">
                        <c:v>5</c:v>
                      </c:pt>
                      <c:pt idx="8">
                        <c:v>12</c:v>
                      </c:pt>
                      <c:pt idx="9">
                        <c:v>3</c:v>
                      </c:pt>
                      <c:pt idx="10">
                        <c:v>15</c:v>
                      </c:pt>
                      <c:pt idx="11">
                        <c:v>13</c:v>
                      </c:pt>
                      <c:pt idx="12">
                        <c:v>11</c:v>
                      </c:pt>
                      <c:pt idx="13">
                        <c:v>19</c:v>
                      </c:pt>
                    </c:numCache>
                  </c:numRef>
                </c:val>
                <c:extLst xmlns:c15="http://schemas.microsoft.com/office/drawing/2012/chart">
                  <c:ext xmlns:c16="http://schemas.microsoft.com/office/drawing/2014/chart" uri="{C3380CC4-5D6E-409C-BE32-E72D297353CC}">
                    <c16:uniqueId val="{00000005-BBA9-4117-BB0B-912D1B18B946}"/>
                  </c:ext>
                </c:extLst>
              </c15:ser>
            </c15:filteredBarSeries>
          </c:ext>
        </c:extLst>
      </c:barChart>
      <c:catAx>
        <c:axId val="414444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16211608"/>
        <c:crosses val="autoZero"/>
        <c:auto val="1"/>
        <c:lblAlgn val="ctr"/>
        <c:lblOffset val="100"/>
        <c:noMultiLvlLbl val="0"/>
      </c:catAx>
      <c:valAx>
        <c:axId val="416211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14444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Histograma</a:t>
            </a:r>
          </a:p>
        </c:rich>
      </c:tx>
      <c:overlay val="0"/>
    </c:title>
    <c:autoTitleDeleted val="0"/>
    <c:plotArea>
      <c:layout/>
      <c:barChart>
        <c:barDir val="col"/>
        <c:grouping val="clustered"/>
        <c:varyColors val="0"/>
        <c:ser>
          <c:idx val="0"/>
          <c:order val="0"/>
          <c:tx>
            <c:v>Frecuencia</c:v>
          </c:tx>
          <c:invertIfNegative val="0"/>
          <c:cat>
            <c:strRef>
              <c:f>'Barreras - Análisis 1'!$K$6:$K$42</c:f>
              <c:strCache>
                <c:ptCount val="3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y mayor...</c:v>
                </c:pt>
              </c:strCache>
            </c:strRef>
          </c:cat>
          <c:val>
            <c:numRef>
              <c:f>'Barreras - Análisis 1'!$L$6:$L$42</c:f>
              <c:numCache>
                <c:formatCode>General</c:formatCode>
                <c:ptCount val="37"/>
                <c:pt idx="0">
                  <c:v>0</c:v>
                </c:pt>
                <c:pt idx="1">
                  <c:v>43</c:v>
                </c:pt>
                <c:pt idx="2">
                  <c:v>21</c:v>
                </c:pt>
                <c:pt idx="3">
                  <c:v>5</c:v>
                </c:pt>
                <c:pt idx="4">
                  <c:v>3</c:v>
                </c:pt>
                <c:pt idx="5">
                  <c:v>4</c:v>
                </c:pt>
                <c:pt idx="6">
                  <c:v>3</c:v>
                </c:pt>
                <c:pt idx="7">
                  <c:v>4</c:v>
                </c:pt>
                <c:pt idx="8">
                  <c:v>2</c:v>
                </c:pt>
                <c:pt idx="9">
                  <c:v>2</c:v>
                </c:pt>
                <c:pt idx="10">
                  <c:v>1</c:v>
                </c:pt>
                <c:pt idx="11">
                  <c:v>2</c:v>
                </c:pt>
                <c:pt idx="12">
                  <c:v>1</c:v>
                </c:pt>
                <c:pt idx="13">
                  <c:v>0</c:v>
                </c:pt>
                <c:pt idx="14">
                  <c:v>2</c:v>
                </c:pt>
                <c:pt idx="15">
                  <c:v>0</c:v>
                </c:pt>
                <c:pt idx="16">
                  <c:v>1</c:v>
                </c:pt>
                <c:pt idx="17">
                  <c:v>0</c:v>
                </c:pt>
                <c:pt idx="18">
                  <c:v>0</c:v>
                </c:pt>
                <c:pt idx="19">
                  <c:v>1</c:v>
                </c:pt>
                <c:pt idx="20">
                  <c:v>0</c:v>
                </c:pt>
                <c:pt idx="21">
                  <c:v>1</c:v>
                </c:pt>
                <c:pt idx="22">
                  <c:v>0</c:v>
                </c:pt>
                <c:pt idx="23">
                  <c:v>1</c:v>
                </c:pt>
                <c:pt idx="24">
                  <c:v>1</c:v>
                </c:pt>
                <c:pt idx="25">
                  <c:v>0</c:v>
                </c:pt>
                <c:pt idx="26">
                  <c:v>0</c:v>
                </c:pt>
                <c:pt idx="27">
                  <c:v>1</c:v>
                </c:pt>
                <c:pt idx="28">
                  <c:v>0</c:v>
                </c:pt>
                <c:pt idx="29">
                  <c:v>0</c:v>
                </c:pt>
                <c:pt idx="30">
                  <c:v>0</c:v>
                </c:pt>
                <c:pt idx="31">
                  <c:v>0</c:v>
                </c:pt>
                <c:pt idx="32">
                  <c:v>0</c:v>
                </c:pt>
                <c:pt idx="33">
                  <c:v>1</c:v>
                </c:pt>
                <c:pt idx="34">
                  <c:v>0</c:v>
                </c:pt>
                <c:pt idx="35">
                  <c:v>0</c:v>
                </c:pt>
                <c:pt idx="36">
                  <c:v>0</c:v>
                </c:pt>
              </c:numCache>
            </c:numRef>
          </c:val>
          <c:extLst>
            <c:ext xmlns:c16="http://schemas.microsoft.com/office/drawing/2014/chart" uri="{C3380CC4-5D6E-409C-BE32-E72D297353CC}">
              <c16:uniqueId val="{00000000-52A3-46FB-B201-214CBF1A793D}"/>
            </c:ext>
          </c:extLst>
        </c:ser>
        <c:dLbls>
          <c:showLegendKey val="0"/>
          <c:showVal val="0"/>
          <c:showCatName val="0"/>
          <c:showSerName val="0"/>
          <c:showPercent val="0"/>
          <c:showBubbleSize val="0"/>
        </c:dLbls>
        <c:gapWidth val="150"/>
        <c:axId val="416212392"/>
        <c:axId val="416212784"/>
      </c:barChart>
      <c:catAx>
        <c:axId val="416212392"/>
        <c:scaling>
          <c:orientation val="minMax"/>
        </c:scaling>
        <c:delete val="0"/>
        <c:axPos val="b"/>
        <c:title>
          <c:tx>
            <c:rich>
              <a:bodyPr/>
              <a:lstStyle/>
              <a:p>
                <a:pPr>
                  <a:defRPr/>
                </a:pPr>
                <a:r>
                  <a:rPr lang="es-ES"/>
                  <a:t>Número sucesos iniciadores</a:t>
                </a:r>
              </a:p>
            </c:rich>
          </c:tx>
          <c:overlay val="0"/>
        </c:title>
        <c:numFmt formatCode="General" sourceLinked="1"/>
        <c:majorTickMark val="out"/>
        <c:minorTickMark val="none"/>
        <c:tickLblPos val="nextTo"/>
        <c:crossAx val="416212784"/>
        <c:crosses val="autoZero"/>
        <c:auto val="1"/>
        <c:lblAlgn val="ctr"/>
        <c:lblOffset val="100"/>
        <c:noMultiLvlLbl val="0"/>
      </c:catAx>
      <c:valAx>
        <c:axId val="416212784"/>
        <c:scaling>
          <c:orientation val="minMax"/>
        </c:scaling>
        <c:delete val="0"/>
        <c:axPos val="l"/>
        <c:title>
          <c:tx>
            <c:rich>
              <a:bodyPr/>
              <a:lstStyle/>
              <a:p>
                <a:pPr>
                  <a:defRPr/>
                </a:pPr>
                <a:r>
                  <a:rPr lang="es-ES"/>
                  <a:t>Frecuencia</a:t>
                </a:r>
              </a:p>
            </c:rich>
          </c:tx>
          <c:overlay val="0"/>
        </c:title>
        <c:numFmt formatCode="General" sourceLinked="1"/>
        <c:majorTickMark val="out"/>
        <c:minorTickMark val="none"/>
        <c:tickLblPos val="nextTo"/>
        <c:crossAx val="4162123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a:t>Histograma</a:t>
            </a:r>
          </a:p>
        </c:rich>
      </c:tx>
      <c:overlay val="0"/>
    </c:title>
    <c:autoTitleDeleted val="0"/>
    <c:plotArea>
      <c:layout/>
      <c:barChart>
        <c:barDir val="col"/>
        <c:grouping val="clustered"/>
        <c:varyColors val="0"/>
        <c:ser>
          <c:idx val="0"/>
          <c:order val="0"/>
          <c:tx>
            <c:v>Frecuencia</c:v>
          </c:tx>
          <c:invertIfNegative val="0"/>
          <c:cat>
            <c:strRef>
              <c:f>'Barreras - Análisis 2'!$D$9:$D$20</c:f>
              <c:strCache>
                <c:ptCount val="12"/>
                <c:pt idx="0">
                  <c:v>0</c:v>
                </c:pt>
                <c:pt idx="1">
                  <c:v>1</c:v>
                </c:pt>
                <c:pt idx="2">
                  <c:v>2</c:v>
                </c:pt>
                <c:pt idx="3">
                  <c:v>3</c:v>
                </c:pt>
                <c:pt idx="4">
                  <c:v>4</c:v>
                </c:pt>
                <c:pt idx="5">
                  <c:v>5</c:v>
                </c:pt>
                <c:pt idx="6">
                  <c:v>6</c:v>
                </c:pt>
                <c:pt idx="7">
                  <c:v>7</c:v>
                </c:pt>
                <c:pt idx="8">
                  <c:v>8</c:v>
                </c:pt>
                <c:pt idx="9">
                  <c:v>9</c:v>
                </c:pt>
                <c:pt idx="10">
                  <c:v>10</c:v>
                </c:pt>
                <c:pt idx="11">
                  <c:v>y mayor...</c:v>
                </c:pt>
              </c:strCache>
            </c:strRef>
          </c:cat>
          <c:val>
            <c:numRef>
              <c:f>'Barreras - Análisis 2'!$E$9:$E$20</c:f>
              <c:numCache>
                <c:formatCode>General</c:formatCode>
                <c:ptCount val="12"/>
                <c:pt idx="0">
                  <c:v>2</c:v>
                </c:pt>
                <c:pt idx="1">
                  <c:v>11</c:v>
                </c:pt>
                <c:pt idx="2">
                  <c:v>14</c:v>
                </c:pt>
                <c:pt idx="3">
                  <c:v>38</c:v>
                </c:pt>
                <c:pt idx="4">
                  <c:v>20</c:v>
                </c:pt>
                <c:pt idx="5">
                  <c:v>21</c:v>
                </c:pt>
                <c:pt idx="6">
                  <c:v>14</c:v>
                </c:pt>
                <c:pt idx="7">
                  <c:v>4</c:v>
                </c:pt>
                <c:pt idx="8">
                  <c:v>0</c:v>
                </c:pt>
                <c:pt idx="9">
                  <c:v>0</c:v>
                </c:pt>
                <c:pt idx="10">
                  <c:v>0</c:v>
                </c:pt>
                <c:pt idx="11">
                  <c:v>0</c:v>
                </c:pt>
              </c:numCache>
            </c:numRef>
          </c:val>
          <c:extLst>
            <c:ext xmlns:c16="http://schemas.microsoft.com/office/drawing/2014/chart" uri="{C3380CC4-5D6E-409C-BE32-E72D297353CC}">
              <c16:uniqueId val="{00000000-F627-45E7-A25D-39C8274E183D}"/>
            </c:ext>
          </c:extLst>
        </c:ser>
        <c:dLbls>
          <c:showLegendKey val="0"/>
          <c:showVal val="0"/>
          <c:showCatName val="0"/>
          <c:showSerName val="0"/>
          <c:showPercent val="0"/>
          <c:showBubbleSize val="0"/>
        </c:dLbls>
        <c:gapWidth val="150"/>
        <c:axId val="416213568"/>
        <c:axId val="416213960"/>
      </c:barChart>
      <c:catAx>
        <c:axId val="416213568"/>
        <c:scaling>
          <c:orientation val="minMax"/>
        </c:scaling>
        <c:delete val="0"/>
        <c:axPos val="b"/>
        <c:title>
          <c:tx>
            <c:rich>
              <a:bodyPr/>
              <a:lstStyle/>
              <a:p>
                <a:pPr>
                  <a:defRPr/>
                </a:pPr>
                <a:r>
                  <a:rPr lang="es-ES"/>
                  <a:t>Clase</a:t>
                </a:r>
              </a:p>
            </c:rich>
          </c:tx>
          <c:overlay val="0"/>
        </c:title>
        <c:numFmt formatCode="General" sourceLinked="1"/>
        <c:majorTickMark val="out"/>
        <c:minorTickMark val="none"/>
        <c:tickLblPos val="nextTo"/>
        <c:crossAx val="416213960"/>
        <c:crosses val="autoZero"/>
        <c:auto val="1"/>
        <c:lblAlgn val="ctr"/>
        <c:lblOffset val="100"/>
        <c:noMultiLvlLbl val="0"/>
      </c:catAx>
      <c:valAx>
        <c:axId val="416213960"/>
        <c:scaling>
          <c:orientation val="minMax"/>
        </c:scaling>
        <c:delete val="0"/>
        <c:axPos val="l"/>
        <c:title>
          <c:tx>
            <c:rich>
              <a:bodyPr/>
              <a:lstStyle/>
              <a:p>
                <a:pPr>
                  <a:defRPr/>
                </a:pPr>
                <a:r>
                  <a:rPr lang="es-ES"/>
                  <a:t>Frecuencia</a:t>
                </a:r>
              </a:p>
            </c:rich>
          </c:tx>
          <c:overlay val="0"/>
        </c:title>
        <c:numFmt formatCode="General" sourceLinked="1"/>
        <c:majorTickMark val="out"/>
        <c:minorTickMark val="none"/>
        <c:tickLblPos val="nextTo"/>
        <c:crossAx val="4162135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1877786</xdr:colOff>
      <xdr:row>14</xdr:row>
      <xdr:rowOff>172809</xdr:rowOff>
    </xdr:from>
    <xdr:to>
      <xdr:col>14</xdr:col>
      <xdr:colOff>585107</xdr:colOff>
      <xdr:row>39</xdr:row>
      <xdr:rowOff>108857</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244928</xdr:colOff>
      <xdr:row>39</xdr:row>
      <xdr:rowOff>163285</xdr:rowOff>
    </xdr:from>
    <xdr:to>
      <xdr:col>17</xdr:col>
      <xdr:colOff>666750</xdr:colOff>
      <xdr:row>85</xdr:row>
      <xdr:rowOff>149679</xdr:rowOff>
    </xdr:to>
    <xdr:graphicFrame macro="">
      <xdr:nvGraphicFramePr>
        <xdr:cNvPr id="3" name="Gráfico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326574</xdr:colOff>
      <xdr:row>0</xdr:row>
      <xdr:rowOff>68036</xdr:rowOff>
    </xdr:from>
    <xdr:to>
      <xdr:col>8</xdr:col>
      <xdr:colOff>421824</xdr:colOff>
      <xdr:row>19</xdr:row>
      <xdr:rowOff>81644</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54427</xdr:colOff>
      <xdr:row>21</xdr:row>
      <xdr:rowOff>149679</xdr:rowOff>
    </xdr:from>
    <xdr:to>
      <xdr:col>9</xdr:col>
      <xdr:colOff>68036</xdr:colOff>
      <xdr:row>44</xdr:row>
      <xdr:rowOff>81645</xdr:rowOff>
    </xdr:to>
    <xdr:graphicFrame macro="">
      <xdr:nvGraphicFramePr>
        <xdr:cNvPr id="4" name="Gráfico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45</xdr:row>
      <xdr:rowOff>54429</xdr:rowOff>
    </xdr:from>
    <xdr:to>
      <xdr:col>9</xdr:col>
      <xdr:colOff>13609</xdr:colOff>
      <xdr:row>67</xdr:row>
      <xdr:rowOff>176895</xdr:rowOff>
    </xdr:to>
    <xdr:graphicFrame macro="">
      <xdr:nvGraphicFramePr>
        <xdr:cNvPr id="5" name="Gráfico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122465</xdr:colOff>
      <xdr:row>0</xdr:row>
      <xdr:rowOff>0</xdr:rowOff>
    </xdr:from>
    <xdr:to>
      <xdr:col>20</xdr:col>
      <xdr:colOff>693964</xdr:colOff>
      <xdr:row>36</xdr:row>
      <xdr:rowOff>17691</xdr:rowOff>
    </xdr:to>
    <xdr:graphicFrame macro="">
      <xdr:nvGraphicFramePr>
        <xdr:cNvPr id="6" name="Gráfico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217714</xdr:colOff>
      <xdr:row>36</xdr:row>
      <xdr:rowOff>99334</xdr:rowOff>
    </xdr:from>
    <xdr:to>
      <xdr:col>21</xdr:col>
      <xdr:colOff>27213</xdr:colOff>
      <xdr:row>72</xdr:row>
      <xdr:rowOff>117025</xdr:rowOff>
    </xdr:to>
    <xdr:graphicFrame macro="">
      <xdr:nvGraphicFramePr>
        <xdr:cNvPr id="8" name="Gráfico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217714</xdr:colOff>
      <xdr:row>74</xdr:row>
      <xdr:rowOff>99334</xdr:rowOff>
    </xdr:from>
    <xdr:to>
      <xdr:col>21</xdr:col>
      <xdr:colOff>27213</xdr:colOff>
      <xdr:row>110</xdr:row>
      <xdr:rowOff>117025</xdr:rowOff>
    </xdr:to>
    <xdr:graphicFrame macro="">
      <xdr:nvGraphicFramePr>
        <xdr:cNvPr id="9" name="Gráfico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104774</xdr:colOff>
      <xdr:row>5</xdr:row>
      <xdr:rowOff>57150</xdr:rowOff>
    </xdr:from>
    <xdr:to>
      <xdr:col>19</xdr:col>
      <xdr:colOff>514349</xdr:colOff>
      <xdr:row>28</xdr:row>
      <xdr:rowOff>76200</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742949</xdr:colOff>
      <xdr:row>6</xdr:row>
      <xdr:rowOff>171450</xdr:rowOff>
    </xdr:from>
    <xdr:to>
      <xdr:col>12</xdr:col>
      <xdr:colOff>714374</xdr:colOff>
      <xdr:row>25</xdr:row>
      <xdr:rowOff>9525</xdr:rowOff>
    </xdr:to>
    <xdr:graphicFrame macro="">
      <xdr:nvGraphicFramePr>
        <xdr:cNvPr id="6" name="Gráfico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uperuser.com/questions/42182/excel-move-cell-contents-to-comment"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E8"/>
  <sheetViews>
    <sheetView zoomScaleNormal="100" workbookViewId="0">
      <selection activeCell="E5" sqref="E5"/>
    </sheetView>
  </sheetViews>
  <sheetFormatPr baseColWidth="10" defaultRowHeight="15" x14ac:dyDescent="0.25"/>
  <sheetData>
    <row r="3" spans="1:5" x14ac:dyDescent="0.25">
      <c r="A3" t="s">
        <v>154</v>
      </c>
      <c r="E3" t="s">
        <v>155</v>
      </c>
    </row>
    <row r="5" spans="1:5" x14ac:dyDescent="0.25">
      <c r="A5" t="s">
        <v>165</v>
      </c>
      <c r="E5" s="78" t="s">
        <v>166</v>
      </c>
    </row>
    <row r="6" spans="1:5" x14ac:dyDescent="0.25">
      <c r="A6" t="s">
        <v>167</v>
      </c>
      <c r="E6" t="s">
        <v>168</v>
      </c>
    </row>
    <row r="8" spans="1:5" x14ac:dyDescent="0.25">
      <c r="A8" t="s">
        <v>350</v>
      </c>
      <c r="E8" t="s">
        <v>351</v>
      </c>
    </row>
  </sheetData>
  <hyperlinks>
    <hyperlink ref="E5"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64"/>
  <sheetViews>
    <sheetView workbookViewId="0"/>
  </sheetViews>
  <sheetFormatPr baseColWidth="10" defaultColWidth="9.140625" defaultRowHeight="15" x14ac:dyDescent="0.25"/>
  <cols>
    <col min="1" max="2" width="9.140625" style="40"/>
  </cols>
  <sheetData>
    <row r="1" spans="1:2" x14ac:dyDescent="0.25">
      <c r="A1" s="40" t="s">
        <v>179</v>
      </c>
      <c r="B1" s="40" t="s">
        <v>176</v>
      </c>
    </row>
    <row r="2" spans="1:2" x14ac:dyDescent="0.25">
      <c r="A2" s="40" t="s">
        <v>180</v>
      </c>
      <c r="B2" s="40" t="s">
        <v>175</v>
      </c>
    </row>
    <row r="3" spans="1:2" x14ac:dyDescent="0.25">
      <c r="A3" s="40" t="s">
        <v>181</v>
      </c>
      <c r="B3" s="40" t="s">
        <v>174</v>
      </c>
    </row>
    <row r="4" spans="1:2" x14ac:dyDescent="0.25">
      <c r="A4" s="40" t="s">
        <v>182</v>
      </c>
      <c r="B4" s="40" t="s">
        <v>176</v>
      </c>
    </row>
    <row r="5" spans="1:2" x14ac:dyDescent="0.25">
      <c r="A5" s="40" t="s">
        <v>183</v>
      </c>
      <c r="B5" s="40" t="s">
        <v>174</v>
      </c>
    </row>
    <row r="6" spans="1:2" x14ac:dyDescent="0.25">
      <c r="A6" s="40" t="s">
        <v>184</v>
      </c>
      <c r="B6" s="40" t="s">
        <v>185</v>
      </c>
    </row>
    <row r="7" spans="1:2" x14ac:dyDescent="0.25">
      <c r="A7" s="40" t="s">
        <v>186</v>
      </c>
      <c r="B7" s="40" t="s">
        <v>175</v>
      </c>
    </row>
    <row r="8" spans="1:2" x14ac:dyDescent="0.25">
      <c r="A8" s="40" t="s">
        <v>187</v>
      </c>
      <c r="B8" s="40" t="s">
        <v>174</v>
      </c>
    </row>
    <row r="9" spans="1:2" x14ac:dyDescent="0.25">
      <c r="A9" s="40" t="s">
        <v>188</v>
      </c>
      <c r="B9" s="40" t="s">
        <v>175</v>
      </c>
    </row>
    <row r="10" spans="1:2" x14ac:dyDescent="0.25">
      <c r="A10" s="40" t="s">
        <v>189</v>
      </c>
      <c r="B10" s="40" t="s">
        <v>185</v>
      </c>
    </row>
    <row r="11" spans="1:2" x14ac:dyDescent="0.25">
      <c r="A11" s="40" t="s">
        <v>190</v>
      </c>
      <c r="B11" s="40" t="s">
        <v>175</v>
      </c>
    </row>
    <row r="12" spans="1:2" x14ac:dyDescent="0.25">
      <c r="A12" s="40" t="s">
        <v>191</v>
      </c>
      <c r="B12" s="40" t="s">
        <v>174</v>
      </c>
    </row>
    <row r="13" spans="1:2" x14ac:dyDescent="0.25">
      <c r="A13" s="40" t="s">
        <v>192</v>
      </c>
      <c r="B13" s="40" t="s">
        <v>174</v>
      </c>
    </row>
    <row r="14" spans="1:2" x14ac:dyDescent="0.25">
      <c r="A14" s="40" t="s">
        <v>193</v>
      </c>
      <c r="B14" s="40" t="s">
        <v>175</v>
      </c>
    </row>
    <row r="15" spans="1:2" x14ac:dyDescent="0.25">
      <c r="A15" s="40" t="s">
        <v>194</v>
      </c>
      <c r="B15" s="40" t="s">
        <v>174</v>
      </c>
    </row>
    <row r="16" spans="1:2" x14ac:dyDescent="0.25">
      <c r="A16" s="40" t="s">
        <v>195</v>
      </c>
      <c r="B16" s="40" t="s">
        <v>176</v>
      </c>
    </row>
    <row r="17" spans="1:2" x14ac:dyDescent="0.25">
      <c r="A17" s="40" t="s">
        <v>196</v>
      </c>
      <c r="B17" s="40" t="s">
        <v>174</v>
      </c>
    </row>
    <row r="18" spans="1:2" x14ac:dyDescent="0.25">
      <c r="A18" s="40" t="s">
        <v>197</v>
      </c>
      <c r="B18" s="40" t="s">
        <v>175</v>
      </c>
    </row>
    <row r="19" spans="1:2" x14ac:dyDescent="0.25">
      <c r="A19" s="40" t="s">
        <v>198</v>
      </c>
      <c r="B19" s="40" t="s">
        <v>175</v>
      </c>
    </row>
    <row r="20" spans="1:2" x14ac:dyDescent="0.25">
      <c r="A20" s="40" t="s">
        <v>199</v>
      </c>
      <c r="B20" s="40" t="s">
        <v>174</v>
      </c>
    </row>
    <row r="21" spans="1:2" x14ac:dyDescent="0.25">
      <c r="A21" s="40" t="s">
        <v>200</v>
      </c>
      <c r="B21" s="40" t="s">
        <v>175</v>
      </c>
    </row>
    <row r="22" spans="1:2" x14ac:dyDescent="0.25">
      <c r="A22" s="40" t="s">
        <v>201</v>
      </c>
      <c r="B22" s="40" t="s">
        <v>185</v>
      </c>
    </row>
    <row r="23" spans="1:2" x14ac:dyDescent="0.25">
      <c r="A23" s="40" t="s">
        <v>202</v>
      </c>
      <c r="B23" s="40" t="s">
        <v>175</v>
      </c>
    </row>
    <row r="24" spans="1:2" x14ac:dyDescent="0.25">
      <c r="A24" s="40" t="s">
        <v>203</v>
      </c>
      <c r="B24" s="40" t="s">
        <v>175</v>
      </c>
    </row>
    <row r="25" spans="1:2" x14ac:dyDescent="0.25">
      <c r="A25" s="40" t="s">
        <v>204</v>
      </c>
      <c r="B25" s="40" t="s">
        <v>185</v>
      </c>
    </row>
    <row r="26" spans="1:2" x14ac:dyDescent="0.25">
      <c r="A26" s="40" t="s">
        <v>205</v>
      </c>
      <c r="B26" s="40" t="s">
        <v>185</v>
      </c>
    </row>
    <row r="27" spans="1:2" x14ac:dyDescent="0.25">
      <c r="A27" s="40" t="s">
        <v>206</v>
      </c>
      <c r="B27" s="40" t="s">
        <v>185</v>
      </c>
    </row>
    <row r="28" spans="1:2" x14ac:dyDescent="0.25">
      <c r="A28" s="40" t="s">
        <v>207</v>
      </c>
      <c r="B28" s="40" t="s">
        <v>175</v>
      </c>
    </row>
    <row r="29" spans="1:2" x14ac:dyDescent="0.25">
      <c r="A29" s="40" t="s">
        <v>208</v>
      </c>
      <c r="B29" s="40" t="s">
        <v>174</v>
      </c>
    </row>
    <row r="30" spans="1:2" x14ac:dyDescent="0.25">
      <c r="A30" s="40" t="s">
        <v>209</v>
      </c>
      <c r="B30" s="40" t="s">
        <v>185</v>
      </c>
    </row>
    <row r="31" spans="1:2" x14ac:dyDescent="0.25">
      <c r="A31" s="40" t="s">
        <v>210</v>
      </c>
      <c r="B31" s="40" t="s">
        <v>175</v>
      </c>
    </row>
    <row r="32" spans="1:2" x14ac:dyDescent="0.25">
      <c r="A32" s="40" t="s">
        <v>211</v>
      </c>
      <c r="B32" s="40" t="s">
        <v>174</v>
      </c>
    </row>
    <row r="33" spans="1:2" x14ac:dyDescent="0.25">
      <c r="A33" s="40" t="s">
        <v>212</v>
      </c>
      <c r="B33" s="40" t="s">
        <v>174</v>
      </c>
    </row>
    <row r="34" spans="1:2" x14ac:dyDescent="0.25">
      <c r="A34" s="40" t="s">
        <v>213</v>
      </c>
      <c r="B34" s="40" t="s">
        <v>175</v>
      </c>
    </row>
    <row r="35" spans="1:2" x14ac:dyDescent="0.25">
      <c r="A35" s="40" t="s">
        <v>214</v>
      </c>
      <c r="B35" s="40" t="s">
        <v>175</v>
      </c>
    </row>
    <row r="36" spans="1:2" x14ac:dyDescent="0.25">
      <c r="A36" s="40" t="s">
        <v>215</v>
      </c>
      <c r="B36" s="40" t="s">
        <v>174</v>
      </c>
    </row>
    <row r="37" spans="1:2" x14ac:dyDescent="0.25">
      <c r="A37" s="40" t="s">
        <v>216</v>
      </c>
      <c r="B37" s="40" t="s">
        <v>175</v>
      </c>
    </row>
    <row r="38" spans="1:2" x14ac:dyDescent="0.25">
      <c r="A38" s="40" t="s">
        <v>217</v>
      </c>
      <c r="B38" s="40" t="s">
        <v>185</v>
      </c>
    </row>
    <row r="39" spans="1:2" x14ac:dyDescent="0.25">
      <c r="A39" s="40" t="s">
        <v>218</v>
      </c>
      <c r="B39" s="40" t="s">
        <v>175</v>
      </c>
    </row>
    <row r="40" spans="1:2" x14ac:dyDescent="0.25">
      <c r="A40" s="40" t="s">
        <v>219</v>
      </c>
      <c r="B40" s="40" t="s">
        <v>175</v>
      </c>
    </row>
    <row r="41" spans="1:2" x14ac:dyDescent="0.25">
      <c r="A41" s="40" t="s">
        <v>220</v>
      </c>
      <c r="B41" s="40" t="s">
        <v>185</v>
      </c>
    </row>
    <row r="42" spans="1:2" x14ac:dyDescent="0.25">
      <c r="A42" s="40" t="s">
        <v>221</v>
      </c>
      <c r="B42" s="40" t="s">
        <v>185</v>
      </c>
    </row>
    <row r="43" spans="1:2" x14ac:dyDescent="0.25">
      <c r="A43" s="40" t="s">
        <v>222</v>
      </c>
      <c r="B43" s="40" t="s">
        <v>185</v>
      </c>
    </row>
    <row r="44" spans="1:2" x14ac:dyDescent="0.25">
      <c r="A44" s="40" t="s">
        <v>223</v>
      </c>
      <c r="B44" s="40" t="s">
        <v>175</v>
      </c>
    </row>
    <row r="45" spans="1:2" x14ac:dyDescent="0.25">
      <c r="A45" s="40" t="s">
        <v>224</v>
      </c>
      <c r="B45" s="40" t="s">
        <v>175</v>
      </c>
    </row>
    <row r="46" spans="1:2" x14ac:dyDescent="0.25">
      <c r="A46" s="40" t="s">
        <v>225</v>
      </c>
      <c r="B46" s="40" t="s">
        <v>185</v>
      </c>
    </row>
    <row r="47" spans="1:2" x14ac:dyDescent="0.25">
      <c r="A47" s="40" t="s">
        <v>226</v>
      </c>
      <c r="B47" s="40" t="s">
        <v>175</v>
      </c>
    </row>
    <row r="48" spans="1:2" x14ac:dyDescent="0.25">
      <c r="A48" s="40" t="s">
        <v>227</v>
      </c>
      <c r="B48" s="40" t="s">
        <v>174</v>
      </c>
    </row>
    <row r="49" spans="1:2" x14ac:dyDescent="0.25">
      <c r="A49" s="40" t="s">
        <v>228</v>
      </c>
      <c r="B49" s="40" t="s">
        <v>174</v>
      </c>
    </row>
    <row r="50" spans="1:2" x14ac:dyDescent="0.25">
      <c r="A50" s="40" t="s">
        <v>229</v>
      </c>
      <c r="B50" s="40" t="s">
        <v>175</v>
      </c>
    </row>
    <row r="51" spans="1:2" x14ac:dyDescent="0.25">
      <c r="A51" s="40" t="s">
        <v>230</v>
      </c>
      <c r="B51" s="40" t="s">
        <v>174</v>
      </c>
    </row>
    <row r="52" spans="1:2" x14ac:dyDescent="0.25">
      <c r="A52" s="40" t="s">
        <v>231</v>
      </c>
      <c r="B52" s="40" t="s">
        <v>176</v>
      </c>
    </row>
    <row r="53" spans="1:2" x14ac:dyDescent="0.25">
      <c r="A53" s="40" t="s">
        <v>232</v>
      </c>
      <c r="B53" s="40" t="s">
        <v>174</v>
      </c>
    </row>
    <row r="54" spans="1:2" x14ac:dyDescent="0.25">
      <c r="A54" s="40" t="s">
        <v>233</v>
      </c>
      <c r="B54" s="40" t="s">
        <v>185</v>
      </c>
    </row>
    <row r="55" spans="1:2" x14ac:dyDescent="0.25">
      <c r="A55" s="40" t="s">
        <v>234</v>
      </c>
      <c r="B55" s="40" t="s">
        <v>175</v>
      </c>
    </row>
    <row r="56" spans="1:2" x14ac:dyDescent="0.25">
      <c r="A56" s="40" t="s">
        <v>235</v>
      </c>
      <c r="B56" s="40" t="s">
        <v>174</v>
      </c>
    </row>
    <row r="57" spans="1:2" x14ac:dyDescent="0.25">
      <c r="A57" s="40" t="s">
        <v>236</v>
      </c>
      <c r="B57" s="40" t="s">
        <v>175</v>
      </c>
    </row>
    <row r="58" spans="1:2" x14ac:dyDescent="0.25">
      <c r="A58" s="40" t="s">
        <v>237</v>
      </c>
      <c r="B58" s="40" t="s">
        <v>185</v>
      </c>
    </row>
    <row r="59" spans="1:2" x14ac:dyDescent="0.25">
      <c r="A59" s="40" t="s">
        <v>238</v>
      </c>
      <c r="B59" s="40" t="s">
        <v>175</v>
      </c>
    </row>
    <row r="60" spans="1:2" x14ac:dyDescent="0.25">
      <c r="A60" s="40" t="s">
        <v>239</v>
      </c>
      <c r="B60" s="40" t="s">
        <v>175</v>
      </c>
    </row>
    <row r="61" spans="1:2" x14ac:dyDescent="0.25">
      <c r="A61" s="40" t="s">
        <v>240</v>
      </c>
      <c r="B61" s="40" t="s">
        <v>174</v>
      </c>
    </row>
    <row r="62" spans="1:2" x14ac:dyDescent="0.25">
      <c r="A62" s="40" t="s">
        <v>241</v>
      </c>
      <c r="B62" s="40" t="s">
        <v>175</v>
      </c>
    </row>
    <row r="63" spans="1:2" x14ac:dyDescent="0.25">
      <c r="A63" s="40" t="s">
        <v>242</v>
      </c>
      <c r="B63" s="40" t="s">
        <v>175</v>
      </c>
    </row>
    <row r="64" spans="1:2" x14ac:dyDescent="0.25">
      <c r="A64" s="40" t="s">
        <v>243</v>
      </c>
      <c r="B64" s="40" t="s">
        <v>174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EB252"/>
  <sheetViews>
    <sheetView tabSelected="1" zoomScale="80" zoomScaleNormal="80" workbookViewId="0">
      <pane xSplit="2" ySplit="6" topLeftCell="C19" activePane="bottomRight" state="frozen"/>
      <selection pane="topRight" activeCell="B1" sqref="B1"/>
      <selection pane="bottomLeft" activeCell="A3" sqref="A3"/>
      <selection pane="bottomRight" activeCell="DL54" sqref="DL54"/>
    </sheetView>
  </sheetViews>
  <sheetFormatPr baseColWidth="10" defaultRowHeight="15" x14ac:dyDescent="0.25"/>
  <cols>
    <col min="1" max="1" width="14.28515625" style="84" bestFit="1" customWidth="1"/>
    <col min="2" max="2" width="14.28515625" style="45" bestFit="1" customWidth="1"/>
    <col min="3" max="7" width="14.28515625" style="7" customWidth="1"/>
    <col min="8" max="20" width="11.42578125" style="7" customWidth="1"/>
    <col min="21" max="44" width="11.42578125" style="9" customWidth="1"/>
    <col min="45" max="64" width="11.42578125" style="9"/>
    <col min="66" max="112" width="11.42578125" style="9"/>
    <col min="113" max="113" width="14.28515625" style="9" bestFit="1" customWidth="1"/>
    <col min="114" max="114" width="12.140625" style="6" bestFit="1" customWidth="1"/>
    <col min="115" max="115" width="11.42578125" style="6"/>
    <col min="116" max="116" width="11.42578125" style="9"/>
    <col min="117" max="16384" width="11.42578125" style="6"/>
  </cols>
  <sheetData>
    <row r="1" spans="1:132" s="114" customFormat="1" ht="201" customHeight="1" x14ac:dyDescent="0.25">
      <c r="A1" s="111"/>
      <c r="B1" s="112"/>
      <c r="C1" s="81" t="s">
        <v>354</v>
      </c>
      <c r="D1" s="81" t="s">
        <v>895</v>
      </c>
      <c r="E1" s="81" t="s">
        <v>357</v>
      </c>
      <c r="F1" s="81" t="s">
        <v>926</v>
      </c>
      <c r="G1" s="81" t="s">
        <v>896</v>
      </c>
      <c r="H1" s="81" t="s">
        <v>361</v>
      </c>
      <c r="I1" s="81" t="s">
        <v>897</v>
      </c>
      <c r="J1" s="81" t="s">
        <v>925</v>
      </c>
      <c r="K1" s="81" t="s">
        <v>365</v>
      </c>
      <c r="L1" s="81" t="s">
        <v>367</v>
      </c>
      <c r="M1" s="81" t="s">
        <v>369</v>
      </c>
      <c r="N1" s="81" t="s">
        <v>371</v>
      </c>
      <c r="O1" s="81" t="s">
        <v>373</v>
      </c>
      <c r="P1" s="81" t="s">
        <v>375</v>
      </c>
      <c r="Q1" s="81" t="s">
        <v>377</v>
      </c>
      <c r="R1" s="81" t="s">
        <v>379</v>
      </c>
      <c r="S1" s="81" t="s">
        <v>381</v>
      </c>
      <c r="T1" s="81" t="s">
        <v>383</v>
      </c>
      <c r="U1" s="81" t="s">
        <v>385</v>
      </c>
      <c r="V1" s="81" t="s">
        <v>387</v>
      </c>
      <c r="W1" s="81" t="s">
        <v>389</v>
      </c>
      <c r="X1" s="81" t="s">
        <v>391</v>
      </c>
      <c r="Y1" s="81" t="s">
        <v>393</v>
      </c>
      <c r="Z1" s="81" t="s">
        <v>395</v>
      </c>
      <c r="AA1" s="81" t="s">
        <v>397</v>
      </c>
      <c r="AB1" s="81" t="s">
        <v>399</v>
      </c>
      <c r="AC1" s="81" t="s">
        <v>401</v>
      </c>
      <c r="AD1" s="81" t="s">
        <v>403</v>
      </c>
      <c r="AE1" s="81" t="s">
        <v>898</v>
      </c>
      <c r="AF1" s="81" t="s">
        <v>406</v>
      </c>
      <c r="AG1" s="81" t="s">
        <v>894</v>
      </c>
      <c r="AH1" s="81" t="s">
        <v>409</v>
      </c>
      <c r="AI1" s="81" t="s">
        <v>411</v>
      </c>
      <c r="AJ1" s="81" t="s">
        <v>899</v>
      </c>
      <c r="AK1" s="81" t="s">
        <v>414</v>
      </c>
      <c r="AL1" s="81" t="s">
        <v>416</v>
      </c>
      <c r="AM1" s="81" t="s">
        <v>418</v>
      </c>
      <c r="AN1" s="81" t="s">
        <v>900</v>
      </c>
      <c r="AO1" s="81" t="s">
        <v>901</v>
      </c>
      <c r="AP1" s="81" t="s">
        <v>902</v>
      </c>
      <c r="AQ1" s="81" t="s">
        <v>423</v>
      </c>
      <c r="AR1" s="81" t="s">
        <v>425</v>
      </c>
      <c r="AS1" s="81" t="s">
        <v>427</v>
      </c>
      <c r="AT1" s="81" t="s">
        <v>429</v>
      </c>
      <c r="AU1" s="81" t="s">
        <v>431</v>
      </c>
      <c r="AV1" s="81" t="s">
        <v>433</v>
      </c>
      <c r="AW1" s="81" t="s">
        <v>435</v>
      </c>
      <c r="AX1" s="81" t="s">
        <v>903</v>
      </c>
      <c r="AY1" s="81" t="s">
        <v>438</v>
      </c>
      <c r="AZ1" s="81" t="s">
        <v>440</v>
      </c>
      <c r="BA1" s="81" t="s">
        <v>904</v>
      </c>
      <c r="BB1" s="81" t="s">
        <v>443</v>
      </c>
      <c r="BC1" s="81" t="s">
        <v>905</v>
      </c>
      <c r="BD1" s="81" t="s">
        <v>906</v>
      </c>
      <c r="BE1" s="81" t="s">
        <v>928</v>
      </c>
      <c r="BF1" s="81" t="s">
        <v>448</v>
      </c>
      <c r="BG1" s="81" t="s">
        <v>450</v>
      </c>
      <c r="BH1" s="81" t="s">
        <v>452</v>
      </c>
      <c r="BI1" s="81" t="s">
        <v>454</v>
      </c>
      <c r="BJ1" s="81" t="s">
        <v>456</v>
      </c>
      <c r="BK1" s="81" t="s">
        <v>458</v>
      </c>
      <c r="BL1" s="81" t="s">
        <v>460</v>
      </c>
      <c r="BM1" s="81" t="s">
        <v>462</v>
      </c>
      <c r="BN1" s="81" t="s">
        <v>464</v>
      </c>
      <c r="BO1" s="81" t="s">
        <v>466</v>
      </c>
      <c r="BP1" s="81" t="s">
        <v>468</v>
      </c>
      <c r="BQ1" s="81" t="s">
        <v>470</v>
      </c>
      <c r="BR1" s="81" t="s">
        <v>907</v>
      </c>
      <c r="BS1" s="81" t="s">
        <v>473</v>
      </c>
      <c r="BT1" s="81" t="s">
        <v>475</v>
      </c>
      <c r="BU1" s="81" t="s">
        <v>477</v>
      </c>
      <c r="BV1" s="81" t="s">
        <v>479</v>
      </c>
      <c r="BW1" s="81" t="s">
        <v>908</v>
      </c>
      <c r="BX1" s="81" t="s">
        <v>482</v>
      </c>
      <c r="BY1" s="81" t="s">
        <v>484</v>
      </c>
      <c r="BZ1" s="81" t="s">
        <v>486</v>
      </c>
      <c r="CA1" s="81" t="s">
        <v>488</v>
      </c>
      <c r="CB1" s="81" t="s">
        <v>490</v>
      </c>
      <c r="CC1" s="81" t="s">
        <v>492</v>
      </c>
      <c r="CD1" s="81" t="s">
        <v>909</v>
      </c>
      <c r="CE1" s="81" t="s">
        <v>495</v>
      </c>
      <c r="CF1" s="81" t="s">
        <v>497</v>
      </c>
      <c r="CG1" s="81" t="s">
        <v>499</v>
      </c>
      <c r="CH1" s="81" t="s">
        <v>464</v>
      </c>
      <c r="CI1" s="81" t="s">
        <v>502</v>
      </c>
      <c r="CJ1" s="81" t="s">
        <v>470</v>
      </c>
      <c r="CK1" s="81" t="s">
        <v>907</v>
      </c>
      <c r="CL1" s="81" t="s">
        <v>473</v>
      </c>
      <c r="CM1" s="81" t="s">
        <v>507</v>
      </c>
      <c r="CN1" s="81" t="s">
        <v>509</v>
      </c>
      <c r="CO1" s="81" t="s">
        <v>475</v>
      </c>
      <c r="CP1" s="81" t="s">
        <v>477</v>
      </c>
      <c r="CQ1" s="81" t="s">
        <v>910</v>
      </c>
      <c r="CR1" s="81" t="s">
        <v>514</v>
      </c>
      <c r="CS1" s="81" t="s">
        <v>482</v>
      </c>
      <c r="CT1" s="81" t="s">
        <v>484</v>
      </c>
      <c r="CU1" s="81" t="s">
        <v>486</v>
      </c>
      <c r="CV1" s="81" t="s">
        <v>488</v>
      </c>
      <c r="CW1" s="81" t="s">
        <v>490</v>
      </c>
      <c r="CX1" s="81" t="s">
        <v>927</v>
      </c>
      <c r="CY1" s="81" t="s">
        <v>522</v>
      </c>
      <c r="CZ1" s="81" t="s">
        <v>524</v>
      </c>
      <c r="DA1" s="81" t="s">
        <v>492</v>
      </c>
      <c r="DB1" s="81" t="s">
        <v>527</v>
      </c>
      <c r="DC1" s="81" t="s">
        <v>529</v>
      </c>
      <c r="DD1" s="81" t="s">
        <v>531</v>
      </c>
      <c r="DE1" s="81" t="s">
        <v>533</v>
      </c>
      <c r="DF1" s="81" t="s">
        <v>535</v>
      </c>
      <c r="DG1" s="81" t="s">
        <v>537</v>
      </c>
      <c r="DH1" s="81" t="s">
        <v>539</v>
      </c>
      <c r="DI1" s="113"/>
    </row>
    <row r="2" spans="1:132" customFormat="1" x14ac:dyDescent="0.25">
      <c r="A2" s="54"/>
      <c r="B2" s="4"/>
      <c r="C2" s="80" t="s">
        <v>146</v>
      </c>
      <c r="D2" s="80" t="s">
        <v>151</v>
      </c>
      <c r="E2" s="80" t="s">
        <v>151</v>
      </c>
      <c r="F2" s="80" t="s">
        <v>151</v>
      </c>
      <c r="G2" s="80" t="s">
        <v>146</v>
      </c>
      <c r="H2" s="80" t="s">
        <v>151</v>
      </c>
      <c r="I2" s="80" t="s">
        <v>151</v>
      </c>
      <c r="J2" s="80" t="s">
        <v>146</v>
      </c>
      <c r="K2" s="80" t="s">
        <v>146</v>
      </c>
      <c r="L2" s="80" t="s">
        <v>151</v>
      </c>
      <c r="M2" s="80" t="s">
        <v>151</v>
      </c>
      <c r="N2" s="80" t="s">
        <v>151</v>
      </c>
      <c r="O2" s="80" t="s">
        <v>151</v>
      </c>
      <c r="P2" s="80" t="s">
        <v>151</v>
      </c>
      <c r="Q2" s="80" t="s">
        <v>151</v>
      </c>
      <c r="R2" s="80" t="s">
        <v>151</v>
      </c>
      <c r="S2" s="80" t="s">
        <v>151</v>
      </c>
      <c r="T2" s="80" t="s">
        <v>146</v>
      </c>
      <c r="U2" s="80" t="s">
        <v>146</v>
      </c>
      <c r="V2" s="80" t="s">
        <v>146</v>
      </c>
      <c r="W2" s="80" t="s">
        <v>146</v>
      </c>
      <c r="X2" s="80" t="s">
        <v>146</v>
      </c>
      <c r="Y2" s="80" t="s">
        <v>146</v>
      </c>
      <c r="Z2" s="80" t="s">
        <v>151</v>
      </c>
      <c r="AA2" s="80" t="s">
        <v>146</v>
      </c>
      <c r="AB2" s="80" t="s">
        <v>151</v>
      </c>
      <c r="AC2" s="80" t="s">
        <v>151</v>
      </c>
      <c r="AD2" s="80" t="s">
        <v>150</v>
      </c>
      <c r="AE2" s="80" t="s">
        <v>146</v>
      </c>
      <c r="AF2" s="80" t="s">
        <v>146</v>
      </c>
      <c r="AG2" s="80" t="s">
        <v>146</v>
      </c>
      <c r="AH2" s="80" t="s">
        <v>151</v>
      </c>
      <c r="AI2" s="80" t="s">
        <v>151</v>
      </c>
      <c r="AJ2" s="80" t="s">
        <v>146</v>
      </c>
      <c r="AK2" s="80" t="s">
        <v>151</v>
      </c>
      <c r="AL2" s="80" t="s">
        <v>151</v>
      </c>
      <c r="AM2" s="80" t="s">
        <v>151</v>
      </c>
      <c r="AN2" s="80" t="s">
        <v>146</v>
      </c>
      <c r="AO2" s="80" t="s">
        <v>151</v>
      </c>
      <c r="AP2" s="80" t="s">
        <v>151</v>
      </c>
      <c r="AQ2" s="80" t="s">
        <v>146</v>
      </c>
      <c r="AR2" s="80" t="s">
        <v>151</v>
      </c>
      <c r="AS2" s="80" t="s">
        <v>151</v>
      </c>
      <c r="AT2" s="80" t="s">
        <v>151</v>
      </c>
      <c r="AU2" s="80" t="s">
        <v>151</v>
      </c>
      <c r="AV2" s="80" t="s">
        <v>151</v>
      </c>
      <c r="AW2" s="80" t="s">
        <v>151</v>
      </c>
      <c r="AX2" s="80" t="s">
        <v>151</v>
      </c>
      <c r="AY2" s="80" t="s">
        <v>146</v>
      </c>
      <c r="AZ2" s="80" t="s">
        <v>146</v>
      </c>
      <c r="BA2" s="80" t="s">
        <v>151</v>
      </c>
      <c r="BB2" s="80" t="s">
        <v>150</v>
      </c>
      <c r="BC2" s="80" t="s">
        <v>151</v>
      </c>
      <c r="BD2" s="80" t="s">
        <v>151</v>
      </c>
      <c r="BE2" s="80" t="s">
        <v>151</v>
      </c>
      <c r="BF2" s="80" t="s">
        <v>146</v>
      </c>
      <c r="BG2" s="80" t="s">
        <v>151</v>
      </c>
      <c r="BH2" s="80" t="s">
        <v>151</v>
      </c>
      <c r="BI2" s="80" t="s">
        <v>146</v>
      </c>
      <c r="BJ2" s="80" t="s">
        <v>151</v>
      </c>
      <c r="BK2" s="80" t="s">
        <v>146</v>
      </c>
      <c r="BL2" s="80" t="s">
        <v>151</v>
      </c>
      <c r="BM2" s="80" t="s">
        <v>151</v>
      </c>
      <c r="BN2" s="80" t="s">
        <v>151</v>
      </c>
      <c r="BO2" s="80" t="s">
        <v>146</v>
      </c>
      <c r="BP2" s="80" t="s">
        <v>151</v>
      </c>
      <c r="BQ2" s="80" t="s">
        <v>151</v>
      </c>
      <c r="BR2" s="80" t="s">
        <v>151</v>
      </c>
      <c r="BS2" s="80" t="s">
        <v>151</v>
      </c>
      <c r="BT2" s="80" t="s">
        <v>151</v>
      </c>
      <c r="BU2" s="80" t="s">
        <v>146</v>
      </c>
      <c r="BV2" s="80" t="s">
        <v>151</v>
      </c>
      <c r="BW2" s="80" t="s">
        <v>146</v>
      </c>
      <c r="BX2" s="80" t="s">
        <v>150</v>
      </c>
      <c r="BY2" s="80" t="s">
        <v>150</v>
      </c>
      <c r="BZ2" s="80" t="s">
        <v>151</v>
      </c>
      <c r="CA2" s="80" t="s">
        <v>151</v>
      </c>
      <c r="CB2" s="80" t="s">
        <v>150</v>
      </c>
      <c r="CC2" s="80" t="s">
        <v>146</v>
      </c>
      <c r="CD2" s="80" t="s">
        <v>146</v>
      </c>
      <c r="CE2" s="80" t="s">
        <v>151</v>
      </c>
      <c r="CF2" s="80" t="s">
        <v>151</v>
      </c>
      <c r="CG2" s="80" t="s">
        <v>153</v>
      </c>
      <c r="CH2" s="80" t="s">
        <v>153</v>
      </c>
      <c r="CI2" s="80" t="s">
        <v>153</v>
      </c>
      <c r="CJ2" s="80" t="s">
        <v>153</v>
      </c>
      <c r="CK2" s="80" t="s">
        <v>151</v>
      </c>
      <c r="CL2" s="80" t="s">
        <v>153</v>
      </c>
      <c r="CM2" s="80" t="s">
        <v>153</v>
      </c>
      <c r="CN2" s="80" t="s">
        <v>146</v>
      </c>
      <c r="CO2" s="80" t="s">
        <v>151</v>
      </c>
      <c r="CP2" s="80" t="s">
        <v>146</v>
      </c>
      <c r="CQ2" s="80" t="s">
        <v>151</v>
      </c>
      <c r="CR2" s="80" t="s">
        <v>151</v>
      </c>
      <c r="CS2" s="80" t="s">
        <v>146</v>
      </c>
      <c r="CT2" s="80" t="s">
        <v>150</v>
      </c>
      <c r="CU2" s="80" t="s">
        <v>151</v>
      </c>
      <c r="CV2" s="80" t="s">
        <v>151</v>
      </c>
      <c r="CW2" s="80" t="s">
        <v>146</v>
      </c>
      <c r="CX2" s="80" t="s">
        <v>146</v>
      </c>
      <c r="CY2" s="80" t="s">
        <v>151</v>
      </c>
      <c r="CZ2" s="80" t="s">
        <v>151</v>
      </c>
      <c r="DA2" s="80" t="s">
        <v>151</v>
      </c>
      <c r="DB2" s="80" t="s">
        <v>151</v>
      </c>
      <c r="DC2" s="80" t="s">
        <v>153</v>
      </c>
      <c r="DD2" s="80" t="s">
        <v>151</v>
      </c>
      <c r="DE2" s="80" t="s">
        <v>151</v>
      </c>
      <c r="DF2" s="80" t="s">
        <v>146</v>
      </c>
      <c r="DG2" s="80" t="s">
        <v>151</v>
      </c>
      <c r="DH2" s="80" t="s">
        <v>153</v>
      </c>
      <c r="DI2" s="26"/>
      <c r="DJ2" s="4"/>
      <c r="DK2" s="4"/>
      <c r="DL2" s="4"/>
      <c r="DM2" s="4"/>
      <c r="DN2" s="4"/>
      <c r="DO2" s="4"/>
      <c r="DP2" s="4"/>
      <c r="DQ2" s="4"/>
      <c r="DR2" s="4"/>
      <c r="DS2" s="4"/>
      <c r="DT2" s="4"/>
      <c r="DU2" s="4"/>
      <c r="DV2" s="4"/>
      <c r="DW2" s="4"/>
      <c r="DX2" s="4"/>
      <c r="DY2" s="4"/>
      <c r="DZ2" s="4"/>
      <c r="EA2" s="4"/>
      <c r="EB2" s="4"/>
    </row>
    <row r="3" spans="1:132" customFormat="1" x14ac:dyDescent="0.25">
      <c r="A3" s="54"/>
      <c r="B3" s="4"/>
      <c r="C3" s="14" t="s">
        <v>149</v>
      </c>
      <c r="D3" s="14" t="s">
        <v>149</v>
      </c>
      <c r="E3" s="14" t="s">
        <v>149</v>
      </c>
      <c r="F3" s="14" t="s">
        <v>149</v>
      </c>
      <c r="G3" s="14" t="s">
        <v>149</v>
      </c>
      <c r="H3" s="14" t="s">
        <v>149</v>
      </c>
      <c r="I3" s="14" t="s">
        <v>149</v>
      </c>
      <c r="J3" s="14" t="s">
        <v>149</v>
      </c>
      <c r="K3" s="14" t="s">
        <v>149</v>
      </c>
      <c r="L3" s="14" t="s">
        <v>149</v>
      </c>
      <c r="M3" s="105" t="s">
        <v>148</v>
      </c>
      <c r="N3" s="105" t="s">
        <v>148</v>
      </c>
      <c r="O3" s="14" t="s">
        <v>149</v>
      </c>
      <c r="P3" s="14" t="s">
        <v>149</v>
      </c>
      <c r="Q3" s="14" t="s">
        <v>149</v>
      </c>
      <c r="R3" s="106" t="s">
        <v>147</v>
      </c>
      <c r="S3" s="105" t="s">
        <v>149</v>
      </c>
      <c r="T3" s="106" t="s">
        <v>147</v>
      </c>
      <c r="U3" s="106" t="s">
        <v>149</v>
      </c>
      <c r="V3" s="105" t="s">
        <v>149</v>
      </c>
      <c r="W3" s="105" t="s">
        <v>148</v>
      </c>
      <c r="X3" s="105" t="s">
        <v>149</v>
      </c>
      <c r="Y3" s="105" t="s">
        <v>148</v>
      </c>
      <c r="Z3" s="105" t="s">
        <v>149</v>
      </c>
      <c r="AA3" s="107" t="s">
        <v>149</v>
      </c>
      <c r="AB3" s="105" t="s">
        <v>149</v>
      </c>
      <c r="AC3" s="105" t="s">
        <v>149</v>
      </c>
      <c r="AD3" s="105" t="s">
        <v>149</v>
      </c>
      <c r="AE3" s="105" t="s">
        <v>149</v>
      </c>
      <c r="AF3" s="105" t="s">
        <v>149</v>
      </c>
      <c r="AG3" s="105" t="s">
        <v>149</v>
      </c>
      <c r="AH3" s="105" t="s">
        <v>149</v>
      </c>
      <c r="AI3" s="105" t="s">
        <v>149</v>
      </c>
      <c r="AJ3" s="105" t="s">
        <v>149</v>
      </c>
      <c r="AK3" s="105" t="s">
        <v>149</v>
      </c>
      <c r="AL3" s="105" t="s">
        <v>149</v>
      </c>
      <c r="AM3" s="105" t="s">
        <v>149</v>
      </c>
      <c r="AN3" s="105" t="s">
        <v>149</v>
      </c>
      <c r="AO3" s="105" t="s">
        <v>149</v>
      </c>
      <c r="AP3" s="105" t="s">
        <v>149</v>
      </c>
      <c r="AQ3" s="105" t="s">
        <v>148</v>
      </c>
      <c r="AR3" s="105" t="s">
        <v>149</v>
      </c>
      <c r="AS3" s="105" t="s">
        <v>148</v>
      </c>
      <c r="AT3" s="105" t="s">
        <v>149</v>
      </c>
      <c r="AU3" s="105" t="s">
        <v>148</v>
      </c>
      <c r="AV3" s="105" t="s">
        <v>149</v>
      </c>
      <c r="AW3" s="105" t="s">
        <v>149</v>
      </c>
      <c r="AX3" s="107" t="s">
        <v>149</v>
      </c>
      <c r="AY3" s="105" t="s">
        <v>147</v>
      </c>
      <c r="AZ3" s="105" t="s">
        <v>149</v>
      </c>
      <c r="BA3" s="105" t="s">
        <v>149</v>
      </c>
      <c r="BB3" s="105" t="s">
        <v>149</v>
      </c>
      <c r="BC3" s="105" t="s">
        <v>149</v>
      </c>
      <c r="BD3" s="105" t="s">
        <v>149</v>
      </c>
      <c r="BE3" s="105" t="s">
        <v>149</v>
      </c>
      <c r="BF3" s="105" t="s">
        <v>149</v>
      </c>
      <c r="BG3" s="107" t="s">
        <v>149</v>
      </c>
      <c r="BH3" s="105" t="s">
        <v>149</v>
      </c>
      <c r="BI3" s="105" t="s">
        <v>149</v>
      </c>
      <c r="BJ3" s="107" t="s">
        <v>149</v>
      </c>
      <c r="BK3" s="107" t="s">
        <v>149</v>
      </c>
      <c r="BL3" s="105" t="s">
        <v>149</v>
      </c>
      <c r="BM3" s="105" t="s">
        <v>149</v>
      </c>
      <c r="BN3" s="105" t="s">
        <v>149</v>
      </c>
      <c r="BO3" s="105" t="s">
        <v>149</v>
      </c>
      <c r="BP3" s="105" t="s">
        <v>149</v>
      </c>
      <c r="BQ3" s="105" t="s">
        <v>149</v>
      </c>
      <c r="BR3" s="105" t="s">
        <v>148</v>
      </c>
      <c r="BS3" s="105" t="s">
        <v>149</v>
      </c>
      <c r="BT3" s="105" t="s">
        <v>149</v>
      </c>
      <c r="BU3" s="105" t="s">
        <v>149</v>
      </c>
      <c r="BV3" s="105" t="s">
        <v>149</v>
      </c>
      <c r="BW3" s="105" t="s">
        <v>149</v>
      </c>
      <c r="BX3" s="105" t="s">
        <v>149</v>
      </c>
      <c r="BY3" s="105" t="s">
        <v>149</v>
      </c>
      <c r="BZ3" s="105" t="s">
        <v>149</v>
      </c>
      <c r="CA3" s="105" t="s">
        <v>149</v>
      </c>
      <c r="CB3" s="105" t="s">
        <v>149</v>
      </c>
      <c r="CC3" s="105" t="s">
        <v>149</v>
      </c>
      <c r="CD3" s="105" t="s">
        <v>149</v>
      </c>
      <c r="CE3" s="105" t="s">
        <v>149</v>
      </c>
      <c r="CF3" s="105" t="s">
        <v>149</v>
      </c>
      <c r="CG3" s="105" t="s">
        <v>149</v>
      </c>
      <c r="CH3" s="105" t="s">
        <v>149</v>
      </c>
      <c r="CI3" s="105" t="s">
        <v>149</v>
      </c>
      <c r="CJ3" s="105" t="s">
        <v>148</v>
      </c>
      <c r="CK3" s="105" t="s">
        <v>148</v>
      </c>
      <c r="CL3" s="105" t="s">
        <v>148</v>
      </c>
      <c r="CM3" s="105" t="s">
        <v>149</v>
      </c>
      <c r="CN3" s="105" t="s">
        <v>148</v>
      </c>
      <c r="CO3" s="105" t="s">
        <v>148</v>
      </c>
      <c r="CP3" s="105" t="s">
        <v>148</v>
      </c>
      <c r="CQ3" s="105" t="s">
        <v>148</v>
      </c>
      <c r="CR3" s="105" t="s">
        <v>148</v>
      </c>
      <c r="CS3" s="106" t="s">
        <v>149</v>
      </c>
      <c r="CT3" s="105" t="s">
        <v>149</v>
      </c>
      <c r="CU3" s="105" t="s">
        <v>148</v>
      </c>
      <c r="CV3" s="105" t="s">
        <v>149</v>
      </c>
      <c r="CW3" s="106" t="s">
        <v>147</v>
      </c>
      <c r="CX3" s="107" t="s">
        <v>147</v>
      </c>
      <c r="CY3" s="107" t="s">
        <v>148</v>
      </c>
      <c r="CZ3" s="105" t="s">
        <v>149</v>
      </c>
      <c r="DA3" s="105" t="s">
        <v>149</v>
      </c>
      <c r="DB3" s="105" t="s">
        <v>148</v>
      </c>
      <c r="DC3" s="105" t="s">
        <v>148</v>
      </c>
      <c r="DD3" s="105" t="s">
        <v>148</v>
      </c>
      <c r="DE3" s="105" t="s">
        <v>149</v>
      </c>
      <c r="DF3" s="105" t="s">
        <v>148</v>
      </c>
      <c r="DG3" s="105" t="s">
        <v>148</v>
      </c>
      <c r="DH3" s="105" t="s">
        <v>148</v>
      </c>
      <c r="DI3" s="26"/>
      <c r="DJ3" s="4"/>
      <c r="DK3" s="4"/>
      <c r="DL3" s="4"/>
      <c r="DM3" s="4"/>
      <c r="DN3" s="4"/>
      <c r="DO3" s="4"/>
      <c r="DP3" s="4"/>
      <c r="DQ3" s="4"/>
      <c r="DR3" s="4"/>
      <c r="DS3" s="4"/>
      <c r="DT3" s="4"/>
      <c r="DU3" s="4"/>
      <c r="DV3" s="4"/>
      <c r="DW3" s="4"/>
      <c r="DX3" s="4"/>
      <c r="DY3" s="4"/>
      <c r="DZ3" s="4"/>
      <c r="EA3" s="4"/>
      <c r="EB3" s="4"/>
    </row>
    <row r="4" spans="1:132" s="21" customFormat="1" x14ac:dyDescent="0.25">
      <c r="A4" s="85"/>
      <c r="B4" s="56" t="s">
        <v>164</v>
      </c>
      <c r="C4" s="22"/>
      <c r="D4" s="22" t="s">
        <v>556</v>
      </c>
      <c r="E4" s="22"/>
      <c r="F4" s="22" t="s">
        <v>557</v>
      </c>
      <c r="G4" s="22" t="s">
        <v>558</v>
      </c>
      <c r="H4" s="22" t="s">
        <v>559</v>
      </c>
      <c r="I4" s="22" t="s">
        <v>560</v>
      </c>
      <c r="J4" s="22"/>
      <c r="K4" s="22" t="s">
        <v>561</v>
      </c>
      <c r="L4" s="22"/>
      <c r="M4" s="22"/>
      <c r="N4" s="22"/>
      <c r="O4" s="22" t="s">
        <v>562</v>
      </c>
      <c r="P4" s="22" t="s">
        <v>563</v>
      </c>
      <c r="Q4" s="22" t="s">
        <v>564</v>
      </c>
      <c r="R4" s="22" t="s">
        <v>565</v>
      </c>
      <c r="S4" s="22" t="s">
        <v>566</v>
      </c>
      <c r="T4" s="22" t="s">
        <v>567</v>
      </c>
      <c r="U4" s="22"/>
      <c r="V4" s="22"/>
      <c r="W4" s="22"/>
      <c r="X4" s="22"/>
      <c r="Y4" s="22"/>
      <c r="Z4" s="22" t="s">
        <v>568</v>
      </c>
      <c r="AA4" s="22"/>
      <c r="AB4" s="22" t="s">
        <v>569</v>
      </c>
      <c r="AC4" s="22" t="s">
        <v>570</v>
      </c>
      <c r="AD4" s="22" t="s">
        <v>571</v>
      </c>
      <c r="AE4" s="22"/>
      <c r="AF4" s="22"/>
      <c r="AG4" s="22"/>
      <c r="AH4" s="22" t="s">
        <v>572</v>
      </c>
      <c r="AI4" s="22" t="s">
        <v>572</v>
      </c>
      <c r="AJ4" s="22" t="s">
        <v>573</v>
      </c>
      <c r="AK4" s="22" t="s">
        <v>574</v>
      </c>
      <c r="AL4" s="22" t="s">
        <v>575</v>
      </c>
      <c r="AM4" s="22" t="s">
        <v>576</v>
      </c>
      <c r="AN4" s="22" t="s">
        <v>577</v>
      </c>
      <c r="AO4" s="22" t="s">
        <v>578</v>
      </c>
      <c r="AP4" s="22"/>
      <c r="AQ4" s="22"/>
      <c r="AR4" s="22"/>
      <c r="AS4" s="22"/>
      <c r="AT4" s="22"/>
      <c r="AU4" s="22"/>
      <c r="AV4" s="22" t="s">
        <v>579</v>
      </c>
      <c r="AW4" s="22"/>
      <c r="AX4" s="22"/>
      <c r="AY4" s="22" t="s">
        <v>580</v>
      </c>
      <c r="AZ4" s="22" t="s">
        <v>581</v>
      </c>
      <c r="BA4" s="22"/>
      <c r="BB4" s="22" t="s">
        <v>582</v>
      </c>
      <c r="BC4" s="22"/>
      <c r="BD4" s="22"/>
      <c r="BE4" s="22"/>
      <c r="BF4" s="22" t="s">
        <v>583</v>
      </c>
      <c r="BG4" s="22"/>
      <c r="BH4" s="22"/>
      <c r="BI4" s="22"/>
      <c r="BJ4" s="22"/>
      <c r="BK4" s="22"/>
      <c r="BL4" s="22"/>
      <c r="BM4" s="22"/>
      <c r="BN4" s="22"/>
      <c r="BO4" s="22" t="s">
        <v>584</v>
      </c>
      <c r="BP4" s="22" t="s">
        <v>585</v>
      </c>
      <c r="BQ4" s="22"/>
      <c r="BR4" s="22" t="s">
        <v>586</v>
      </c>
      <c r="BS4" s="22"/>
      <c r="BT4" s="22" t="s">
        <v>587</v>
      </c>
      <c r="BU4" s="22" t="s">
        <v>588</v>
      </c>
      <c r="BV4" s="22"/>
      <c r="BW4" s="22" t="s">
        <v>589</v>
      </c>
      <c r="BX4" s="22"/>
      <c r="BY4" s="22"/>
      <c r="BZ4" s="22"/>
      <c r="CA4" s="22"/>
      <c r="CB4" s="22"/>
      <c r="CC4" s="22" t="s">
        <v>590</v>
      </c>
      <c r="CD4" s="22" t="s">
        <v>591</v>
      </c>
      <c r="CE4" s="22" t="s">
        <v>592</v>
      </c>
      <c r="CF4" s="22" t="s">
        <v>593</v>
      </c>
      <c r="CG4" s="22" t="s">
        <v>594</v>
      </c>
      <c r="CH4" s="22"/>
      <c r="CI4" s="22" t="s">
        <v>595</v>
      </c>
      <c r="CJ4" s="22"/>
      <c r="CK4" s="22" t="s">
        <v>586</v>
      </c>
      <c r="CL4" s="22"/>
      <c r="CM4" s="22" t="s">
        <v>596</v>
      </c>
      <c r="CN4" s="22" t="s">
        <v>597</v>
      </c>
      <c r="CO4" s="22" t="s">
        <v>587</v>
      </c>
      <c r="CP4" s="22" t="s">
        <v>588</v>
      </c>
      <c r="CQ4" s="22"/>
      <c r="CR4" s="22"/>
      <c r="CS4" s="22"/>
      <c r="CT4" s="22"/>
      <c r="CU4" s="22"/>
      <c r="CV4" s="22"/>
      <c r="CW4" s="22"/>
      <c r="CX4" s="22"/>
      <c r="CY4" s="22"/>
      <c r="CZ4" s="22" t="s">
        <v>598</v>
      </c>
      <c r="DA4" s="22" t="s">
        <v>599</v>
      </c>
      <c r="DB4" s="22" t="s">
        <v>600</v>
      </c>
      <c r="DC4" s="22" t="s">
        <v>601</v>
      </c>
      <c r="DD4" s="22" t="s">
        <v>602</v>
      </c>
      <c r="DE4" s="22" t="s">
        <v>603</v>
      </c>
      <c r="DF4" s="22" t="s">
        <v>604</v>
      </c>
      <c r="DG4" s="22" t="s">
        <v>605</v>
      </c>
      <c r="DH4" s="22" t="s">
        <v>606</v>
      </c>
      <c r="DI4" s="24"/>
      <c r="DJ4" s="25"/>
      <c r="DK4" s="25"/>
    </row>
    <row r="5" spans="1:132" s="21" customFormat="1" x14ac:dyDescent="0.25">
      <c r="A5" s="85"/>
      <c r="B5" s="56" t="s">
        <v>554</v>
      </c>
      <c r="C5" s="22" t="s">
        <v>353</v>
      </c>
      <c r="D5" s="22" t="s">
        <v>356</v>
      </c>
      <c r="E5" s="22" t="s">
        <v>540</v>
      </c>
      <c r="F5" s="22" t="s">
        <v>362</v>
      </c>
      <c r="G5" s="22" t="s">
        <v>363</v>
      </c>
      <c r="H5" s="22" t="s">
        <v>541</v>
      </c>
      <c r="I5" s="22" t="s">
        <v>542</v>
      </c>
      <c r="J5" s="22" t="s">
        <v>543</v>
      </c>
      <c r="K5" s="22" t="s">
        <v>364</v>
      </c>
      <c r="L5" s="22" t="s">
        <v>366</v>
      </c>
      <c r="M5" s="22" t="s">
        <v>368</v>
      </c>
      <c r="N5" s="22" t="s">
        <v>370</v>
      </c>
      <c r="O5" s="22" t="s">
        <v>372</v>
      </c>
      <c r="P5" s="22" t="s">
        <v>374</v>
      </c>
      <c r="Q5" s="22" t="s">
        <v>376</v>
      </c>
      <c r="R5" s="22" t="s">
        <v>378</v>
      </c>
      <c r="S5" s="22" t="s">
        <v>380</v>
      </c>
      <c r="T5" s="22" t="s">
        <v>382</v>
      </c>
      <c r="U5" s="22" t="s">
        <v>384</v>
      </c>
      <c r="V5" s="22" t="s">
        <v>386</v>
      </c>
      <c r="W5" s="22" t="s">
        <v>388</v>
      </c>
      <c r="X5" s="22" t="s">
        <v>390</v>
      </c>
      <c r="Y5" s="22" t="s">
        <v>392</v>
      </c>
      <c r="Z5" s="22" t="s">
        <v>394</v>
      </c>
      <c r="AA5" s="22" t="s">
        <v>544</v>
      </c>
      <c r="AB5" s="22" t="s">
        <v>396</v>
      </c>
      <c r="AC5" s="22" t="s">
        <v>398</v>
      </c>
      <c r="AD5" s="22" t="s">
        <v>400</v>
      </c>
      <c r="AE5" s="22" t="s">
        <v>402</v>
      </c>
      <c r="AF5" s="22" t="s">
        <v>404</v>
      </c>
      <c r="AG5" s="22" t="s">
        <v>405</v>
      </c>
      <c r="AH5" s="22" t="s">
        <v>410</v>
      </c>
      <c r="AI5" s="22" t="s">
        <v>412</v>
      </c>
      <c r="AJ5" s="22" t="s">
        <v>413</v>
      </c>
      <c r="AK5" s="22" t="s">
        <v>415</v>
      </c>
      <c r="AL5" s="22" t="s">
        <v>417</v>
      </c>
      <c r="AM5" s="22" t="s">
        <v>545</v>
      </c>
      <c r="AN5" s="22" t="s">
        <v>419</v>
      </c>
      <c r="AO5" s="22" t="s">
        <v>420</v>
      </c>
      <c r="AP5" s="22" t="s">
        <v>421</v>
      </c>
      <c r="AQ5" s="22" t="s">
        <v>422</v>
      </c>
      <c r="AR5" s="22" t="s">
        <v>424</v>
      </c>
      <c r="AS5" s="22" t="s">
        <v>426</v>
      </c>
      <c r="AT5" s="22" t="s">
        <v>428</v>
      </c>
      <c r="AU5" s="22" t="s">
        <v>430</v>
      </c>
      <c r="AV5" s="22" t="s">
        <v>432</v>
      </c>
      <c r="AW5" s="22" t="s">
        <v>434</v>
      </c>
      <c r="AX5" s="22" t="s">
        <v>546</v>
      </c>
      <c r="AY5" s="22" t="s">
        <v>436</v>
      </c>
      <c r="AZ5" s="22" t="s">
        <v>439</v>
      </c>
      <c r="BA5" s="22" t="s">
        <v>441</v>
      </c>
      <c r="BB5" s="22" t="s">
        <v>442</v>
      </c>
      <c r="BC5" s="22" t="s">
        <v>444</v>
      </c>
      <c r="BD5" s="22" t="s">
        <v>445</v>
      </c>
      <c r="BE5" s="22" t="s">
        <v>446</v>
      </c>
      <c r="BF5" s="22" t="s">
        <v>447</v>
      </c>
      <c r="BG5" s="22" t="s">
        <v>547</v>
      </c>
      <c r="BH5" s="22" t="s">
        <v>449</v>
      </c>
      <c r="BI5" s="22" t="s">
        <v>451</v>
      </c>
      <c r="BJ5" s="22" t="s">
        <v>548</v>
      </c>
      <c r="BK5" s="22" t="s">
        <v>549</v>
      </c>
      <c r="BL5" s="22" t="s">
        <v>538</v>
      </c>
      <c r="BM5" s="22" t="s">
        <v>550</v>
      </c>
      <c r="BN5" s="22" t="s">
        <v>457</v>
      </c>
      <c r="BO5" s="22" t="s">
        <v>455</v>
      </c>
      <c r="BP5" s="22" t="s">
        <v>459</v>
      </c>
      <c r="BQ5" s="22" t="s">
        <v>461</v>
      </c>
      <c r="BR5" s="22" t="s">
        <v>463</v>
      </c>
      <c r="BS5" s="22" t="s">
        <v>465</v>
      </c>
      <c r="BT5" s="22" t="s">
        <v>467</v>
      </c>
      <c r="BU5" s="22" t="s">
        <v>469</v>
      </c>
      <c r="BV5" s="22" t="s">
        <v>474</v>
      </c>
      <c r="BW5" s="22" t="s">
        <v>476</v>
      </c>
      <c r="BX5" s="22" t="s">
        <v>480</v>
      </c>
      <c r="BY5" s="22" t="s">
        <v>481</v>
      </c>
      <c r="BZ5" s="22" t="s">
        <v>485</v>
      </c>
      <c r="CA5" s="22" t="s">
        <v>487</v>
      </c>
      <c r="CB5" s="22" t="s">
        <v>489</v>
      </c>
      <c r="CC5" s="22" t="s">
        <v>491</v>
      </c>
      <c r="CD5" s="22" t="s">
        <v>493</v>
      </c>
      <c r="CE5" s="22" t="s">
        <v>494</v>
      </c>
      <c r="CF5" s="22" t="s">
        <v>496</v>
      </c>
      <c r="CG5" s="22" t="s">
        <v>500</v>
      </c>
      <c r="CH5" s="22" t="s">
        <v>498</v>
      </c>
      <c r="CI5" s="22" t="s">
        <v>501</v>
      </c>
      <c r="CJ5" s="22" t="s">
        <v>503</v>
      </c>
      <c r="CK5" s="22" t="s">
        <v>504</v>
      </c>
      <c r="CL5" s="22" t="s">
        <v>505</v>
      </c>
      <c r="CM5" s="22" t="s">
        <v>506</v>
      </c>
      <c r="CN5" s="22" t="s">
        <v>508</v>
      </c>
      <c r="CO5" s="22" t="s">
        <v>510</v>
      </c>
      <c r="CP5" s="22" t="s">
        <v>511</v>
      </c>
      <c r="CQ5" s="22" t="s">
        <v>513</v>
      </c>
      <c r="CR5" s="22" t="s">
        <v>515</v>
      </c>
      <c r="CS5" s="22" t="s">
        <v>516</v>
      </c>
      <c r="CT5" s="22" t="s">
        <v>517</v>
      </c>
      <c r="CU5" s="22" t="s">
        <v>519</v>
      </c>
      <c r="CV5" s="22" t="s">
        <v>520</v>
      </c>
      <c r="CW5" s="22" t="s">
        <v>521</v>
      </c>
      <c r="CX5" s="22" t="s">
        <v>551</v>
      </c>
      <c r="CY5" s="22" t="s">
        <v>552</v>
      </c>
      <c r="CZ5" s="22" t="s">
        <v>523</v>
      </c>
      <c r="DA5" s="22" t="s">
        <v>525</v>
      </c>
      <c r="DB5" s="22" t="s">
        <v>526</v>
      </c>
      <c r="DC5" s="22" t="s">
        <v>528</v>
      </c>
      <c r="DD5" s="22" t="s">
        <v>530</v>
      </c>
      <c r="DE5" s="22" t="s">
        <v>532</v>
      </c>
      <c r="DF5" s="22" t="s">
        <v>534</v>
      </c>
      <c r="DG5" s="22" t="s">
        <v>536</v>
      </c>
      <c r="DH5" s="22" t="s">
        <v>553</v>
      </c>
      <c r="DI5" s="24"/>
      <c r="DJ5" s="25"/>
      <c r="DK5" s="25"/>
    </row>
    <row r="6" spans="1:132" s="17" customFormat="1" x14ac:dyDescent="0.25">
      <c r="A6" s="87" t="s">
        <v>554</v>
      </c>
      <c r="B6" s="57" t="s">
        <v>555</v>
      </c>
      <c r="C6" s="79" t="s">
        <v>353</v>
      </c>
      <c r="D6" s="79" t="s">
        <v>355</v>
      </c>
      <c r="E6" s="79" t="s">
        <v>356</v>
      </c>
      <c r="F6" s="79" t="s">
        <v>358</v>
      </c>
      <c r="G6" s="79" t="s">
        <v>359</v>
      </c>
      <c r="H6" s="79" t="s">
        <v>360</v>
      </c>
      <c r="I6" s="79" t="s">
        <v>362</v>
      </c>
      <c r="J6" s="79" t="s">
        <v>363</v>
      </c>
      <c r="K6" s="79" t="s">
        <v>364</v>
      </c>
      <c r="L6" s="79" t="s">
        <v>366</v>
      </c>
      <c r="M6" s="79" t="s">
        <v>368</v>
      </c>
      <c r="N6" s="79" t="s">
        <v>370</v>
      </c>
      <c r="O6" s="79" t="s">
        <v>372</v>
      </c>
      <c r="P6" s="79" t="s">
        <v>374</v>
      </c>
      <c r="Q6" s="79" t="s">
        <v>376</v>
      </c>
      <c r="R6" s="79" t="s">
        <v>378</v>
      </c>
      <c r="S6" s="79" t="s">
        <v>380</v>
      </c>
      <c r="T6" s="79" t="s">
        <v>382</v>
      </c>
      <c r="U6" s="79" t="s">
        <v>384</v>
      </c>
      <c r="V6" s="79" t="s">
        <v>386</v>
      </c>
      <c r="W6" s="79" t="s">
        <v>388</v>
      </c>
      <c r="X6" s="79" t="s">
        <v>390</v>
      </c>
      <c r="Y6" s="79" t="s">
        <v>392</v>
      </c>
      <c r="Z6" s="79" t="s">
        <v>394</v>
      </c>
      <c r="AA6" s="79" t="s">
        <v>396</v>
      </c>
      <c r="AB6" s="79" t="s">
        <v>398</v>
      </c>
      <c r="AC6" s="79" t="s">
        <v>400</v>
      </c>
      <c r="AD6" s="79" t="s">
        <v>402</v>
      </c>
      <c r="AE6" s="79" t="s">
        <v>404</v>
      </c>
      <c r="AF6" s="79" t="s">
        <v>405</v>
      </c>
      <c r="AG6" s="79" t="s">
        <v>407</v>
      </c>
      <c r="AH6" s="79" t="s">
        <v>408</v>
      </c>
      <c r="AI6" s="79" t="s">
        <v>410</v>
      </c>
      <c r="AJ6" s="79" t="s">
        <v>412</v>
      </c>
      <c r="AK6" s="79" t="s">
        <v>413</v>
      </c>
      <c r="AL6" s="79" t="s">
        <v>415</v>
      </c>
      <c r="AM6" s="79" t="s">
        <v>417</v>
      </c>
      <c r="AN6" s="79" t="s">
        <v>419</v>
      </c>
      <c r="AO6" s="79" t="s">
        <v>420</v>
      </c>
      <c r="AP6" s="79" t="s">
        <v>421</v>
      </c>
      <c r="AQ6" s="79" t="s">
        <v>422</v>
      </c>
      <c r="AR6" s="79" t="s">
        <v>424</v>
      </c>
      <c r="AS6" s="79" t="s">
        <v>426</v>
      </c>
      <c r="AT6" s="79" t="s">
        <v>428</v>
      </c>
      <c r="AU6" s="79" t="s">
        <v>430</v>
      </c>
      <c r="AV6" s="79" t="s">
        <v>432</v>
      </c>
      <c r="AW6" s="79" t="s">
        <v>434</v>
      </c>
      <c r="AX6" s="79" t="s">
        <v>436</v>
      </c>
      <c r="AY6" s="79" t="s">
        <v>437</v>
      </c>
      <c r="AZ6" s="79" t="s">
        <v>439</v>
      </c>
      <c r="BA6" s="79" t="s">
        <v>441</v>
      </c>
      <c r="BB6" s="79" t="s">
        <v>442</v>
      </c>
      <c r="BC6" s="79" t="s">
        <v>444</v>
      </c>
      <c r="BD6" s="79" t="s">
        <v>445</v>
      </c>
      <c r="BE6" s="79" t="s">
        <v>446</v>
      </c>
      <c r="BF6" s="79" t="s">
        <v>447</v>
      </c>
      <c r="BG6" s="79" t="s">
        <v>449</v>
      </c>
      <c r="BH6" s="79" t="s">
        <v>451</v>
      </c>
      <c r="BI6" s="79" t="s">
        <v>453</v>
      </c>
      <c r="BJ6" s="79" t="s">
        <v>455</v>
      </c>
      <c r="BK6" s="79" t="s">
        <v>457</v>
      </c>
      <c r="BL6" s="79" t="s">
        <v>459</v>
      </c>
      <c r="BM6" s="79" t="s">
        <v>461</v>
      </c>
      <c r="BN6" s="79" t="s">
        <v>463</v>
      </c>
      <c r="BO6" s="79" t="s">
        <v>465</v>
      </c>
      <c r="BP6" s="79" t="s">
        <v>467</v>
      </c>
      <c r="BQ6" s="79" t="s">
        <v>469</v>
      </c>
      <c r="BR6" s="79" t="s">
        <v>471</v>
      </c>
      <c r="BS6" s="79" t="s">
        <v>472</v>
      </c>
      <c r="BT6" s="79" t="s">
        <v>474</v>
      </c>
      <c r="BU6" s="79" t="s">
        <v>476</v>
      </c>
      <c r="BV6" s="79" t="s">
        <v>478</v>
      </c>
      <c r="BW6" s="79" t="s">
        <v>480</v>
      </c>
      <c r="BX6" s="79" t="s">
        <v>481</v>
      </c>
      <c r="BY6" s="79" t="s">
        <v>483</v>
      </c>
      <c r="BZ6" s="79" t="s">
        <v>485</v>
      </c>
      <c r="CA6" s="79" t="s">
        <v>487</v>
      </c>
      <c r="CB6" s="79" t="s">
        <v>489</v>
      </c>
      <c r="CC6" s="79" t="s">
        <v>491</v>
      </c>
      <c r="CD6" s="79" t="s">
        <v>493</v>
      </c>
      <c r="CE6" s="79" t="s">
        <v>494</v>
      </c>
      <c r="CF6" s="79" t="s">
        <v>496</v>
      </c>
      <c r="CG6" s="79" t="s">
        <v>498</v>
      </c>
      <c r="CH6" s="79" t="s">
        <v>500</v>
      </c>
      <c r="CI6" s="79" t="s">
        <v>501</v>
      </c>
      <c r="CJ6" s="79" t="s">
        <v>503</v>
      </c>
      <c r="CK6" s="79" t="s">
        <v>504</v>
      </c>
      <c r="CL6" s="79" t="s">
        <v>505</v>
      </c>
      <c r="CM6" s="79" t="s">
        <v>506</v>
      </c>
      <c r="CN6" s="79" t="s">
        <v>508</v>
      </c>
      <c r="CO6" s="79" t="s">
        <v>510</v>
      </c>
      <c r="CP6" s="79" t="s">
        <v>511</v>
      </c>
      <c r="CQ6" s="79" t="s">
        <v>512</v>
      </c>
      <c r="CR6" s="79" t="s">
        <v>513</v>
      </c>
      <c r="CS6" s="79" t="s">
        <v>515</v>
      </c>
      <c r="CT6" s="79" t="s">
        <v>516</v>
      </c>
      <c r="CU6" s="79" t="s">
        <v>517</v>
      </c>
      <c r="CV6" s="79" t="s">
        <v>518</v>
      </c>
      <c r="CW6" s="79" t="s">
        <v>519</v>
      </c>
      <c r="CX6" s="79" t="s">
        <v>520</v>
      </c>
      <c r="CY6" s="79" t="s">
        <v>521</v>
      </c>
      <c r="CZ6" s="79" t="s">
        <v>523</v>
      </c>
      <c r="DA6" s="79" t="s">
        <v>525</v>
      </c>
      <c r="DB6" s="79" t="s">
        <v>526</v>
      </c>
      <c r="DC6" s="79" t="s">
        <v>528</v>
      </c>
      <c r="DD6" s="79" t="s">
        <v>530</v>
      </c>
      <c r="DE6" s="79" t="s">
        <v>532</v>
      </c>
      <c r="DF6" s="79" t="s">
        <v>534</v>
      </c>
      <c r="DG6" s="79" t="s">
        <v>536</v>
      </c>
      <c r="DH6" s="79" t="s">
        <v>538</v>
      </c>
      <c r="DI6" s="19" t="s">
        <v>171</v>
      </c>
      <c r="DJ6" s="20"/>
      <c r="DK6" s="20"/>
    </row>
    <row r="7" spans="1:132" x14ac:dyDescent="0.25">
      <c r="B7" s="46"/>
      <c r="C7" s="9">
        <f t="shared" ref="C7:AH7" si="0">COUNTA(C8:C55)</f>
        <v>6</v>
      </c>
      <c r="D7" s="9">
        <f t="shared" si="0"/>
        <v>5</v>
      </c>
      <c r="E7" s="9">
        <f t="shared" si="0"/>
        <v>4</v>
      </c>
      <c r="F7" s="9">
        <f t="shared" si="0"/>
        <v>4</v>
      </c>
      <c r="G7" s="9">
        <f t="shared" si="0"/>
        <v>3</v>
      </c>
      <c r="H7" s="9">
        <f t="shared" si="0"/>
        <v>4</v>
      </c>
      <c r="I7" s="9">
        <f t="shared" si="0"/>
        <v>4</v>
      </c>
      <c r="J7" s="9">
        <f t="shared" si="0"/>
        <v>3</v>
      </c>
      <c r="K7" s="9">
        <f t="shared" si="0"/>
        <v>3</v>
      </c>
      <c r="L7" s="9">
        <f t="shared" si="0"/>
        <v>6</v>
      </c>
      <c r="M7" s="9">
        <f t="shared" si="0"/>
        <v>4</v>
      </c>
      <c r="N7" s="9">
        <f t="shared" si="0"/>
        <v>5</v>
      </c>
      <c r="O7" s="9">
        <f t="shared" si="0"/>
        <v>6</v>
      </c>
      <c r="P7" s="9">
        <f t="shared" si="0"/>
        <v>5</v>
      </c>
      <c r="Q7" s="9">
        <f t="shared" si="0"/>
        <v>5</v>
      </c>
      <c r="R7" s="9">
        <f t="shared" si="0"/>
        <v>5</v>
      </c>
      <c r="S7" s="9">
        <f t="shared" si="0"/>
        <v>5</v>
      </c>
      <c r="T7" s="9">
        <f t="shared" si="0"/>
        <v>1</v>
      </c>
      <c r="U7" s="9">
        <f t="shared" si="0"/>
        <v>5</v>
      </c>
      <c r="V7" s="9">
        <f t="shared" si="0"/>
        <v>2</v>
      </c>
      <c r="W7" s="9">
        <f t="shared" si="0"/>
        <v>5</v>
      </c>
      <c r="X7" s="9">
        <f t="shared" si="0"/>
        <v>3</v>
      </c>
      <c r="Y7" s="9">
        <f t="shared" si="0"/>
        <v>5</v>
      </c>
      <c r="Z7" s="9">
        <f t="shared" si="0"/>
        <v>5</v>
      </c>
      <c r="AA7" s="9">
        <f t="shared" si="0"/>
        <v>5</v>
      </c>
      <c r="AB7" s="9">
        <f t="shared" si="0"/>
        <v>4</v>
      </c>
      <c r="AC7" s="9">
        <f t="shared" si="0"/>
        <v>6</v>
      </c>
      <c r="AD7" s="9">
        <f t="shared" si="0"/>
        <v>0</v>
      </c>
      <c r="AE7" s="9">
        <f t="shared" si="0"/>
        <v>4</v>
      </c>
      <c r="AF7" s="9">
        <f t="shared" si="0"/>
        <v>3</v>
      </c>
      <c r="AG7" s="9">
        <f t="shared" si="0"/>
        <v>4</v>
      </c>
      <c r="AH7" s="9">
        <f t="shared" si="0"/>
        <v>5</v>
      </c>
      <c r="AI7" s="9">
        <f t="shared" ref="AI7:AT7" si="1">COUNTA(AI8:AI55)</f>
        <v>5</v>
      </c>
      <c r="AJ7" s="9">
        <f t="shared" si="1"/>
        <v>3</v>
      </c>
      <c r="AK7" s="9">
        <f t="shared" si="1"/>
        <v>5</v>
      </c>
      <c r="AL7" s="9">
        <f t="shared" si="1"/>
        <v>5</v>
      </c>
      <c r="AM7" s="9">
        <f t="shared" si="1"/>
        <v>4</v>
      </c>
      <c r="AN7" s="9">
        <f t="shared" si="1"/>
        <v>2</v>
      </c>
      <c r="AO7" s="9">
        <f t="shared" si="1"/>
        <v>5</v>
      </c>
      <c r="AP7" s="9">
        <f t="shared" si="1"/>
        <v>4</v>
      </c>
      <c r="AQ7" s="9">
        <f t="shared" si="1"/>
        <v>5</v>
      </c>
      <c r="AR7" s="9">
        <f t="shared" si="1"/>
        <v>4</v>
      </c>
      <c r="AS7" s="9">
        <f t="shared" si="1"/>
        <v>6</v>
      </c>
      <c r="AT7" s="9">
        <f t="shared" si="1"/>
        <v>5</v>
      </c>
      <c r="AU7" s="9">
        <f>COUNTA(AU8:AU61)</f>
        <v>5</v>
      </c>
      <c r="AV7" s="9">
        <f t="shared" ref="AV7:DG7" si="2">COUNTA(AV8:AV61)</f>
        <v>3</v>
      </c>
      <c r="AW7" s="9">
        <f t="shared" si="2"/>
        <v>5</v>
      </c>
      <c r="AX7" s="9">
        <f t="shared" si="2"/>
        <v>4</v>
      </c>
      <c r="AY7" s="9">
        <f t="shared" si="2"/>
        <v>6</v>
      </c>
      <c r="AZ7" s="9">
        <f t="shared" si="2"/>
        <v>4</v>
      </c>
      <c r="BA7" s="9">
        <f t="shared" si="2"/>
        <v>3</v>
      </c>
      <c r="BB7" s="9">
        <f t="shared" si="2"/>
        <v>2</v>
      </c>
      <c r="BC7" s="9">
        <f t="shared" si="2"/>
        <v>2</v>
      </c>
      <c r="BD7" s="9">
        <f t="shared" si="2"/>
        <v>2</v>
      </c>
      <c r="BE7" s="9">
        <f t="shared" si="2"/>
        <v>6</v>
      </c>
      <c r="BF7" s="9">
        <f t="shared" si="2"/>
        <v>1</v>
      </c>
      <c r="BG7" s="9">
        <f t="shared" si="2"/>
        <v>4</v>
      </c>
      <c r="BH7" s="9">
        <f t="shared" si="2"/>
        <v>5</v>
      </c>
      <c r="BI7" s="9">
        <f t="shared" si="2"/>
        <v>3</v>
      </c>
      <c r="BJ7" s="9">
        <f t="shared" si="2"/>
        <v>3</v>
      </c>
      <c r="BK7" s="9">
        <f t="shared" si="2"/>
        <v>5</v>
      </c>
      <c r="BL7" s="9">
        <f t="shared" si="2"/>
        <v>6</v>
      </c>
      <c r="BM7" s="9">
        <f t="shared" si="2"/>
        <v>5</v>
      </c>
      <c r="BN7" s="9">
        <f t="shared" si="2"/>
        <v>5</v>
      </c>
      <c r="BO7" s="9">
        <f t="shared" si="2"/>
        <v>4</v>
      </c>
      <c r="BP7" s="9">
        <f t="shared" si="2"/>
        <v>6</v>
      </c>
      <c r="BQ7" s="9">
        <f t="shared" si="2"/>
        <v>3</v>
      </c>
      <c r="BR7" s="9">
        <f t="shared" si="2"/>
        <v>2</v>
      </c>
      <c r="BS7" s="9">
        <f t="shared" si="2"/>
        <v>4</v>
      </c>
      <c r="BT7" s="9">
        <f t="shared" si="2"/>
        <v>2</v>
      </c>
      <c r="BU7" s="9">
        <f t="shared" si="2"/>
        <v>2</v>
      </c>
      <c r="BV7" s="9">
        <f t="shared" si="2"/>
        <v>3</v>
      </c>
      <c r="BW7" s="9">
        <f t="shared" si="2"/>
        <v>5</v>
      </c>
      <c r="BX7" s="9">
        <f t="shared" si="2"/>
        <v>3</v>
      </c>
      <c r="BY7" s="9">
        <f t="shared" si="2"/>
        <v>2</v>
      </c>
      <c r="BZ7" s="9">
        <f t="shared" si="2"/>
        <v>5</v>
      </c>
      <c r="CA7" s="9">
        <f t="shared" si="2"/>
        <v>4</v>
      </c>
      <c r="CB7" s="9">
        <f t="shared" si="2"/>
        <v>3</v>
      </c>
      <c r="CC7" s="9">
        <f t="shared" si="2"/>
        <v>3</v>
      </c>
      <c r="CD7" s="9">
        <f t="shared" si="2"/>
        <v>3</v>
      </c>
      <c r="CE7" s="9">
        <f t="shared" si="2"/>
        <v>1</v>
      </c>
      <c r="CF7" s="9">
        <f t="shared" si="2"/>
        <v>1</v>
      </c>
      <c r="CG7" s="9">
        <f t="shared" si="2"/>
        <v>4</v>
      </c>
      <c r="CH7" s="9">
        <f t="shared" si="2"/>
        <v>4</v>
      </c>
      <c r="CI7" s="9">
        <f t="shared" si="2"/>
        <v>5</v>
      </c>
      <c r="CJ7" s="9">
        <f t="shared" si="2"/>
        <v>3</v>
      </c>
      <c r="CK7" s="9">
        <f t="shared" si="2"/>
        <v>2</v>
      </c>
      <c r="CL7" s="9">
        <f t="shared" si="2"/>
        <v>4</v>
      </c>
      <c r="CM7" s="9">
        <f t="shared" si="2"/>
        <v>4</v>
      </c>
      <c r="CN7" s="9">
        <f t="shared" si="2"/>
        <v>7</v>
      </c>
      <c r="CO7" s="9">
        <f t="shared" si="2"/>
        <v>2</v>
      </c>
      <c r="CP7" s="9">
        <f t="shared" si="2"/>
        <v>2</v>
      </c>
      <c r="CQ7" s="9">
        <f t="shared" si="2"/>
        <v>4</v>
      </c>
      <c r="CR7" s="9">
        <f t="shared" si="2"/>
        <v>7</v>
      </c>
      <c r="CS7" s="9">
        <f t="shared" si="2"/>
        <v>3</v>
      </c>
      <c r="CT7" s="9">
        <f t="shared" si="2"/>
        <v>3</v>
      </c>
      <c r="CU7" s="9">
        <f t="shared" si="2"/>
        <v>4</v>
      </c>
      <c r="CV7" s="9">
        <f t="shared" si="2"/>
        <v>4</v>
      </c>
      <c r="CW7" s="9">
        <f t="shared" si="2"/>
        <v>3</v>
      </c>
      <c r="CX7" s="9">
        <f t="shared" si="2"/>
        <v>3</v>
      </c>
      <c r="CY7" s="9">
        <f t="shared" si="2"/>
        <v>5</v>
      </c>
      <c r="CZ7" s="9">
        <f t="shared" si="2"/>
        <v>4</v>
      </c>
      <c r="DA7" s="9">
        <f t="shared" si="2"/>
        <v>3</v>
      </c>
      <c r="DB7" s="9">
        <f t="shared" si="2"/>
        <v>3</v>
      </c>
      <c r="DC7" s="9">
        <f t="shared" si="2"/>
        <v>6</v>
      </c>
      <c r="DD7" s="9">
        <f t="shared" si="2"/>
        <v>4</v>
      </c>
      <c r="DE7" s="9">
        <f t="shared" si="2"/>
        <v>3</v>
      </c>
      <c r="DF7" s="9">
        <f t="shared" si="2"/>
        <v>4</v>
      </c>
      <c r="DG7" s="9">
        <f t="shared" si="2"/>
        <v>5</v>
      </c>
      <c r="DH7" s="9">
        <f t="shared" ref="DH7" si="3">COUNTA(DH8:DH61)</f>
        <v>3</v>
      </c>
      <c r="DI7" s="9" t="s">
        <v>133</v>
      </c>
      <c r="DJ7" s="6" t="s">
        <v>172</v>
      </c>
      <c r="DK7" s="9" t="s">
        <v>263</v>
      </c>
      <c r="DL7" s="33" t="s">
        <v>264</v>
      </c>
    </row>
    <row r="8" spans="1:132" x14ac:dyDescent="0.25">
      <c r="A8" s="85" t="s">
        <v>607</v>
      </c>
      <c r="B8" s="83" t="s">
        <v>607</v>
      </c>
      <c r="D8" s="9"/>
      <c r="E8" s="9"/>
      <c r="F8" s="9"/>
      <c r="G8" s="9"/>
      <c r="H8" s="9"/>
      <c r="I8" s="9"/>
      <c r="J8" s="9"/>
      <c r="K8" s="9"/>
      <c r="L8" s="9"/>
      <c r="M8" s="9"/>
      <c r="N8" s="9"/>
      <c r="O8" s="9"/>
      <c r="P8" s="9"/>
      <c r="Q8" s="9"/>
      <c r="R8" s="9"/>
      <c r="S8" s="9"/>
      <c r="T8" s="9"/>
      <c r="BB8" s="9" t="s">
        <v>4</v>
      </c>
      <c r="BM8" s="9"/>
      <c r="BQ8" s="2"/>
      <c r="CK8" s="46"/>
      <c r="DE8" s="46"/>
      <c r="DF8" s="46"/>
      <c r="DG8" s="7"/>
      <c r="DH8" s="7"/>
      <c r="DI8" s="83" t="s">
        <v>607</v>
      </c>
      <c r="DJ8" s="35">
        <f>COUNTA(D8:DH8)</f>
        <v>1</v>
      </c>
      <c r="DK8" s="83">
        <v>8</v>
      </c>
      <c r="DL8" s="83" t="s">
        <v>662</v>
      </c>
    </row>
    <row r="9" spans="1:132" x14ac:dyDescent="0.25">
      <c r="A9" s="85" t="s">
        <v>608</v>
      </c>
      <c r="B9" s="83" t="s">
        <v>608</v>
      </c>
      <c r="C9" s="9"/>
      <c r="D9" s="14"/>
      <c r="E9" s="14"/>
      <c r="F9" s="14"/>
      <c r="G9" s="14"/>
      <c r="H9" s="9"/>
      <c r="I9" s="9"/>
      <c r="J9" s="9"/>
      <c r="K9" s="9"/>
      <c r="L9" s="9"/>
      <c r="M9" s="9"/>
      <c r="N9" s="9"/>
      <c r="O9" s="9"/>
      <c r="P9" s="9"/>
      <c r="Q9" s="9"/>
      <c r="R9" s="9"/>
      <c r="S9" s="9"/>
      <c r="T9" s="9"/>
      <c r="BM9" s="9"/>
      <c r="BQ9" s="2"/>
      <c r="CK9" s="46"/>
      <c r="CX9" s="9" t="s">
        <v>4</v>
      </c>
      <c r="DE9" s="46"/>
      <c r="DF9" s="46"/>
      <c r="DG9" s="7"/>
      <c r="DH9" s="7"/>
      <c r="DI9" s="83" t="s">
        <v>608</v>
      </c>
      <c r="DJ9" s="35">
        <f t="shared" ref="DJ9:DJ61" si="4">COUNTA(C9:DH9)</f>
        <v>1</v>
      </c>
      <c r="DK9" s="83">
        <v>8</v>
      </c>
      <c r="DL9" s="83" t="s">
        <v>663</v>
      </c>
    </row>
    <row r="10" spans="1:132" x14ac:dyDescent="0.25">
      <c r="A10" s="85" t="s">
        <v>609</v>
      </c>
      <c r="B10" s="83" t="s">
        <v>609</v>
      </c>
      <c r="C10" s="9"/>
      <c r="D10" s="9"/>
      <c r="E10" s="9"/>
      <c r="F10" s="9"/>
      <c r="G10" s="9"/>
      <c r="H10" s="9"/>
      <c r="I10" s="9"/>
      <c r="J10" s="9"/>
      <c r="K10" s="9"/>
      <c r="L10" s="9"/>
      <c r="M10" s="9"/>
      <c r="N10" s="9"/>
      <c r="O10" s="9"/>
      <c r="P10" s="9"/>
      <c r="Q10" s="9"/>
      <c r="R10" s="9"/>
      <c r="S10" s="9"/>
      <c r="T10" s="9"/>
      <c r="BM10" s="9"/>
      <c r="BQ10" s="2"/>
      <c r="BX10" s="9" t="s">
        <v>4</v>
      </c>
      <c r="BY10" s="9" t="s">
        <v>4</v>
      </c>
      <c r="CB10" s="9" t="s">
        <v>4</v>
      </c>
      <c r="CK10" s="46"/>
      <c r="CS10" s="9" t="s">
        <v>4</v>
      </c>
      <c r="CT10" s="9" t="s">
        <v>4</v>
      </c>
      <c r="CW10" s="9" t="s">
        <v>4</v>
      </c>
      <c r="DE10" s="46"/>
      <c r="DF10" s="46"/>
      <c r="DG10" s="7"/>
      <c r="DH10" s="7"/>
      <c r="DI10" s="83" t="s">
        <v>609</v>
      </c>
      <c r="DJ10" s="35">
        <f t="shared" si="4"/>
        <v>6</v>
      </c>
      <c r="DK10" s="83">
        <v>8</v>
      </c>
      <c r="DL10" s="83" t="s">
        <v>664</v>
      </c>
    </row>
    <row r="11" spans="1:132" x14ac:dyDescent="0.25">
      <c r="A11" s="85" t="s">
        <v>611</v>
      </c>
      <c r="B11" s="83" t="s">
        <v>610</v>
      </c>
      <c r="C11" s="9"/>
      <c r="D11" s="9"/>
      <c r="E11" s="9"/>
      <c r="F11" s="9"/>
      <c r="G11" s="9"/>
      <c r="H11" s="9"/>
      <c r="I11" s="9"/>
      <c r="J11" s="9"/>
      <c r="K11" s="9"/>
      <c r="L11" s="9"/>
      <c r="M11" s="9"/>
      <c r="N11" s="9"/>
      <c r="O11" s="9"/>
      <c r="P11" s="9"/>
      <c r="Q11" s="9"/>
      <c r="R11" s="9"/>
      <c r="S11" s="9"/>
      <c r="T11" s="9" t="s">
        <v>4</v>
      </c>
      <c r="BM11" s="9"/>
      <c r="BQ11" s="6"/>
      <c r="BT11" s="9" t="s">
        <v>4</v>
      </c>
      <c r="BU11" s="9" t="s">
        <v>4</v>
      </c>
      <c r="BX11" s="9" t="s">
        <v>4</v>
      </c>
      <c r="BY11" s="9" t="s">
        <v>4</v>
      </c>
      <c r="CB11" s="9" t="s">
        <v>4</v>
      </c>
      <c r="CK11" s="46"/>
      <c r="CO11" s="9" t="s">
        <v>4</v>
      </c>
      <c r="CP11" s="9" t="s">
        <v>4</v>
      </c>
      <c r="CS11" s="9" t="s">
        <v>4</v>
      </c>
      <c r="CT11" s="9" t="s">
        <v>4</v>
      </c>
      <c r="CW11" s="9" t="s">
        <v>4</v>
      </c>
      <c r="CX11" s="9" t="s">
        <v>4</v>
      </c>
      <c r="DE11" s="46"/>
      <c r="DF11" s="46"/>
      <c r="DG11" s="7"/>
      <c r="DH11" s="7"/>
      <c r="DI11" s="83" t="s">
        <v>610</v>
      </c>
      <c r="DJ11" s="35">
        <f t="shared" si="4"/>
        <v>12</v>
      </c>
      <c r="DK11" s="83">
        <v>8</v>
      </c>
      <c r="DL11" s="83" t="s">
        <v>665</v>
      </c>
    </row>
    <row r="12" spans="1:132" x14ac:dyDescent="0.25">
      <c r="A12" s="85" t="s">
        <v>700</v>
      </c>
      <c r="B12" s="83" t="s">
        <v>611</v>
      </c>
      <c r="C12" s="9"/>
      <c r="D12" s="9"/>
      <c r="E12" s="9"/>
      <c r="F12" s="9"/>
      <c r="G12" s="9"/>
      <c r="H12" s="9"/>
      <c r="I12" s="9"/>
      <c r="J12" s="9"/>
      <c r="K12" s="9"/>
      <c r="L12" s="9"/>
      <c r="M12" s="9"/>
      <c r="N12" s="9"/>
      <c r="O12" s="9"/>
      <c r="P12" s="9"/>
      <c r="Q12" s="9"/>
      <c r="R12" s="9"/>
      <c r="S12" s="9"/>
      <c r="T12" s="9"/>
      <c r="BM12" s="9"/>
      <c r="BQ12" s="2"/>
      <c r="BT12" s="9" t="s">
        <v>4</v>
      </c>
      <c r="BU12" s="9" t="s">
        <v>4</v>
      </c>
      <c r="BX12" s="9" t="s">
        <v>4</v>
      </c>
      <c r="CB12" s="9" t="s">
        <v>4</v>
      </c>
      <c r="CK12" s="46"/>
      <c r="CO12" s="9" t="s">
        <v>4</v>
      </c>
      <c r="CP12" s="9" t="s">
        <v>4</v>
      </c>
      <c r="CS12" s="9" t="s">
        <v>4</v>
      </c>
      <c r="CT12" s="9" t="s">
        <v>4</v>
      </c>
      <c r="CW12" s="9" t="s">
        <v>4</v>
      </c>
      <c r="CX12" s="9" t="s">
        <v>4</v>
      </c>
      <c r="DE12" s="46"/>
      <c r="DF12" s="46"/>
      <c r="DG12" s="7"/>
      <c r="DH12" s="7"/>
      <c r="DI12" s="83" t="s">
        <v>611</v>
      </c>
      <c r="DJ12" s="35">
        <f t="shared" si="4"/>
        <v>10</v>
      </c>
      <c r="DK12" s="83">
        <v>8</v>
      </c>
      <c r="DL12" s="83" t="s">
        <v>919</v>
      </c>
    </row>
    <row r="13" spans="1:132" x14ac:dyDescent="0.25">
      <c r="A13" s="85" t="s">
        <v>612</v>
      </c>
      <c r="B13" s="83" t="s">
        <v>612</v>
      </c>
      <c r="C13" s="9"/>
      <c r="D13" s="9" t="s">
        <v>4</v>
      </c>
      <c r="E13" s="9" t="s">
        <v>4</v>
      </c>
      <c r="F13" s="9" t="s">
        <v>4</v>
      </c>
      <c r="G13" s="9" t="s">
        <v>4</v>
      </c>
      <c r="H13" s="9"/>
      <c r="I13" s="9"/>
      <c r="J13" s="9" t="s">
        <v>4</v>
      </c>
      <c r="K13" s="9"/>
      <c r="L13" s="9"/>
      <c r="M13" s="9"/>
      <c r="N13" s="9"/>
      <c r="O13" s="9"/>
      <c r="P13" s="9"/>
      <c r="Q13" s="9"/>
      <c r="R13" s="9"/>
      <c r="S13" s="9"/>
      <c r="T13" s="9"/>
      <c r="AO13" s="9" t="s">
        <v>4</v>
      </c>
      <c r="AP13" s="9" t="s">
        <v>4</v>
      </c>
      <c r="BG13" s="9" t="s">
        <v>4</v>
      </c>
      <c r="BM13" s="9"/>
      <c r="BP13" s="9" t="s">
        <v>4</v>
      </c>
      <c r="BQ13" s="2"/>
      <c r="CK13" s="46"/>
      <c r="DE13" s="46"/>
      <c r="DF13" s="46"/>
      <c r="DG13" s="7"/>
      <c r="DH13" s="7"/>
      <c r="DI13" s="83" t="s">
        <v>612</v>
      </c>
      <c r="DJ13" s="35">
        <f t="shared" si="4"/>
        <v>9</v>
      </c>
      <c r="DK13" s="83">
        <v>8</v>
      </c>
      <c r="DL13" s="83" t="s">
        <v>666</v>
      </c>
    </row>
    <row r="14" spans="1:132" x14ac:dyDescent="0.25">
      <c r="A14" s="85" t="s">
        <v>701</v>
      </c>
      <c r="B14" s="83" t="s">
        <v>613</v>
      </c>
      <c r="C14" s="9"/>
      <c r="D14" s="9" t="s">
        <v>4</v>
      </c>
      <c r="E14" s="9" t="s">
        <v>4</v>
      </c>
      <c r="F14" s="9" t="s">
        <v>4</v>
      </c>
      <c r="G14" s="9"/>
      <c r="H14" s="9"/>
      <c r="I14" s="9" t="s">
        <v>4</v>
      </c>
      <c r="J14" s="9"/>
      <c r="K14" s="9"/>
      <c r="L14" s="9" t="s">
        <v>4</v>
      </c>
      <c r="M14" s="9"/>
      <c r="N14" s="9"/>
      <c r="O14" s="9"/>
      <c r="P14" s="9"/>
      <c r="Q14" s="9"/>
      <c r="R14" s="9"/>
      <c r="S14" s="9"/>
      <c r="T14" s="9"/>
      <c r="AH14" s="9" t="s">
        <v>4</v>
      </c>
      <c r="AI14" s="9" t="s">
        <v>4</v>
      </c>
      <c r="AK14" s="9" t="s">
        <v>4</v>
      </c>
      <c r="AL14" s="9" t="s">
        <v>4</v>
      </c>
      <c r="AO14" s="9" t="s">
        <v>4</v>
      </c>
      <c r="BM14" s="9"/>
      <c r="BQ14"/>
      <c r="CK14" s="46"/>
      <c r="DE14" s="46"/>
      <c r="DF14" s="46"/>
      <c r="DG14" s="7"/>
      <c r="DH14" s="7"/>
      <c r="DI14" s="83" t="s">
        <v>613</v>
      </c>
      <c r="DJ14" s="35">
        <f t="shared" si="4"/>
        <v>10</v>
      </c>
      <c r="DK14" s="83">
        <v>16</v>
      </c>
      <c r="DL14" s="83" t="s">
        <v>667</v>
      </c>
    </row>
    <row r="15" spans="1:132" x14ac:dyDescent="0.25">
      <c r="A15" s="85" t="s">
        <v>702</v>
      </c>
      <c r="B15" s="83" t="s">
        <v>614</v>
      </c>
      <c r="C15" s="9" t="s">
        <v>4</v>
      </c>
      <c r="D15" s="9"/>
      <c r="E15" s="9"/>
      <c r="F15" s="9"/>
      <c r="G15" s="9"/>
      <c r="H15" s="9" t="s">
        <v>4</v>
      </c>
      <c r="I15" s="9" t="s">
        <v>4</v>
      </c>
      <c r="J15" s="9"/>
      <c r="K15" s="9"/>
      <c r="L15" s="9"/>
      <c r="M15" s="9"/>
      <c r="N15" s="9"/>
      <c r="O15" s="9"/>
      <c r="P15" s="9"/>
      <c r="Q15" s="9"/>
      <c r="R15" s="9"/>
      <c r="S15" s="9"/>
      <c r="T15" s="9"/>
      <c r="BM15" s="9"/>
      <c r="BQ15"/>
      <c r="CK15" s="46"/>
      <c r="DE15" s="46"/>
      <c r="DF15" s="46"/>
      <c r="DG15" s="7"/>
      <c r="DH15" s="7"/>
      <c r="DI15" s="83" t="s">
        <v>614</v>
      </c>
      <c r="DJ15" s="35">
        <f t="shared" si="4"/>
        <v>3</v>
      </c>
      <c r="DK15" s="83">
        <v>8</v>
      </c>
      <c r="DL15" s="83" t="s">
        <v>668</v>
      </c>
    </row>
    <row r="16" spans="1:132" x14ac:dyDescent="0.25">
      <c r="A16" s="85" t="s">
        <v>705</v>
      </c>
      <c r="B16" s="83" t="s">
        <v>618</v>
      </c>
      <c r="C16" s="9"/>
      <c r="D16" s="9"/>
      <c r="E16" s="9"/>
      <c r="F16" s="9"/>
      <c r="G16" s="9"/>
      <c r="H16" s="9"/>
      <c r="I16" s="9"/>
      <c r="J16" s="9"/>
      <c r="K16" s="9"/>
      <c r="L16" s="9"/>
      <c r="M16" s="9"/>
      <c r="N16" s="9"/>
      <c r="O16" s="9"/>
      <c r="P16" s="9"/>
      <c r="Q16" s="9"/>
      <c r="R16" s="9"/>
      <c r="S16" s="9"/>
      <c r="T16" s="9"/>
      <c r="AY16" s="9" t="s">
        <v>4</v>
      </c>
      <c r="BM16" s="9"/>
      <c r="BQ16" s="2"/>
      <c r="CK16" s="46"/>
      <c r="DE16" s="46"/>
      <c r="DF16" s="46"/>
      <c r="DG16" s="7"/>
      <c r="DH16" s="7"/>
      <c r="DI16" s="83" t="s">
        <v>618</v>
      </c>
      <c r="DJ16" s="35">
        <f>COUNTA(C16:DH16)</f>
        <v>1</v>
      </c>
      <c r="DK16" s="83">
        <v>8</v>
      </c>
      <c r="DL16" s="83" t="s">
        <v>671</v>
      </c>
    </row>
    <row r="17" spans="1:116" x14ac:dyDescent="0.25">
      <c r="A17" s="85" t="s">
        <v>615</v>
      </c>
      <c r="B17" s="83" t="s">
        <v>615</v>
      </c>
      <c r="C17" s="9"/>
      <c r="D17" s="9"/>
      <c r="E17" s="9"/>
      <c r="F17" s="9"/>
      <c r="G17" s="9"/>
      <c r="H17" s="9"/>
      <c r="I17" s="9"/>
      <c r="J17" s="9"/>
      <c r="K17" s="9"/>
      <c r="L17" s="9"/>
      <c r="M17" s="9"/>
      <c r="N17" s="9"/>
      <c r="O17" s="9"/>
      <c r="P17" s="9"/>
      <c r="Q17" s="9"/>
      <c r="R17" s="9"/>
      <c r="S17" s="82"/>
      <c r="T17" s="82"/>
      <c r="U17" s="82"/>
      <c r="V17" s="82"/>
      <c r="W17" s="82"/>
      <c r="X17" s="82"/>
      <c r="Y17" s="82"/>
      <c r="Z17" s="82"/>
      <c r="BM17" s="9"/>
      <c r="BQ17"/>
      <c r="CK17" s="46"/>
      <c r="CZ17" s="9" t="s">
        <v>4</v>
      </c>
      <c r="DE17" s="46"/>
      <c r="DF17" s="46"/>
      <c r="DG17" s="7"/>
      <c r="DH17" s="7"/>
      <c r="DI17" s="83" t="s">
        <v>615</v>
      </c>
      <c r="DJ17" s="35">
        <f t="shared" si="4"/>
        <v>1</v>
      </c>
      <c r="DK17" s="83">
        <v>8</v>
      </c>
      <c r="DL17" s="83" t="s">
        <v>669</v>
      </c>
    </row>
    <row r="18" spans="1:116" x14ac:dyDescent="0.25">
      <c r="A18" s="85" t="s">
        <v>703</v>
      </c>
      <c r="B18" s="83" t="s">
        <v>616</v>
      </c>
      <c r="C18" s="9"/>
      <c r="D18" s="9"/>
      <c r="E18" s="9"/>
      <c r="F18" s="9"/>
      <c r="G18" s="9"/>
      <c r="H18" s="9"/>
      <c r="I18" s="9"/>
      <c r="J18" s="9"/>
      <c r="K18" s="9"/>
      <c r="L18" s="9"/>
      <c r="M18" s="9"/>
      <c r="N18" s="9"/>
      <c r="O18" s="9"/>
      <c r="P18" s="9"/>
      <c r="Q18" s="9"/>
      <c r="R18" s="9"/>
      <c r="S18" s="9"/>
      <c r="T18" s="9"/>
      <c r="AH18" s="9" t="s">
        <v>4</v>
      </c>
      <c r="AI18" s="9" t="s">
        <v>4</v>
      </c>
      <c r="BM18" s="9"/>
      <c r="BQ18" s="2"/>
      <c r="CK18" s="46"/>
      <c r="DE18" s="46"/>
      <c r="DF18" s="46"/>
      <c r="DG18" s="7"/>
      <c r="DH18" s="7"/>
      <c r="DI18" s="83" t="s">
        <v>616</v>
      </c>
      <c r="DJ18" s="35">
        <f t="shared" si="4"/>
        <v>2</v>
      </c>
      <c r="DK18" s="83">
        <v>16</v>
      </c>
      <c r="DL18" s="83" t="s">
        <v>670</v>
      </c>
    </row>
    <row r="19" spans="1:116" x14ac:dyDescent="0.25">
      <c r="A19" s="85" t="s">
        <v>704</v>
      </c>
      <c r="B19" s="83" t="s">
        <v>617</v>
      </c>
      <c r="C19" s="9"/>
      <c r="D19" s="9"/>
      <c r="E19" s="9"/>
      <c r="F19" s="9"/>
      <c r="G19" s="9"/>
      <c r="H19" s="9"/>
      <c r="I19" s="9"/>
      <c r="J19" s="9"/>
      <c r="K19" s="9"/>
      <c r="L19" s="9"/>
      <c r="M19" s="9"/>
      <c r="N19" s="9"/>
      <c r="O19" s="9"/>
      <c r="P19" s="9"/>
      <c r="Q19" s="9"/>
      <c r="R19" s="9"/>
      <c r="S19" s="9"/>
      <c r="T19" s="9"/>
      <c r="AK19" s="9" t="s">
        <v>4</v>
      </c>
      <c r="AL19" s="9" t="s">
        <v>4</v>
      </c>
      <c r="AM19" s="9" t="s">
        <v>4</v>
      </c>
      <c r="BM19" s="9"/>
      <c r="BQ19" s="2"/>
      <c r="CK19" s="46"/>
      <c r="DE19" s="46"/>
      <c r="DF19" s="46"/>
      <c r="DG19" s="7"/>
      <c r="DH19" s="7"/>
      <c r="DI19" s="83" t="s">
        <v>617</v>
      </c>
      <c r="DJ19" s="35">
        <f t="shared" si="4"/>
        <v>3</v>
      </c>
      <c r="DK19" s="83">
        <v>8</v>
      </c>
      <c r="DL19" s="83" t="s">
        <v>911</v>
      </c>
    </row>
    <row r="20" spans="1:116" x14ac:dyDescent="0.25">
      <c r="A20" s="85" t="s">
        <v>619</v>
      </c>
      <c r="B20" s="89" t="s">
        <v>619</v>
      </c>
      <c r="C20" s="9" t="s">
        <v>4</v>
      </c>
      <c r="D20" s="9" t="s">
        <v>4</v>
      </c>
      <c r="E20" s="9" t="s">
        <v>4</v>
      </c>
      <c r="F20" s="9" t="s">
        <v>4</v>
      </c>
      <c r="G20" s="9" t="s">
        <v>4</v>
      </c>
      <c r="H20" s="9" t="s">
        <v>4</v>
      </c>
      <c r="I20" s="9" t="s">
        <v>4</v>
      </c>
      <c r="J20" s="9" t="s">
        <v>4</v>
      </c>
      <c r="K20" s="9" t="s">
        <v>4</v>
      </c>
      <c r="L20" s="9" t="s">
        <v>4</v>
      </c>
      <c r="M20" s="9"/>
      <c r="N20" s="9" t="s">
        <v>4</v>
      </c>
      <c r="O20" s="9" t="s">
        <v>4</v>
      </c>
      <c r="P20" s="9" t="s">
        <v>4</v>
      </c>
      <c r="Q20" s="9" t="s">
        <v>4</v>
      </c>
      <c r="R20" s="9" t="s">
        <v>4</v>
      </c>
      <c r="S20" s="9" t="s">
        <v>4</v>
      </c>
      <c r="T20" s="9"/>
      <c r="U20" s="9" t="s">
        <v>4</v>
      </c>
      <c r="V20" s="9" t="s">
        <v>4</v>
      </c>
      <c r="W20" s="9" t="s">
        <v>4</v>
      </c>
      <c r="X20" s="9" t="s">
        <v>4</v>
      </c>
      <c r="Y20" s="9" t="s">
        <v>4</v>
      </c>
      <c r="Z20" s="9" t="s">
        <v>4</v>
      </c>
      <c r="AA20" s="9" t="s">
        <v>4</v>
      </c>
      <c r="AB20" s="9" t="s">
        <v>4</v>
      </c>
      <c r="AC20" s="9" t="s">
        <v>4</v>
      </c>
      <c r="AE20" s="9" t="s">
        <v>4</v>
      </c>
      <c r="AF20" s="9" t="s">
        <v>4</v>
      </c>
      <c r="AG20" s="9" t="s">
        <v>4</v>
      </c>
      <c r="AH20" s="9" t="s">
        <v>4</v>
      </c>
      <c r="AI20" s="9" t="s">
        <v>4</v>
      </c>
      <c r="AJ20" s="9" t="s">
        <v>4</v>
      </c>
      <c r="AK20" s="9" t="s">
        <v>4</v>
      </c>
      <c r="AL20" s="9" t="s">
        <v>4</v>
      </c>
      <c r="AM20" s="9" t="s">
        <v>4</v>
      </c>
      <c r="AN20" s="9" t="s">
        <v>4</v>
      </c>
      <c r="AO20" s="9" t="s">
        <v>4</v>
      </c>
      <c r="AP20" s="9" t="s">
        <v>4</v>
      </c>
      <c r="AQ20" s="9" t="s">
        <v>4</v>
      </c>
      <c r="AR20" s="9" t="s">
        <v>4</v>
      </c>
      <c r="AS20" s="9" t="s">
        <v>4</v>
      </c>
      <c r="AT20" s="9" t="s">
        <v>4</v>
      </c>
      <c r="AU20" s="9" t="s">
        <v>4</v>
      </c>
      <c r="AV20" s="9" t="s">
        <v>4</v>
      </c>
      <c r="AW20" s="9" t="s">
        <v>4</v>
      </c>
      <c r="AX20" s="9" t="s">
        <v>4</v>
      </c>
      <c r="AY20" s="9" t="s">
        <v>4</v>
      </c>
      <c r="AZ20" s="9" t="s">
        <v>4</v>
      </c>
      <c r="BE20" s="9" t="s">
        <v>4</v>
      </c>
      <c r="BH20" s="9" t="s">
        <v>4</v>
      </c>
      <c r="BI20" s="9" t="s">
        <v>4</v>
      </c>
      <c r="BJ20" s="9" t="s">
        <v>4</v>
      </c>
      <c r="BK20" s="9" t="s">
        <v>4</v>
      </c>
      <c r="BL20" s="9" t="s">
        <v>4</v>
      </c>
      <c r="BM20" s="9" t="s">
        <v>4</v>
      </c>
      <c r="BN20" s="9" t="s">
        <v>4</v>
      </c>
      <c r="BO20" s="9" t="s">
        <v>4</v>
      </c>
      <c r="BP20" s="9" t="s">
        <v>4</v>
      </c>
      <c r="BQ20" s="9" t="s">
        <v>4</v>
      </c>
      <c r="BS20" s="9" t="s">
        <v>4</v>
      </c>
      <c r="BV20" s="9" t="s">
        <v>4</v>
      </c>
      <c r="BW20" s="9" t="s">
        <v>4</v>
      </c>
      <c r="BZ20" s="9" t="s">
        <v>4</v>
      </c>
      <c r="CA20" s="9" t="s">
        <v>4</v>
      </c>
      <c r="CC20" s="9" t="s">
        <v>4</v>
      </c>
      <c r="CD20" s="9" t="s">
        <v>4</v>
      </c>
      <c r="CG20" s="9" t="s">
        <v>4</v>
      </c>
      <c r="CH20" s="9" t="s">
        <v>4</v>
      </c>
      <c r="CI20" s="9" t="s">
        <v>4</v>
      </c>
      <c r="CJ20" s="9" t="s">
        <v>4</v>
      </c>
      <c r="CK20" s="46"/>
      <c r="CL20" s="9" t="s">
        <v>4</v>
      </c>
      <c r="CM20" s="9" t="s">
        <v>4</v>
      </c>
      <c r="CN20" s="9" t="s">
        <v>4</v>
      </c>
      <c r="CQ20" s="9" t="s">
        <v>4</v>
      </c>
      <c r="CR20" s="9" t="s">
        <v>4</v>
      </c>
      <c r="CU20" s="9" t="s">
        <v>4</v>
      </c>
      <c r="CV20" s="9" t="s">
        <v>4</v>
      </c>
      <c r="CY20" s="9" t="s">
        <v>4</v>
      </c>
      <c r="CZ20" s="9" t="s">
        <v>4</v>
      </c>
      <c r="DA20" s="9" t="s">
        <v>4</v>
      </c>
      <c r="DB20" s="9" t="s">
        <v>4</v>
      </c>
      <c r="DC20" s="9" t="s">
        <v>4</v>
      </c>
      <c r="DD20" s="9" t="s">
        <v>4</v>
      </c>
      <c r="DE20" s="9" t="s">
        <v>4</v>
      </c>
      <c r="DF20" s="9" t="s">
        <v>4</v>
      </c>
      <c r="DG20" s="9" t="s">
        <v>4</v>
      </c>
      <c r="DH20" s="7"/>
      <c r="DI20" s="83" t="s">
        <v>619</v>
      </c>
      <c r="DJ20" s="88">
        <f t="shared" si="4"/>
        <v>85</v>
      </c>
      <c r="DK20" s="83">
        <v>8</v>
      </c>
      <c r="DL20" s="83" t="s">
        <v>672</v>
      </c>
    </row>
    <row r="21" spans="1:116" x14ac:dyDescent="0.25">
      <c r="A21" s="85" t="s">
        <v>620</v>
      </c>
      <c r="B21" s="89" t="s">
        <v>620</v>
      </c>
      <c r="C21" s="9" t="s">
        <v>4</v>
      </c>
      <c r="D21" s="9" t="s">
        <v>4</v>
      </c>
      <c r="E21" s="9" t="s">
        <v>4</v>
      </c>
      <c r="F21" s="9" t="s">
        <v>4</v>
      </c>
      <c r="G21" s="9" t="s">
        <v>4</v>
      </c>
      <c r="H21" s="9" t="s">
        <v>4</v>
      </c>
      <c r="I21" s="9" t="s">
        <v>4</v>
      </c>
      <c r="J21" s="9" t="s">
        <v>4</v>
      </c>
      <c r="K21" s="9" t="s">
        <v>4</v>
      </c>
      <c r="L21" s="9" t="s">
        <v>4</v>
      </c>
      <c r="M21" s="9"/>
      <c r="N21" s="9" t="s">
        <v>4</v>
      </c>
      <c r="O21" s="9" t="s">
        <v>4</v>
      </c>
      <c r="P21" s="9" t="s">
        <v>4</v>
      </c>
      <c r="Q21" s="9" t="s">
        <v>4</v>
      </c>
      <c r="R21" s="9" t="s">
        <v>4</v>
      </c>
      <c r="S21" s="9" t="s">
        <v>4</v>
      </c>
      <c r="T21" s="9"/>
      <c r="U21" s="9" t="s">
        <v>4</v>
      </c>
      <c r="V21" s="9" t="s">
        <v>4</v>
      </c>
      <c r="W21" s="9" t="s">
        <v>4</v>
      </c>
      <c r="X21" s="9" t="s">
        <v>4</v>
      </c>
      <c r="Y21" s="9" t="s">
        <v>4</v>
      </c>
      <c r="Z21" s="9" t="s">
        <v>4</v>
      </c>
      <c r="AA21" s="9" t="s">
        <v>4</v>
      </c>
      <c r="AB21" s="9" t="s">
        <v>4</v>
      </c>
      <c r="AC21" s="9" t="s">
        <v>4</v>
      </c>
      <c r="AE21" s="9" t="s">
        <v>4</v>
      </c>
      <c r="AF21" s="9" t="s">
        <v>4</v>
      </c>
      <c r="AG21" s="9" t="s">
        <v>4</v>
      </c>
      <c r="AH21" s="9" t="s">
        <v>4</v>
      </c>
      <c r="AI21" s="9" t="s">
        <v>4</v>
      </c>
      <c r="AJ21" s="9" t="s">
        <v>4</v>
      </c>
      <c r="AK21" s="9" t="s">
        <v>4</v>
      </c>
      <c r="AL21" s="9" t="s">
        <v>4</v>
      </c>
      <c r="AM21" s="9" t="s">
        <v>4</v>
      </c>
      <c r="AN21" s="9" t="s">
        <v>4</v>
      </c>
      <c r="AO21" s="9" t="s">
        <v>4</v>
      </c>
      <c r="AP21" s="9" t="s">
        <v>4</v>
      </c>
      <c r="AQ21" s="9" t="s">
        <v>4</v>
      </c>
      <c r="AR21" s="9" t="s">
        <v>4</v>
      </c>
      <c r="AS21" s="9" t="s">
        <v>4</v>
      </c>
      <c r="AT21" s="9" t="s">
        <v>4</v>
      </c>
      <c r="AU21" s="9" t="s">
        <v>4</v>
      </c>
      <c r="AV21" s="9" t="s">
        <v>4</v>
      </c>
      <c r="AW21" s="9" t="s">
        <v>4</v>
      </c>
      <c r="AX21" s="9" t="s">
        <v>4</v>
      </c>
      <c r="AY21" s="9" t="s">
        <v>4</v>
      </c>
      <c r="AZ21" s="9" t="s">
        <v>4</v>
      </c>
      <c r="BE21" s="9" t="s">
        <v>4</v>
      </c>
      <c r="BH21" s="9" t="s">
        <v>4</v>
      </c>
      <c r="BI21" s="9" t="s">
        <v>4</v>
      </c>
      <c r="BJ21" s="9" t="s">
        <v>4</v>
      </c>
      <c r="BK21" s="9" t="s">
        <v>4</v>
      </c>
      <c r="BL21" s="9" t="s">
        <v>4</v>
      </c>
      <c r="BM21" s="9" t="s">
        <v>4</v>
      </c>
      <c r="BN21" s="9" t="s">
        <v>4</v>
      </c>
      <c r="BO21" s="9" t="s">
        <v>4</v>
      </c>
      <c r="BP21" s="9" t="s">
        <v>4</v>
      </c>
      <c r="BQ21" s="9" t="s">
        <v>4</v>
      </c>
      <c r="BS21" s="9" t="s">
        <v>4</v>
      </c>
      <c r="BV21" s="9" t="s">
        <v>4</v>
      </c>
      <c r="BW21" s="9" t="s">
        <v>4</v>
      </c>
      <c r="BZ21" s="9" t="s">
        <v>4</v>
      </c>
      <c r="CA21" s="9" t="s">
        <v>4</v>
      </c>
      <c r="CC21" s="9" t="s">
        <v>4</v>
      </c>
      <c r="CD21" s="9" t="s">
        <v>4</v>
      </c>
      <c r="CG21" s="9" t="s">
        <v>4</v>
      </c>
      <c r="CH21" s="9" t="s">
        <v>4</v>
      </c>
      <c r="CI21" s="9" t="s">
        <v>4</v>
      </c>
      <c r="CJ21" s="9" t="s">
        <v>4</v>
      </c>
      <c r="CK21" s="46"/>
      <c r="CL21" s="9" t="s">
        <v>4</v>
      </c>
      <c r="CM21" s="9" t="s">
        <v>4</v>
      </c>
      <c r="CN21" s="9" t="s">
        <v>4</v>
      </c>
      <c r="CQ21" s="9" t="s">
        <v>4</v>
      </c>
      <c r="CR21" s="9" t="s">
        <v>4</v>
      </c>
      <c r="CU21" s="9" t="s">
        <v>4</v>
      </c>
      <c r="CV21" s="9" t="s">
        <v>4</v>
      </c>
      <c r="CY21" s="9" t="s">
        <v>4</v>
      </c>
      <c r="CZ21" s="9" t="s">
        <v>4</v>
      </c>
      <c r="DA21" s="9" t="s">
        <v>4</v>
      </c>
      <c r="DB21" s="9" t="s">
        <v>4</v>
      </c>
      <c r="DC21" s="9" t="s">
        <v>4</v>
      </c>
      <c r="DD21" s="9" t="s">
        <v>4</v>
      </c>
      <c r="DE21" s="9" t="s">
        <v>4</v>
      </c>
      <c r="DF21" s="9" t="s">
        <v>4</v>
      </c>
      <c r="DG21" s="9" t="s">
        <v>4</v>
      </c>
      <c r="DH21" s="46"/>
      <c r="DI21" s="83" t="s">
        <v>620</v>
      </c>
      <c r="DJ21" s="88">
        <f t="shared" si="4"/>
        <v>85</v>
      </c>
      <c r="DK21" s="83">
        <v>8</v>
      </c>
      <c r="DL21" s="83" t="s">
        <v>673</v>
      </c>
    </row>
    <row r="22" spans="1:116" x14ac:dyDescent="0.25">
      <c r="A22" s="85" t="s">
        <v>621</v>
      </c>
      <c r="B22" s="83" t="s">
        <v>621</v>
      </c>
      <c r="AP22" s="9" t="s">
        <v>4</v>
      </c>
      <c r="BC22" s="9" t="s">
        <v>4</v>
      </c>
      <c r="BD22" s="9" t="s">
        <v>4</v>
      </c>
      <c r="BE22" s="9" t="s">
        <v>4</v>
      </c>
      <c r="BM22" s="9"/>
      <c r="BQ22"/>
      <c r="CE22" s="9" t="s">
        <v>4</v>
      </c>
      <c r="CF22" s="9" t="s">
        <v>4</v>
      </c>
      <c r="CK22" s="46"/>
      <c r="DE22" s="46"/>
      <c r="DF22" s="46"/>
      <c r="DG22" s="7"/>
      <c r="DH22" s="7"/>
      <c r="DI22" s="83" t="s">
        <v>621</v>
      </c>
      <c r="DJ22" s="35">
        <f t="shared" si="4"/>
        <v>6</v>
      </c>
      <c r="DK22" s="83">
        <v>8</v>
      </c>
      <c r="DL22" s="83" t="s">
        <v>674</v>
      </c>
    </row>
    <row r="23" spans="1:116" x14ac:dyDescent="0.25">
      <c r="A23" s="85" t="s">
        <v>622</v>
      </c>
      <c r="B23" s="83" t="s">
        <v>622</v>
      </c>
      <c r="C23" s="9"/>
      <c r="D23" s="9" t="s">
        <v>4</v>
      </c>
      <c r="E23" s="9"/>
      <c r="F23" s="9"/>
      <c r="G23" s="9"/>
      <c r="H23" s="9"/>
      <c r="I23" s="9"/>
      <c r="J23" s="9"/>
      <c r="K23" s="9"/>
      <c r="L23" s="9" t="s">
        <v>4</v>
      </c>
      <c r="M23" s="9" t="s">
        <v>4</v>
      </c>
      <c r="N23" s="9" t="s">
        <v>4</v>
      </c>
      <c r="O23" s="9" t="s">
        <v>4</v>
      </c>
      <c r="P23" s="9" t="s">
        <v>4</v>
      </c>
      <c r="Q23" s="9" t="s">
        <v>4</v>
      </c>
      <c r="R23" s="9" t="s">
        <v>4</v>
      </c>
      <c r="S23" s="9" t="s">
        <v>4</v>
      </c>
      <c r="T23" s="9"/>
      <c r="U23" s="9" t="s">
        <v>4</v>
      </c>
      <c r="X23" s="9" t="s">
        <v>4</v>
      </c>
      <c r="Y23" s="9" t="s">
        <v>4</v>
      </c>
      <c r="Z23" s="9" t="s">
        <v>4</v>
      </c>
      <c r="AA23" s="9" t="s">
        <v>4</v>
      </c>
      <c r="AB23" s="9" t="s">
        <v>4</v>
      </c>
      <c r="AC23" s="9" t="s">
        <v>4</v>
      </c>
      <c r="AG23" s="9" t="s">
        <v>4</v>
      </c>
      <c r="AH23" s="9" t="s">
        <v>4</v>
      </c>
      <c r="AI23" s="9" t="s">
        <v>4</v>
      </c>
      <c r="AK23" s="9" t="s">
        <v>4</v>
      </c>
      <c r="AL23" s="9" t="s">
        <v>4</v>
      </c>
      <c r="AM23" s="9" t="s">
        <v>4</v>
      </c>
      <c r="AQ23" s="9" t="s">
        <v>4</v>
      </c>
      <c r="AR23" s="9" t="s">
        <v>4</v>
      </c>
      <c r="AS23" s="9" t="s">
        <v>4</v>
      </c>
      <c r="AT23" s="9" t="s">
        <v>4</v>
      </c>
      <c r="AU23" s="9" t="s">
        <v>4</v>
      </c>
      <c r="AW23" s="9" t="s">
        <v>4</v>
      </c>
      <c r="AX23" s="9" t="s">
        <v>4</v>
      </c>
      <c r="AY23" s="9" t="s">
        <v>4</v>
      </c>
      <c r="AZ23" s="9" t="s">
        <v>4</v>
      </c>
      <c r="BA23" s="9" t="s">
        <v>4</v>
      </c>
      <c r="BC23" s="9" t="s">
        <v>4</v>
      </c>
      <c r="BD23" s="9" t="s">
        <v>4</v>
      </c>
      <c r="BE23" s="9" t="s">
        <v>4</v>
      </c>
      <c r="BG23" s="9" t="s">
        <v>4</v>
      </c>
      <c r="BH23" s="9" t="s">
        <v>4</v>
      </c>
      <c r="BI23" s="9" t="s">
        <v>4</v>
      </c>
      <c r="BK23" s="9" t="s">
        <v>4</v>
      </c>
      <c r="BL23" s="9" t="s">
        <v>4</v>
      </c>
      <c r="BM23" s="9" t="s">
        <v>4</v>
      </c>
      <c r="BP23" s="9" t="s">
        <v>4</v>
      </c>
      <c r="BQ23" s="2"/>
      <c r="BS23" s="9" t="s">
        <v>4</v>
      </c>
      <c r="BV23" s="9" t="s">
        <v>4</v>
      </c>
      <c r="BZ23" s="9" t="s">
        <v>4</v>
      </c>
      <c r="CA23" s="9" t="s">
        <v>4</v>
      </c>
      <c r="CC23" s="9" t="s">
        <v>4</v>
      </c>
      <c r="CI23" s="9" t="s">
        <v>4</v>
      </c>
      <c r="CK23" s="46" t="s">
        <v>4</v>
      </c>
      <c r="CL23" s="9" t="s">
        <v>4</v>
      </c>
      <c r="CM23" s="9" t="s">
        <v>4</v>
      </c>
      <c r="CN23" s="9" t="s">
        <v>4</v>
      </c>
      <c r="CQ23" s="9" t="s">
        <v>4</v>
      </c>
      <c r="CR23" s="9" t="s">
        <v>4</v>
      </c>
      <c r="CU23" s="9" t="s">
        <v>4</v>
      </c>
      <c r="CV23" s="9" t="s">
        <v>4</v>
      </c>
      <c r="CY23" s="9" t="s">
        <v>4</v>
      </c>
      <c r="DA23" s="9" t="s">
        <v>4</v>
      </c>
      <c r="DD23" s="9" t="s">
        <v>4</v>
      </c>
      <c r="DE23" s="46"/>
      <c r="DF23" s="46"/>
      <c r="DG23" s="7"/>
      <c r="DH23" s="7"/>
      <c r="DI23" s="83" t="s">
        <v>622</v>
      </c>
      <c r="DJ23" s="35">
        <f t="shared" si="4"/>
        <v>59</v>
      </c>
      <c r="DK23" s="83">
        <v>4</v>
      </c>
      <c r="DL23" s="83" t="s">
        <v>675</v>
      </c>
    </row>
    <row r="24" spans="1:116" x14ac:dyDescent="0.25">
      <c r="A24" s="85" t="s">
        <v>623</v>
      </c>
      <c r="B24" s="83" t="s">
        <v>623</v>
      </c>
      <c r="C24" s="9"/>
      <c r="D24" s="9"/>
      <c r="E24" s="9"/>
      <c r="F24" s="9"/>
      <c r="G24" s="9"/>
      <c r="H24" s="9"/>
      <c r="I24" s="9"/>
      <c r="J24" s="9"/>
      <c r="K24" s="9"/>
      <c r="L24" s="9"/>
      <c r="M24" s="9"/>
      <c r="N24" s="9"/>
      <c r="O24" s="9"/>
      <c r="P24" s="9"/>
      <c r="Q24" s="9"/>
      <c r="R24" s="9"/>
      <c r="S24" s="9"/>
      <c r="T24" s="9"/>
      <c r="BM24" s="9"/>
      <c r="BQ24"/>
      <c r="CK24" s="46"/>
      <c r="DC24" s="9" t="s">
        <v>4</v>
      </c>
      <c r="DD24" s="9" t="s">
        <v>4</v>
      </c>
      <c r="DE24" s="46"/>
      <c r="DF24" s="46"/>
      <c r="DG24" s="7"/>
      <c r="DH24" s="7"/>
      <c r="DI24" s="83" t="s">
        <v>623</v>
      </c>
      <c r="DJ24" s="35">
        <f t="shared" si="4"/>
        <v>2</v>
      </c>
      <c r="DK24" s="83">
        <v>8</v>
      </c>
      <c r="DL24" s="83" t="s">
        <v>912</v>
      </c>
    </row>
    <row r="25" spans="1:116" x14ac:dyDescent="0.25">
      <c r="A25" s="85" t="s">
        <v>706</v>
      </c>
      <c r="B25" s="83" t="s">
        <v>624</v>
      </c>
      <c r="C25" s="9" t="s">
        <v>4</v>
      </c>
      <c r="D25" s="9"/>
      <c r="E25" s="9"/>
      <c r="F25" s="9"/>
      <c r="G25" s="9"/>
      <c r="H25" s="9"/>
      <c r="I25" s="9"/>
      <c r="J25" s="9"/>
      <c r="K25" s="9"/>
      <c r="L25" s="9"/>
      <c r="M25" s="9"/>
      <c r="N25" s="9"/>
      <c r="O25" s="9"/>
      <c r="P25" s="9"/>
      <c r="Q25" s="9"/>
      <c r="R25" s="9"/>
      <c r="S25" s="9"/>
      <c r="T25" s="9"/>
      <c r="AJ25" s="9" t="s">
        <v>4</v>
      </c>
      <c r="BJ25" s="9" t="s">
        <v>4</v>
      </c>
      <c r="BM25" s="9"/>
      <c r="BQ25"/>
      <c r="CK25" s="46"/>
      <c r="DE25" s="46"/>
      <c r="DF25" s="46"/>
      <c r="DG25" s="7"/>
      <c r="DH25" s="7"/>
      <c r="DI25" s="83" t="s">
        <v>624</v>
      </c>
      <c r="DJ25" s="35">
        <f t="shared" si="4"/>
        <v>3</v>
      </c>
      <c r="DK25" s="83">
        <v>8</v>
      </c>
      <c r="DL25" s="83" t="s">
        <v>676</v>
      </c>
    </row>
    <row r="26" spans="1:116" x14ac:dyDescent="0.25">
      <c r="A26" s="85" t="s">
        <v>707</v>
      </c>
      <c r="B26" s="83" t="s">
        <v>625</v>
      </c>
      <c r="C26" s="9"/>
      <c r="D26" s="9"/>
      <c r="E26" s="9"/>
      <c r="F26" s="9"/>
      <c r="G26" s="9"/>
      <c r="H26" s="9"/>
      <c r="I26" s="9"/>
      <c r="J26" s="9"/>
      <c r="K26" s="9"/>
      <c r="L26" s="9"/>
      <c r="M26" s="9"/>
      <c r="N26" s="9"/>
      <c r="O26" s="9"/>
      <c r="P26" s="9"/>
      <c r="Q26" s="9"/>
      <c r="R26" s="9"/>
      <c r="S26" s="9"/>
      <c r="T26" s="9"/>
      <c r="BB26" s="9" t="s">
        <v>4</v>
      </c>
      <c r="BM26" s="9"/>
      <c r="CK26" s="46"/>
      <c r="DE26" s="46"/>
      <c r="DF26" s="46"/>
      <c r="DG26" s="7"/>
      <c r="DH26" s="7"/>
      <c r="DI26" s="83" t="s">
        <v>625</v>
      </c>
      <c r="DJ26" s="35">
        <f t="shared" si="4"/>
        <v>1</v>
      </c>
      <c r="DK26" s="83">
        <v>4</v>
      </c>
      <c r="DL26" s="83" t="s">
        <v>920</v>
      </c>
    </row>
    <row r="27" spans="1:116" x14ac:dyDescent="0.25">
      <c r="A27" s="85" t="s">
        <v>627</v>
      </c>
      <c r="B27" s="83" t="s">
        <v>626</v>
      </c>
      <c r="C27" s="9"/>
      <c r="D27" s="9"/>
      <c r="E27" s="9"/>
      <c r="F27" s="9"/>
      <c r="G27" s="9"/>
      <c r="H27" s="9"/>
      <c r="I27" s="9"/>
      <c r="J27" s="9"/>
      <c r="K27" s="9"/>
      <c r="L27" s="9"/>
      <c r="M27" s="9"/>
      <c r="N27" s="9"/>
      <c r="O27" s="9"/>
      <c r="P27" s="9"/>
      <c r="Q27" s="9"/>
      <c r="R27" s="9"/>
      <c r="S27" s="9"/>
      <c r="T27" s="9"/>
      <c r="BM27" s="9"/>
      <c r="BO27" s="9" t="s">
        <v>4</v>
      </c>
      <c r="BQ27" s="2"/>
      <c r="CG27" s="9" t="s">
        <v>4</v>
      </c>
      <c r="CK27" s="46"/>
      <c r="DE27" s="46"/>
      <c r="DF27" s="46"/>
      <c r="DG27" s="7"/>
      <c r="DH27" s="7"/>
      <c r="DI27" s="83" t="s">
        <v>626</v>
      </c>
      <c r="DJ27" s="35">
        <f t="shared" si="4"/>
        <v>2</v>
      </c>
      <c r="DK27" s="83">
        <v>8</v>
      </c>
      <c r="DL27" s="83" t="s">
        <v>929</v>
      </c>
    </row>
    <row r="28" spans="1:116" x14ac:dyDescent="0.25">
      <c r="A28" s="85" t="s">
        <v>628</v>
      </c>
      <c r="B28" s="83" t="s">
        <v>627</v>
      </c>
      <c r="C28" s="9"/>
      <c r="D28" s="9"/>
      <c r="E28" s="9"/>
      <c r="F28" s="9"/>
      <c r="G28" s="9"/>
      <c r="H28" s="9"/>
      <c r="I28" s="9"/>
      <c r="J28" s="9"/>
      <c r="K28" s="9"/>
      <c r="L28" s="9"/>
      <c r="M28" s="9"/>
      <c r="N28" s="9"/>
      <c r="O28" s="9" t="s">
        <v>4</v>
      </c>
      <c r="P28" s="9"/>
      <c r="Q28" s="9"/>
      <c r="R28" s="9"/>
      <c r="S28" s="9"/>
      <c r="T28" s="9"/>
      <c r="AB28" s="9" t="s">
        <v>4</v>
      </c>
      <c r="AC28" s="9" t="s">
        <v>4</v>
      </c>
      <c r="BM28" s="9"/>
      <c r="BN28" s="9" t="s">
        <v>4</v>
      </c>
      <c r="BO28" s="9" t="s">
        <v>4</v>
      </c>
      <c r="BP28" s="9" t="s">
        <v>4</v>
      </c>
      <c r="BQ28" s="9" t="s">
        <v>4</v>
      </c>
      <c r="BS28" s="9" t="s">
        <v>4</v>
      </c>
      <c r="BW28" s="9" t="s">
        <v>4</v>
      </c>
      <c r="CG28" s="9" t="s">
        <v>4</v>
      </c>
      <c r="CH28" s="9" t="s">
        <v>4</v>
      </c>
      <c r="CI28" s="9" t="s">
        <v>4</v>
      </c>
      <c r="CJ28" s="9" t="s">
        <v>4</v>
      </c>
      <c r="CK28" s="46"/>
      <c r="CL28" s="9" t="s">
        <v>4</v>
      </c>
      <c r="CN28" s="9" t="s">
        <v>4</v>
      </c>
      <c r="CR28" s="9" t="s">
        <v>4</v>
      </c>
      <c r="DE28" s="46"/>
      <c r="DF28" s="46"/>
      <c r="DG28" s="7"/>
      <c r="DH28" s="7"/>
      <c r="DI28" s="83" t="s">
        <v>627</v>
      </c>
      <c r="DJ28" s="35">
        <f t="shared" si="4"/>
        <v>16</v>
      </c>
      <c r="DK28" s="83">
        <v>8</v>
      </c>
      <c r="DL28" s="83" t="s">
        <v>677</v>
      </c>
    </row>
    <row r="29" spans="1:116" x14ac:dyDescent="0.25">
      <c r="A29" s="85" t="s">
        <v>629</v>
      </c>
      <c r="B29" s="83" t="s">
        <v>628</v>
      </c>
      <c r="C29" s="9" t="s">
        <v>4</v>
      </c>
      <c r="H29" s="9" t="s">
        <v>4</v>
      </c>
      <c r="K29" s="9" t="s">
        <v>4</v>
      </c>
      <c r="BN29" s="9" t="s">
        <v>4</v>
      </c>
      <c r="CH29" s="9" t="s">
        <v>4</v>
      </c>
      <c r="DI29" s="83" t="s">
        <v>628</v>
      </c>
      <c r="DJ29" s="35">
        <f t="shared" si="4"/>
        <v>5</v>
      </c>
      <c r="DK29" s="83">
        <v>8</v>
      </c>
      <c r="DL29" s="83" t="s">
        <v>678</v>
      </c>
    </row>
    <row r="30" spans="1:116" x14ac:dyDescent="0.25">
      <c r="A30" s="85" t="s">
        <v>708</v>
      </c>
      <c r="B30" s="83" t="s">
        <v>629</v>
      </c>
      <c r="C30" s="9" t="s">
        <v>4</v>
      </c>
      <c r="D30" s="9"/>
      <c r="E30" s="9"/>
      <c r="F30" s="9"/>
      <c r="G30" s="9"/>
      <c r="H30" s="9"/>
      <c r="I30" s="9"/>
      <c r="J30" s="9"/>
      <c r="K30" s="9"/>
      <c r="L30" s="9"/>
      <c r="M30" s="9"/>
      <c r="N30" s="9"/>
      <c r="O30" s="9"/>
      <c r="P30" s="9"/>
      <c r="Q30" s="9"/>
      <c r="R30" s="9"/>
      <c r="S30" s="9"/>
      <c r="T30" s="9"/>
      <c r="BM30" s="9"/>
      <c r="BN30" s="9" t="s">
        <v>4</v>
      </c>
      <c r="BQ30"/>
      <c r="CK30" s="46"/>
      <c r="DE30" s="46"/>
      <c r="DF30" s="46"/>
      <c r="DG30" s="7"/>
      <c r="DH30" s="7"/>
      <c r="DI30" s="83" t="s">
        <v>629</v>
      </c>
      <c r="DJ30" s="35">
        <f t="shared" si="4"/>
        <v>2</v>
      </c>
      <c r="DK30" s="83">
        <v>16</v>
      </c>
      <c r="DL30" s="83" t="s">
        <v>679</v>
      </c>
    </row>
    <row r="31" spans="1:116" x14ac:dyDescent="0.25">
      <c r="A31" s="85" t="s">
        <v>630</v>
      </c>
      <c r="B31" s="83" t="s">
        <v>630</v>
      </c>
      <c r="C31" s="9"/>
      <c r="D31" s="9"/>
      <c r="E31" s="9"/>
      <c r="F31" s="9"/>
      <c r="G31" s="9"/>
      <c r="H31" s="9"/>
      <c r="I31" s="9"/>
      <c r="J31" s="9"/>
      <c r="K31" s="9"/>
      <c r="L31" s="9"/>
      <c r="M31" s="9"/>
      <c r="N31" s="9"/>
      <c r="O31" s="9"/>
      <c r="P31" s="9"/>
      <c r="Q31" s="9"/>
      <c r="R31" s="9" t="s">
        <v>4</v>
      </c>
      <c r="S31" s="9"/>
      <c r="T31" s="9"/>
      <c r="BM31" s="9"/>
      <c r="BQ31" s="2"/>
      <c r="BR31" s="9" t="s">
        <v>4</v>
      </c>
      <c r="CK31" s="9" t="s">
        <v>4</v>
      </c>
      <c r="DE31" s="46"/>
      <c r="DF31" s="46"/>
      <c r="DG31" s="7"/>
      <c r="DH31" s="7"/>
      <c r="DI31" s="83" t="s">
        <v>630</v>
      </c>
      <c r="DJ31" s="35">
        <f t="shared" si="4"/>
        <v>3</v>
      </c>
      <c r="DK31" s="83">
        <v>8</v>
      </c>
      <c r="DL31" s="83" t="s">
        <v>680</v>
      </c>
    </row>
    <row r="32" spans="1:116" x14ac:dyDescent="0.25">
      <c r="A32" s="85" t="s">
        <v>631</v>
      </c>
      <c r="B32" s="83" t="s">
        <v>631</v>
      </c>
      <c r="C32" s="9"/>
      <c r="D32" s="9"/>
      <c r="E32" s="9"/>
      <c r="F32" s="9"/>
      <c r="G32" s="9"/>
      <c r="H32" s="9"/>
      <c r="I32" s="9"/>
      <c r="J32" s="9"/>
      <c r="K32" s="9"/>
      <c r="L32" s="9" t="s">
        <v>4</v>
      </c>
      <c r="M32" s="9" t="s">
        <v>4</v>
      </c>
      <c r="N32" s="9" t="s">
        <v>4</v>
      </c>
      <c r="O32" s="9" t="s">
        <v>4</v>
      </c>
      <c r="P32" s="9" t="s">
        <v>4</v>
      </c>
      <c r="Q32" s="9" t="s">
        <v>4</v>
      </c>
      <c r="R32" s="9"/>
      <c r="S32" s="9" t="s">
        <v>4</v>
      </c>
      <c r="T32" s="9"/>
      <c r="U32" s="9" t="s">
        <v>4</v>
      </c>
      <c r="W32" s="9" t="s">
        <v>4</v>
      </c>
      <c r="Y32" s="9" t="s">
        <v>4</v>
      </c>
      <c r="Z32" s="9" t="s">
        <v>4</v>
      </c>
      <c r="AC32" s="9" t="s">
        <v>4</v>
      </c>
      <c r="AE32" s="9" t="s">
        <v>4</v>
      </c>
      <c r="BM32" s="9"/>
      <c r="CK32" s="46"/>
      <c r="DE32" s="46"/>
      <c r="DF32" s="46"/>
      <c r="DG32" s="7"/>
      <c r="DH32" s="9" t="s">
        <v>4</v>
      </c>
      <c r="DI32" s="83" t="s">
        <v>631</v>
      </c>
      <c r="DJ32" s="35">
        <f t="shared" si="4"/>
        <v>14</v>
      </c>
      <c r="DK32" s="83">
        <v>8</v>
      </c>
      <c r="DL32" s="83" t="s">
        <v>681</v>
      </c>
    </row>
    <row r="33" spans="1:116" x14ac:dyDescent="0.25">
      <c r="A33" s="85" t="s">
        <v>632</v>
      </c>
      <c r="B33" s="83" t="s">
        <v>632</v>
      </c>
      <c r="C33" s="9"/>
      <c r="D33" s="9"/>
      <c r="E33" s="9"/>
      <c r="F33" s="9"/>
      <c r="G33" s="9"/>
      <c r="H33" s="9"/>
      <c r="I33" s="9"/>
      <c r="J33" s="9"/>
      <c r="K33" s="9"/>
      <c r="L33" s="9"/>
      <c r="M33" s="9"/>
      <c r="N33" s="9"/>
      <c r="O33" s="9"/>
      <c r="P33" s="9"/>
      <c r="Q33" s="9"/>
      <c r="R33" s="9"/>
      <c r="S33" s="9"/>
      <c r="T33" s="9"/>
      <c r="AT33" s="9" t="s">
        <v>4</v>
      </c>
      <c r="BL33" s="9" t="s">
        <v>4</v>
      </c>
      <c r="BM33" s="9"/>
      <c r="BP33" s="9" t="s">
        <v>4</v>
      </c>
      <c r="BQ33" s="2"/>
      <c r="CI33" s="9" t="s">
        <v>4</v>
      </c>
      <c r="CK33" s="46"/>
      <c r="DE33" s="46"/>
      <c r="DF33" s="46"/>
      <c r="DG33" s="7"/>
      <c r="DH33" s="7"/>
      <c r="DI33" s="83" t="s">
        <v>632</v>
      </c>
      <c r="DJ33" s="35">
        <f t="shared" si="4"/>
        <v>4</v>
      </c>
      <c r="DK33" s="83">
        <v>8</v>
      </c>
      <c r="DL33" s="83" t="s">
        <v>913</v>
      </c>
    </row>
    <row r="34" spans="1:116" x14ac:dyDescent="0.25">
      <c r="A34" s="85" t="s">
        <v>633</v>
      </c>
      <c r="B34" s="83" t="s">
        <v>633</v>
      </c>
      <c r="C34" s="9"/>
      <c r="D34" s="9"/>
      <c r="E34" s="9"/>
      <c r="F34" s="9"/>
      <c r="G34" s="9"/>
      <c r="H34" s="9"/>
      <c r="I34" s="9"/>
      <c r="J34" s="9"/>
      <c r="K34" s="9"/>
      <c r="L34" s="9"/>
      <c r="M34" s="9"/>
      <c r="N34" s="9"/>
      <c r="O34" s="9"/>
      <c r="P34" s="9"/>
      <c r="Q34" s="9"/>
      <c r="R34" s="9" t="s">
        <v>4</v>
      </c>
      <c r="S34" s="9"/>
      <c r="T34" s="9"/>
      <c r="BM34" s="9"/>
      <c r="BR34" s="9" t="s">
        <v>4</v>
      </c>
      <c r="CK34" s="46"/>
      <c r="DE34" s="46"/>
      <c r="DF34" s="46"/>
      <c r="DG34" s="7"/>
      <c r="DH34" s="7"/>
      <c r="DI34" s="83" t="s">
        <v>633</v>
      </c>
      <c r="DJ34" s="35">
        <f t="shared" si="4"/>
        <v>2</v>
      </c>
      <c r="DK34" s="83">
        <v>8</v>
      </c>
      <c r="DL34" s="83" t="s">
        <v>682</v>
      </c>
    </row>
    <row r="35" spans="1:116" x14ac:dyDescent="0.25">
      <c r="A35" s="85" t="s">
        <v>709</v>
      </c>
      <c r="B35" s="83" t="s">
        <v>634</v>
      </c>
      <c r="C35" s="9"/>
      <c r="D35" s="9"/>
      <c r="E35" s="9"/>
      <c r="F35" s="9"/>
      <c r="G35" s="9"/>
      <c r="H35" s="9"/>
      <c r="I35" s="9"/>
      <c r="J35" s="9"/>
      <c r="K35" s="9"/>
      <c r="L35" s="9" t="s">
        <v>4</v>
      </c>
      <c r="M35" s="9" t="s">
        <v>4</v>
      </c>
      <c r="N35" s="9" t="s">
        <v>4</v>
      </c>
      <c r="O35" s="9" t="s">
        <v>4</v>
      </c>
      <c r="P35" s="9" t="s">
        <v>4</v>
      </c>
      <c r="Q35" s="9" t="s">
        <v>4</v>
      </c>
      <c r="R35" s="9"/>
      <c r="S35" s="9" t="s">
        <v>4</v>
      </c>
      <c r="T35" s="9"/>
      <c r="U35" s="9" t="s">
        <v>4</v>
      </c>
      <c r="W35" s="9" t="s">
        <v>4</v>
      </c>
      <c r="Y35" s="9" t="s">
        <v>4</v>
      </c>
      <c r="Z35" s="9" t="s">
        <v>4</v>
      </c>
      <c r="AC35" s="9" t="s">
        <v>4</v>
      </c>
      <c r="AE35" s="9" t="s">
        <v>4</v>
      </c>
      <c r="BM35" s="9"/>
      <c r="CK35" s="46"/>
      <c r="DE35" s="46"/>
      <c r="DF35" s="46"/>
      <c r="DG35" s="7"/>
      <c r="DI35" s="83" t="s">
        <v>634</v>
      </c>
      <c r="DJ35" s="35">
        <f t="shared" si="4"/>
        <v>13</v>
      </c>
      <c r="DK35" s="83">
        <v>8</v>
      </c>
      <c r="DL35" s="83" t="s">
        <v>914</v>
      </c>
    </row>
    <row r="36" spans="1:116" x14ac:dyDescent="0.25">
      <c r="A36" s="85" t="s">
        <v>710</v>
      </c>
      <c r="B36" s="83" t="s">
        <v>635</v>
      </c>
      <c r="C36" s="9"/>
      <c r="D36" s="9"/>
      <c r="E36" s="9"/>
      <c r="F36" s="9"/>
      <c r="G36" s="9"/>
      <c r="H36" s="9"/>
      <c r="I36" s="9"/>
      <c r="J36" s="9"/>
      <c r="K36" s="9"/>
      <c r="L36" s="9"/>
      <c r="M36" s="9" t="s">
        <v>4</v>
      </c>
      <c r="N36" s="9"/>
      <c r="O36" s="9"/>
      <c r="P36" s="9"/>
      <c r="Q36" s="9"/>
      <c r="R36" s="9"/>
      <c r="S36" s="9"/>
      <c r="T36" s="9"/>
      <c r="W36" s="9" t="s">
        <v>4</v>
      </c>
      <c r="BM36" s="9"/>
      <c r="BQ36" s="2"/>
      <c r="CK36" s="46"/>
      <c r="CQ36" s="9" t="s">
        <v>4</v>
      </c>
      <c r="DE36" s="46"/>
      <c r="DF36" s="46"/>
      <c r="DG36" s="7"/>
      <c r="DH36" s="7"/>
      <c r="DI36" s="83" t="s">
        <v>635</v>
      </c>
      <c r="DJ36" s="35">
        <f t="shared" si="4"/>
        <v>3</v>
      </c>
      <c r="DK36" s="83">
        <v>4</v>
      </c>
      <c r="DL36" s="83" t="s">
        <v>683</v>
      </c>
    </row>
    <row r="37" spans="1:116" x14ac:dyDescent="0.25">
      <c r="A37" s="85" t="s">
        <v>711</v>
      </c>
      <c r="B37" s="83" t="s">
        <v>636</v>
      </c>
      <c r="C37" s="9"/>
      <c r="D37" s="9"/>
      <c r="E37" s="9"/>
      <c r="F37" s="9"/>
      <c r="G37" s="9"/>
      <c r="H37" s="9"/>
      <c r="I37" s="9"/>
      <c r="J37" s="9"/>
      <c r="K37" s="9"/>
      <c r="L37" s="9"/>
      <c r="M37" s="9"/>
      <c r="N37" s="9"/>
      <c r="O37" s="9"/>
      <c r="P37" s="9"/>
      <c r="Q37" s="9"/>
      <c r="R37" s="9"/>
      <c r="S37" s="9"/>
      <c r="T37" s="9"/>
      <c r="AG37" s="9" t="s">
        <v>4</v>
      </c>
      <c r="BM37" s="9"/>
      <c r="BQ37" s="2"/>
      <c r="BZ37" s="9" t="s">
        <v>4</v>
      </c>
      <c r="CK37" s="46"/>
      <c r="DE37" s="46"/>
      <c r="DF37" s="46"/>
      <c r="DG37" s="7"/>
      <c r="DH37" s="7"/>
      <c r="DI37" s="83" t="s">
        <v>636</v>
      </c>
      <c r="DJ37" s="35">
        <f t="shared" si="4"/>
        <v>2</v>
      </c>
      <c r="DK37" s="83">
        <v>8</v>
      </c>
      <c r="DL37" s="83" t="s">
        <v>684</v>
      </c>
    </row>
    <row r="38" spans="1:116" x14ac:dyDescent="0.25">
      <c r="A38" s="85" t="s">
        <v>712</v>
      </c>
      <c r="B38" s="83" t="s">
        <v>637</v>
      </c>
      <c r="C38" s="9"/>
      <c r="D38" s="9"/>
      <c r="E38" s="9"/>
      <c r="F38" s="9"/>
      <c r="G38" s="9"/>
      <c r="H38" s="9"/>
      <c r="I38" s="9"/>
      <c r="J38" s="9"/>
      <c r="K38" s="9"/>
      <c r="L38" s="9"/>
      <c r="M38" s="9"/>
      <c r="N38" s="9"/>
      <c r="O38" s="9"/>
      <c r="P38" s="9"/>
      <c r="Q38" s="9"/>
      <c r="R38" s="9"/>
      <c r="S38" s="9"/>
      <c r="T38" s="9"/>
      <c r="AF38" s="9" t="s">
        <v>4</v>
      </c>
      <c r="AQ38" s="9" t="s">
        <v>4</v>
      </c>
      <c r="BE38" s="9" t="s">
        <v>4</v>
      </c>
      <c r="BM38" s="9"/>
      <c r="BQ38" s="2"/>
      <c r="CK38" s="46"/>
      <c r="DE38" s="46"/>
      <c r="DF38" s="46"/>
      <c r="DG38" s="7"/>
      <c r="DH38" s="7"/>
      <c r="DI38" s="83" t="s">
        <v>637</v>
      </c>
      <c r="DJ38" s="35">
        <f t="shared" si="4"/>
        <v>3</v>
      </c>
      <c r="DK38" s="83">
        <v>8</v>
      </c>
      <c r="DL38" s="83" t="s">
        <v>930</v>
      </c>
    </row>
    <row r="39" spans="1:116" x14ac:dyDescent="0.25">
      <c r="A39" s="85" t="s">
        <v>713</v>
      </c>
      <c r="B39" s="83" t="s">
        <v>638</v>
      </c>
      <c r="C39" s="9"/>
      <c r="D39" s="9"/>
      <c r="E39" s="9"/>
      <c r="F39" s="9"/>
      <c r="G39" s="9"/>
      <c r="H39" s="9"/>
      <c r="I39" s="9"/>
      <c r="J39" s="9"/>
      <c r="K39" s="9"/>
      <c r="L39" s="9"/>
      <c r="M39" s="9"/>
      <c r="N39" s="9"/>
      <c r="O39" s="9"/>
      <c r="P39" s="9"/>
      <c r="Q39" s="9"/>
      <c r="R39" s="9"/>
      <c r="S39" s="9"/>
      <c r="T39" s="9"/>
      <c r="AA39" s="9" t="s">
        <v>4</v>
      </c>
      <c r="BK39" s="9" t="s">
        <v>4</v>
      </c>
      <c r="BM39" s="9"/>
      <c r="BQ39" s="2"/>
      <c r="CK39" s="46"/>
      <c r="CR39" s="9" t="s">
        <v>4</v>
      </c>
      <c r="CY39" s="9" t="s">
        <v>4</v>
      </c>
      <c r="DE39" s="46"/>
      <c r="DF39" s="46"/>
      <c r="DG39" s="7"/>
      <c r="DH39" s="7"/>
      <c r="DI39" s="83" t="s">
        <v>638</v>
      </c>
      <c r="DJ39" s="35">
        <f t="shared" si="4"/>
        <v>4</v>
      </c>
      <c r="DK39" s="83">
        <v>8</v>
      </c>
      <c r="DL39" s="83" t="s">
        <v>921</v>
      </c>
    </row>
    <row r="40" spans="1:116" x14ac:dyDescent="0.25">
      <c r="A40" s="85" t="s">
        <v>648</v>
      </c>
      <c r="B40" s="83" t="s">
        <v>639</v>
      </c>
      <c r="C40" s="9"/>
      <c r="D40" s="9"/>
      <c r="E40" s="9"/>
      <c r="F40" s="9"/>
      <c r="G40" s="9"/>
      <c r="H40" s="9"/>
      <c r="I40" s="9"/>
      <c r="J40" s="9"/>
      <c r="K40" s="9"/>
      <c r="L40" s="9"/>
      <c r="M40" s="9"/>
      <c r="N40" s="9"/>
      <c r="O40" s="9"/>
      <c r="P40" s="9"/>
      <c r="Q40" s="9"/>
      <c r="R40" s="9"/>
      <c r="S40" s="9"/>
      <c r="T40" s="9"/>
      <c r="BM40" s="9"/>
      <c r="BQ40" s="2"/>
      <c r="CK40" s="46"/>
      <c r="CR40" s="9" t="s">
        <v>4</v>
      </c>
      <c r="DE40" s="46"/>
      <c r="DF40" s="46"/>
      <c r="DG40" s="7"/>
      <c r="DH40" s="7"/>
      <c r="DI40" s="83" t="s">
        <v>639</v>
      </c>
      <c r="DJ40" s="35">
        <f t="shared" si="4"/>
        <v>1</v>
      </c>
      <c r="DK40" s="83">
        <v>8</v>
      </c>
      <c r="DL40" s="83" t="s">
        <v>685</v>
      </c>
    </row>
    <row r="41" spans="1:116" x14ac:dyDescent="0.25">
      <c r="A41" s="85" t="s">
        <v>641</v>
      </c>
      <c r="B41" s="83" t="s">
        <v>640</v>
      </c>
      <c r="C41" s="9"/>
      <c r="D41" s="9"/>
      <c r="E41" s="9"/>
      <c r="F41" s="9"/>
      <c r="G41" s="9"/>
      <c r="H41" s="9"/>
      <c r="I41" s="9"/>
      <c r="J41" s="9"/>
      <c r="K41" s="9"/>
      <c r="L41" s="9"/>
      <c r="M41" s="9"/>
      <c r="N41" s="9"/>
      <c r="O41" s="9"/>
      <c r="P41" s="9"/>
      <c r="Q41" s="9"/>
      <c r="R41" s="9"/>
      <c r="S41" s="9"/>
      <c r="T41" s="9"/>
      <c r="AV41" s="9" t="s">
        <v>4</v>
      </c>
      <c r="AW41" s="9" t="s">
        <v>4</v>
      </c>
      <c r="AZ41" s="9" t="s">
        <v>4</v>
      </c>
      <c r="BA41" s="9" t="s">
        <v>4</v>
      </c>
      <c r="BE41" s="9" t="s">
        <v>4</v>
      </c>
      <c r="BM41" s="9"/>
      <c r="BQ41" s="10"/>
      <c r="CK41" s="46"/>
      <c r="DE41" s="46"/>
      <c r="DF41" s="46"/>
      <c r="DG41" s="7"/>
      <c r="DH41" s="7"/>
      <c r="DI41" s="83" t="s">
        <v>640</v>
      </c>
      <c r="DJ41" s="35">
        <f>COUNTA(C41:DH41)</f>
        <v>5</v>
      </c>
      <c r="DK41" s="83">
        <v>8</v>
      </c>
      <c r="DL41" s="83" t="s">
        <v>686</v>
      </c>
    </row>
    <row r="42" spans="1:116" x14ac:dyDescent="0.25">
      <c r="A42" s="85" t="s">
        <v>644</v>
      </c>
      <c r="B42" s="83" t="s">
        <v>641</v>
      </c>
      <c r="C42" s="9"/>
      <c r="D42" s="9"/>
      <c r="E42" s="9"/>
      <c r="F42" s="9"/>
      <c r="G42" s="9"/>
      <c r="H42" s="9"/>
      <c r="I42" s="9"/>
      <c r="J42" s="9"/>
      <c r="K42" s="9"/>
      <c r="L42" s="9"/>
      <c r="M42" s="9"/>
      <c r="N42" s="9"/>
      <c r="O42" s="9"/>
      <c r="P42" s="9"/>
      <c r="Q42" s="9"/>
      <c r="R42" s="9"/>
      <c r="S42" s="9"/>
      <c r="T42" s="9"/>
      <c r="AQ42" s="9" t="s">
        <v>4</v>
      </c>
      <c r="AR42" s="9" t="s">
        <v>4</v>
      </c>
      <c r="AS42" s="9" t="s">
        <v>4</v>
      </c>
      <c r="AT42" s="9" t="s">
        <v>4</v>
      </c>
      <c r="AU42" s="9" t="s">
        <v>4</v>
      </c>
      <c r="AX42" s="9" t="s">
        <v>4</v>
      </c>
      <c r="AY42" s="9" t="s">
        <v>4</v>
      </c>
      <c r="BA42" s="9" t="s">
        <v>4</v>
      </c>
      <c r="BM42" s="9"/>
      <c r="BQ42"/>
      <c r="CK42" s="46"/>
      <c r="DE42" s="46"/>
      <c r="DF42" s="46"/>
      <c r="DG42" s="7"/>
      <c r="DH42" s="7"/>
      <c r="DI42" s="83" t="s">
        <v>641</v>
      </c>
      <c r="DJ42" s="35">
        <f t="shared" si="4"/>
        <v>8</v>
      </c>
      <c r="DK42" s="83">
        <v>8</v>
      </c>
      <c r="DL42" s="83" t="s">
        <v>687</v>
      </c>
    </row>
    <row r="43" spans="1:116" x14ac:dyDescent="0.25">
      <c r="A43" s="85" t="s">
        <v>645</v>
      </c>
      <c r="B43" s="83" t="s">
        <v>642</v>
      </c>
      <c r="C43" s="9"/>
      <c r="D43" s="9"/>
      <c r="E43" s="9"/>
      <c r="F43" s="9"/>
      <c r="G43" s="9"/>
      <c r="H43" s="9"/>
      <c r="I43" s="9"/>
      <c r="J43" s="9"/>
      <c r="K43" s="9"/>
      <c r="L43" s="9"/>
      <c r="M43" s="9"/>
      <c r="N43" s="9"/>
      <c r="O43" s="9"/>
      <c r="P43" s="9"/>
      <c r="Q43" s="9"/>
      <c r="R43" s="9"/>
      <c r="S43" s="9"/>
      <c r="T43" s="9"/>
      <c r="AQ43" s="6"/>
      <c r="AR43" s="6"/>
      <c r="AS43" s="6"/>
      <c r="AT43" s="6"/>
      <c r="AU43" s="6"/>
      <c r="AY43" s="9" t="s">
        <v>4</v>
      </c>
      <c r="BM43" s="9"/>
      <c r="BQ43"/>
      <c r="CK43" s="46"/>
      <c r="DE43" s="46"/>
      <c r="DF43" s="46"/>
      <c r="DG43" s="7"/>
      <c r="DH43" s="7"/>
      <c r="DI43" s="83" t="s">
        <v>642</v>
      </c>
      <c r="DJ43" s="35">
        <f t="shared" si="4"/>
        <v>1</v>
      </c>
      <c r="DK43" s="83">
        <v>8</v>
      </c>
      <c r="DL43" s="83" t="s">
        <v>688</v>
      </c>
    </row>
    <row r="44" spans="1:116" x14ac:dyDescent="0.25">
      <c r="A44" s="85" t="s">
        <v>714</v>
      </c>
      <c r="B44" s="83" t="s">
        <v>643</v>
      </c>
      <c r="C44" s="9"/>
      <c r="D44" s="9"/>
      <c r="E44" s="9"/>
      <c r="F44" s="9"/>
      <c r="G44" s="9"/>
      <c r="H44" s="9"/>
      <c r="I44" s="9"/>
      <c r="J44" s="9"/>
      <c r="K44" s="9"/>
      <c r="L44" s="9"/>
      <c r="M44" s="9"/>
      <c r="N44" s="9"/>
      <c r="O44" s="9"/>
      <c r="P44" s="9"/>
      <c r="Q44" s="9"/>
      <c r="R44" s="9"/>
      <c r="S44" s="9"/>
      <c r="T44" s="9"/>
      <c r="AS44" s="9" t="s">
        <v>4</v>
      </c>
      <c r="BM44" s="9"/>
      <c r="CK44" s="46"/>
      <c r="DE44" s="46"/>
      <c r="DF44" s="46"/>
      <c r="DG44" s="7"/>
      <c r="DH44" s="7"/>
      <c r="DI44" s="83" t="s">
        <v>643</v>
      </c>
      <c r="DJ44" s="35">
        <f t="shared" si="4"/>
        <v>1</v>
      </c>
      <c r="DK44" s="83">
        <v>16</v>
      </c>
      <c r="DL44" s="83" t="s">
        <v>915</v>
      </c>
    </row>
    <row r="45" spans="1:116" x14ac:dyDescent="0.25">
      <c r="A45" s="85" t="s">
        <v>715</v>
      </c>
      <c r="B45" s="83" t="s">
        <v>644</v>
      </c>
      <c r="C45" s="9"/>
      <c r="D45" s="9"/>
      <c r="E45" s="9"/>
      <c r="F45" s="9"/>
      <c r="G45" s="9"/>
      <c r="H45" s="9"/>
      <c r="I45" s="9"/>
      <c r="J45" s="9"/>
      <c r="K45" s="9"/>
      <c r="L45" s="9"/>
      <c r="M45" s="9"/>
      <c r="N45" s="9"/>
      <c r="O45" s="9"/>
      <c r="P45" s="9"/>
      <c r="Q45" s="9"/>
      <c r="R45" s="9"/>
      <c r="S45" s="9"/>
      <c r="T45" s="9"/>
      <c r="AU45" s="9" t="s">
        <v>4</v>
      </c>
      <c r="BM45" s="9"/>
      <c r="BQ45"/>
      <c r="CK45" s="46"/>
      <c r="DE45" s="46"/>
      <c r="DF45" s="46"/>
      <c r="DG45" s="7"/>
      <c r="DH45" s="7"/>
      <c r="DI45" s="83" t="s">
        <v>644</v>
      </c>
      <c r="DJ45" s="35">
        <f t="shared" si="4"/>
        <v>1</v>
      </c>
      <c r="DK45" s="83">
        <v>16</v>
      </c>
      <c r="DL45" s="83" t="s">
        <v>689</v>
      </c>
    </row>
    <row r="46" spans="1:116" x14ac:dyDescent="0.25">
      <c r="A46" s="85" t="s">
        <v>716</v>
      </c>
      <c r="B46" s="83" t="s">
        <v>645</v>
      </c>
      <c r="C46" s="9"/>
      <c r="D46" s="9"/>
      <c r="E46" s="9"/>
      <c r="F46" s="9"/>
      <c r="G46" s="9"/>
      <c r="H46" s="9"/>
      <c r="I46" s="9"/>
      <c r="J46" s="9"/>
      <c r="K46" s="9"/>
      <c r="L46" s="9"/>
      <c r="M46" s="9"/>
      <c r="N46" s="9"/>
      <c r="O46" s="9"/>
      <c r="P46" s="9"/>
      <c r="Q46" s="9"/>
      <c r="R46" s="9"/>
      <c r="S46" s="9"/>
      <c r="T46" s="9"/>
      <c r="AO46" s="9" t="s">
        <v>4</v>
      </c>
      <c r="AS46" s="9" t="s">
        <v>4</v>
      </c>
      <c r="AW46" s="9" t="s">
        <v>4</v>
      </c>
      <c r="BM46" s="9"/>
      <c r="BQ46"/>
      <c r="CK46" s="46"/>
      <c r="DE46" s="46"/>
      <c r="DF46" s="46"/>
      <c r="DG46" s="7"/>
      <c r="DH46" s="7"/>
      <c r="DI46" s="83" t="s">
        <v>645</v>
      </c>
      <c r="DJ46" s="35">
        <f t="shared" si="4"/>
        <v>3</v>
      </c>
      <c r="DK46" s="83">
        <v>32</v>
      </c>
      <c r="DL46" s="83" t="s">
        <v>922</v>
      </c>
    </row>
    <row r="47" spans="1:116" x14ac:dyDescent="0.25">
      <c r="A47" s="85" t="s">
        <v>646</v>
      </c>
      <c r="B47" s="83" t="s">
        <v>646</v>
      </c>
      <c r="C47" s="9"/>
      <c r="D47" s="9"/>
      <c r="E47" s="9"/>
      <c r="F47" s="9"/>
      <c r="G47" s="9"/>
      <c r="H47" s="9"/>
      <c r="I47" s="9"/>
      <c r="J47" s="9"/>
      <c r="K47" s="9"/>
      <c r="L47" s="9"/>
      <c r="M47" s="9"/>
      <c r="N47" s="9"/>
      <c r="O47" s="9"/>
      <c r="P47" s="9"/>
      <c r="Q47" s="9"/>
      <c r="R47" s="9"/>
      <c r="S47" s="9"/>
      <c r="T47" s="9"/>
      <c r="AO47" s="6"/>
      <c r="AP47" s="6"/>
      <c r="AQ47" s="6"/>
      <c r="AR47" s="6"/>
      <c r="AS47" s="6"/>
      <c r="AW47" s="6"/>
      <c r="BM47" s="9"/>
      <c r="BQ47" s="2"/>
      <c r="CK47" s="46"/>
      <c r="CM47" s="9" t="s">
        <v>4</v>
      </c>
      <c r="DE47" s="46"/>
      <c r="DF47" s="46"/>
      <c r="DG47" s="7"/>
      <c r="DH47" s="7"/>
      <c r="DI47" s="83" t="s">
        <v>646</v>
      </c>
      <c r="DJ47" s="35">
        <f t="shared" si="4"/>
        <v>1</v>
      </c>
      <c r="DK47" s="83">
        <v>32</v>
      </c>
      <c r="DL47" s="83" t="s">
        <v>690</v>
      </c>
    </row>
    <row r="48" spans="1:116" x14ac:dyDescent="0.25">
      <c r="A48" s="85" t="s">
        <v>647</v>
      </c>
      <c r="B48" s="115" t="s">
        <v>647</v>
      </c>
      <c r="C48" s="9"/>
      <c r="D48" s="9"/>
      <c r="E48" s="9"/>
      <c r="F48" s="9"/>
      <c r="G48" s="9"/>
      <c r="H48" s="9"/>
      <c r="I48" s="9"/>
      <c r="J48" s="9"/>
      <c r="K48" s="9"/>
      <c r="L48" s="9"/>
      <c r="M48" s="9"/>
      <c r="N48" s="9"/>
      <c r="O48" s="9"/>
      <c r="P48" s="9"/>
      <c r="Q48" s="9"/>
      <c r="R48" s="9"/>
      <c r="S48" s="9"/>
      <c r="T48" s="9"/>
      <c r="BM48" s="9"/>
      <c r="BQ48"/>
      <c r="CD48" s="9" t="s">
        <v>4</v>
      </c>
      <c r="CK48" s="46"/>
      <c r="CM48" s="6"/>
      <c r="DE48" s="46"/>
      <c r="DF48" s="46"/>
      <c r="DG48" s="7"/>
      <c r="DH48" s="7"/>
      <c r="DI48" s="83" t="s">
        <v>647</v>
      </c>
      <c r="DJ48" s="35">
        <f t="shared" si="4"/>
        <v>1</v>
      </c>
      <c r="DK48" s="83">
        <v>8</v>
      </c>
      <c r="DL48" s="83" t="s">
        <v>916</v>
      </c>
    </row>
    <row r="49" spans="1:116" x14ac:dyDescent="0.25">
      <c r="A49" s="85" t="s">
        <v>649</v>
      </c>
      <c r="B49" s="115" t="s">
        <v>648</v>
      </c>
      <c r="C49" s="9"/>
      <c r="D49" s="9"/>
      <c r="E49" s="9"/>
      <c r="F49" s="9"/>
      <c r="G49" s="9"/>
      <c r="H49" s="9"/>
      <c r="I49" s="9"/>
      <c r="J49" s="9"/>
      <c r="K49" s="9"/>
      <c r="L49" s="9"/>
      <c r="M49" s="9"/>
      <c r="N49" s="9"/>
      <c r="O49" s="9"/>
      <c r="P49" s="9"/>
      <c r="Q49" s="9"/>
      <c r="R49" s="9"/>
      <c r="S49" s="9"/>
      <c r="T49" s="9"/>
      <c r="BM49" s="9"/>
      <c r="BQ49"/>
      <c r="CD49" s="6"/>
      <c r="CK49" s="46"/>
      <c r="DC49" s="9" t="s">
        <v>4</v>
      </c>
      <c r="DE49" s="46"/>
      <c r="DF49" s="46"/>
      <c r="DG49" s="9" t="s">
        <v>4</v>
      </c>
      <c r="DH49" s="7"/>
      <c r="DI49" s="83" t="s">
        <v>648</v>
      </c>
      <c r="DJ49" s="35">
        <f t="shared" si="4"/>
        <v>2</v>
      </c>
      <c r="DK49" s="83">
        <v>8</v>
      </c>
      <c r="DL49" s="83" t="s">
        <v>691</v>
      </c>
    </row>
    <row r="50" spans="1:116" x14ac:dyDescent="0.25">
      <c r="A50" s="85" t="s">
        <v>650</v>
      </c>
      <c r="B50" s="115" t="s">
        <v>649</v>
      </c>
      <c r="C50" s="9"/>
      <c r="D50" s="9"/>
      <c r="E50" s="9"/>
      <c r="F50" s="9"/>
      <c r="G50" s="9"/>
      <c r="H50" s="9"/>
      <c r="I50" s="9"/>
      <c r="J50" s="9"/>
      <c r="K50" s="9"/>
      <c r="L50" s="9"/>
      <c r="M50" s="9"/>
      <c r="N50" s="9"/>
      <c r="O50" s="9"/>
      <c r="P50" s="9"/>
      <c r="Q50" s="9"/>
      <c r="R50" s="9"/>
      <c r="S50" s="9"/>
      <c r="T50" s="9"/>
      <c r="BM50" s="9"/>
      <c r="BQ50"/>
      <c r="CK50" s="46"/>
      <c r="DC50" s="9" t="s">
        <v>4</v>
      </c>
      <c r="DE50" s="46"/>
      <c r="DF50" s="46"/>
      <c r="DG50" s="9" t="s">
        <v>4</v>
      </c>
      <c r="DH50" s="7"/>
      <c r="DI50" s="83" t="s">
        <v>649</v>
      </c>
      <c r="DJ50" s="35">
        <f t="shared" si="4"/>
        <v>2</v>
      </c>
      <c r="DK50" s="83">
        <v>8</v>
      </c>
      <c r="DL50" s="83" t="s">
        <v>692</v>
      </c>
    </row>
    <row r="51" spans="1:116" x14ac:dyDescent="0.25">
      <c r="A51" s="85" t="s">
        <v>717</v>
      </c>
      <c r="B51" s="115" t="s">
        <v>650</v>
      </c>
      <c r="C51" s="9"/>
      <c r="D51" s="9"/>
      <c r="E51" s="9"/>
      <c r="F51" s="9"/>
      <c r="G51" s="9"/>
      <c r="H51" s="9"/>
      <c r="I51" s="9"/>
      <c r="J51" s="9"/>
      <c r="K51" s="9"/>
      <c r="L51" s="9"/>
      <c r="M51" s="9"/>
      <c r="N51" s="9"/>
      <c r="O51" s="9"/>
      <c r="P51" s="9"/>
      <c r="Q51" s="9"/>
      <c r="R51" s="9"/>
      <c r="S51" s="9"/>
      <c r="T51" s="9"/>
      <c r="BM51" s="9"/>
      <c r="BQ51" s="2"/>
      <c r="BZ51" s="9" t="s">
        <v>4</v>
      </c>
      <c r="CK51" s="46"/>
      <c r="CU51" s="9" t="s">
        <v>4</v>
      </c>
      <c r="DC51" s="6"/>
      <c r="DD51" s="6"/>
      <c r="DE51" s="6"/>
      <c r="DF51" s="6"/>
      <c r="DG51" s="6"/>
      <c r="DH51" s="7"/>
      <c r="DI51" s="83" t="s">
        <v>650</v>
      </c>
      <c r="DJ51" s="35">
        <f t="shared" si="4"/>
        <v>2</v>
      </c>
      <c r="DK51" s="83">
        <v>8</v>
      </c>
      <c r="DL51" s="83" t="s">
        <v>693</v>
      </c>
    </row>
    <row r="52" spans="1:116" x14ac:dyDescent="0.25">
      <c r="A52" s="85" t="s">
        <v>718</v>
      </c>
      <c r="B52" s="115" t="s">
        <v>651</v>
      </c>
      <c r="C52" s="9"/>
      <c r="D52" s="9"/>
      <c r="E52" s="9"/>
      <c r="F52" s="9"/>
      <c r="G52" s="9"/>
      <c r="H52" s="9"/>
      <c r="I52" s="9"/>
      <c r="J52" s="9"/>
      <c r="K52" s="9"/>
      <c r="L52" s="9"/>
      <c r="M52" s="9"/>
      <c r="N52" s="9"/>
      <c r="O52" s="9"/>
      <c r="P52" s="9"/>
      <c r="Q52" s="9"/>
      <c r="R52" s="9"/>
      <c r="S52" s="9"/>
      <c r="T52" s="9"/>
      <c r="BM52" s="9"/>
      <c r="BQ52"/>
      <c r="BW52" s="9" t="s">
        <v>4</v>
      </c>
      <c r="BZ52" s="6"/>
      <c r="CK52" s="46"/>
      <c r="CN52" s="9" t="s">
        <v>4</v>
      </c>
      <c r="CU52" s="6"/>
      <c r="DE52" s="46"/>
      <c r="DF52" s="46"/>
      <c r="DG52" s="7"/>
      <c r="DH52" s="7"/>
      <c r="DI52" s="83" t="s">
        <v>651</v>
      </c>
      <c r="DJ52" s="35">
        <f t="shared" si="4"/>
        <v>2</v>
      </c>
      <c r="DK52" s="83">
        <v>8</v>
      </c>
      <c r="DL52" s="83" t="s">
        <v>694</v>
      </c>
    </row>
    <row r="53" spans="1:116" x14ac:dyDescent="0.25">
      <c r="A53" s="85" t="s">
        <v>652</v>
      </c>
      <c r="B53" s="115" t="s">
        <v>652</v>
      </c>
      <c r="C53" s="9"/>
      <c r="D53" s="9"/>
      <c r="E53" s="9"/>
      <c r="F53" s="9"/>
      <c r="G53" s="9"/>
      <c r="H53" s="9"/>
      <c r="I53" s="9"/>
      <c r="J53" s="9"/>
      <c r="K53" s="9"/>
      <c r="L53" s="9"/>
      <c r="M53" s="9"/>
      <c r="N53" s="9"/>
      <c r="O53" s="9"/>
      <c r="P53" s="9"/>
      <c r="Q53" s="9"/>
      <c r="R53" s="9"/>
      <c r="S53" s="9"/>
      <c r="T53" s="9"/>
      <c r="AA53" s="9" t="s">
        <v>4</v>
      </c>
      <c r="BG53" s="9" t="s">
        <v>4</v>
      </c>
      <c r="BK53" s="9" t="s">
        <v>4</v>
      </c>
      <c r="BL53" s="9" t="s">
        <v>4</v>
      </c>
      <c r="BM53" s="9" t="s">
        <v>4</v>
      </c>
      <c r="BQ53"/>
      <c r="CA53" s="9" t="s">
        <v>4</v>
      </c>
      <c r="CK53" s="46"/>
      <c r="CR53" s="9" t="s">
        <v>4</v>
      </c>
      <c r="CV53" s="9" t="s">
        <v>4</v>
      </c>
      <c r="CY53" s="9" t="s">
        <v>4</v>
      </c>
      <c r="DC53" s="9" t="s">
        <v>4</v>
      </c>
      <c r="DE53" s="46"/>
      <c r="DF53" s="9" t="s">
        <v>4</v>
      </c>
      <c r="DG53" s="9" t="s">
        <v>4</v>
      </c>
      <c r="DH53" s="9" t="s">
        <v>4</v>
      </c>
      <c r="DI53" s="83" t="s">
        <v>652</v>
      </c>
      <c r="DJ53" s="35">
        <f>COUNTA(C53:DH53)</f>
        <v>13</v>
      </c>
      <c r="DK53" s="83">
        <v>8</v>
      </c>
      <c r="DL53" s="83" t="s">
        <v>937</v>
      </c>
    </row>
    <row r="54" spans="1:116" x14ac:dyDescent="0.25">
      <c r="A54" s="85" t="s">
        <v>654</v>
      </c>
      <c r="B54" s="115" t="s">
        <v>653</v>
      </c>
      <c r="C54" s="9"/>
      <c r="D54" s="9"/>
      <c r="E54" s="9"/>
      <c r="F54" s="9"/>
      <c r="G54" s="9"/>
      <c r="H54" s="9"/>
      <c r="I54" s="9"/>
      <c r="J54" s="9"/>
      <c r="K54" s="9"/>
      <c r="L54" s="9"/>
      <c r="M54" s="9"/>
      <c r="N54" s="9"/>
      <c r="O54" s="9"/>
      <c r="P54" s="9"/>
      <c r="Q54" s="9"/>
      <c r="R54" s="9"/>
      <c r="S54" s="9"/>
      <c r="T54" s="9"/>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c r="CD54" s="6"/>
      <c r="CE54" s="6"/>
      <c r="CF54" s="6"/>
      <c r="CG54" s="6"/>
      <c r="CH54" s="6"/>
      <c r="CI54" s="6"/>
      <c r="CJ54" s="6"/>
      <c r="CK54" s="6"/>
      <c r="CL54" s="6"/>
      <c r="CM54" s="6"/>
      <c r="CN54" s="9" t="s">
        <v>4</v>
      </c>
      <c r="CO54" s="6"/>
      <c r="CP54" s="6"/>
      <c r="CQ54" s="6"/>
      <c r="CR54" s="6"/>
      <c r="CS54" s="6"/>
      <c r="CT54" s="6"/>
      <c r="CU54" s="6"/>
      <c r="CV54" s="6"/>
      <c r="CW54" s="6"/>
      <c r="CX54" s="6"/>
      <c r="CY54" s="6"/>
      <c r="CZ54" s="6"/>
      <c r="DA54" s="6"/>
      <c r="DB54" s="6"/>
      <c r="DC54" s="6"/>
      <c r="DD54" s="6"/>
      <c r="DE54" s="6"/>
      <c r="DF54" s="6"/>
      <c r="DG54" s="6"/>
      <c r="DH54" s="6"/>
      <c r="DI54" s="83" t="s">
        <v>653</v>
      </c>
      <c r="DJ54" s="35">
        <f t="shared" si="4"/>
        <v>1</v>
      </c>
      <c r="DK54" s="83">
        <v>8</v>
      </c>
      <c r="DL54" s="83" t="s">
        <v>695</v>
      </c>
    </row>
    <row r="55" spans="1:116" x14ac:dyDescent="0.25">
      <c r="A55" s="85" t="s">
        <v>656</v>
      </c>
      <c r="B55" s="115" t="s">
        <v>654</v>
      </c>
      <c r="C55" s="9"/>
      <c r="D55" s="9"/>
      <c r="E55" s="9"/>
      <c r="F55" s="9"/>
      <c r="G55" s="9"/>
      <c r="H55" s="9"/>
      <c r="I55" s="9"/>
      <c r="J55" s="9"/>
      <c r="K55" s="9"/>
      <c r="L55" s="9"/>
      <c r="M55" s="9"/>
      <c r="N55" s="9"/>
      <c r="O55" s="9"/>
      <c r="P55" s="9"/>
      <c r="Q55" s="9"/>
      <c r="R55" s="9"/>
      <c r="S55" s="9"/>
      <c r="T55" s="9"/>
      <c r="BM55" s="9"/>
      <c r="BQ55" s="2"/>
      <c r="BW55" s="9" t="s">
        <v>4</v>
      </c>
      <c r="CK55" s="46"/>
      <c r="CN55" s="9" t="s">
        <v>4</v>
      </c>
      <c r="DE55" s="46"/>
      <c r="DF55" s="46"/>
      <c r="DG55" s="7"/>
      <c r="DI55" s="83" t="s">
        <v>654</v>
      </c>
      <c r="DJ55" s="35">
        <f t="shared" si="4"/>
        <v>2</v>
      </c>
      <c r="DK55" s="83">
        <v>8</v>
      </c>
      <c r="DL55" s="83" t="s">
        <v>696</v>
      </c>
    </row>
    <row r="56" spans="1:116" x14ac:dyDescent="0.25">
      <c r="A56" s="85" t="s">
        <v>657</v>
      </c>
      <c r="B56" s="115" t="s">
        <v>655</v>
      </c>
      <c r="BG56" s="9" t="s">
        <v>4</v>
      </c>
      <c r="DB56" s="9" t="s">
        <v>4</v>
      </c>
      <c r="DE56" s="9" t="s">
        <v>4</v>
      </c>
      <c r="DF56" s="9" t="s">
        <v>4</v>
      </c>
      <c r="DI56" s="83" t="s">
        <v>655</v>
      </c>
      <c r="DJ56" s="35">
        <f t="shared" si="4"/>
        <v>4</v>
      </c>
      <c r="DK56" s="83">
        <v>8</v>
      </c>
      <c r="DL56" s="83" t="s">
        <v>917</v>
      </c>
    </row>
    <row r="57" spans="1:116" x14ac:dyDescent="0.25">
      <c r="A57" s="85" t="s">
        <v>658</v>
      </c>
      <c r="B57" s="115" t="s">
        <v>656</v>
      </c>
      <c r="CZ57" s="9" t="s">
        <v>4</v>
      </c>
      <c r="DI57" s="83" t="s">
        <v>656</v>
      </c>
      <c r="DJ57" s="35">
        <f t="shared" si="4"/>
        <v>1</v>
      </c>
      <c r="DK57" s="83">
        <v>8</v>
      </c>
      <c r="DL57" s="83" t="s">
        <v>918</v>
      </c>
    </row>
    <row r="58" spans="1:116" x14ac:dyDescent="0.25">
      <c r="A58" s="85" t="s">
        <v>719</v>
      </c>
      <c r="B58" s="115" t="s">
        <v>657</v>
      </c>
      <c r="DH58" s="9" t="s">
        <v>4</v>
      </c>
      <c r="DI58" s="83" t="s">
        <v>657</v>
      </c>
      <c r="DJ58" s="35">
        <f t="shared" si="4"/>
        <v>1</v>
      </c>
      <c r="DK58" s="83">
        <v>4</v>
      </c>
      <c r="DL58" s="83" t="s">
        <v>697</v>
      </c>
    </row>
    <row r="59" spans="1:116" x14ac:dyDescent="0.25">
      <c r="A59" s="85" t="s">
        <v>659</v>
      </c>
      <c r="B59" s="115" t="s">
        <v>659</v>
      </c>
      <c r="BF59" s="9" t="s">
        <v>4</v>
      </c>
      <c r="DI59" s="83" t="s">
        <v>659</v>
      </c>
      <c r="DJ59" s="35">
        <f t="shared" si="4"/>
        <v>1</v>
      </c>
      <c r="DK59" s="83">
        <v>8</v>
      </c>
      <c r="DL59" s="83" t="s">
        <v>698</v>
      </c>
    </row>
    <row r="60" spans="1:116" x14ac:dyDescent="0.25">
      <c r="A60" s="85" t="s">
        <v>720</v>
      </c>
      <c r="B60" s="115" t="s">
        <v>660</v>
      </c>
      <c r="BH60" s="9" t="s">
        <v>4</v>
      </c>
      <c r="BL60" s="9" t="s">
        <v>4</v>
      </c>
      <c r="BM60" s="9" t="s">
        <v>4</v>
      </c>
      <c r="DI60" s="83" t="s">
        <v>660</v>
      </c>
      <c r="DJ60" s="35">
        <f t="shared" si="4"/>
        <v>3</v>
      </c>
      <c r="DK60" s="83">
        <v>8</v>
      </c>
      <c r="DL60" s="83" t="s">
        <v>699</v>
      </c>
    </row>
    <row r="61" spans="1:116" x14ac:dyDescent="0.25">
      <c r="A61" s="85" t="s">
        <v>721</v>
      </c>
      <c r="B61" s="115" t="s">
        <v>661</v>
      </c>
      <c r="BH61" s="9" t="s">
        <v>4</v>
      </c>
      <c r="DI61" s="83" t="s">
        <v>661</v>
      </c>
      <c r="DJ61" s="35">
        <f t="shared" si="4"/>
        <v>1</v>
      </c>
      <c r="DK61" s="83">
        <v>8</v>
      </c>
      <c r="DL61" s="83" t="s">
        <v>931</v>
      </c>
    </row>
    <row r="62" spans="1:116" x14ac:dyDescent="0.25">
      <c r="BH62" s="6"/>
      <c r="DJ62" s="9"/>
      <c r="DK62" s="9"/>
    </row>
    <row r="63" spans="1:116" x14ac:dyDescent="0.25">
      <c r="C63" s="9">
        <f>PRODUCT(C198:C251)</f>
        <v>524288</v>
      </c>
      <c r="D63" s="9">
        <f t="shared" ref="D63:BO63" si="5">PRODUCT(D198:D251)</f>
        <v>32768</v>
      </c>
      <c r="E63" s="9">
        <f t="shared" si="5"/>
        <v>8192</v>
      </c>
      <c r="F63" s="9">
        <f t="shared" si="5"/>
        <v>8192</v>
      </c>
      <c r="G63" s="9">
        <f t="shared" si="5"/>
        <v>512</v>
      </c>
      <c r="H63" s="9">
        <f t="shared" si="5"/>
        <v>4096</v>
      </c>
      <c r="I63" s="9">
        <f t="shared" si="5"/>
        <v>8192</v>
      </c>
      <c r="J63" s="9">
        <f t="shared" si="5"/>
        <v>512</v>
      </c>
      <c r="K63" s="9">
        <f t="shared" si="5"/>
        <v>512</v>
      </c>
      <c r="L63" s="9">
        <f t="shared" si="5"/>
        <v>262144</v>
      </c>
      <c r="M63" s="9">
        <f t="shared" si="5"/>
        <v>1024</v>
      </c>
      <c r="N63" s="9">
        <f t="shared" si="5"/>
        <v>16384</v>
      </c>
      <c r="O63" s="9">
        <f t="shared" si="5"/>
        <v>131072</v>
      </c>
      <c r="P63" s="9">
        <f t="shared" si="5"/>
        <v>16384</v>
      </c>
      <c r="Q63" s="9">
        <f t="shared" si="5"/>
        <v>16384</v>
      </c>
      <c r="R63" s="9">
        <f t="shared" si="5"/>
        <v>16384</v>
      </c>
      <c r="S63" s="9">
        <f t="shared" si="5"/>
        <v>16384</v>
      </c>
      <c r="T63" s="9">
        <f t="shared" si="5"/>
        <v>8</v>
      </c>
      <c r="U63" s="9">
        <f t="shared" si="5"/>
        <v>16384</v>
      </c>
      <c r="V63" s="9">
        <f t="shared" si="5"/>
        <v>64</v>
      </c>
      <c r="W63" s="9">
        <f t="shared" si="5"/>
        <v>16384</v>
      </c>
      <c r="X63" s="9">
        <f t="shared" si="5"/>
        <v>256</v>
      </c>
      <c r="Y63" s="9">
        <f t="shared" si="5"/>
        <v>16384</v>
      </c>
      <c r="Z63" s="9">
        <f t="shared" si="5"/>
        <v>16384</v>
      </c>
      <c r="AA63" s="9">
        <f t="shared" si="5"/>
        <v>16384</v>
      </c>
      <c r="AB63" s="9">
        <f t="shared" si="5"/>
        <v>2048</v>
      </c>
      <c r="AC63" s="9">
        <f t="shared" si="5"/>
        <v>131072</v>
      </c>
      <c r="AD63" s="9">
        <f t="shared" si="5"/>
        <v>0</v>
      </c>
      <c r="AE63" s="9">
        <f t="shared" si="5"/>
        <v>4096</v>
      </c>
      <c r="AF63" s="9">
        <f t="shared" si="5"/>
        <v>512</v>
      </c>
      <c r="AG63" s="9">
        <f t="shared" si="5"/>
        <v>2048</v>
      </c>
      <c r="AH63" s="9">
        <f t="shared" si="5"/>
        <v>65536</v>
      </c>
      <c r="AI63" s="9">
        <f t="shared" si="5"/>
        <v>65536</v>
      </c>
      <c r="AJ63" s="9">
        <f t="shared" si="5"/>
        <v>512</v>
      </c>
      <c r="AK63" s="9">
        <f t="shared" si="5"/>
        <v>32768</v>
      </c>
      <c r="AL63" s="9">
        <f t="shared" si="5"/>
        <v>32768</v>
      </c>
      <c r="AM63" s="9">
        <f t="shared" si="5"/>
        <v>2048</v>
      </c>
      <c r="AN63" s="9">
        <f t="shared" si="5"/>
        <v>64</v>
      </c>
      <c r="AO63" s="9">
        <f t="shared" si="5"/>
        <v>262144</v>
      </c>
      <c r="AP63" s="9">
        <f t="shared" si="5"/>
        <v>4096</v>
      </c>
      <c r="AQ63" s="9">
        <f t="shared" si="5"/>
        <v>16384</v>
      </c>
      <c r="AR63" s="9">
        <f t="shared" si="5"/>
        <v>2048</v>
      </c>
      <c r="AS63" s="9">
        <f t="shared" si="5"/>
        <v>1048576</v>
      </c>
      <c r="AT63" s="9">
        <f t="shared" si="5"/>
        <v>16384</v>
      </c>
      <c r="AU63" s="9">
        <f t="shared" si="5"/>
        <v>32768</v>
      </c>
      <c r="AV63" s="9">
        <f t="shared" si="5"/>
        <v>512</v>
      </c>
      <c r="AW63" s="9">
        <f t="shared" si="5"/>
        <v>65536</v>
      </c>
      <c r="AX63" s="9">
        <f t="shared" si="5"/>
        <v>2048</v>
      </c>
      <c r="AY63" s="9">
        <f t="shared" si="5"/>
        <v>131072</v>
      </c>
      <c r="AZ63" s="9">
        <f t="shared" si="5"/>
        <v>2048</v>
      </c>
      <c r="BA63" s="9">
        <f t="shared" si="5"/>
        <v>256</v>
      </c>
      <c r="BB63" s="9">
        <f t="shared" si="5"/>
        <v>32</v>
      </c>
      <c r="BC63" s="9">
        <f t="shared" si="5"/>
        <v>32</v>
      </c>
      <c r="BD63" s="9">
        <f t="shared" si="5"/>
        <v>32</v>
      </c>
      <c r="BE63" s="9">
        <f t="shared" si="5"/>
        <v>131072</v>
      </c>
      <c r="BF63" s="9">
        <f t="shared" si="5"/>
        <v>8</v>
      </c>
      <c r="BG63" s="9">
        <f t="shared" si="5"/>
        <v>2048</v>
      </c>
      <c r="BH63" s="9">
        <f t="shared" si="5"/>
        <v>16384</v>
      </c>
      <c r="BI63" s="9">
        <f t="shared" si="5"/>
        <v>256</v>
      </c>
      <c r="BJ63" s="9">
        <f t="shared" si="5"/>
        <v>512</v>
      </c>
      <c r="BK63" s="9">
        <f t="shared" si="5"/>
        <v>16384</v>
      </c>
      <c r="BL63" s="9">
        <f t="shared" si="5"/>
        <v>131072</v>
      </c>
      <c r="BM63" s="9">
        <f t="shared" si="5"/>
        <v>16384</v>
      </c>
      <c r="BN63" s="9">
        <f t="shared" si="5"/>
        <v>65536</v>
      </c>
      <c r="BO63" s="9">
        <f t="shared" si="5"/>
        <v>4096</v>
      </c>
      <c r="BP63" s="9">
        <f t="shared" ref="BP63:DH63" si="6">PRODUCT(BP198:BP251)</f>
        <v>131072</v>
      </c>
      <c r="BQ63" s="9">
        <f t="shared" si="6"/>
        <v>512</v>
      </c>
      <c r="BR63" s="9">
        <f t="shared" si="6"/>
        <v>64</v>
      </c>
      <c r="BS63" s="9">
        <f t="shared" si="6"/>
        <v>2048</v>
      </c>
      <c r="BT63" s="9">
        <f t="shared" si="6"/>
        <v>64</v>
      </c>
      <c r="BU63" s="9">
        <f t="shared" si="6"/>
        <v>64</v>
      </c>
      <c r="BV63" s="9">
        <f t="shared" si="6"/>
        <v>256</v>
      </c>
      <c r="BW63" s="9">
        <f t="shared" si="6"/>
        <v>32768</v>
      </c>
      <c r="BX63" s="9">
        <f t="shared" si="6"/>
        <v>512</v>
      </c>
      <c r="BY63" s="9">
        <f t="shared" si="6"/>
        <v>64</v>
      </c>
      <c r="BZ63" s="9">
        <f t="shared" si="6"/>
        <v>16384</v>
      </c>
      <c r="CA63" s="9">
        <f t="shared" si="6"/>
        <v>2048</v>
      </c>
      <c r="CB63" s="9">
        <f t="shared" si="6"/>
        <v>512</v>
      </c>
      <c r="CC63" s="9">
        <f t="shared" si="6"/>
        <v>256</v>
      </c>
      <c r="CD63" s="9">
        <f t="shared" si="6"/>
        <v>512</v>
      </c>
      <c r="CE63" s="9">
        <f t="shared" si="6"/>
        <v>8</v>
      </c>
      <c r="CF63" s="9">
        <f t="shared" si="6"/>
        <v>8</v>
      </c>
      <c r="CG63" s="9">
        <f t="shared" si="6"/>
        <v>4096</v>
      </c>
      <c r="CH63" s="9">
        <f t="shared" si="6"/>
        <v>4096</v>
      </c>
      <c r="CI63" s="9">
        <f t="shared" si="6"/>
        <v>16384</v>
      </c>
      <c r="CJ63" s="9">
        <f t="shared" si="6"/>
        <v>512</v>
      </c>
      <c r="CK63" s="9">
        <f t="shared" si="6"/>
        <v>32</v>
      </c>
      <c r="CL63" s="9">
        <f t="shared" si="6"/>
        <v>2048</v>
      </c>
      <c r="CM63" s="9">
        <f t="shared" si="6"/>
        <v>8192</v>
      </c>
      <c r="CN63" s="9">
        <f t="shared" si="6"/>
        <v>1048576</v>
      </c>
      <c r="CO63" s="9">
        <f t="shared" si="6"/>
        <v>64</v>
      </c>
      <c r="CP63" s="9">
        <f t="shared" si="6"/>
        <v>64</v>
      </c>
      <c r="CQ63" s="9">
        <f t="shared" si="6"/>
        <v>1024</v>
      </c>
      <c r="CR63" s="9">
        <f t="shared" si="6"/>
        <v>1048576</v>
      </c>
      <c r="CS63" s="9">
        <f t="shared" si="6"/>
        <v>512</v>
      </c>
      <c r="CT63" s="9">
        <f t="shared" si="6"/>
        <v>512</v>
      </c>
      <c r="CU63" s="9">
        <f t="shared" si="6"/>
        <v>2048</v>
      </c>
      <c r="CV63" s="9">
        <f t="shared" si="6"/>
        <v>2048</v>
      </c>
      <c r="CW63" s="9">
        <f t="shared" si="6"/>
        <v>512</v>
      </c>
      <c r="CX63" s="9">
        <f t="shared" si="6"/>
        <v>512</v>
      </c>
      <c r="CY63" s="9">
        <f t="shared" si="6"/>
        <v>16384</v>
      </c>
      <c r="CZ63" s="9">
        <f t="shared" si="6"/>
        <v>4096</v>
      </c>
      <c r="DA63" s="9">
        <f t="shared" si="6"/>
        <v>256</v>
      </c>
      <c r="DB63" s="9">
        <f t="shared" si="6"/>
        <v>512</v>
      </c>
      <c r="DC63" s="9">
        <f t="shared" si="6"/>
        <v>262144</v>
      </c>
      <c r="DD63" s="9">
        <f t="shared" si="6"/>
        <v>2048</v>
      </c>
      <c r="DE63" s="9">
        <f t="shared" si="6"/>
        <v>512</v>
      </c>
      <c r="DF63" s="9">
        <f t="shared" si="6"/>
        <v>4096</v>
      </c>
      <c r="DG63" s="9">
        <f t="shared" si="6"/>
        <v>32768</v>
      </c>
      <c r="DH63" s="9">
        <f t="shared" si="6"/>
        <v>256</v>
      </c>
      <c r="DJ63" s="9"/>
      <c r="DK63" s="9"/>
    </row>
    <row r="64" spans="1:116" x14ac:dyDescent="0.25">
      <c r="D64" s="46"/>
      <c r="E64" s="46"/>
      <c r="F64" s="46"/>
      <c r="G64" s="46"/>
      <c r="H64" s="46"/>
      <c r="I64" s="46"/>
      <c r="J64" s="46"/>
      <c r="K64" s="46"/>
      <c r="L64" s="46"/>
      <c r="M64" s="46"/>
      <c r="N64" s="46"/>
      <c r="O64" s="46"/>
      <c r="P64" s="46"/>
      <c r="Q64" s="46"/>
      <c r="R64" s="46"/>
      <c r="S64" s="46"/>
      <c r="T64" s="46"/>
      <c r="U64" s="46"/>
      <c r="V64" s="46"/>
      <c r="W64" s="46"/>
      <c r="X64" s="46"/>
      <c r="Y64" s="46"/>
      <c r="Z64" s="46"/>
      <c r="AA64" s="46"/>
      <c r="AB64" s="46"/>
      <c r="AC64" s="46"/>
      <c r="AD64" s="46"/>
      <c r="AE64" s="46"/>
      <c r="AF64" s="46"/>
      <c r="AG64" s="46"/>
      <c r="AH64" s="46"/>
      <c r="AI64" s="46"/>
      <c r="AJ64" s="46"/>
      <c r="AK64" s="46"/>
      <c r="AL64" s="46"/>
      <c r="AM64" s="46"/>
      <c r="AN64" s="46"/>
      <c r="AO64" s="46"/>
      <c r="AP64" s="46"/>
      <c r="AQ64" s="46"/>
      <c r="AR64" s="46"/>
      <c r="AS64" s="46"/>
      <c r="AT64" s="46"/>
      <c r="AU64" s="46"/>
      <c r="AV64" s="46"/>
      <c r="AW64" s="46"/>
      <c r="AX64" s="46"/>
      <c r="AY64" s="46"/>
      <c r="AZ64" s="46"/>
      <c r="BA64" s="46"/>
      <c r="BB64" s="46"/>
      <c r="BC64" s="46"/>
      <c r="BD64" s="46"/>
      <c r="BE64" s="46"/>
      <c r="BF64" s="46"/>
      <c r="BG64" s="46"/>
      <c r="BH64" s="46"/>
      <c r="BI64" s="46"/>
      <c r="BJ64" s="46"/>
      <c r="BK64" s="46"/>
      <c r="BL64" s="46"/>
      <c r="BM64" s="46"/>
      <c r="BN64" s="46"/>
      <c r="BO64" s="46"/>
      <c r="BP64" s="46"/>
      <c r="BQ64" s="46"/>
      <c r="BR64" s="46"/>
      <c r="BS64" s="46"/>
      <c r="BT64" s="46"/>
      <c r="BU64" s="46"/>
      <c r="BV64" s="46"/>
      <c r="BW64" s="46"/>
      <c r="BX64" s="46"/>
      <c r="BY64" s="46"/>
      <c r="BZ64" s="46"/>
      <c r="CA64" s="46"/>
      <c r="CB64" s="46"/>
      <c r="CC64" s="46"/>
      <c r="CD64" s="46"/>
      <c r="CE64" s="46"/>
      <c r="CF64" s="46"/>
      <c r="CG64" s="46"/>
      <c r="CH64" s="46"/>
      <c r="CI64" s="46"/>
      <c r="CJ64" s="46"/>
      <c r="CK64" s="46"/>
      <c r="CL64" s="46"/>
      <c r="CM64" s="46"/>
      <c r="CN64" s="46"/>
      <c r="CO64" s="46"/>
      <c r="CP64" s="46"/>
      <c r="CQ64" s="46"/>
      <c r="CR64" s="46"/>
      <c r="CS64" s="46"/>
      <c r="CT64" s="46"/>
      <c r="CU64" s="46"/>
      <c r="CV64" s="46"/>
      <c r="CW64" s="46"/>
      <c r="CX64" s="46"/>
      <c r="CY64" s="46"/>
      <c r="CZ64" s="46"/>
      <c r="DA64" s="46"/>
      <c r="DB64" s="46"/>
      <c r="DC64" s="46"/>
      <c r="DD64" s="46"/>
      <c r="DE64" s="46"/>
      <c r="DF64" s="46"/>
      <c r="DG64" s="46"/>
      <c r="DH64" s="46"/>
      <c r="DJ64" s="9"/>
      <c r="DK64" s="9"/>
    </row>
    <row r="65" spans="3:115" x14ac:dyDescent="0.25">
      <c r="C65" s="7" t="str">
        <f t="shared" ref="C65:AH65" si="7">IF(C63&gt;64,IF(C2="FM","FB",IF(C2="FA","FB",C2)),IF(C63&gt;=32,IF(C2="FM","FB",IF(C2="FA","FM",C2)),C2))</f>
        <v>FB</v>
      </c>
      <c r="D65" s="46" t="str">
        <f t="shared" si="7"/>
        <v>FB</v>
      </c>
      <c r="E65" s="46" t="str">
        <f t="shared" si="7"/>
        <v>FB</v>
      </c>
      <c r="F65" s="46" t="str">
        <f t="shared" si="7"/>
        <v>FB</v>
      </c>
      <c r="G65" s="46" t="str">
        <f t="shared" si="7"/>
        <v>FB</v>
      </c>
      <c r="H65" s="46" t="str">
        <f t="shared" si="7"/>
        <v>FB</v>
      </c>
      <c r="I65" s="46" t="str">
        <f t="shared" si="7"/>
        <v>FB</v>
      </c>
      <c r="J65" s="46" t="str">
        <f t="shared" si="7"/>
        <v>FB</v>
      </c>
      <c r="K65" s="46" t="str">
        <f t="shared" si="7"/>
        <v>FB</v>
      </c>
      <c r="L65" s="46" t="str">
        <f t="shared" si="7"/>
        <v>FB</v>
      </c>
      <c r="M65" s="46" t="str">
        <f t="shared" si="7"/>
        <v>FB</v>
      </c>
      <c r="N65" s="46" t="str">
        <f t="shared" si="7"/>
        <v>FB</v>
      </c>
      <c r="O65" s="46" t="str">
        <f t="shared" si="7"/>
        <v>FB</v>
      </c>
      <c r="P65" s="46" t="str">
        <f t="shared" si="7"/>
        <v>FB</v>
      </c>
      <c r="Q65" s="46" t="str">
        <f t="shared" si="7"/>
        <v>FB</v>
      </c>
      <c r="R65" s="46" t="str">
        <f t="shared" si="7"/>
        <v>FB</v>
      </c>
      <c r="S65" s="46" t="str">
        <f t="shared" si="7"/>
        <v>FB</v>
      </c>
      <c r="T65" s="46" t="str">
        <f t="shared" si="7"/>
        <v>FB</v>
      </c>
      <c r="U65" s="46" t="str">
        <f t="shared" si="7"/>
        <v>FB</v>
      </c>
      <c r="V65" s="46" t="str">
        <f t="shared" si="7"/>
        <v>FB</v>
      </c>
      <c r="W65" s="46" t="str">
        <f t="shared" si="7"/>
        <v>FB</v>
      </c>
      <c r="X65" s="46" t="str">
        <f t="shared" si="7"/>
        <v>FB</v>
      </c>
      <c r="Y65" s="46" t="str">
        <f t="shared" si="7"/>
        <v>FB</v>
      </c>
      <c r="Z65" s="46" t="str">
        <f t="shared" si="7"/>
        <v>FB</v>
      </c>
      <c r="AA65" s="46" t="str">
        <f t="shared" si="7"/>
        <v>FB</v>
      </c>
      <c r="AB65" s="46" t="str">
        <f t="shared" si="7"/>
        <v>FB</v>
      </c>
      <c r="AC65" s="46" t="str">
        <f t="shared" si="7"/>
        <v>FB</v>
      </c>
      <c r="AD65" s="46" t="str">
        <f t="shared" si="7"/>
        <v>FMB</v>
      </c>
      <c r="AE65" s="46" t="str">
        <f t="shared" si="7"/>
        <v>FB</v>
      </c>
      <c r="AF65" s="46" t="str">
        <f t="shared" si="7"/>
        <v>FB</v>
      </c>
      <c r="AG65" s="46" t="str">
        <f t="shared" si="7"/>
        <v>FB</v>
      </c>
      <c r="AH65" s="46" t="str">
        <f t="shared" si="7"/>
        <v>FB</v>
      </c>
      <c r="AI65" s="46" t="str">
        <f t="shared" ref="AI65:BN65" si="8">IF(AI63&gt;64,IF(AI2="FM","FB",IF(AI2="FA","FB",AI2)),IF(AI63&gt;=32,IF(AI2="FM","FB",IF(AI2="FA","FM",AI2)),AI2))</f>
        <v>FB</v>
      </c>
      <c r="AJ65" s="46" t="str">
        <f t="shared" si="8"/>
        <v>FB</v>
      </c>
      <c r="AK65" s="46" t="str">
        <f t="shared" si="8"/>
        <v>FB</v>
      </c>
      <c r="AL65" s="46" t="str">
        <f t="shared" si="8"/>
        <v>FB</v>
      </c>
      <c r="AM65" s="46" t="str">
        <f t="shared" si="8"/>
        <v>FB</v>
      </c>
      <c r="AN65" s="46" t="str">
        <f t="shared" si="8"/>
        <v>FB</v>
      </c>
      <c r="AO65" s="46" t="str">
        <f t="shared" si="8"/>
        <v>FB</v>
      </c>
      <c r="AP65" s="46" t="str">
        <f t="shared" si="8"/>
        <v>FB</v>
      </c>
      <c r="AQ65" s="46" t="str">
        <f t="shared" si="8"/>
        <v>FB</v>
      </c>
      <c r="AR65" s="46" t="str">
        <f t="shared" si="8"/>
        <v>FB</v>
      </c>
      <c r="AS65" s="46" t="str">
        <f t="shared" si="8"/>
        <v>FB</v>
      </c>
      <c r="AT65" s="46" t="str">
        <f t="shared" si="8"/>
        <v>FB</v>
      </c>
      <c r="AU65" s="46" t="str">
        <f t="shared" si="8"/>
        <v>FB</v>
      </c>
      <c r="AV65" s="46" t="str">
        <f t="shared" si="8"/>
        <v>FB</v>
      </c>
      <c r="AW65" s="46" t="str">
        <f t="shared" si="8"/>
        <v>FB</v>
      </c>
      <c r="AX65" s="46" t="str">
        <f t="shared" si="8"/>
        <v>FB</v>
      </c>
      <c r="AY65" s="46" t="str">
        <f t="shared" si="8"/>
        <v>FB</v>
      </c>
      <c r="AZ65" s="46" t="str">
        <f t="shared" si="8"/>
        <v>FB</v>
      </c>
      <c r="BA65" s="46" t="str">
        <f t="shared" si="8"/>
        <v>FB</v>
      </c>
      <c r="BB65" s="46" t="str">
        <f t="shared" si="8"/>
        <v>FMB</v>
      </c>
      <c r="BC65" s="46" t="str">
        <f t="shared" si="8"/>
        <v>FB</v>
      </c>
      <c r="BD65" s="46" t="str">
        <f t="shared" si="8"/>
        <v>FB</v>
      </c>
      <c r="BE65" s="46" t="str">
        <f t="shared" si="8"/>
        <v>FB</v>
      </c>
      <c r="BF65" s="46" t="str">
        <f t="shared" si="8"/>
        <v>FB</v>
      </c>
      <c r="BG65" s="46" t="str">
        <f t="shared" si="8"/>
        <v>FB</v>
      </c>
      <c r="BH65" s="46" t="str">
        <f t="shared" si="8"/>
        <v>FB</v>
      </c>
      <c r="BI65" s="46" t="str">
        <f t="shared" si="8"/>
        <v>FB</v>
      </c>
      <c r="BJ65" s="46" t="str">
        <f t="shared" si="8"/>
        <v>FB</v>
      </c>
      <c r="BK65" s="46" t="str">
        <f t="shared" si="8"/>
        <v>FB</v>
      </c>
      <c r="BL65" s="46" t="str">
        <f t="shared" si="8"/>
        <v>FB</v>
      </c>
      <c r="BM65" s="46" t="str">
        <f t="shared" si="8"/>
        <v>FB</v>
      </c>
      <c r="BN65" s="46" t="str">
        <f t="shared" si="8"/>
        <v>FB</v>
      </c>
      <c r="BO65" s="46" t="str">
        <f t="shared" ref="BO65:CT65" si="9">IF(BO63&gt;64,IF(BO2="FM","FB",IF(BO2="FA","FB",BO2)),IF(BO63&gt;=32,IF(BO2="FM","FB",IF(BO2="FA","FM",BO2)),BO2))</f>
        <v>FB</v>
      </c>
      <c r="BP65" s="46" t="str">
        <f t="shared" si="9"/>
        <v>FB</v>
      </c>
      <c r="BQ65" s="46" t="str">
        <f t="shared" si="9"/>
        <v>FB</v>
      </c>
      <c r="BR65" s="46" t="str">
        <f t="shared" si="9"/>
        <v>FB</v>
      </c>
      <c r="BS65" s="46" t="str">
        <f t="shared" si="9"/>
        <v>FB</v>
      </c>
      <c r="BT65" s="46" t="str">
        <f t="shared" si="9"/>
        <v>FB</v>
      </c>
      <c r="BU65" s="46" t="str">
        <f t="shared" si="9"/>
        <v>FB</v>
      </c>
      <c r="BV65" s="46" t="str">
        <f t="shared" si="9"/>
        <v>FB</v>
      </c>
      <c r="BW65" s="46" t="str">
        <f t="shared" si="9"/>
        <v>FB</v>
      </c>
      <c r="BX65" s="46" t="str">
        <f t="shared" si="9"/>
        <v>FMB</v>
      </c>
      <c r="BY65" s="46" t="str">
        <f t="shared" si="9"/>
        <v>FMB</v>
      </c>
      <c r="BZ65" s="46" t="str">
        <f t="shared" si="9"/>
        <v>FB</v>
      </c>
      <c r="CA65" s="46" t="str">
        <f t="shared" si="9"/>
        <v>FB</v>
      </c>
      <c r="CB65" s="46" t="str">
        <f t="shared" si="9"/>
        <v>FMB</v>
      </c>
      <c r="CC65" s="46" t="str">
        <f t="shared" si="9"/>
        <v>FB</v>
      </c>
      <c r="CD65" s="46" t="str">
        <f t="shared" si="9"/>
        <v>FB</v>
      </c>
      <c r="CE65" s="46" t="str">
        <f t="shared" si="9"/>
        <v>FM</v>
      </c>
      <c r="CF65" s="46" t="str">
        <f t="shared" si="9"/>
        <v>FM</v>
      </c>
      <c r="CG65" s="46" t="str">
        <f t="shared" si="9"/>
        <v>FB</v>
      </c>
      <c r="CH65" s="46" t="str">
        <f t="shared" si="9"/>
        <v>FB</v>
      </c>
      <c r="CI65" s="46" t="str">
        <f t="shared" si="9"/>
        <v>FB</v>
      </c>
      <c r="CJ65" s="46" t="str">
        <f t="shared" si="9"/>
        <v>FB</v>
      </c>
      <c r="CK65" s="46" t="str">
        <f t="shared" si="9"/>
        <v>FB</v>
      </c>
      <c r="CL65" s="46" t="str">
        <f t="shared" si="9"/>
        <v>FB</v>
      </c>
      <c r="CM65" s="46" t="str">
        <f t="shared" si="9"/>
        <v>FB</v>
      </c>
      <c r="CN65" s="46" t="str">
        <f t="shared" si="9"/>
        <v>FB</v>
      </c>
      <c r="CO65" s="46" t="str">
        <f t="shared" si="9"/>
        <v>FB</v>
      </c>
      <c r="CP65" s="46" t="str">
        <f t="shared" si="9"/>
        <v>FB</v>
      </c>
      <c r="CQ65" s="46" t="str">
        <f t="shared" si="9"/>
        <v>FB</v>
      </c>
      <c r="CR65" s="46" t="str">
        <f t="shared" si="9"/>
        <v>FB</v>
      </c>
      <c r="CS65" s="46" t="str">
        <f t="shared" si="9"/>
        <v>FB</v>
      </c>
      <c r="CT65" s="46" t="str">
        <f t="shared" si="9"/>
        <v>FMB</v>
      </c>
      <c r="CU65" s="46" t="str">
        <f t="shared" ref="CU65:DH65" si="10">IF(CU63&gt;64,IF(CU2="FM","FB",IF(CU2="FA","FB",CU2)),IF(CU63&gt;=32,IF(CU2="FM","FB",IF(CU2="FA","FM",CU2)),CU2))</f>
        <v>FB</v>
      </c>
      <c r="CV65" s="46" t="str">
        <f t="shared" si="10"/>
        <v>FB</v>
      </c>
      <c r="CW65" s="46" t="str">
        <f t="shared" si="10"/>
        <v>FB</v>
      </c>
      <c r="CX65" s="46" t="str">
        <f t="shared" si="10"/>
        <v>FB</v>
      </c>
      <c r="CY65" s="46" t="str">
        <f t="shared" si="10"/>
        <v>FB</v>
      </c>
      <c r="CZ65" s="46" t="str">
        <f t="shared" si="10"/>
        <v>FB</v>
      </c>
      <c r="DA65" s="46" t="str">
        <f t="shared" si="10"/>
        <v>FB</v>
      </c>
      <c r="DB65" s="46" t="str">
        <f t="shared" si="10"/>
        <v>FB</v>
      </c>
      <c r="DC65" s="46" t="str">
        <f t="shared" si="10"/>
        <v>FB</v>
      </c>
      <c r="DD65" s="46" t="str">
        <f t="shared" si="10"/>
        <v>FB</v>
      </c>
      <c r="DE65" s="46" t="str">
        <f t="shared" si="10"/>
        <v>FB</v>
      </c>
      <c r="DF65" s="46" t="str">
        <f t="shared" si="10"/>
        <v>FB</v>
      </c>
      <c r="DG65" s="46" t="str">
        <f t="shared" si="10"/>
        <v>FB</v>
      </c>
      <c r="DH65" s="46" t="str">
        <f t="shared" si="10"/>
        <v>FB</v>
      </c>
      <c r="DJ65" s="9"/>
      <c r="DK65" s="9"/>
    </row>
    <row r="66" spans="3:115" x14ac:dyDescent="0.25">
      <c r="DJ66" s="9"/>
      <c r="DK66" s="9"/>
    </row>
    <row r="67" spans="3:115" x14ac:dyDescent="0.25">
      <c r="DJ67" s="9"/>
      <c r="DK67" s="9"/>
    </row>
    <row r="68" spans="3:115" x14ac:dyDescent="0.25">
      <c r="DJ68" s="9"/>
      <c r="DK68" s="9"/>
    </row>
    <row r="69" spans="3:115" x14ac:dyDescent="0.25">
      <c r="DJ69" s="9"/>
      <c r="DK69" s="9"/>
    </row>
    <row r="70" spans="3:115" x14ac:dyDescent="0.25">
      <c r="DJ70" s="9"/>
      <c r="DK70" s="9"/>
    </row>
    <row r="71" spans="3:115" x14ac:dyDescent="0.25">
      <c r="DJ71" s="9"/>
      <c r="DK71" s="9"/>
    </row>
    <row r="72" spans="3:115" x14ac:dyDescent="0.25">
      <c r="DJ72" s="9"/>
      <c r="DK72" s="9"/>
    </row>
    <row r="73" spans="3:115" x14ac:dyDescent="0.25">
      <c r="DJ73" s="9"/>
      <c r="DK73" s="9"/>
    </row>
    <row r="74" spans="3:115" x14ac:dyDescent="0.25">
      <c r="DJ74" s="9"/>
      <c r="DK74" s="9"/>
    </row>
    <row r="75" spans="3:115" x14ac:dyDescent="0.25">
      <c r="DJ75" s="9"/>
      <c r="DK75" s="9"/>
    </row>
    <row r="76" spans="3:115" x14ac:dyDescent="0.25">
      <c r="DJ76" s="9"/>
      <c r="DK76" s="9"/>
    </row>
    <row r="77" spans="3:115" x14ac:dyDescent="0.25">
      <c r="DJ77" s="9"/>
      <c r="DK77" s="9"/>
    </row>
    <row r="78" spans="3:115" x14ac:dyDescent="0.25">
      <c r="DJ78" s="9"/>
      <c r="DK78" s="9"/>
    </row>
    <row r="79" spans="3:115" x14ac:dyDescent="0.25">
      <c r="DJ79" s="9"/>
      <c r="DK79" s="9"/>
    </row>
    <row r="80" spans="3:115" x14ac:dyDescent="0.25">
      <c r="DJ80" s="9"/>
      <c r="DK80" s="9"/>
    </row>
    <row r="81" spans="114:115" x14ac:dyDescent="0.25">
      <c r="DJ81" s="9"/>
      <c r="DK81" s="9"/>
    </row>
    <row r="82" spans="114:115" x14ac:dyDescent="0.25">
      <c r="DJ82" s="9"/>
      <c r="DK82" s="9"/>
    </row>
    <row r="83" spans="114:115" x14ac:dyDescent="0.25">
      <c r="DJ83" s="9"/>
      <c r="DK83" s="9"/>
    </row>
    <row r="84" spans="114:115" x14ac:dyDescent="0.25">
      <c r="DJ84" s="9"/>
      <c r="DK84" s="9"/>
    </row>
    <row r="85" spans="114:115" x14ac:dyDescent="0.25">
      <c r="DJ85" s="9"/>
      <c r="DK85" s="9"/>
    </row>
    <row r="86" spans="114:115" x14ac:dyDescent="0.25">
      <c r="DJ86" s="9"/>
      <c r="DK86" s="9"/>
    </row>
    <row r="87" spans="114:115" x14ac:dyDescent="0.25">
      <c r="DJ87" s="9"/>
      <c r="DK87" s="9"/>
    </row>
    <row r="88" spans="114:115" x14ac:dyDescent="0.25">
      <c r="DJ88" s="9"/>
      <c r="DK88" s="9"/>
    </row>
    <row r="89" spans="114:115" x14ac:dyDescent="0.25">
      <c r="DJ89" s="9"/>
      <c r="DK89" s="9"/>
    </row>
    <row r="90" spans="114:115" x14ac:dyDescent="0.25">
      <c r="DJ90" s="9"/>
      <c r="DK90" s="9"/>
    </row>
    <row r="91" spans="114:115" x14ac:dyDescent="0.25">
      <c r="DJ91" s="9"/>
      <c r="DK91" s="9"/>
    </row>
    <row r="92" spans="114:115" x14ac:dyDescent="0.25">
      <c r="DJ92" s="9"/>
      <c r="DK92" s="9"/>
    </row>
    <row r="93" spans="114:115" x14ac:dyDescent="0.25">
      <c r="DJ93" s="9"/>
      <c r="DK93" s="9"/>
    </row>
    <row r="94" spans="114:115" x14ac:dyDescent="0.25">
      <c r="DJ94" s="9"/>
      <c r="DK94" s="9"/>
    </row>
    <row r="95" spans="114:115" x14ac:dyDescent="0.25">
      <c r="DJ95" s="9"/>
      <c r="DK95" s="9"/>
    </row>
    <row r="96" spans="114:115" x14ac:dyDescent="0.25">
      <c r="DJ96" s="9"/>
      <c r="DK96" s="9"/>
    </row>
    <row r="97" spans="114:115" x14ac:dyDescent="0.25">
      <c r="DJ97" s="9"/>
      <c r="DK97" s="9"/>
    </row>
    <row r="98" spans="114:115" x14ac:dyDescent="0.25">
      <c r="DJ98" s="9"/>
      <c r="DK98" s="9"/>
    </row>
    <row r="99" spans="114:115" x14ac:dyDescent="0.25">
      <c r="DJ99" s="9"/>
      <c r="DK99" s="9"/>
    </row>
    <row r="100" spans="114:115" x14ac:dyDescent="0.25">
      <c r="DJ100" s="9"/>
      <c r="DK100" s="9"/>
    </row>
    <row r="101" spans="114:115" x14ac:dyDescent="0.25">
      <c r="DJ101" s="9"/>
      <c r="DK101" s="9"/>
    </row>
    <row r="102" spans="114:115" x14ac:dyDescent="0.25">
      <c r="DJ102" s="9"/>
      <c r="DK102" s="9"/>
    </row>
    <row r="197" spans="1:116" s="47" customFormat="1" x14ac:dyDescent="0.25">
      <c r="A197" s="86"/>
      <c r="B197" s="48"/>
      <c r="D197" s="48"/>
      <c r="E197" s="48"/>
      <c r="F197" s="48"/>
      <c r="G197" s="48"/>
      <c r="H197" s="48"/>
      <c r="I197" s="48"/>
      <c r="J197" s="48"/>
      <c r="K197" s="48"/>
      <c r="L197" s="48"/>
      <c r="M197" s="48"/>
      <c r="N197" s="48"/>
      <c r="O197" s="48"/>
      <c r="P197" s="48"/>
      <c r="Q197" s="48"/>
      <c r="R197" s="48"/>
      <c r="S197" s="48"/>
      <c r="T197" s="48"/>
      <c r="U197" s="49"/>
      <c r="V197" s="49"/>
      <c r="W197" s="49"/>
      <c r="X197" s="49"/>
      <c r="Y197" s="49"/>
      <c r="Z197" s="49"/>
      <c r="AA197" s="49"/>
      <c r="AB197" s="49"/>
      <c r="AC197" s="49"/>
      <c r="AD197" s="49"/>
      <c r="AE197" s="49"/>
      <c r="AF197" s="49"/>
      <c r="AG197" s="49"/>
      <c r="AH197" s="49"/>
      <c r="AI197" s="49"/>
      <c r="AJ197" s="49"/>
      <c r="AK197" s="49"/>
      <c r="AL197" s="49"/>
      <c r="AM197" s="49"/>
      <c r="AN197" s="49"/>
      <c r="AO197" s="49"/>
      <c r="AP197" s="49"/>
      <c r="AQ197" s="49"/>
      <c r="AR197" s="49"/>
      <c r="AS197" s="49"/>
      <c r="AT197" s="49"/>
      <c r="AU197" s="49"/>
      <c r="AV197" s="49"/>
      <c r="AW197" s="49"/>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c r="CD197" s="49"/>
      <c r="CE197" s="49"/>
      <c r="CF197" s="49"/>
      <c r="CG197" s="49"/>
      <c r="CH197" s="49"/>
      <c r="CI197" s="49"/>
      <c r="CJ197" s="49"/>
      <c r="CK197" s="49"/>
      <c r="CL197" s="49"/>
      <c r="CM197" s="49"/>
      <c r="CN197" s="49"/>
      <c r="CO197" s="49"/>
      <c r="CP197" s="49"/>
      <c r="CQ197" s="49"/>
      <c r="CR197" s="49"/>
      <c r="CS197" s="49"/>
      <c r="CT197" s="49"/>
      <c r="CU197" s="49"/>
      <c r="CV197" s="49"/>
      <c r="CW197" s="49"/>
      <c r="CX197" s="49"/>
      <c r="CY197" s="49"/>
      <c r="CZ197" s="49"/>
      <c r="DA197" s="49"/>
      <c r="DB197" s="49"/>
      <c r="DC197" s="49"/>
      <c r="DD197" s="49"/>
      <c r="DE197" s="49"/>
      <c r="DF197" s="49"/>
      <c r="DG197" s="49"/>
      <c r="DH197" s="49"/>
      <c r="DI197" s="49"/>
    </row>
    <row r="198" spans="1:116" x14ac:dyDescent="0.25">
      <c r="B198" s="46"/>
      <c r="C198" s="46" t="str">
        <f>IF(C8="X",$DK8,"")</f>
        <v/>
      </c>
      <c r="D198" s="46" t="str">
        <f t="shared" ref="D198:BO198" si="11">IF(D8="X",$DK8,"")</f>
        <v/>
      </c>
      <c r="E198" s="46" t="str">
        <f t="shared" si="11"/>
        <v/>
      </c>
      <c r="F198" s="46" t="str">
        <f t="shared" si="11"/>
        <v/>
      </c>
      <c r="G198" s="46" t="str">
        <f t="shared" si="11"/>
        <v/>
      </c>
      <c r="H198" s="46" t="str">
        <f t="shared" si="11"/>
        <v/>
      </c>
      <c r="I198" s="46" t="str">
        <f t="shared" si="11"/>
        <v/>
      </c>
      <c r="J198" s="46" t="str">
        <f t="shared" si="11"/>
        <v/>
      </c>
      <c r="K198" s="46" t="str">
        <f t="shared" si="11"/>
        <v/>
      </c>
      <c r="L198" s="46" t="str">
        <f t="shared" si="11"/>
        <v/>
      </c>
      <c r="M198" s="46" t="str">
        <f t="shared" si="11"/>
        <v/>
      </c>
      <c r="N198" s="46" t="str">
        <f t="shared" si="11"/>
        <v/>
      </c>
      <c r="O198" s="46" t="str">
        <f t="shared" si="11"/>
        <v/>
      </c>
      <c r="P198" s="46" t="str">
        <f t="shared" si="11"/>
        <v/>
      </c>
      <c r="Q198" s="46" t="str">
        <f t="shared" si="11"/>
        <v/>
      </c>
      <c r="R198" s="46" t="str">
        <f t="shared" si="11"/>
        <v/>
      </c>
      <c r="S198" s="46" t="str">
        <f t="shared" si="11"/>
        <v/>
      </c>
      <c r="T198" s="46" t="str">
        <f t="shared" si="11"/>
        <v/>
      </c>
      <c r="U198" s="46" t="str">
        <f t="shared" si="11"/>
        <v/>
      </c>
      <c r="V198" s="46" t="str">
        <f t="shared" si="11"/>
        <v/>
      </c>
      <c r="W198" s="46" t="str">
        <f t="shared" si="11"/>
        <v/>
      </c>
      <c r="X198" s="46" t="str">
        <f t="shared" si="11"/>
        <v/>
      </c>
      <c r="Y198" s="46" t="str">
        <f t="shared" si="11"/>
        <v/>
      </c>
      <c r="Z198" s="46" t="str">
        <f t="shared" si="11"/>
        <v/>
      </c>
      <c r="AA198" s="46" t="str">
        <f t="shared" si="11"/>
        <v/>
      </c>
      <c r="AB198" s="46" t="str">
        <f t="shared" si="11"/>
        <v/>
      </c>
      <c r="AC198" s="46" t="str">
        <f t="shared" si="11"/>
        <v/>
      </c>
      <c r="AD198" s="46" t="str">
        <f t="shared" si="11"/>
        <v/>
      </c>
      <c r="AE198" s="46" t="str">
        <f t="shared" si="11"/>
        <v/>
      </c>
      <c r="AF198" s="46" t="str">
        <f t="shared" si="11"/>
        <v/>
      </c>
      <c r="AG198" s="46" t="str">
        <f t="shared" si="11"/>
        <v/>
      </c>
      <c r="AH198" s="46" t="str">
        <f t="shared" si="11"/>
        <v/>
      </c>
      <c r="AI198" s="46" t="str">
        <f t="shared" si="11"/>
        <v/>
      </c>
      <c r="AJ198" s="46" t="str">
        <f t="shared" si="11"/>
        <v/>
      </c>
      <c r="AK198" s="46" t="str">
        <f t="shared" si="11"/>
        <v/>
      </c>
      <c r="AL198" s="46" t="str">
        <f t="shared" si="11"/>
        <v/>
      </c>
      <c r="AM198" s="46" t="str">
        <f t="shared" si="11"/>
        <v/>
      </c>
      <c r="AN198" s="46" t="str">
        <f t="shared" si="11"/>
        <v/>
      </c>
      <c r="AO198" s="46" t="str">
        <f t="shared" si="11"/>
        <v/>
      </c>
      <c r="AP198" s="46" t="str">
        <f t="shared" si="11"/>
        <v/>
      </c>
      <c r="AQ198" s="46" t="str">
        <f t="shared" si="11"/>
        <v/>
      </c>
      <c r="AR198" s="46" t="str">
        <f t="shared" si="11"/>
        <v/>
      </c>
      <c r="AS198" s="46" t="str">
        <f t="shared" si="11"/>
        <v/>
      </c>
      <c r="AT198" s="46" t="str">
        <f t="shared" si="11"/>
        <v/>
      </c>
      <c r="AU198" s="46" t="str">
        <f t="shared" si="11"/>
        <v/>
      </c>
      <c r="AV198" s="46" t="str">
        <f t="shared" si="11"/>
        <v/>
      </c>
      <c r="AW198" s="46" t="str">
        <f t="shared" si="11"/>
        <v/>
      </c>
      <c r="AX198" s="46" t="str">
        <f t="shared" si="11"/>
        <v/>
      </c>
      <c r="AY198" s="46" t="str">
        <f t="shared" si="11"/>
        <v/>
      </c>
      <c r="AZ198" s="46" t="str">
        <f t="shared" si="11"/>
        <v/>
      </c>
      <c r="BA198" s="46" t="str">
        <f t="shared" si="11"/>
        <v/>
      </c>
      <c r="BB198" s="46">
        <f t="shared" si="11"/>
        <v>8</v>
      </c>
      <c r="BC198" s="46" t="str">
        <f t="shared" si="11"/>
        <v/>
      </c>
      <c r="BD198" s="46" t="str">
        <f t="shared" si="11"/>
        <v/>
      </c>
      <c r="BE198" s="46" t="str">
        <f t="shared" si="11"/>
        <v/>
      </c>
      <c r="BF198" s="46" t="str">
        <f t="shared" si="11"/>
        <v/>
      </c>
      <c r="BG198" s="46" t="str">
        <f t="shared" si="11"/>
        <v/>
      </c>
      <c r="BH198" s="46" t="str">
        <f t="shared" si="11"/>
        <v/>
      </c>
      <c r="BI198" s="46" t="str">
        <f t="shared" si="11"/>
        <v/>
      </c>
      <c r="BJ198" s="46" t="str">
        <f t="shared" si="11"/>
        <v/>
      </c>
      <c r="BK198" s="46" t="str">
        <f t="shared" si="11"/>
        <v/>
      </c>
      <c r="BL198" s="46" t="str">
        <f t="shared" si="11"/>
        <v/>
      </c>
      <c r="BM198" s="46" t="str">
        <f t="shared" si="11"/>
        <v/>
      </c>
      <c r="BN198" s="46" t="str">
        <f t="shared" si="11"/>
        <v/>
      </c>
      <c r="BO198" s="46" t="str">
        <f t="shared" si="11"/>
        <v/>
      </c>
      <c r="BP198" s="46" t="str">
        <f t="shared" ref="BP198:DH198" si="12">IF(BP8="X",$DK8,"")</f>
        <v/>
      </c>
      <c r="BQ198" s="46" t="str">
        <f t="shared" si="12"/>
        <v/>
      </c>
      <c r="BR198" s="46" t="str">
        <f t="shared" si="12"/>
        <v/>
      </c>
      <c r="BS198" s="46" t="str">
        <f t="shared" si="12"/>
        <v/>
      </c>
      <c r="BT198" s="46" t="str">
        <f t="shared" si="12"/>
        <v/>
      </c>
      <c r="BU198" s="46" t="str">
        <f t="shared" si="12"/>
        <v/>
      </c>
      <c r="BV198" s="46" t="str">
        <f t="shared" si="12"/>
        <v/>
      </c>
      <c r="BW198" s="46" t="str">
        <f t="shared" si="12"/>
        <v/>
      </c>
      <c r="BX198" s="46" t="str">
        <f t="shared" si="12"/>
        <v/>
      </c>
      <c r="BY198" s="46" t="str">
        <f t="shared" si="12"/>
        <v/>
      </c>
      <c r="BZ198" s="46" t="str">
        <f t="shared" si="12"/>
        <v/>
      </c>
      <c r="CA198" s="46" t="str">
        <f t="shared" si="12"/>
        <v/>
      </c>
      <c r="CB198" s="46" t="str">
        <f t="shared" si="12"/>
        <v/>
      </c>
      <c r="CC198" s="46" t="str">
        <f t="shared" si="12"/>
        <v/>
      </c>
      <c r="CD198" s="46" t="str">
        <f t="shared" si="12"/>
        <v/>
      </c>
      <c r="CE198" s="46" t="str">
        <f t="shared" si="12"/>
        <v/>
      </c>
      <c r="CF198" s="46" t="str">
        <f t="shared" si="12"/>
        <v/>
      </c>
      <c r="CG198" s="46" t="str">
        <f t="shared" si="12"/>
        <v/>
      </c>
      <c r="CH198" s="46" t="str">
        <f t="shared" si="12"/>
        <v/>
      </c>
      <c r="CI198" s="46" t="str">
        <f t="shared" si="12"/>
        <v/>
      </c>
      <c r="CJ198" s="46" t="str">
        <f t="shared" si="12"/>
        <v/>
      </c>
      <c r="CK198" s="46" t="str">
        <f t="shared" si="12"/>
        <v/>
      </c>
      <c r="CL198" s="46" t="str">
        <f t="shared" si="12"/>
        <v/>
      </c>
      <c r="CM198" s="46" t="str">
        <f t="shared" si="12"/>
        <v/>
      </c>
      <c r="CN198" s="46" t="str">
        <f t="shared" si="12"/>
        <v/>
      </c>
      <c r="CO198" s="46" t="str">
        <f t="shared" si="12"/>
        <v/>
      </c>
      <c r="CP198" s="46" t="str">
        <f t="shared" si="12"/>
        <v/>
      </c>
      <c r="CQ198" s="46" t="str">
        <f t="shared" si="12"/>
        <v/>
      </c>
      <c r="CR198" s="46" t="str">
        <f t="shared" si="12"/>
        <v/>
      </c>
      <c r="CS198" s="46" t="str">
        <f t="shared" si="12"/>
        <v/>
      </c>
      <c r="CT198" s="46" t="str">
        <f t="shared" si="12"/>
        <v/>
      </c>
      <c r="CU198" s="46" t="str">
        <f t="shared" si="12"/>
        <v/>
      </c>
      <c r="CV198" s="46" t="str">
        <f t="shared" si="12"/>
        <v/>
      </c>
      <c r="CW198" s="46" t="str">
        <f t="shared" si="12"/>
        <v/>
      </c>
      <c r="CX198" s="46" t="str">
        <f t="shared" si="12"/>
        <v/>
      </c>
      <c r="CY198" s="46" t="str">
        <f t="shared" si="12"/>
        <v/>
      </c>
      <c r="CZ198" s="46" t="str">
        <f t="shared" si="12"/>
        <v/>
      </c>
      <c r="DA198" s="46" t="str">
        <f t="shared" si="12"/>
        <v/>
      </c>
      <c r="DB198" s="46" t="str">
        <f t="shared" si="12"/>
        <v/>
      </c>
      <c r="DC198" s="46" t="str">
        <f t="shared" si="12"/>
        <v/>
      </c>
      <c r="DD198" s="46" t="str">
        <f t="shared" si="12"/>
        <v/>
      </c>
      <c r="DE198" s="46" t="str">
        <f t="shared" si="12"/>
        <v/>
      </c>
      <c r="DF198" s="46" t="str">
        <f t="shared" si="12"/>
        <v/>
      </c>
      <c r="DG198" s="46" t="str">
        <f t="shared" si="12"/>
        <v/>
      </c>
      <c r="DH198" s="46" t="str">
        <f t="shared" si="12"/>
        <v/>
      </c>
      <c r="DL198" s="6"/>
    </row>
    <row r="199" spans="1:116" x14ac:dyDescent="0.25">
      <c r="B199" s="46"/>
      <c r="C199" s="46" t="str">
        <f>IF(C9="X",$DK9,"")</f>
        <v/>
      </c>
      <c r="D199" s="46" t="str">
        <f t="shared" ref="D199:BO200" si="13">IF(D9="X",$DK9,"")</f>
        <v/>
      </c>
      <c r="E199" s="46" t="str">
        <f t="shared" si="13"/>
        <v/>
      </c>
      <c r="F199" s="46" t="str">
        <f t="shared" si="13"/>
        <v/>
      </c>
      <c r="G199" s="46" t="str">
        <f t="shared" si="13"/>
        <v/>
      </c>
      <c r="H199" s="46" t="str">
        <f t="shared" si="13"/>
        <v/>
      </c>
      <c r="I199" s="46" t="str">
        <f t="shared" si="13"/>
        <v/>
      </c>
      <c r="J199" s="46" t="str">
        <f t="shared" si="13"/>
        <v/>
      </c>
      <c r="K199" s="46" t="str">
        <f t="shared" si="13"/>
        <v/>
      </c>
      <c r="L199" s="46" t="str">
        <f t="shared" si="13"/>
        <v/>
      </c>
      <c r="M199" s="46" t="str">
        <f t="shared" si="13"/>
        <v/>
      </c>
      <c r="N199" s="46" t="str">
        <f t="shared" si="13"/>
        <v/>
      </c>
      <c r="O199" s="46" t="str">
        <f t="shared" si="13"/>
        <v/>
      </c>
      <c r="P199" s="46" t="str">
        <f t="shared" si="13"/>
        <v/>
      </c>
      <c r="Q199" s="46" t="str">
        <f t="shared" si="13"/>
        <v/>
      </c>
      <c r="R199" s="46" t="str">
        <f t="shared" si="13"/>
        <v/>
      </c>
      <c r="S199" s="46" t="str">
        <f t="shared" si="13"/>
        <v/>
      </c>
      <c r="T199" s="46" t="str">
        <f t="shared" si="13"/>
        <v/>
      </c>
      <c r="U199" s="46" t="str">
        <f t="shared" si="13"/>
        <v/>
      </c>
      <c r="V199" s="46" t="str">
        <f t="shared" si="13"/>
        <v/>
      </c>
      <c r="W199" s="46" t="str">
        <f t="shared" si="13"/>
        <v/>
      </c>
      <c r="X199" s="46" t="str">
        <f t="shared" si="13"/>
        <v/>
      </c>
      <c r="Y199" s="46" t="str">
        <f t="shared" si="13"/>
        <v/>
      </c>
      <c r="Z199" s="46" t="str">
        <f t="shared" si="13"/>
        <v/>
      </c>
      <c r="AA199" s="46" t="str">
        <f t="shared" si="13"/>
        <v/>
      </c>
      <c r="AB199" s="46" t="str">
        <f t="shared" si="13"/>
        <v/>
      </c>
      <c r="AC199" s="46" t="str">
        <f t="shared" si="13"/>
        <v/>
      </c>
      <c r="AD199" s="46" t="str">
        <f t="shared" si="13"/>
        <v/>
      </c>
      <c r="AE199" s="46" t="str">
        <f t="shared" si="13"/>
        <v/>
      </c>
      <c r="AF199" s="46" t="str">
        <f t="shared" si="13"/>
        <v/>
      </c>
      <c r="AG199" s="46" t="str">
        <f t="shared" si="13"/>
        <v/>
      </c>
      <c r="AH199" s="46" t="str">
        <f t="shared" si="13"/>
        <v/>
      </c>
      <c r="AI199" s="46" t="str">
        <f t="shared" si="13"/>
        <v/>
      </c>
      <c r="AJ199" s="46" t="str">
        <f t="shared" si="13"/>
        <v/>
      </c>
      <c r="AK199" s="46" t="str">
        <f t="shared" si="13"/>
        <v/>
      </c>
      <c r="AL199" s="46" t="str">
        <f t="shared" si="13"/>
        <v/>
      </c>
      <c r="AM199" s="46" t="str">
        <f t="shared" si="13"/>
        <v/>
      </c>
      <c r="AN199" s="46" t="str">
        <f t="shared" si="13"/>
        <v/>
      </c>
      <c r="AO199" s="46" t="str">
        <f t="shared" si="13"/>
        <v/>
      </c>
      <c r="AP199" s="46" t="str">
        <f t="shared" si="13"/>
        <v/>
      </c>
      <c r="AQ199" s="46" t="str">
        <f t="shared" si="13"/>
        <v/>
      </c>
      <c r="AR199" s="46" t="str">
        <f t="shared" si="13"/>
        <v/>
      </c>
      <c r="AS199" s="46" t="str">
        <f t="shared" si="13"/>
        <v/>
      </c>
      <c r="AT199" s="46" t="str">
        <f t="shared" si="13"/>
        <v/>
      </c>
      <c r="AU199" s="46" t="str">
        <f t="shared" si="13"/>
        <v/>
      </c>
      <c r="AV199" s="46" t="str">
        <f t="shared" si="13"/>
        <v/>
      </c>
      <c r="AW199" s="46" t="str">
        <f t="shared" si="13"/>
        <v/>
      </c>
      <c r="AX199" s="46" t="str">
        <f t="shared" si="13"/>
        <v/>
      </c>
      <c r="AY199" s="46" t="str">
        <f t="shared" si="13"/>
        <v/>
      </c>
      <c r="AZ199" s="46" t="str">
        <f t="shared" si="13"/>
        <v/>
      </c>
      <c r="BA199" s="46" t="str">
        <f t="shared" si="13"/>
        <v/>
      </c>
      <c r="BB199" s="46" t="str">
        <f t="shared" si="13"/>
        <v/>
      </c>
      <c r="BC199" s="46" t="str">
        <f t="shared" si="13"/>
        <v/>
      </c>
      <c r="BD199" s="46" t="str">
        <f t="shared" si="13"/>
        <v/>
      </c>
      <c r="BE199" s="46" t="str">
        <f t="shared" si="13"/>
        <v/>
      </c>
      <c r="BF199" s="46" t="str">
        <f t="shared" si="13"/>
        <v/>
      </c>
      <c r="BG199" s="46" t="str">
        <f t="shared" si="13"/>
        <v/>
      </c>
      <c r="BH199" s="46" t="str">
        <f t="shared" si="13"/>
        <v/>
      </c>
      <c r="BI199" s="46" t="str">
        <f t="shared" si="13"/>
        <v/>
      </c>
      <c r="BJ199" s="46" t="str">
        <f t="shared" si="13"/>
        <v/>
      </c>
      <c r="BK199" s="46" t="str">
        <f t="shared" si="13"/>
        <v/>
      </c>
      <c r="BL199" s="46" t="str">
        <f t="shared" si="13"/>
        <v/>
      </c>
      <c r="BM199" s="46" t="str">
        <f t="shared" si="13"/>
        <v/>
      </c>
      <c r="BN199" s="46" t="str">
        <f t="shared" si="13"/>
        <v/>
      </c>
      <c r="BO199" s="46" t="str">
        <f t="shared" si="13"/>
        <v/>
      </c>
      <c r="BP199" s="46" t="str">
        <f t="shared" ref="BP199:DH203" si="14">IF(BP9="X",$DK9,"")</f>
        <v/>
      </c>
      <c r="BQ199" s="46" t="str">
        <f t="shared" si="14"/>
        <v/>
      </c>
      <c r="BR199" s="46" t="str">
        <f t="shared" si="14"/>
        <v/>
      </c>
      <c r="BS199" s="46" t="str">
        <f t="shared" si="14"/>
        <v/>
      </c>
      <c r="BT199" s="46" t="str">
        <f t="shared" si="14"/>
        <v/>
      </c>
      <c r="BU199" s="46" t="str">
        <f t="shared" si="14"/>
        <v/>
      </c>
      <c r="BV199" s="46" t="str">
        <f t="shared" si="14"/>
        <v/>
      </c>
      <c r="BW199" s="46" t="str">
        <f t="shared" si="14"/>
        <v/>
      </c>
      <c r="BX199" s="46" t="str">
        <f t="shared" si="14"/>
        <v/>
      </c>
      <c r="BY199" s="46" t="str">
        <f t="shared" si="14"/>
        <v/>
      </c>
      <c r="BZ199" s="46" t="str">
        <f t="shared" si="14"/>
        <v/>
      </c>
      <c r="CA199" s="46" t="str">
        <f t="shared" si="14"/>
        <v/>
      </c>
      <c r="CB199" s="46" t="str">
        <f t="shared" si="14"/>
        <v/>
      </c>
      <c r="CC199" s="46" t="str">
        <f t="shared" si="14"/>
        <v/>
      </c>
      <c r="CD199" s="46" t="str">
        <f t="shared" si="14"/>
        <v/>
      </c>
      <c r="CE199" s="46" t="str">
        <f t="shared" si="14"/>
        <v/>
      </c>
      <c r="CF199" s="46" t="str">
        <f t="shared" si="14"/>
        <v/>
      </c>
      <c r="CG199" s="46" t="str">
        <f t="shared" si="14"/>
        <v/>
      </c>
      <c r="CH199" s="46" t="str">
        <f t="shared" si="14"/>
        <v/>
      </c>
      <c r="CI199" s="46" t="str">
        <f t="shared" si="14"/>
        <v/>
      </c>
      <c r="CJ199" s="46" t="str">
        <f t="shared" si="14"/>
        <v/>
      </c>
      <c r="CK199" s="46" t="str">
        <f t="shared" si="14"/>
        <v/>
      </c>
      <c r="CL199" s="46" t="str">
        <f t="shared" si="14"/>
        <v/>
      </c>
      <c r="CM199" s="46" t="str">
        <f t="shared" si="14"/>
        <v/>
      </c>
      <c r="CN199" s="46" t="str">
        <f t="shared" si="14"/>
        <v/>
      </c>
      <c r="CO199" s="46" t="str">
        <f t="shared" si="14"/>
        <v/>
      </c>
      <c r="CP199" s="46" t="str">
        <f t="shared" si="14"/>
        <v/>
      </c>
      <c r="CQ199" s="46" t="str">
        <f t="shared" si="14"/>
        <v/>
      </c>
      <c r="CR199" s="46" t="str">
        <f t="shared" si="14"/>
        <v/>
      </c>
      <c r="CS199" s="46" t="str">
        <f t="shared" si="14"/>
        <v/>
      </c>
      <c r="CT199" s="46" t="str">
        <f t="shared" si="14"/>
        <v/>
      </c>
      <c r="CU199" s="46" t="str">
        <f t="shared" si="14"/>
        <v/>
      </c>
      <c r="CV199" s="46" t="str">
        <f t="shared" si="14"/>
        <v/>
      </c>
      <c r="CW199" s="46" t="str">
        <f t="shared" si="14"/>
        <v/>
      </c>
      <c r="CX199" s="46">
        <f t="shared" si="14"/>
        <v>8</v>
      </c>
      <c r="CY199" s="46" t="str">
        <f t="shared" si="14"/>
        <v/>
      </c>
      <c r="CZ199" s="46" t="str">
        <f t="shared" si="14"/>
        <v/>
      </c>
      <c r="DA199" s="46" t="str">
        <f t="shared" si="14"/>
        <v/>
      </c>
      <c r="DB199" s="46" t="str">
        <f t="shared" si="14"/>
        <v/>
      </c>
      <c r="DC199" s="46" t="str">
        <f t="shared" si="14"/>
        <v/>
      </c>
      <c r="DD199" s="46" t="str">
        <f t="shared" si="14"/>
        <v/>
      </c>
      <c r="DE199" s="46" t="str">
        <f t="shared" si="14"/>
        <v/>
      </c>
      <c r="DF199" s="46" t="str">
        <f t="shared" si="14"/>
        <v/>
      </c>
      <c r="DG199" s="46" t="str">
        <f t="shared" si="14"/>
        <v/>
      </c>
      <c r="DH199" s="46" t="str">
        <f t="shared" si="14"/>
        <v/>
      </c>
      <c r="DL199" s="6"/>
    </row>
    <row r="200" spans="1:116" x14ac:dyDescent="0.25">
      <c r="B200" s="46"/>
      <c r="C200" s="46" t="str">
        <f t="shared" ref="C200:R251" si="15">IF(C10="X",$DK10,"")</f>
        <v/>
      </c>
      <c r="D200" s="46" t="str">
        <f t="shared" si="15"/>
        <v/>
      </c>
      <c r="E200" s="46" t="str">
        <f t="shared" si="15"/>
        <v/>
      </c>
      <c r="F200" s="46" t="str">
        <f t="shared" si="15"/>
        <v/>
      </c>
      <c r="G200" s="46" t="str">
        <f t="shared" si="15"/>
        <v/>
      </c>
      <c r="H200" s="46" t="str">
        <f t="shared" si="15"/>
        <v/>
      </c>
      <c r="I200" s="46" t="str">
        <f t="shared" si="15"/>
        <v/>
      </c>
      <c r="J200" s="46" t="str">
        <f t="shared" si="15"/>
        <v/>
      </c>
      <c r="K200" s="46" t="str">
        <f t="shared" si="15"/>
        <v/>
      </c>
      <c r="L200" s="46" t="str">
        <f t="shared" si="15"/>
        <v/>
      </c>
      <c r="M200" s="46" t="str">
        <f t="shared" si="15"/>
        <v/>
      </c>
      <c r="N200" s="46" t="str">
        <f t="shared" si="15"/>
        <v/>
      </c>
      <c r="O200" s="46" t="str">
        <f t="shared" si="15"/>
        <v/>
      </c>
      <c r="P200" s="46" t="str">
        <f t="shared" si="15"/>
        <v/>
      </c>
      <c r="Q200" s="46" t="str">
        <f t="shared" si="15"/>
        <v/>
      </c>
      <c r="R200" s="46" t="str">
        <f t="shared" si="15"/>
        <v/>
      </c>
      <c r="S200" s="46" t="str">
        <f t="shared" si="13"/>
        <v/>
      </c>
      <c r="T200" s="46" t="str">
        <f t="shared" si="13"/>
        <v/>
      </c>
      <c r="U200" s="46" t="str">
        <f t="shared" si="13"/>
        <v/>
      </c>
      <c r="V200" s="46" t="str">
        <f t="shared" si="13"/>
        <v/>
      </c>
      <c r="W200" s="46" t="str">
        <f t="shared" si="13"/>
        <v/>
      </c>
      <c r="X200" s="46" t="str">
        <f t="shared" si="13"/>
        <v/>
      </c>
      <c r="Y200" s="46" t="str">
        <f t="shared" si="13"/>
        <v/>
      </c>
      <c r="Z200" s="46" t="str">
        <f t="shared" si="13"/>
        <v/>
      </c>
      <c r="AA200" s="46" t="str">
        <f t="shared" si="13"/>
        <v/>
      </c>
      <c r="AB200" s="46" t="str">
        <f t="shared" si="13"/>
        <v/>
      </c>
      <c r="AC200" s="46" t="str">
        <f t="shared" si="13"/>
        <v/>
      </c>
      <c r="AD200" s="46" t="str">
        <f t="shared" si="13"/>
        <v/>
      </c>
      <c r="AE200" s="46" t="str">
        <f t="shared" si="13"/>
        <v/>
      </c>
      <c r="AF200" s="46" t="str">
        <f t="shared" si="13"/>
        <v/>
      </c>
      <c r="AG200" s="46" t="str">
        <f t="shared" si="13"/>
        <v/>
      </c>
      <c r="AH200" s="46" t="str">
        <f t="shared" si="13"/>
        <v/>
      </c>
      <c r="AI200" s="46" t="str">
        <f t="shared" si="13"/>
        <v/>
      </c>
      <c r="AJ200" s="46" t="str">
        <f t="shared" si="13"/>
        <v/>
      </c>
      <c r="AK200" s="46" t="str">
        <f t="shared" si="13"/>
        <v/>
      </c>
      <c r="AL200" s="46" t="str">
        <f t="shared" si="13"/>
        <v/>
      </c>
      <c r="AM200" s="46" t="str">
        <f t="shared" si="13"/>
        <v/>
      </c>
      <c r="AN200" s="46" t="str">
        <f t="shared" si="13"/>
        <v/>
      </c>
      <c r="AO200" s="46" t="str">
        <f t="shared" si="13"/>
        <v/>
      </c>
      <c r="AP200" s="46" t="str">
        <f t="shared" si="13"/>
        <v/>
      </c>
      <c r="AQ200" s="46" t="str">
        <f t="shared" si="13"/>
        <v/>
      </c>
      <c r="AR200" s="46" t="str">
        <f t="shared" si="13"/>
        <v/>
      </c>
      <c r="AS200" s="46" t="str">
        <f t="shared" si="13"/>
        <v/>
      </c>
      <c r="AT200" s="46" t="str">
        <f t="shared" si="13"/>
        <v/>
      </c>
      <c r="AU200" s="46" t="str">
        <f t="shared" si="13"/>
        <v/>
      </c>
      <c r="AV200" s="46" t="str">
        <f t="shared" si="13"/>
        <v/>
      </c>
      <c r="AW200" s="46" t="str">
        <f t="shared" si="13"/>
        <v/>
      </c>
      <c r="AX200" s="46" t="str">
        <f t="shared" si="13"/>
        <v/>
      </c>
      <c r="AY200" s="46" t="str">
        <f t="shared" si="13"/>
        <v/>
      </c>
      <c r="AZ200" s="46" t="str">
        <f t="shared" si="13"/>
        <v/>
      </c>
      <c r="BA200" s="46" t="str">
        <f t="shared" si="13"/>
        <v/>
      </c>
      <c r="BB200" s="46" t="str">
        <f t="shared" si="13"/>
        <v/>
      </c>
      <c r="BC200" s="46" t="str">
        <f t="shared" si="13"/>
        <v/>
      </c>
      <c r="BD200" s="46" t="str">
        <f t="shared" si="13"/>
        <v/>
      </c>
      <c r="BE200" s="46" t="str">
        <f t="shared" si="13"/>
        <v/>
      </c>
      <c r="BF200" s="46" t="str">
        <f t="shared" si="13"/>
        <v/>
      </c>
      <c r="BG200" s="46" t="str">
        <f t="shared" si="13"/>
        <v/>
      </c>
      <c r="BH200" s="46" t="str">
        <f t="shared" si="13"/>
        <v/>
      </c>
      <c r="BI200" s="46" t="str">
        <f t="shared" si="13"/>
        <v/>
      </c>
      <c r="BJ200" s="46" t="str">
        <f t="shared" si="13"/>
        <v/>
      </c>
      <c r="BK200" s="46" t="str">
        <f t="shared" si="13"/>
        <v/>
      </c>
      <c r="BL200" s="46" t="str">
        <f t="shared" si="13"/>
        <v/>
      </c>
      <c r="BM200" s="46" t="str">
        <f t="shared" si="13"/>
        <v/>
      </c>
      <c r="BN200" s="46" t="str">
        <f t="shared" si="13"/>
        <v/>
      </c>
      <c r="BO200" s="46" t="str">
        <f t="shared" si="13"/>
        <v/>
      </c>
      <c r="BP200" s="46" t="str">
        <f t="shared" si="14"/>
        <v/>
      </c>
      <c r="BQ200" s="46" t="str">
        <f t="shared" si="14"/>
        <v/>
      </c>
      <c r="BR200" s="46" t="str">
        <f t="shared" si="14"/>
        <v/>
      </c>
      <c r="BS200" s="46" t="str">
        <f t="shared" si="14"/>
        <v/>
      </c>
      <c r="BT200" s="46" t="str">
        <f t="shared" si="14"/>
        <v/>
      </c>
      <c r="BU200" s="46" t="str">
        <f t="shared" si="14"/>
        <v/>
      </c>
      <c r="BV200" s="46" t="str">
        <f t="shared" si="14"/>
        <v/>
      </c>
      <c r="BW200" s="46" t="str">
        <f t="shared" si="14"/>
        <v/>
      </c>
      <c r="BX200" s="46">
        <f t="shared" si="14"/>
        <v>8</v>
      </c>
      <c r="BY200" s="46">
        <f t="shared" si="14"/>
        <v>8</v>
      </c>
      <c r="BZ200" s="46" t="str">
        <f t="shared" si="14"/>
        <v/>
      </c>
      <c r="CA200" s="46" t="str">
        <f t="shared" si="14"/>
        <v/>
      </c>
      <c r="CB200" s="46">
        <f t="shared" si="14"/>
        <v>8</v>
      </c>
      <c r="CC200" s="46" t="str">
        <f t="shared" si="14"/>
        <v/>
      </c>
      <c r="CD200" s="46" t="str">
        <f t="shared" si="14"/>
        <v/>
      </c>
      <c r="CE200" s="46" t="str">
        <f t="shared" si="14"/>
        <v/>
      </c>
      <c r="CF200" s="46" t="str">
        <f t="shared" si="14"/>
        <v/>
      </c>
      <c r="CG200" s="46" t="str">
        <f t="shared" si="14"/>
        <v/>
      </c>
      <c r="CH200" s="46" t="str">
        <f t="shared" si="14"/>
        <v/>
      </c>
      <c r="CI200" s="46" t="str">
        <f t="shared" si="14"/>
        <v/>
      </c>
      <c r="CJ200" s="46" t="str">
        <f t="shared" si="14"/>
        <v/>
      </c>
      <c r="CK200" s="46" t="str">
        <f t="shared" si="14"/>
        <v/>
      </c>
      <c r="CL200" s="46" t="str">
        <f t="shared" si="14"/>
        <v/>
      </c>
      <c r="CM200" s="46" t="str">
        <f t="shared" si="14"/>
        <v/>
      </c>
      <c r="CN200" s="46" t="str">
        <f t="shared" si="14"/>
        <v/>
      </c>
      <c r="CO200" s="46" t="str">
        <f t="shared" si="14"/>
        <v/>
      </c>
      <c r="CP200" s="46" t="str">
        <f t="shared" si="14"/>
        <v/>
      </c>
      <c r="CQ200" s="46" t="str">
        <f t="shared" si="14"/>
        <v/>
      </c>
      <c r="CR200" s="46" t="str">
        <f t="shared" si="14"/>
        <v/>
      </c>
      <c r="CS200" s="46">
        <f t="shared" si="14"/>
        <v>8</v>
      </c>
      <c r="CT200" s="46">
        <f t="shared" si="14"/>
        <v>8</v>
      </c>
      <c r="CU200" s="46" t="str">
        <f t="shared" si="14"/>
        <v/>
      </c>
      <c r="CV200" s="46" t="str">
        <f t="shared" si="14"/>
        <v/>
      </c>
      <c r="CW200" s="46">
        <f t="shared" si="14"/>
        <v>8</v>
      </c>
      <c r="CX200" s="46" t="str">
        <f t="shared" si="14"/>
        <v/>
      </c>
      <c r="CY200" s="46" t="str">
        <f t="shared" si="14"/>
        <v/>
      </c>
      <c r="CZ200" s="46" t="str">
        <f t="shared" si="14"/>
        <v/>
      </c>
      <c r="DA200" s="46" t="str">
        <f t="shared" si="14"/>
        <v/>
      </c>
      <c r="DB200" s="46" t="str">
        <f t="shared" si="14"/>
        <v/>
      </c>
      <c r="DC200" s="46" t="str">
        <f t="shared" si="14"/>
        <v/>
      </c>
      <c r="DD200" s="46" t="str">
        <f t="shared" si="14"/>
        <v/>
      </c>
      <c r="DE200" s="46" t="str">
        <f t="shared" si="14"/>
        <v/>
      </c>
      <c r="DF200" s="46" t="str">
        <f t="shared" si="14"/>
        <v/>
      </c>
      <c r="DG200" s="46" t="str">
        <f t="shared" si="14"/>
        <v/>
      </c>
      <c r="DH200" s="46" t="str">
        <f t="shared" si="14"/>
        <v/>
      </c>
      <c r="DL200" s="6"/>
    </row>
    <row r="201" spans="1:116" x14ac:dyDescent="0.25">
      <c r="B201" s="46"/>
      <c r="C201" s="46" t="str">
        <f t="shared" si="15"/>
        <v/>
      </c>
      <c r="D201" s="46" t="str">
        <f t="shared" ref="D201:BO204" si="16">IF(D11="X",$DK11,"")</f>
        <v/>
      </c>
      <c r="E201" s="46" t="str">
        <f t="shared" si="16"/>
        <v/>
      </c>
      <c r="F201" s="46" t="str">
        <f t="shared" si="16"/>
        <v/>
      </c>
      <c r="G201" s="46" t="str">
        <f t="shared" si="16"/>
        <v/>
      </c>
      <c r="H201" s="46" t="str">
        <f t="shared" si="16"/>
        <v/>
      </c>
      <c r="I201" s="46" t="str">
        <f t="shared" si="16"/>
        <v/>
      </c>
      <c r="J201" s="46" t="str">
        <f t="shared" si="16"/>
        <v/>
      </c>
      <c r="K201" s="46" t="str">
        <f t="shared" si="16"/>
        <v/>
      </c>
      <c r="L201" s="46" t="str">
        <f t="shared" si="16"/>
        <v/>
      </c>
      <c r="M201" s="46" t="str">
        <f t="shared" si="16"/>
        <v/>
      </c>
      <c r="N201" s="46" t="str">
        <f t="shared" si="16"/>
        <v/>
      </c>
      <c r="O201" s="46" t="str">
        <f t="shared" si="16"/>
        <v/>
      </c>
      <c r="P201" s="46" t="str">
        <f t="shared" si="16"/>
        <v/>
      </c>
      <c r="Q201" s="46" t="str">
        <f t="shared" si="16"/>
        <v/>
      </c>
      <c r="R201" s="46" t="str">
        <f t="shared" si="16"/>
        <v/>
      </c>
      <c r="S201" s="46" t="str">
        <f t="shared" si="16"/>
        <v/>
      </c>
      <c r="T201" s="46">
        <f t="shared" si="16"/>
        <v>8</v>
      </c>
      <c r="U201" s="46" t="str">
        <f t="shared" si="16"/>
        <v/>
      </c>
      <c r="V201" s="46" t="str">
        <f t="shared" si="16"/>
        <v/>
      </c>
      <c r="W201" s="46" t="str">
        <f t="shared" si="16"/>
        <v/>
      </c>
      <c r="X201" s="46" t="str">
        <f t="shared" si="16"/>
        <v/>
      </c>
      <c r="Y201" s="46" t="str">
        <f t="shared" si="16"/>
        <v/>
      </c>
      <c r="Z201" s="46" t="str">
        <f t="shared" si="16"/>
        <v/>
      </c>
      <c r="AA201" s="46" t="str">
        <f t="shared" si="16"/>
        <v/>
      </c>
      <c r="AB201" s="46" t="str">
        <f t="shared" si="16"/>
        <v/>
      </c>
      <c r="AC201" s="46" t="str">
        <f t="shared" si="16"/>
        <v/>
      </c>
      <c r="AD201" s="46" t="str">
        <f t="shared" si="16"/>
        <v/>
      </c>
      <c r="AE201" s="46" t="str">
        <f t="shared" si="16"/>
        <v/>
      </c>
      <c r="AF201" s="46" t="str">
        <f t="shared" si="16"/>
        <v/>
      </c>
      <c r="AG201" s="46" t="str">
        <f t="shared" si="16"/>
        <v/>
      </c>
      <c r="AH201" s="46" t="str">
        <f t="shared" si="16"/>
        <v/>
      </c>
      <c r="AI201" s="46" t="str">
        <f t="shared" si="16"/>
        <v/>
      </c>
      <c r="AJ201" s="46" t="str">
        <f t="shared" si="16"/>
        <v/>
      </c>
      <c r="AK201" s="46" t="str">
        <f t="shared" si="16"/>
        <v/>
      </c>
      <c r="AL201" s="46" t="str">
        <f t="shared" si="16"/>
        <v/>
      </c>
      <c r="AM201" s="46" t="str">
        <f t="shared" si="16"/>
        <v/>
      </c>
      <c r="AN201" s="46" t="str">
        <f t="shared" si="16"/>
        <v/>
      </c>
      <c r="AO201" s="46" t="str">
        <f t="shared" si="16"/>
        <v/>
      </c>
      <c r="AP201" s="46" t="str">
        <f t="shared" si="16"/>
        <v/>
      </c>
      <c r="AQ201" s="46" t="str">
        <f t="shared" si="16"/>
        <v/>
      </c>
      <c r="AR201" s="46" t="str">
        <f t="shared" si="16"/>
        <v/>
      </c>
      <c r="AS201" s="46" t="str">
        <f t="shared" si="16"/>
        <v/>
      </c>
      <c r="AT201" s="46" t="str">
        <f t="shared" si="16"/>
        <v/>
      </c>
      <c r="AU201" s="46" t="str">
        <f t="shared" si="16"/>
        <v/>
      </c>
      <c r="AV201" s="46" t="str">
        <f t="shared" si="16"/>
        <v/>
      </c>
      <c r="AW201" s="46" t="str">
        <f t="shared" si="16"/>
        <v/>
      </c>
      <c r="AX201" s="46" t="str">
        <f t="shared" si="16"/>
        <v/>
      </c>
      <c r="AY201" s="46" t="str">
        <f t="shared" si="16"/>
        <v/>
      </c>
      <c r="AZ201" s="46" t="str">
        <f t="shared" si="16"/>
        <v/>
      </c>
      <c r="BA201" s="46" t="str">
        <f t="shared" si="16"/>
        <v/>
      </c>
      <c r="BB201" s="46" t="str">
        <f t="shared" si="16"/>
        <v/>
      </c>
      <c r="BC201" s="46" t="str">
        <f t="shared" si="16"/>
        <v/>
      </c>
      <c r="BD201" s="46" t="str">
        <f t="shared" si="16"/>
        <v/>
      </c>
      <c r="BE201" s="46" t="str">
        <f t="shared" si="16"/>
        <v/>
      </c>
      <c r="BF201" s="46" t="str">
        <f t="shared" si="16"/>
        <v/>
      </c>
      <c r="BG201" s="46" t="str">
        <f t="shared" si="16"/>
        <v/>
      </c>
      <c r="BH201" s="46" t="str">
        <f t="shared" si="16"/>
        <v/>
      </c>
      <c r="BI201" s="46" t="str">
        <f t="shared" si="16"/>
        <v/>
      </c>
      <c r="BJ201" s="46" t="str">
        <f t="shared" si="16"/>
        <v/>
      </c>
      <c r="BK201" s="46" t="str">
        <f t="shared" si="16"/>
        <v/>
      </c>
      <c r="BL201" s="46" t="str">
        <f t="shared" si="16"/>
        <v/>
      </c>
      <c r="BM201" s="46" t="str">
        <f t="shared" si="16"/>
        <v/>
      </c>
      <c r="BN201" s="46" t="str">
        <f t="shared" si="16"/>
        <v/>
      </c>
      <c r="BO201" s="46" t="str">
        <f t="shared" si="16"/>
        <v/>
      </c>
      <c r="BP201" s="46" t="str">
        <f t="shared" si="14"/>
        <v/>
      </c>
      <c r="BQ201" s="46" t="str">
        <f t="shared" si="14"/>
        <v/>
      </c>
      <c r="BR201" s="46" t="str">
        <f t="shared" si="14"/>
        <v/>
      </c>
      <c r="BS201" s="46" t="str">
        <f t="shared" si="14"/>
        <v/>
      </c>
      <c r="BT201" s="46">
        <f t="shared" si="14"/>
        <v>8</v>
      </c>
      <c r="BU201" s="46">
        <f t="shared" si="14"/>
        <v>8</v>
      </c>
      <c r="BV201" s="46" t="str">
        <f t="shared" si="14"/>
        <v/>
      </c>
      <c r="BW201" s="46" t="str">
        <f t="shared" si="14"/>
        <v/>
      </c>
      <c r="BX201" s="46">
        <f t="shared" si="14"/>
        <v>8</v>
      </c>
      <c r="BY201" s="46">
        <f t="shared" si="14"/>
        <v>8</v>
      </c>
      <c r="BZ201" s="46" t="str">
        <f t="shared" si="14"/>
        <v/>
      </c>
      <c r="CA201" s="46" t="str">
        <f t="shared" si="14"/>
        <v/>
      </c>
      <c r="CB201" s="46">
        <f t="shared" si="14"/>
        <v>8</v>
      </c>
      <c r="CC201" s="46" t="str">
        <f t="shared" si="14"/>
        <v/>
      </c>
      <c r="CD201" s="46" t="str">
        <f t="shared" si="14"/>
        <v/>
      </c>
      <c r="CE201" s="46" t="str">
        <f t="shared" si="14"/>
        <v/>
      </c>
      <c r="CF201" s="46" t="str">
        <f t="shared" si="14"/>
        <v/>
      </c>
      <c r="CG201" s="46" t="str">
        <f t="shared" si="14"/>
        <v/>
      </c>
      <c r="CH201" s="46" t="str">
        <f t="shared" si="14"/>
        <v/>
      </c>
      <c r="CI201" s="46" t="str">
        <f t="shared" si="14"/>
        <v/>
      </c>
      <c r="CJ201" s="46" t="str">
        <f t="shared" si="14"/>
        <v/>
      </c>
      <c r="CK201" s="46" t="str">
        <f t="shared" si="14"/>
        <v/>
      </c>
      <c r="CL201" s="46" t="str">
        <f t="shared" si="14"/>
        <v/>
      </c>
      <c r="CM201" s="46" t="str">
        <f t="shared" si="14"/>
        <v/>
      </c>
      <c r="CN201" s="46" t="str">
        <f t="shared" si="14"/>
        <v/>
      </c>
      <c r="CO201" s="46">
        <f t="shared" si="14"/>
        <v>8</v>
      </c>
      <c r="CP201" s="46">
        <f t="shared" si="14"/>
        <v>8</v>
      </c>
      <c r="CQ201" s="46" t="str">
        <f t="shared" si="14"/>
        <v/>
      </c>
      <c r="CR201" s="46" t="str">
        <f t="shared" si="14"/>
        <v/>
      </c>
      <c r="CS201" s="46">
        <f t="shared" si="14"/>
        <v>8</v>
      </c>
      <c r="CT201" s="46">
        <f t="shared" si="14"/>
        <v>8</v>
      </c>
      <c r="CU201" s="46" t="str">
        <f t="shared" si="14"/>
        <v/>
      </c>
      <c r="CV201" s="46" t="str">
        <f t="shared" si="14"/>
        <v/>
      </c>
      <c r="CW201" s="46">
        <f t="shared" si="14"/>
        <v>8</v>
      </c>
      <c r="CX201" s="46">
        <f t="shared" si="14"/>
        <v>8</v>
      </c>
      <c r="CY201" s="46" t="str">
        <f t="shared" si="14"/>
        <v/>
      </c>
      <c r="CZ201" s="46" t="str">
        <f t="shared" si="14"/>
        <v/>
      </c>
      <c r="DA201" s="46" t="str">
        <f t="shared" si="14"/>
        <v/>
      </c>
      <c r="DB201" s="46" t="str">
        <f t="shared" si="14"/>
        <v/>
      </c>
      <c r="DC201" s="46" t="str">
        <f t="shared" si="14"/>
        <v/>
      </c>
      <c r="DD201" s="46" t="str">
        <f t="shared" si="14"/>
        <v/>
      </c>
      <c r="DE201" s="46" t="str">
        <f t="shared" si="14"/>
        <v/>
      </c>
      <c r="DF201" s="46" t="str">
        <f t="shared" si="14"/>
        <v/>
      </c>
      <c r="DG201" s="46" t="str">
        <f t="shared" si="14"/>
        <v/>
      </c>
      <c r="DH201" s="46" t="str">
        <f t="shared" si="14"/>
        <v/>
      </c>
      <c r="DL201" s="6"/>
    </row>
    <row r="202" spans="1:116" x14ac:dyDescent="0.25">
      <c r="B202" s="46"/>
      <c r="C202" s="46" t="str">
        <f t="shared" si="15"/>
        <v/>
      </c>
      <c r="D202" s="46" t="str">
        <f t="shared" si="16"/>
        <v/>
      </c>
      <c r="E202" s="46" t="str">
        <f t="shared" si="16"/>
        <v/>
      </c>
      <c r="F202" s="46" t="str">
        <f t="shared" si="16"/>
        <v/>
      </c>
      <c r="G202" s="46" t="str">
        <f t="shared" si="16"/>
        <v/>
      </c>
      <c r="H202" s="46" t="str">
        <f t="shared" si="16"/>
        <v/>
      </c>
      <c r="I202" s="46" t="str">
        <f t="shared" si="16"/>
        <v/>
      </c>
      <c r="J202" s="46" t="str">
        <f t="shared" si="16"/>
        <v/>
      </c>
      <c r="K202" s="46" t="str">
        <f t="shared" si="16"/>
        <v/>
      </c>
      <c r="L202" s="46" t="str">
        <f t="shared" si="16"/>
        <v/>
      </c>
      <c r="M202" s="46" t="str">
        <f t="shared" si="16"/>
        <v/>
      </c>
      <c r="N202" s="46" t="str">
        <f t="shared" si="16"/>
        <v/>
      </c>
      <c r="O202" s="46" t="str">
        <f t="shared" si="16"/>
        <v/>
      </c>
      <c r="P202" s="46" t="str">
        <f t="shared" si="16"/>
        <v/>
      </c>
      <c r="Q202" s="46" t="str">
        <f t="shared" si="16"/>
        <v/>
      </c>
      <c r="R202" s="46" t="str">
        <f t="shared" si="16"/>
        <v/>
      </c>
      <c r="S202" s="46" t="str">
        <f t="shared" si="16"/>
        <v/>
      </c>
      <c r="T202" s="46" t="str">
        <f t="shared" si="16"/>
        <v/>
      </c>
      <c r="U202" s="46" t="str">
        <f t="shared" si="16"/>
        <v/>
      </c>
      <c r="V202" s="46" t="str">
        <f t="shared" si="16"/>
        <v/>
      </c>
      <c r="W202" s="46" t="str">
        <f t="shared" si="16"/>
        <v/>
      </c>
      <c r="X202" s="46" t="str">
        <f t="shared" si="16"/>
        <v/>
      </c>
      <c r="Y202" s="46" t="str">
        <f t="shared" si="16"/>
        <v/>
      </c>
      <c r="Z202" s="46" t="str">
        <f t="shared" si="16"/>
        <v/>
      </c>
      <c r="AA202" s="46" t="str">
        <f t="shared" si="16"/>
        <v/>
      </c>
      <c r="AB202" s="46" t="str">
        <f t="shared" si="16"/>
        <v/>
      </c>
      <c r="AC202" s="46" t="str">
        <f t="shared" si="16"/>
        <v/>
      </c>
      <c r="AD202" s="46" t="str">
        <f t="shared" si="16"/>
        <v/>
      </c>
      <c r="AE202" s="46" t="str">
        <f t="shared" si="16"/>
        <v/>
      </c>
      <c r="AF202" s="46" t="str">
        <f t="shared" si="16"/>
        <v/>
      </c>
      <c r="AG202" s="46" t="str">
        <f t="shared" si="16"/>
        <v/>
      </c>
      <c r="AH202" s="46" t="str">
        <f t="shared" si="16"/>
        <v/>
      </c>
      <c r="AI202" s="46" t="str">
        <f t="shared" si="16"/>
        <v/>
      </c>
      <c r="AJ202" s="46" t="str">
        <f t="shared" si="16"/>
        <v/>
      </c>
      <c r="AK202" s="46" t="str">
        <f t="shared" si="16"/>
        <v/>
      </c>
      <c r="AL202" s="46" t="str">
        <f t="shared" si="16"/>
        <v/>
      </c>
      <c r="AM202" s="46" t="str">
        <f t="shared" si="16"/>
        <v/>
      </c>
      <c r="AN202" s="46" t="str">
        <f t="shared" si="16"/>
        <v/>
      </c>
      <c r="AO202" s="46" t="str">
        <f t="shared" si="16"/>
        <v/>
      </c>
      <c r="AP202" s="46" t="str">
        <f t="shared" si="16"/>
        <v/>
      </c>
      <c r="AQ202" s="46" t="str">
        <f t="shared" si="16"/>
        <v/>
      </c>
      <c r="AR202" s="46" t="str">
        <f t="shared" si="16"/>
        <v/>
      </c>
      <c r="AS202" s="46" t="str">
        <f t="shared" si="16"/>
        <v/>
      </c>
      <c r="AT202" s="46" t="str">
        <f t="shared" si="16"/>
        <v/>
      </c>
      <c r="AU202" s="46" t="str">
        <f t="shared" si="16"/>
        <v/>
      </c>
      <c r="AV202" s="46" t="str">
        <f t="shared" si="16"/>
        <v/>
      </c>
      <c r="AW202" s="46" t="str">
        <f t="shared" si="16"/>
        <v/>
      </c>
      <c r="AX202" s="46" t="str">
        <f t="shared" si="16"/>
        <v/>
      </c>
      <c r="AY202" s="46" t="str">
        <f t="shared" si="16"/>
        <v/>
      </c>
      <c r="AZ202" s="46" t="str">
        <f t="shared" si="16"/>
        <v/>
      </c>
      <c r="BA202" s="46" t="str">
        <f t="shared" si="16"/>
        <v/>
      </c>
      <c r="BB202" s="46" t="str">
        <f t="shared" si="16"/>
        <v/>
      </c>
      <c r="BC202" s="46" t="str">
        <f t="shared" si="16"/>
        <v/>
      </c>
      <c r="BD202" s="46" t="str">
        <f t="shared" si="16"/>
        <v/>
      </c>
      <c r="BE202" s="46" t="str">
        <f t="shared" si="16"/>
        <v/>
      </c>
      <c r="BF202" s="46" t="str">
        <f t="shared" si="16"/>
        <v/>
      </c>
      <c r="BG202" s="46" t="str">
        <f t="shared" si="16"/>
        <v/>
      </c>
      <c r="BH202" s="46" t="str">
        <f t="shared" si="16"/>
        <v/>
      </c>
      <c r="BI202" s="46" t="str">
        <f t="shared" si="16"/>
        <v/>
      </c>
      <c r="BJ202" s="46" t="str">
        <f t="shared" si="16"/>
        <v/>
      </c>
      <c r="BK202" s="46" t="str">
        <f t="shared" si="16"/>
        <v/>
      </c>
      <c r="BL202" s="46" t="str">
        <f t="shared" si="16"/>
        <v/>
      </c>
      <c r="BM202" s="46" t="str">
        <f t="shared" si="16"/>
        <v/>
      </c>
      <c r="BN202" s="46" t="str">
        <f t="shared" si="16"/>
        <v/>
      </c>
      <c r="BO202" s="46" t="str">
        <f t="shared" si="16"/>
        <v/>
      </c>
      <c r="BP202" s="46" t="str">
        <f t="shared" si="14"/>
        <v/>
      </c>
      <c r="BQ202" s="46" t="str">
        <f t="shared" si="14"/>
        <v/>
      </c>
      <c r="BR202" s="46" t="str">
        <f t="shared" si="14"/>
        <v/>
      </c>
      <c r="BS202" s="46" t="str">
        <f t="shared" si="14"/>
        <v/>
      </c>
      <c r="BT202" s="46">
        <f t="shared" si="14"/>
        <v>8</v>
      </c>
      <c r="BU202" s="46">
        <f t="shared" si="14"/>
        <v>8</v>
      </c>
      <c r="BV202" s="46" t="str">
        <f t="shared" si="14"/>
        <v/>
      </c>
      <c r="BW202" s="46" t="str">
        <f t="shared" si="14"/>
        <v/>
      </c>
      <c r="BX202" s="46">
        <f t="shared" si="14"/>
        <v>8</v>
      </c>
      <c r="BY202" s="46" t="str">
        <f t="shared" si="14"/>
        <v/>
      </c>
      <c r="BZ202" s="46" t="str">
        <f t="shared" si="14"/>
        <v/>
      </c>
      <c r="CA202" s="46" t="str">
        <f t="shared" si="14"/>
        <v/>
      </c>
      <c r="CB202" s="46">
        <f t="shared" si="14"/>
        <v>8</v>
      </c>
      <c r="CC202" s="46" t="str">
        <f t="shared" si="14"/>
        <v/>
      </c>
      <c r="CD202" s="46" t="str">
        <f t="shared" si="14"/>
        <v/>
      </c>
      <c r="CE202" s="46" t="str">
        <f t="shared" si="14"/>
        <v/>
      </c>
      <c r="CF202" s="46" t="str">
        <f t="shared" si="14"/>
        <v/>
      </c>
      <c r="CG202" s="46" t="str">
        <f t="shared" si="14"/>
        <v/>
      </c>
      <c r="CH202" s="46" t="str">
        <f t="shared" si="14"/>
        <v/>
      </c>
      <c r="CI202" s="46" t="str">
        <f t="shared" si="14"/>
        <v/>
      </c>
      <c r="CJ202" s="46" t="str">
        <f t="shared" si="14"/>
        <v/>
      </c>
      <c r="CK202" s="46" t="str">
        <f t="shared" si="14"/>
        <v/>
      </c>
      <c r="CL202" s="46" t="str">
        <f t="shared" si="14"/>
        <v/>
      </c>
      <c r="CM202" s="46" t="str">
        <f t="shared" si="14"/>
        <v/>
      </c>
      <c r="CN202" s="46" t="str">
        <f t="shared" si="14"/>
        <v/>
      </c>
      <c r="CO202" s="46">
        <f t="shared" si="14"/>
        <v>8</v>
      </c>
      <c r="CP202" s="46">
        <f t="shared" si="14"/>
        <v>8</v>
      </c>
      <c r="CQ202" s="46" t="str">
        <f t="shared" si="14"/>
        <v/>
      </c>
      <c r="CR202" s="46" t="str">
        <f t="shared" si="14"/>
        <v/>
      </c>
      <c r="CS202" s="46">
        <f t="shared" si="14"/>
        <v>8</v>
      </c>
      <c r="CT202" s="46">
        <f t="shared" si="14"/>
        <v>8</v>
      </c>
      <c r="CU202" s="46" t="str">
        <f t="shared" si="14"/>
        <v/>
      </c>
      <c r="CV202" s="46" t="str">
        <f t="shared" si="14"/>
        <v/>
      </c>
      <c r="CW202" s="46">
        <f t="shared" si="14"/>
        <v>8</v>
      </c>
      <c r="CX202" s="46">
        <f t="shared" si="14"/>
        <v>8</v>
      </c>
      <c r="CY202" s="46" t="str">
        <f t="shared" si="14"/>
        <v/>
      </c>
      <c r="CZ202" s="46" t="str">
        <f t="shared" si="14"/>
        <v/>
      </c>
      <c r="DA202" s="46" t="str">
        <f t="shared" si="14"/>
        <v/>
      </c>
      <c r="DB202" s="46" t="str">
        <f t="shared" si="14"/>
        <v/>
      </c>
      <c r="DC202" s="46" t="str">
        <f t="shared" si="14"/>
        <v/>
      </c>
      <c r="DD202" s="46" t="str">
        <f t="shared" si="14"/>
        <v/>
      </c>
      <c r="DE202" s="46" t="str">
        <f t="shared" si="14"/>
        <v/>
      </c>
      <c r="DF202" s="46" t="str">
        <f t="shared" si="14"/>
        <v/>
      </c>
      <c r="DG202" s="46" t="str">
        <f t="shared" si="14"/>
        <v/>
      </c>
      <c r="DH202" s="46" t="str">
        <f t="shared" si="14"/>
        <v/>
      </c>
      <c r="DL202" s="6"/>
    </row>
    <row r="203" spans="1:116" x14ac:dyDescent="0.25">
      <c r="B203" s="46"/>
      <c r="C203" s="46" t="str">
        <f t="shared" si="15"/>
        <v/>
      </c>
      <c r="D203" s="46">
        <f t="shared" si="16"/>
        <v>8</v>
      </c>
      <c r="E203" s="46">
        <f t="shared" si="16"/>
        <v>8</v>
      </c>
      <c r="F203" s="46">
        <f t="shared" si="16"/>
        <v>8</v>
      </c>
      <c r="G203" s="46">
        <f t="shared" si="16"/>
        <v>8</v>
      </c>
      <c r="H203" s="46" t="str">
        <f t="shared" si="16"/>
        <v/>
      </c>
      <c r="I203" s="46" t="str">
        <f t="shared" si="16"/>
        <v/>
      </c>
      <c r="J203" s="46">
        <f t="shared" si="16"/>
        <v>8</v>
      </c>
      <c r="K203" s="46" t="str">
        <f t="shared" si="16"/>
        <v/>
      </c>
      <c r="L203" s="46" t="str">
        <f t="shared" si="16"/>
        <v/>
      </c>
      <c r="M203" s="46" t="str">
        <f t="shared" si="16"/>
        <v/>
      </c>
      <c r="N203" s="46" t="str">
        <f t="shared" si="16"/>
        <v/>
      </c>
      <c r="O203" s="46" t="str">
        <f t="shared" si="16"/>
        <v/>
      </c>
      <c r="P203" s="46" t="str">
        <f t="shared" si="16"/>
        <v/>
      </c>
      <c r="Q203" s="46" t="str">
        <f t="shared" si="16"/>
        <v/>
      </c>
      <c r="R203" s="46" t="str">
        <f t="shared" si="16"/>
        <v/>
      </c>
      <c r="S203" s="46" t="str">
        <f t="shared" si="16"/>
        <v/>
      </c>
      <c r="T203" s="46" t="str">
        <f t="shared" si="16"/>
        <v/>
      </c>
      <c r="U203" s="46" t="str">
        <f t="shared" si="16"/>
        <v/>
      </c>
      <c r="V203" s="46" t="str">
        <f t="shared" si="16"/>
        <v/>
      </c>
      <c r="W203" s="46" t="str">
        <f t="shared" si="16"/>
        <v/>
      </c>
      <c r="X203" s="46" t="str">
        <f t="shared" si="16"/>
        <v/>
      </c>
      <c r="Y203" s="46" t="str">
        <f t="shared" si="16"/>
        <v/>
      </c>
      <c r="Z203" s="46" t="str">
        <f t="shared" si="16"/>
        <v/>
      </c>
      <c r="AA203" s="46" t="str">
        <f t="shared" si="16"/>
        <v/>
      </c>
      <c r="AB203" s="46" t="str">
        <f t="shared" si="16"/>
        <v/>
      </c>
      <c r="AC203" s="46" t="str">
        <f t="shared" si="16"/>
        <v/>
      </c>
      <c r="AD203" s="46" t="str">
        <f t="shared" si="16"/>
        <v/>
      </c>
      <c r="AE203" s="46" t="str">
        <f t="shared" si="16"/>
        <v/>
      </c>
      <c r="AF203" s="46" t="str">
        <f t="shared" si="16"/>
        <v/>
      </c>
      <c r="AG203" s="46" t="str">
        <f t="shared" si="16"/>
        <v/>
      </c>
      <c r="AH203" s="46" t="str">
        <f t="shared" si="16"/>
        <v/>
      </c>
      <c r="AI203" s="46" t="str">
        <f t="shared" si="16"/>
        <v/>
      </c>
      <c r="AJ203" s="46" t="str">
        <f t="shared" si="16"/>
        <v/>
      </c>
      <c r="AK203" s="46" t="str">
        <f t="shared" si="16"/>
        <v/>
      </c>
      <c r="AL203" s="46" t="str">
        <f t="shared" si="16"/>
        <v/>
      </c>
      <c r="AM203" s="46" t="str">
        <f t="shared" si="16"/>
        <v/>
      </c>
      <c r="AN203" s="46" t="str">
        <f t="shared" si="16"/>
        <v/>
      </c>
      <c r="AO203" s="46">
        <f t="shared" si="16"/>
        <v>8</v>
      </c>
      <c r="AP203" s="46">
        <f t="shared" si="16"/>
        <v>8</v>
      </c>
      <c r="AQ203" s="46" t="str">
        <f t="shared" si="16"/>
        <v/>
      </c>
      <c r="AR203" s="46" t="str">
        <f t="shared" si="16"/>
        <v/>
      </c>
      <c r="AS203" s="46" t="str">
        <f t="shared" si="16"/>
        <v/>
      </c>
      <c r="AT203" s="46" t="str">
        <f t="shared" si="16"/>
        <v/>
      </c>
      <c r="AU203" s="46" t="str">
        <f t="shared" si="16"/>
        <v/>
      </c>
      <c r="AV203" s="46" t="str">
        <f t="shared" si="16"/>
        <v/>
      </c>
      <c r="AW203" s="46" t="str">
        <f t="shared" si="16"/>
        <v/>
      </c>
      <c r="AX203" s="46" t="str">
        <f t="shared" si="16"/>
        <v/>
      </c>
      <c r="AY203" s="46" t="str">
        <f t="shared" si="16"/>
        <v/>
      </c>
      <c r="AZ203" s="46" t="str">
        <f t="shared" si="16"/>
        <v/>
      </c>
      <c r="BA203" s="46" t="str">
        <f t="shared" si="16"/>
        <v/>
      </c>
      <c r="BB203" s="46" t="str">
        <f t="shared" si="16"/>
        <v/>
      </c>
      <c r="BC203" s="46" t="str">
        <f t="shared" si="16"/>
        <v/>
      </c>
      <c r="BD203" s="46" t="str">
        <f t="shared" si="16"/>
        <v/>
      </c>
      <c r="BE203" s="46" t="str">
        <f t="shared" si="16"/>
        <v/>
      </c>
      <c r="BF203" s="46" t="str">
        <f t="shared" si="16"/>
        <v/>
      </c>
      <c r="BG203" s="46">
        <f t="shared" si="16"/>
        <v>8</v>
      </c>
      <c r="BH203" s="46" t="str">
        <f t="shared" si="16"/>
        <v/>
      </c>
      <c r="BI203" s="46" t="str">
        <f t="shared" si="16"/>
        <v/>
      </c>
      <c r="BJ203" s="46" t="str">
        <f t="shared" si="16"/>
        <v/>
      </c>
      <c r="BK203" s="46" t="str">
        <f t="shared" si="16"/>
        <v/>
      </c>
      <c r="BL203" s="46" t="str">
        <f t="shared" si="16"/>
        <v/>
      </c>
      <c r="BM203" s="46" t="str">
        <f t="shared" si="16"/>
        <v/>
      </c>
      <c r="BN203" s="46" t="str">
        <f t="shared" si="16"/>
        <v/>
      </c>
      <c r="BO203" s="46" t="str">
        <f t="shared" si="16"/>
        <v/>
      </c>
      <c r="BP203" s="46">
        <f t="shared" si="14"/>
        <v>8</v>
      </c>
      <c r="BQ203" s="46" t="str">
        <f t="shared" si="14"/>
        <v/>
      </c>
      <c r="BR203" s="46" t="str">
        <f t="shared" si="14"/>
        <v/>
      </c>
      <c r="BS203" s="46" t="str">
        <f t="shared" si="14"/>
        <v/>
      </c>
      <c r="BT203" s="46" t="str">
        <f t="shared" si="14"/>
        <v/>
      </c>
      <c r="BU203" s="46" t="str">
        <f t="shared" si="14"/>
        <v/>
      </c>
      <c r="BV203" s="46" t="str">
        <f t="shared" si="14"/>
        <v/>
      </c>
      <c r="BW203" s="46" t="str">
        <f t="shared" si="14"/>
        <v/>
      </c>
      <c r="BX203" s="46" t="str">
        <f t="shared" si="14"/>
        <v/>
      </c>
      <c r="BY203" s="46" t="str">
        <f t="shared" si="14"/>
        <v/>
      </c>
      <c r="BZ203" s="46" t="str">
        <f t="shared" si="14"/>
        <v/>
      </c>
      <c r="CA203" s="46" t="str">
        <f t="shared" si="14"/>
        <v/>
      </c>
      <c r="CB203" s="46" t="str">
        <f t="shared" si="14"/>
        <v/>
      </c>
      <c r="CC203" s="46" t="str">
        <f t="shared" si="14"/>
        <v/>
      </c>
      <c r="CD203" s="46" t="str">
        <f t="shared" si="14"/>
        <v/>
      </c>
      <c r="CE203" s="46" t="str">
        <f t="shared" si="14"/>
        <v/>
      </c>
      <c r="CF203" s="46" t="str">
        <f t="shared" si="14"/>
        <v/>
      </c>
      <c r="CG203" s="46" t="str">
        <f t="shared" si="14"/>
        <v/>
      </c>
      <c r="CH203" s="46" t="str">
        <f t="shared" si="14"/>
        <v/>
      </c>
      <c r="CI203" s="46" t="str">
        <f t="shared" si="14"/>
        <v/>
      </c>
      <c r="CJ203" s="46" t="str">
        <f t="shared" si="14"/>
        <v/>
      </c>
      <c r="CK203" s="46" t="str">
        <f t="shared" si="14"/>
        <v/>
      </c>
      <c r="CL203" s="46" t="str">
        <f t="shared" si="14"/>
        <v/>
      </c>
      <c r="CM203" s="46" t="str">
        <f t="shared" si="14"/>
        <v/>
      </c>
      <c r="CN203" s="46" t="str">
        <f t="shared" si="14"/>
        <v/>
      </c>
      <c r="CO203" s="46" t="str">
        <f t="shared" si="14"/>
        <v/>
      </c>
      <c r="CP203" s="46" t="str">
        <f t="shared" si="14"/>
        <v/>
      </c>
      <c r="CQ203" s="46" t="str">
        <f t="shared" si="14"/>
        <v/>
      </c>
      <c r="CR203" s="46" t="str">
        <f t="shared" si="14"/>
        <v/>
      </c>
      <c r="CS203" s="46" t="str">
        <f t="shared" si="14"/>
        <v/>
      </c>
      <c r="CT203" s="46" t="str">
        <f t="shared" si="14"/>
        <v/>
      </c>
      <c r="CU203" s="46" t="str">
        <f t="shared" si="14"/>
        <v/>
      </c>
      <c r="CV203" s="46" t="str">
        <f t="shared" si="14"/>
        <v/>
      </c>
      <c r="CW203" s="46" t="str">
        <f t="shared" si="14"/>
        <v/>
      </c>
      <c r="CX203" s="46" t="str">
        <f t="shared" si="14"/>
        <v/>
      </c>
      <c r="CY203" s="46" t="str">
        <f t="shared" si="14"/>
        <v/>
      </c>
      <c r="CZ203" s="46" t="str">
        <f t="shared" si="14"/>
        <v/>
      </c>
      <c r="DA203" s="46" t="str">
        <f t="shared" si="14"/>
        <v/>
      </c>
      <c r="DB203" s="46" t="str">
        <f t="shared" si="14"/>
        <v/>
      </c>
      <c r="DC203" s="46" t="str">
        <f t="shared" si="14"/>
        <v/>
      </c>
      <c r="DD203" s="46" t="str">
        <f t="shared" si="14"/>
        <v/>
      </c>
      <c r="DE203" s="46" t="str">
        <f t="shared" si="14"/>
        <v/>
      </c>
      <c r="DF203" s="46" t="str">
        <f t="shared" si="14"/>
        <v/>
      </c>
      <c r="DG203" s="46" t="str">
        <f t="shared" si="14"/>
        <v/>
      </c>
      <c r="DH203" s="46" t="str">
        <f t="shared" si="14"/>
        <v/>
      </c>
      <c r="DL203" s="6"/>
    </row>
    <row r="204" spans="1:116" x14ac:dyDescent="0.25">
      <c r="B204" s="46"/>
      <c r="C204" s="46" t="str">
        <f t="shared" si="15"/>
        <v/>
      </c>
      <c r="D204" s="46">
        <f t="shared" si="16"/>
        <v>16</v>
      </c>
      <c r="E204" s="46">
        <f t="shared" si="16"/>
        <v>16</v>
      </c>
      <c r="F204" s="46">
        <f t="shared" si="16"/>
        <v>16</v>
      </c>
      <c r="G204" s="46" t="str">
        <f t="shared" si="16"/>
        <v/>
      </c>
      <c r="H204" s="46" t="str">
        <f t="shared" si="16"/>
        <v/>
      </c>
      <c r="I204" s="46">
        <f t="shared" si="16"/>
        <v>16</v>
      </c>
      <c r="J204" s="46" t="str">
        <f t="shared" si="16"/>
        <v/>
      </c>
      <c r="K204" s="46" t="str">
        <f t="shared" si="16"/>
        <v/>
      </c>
      <c r="L204" s="46">
        <f t="shared" si="16"/>
        <v>16</v>
      </c>
      <c r="M204" s="46" t="str">
        <f t="shared" si="16"/>
        <v/>
      </c>
      <c r="N204" s="46" t="str">
        <f t="shared" si="16"/>
        <v/>
      </c>
      <c r="O204" s="46" t="str">
        <f t="shared" si="16"/>
        <v/>
      </c>
      <c r="P204" s="46" t="str">
        <f t="shared" si="16"/>
        <v/>
      </c>
      <c r="Q204" s="46" t="str">
        <f t="shared" si="16"/>
        <v/>
      </c>
      <c r="R204" s="46" t="str">
        <f t="shared" si="16"/>
        <v/>
      </c>
      <c r="S204" s="46" t="str">
        <f t="shared" si="16"/>
        <v/>
      </c>
      <c r="T204" s="46" t="str">
        <f t="shared" si="16"/>
        <v/>
      </c>
      <c r="U204" s="46" t="str">
        <f t="shared" si="16"/>
        <v/>
      </c>
      <c r="V204" s="46" t="str">
        <f t="shared" si="16"/>
        <v/>
      </c>
      <c r="W204" s="46" t="str">
        <f t="shared" si="16"/>
        <v/>
      </c>
      <c r="X204" s="46" t="str">
        <f t="shared" si="16"/>
        <v/>
      </c>
      <c r="Y204" s="46" t="str">
        <f t="shared" si="16"/>
        <v/>
      </c>
      <c r="Z204" s="46" t="str">
        <f t="shared" si="16"/>
        <v/>
      </c>
      <c r="AA204" s="46" t="str">
        <f t="shared" si="16"/>
        <v/>
      </c>
      <c r="AB204" s="46" t="str">
        <f t="shared" si="16"/>
        <v/>
      </c>
      <c r="AC204" s="46" t="str">
        <f t="shared" si="16"/>
        <v/>
      </c>
      <c r="AD204" s="46" t="str">
        <f t="shared" si="16"/>
        <v/>
      </c>
      <c r="AE204" s="46" t="str">
        <f t="shared" si="16"/>
        <v/>
      </c>
      <c r="AF204" s="46" t="str">
        <f t="shared" si="16"/>
        <v/>
      </c>
      <c r="AG204" s="46" t="str">
        <f t="shared" si="16"/>
        <v/>
      </c>
      <c r="AH204" s="46">
        <f t="shared" si="16"/>
        <v>16</v>
      </c>
      <c r="AI204" s="46">
        <f t="shared" si="16"/>
        <v>16</v>
      </c>
      <c r="AJ204" s="46" t="str">
        <f t="shared" si="16"/>
        <v/>
      </c>
      <c r="AK204" s="46">
        <f t="shared" si="16"/>
        <v>16</v>
      </c>
      <c r="AL204" s="46">
        <f t="shared" si="16"/>
        <v>16</v>
      </c>
      <c r="AM204" s="46" t="str">
        <f t="shared" si="16"/>
        <v/>
      </c>
      <c r="AN204" s="46" t="str">
        <f t="shared" si="16"/>
        <v/>
      </c>
      <c r="AO204" s="46">
        <f t="shared" si="16"/>
        <v>16</v>
      </c>
      <c r="AP204" s="46" t="str">
        <f t="shared" si="16"/>
        <v/>
      </c>
      <c r="AQ204" s="46" t="str">
        <f t="shared" si="16"/>
        <v/>
      </c>
      <c r="AR204" s="46" t="str">
        <f t="shared" si="16"/>
        <v/>
      </c>
      <c r="AS204" s="46" t="str">
        <f t="shared" si="16"/>
        <v/>
      </c>
      <c r="AT204" s="46" t="str">
        <f t="shared" si="16"/>
        <v/>
      </c>
      <c r="AU204" s="46" t="str">
        <f t="shared" si="16"/>
        <v/>
      </c>
      <c r="AV204" s="46" t="str">
        <f t="shared" si="16"/>
        <v/>
      </c>
      <c r="AW204" s="46" t="str">
        <f t="shared" si="16"/>
        <v/>
      </c>
      <c r="AX204" s="46" t="str">
        <f t="shared" si="16"/>
        <v/>
      </c>
      <c r="AY204" s="46" t="str">
        <f t="shared" si="16"/>
        <v/>
      </c>
      <c r="AZ204" s="46" t="str">
        <f t="shared" si="16"/>
        <v/>
      </c>
      <c r="BA204" s="46" t="str">
        <f t="shared" si="16"/>
        <v/>
      </c>
      <c r="BB204" s="46" t="str">
        <f t="shared" si="16"/>
        <v/>
      </c>
      <c r="BC204" s="46" t="str">
        <f t="shared" si="16"/>
        <v/>
      </c>
      <c r="BD204" s="46" t="str">
        <f t="shared" si="16"/>
        <v/>
      </c>
      <c r="BE204" s="46" t="str">
        <f t="shared" si="16"/>
        <v/>
      </c>
      <c r="BF204" s="46" t="str">
        <f t="shared" si="16"/>
        <v/>
      </c>
      <c r="BG204" s="46" t="str">
        <f t="shared" si="16"/>
        <v/>
      </c>
      <c r="BH204" s="46" t="str">
        <f t="shared" si="16"/>
        <v/>
      </c>
      <c r="BI204" s="46" t="str">
        <f t="shared" si="16"/>
        <v/>
      </c>
      <c r="BJ204" s="46" t="str">
        <f t="shared" si="16"/>
        <v/>
      </c>
      <c r="BK204" s="46" t="str">
        <f t="shared" si="16"/>
        <v/>
      </c>
      <c r="BL204" s="46" t="str">
        <f t="shared" si="16"/>
        <v/>
      </c>
      <c r="BM204" s="46" t="str">
        <f t="shared" si="16"/>
        <v/>
      </c>
      <c r="BN204" s="46" t="str">
        <f t="shared" si="16"/>
        <v/>
      </c>
      <c r="BO204" s="46" t="str">
        <f t="shared" ref="BO204:DH207" si="17">IF(BO14="X",$DK14,"")</f>
        <v/>
      </c>
      <c r="BP204" s="46" t="str">
        <f t="shared" si="17"/>
        <v/>
      </c>
      <c r="BQ204" s="46" t="str">
        <f t="shared" si="17"/>
        <v/>
      </c>
      <c r="BR204" s="46" t="str">
        <f t="shared" si="17"/>
        <v/>
      </c>
      <c r="BS204" s="46" t="str">
        <f t="shared" si="17"/>
        <v/>
      </c>
      <c r="BT204" s="46" t="str">
        <f t="shared" si="17"/>
        <v/>
      </c>
      <c r="BU204" s="46" t="str">
        <f t="shared" si="17"/>
        <v/>
      </c>
      <c r="BV204" s="46" t="str">
        <f t="shared" si="17"/>
        <v/>
      </c>
      <c r="BW204" s="46" t="str">
        <f t="shared" si="17"/>
        <v/>
      </c>
      <c r="BX204" s="46" t="str">
        <f t="shared" si="17"/>
        <v/>
      </c>
      <c r="BY204" s="46" t="str">
        <f t="shared" si="17"/>
        <v/>
      </c>
      <c r="BZ204" s="46" t="str">
        <f t="shared" si="17"/>
        <v/>
      </c>
      <c r="CA204" s="46" t="str">
        <f t="shared" si="17"/>
        <v/>
      </c>
      <c r="CB204" s="46" t="str">
        <f t="shared" si="17"/>
        <v/>
      </c>
      <c r="CC204" s="46" t="str">
        <f t="shared" si="17"/>
        <v/>
      </c>
      <c r="CD204" s="46" t="str">
        <f t="shared" si="17"/>
        <v/>
      </c>
      <c r="CE204" s="46" t="str">
        <f t="shared" si="17"/>
        <v/>
      </c>
      <c r="CF204" s="46" t="str">
        <f t="shared" si="17"/>
        <v/>
      </c>
      <c r="CG204" s="46" t="str">
        <f t="shared" si="17"/>
        <v/>
      </c>
      <c r="CH204" s="46" t="str">
        <f t="shared" si="17"/>
        <v/>
      </c>
      <c r="CI204" s="46" t="str">
        <f t="shared" si="17"/>
        <v/>
      </c>
      <c r="CJ204" s="46" t="str">
        <f t="shared" si="17"/>
        <v/>
      </c>
      <c r="CK204" s="46" t="str">
        <f t="shared" si="17"/>
        <v/>
      </c>
      <c r="CL204" s="46" t="str">
        <f t="shared" si="17"/>
        <v/>
      </c>
      <c r="CM204" s="46" t="str">
        <f t="shared" si="17"/>
        <v/>
      </c>
      <c r="CN204" s="46" t="str">
        <f t="shared" si="17"/>
        <v/>
      </c>
      <c r="CO204" s="46" t="str">
        <f t="shared" si="17"/>
        <v/>
      </c>
      <c r="CP204" s="46" t="str">
        <f t="shared" si="17"/>
        <v/>
      </c>
      <c r="CQ204" s="46" t="str">
        <f t="shared" si="17"/>
        <v/>
      </c>
      <c r="CR204" s="46" t="str">
        <f t="shared" si="17"/>
        <v/>
      </c>
      <c r="CS204" s="46" t="str">
        <f t="shared" si="17"/>
        <v/>
      </c>
      <c r="CT204" s="46" t="str">
        <f t="shared" si="17"/>
        <v/>
      </c>
      <c r="CU204" s="46" t="str">
        <f t="shared" si="17"/>
        <v/>
      </c>
      <c r="CV204" s="46" t="str">
        <f t="shared" si="17"/>
        <v/>
      </c>
      <c r="CW204" s="46" t="str">
        <f t="shared" si="17"/>
        <v/>
      </c>
      <c r="CX204" s="46" t="str">
        <f t="shared" si="17"/>
        <v/>
      </c>
      <c r="CY204" s="46" t="str">
        <f t="shared" si="17"/>
        <v/>
      </c>
      <c r="CZ204" s="46" t="str">
        <f t="shared" si="17"/>
        <v/>
      </c>
      <c r="DA204" s="46" t="str">
        <f t="shared" si="17"/>
        <v/>
      </c>
      <c r="DB204" s="46" t="str">
        <f t="shared" si="17"/>
        <v/>
      </c>
      <c r="DC204" s="46" t="str">
        <f t="shared" si="17"/>
        <v/>
      </c>
      <c r="DD204" s="46" t="str">
        <f t="shared" si="17"/>
        <v/>
      </c>
      <c r="DE204" s="46" t="str">
        <f t="shared" si="17"/>
        <v/>
      </c>
      <c r="DF204" s="46" t="str">
        <f t="shared" si="17"/>
        <v/>
      </c>
      <c r="DG204" s="46" t="str">
        <f t="shared" si="17"/>
        <v/>
      </c>
      <c r="DH204" s="46" t="str">
        <f t="shared" si="17"/>
        <v/>
      </c>
      <c r="DL204" s="6"/>
    </row>
    <row r="205" spans="1:116" x14ac:dyDescent="0.25">
      <c r="B205" s="46"/>
      <c r="C205" s="46">
        <f t="shared" si="15"/>
        <v>8</v>
      </c>
      <c r="D205" s="46" t="str">
        <f t="shared" ref="D205:BO208" si="18">IF(D15="X",$DK15,"")</f>
        <v/>
      </c>
      <c r="E205" s="46" t="str">
        <f t="shared" si="18"/>
        <v/>
      </c>
      <c r="F205" s="46" t="str">
        <f t="shared" si="18"/>
        <v/>
      </c>
      <c r="G205" s="46" t="str">
        <f t="shared" si="18"/>
        <v/>
      </c>
      <c r="H205" s="46">
        <f t="shared" si="18"/>
        <v>8</v>
      </c>
      <c r="I205" s="46">
        <f t="shared" si="18"/>
        <v>8</v>
      </c>
      <c r="J205" s="46" t="str">
        <f t="shared" si="18"/>
        <v/>
      </c>
      <c r="K205" s="46" t="str">
        <f t="shared" si="18"/>
        <v/>
      </c>
      <c r="L205" s="46" t="str">
        <f t="shared" si="18"/>
        <v/>
      </c>
      <c r="M205" s="46" t="str">
        <f t="shared" si="18"/>
        <v/>
      </c>
      <c r="N205" s="46" t="str">
        <f t="shared" si="18"/>
        <v/>
      </c>
      <c r="O205" s="46" t="str">
        <f t="shared" si="18"/>
        <v/>
      </c>
      <c r="P205" s="46" t="str">
        <f t="shared" si="18"/>
        <v/>
      </c>
      <c r="Q205" s="46" t="str">
        <f t="shared" si="18"/>
        <v/>
      </c>
      <c r="R205" s="46" t="str">
        <f t="shared" si="18"/>
        <v/>
      </c>
      <c r="S205" s="46" t="str">
        <f t="shared" si="18"/>
        <v/>
      </c>
      <c r="T205" s="46" t="str">
        <f t="shared" si="18"/>
        <v/>
      </c>
      <c r="U205" s="46" t="str">
        <f t="shared" si="18"/>
        <v/>
      </c>
      <c r="V205" s="46" t="str">
        <f t="shared" si="18"/>
        <v/>
      </c>
      <c r="W205" s="46" t="str">
        <f t="shared" si="18"/>
        <v/>
      </c>
      <c r="X205" s="46" t="str">
        <f t="shared" si="18"/>
        <v/>
      </c>
      <c r="Y205" s="46" t="str">
        <f t="shared" si="18"/>
        <v/>
      </c>
      <c r="Z205" s="46" t="str">
        <f t="shared" si="18"/>
        <v/>
      </c>
      <c r="AA205" s="46" t="str">
        <f t="shared" si="18"/>
        <v/>
      </c>
      <c r="AB205" s="46" t="str">
        <f t="shared" si="18"/>
        <v/>
      </c>
      <c r="AC205" s="46" t="str">
        <f t="shared" si="18"/>
        <v/>
      </c>
      <c r="AD205" s="46" t="str">
        <f t="shared" si="18"/>
        <v/>
      </c>
      <c r="AE205" s="46" t="str">
        <f t="shared" si="18"/>
        <v/>
      </c>
      <c r="AF205" s="46" t="str">
        <f t="shared" si="18"/>
        <v/>
      </c>
      <c r="AG205" s="46" t="str">
        <f t="shared" si="18"/>
        <v/>
      </c>
      <c r="AH205" s="46" t="str">
        <f t="shared" si="18"/>
        <v/>
      </c>
      <c r="AI205" s="46" t="str">
        <f t="shared" si="18"/>
        <v/>
      </c>
      <c r="AJ205" s="46" t="str">
        <f t="shared" si="18"/>
        <v/>
      </c>
      <c r="AK205" s="46" t="str">
        <f t="shared" si="18"/>
        <v/>
      </c>
      <c r="AL205" s="46" t="str">
        <f t="shared" si="18"/>
        <v/>
      </c>
      <c r="AM205" s="46" t="str">
        <f t="shared" si="18"/>
        <v/>
      </c>
      <c r="AN205" s="46" t="str">
        <f t="shared" si="18"/>
        <v/>
      </c>
      <c r="AO205" s="46" t="str">
        <f t="shared" si="18"/>
        <v/>
      </c>
      <c r="AP205" s="46" t="str">
        <f t="shared" si="18"/>
        <v/>
      </c>
      <c r="AQ205" s="46" t="str">
        <f t="shared" si="18"/>
        <v/>
      </c>
      <c r="AR205" s="46" t="str">
        <f t="shared" si="18"/>
        <v/>
      </c>
      <c r="AS205" s="46" t="str">
        <f t="shared" si="18"/>
        <v/>
      </c>
      <c r="AT205" s="46" t="str">
        <f t="shared" si="18"/>
        <v/>
      </c>
      <c r="AU205" s="46" t="str">
        <f t="shared" si="18"/>
        <v/>
      </c>
      <c r="AV205" s="46" t="str">
        <f t="shared" si="18"/>
        <v/>
      </c>
      <c r="AW205" s="46" t="str">
        <f t="shared" si="18"/>
        <v/>
      </c>
      <c r="AX205" s="46" t="str">
        <f t="shared" si="18"/>
        <v/>
      </c>
      <c r="AY205" s="46" t="str">
        <f t="shared" si="18"/>
        <v/>
      </c>
      <c r="AZ205" s="46" t="str">
        <f t="shared" si="18"/>
        <v/>
      </c>
      <c r="BA205" s="46" t="str">
        <f t="shared" si="18"/>
        <v/>
      </c>
      <c r="BB205" s="46" t="str">
        <f t="shared" si="18"/>
        <v/>
      </c>
      <c r="BC205" s="46" t="str">
        <f t="shared" si="18"/>
        <v/>
      </c>
      <c r="BD205" s="46" t="str">
        <f t="shared" si="18"/>
        <v/>
      </c>
      <c r="BE205" s="46" t="str">
        <f t="shared" si="18"/>
        <v/>
      </c>
      <c r="BF205" s="46" t="str">
        <f t="shared" si="18"/>
        <v/>
      </c>
      <c r="BG205" s="46" t="str">
        <f t="shared" si="18"/>
        <v/>
      </c>
      <c r="BH205" s="46" t="str">
        <f t="shared" si="18"/>
        <v/>
      </c>
      <c r="BI205" s="46" t="str">
        <f t="shared" si="18"/>
        <v/>
      </c>
      <c r="BJ205" s="46" t="str">
        <f t="shared" si="18"/>
        <v/>
      </c>
      <c r="BK205" s="46" t="str">
        <f t="shared" si="18"/>
        <v/>
      </c>
      <c r="BL205" s="46" t="str">
        <f t="shared" si="18"/>
        <v/>
      </c>
      <c r="BM205" s="46" t="str">
        <f t="shared" si="18"/>
        <v/>
      </c>
      <c r="BN205" s="46" t="str">
        <f t="shared" si="18"/>
        <v/>
      </c>
      <c r="BO205" s="46" t="str">
        <f t="shared" si="18"/>
        <v/>
      </c>
      <c r="BP205" s="46" t="str">
        <f t="shared" si="17"/>
        <v/>
      </c>
      <c r="BQ205" s="46" t="str">
        <f t="shared" si="17"/>
        <v/>
      </c>
      <c r="BR205" s="46" t="str">
        <f t="shared" si="17"/>
        <v/>
      </c>
      <c r="BS205" s="46" t="str">
        <f t="shared" si="17"/>
        <v/>
      </c>
      <c r="BT205" s="46" t="str">
        <f t="shared" si="17"/>
        <v/>
      </c>
      <c r="BU205" s="46" t="str">
        <f t="shared" si="17"/>
        <v/>
      </c>
      <c r="BV205" s="46" t="str">
        <f t="shared" si="17"/>
        <v/>
      </c>
      <c r="BW205" s="46" t="str">
        <f t="shared" si="17"/>
        <v/>
      </c>
      <c r="BX205" s="46" t="str">
        <f t="shared" si="17"/>
        <v/>
      </c>
      <c r="BY205" s="46" t="str">
        <f t="shared" si="17"/>
        <v/>
      </c>
      <c r="BZ205" s="46" t="str">
        <f t="shared" si="17"/>
        <v/>
      </c>
      <c r="CA205" s="46" t="str">
        <f t="shared" si="17"/>
        <v/>
      </c>
      <c r="CB205" s="46" t="str">
        <f t="shared" si="17"/>
        <v/>
      </c>
      <c r="CC205" s="46" t="str">
        <f t="shared" si="17"/>
        <v/>
      </c>
      <c r="CD205" s="46" t="str">
        <f t="shared" si="17"/>
        <v/>
      </c>
      <c r="CE205" s="46" t="str">
        <f t="shared" si="17"/>
        <v/>
      </c>
      <c r="CF205" s="46" t="str">
        <f t="shared" si="17"/>
        <v/>
      </c>
      <c r="CG205" s="46" t="str">
        <f t="shared" si="17"/>
        <v/>
      </c>
      <c r="CH205" s="46" t="str">
        <f t="shared" si="17"/>
        <v/>
      </c>
      <c r="CI205" s="46" t="str">
        <f t="shared" si="17"/>
        <v/>
      </c>
      <c r="CJ205" s="46" t="str">
        <f t="shared" si="17"/>
        <v/>
      </c>
      <c r="CK205" s="46" t="str">
        <f t="shared" si="17"/>
        <v/>
      </c>
      <c r="CL205" s="46" t="str">
        <f t="shared" si="17"/>
        <v/>
      </c>
      <c r="CM205" s="46" t="str">
        <f t="shared" si="17"/>
        <v/>
      </c>
      <c r="CN205" s="46" t="str">
        <f t="shared" si="17"/>
        <v/>
      </c>
      <c r="CO205" s="46" t="str">
        <f t="shared" si="17"/>
        <v/>
      </c>
      <c r="CP205" s="46" t="str">
        <f t="shared" si="17"/>
        <v/>
      </c>
      <c r="CQ205" s="46" t="str">
        <f t="shared" si="17"/>
        <v/>
      </c>
      <c r="CR205" s="46" t="str">
        <f t="shared" si="17"/>
        <v/>
      </c>
      <c r="CS205" s="46" t="str">
        <f t="shared" si="17"/>
        <v/>
      </c>
      <c r="CT205" s="46" t="str">
        <f t="shared" si="17"/>
        <v/>
      </c>
      <c r="CU205" s="46" t="str">
        <f t="shared" si="17"/>
        <v/>
      </c>
      <c r="CV205" s="46" t="str">
        <f t="shared" si="17"/>
        <v/>
      </c>
      <c r="CW205" s="46" t="str">
        <f t="shared" si="17"/>
        <v/>
      </c>
      <c r="CX205" s="46" t="str">
        <f t="shared" si="17"/>
        <v/>
      </c>
      <c r="CY205" s="46" t="str">
        <f t="shared" si="17"/>
        <v/>
      </c>
      <c r="CZ205" s="46" t="str">
        <f t="shared" si="17"/>
        <v/>
      </c>
      <c r="DA205" s="46" t="str">
        <f t="shared" si="17"/>
        <v/>
      </c>
      <c r="DB205" s="46" t="str">
        <f t="shared" si="17"/>
        <v/>
      </c>
      <c r="DC205" s="46" t="str">
        <f t="shared" si="17"/>
        <v/>
      </c>
      <c r="DD205" s="46" t="str">
        <f t="shared" si="17"/>
        <v/>
      </c>
      <c r="DE205" s="46" t="str">
        <f t="shared" si="17"/>
        <v/>
      </c>
      <c r="DF205" s="46" t="str">
        <f t="shared" si="17"/>
        <v/>
      </c>
      <c r="DG205" s="46" t="str">
        <f t="shared" si="17"/>
        <v/>
      </c>
      <c r="DH205" s="46" t="str">
        <f t="shared" si="17"/>
        <v/>
      </c>
      <c r="DL205" s="6"/>
    </row>
    <row r="206" spans="1:116" x14ac:dyDescent="0.25">
      <c r="B206" s="46"/>
      <c r="C206" s="46" t="str">
        <f t="shared" si="15"/>
        <v/>
      </c>
      <c r="D206" s="46" t="str">
        <f t="shared" si="18"/>
        <v/>
      </c>
      <c r="E206" s="46" t="str">
        <f t="shared" si="18"/>
        <v/>
      </c>
      <c r="F206" s="46" t="str">
        <f t="shared" si="18"/>
        <v/>
      </c>
      <c r="G206" s="46" t="str">
        <f t="shared" si="18"/>
        <v/>
      </c>
      <c r="H206" s="46" t="str">
        <f t="shared" si="18"/>
        <v/>
      </c>
      <c r="I206" s="46" t="str">
        <f t="shared" si="18"/>
        <v/>
      </c>
      <c r="J206" s="46" t="str">
        <f t="shared" si="18"/>
        <v/>
      </c>
      <c r="K206" s="46" t="str">
        <f t="shared" si="18"/>
        <v/>
      </c>
      <c r="L206" s="46" t="str">
        <f t="shared" si="18"/>
        <v/>
      </c>
      <c r="M206" s="46" t="str">
        <f t="shared" si="18"/>
        <v/>
      </c>
      <c r="N206" s="46" t="str">
        <f t="shared" si="18"/>
        <v/>
      </c>
      <c r="O206" s="46" t="str">
        <f t="shared" si="18"/>
        <v/>
      </c>
      <c r="P206" s="46" t="str">
        <f t="shared" si="18"/>
        <v/>
      </c>
      <c r="Q206" s="46" t="str">
        <f t="shared" si="18"/>
        <v/>
      </c>
      <c r="R206" s="46" t="str">
        <f t="shared" si="18"/>
        <v/>
      </c>
      <c r="S206" s="46" t="str">
        <f t="shared" si="18"/>
        <v/>
      </c>
      <c r="T206" s="46" t="str">
        <f t="shared" si="18"/>
        <v/>
      </c>
      <c r="U206" s="46" t="str">
        <f t="shared" si="18"/>
        <v/>
      </c>
      <c r="V206" s="46" t="str">
        <f t="shared" si="18"/>
        <v/>
      </c>
      <c r="W206" s="46" t="str">
        <f t="shared" si="18"/>
        <v/>
      </c>
      <c r="X206" s="46" t="str">
        <f t="shared" si="18"/>
        <v/>
      </c>
      <c r="Y206" s="46" t="str">
        <f t="shared" si="18"/>
        <v/>
      </c>
      <c r="Z206" s="46" t="str">
        <f t="shared" si="18"/>
        <v/>
      </c>
      <c r="AA206" s="46" t="str">
        <f t="shared" si="18"/>
        <v/>
      </c>
      <c r="AB206" s="46" t="str">
        <f t="shared" si="18"/>
        <v/>
      </c>
      <c r="AC206" s="46" t="str">
        <f t="shared" si="18"/>
        <v/>
      </c>
      <c r="AD206" s="46" t="str">
        <f t="shared" si="18"/>
        <v/>
      </c>
      <c r="AE206" s="46" t="str">
        <f t="shared" si="18"/>
        <v/>
      </c>
      <c r="AF206" s="46" t="str">
        <f t="shared" si="18"/>
        <v/>
      </c>
      <c r="AG206" s="46" t="str">
        <f t="shared" si="18"/>
        <v/>
      </c>
      <c r="AH206" s="46" t="str">
        <f t="shared" si="18"/>
        <v/>
      </c>
      <c r="AI206" s="46" t="str">
        <f t="shared" si="18"/>
        <v/>
      </c>
      <c r="AJ206" s="46" t="str">
        <f t="shared" si="18"/>
        <v/>
      </c>
      <c r="AK206" s="46" t="str">
        <f t="shared" si="18"/>
        <v/>
      </c>
      <c r="AL206" s="46" t="str">
        <f t="shared" si="18"/>
        <v/>
      </c>
      <c r="AM206" s="46" t="str">
        <f t="shared" si="18"/>
        <v/>
      </c>
      <c r="AN206" s="46" t="str">
        <f t="shared" si="18"/>
        <v/>
      </c>
      <c r="AO206" s="46" t="str">
        <f t="shared" si="18"/>
        <v/>
      </c>
      <c r="AP206" s="46" t="str">
        <f t="shared" si="18"/>
        <v/>
      </c>
      <c r="AQ206" s="46" t="str">
        <f t="shared" si="18"/>
        <v/>
      </c>
      <c r="AR206" s="46" t="str">
        <f t="shared" si="18"/>
        <v/>
      </c>
      <c r="AS206" s="46" t="str">
        <f t="shared" si="18"/>
        <v/>
      </c>
      <c r="AT206" s="46" t="str">
        <f t="shared" si="18"/>
        <v/>
      </c>
      <c r="AU206" s="46" t="str">
        <f t="shared" si="18"/>
        <v/>
      </c>
      <c r="AV206" s="46" t="str">
        <f t="shared" si="18"/>
        <v/>
      </c>
      <c r="AW206" s="46" t="str">
        <f t="shared" si="18"/>
        <v/>
      </c>
      <c r="AX206" s="46" t="str">
        <f t="shared" si="18"/>
        <v/>
      </c>
      <c r="AY206" s="46">
        <f t="shared" si="18"/>
        <v>8</v>
      </c>
      <c r="AZ206" s="46" t="str">
        <f t="shared" si="18"/>
        <v/>
      </c>
      <c r="BA206" s="46" t="str">
        <f t="shared" si="18"/>
        <v/>
      </c>
      <c r="BB206" s="46" t="str">
        <f t="shared" si="18"/>
        <v/>
      </c>
      <c r="BC206" s="46" t="str">
        <f t="shared" si="18"/>
        <v/>
      </c>
      <c r="BD206" s="46" t="str">
        <f t="shared" si="18"/>
        <v/>
      </c>
      <c r="BE206" s="46" t="str">
        <f t="shared" si="18"/>
        <v/>
      </c>
      <c r="BF206" s="46" t="str">
        <f t="shared" si="18"/>
        <v/>
      </c>
      <c r="BG206" s="46" t="str">
        <f t="shared" si="18"/>
        <v/>
      </c>
      <c r="BH206" s="46" t="str">
        <f t="shared" si="18"/>
        <v/>
      </c>
      <c r="BI206" s="46" t="str">
        <f t="shared" si="18"/>
        <v/>
      </c>
      <c r="BJ206" s="46" t="str">
        <f t="shared" si="18"/>
        <v/>
      </c>
      <c r="BK206" s="46" t="str">
        <f t="shared" si="18"/>
        <v/>
      </c>
      <c r="BL206" s="46" t="str">
        <f t="shared" si="18"/>
        <v/>
      </c>
      <c r="BM206" s="46" t="str">
        <f t="shared" si="18"/>
        <v/>
      </c>
      <c r="BN206" s="46" t="str">
        <f t="shared" si="18"/>
        <v/>
      </c>
      <c r="BO206" s="46" t="str">
        <f t="shared" si="18"/>
        <v/>
      </c>
      <c r="BP206" s="46" t="str">
        <f t="shared" si="17"/>
        <v/>
      </c>
      <c r="BQ206" s="46" t="str">
        <f t="shared" si="17"/>
        <v/>
      </c>
      <c r="BR206" s="46" t="str">
        <f t="shared" si="17"/>
        <v/>
      </c>
      <c r="BS206" s="46" t="str">
        <f t="shared" si="17"/>
        <v/>
      </c>
      <c r="BT206" s="46" t="str">
        <f t="shared" si="17"/>
        <v/>
      </c>
      <c r="BU206" s="46" t="str">
        <f t="shared" si="17"/>
        <v/>
      </c>
      <c r="BV206" s="46" t="str">
        <f t="shared" si="17"/>
        <v/>
      </c>
      <c r="BW206" s="46" t="str">
        <f t="shared" si="17"/>
        <v/>
      </c>
      <c r="BX206" s="46" t="str">
        <f t="shared" si="17"/>
        <v/>
      </c>
      <c r="BY206" s="46" t="str">
        <f t="shared" si="17"/>
        <v/>
      </c>
      <c r="BZ206" s="46" t="str">
        <f t="shared" si="17"/>
        <v/>
      </c>
      <c r="CA206" s="46" t="str">
        <f t="shared" si="17"/>
        <v/>
      </c>
      <c r="CB206" s="46" t="str">
        <f t="shared" si="17"/>
        <v/>
      </c>
      <c r="CC206" s="46" t="str">
        <f t="shared" si="17"/>
        <v/>
      </c>
      <c r="CD206" s="46" t="str">
        <f t="shared" si="17"/>
        <v/>
      </c>
      <c r="CE206" s="46" t="str">
        <f t="shared" si="17"/>
        <v/>
      </c>
      <c r="CF206" s="46" t="str">
        <f t="shared" si="17"/>
        <v/>
      </c>
      <c r="CG206" s="46" t="str">
        <f t="shared" si="17"/>
        <v/>
      </c>
      <c r="CH206" s="46" t="str">
        <f t="shared" si="17"/>
        <v/>
      </c>
      <c r="CI206" s="46" t="str">
        <f t="shared" si="17"/>
        <v/>
      </c>
      <c r="CJ206" s="46" t="str">
        <f t="shared" si="17"/>
        <v/>
      </c>
      <c r="CK206" s="46" t="str">
        <f t="shared" si="17"/>
        <v/>
      </c>
      <c r="CL206" s="46" t="str">
        <f t="shared" si="17"/>
        <v/>
      </c>
      <c r="CM206" s="46" t="str">
        <f t="shared" si="17"/>
        <v/>
      </c>
      <c r="CN206" s="46" t="str">
        <f t="shared" si="17"/>
        <v/>
      </c>
      <c r="CO206" s="46" t="str">
        <f t="shared" si="17"/>
        <v/>
      </c>
      <c r="CP206" s="46" t="str">
        <f t="shared" si="17"/>
        <v/>
      </c>
      <c r="CQ206" s="46" t="str">
        <f t="shared" si="17"/>
        <v/>
      </c>
      <c r="CR206" s="46" t="str">
        <f t="shared" si="17"/>
        <v/>
      </c>
      <c r="CS206" s="46" t="str">
        <f t="shared" si="17"/>
        <v/>
      </c>
      <c r="CT206" s="46" t="str">
        <f t="shared" si="17"/>
        <v/>
      </c>
      <c r="CU206" s="46" t="str">
        <f t="shared" si="17"/>
        <v/>
      </c>
      <c r="CV206" s="46" t="str">
        <f t="shared" si="17"/>
        <v/>
      </c>
      <c r="CW206" s="46" t="str">
        <f t="shared" si="17"/>
        <v/>
      </c>
      <c r="CX206" s="46" t="str">
        <f t="shared" si="17"/>
        <v/>
      </c>
      <c r="CY206" s="46" t="str">
        <f t="shared" si="17"/>
        <v/>
      </c>
      <c r="CZ206" s="46" t="str">
        <f t="shared" si="17"/>
        <v/>
      </c>
      <c r="DA206" s="46" t="str">
        <f t="shared" si="17"/>
        <v/>
      </c>
      <c r="DB206" s="46" t="str">
        <f t="shared" si="17"/>
        <v/>
      </c>
      <c r="DC206" s="46" t="str">
        <f t="shared" si="17"/>
        <v/>
      </c>
      <c r="DD206" s="46" t="str">
        <f t="shared" si="17"/>
        <v/>
      </c>
      <c r="DE206" s="46" t="str">
        <f t="shared" si="17"/>
        <v/>
      </c>
      <c r="DF206" s="46" t="str">
        <f t="shared" si="17"/>
        <v/>
      </c>
      <c r="DG206" s="46" t="str">
        <f t="shared" si="17"/>
        <v/>
      </c>
      <c r="DH206" s="46" t="str">
        <f t="shared" si="17"/>
        <v/>
      </c>
      <c r="DL206" s="6"/>
    </row>
    <row r="207" spans="1:116" x14ac:dyDescent="0.25">
      <c r="B207" s="46"/>
      <c r="C207" s="46" t="str">
        <f t="shared" si="15"/>
        <v/>
      </c>
      <c r="D207" s="46" t="str">
        <f t="shared" si="18"/>
        <v/>
      </c>
      <c r="E207" s="46" t="str">
        <f t="shared" si="18"/>
        <v/>
      </c>
      <c r="F207" s="46" t="str">
        <f t="shared" si="18"/>
        <v/>
      </c>
      <c r="G207" s="46" t="str">
        <f t="shared" si="18"/>
        <v/>
      </c>
      <c r="H207" s="46" t="str">
        <f t="shared" si="18"/>
        <v/>
      </c>
      <c r="I207" s="46" t="str">
        <f t="shared" si="18"/>
        <v/>
      </c>
      <c r="J207" s="46" t="str">
        <f t="shared" si="18"/>
        <v/>
      </c>
      <c r="K207" s="46" t="str">
        <f t="shared" si="18"/>
        <v/>
      </c>
      <c r="L207" s="46" t="str">
        <f t="shared" si="18"/>
        <v/>
      </c>
      <c r="M207" s="46" t="str">
        <f t="shared" si="18"/>
        <v/>
      </c>
      <c r="N207" s="46" t="str">
        <f t="shared" si="18"/>
        <v/>
      </c>
      <c r="O207" s="46" t="str">
        <f t="shared" si="18"/>
        <v/>
      </c>
      <c r="P207" s="46" t="str">
        <f t="shared" si="18"/>
        <v/>
      </c>
      <c r="Q207" s="46" t="str">
        <f t="shared" si="18"/>
        <v/>
      </c>
      <c r="R207" s="46" t="str">
        <f t="shared" si="18"/>
        <v/>
      </c>
      <c r="S207" s="46" t="str">
        <f t="shared" si="18"/>
        <v/>
      </c>
      <c r="T207" s="46" t="str">
        <f t="shared" si="18"/>
        <v/>
      </c>
      <c r="U207" s="46" t="str">
        <f t="shared" si="18"/>
        <v/>
      </c>
      <c r="V207" s="46" t="str">
        <f t="shared" si="18"/>
        <v/>
      </c>
      <c r="W207" s="46" t="str">
        <f t="shared" si="18"/>
        <v/>
      </c>
      <c r="X207" s="46" t="str">
        <f t="shared" si="18"/>
        <v/>
      </c>
      <c r="Y207" s="46" t="str">
        <f t="shared" si="18"/>
        <v/>
      </c>
      <c r="Z207" s="46" t="str">
        <f t="shared" si="18"/>
        <v/>
      </c>
      <c r="AA207" s="46" t="str">
        <f t="shared" si="18"/>
        <v/>
      </c>
      <c r="AB207" s="46" t="str">
        <f t="shared" si="18"/>
        <v/>
      </c>
      <c r="AC207" s="46" t="str">
        <f t="shared" si="18"/>
        <v/>
      </c>
      <c r="AD207" s="46" t="str">
        <f t="shared" si="18"/>
        <v/>
      </c>
      <c r="AE207" s="46" t="str">
        <f t="shared" si="18"/>
        <v/>
      </c>
      <c r="AF207" s="46" t="str">
        <f t="shared" si="18"/>
        <v/>
      </c>
      <c r="AG207" s="46" t="str">
        <f t="shared" si="18"/>
        <v/>
      </c>
      <c r="AH207" s="46" t="str">
        <f t="shared" si="18"/>
        <v/>
      </c>
      <c r="AI207" s="46" t="str">
        <f t="shared" si="18"/>
        <v/>
      </c>
      <c r="AJ207" s="46" t="str">
        <f t="shared" si="18"/>
        <v/>
      </c>
      <c r="AK207" s="46" t="str">
        <f t="shared" si="18"/>
        <v/>
      </c>
      <c r="AL207" s="46" t="str">
        <f t="shared" si="18"/>
        <v/>
      </c>
      <c r="AM207" s="46" t="str">
        <f t="shared" si="18"/>
        <v/>
      </c>
      <c r="AN207" s="46" t="str">
        <f t="shared" si="18"/>
        <v/>
      </c>
      <c r="AO207" s="46" t="str">
        <f t="shared" si="18"/>
        <v/>
      </c>
      <c r="AP207" s="46" t="str">
        <f t="shared" si="18"/>
        <v/>
      </c>
      <c r="AQ207" s="46" t="str">
        <f t="shared" si="18"/>
        <v/>
      </c>
      <c r="AR207" s="46" t="str">
        <f t="shared" si="18"/>
        <v/>
      </c>
      <c r="AS207" s="46" t="str">
        <f t="shared" si="18"/>
        <v/>
      </c>
      <c r="AT207" s="46" t="str">
        <f t="shared" si="18"/>
        <v/>
      </c>
      <c r="AU207" s="46" t="str">
        <f t="shared" si="18"/>
        <v/>
      </c>
      <c r="AV207" s="46" t="str">
        <f t="shared" si="18"/>
        <v/>
      </c>
      <c r="AW207" s="46" t="str">
        <f t="shared" si="18"/>
        <v/>
      </c>
      <c r="AX207" s="46" t="str">
        <f t="shared" si="18"/>
        <v/>
      </c>
      <c r="AY207" s="46" t="str">
        <f t="shared" si="18"/>
        <v/>
      </c>
      <c r="AZ207" s="46" t="str">
        <f t="shared" si="18"/>
        <v/>
      </c>
      <c r="BA207" s="46" t="str">
        <f t="shared" si="18"/>
        <v/>
      </c>
      <c r="BB207" s="46" t="str">
        <f t="shared" si="18"/>
        <v/>
      </c>
      <c r="BC207" s="46" t="str">
        <f t="shared" si="18"/>
        <v/>
      </c>
      <c r="BD207" s="46" t="str">
        <f t="shared" si="18"/>
        <v/>
      </c>
      <c r="BE207" s="46" t="str">
        <f t="shared" si="18"/>
        <v/>
      </c>
      <c r="BF207" s="46" t="str">
        <f t="shared" si="18"/>
        <v/>
      </c>
      <c r="BG207" s="46" t="str">
        <f t="shared" si="18"/>
        <v/>
      </c>
      <c r="BH207" s="46" t="str">
        <f t="shared" si="18"/>
        <v/>
      </c>
      <c r="BI207" s="46" t="str">
        <f t="shared" si="18"/>
        <v/>
      </c>
      <c r="BJ207" s="46" t="str">
        <f t="shared" si="18"/>
        <v/>
      </c>
      <c r="BK207" s="46" t="str">
        <f t="shared" si="18"/>
        <v/>
      </c>
      <c r="BL207" s="46" t="str">
        <f t="shared" si="18"/>
        <v/>
      </c>
      <c r="BM207" s="46" t="str">
        <f t="shared" si="18"/>
        <v/>
      </c>
      <c r="BN207" s="46" t="str">
        <f t="shared" si="18"/>
        <v/>
      </c>
      <c r="BO207" s="46" t="str">
        <f t="shared" si="18"/>
        <v/>
      </c>
      <c r="BP207" s="46" t="str">
        <f t="shared" si="17"/>
        <v/>
      </c>
      <c r="BQ207" s="46" t="str">
        <f t="shared" si="17"/>
        <v/>
      </c>
      <c r="BR207" s="46" t="str">
        <f t="shared" si="17"/>
        <v/>
      </c>
      <c r="BS207" s="46" t="str">
        <f t="shared" si="17"/>
        <v/>
      </c>
      <c r="BT207" s="46" t="str">
        <f t="shared" si="17"/>
        <v/>
      </c>
      <c r="BU207" s="46" t="str">
        <f t="shared" si="17"/>
        <v/>
      </c>
      <c r="BV207" s="46" t="str">
        <f t="shared" si="17"/>
        <v/>
      </c>
      <c r="BW207" s="46" t="str">
        <f t="shared" si="17"/>
        <v/>
      </c>
      <c r="BX207" s="46" t="str">
        <f t="shared" si="17"/>
        <v/>
      </c>
      <c r="BY207" s="46" t="str">
        <f t="shared" si="17"/>
        <v/>
      </c>
      <c r="BZ207" s="46" t="str">
        <f t="shared" si="17"/>
        <v/>
      </c>
      <c r="CA207" s="46" t="str">
        <f t="shared" si="17"/>
        <v/>
      </c>
      <c r="CB207" s="46" t="str">
        <f t="shared" si="17"/>
        <v/>
      </c>
      <c r="CC207" s="46" t="str">
        <f t="shared" si="17"/>
        <v/>
      </c>
      <c r="CD207" s="46" t="str">
        <f t="shared" si="17"/>
        <v/>
      </c>
      <c r="CE207" s="46" t="str">
        <f t="shared" si="17"/>
        <v/>
      </c>
      <c r="CF207" s="46" t="str">
        <f t="shared" si="17"/>
        <v/>
      </c>
      <c r="CG207" s="46" t="str">
        <f t="shared" si="17"/>
        <v/>
      </c>
      <c r="CH207" s="46" t="str">
        <f t="shared" si="17"/>
        <v/>
      </c>
      <c r="CI207" s="46" t="str">
        <f t="shared" si="17"/>
        <v/>
      </c>
      <c r="CJ207" s="46" t="str">
        <f t="shared" si="17"/>
        <v/>
      </c>
      <c r="CK207" s="46" t="str">
        <f t="shared" si="17"/>
        <v/>
      </c>
      <c r="CL207" s="46" t="str">
        <f t="shared" si="17"/>
        <v/>
      </c>
      <c r="CM207" s="46" t="str">
        <f t="shared" si="17"/>
        <v/>
      </c>
      <c r="CN207" s="46" t="str">
        <f t="shared" si="17"/>
        <v/>
      </c>
      <c r="CO207" s="46" t="str">
        <f t="shared" si="17"/>
        <v/>
      </c>
      <c r="CP207" s="46" t="str">
        <f t="shared" si="17"/>
        <v/>
      </c>
      <c r="CQ207" s="46" t="str">
        <f t="shared" si="17"/>
        <v/>
      </c>
      <c r="CR207" s="46" t="str">
        <f t="shared" si="17"/>
        <v/>
      </c>
      <c r="CS207" s="46" t="str">
        <f t="shared" si="17"/>
        <v/>
      </c>
      <c r="CT207" s="46" t="str">
        <f t="shared" si="17"/>
        <v/>
      </c>
      <c r="CU207" s="46" t="str">
        <f t="shared" si="17"/>
        <v/>
      </c>
      <c r="CV207" s="46" t="str">
        <f t="shared" si="17"/>
        <v/>
      </c>
      <c r="CW207" s="46" t="str">
        <f t="shared" si="17"/>
        <v/>
      </c>
      <c r="CX207" s="46" t="str">
        <f t="shared" si="17"/>
        <v/>
      </c>
      <c r="CY207" s="46" t="str">
        <f t="shared" si="17"/>
        <v/>
      </c>
      <c r="CZ207" s="46">
        <f t="shared" si="17"/>
        <v>8</v>
      </c>
      <c r="DA207" s="46" t="str">
        <f t="shared" si="17"/>
        <v/>
      </c>
      <c r="DB207" s="46" t="str">
        <f t="shared" si="17"/>
        <v/>
      </c>
      <c r="DC207" s="46" t="str">
        <f t="shared" si="17"/>
        <v/>
      </c>
      <c r="DD207" s="46" t="str">
        <f t="shared" si="17"/>
        <v/>
      </c>
      <c r="DE207" s="46" t="str">
        <f t="shared" si="17"/>
        <v/>
      </c>
      <c r="DF207" s="46" t="str">
        <f t="shared" si="17"/>
        <v/>
      </c>
      <c r="DG207" s="46" t="str">
        <f t="shared" si="17"/>
        <v/>
      </c>
      <c r="DH207" s="46" t="str">
        <f t="shared" si="17"/>
        <v/>
      </c>
      <c r="DL207" s="6"/>
    </row>
    <row r="208" spans="1:116" x14ac:dyDescent="0.25">
      <c r="B208" s="46"/>
      <c r="C208" s="46" t="str">
        <f t="shared" si="15"/>
        <v/>
      </c>
      <c r="D208" s="46" t="str">
        <f t="shared" si="18"/>
        <v/>
      </c>
      <c r="E208" s="46" t="str">
        <f t="shared" si="18"/>
        <v/>
      </c>
      <c r="F208" s="46" t="str">
        <f t="shared" si="18"/>
        <v/>
      </c>
      <c r="G208" s="46" t="str">
        <f t="shared" si="18"/>
        <v/>
      </c>
      <c r="H208" s="46" t="str">
        <f t="shared" si="18"/>
        <v/>
      </c>
      <c r="I208" s="46" t="str">
        <f t="shared" si="18"/>
        <v/>
      </c>
      <c r="J208" s="46" t="str">
        <f t="shared" si="18"/>
        <v/>
      </c>
      <c r="K208" s="46" t="str">
        <f t="shared" si="18"/>
        <v/>
      </c>
      <c r="L208" s="46" t="str">
        <f t="shared" si="18"/>
        <v/>
      </c>
      <c r="M208" s="46" t="str">
        <f t="shared" si="18"/>
        <v/>
      </c>
      <c r="N208" s="46" t="str">
        <f t="shared" si="18"/>
        <v/>
      </c>
      <c r="O208" s="46" t="str">
        <f t="shared" si="18"/>
        <v/>
      </c>
      <c r="P208" s="46" t="str">
        <f t="shared" si="18"/>
        <v/>
      </c>
      <c r="Q208" s="46" t="str">
        <f t="shared" si="18"/>
        <v/>
      </c>
      <c r="R208" s="46" t="str">
        <f t="shared" si="18"/>
        <v/>
      </c>
      <c r="S208" s="46" t="str">
        <f t="shared" si="18"/>
        <v/>
      </c>
      <c r="T208" s="46" t="str">
        <f t="shared" si="18"/>
        <v/>
      </c>
      <c r="U208" s="46" t="str">
        <f t="shared" si="18"/>
        <v/>
      </c>
      <c r="V208" s="46" t="str">
        <f t="shared" si="18"/>
        <v/>
      </c>
      <c r="W208" s="46" t="str">
        <f t="shared" si="18"/>
        <v/>
      </c>
      <c r="X208" s="46" t="str">
        <f t="shared" si="18"/>
        <v/>
      </c>
      <c r="Y208" s="46" t="str">
        <f t="shared" si="18"/>
        <v/>
      </c>
      <c r="Z208" s="46" t="str">
        <f t="shared" si="18"/>
        <v/>
      </c>
      <c r="AA208" s="46" t="str">
        <f t="shared" si="18"/>
        <v/>
      </c>
      <c r="AB208" s="46" t="str">
        <f t="shared" si="18"/>
        <v/>
      </c>
      <c r="AC208" s="46" t="str">
        <f t="shared" si="18"/>
        <v/>
      </c>
      <c r="AD208" s="46" t="str">
        <f t="shared" si="18"/>
        <v/>
      </c>
      <c r="AE208" s="46" t="str">
        <f t="shared" si="18"/>
        <v/>
      </c>
      <c r="AF208" s="46" t="str">
        <f t="shared" si="18"/>
        <v/>
      </c>
      <c r="AG208" s="46" t="str">
        <f t="shared" si="18"/>
        <v/>
      </c>
      <c r="AH208" s="46">
        <f t="shared" si="18"/>
        <v>16</v>
      </c>
      <c r="AI208" s="46">
        <f t="shared" si="18"/>
        <v>16</v>
      </c>
      <c r="AJ208" s="46" t="str">
        <f t="shared" si="18"/>
        <v/>
      </c>
      <c r="AK208" s="46" t="str">
        <f t="shared" si="18"/>
        <v/>
      </c>
      <c r="AL208" s="46" t="str">
        <f t="shared" si="18"/>
        <v/>
      </c>
      <c r="AM208" s="46" t="str">
        <f t="shared" si="18"/>
        <v/>
      </c>
      <c r="AN208" s="46" t="str">
        <f t="shared" si="18"/>
        <v/>
      </c>
      <c r="AO208" s="46" t="str">
        <f t="shared" si="18"/>
        <v/>
      </c>
      <c r="AP208" s="46" t="str">
        <f t="shared" si="18"/>
        <v/>
      </c>
      <c r="AQ208" s="46" t="str">
        <f t="shared" si="18"/>
        <v/>
      </c>
      <c r="AR208" s="46" t="str">
        <f t="shared" si="18"/>
        <v/>
      </c>
      <c r="AS208" s="46" t="str">
        <f t="shared" si="18"/>
        <v/>
      </c>
      <c r="AT208" s="46" t="str">
        <f t="shared" si="18"/>
        <v/>
      </c>
      <c r="AU208" s="46" t="str">
        <f t="shared" si="18"/>
        <v/>
      </c>
      <c r="AV208" s="46" t="str">
        <f t="shared" si="18"/>
        <v/>
      </c>
      <c r="AW208" s="46" t="str">
        <f t="shared" si="18"/>
        <v/>
      </c>
      <c r="AX208" s="46" t="str">
        <f t="shared" si="18"/>
        <v/>
      </c>
      <c r="AY208" s="46" t="str">
        <f t="shared" si="18"/>
        <v/>
      </c>
      <c r="AZ208" s="46" t="str">
        <f t="shared" si="18"/>
        <v/>
      </c>
      <c r="BA208" s="46" t="str">
        <f t="shared" si="18"/>
        <v/>
      </c>
      <c r="BB208" s="46" t="str">
        <f t="shared" si="18"/>
        <v/>
      </c>
      <c r="BC208" s="46" t="str">
        <f t="shared" si="18"/>
        <v/>
      </c>
      <c r="BD208" s="46" t="str">
        <f t="shared" si="18"/>
        <v/>
      </c>
      <c r="BE208" s="46" t="str">
        <f t="shared" si="18"/>
        <v/>
      </c>
      <c r="BF208" s="46" t="str">
        <f t="shared" si="18"/>
        <v/>
      </c>
      <c r="BG208" s="46" t="str">
        <f t="shared" si="18"/>
        <v/>
      </c>
      <c r="BH208" s="46" t="str">
        <f t="shared" si="18"/>
        <v/>
      </c>
      <c r="BI208" s="46" t="str">
        <f t="shared" si="18"/>
        <v/>
      </c>
      <c r="BJ208" s="46" t="str">
        <f t="shared" si="18"/>
        <v/>
      </c>
      <c r="BK208" s="46" t="str">
        <f t="shared" si="18"/>
        <v/>
      </c>
      <c r="BL208" s="46" t="str">
        <f t="shared" si="18"/>
        <v/>
      </c>
      <c r="BM208" s="46" t="str">
        <f t="shared" si="18"/>
        <v/>
      </c>
      <c r="BN208" s="46" t="str">
        <f t="shared" si="18"/>
        <v/>
      </c>
      <c r="BO208" s="46" t="str">
        <f t="shared" ref="BO208:DH211" si="19">IF(BO18="X",$DK18,"")</f>
        <v/>
      </c>
      <c r="BP208" s="46" t="str">
        <f t="shared" si="19"/>
        <v/>
      </c>
      <c r="BQ208" s="46" t="str">
        <f t="shared" si="19"/>
        <v/>
      </c>
      <c r="BR208" s="46" t="str">
        <f t="shared" si="19"/>
        <v/>
      </c>
      <c r="BS208" s="46" t="str">
        <f t="shared" si="19"/>
        <v/>
      </c>
      <c r="BT208" s="46" t="str">
        <f t="shared" si="19"/>
        <v/>
      </c>
      <c r="BU208" s="46" t="str">
        <f t="shared" si="19"/>
        <v/>
      </c>
      <c r="BV208" s="46" t="str">
        <f t="shared" si="19"/>
        <v/>
      </c>
      <c r="BW208" s="46" t="str">
        <f t="shared" si="19"/>
        <v/>
      </c>
      <c r="BX208" s="46" t="str">
        <f t="shared" si="19"/>
        <v/>
      </c>
      <c r="BY208" s="46" t="str">
        <f t="shared" si="19"/>
        <v/>
      </c>
      <c r="BZ208" s="46" t="str">
        <f t="shared" si="19"/>
        <v/>
      </c>
      <c r="CA208" s="46" t="str">
        <f t="shared" si="19"/>
        <v/>
      </c>
      <c r="CB208" s="46" t="str">
        <f t="shared" si="19"/>
        <v/>
      </c>
      <c r="CC208" s="46" t="str">
        <f t="shared" si="19"/>
        <v/>
      </c>
      <c r="CD208" s="46" t="str">
        <f t="shared" si="19"/>
        <v/>
      </c>
      <c r="CE208" s="46" t="str">
        <f t="shared" si="19"/>
        <v/>
      </c>
      <c r="CF208" s="46" t="str">
        <f t="shared" si="19"/>
        <v/>
      </c>
      <c r="CG208" s="46" t="str">
        <f t="shared" si="19"/>
        <v/>
      </c>
      <c r="CH208" s="46" t="str">
        <f t="shared" si="19"/>
        <v/>
      </c>
      <c r="CI208" s="46" t="str">
        <f t="shared" si="19"/>
        <v/>
      </c>
      <c r="CJ208" s="46" t="str">
        <f t="shared" si="19"/>
        <v/>
      </c>
      <c r="CK208" s="46" t="str">
        <f t="shared" si="19"/>
        <v/>
      </c>
      <c r="CL208" s="46" t="str">
        <f t="shared" si="19"/>
        <v/>
      </c>
      <c r="CM208" s="46" t="str">
        <f t="shared" si="19"/>
        <v/>
      </c>
      <c r="CN208" s="46" t="str">
        <f t="shared" si="19"/>
        <v/>
      </c>
      <c r="CO208" s="46" t="str">
        <f t="shared" si="19"/>
        <v/>
      </c>
      <c r="CP208" s="46" t="str">
        <f t="shared" si="19"/>
        <v/>
      </c>
      <c r="CQ208" s="46" t="str">
        <f t="shared" si="19"/>
        <v/>
      </c>
      <c r="CR208" s="46" t="str">
        <f t="shared" si="19"/>
        <v/>
      </c>
      <c r="CS208" s="46" t="str">
        <f t="shared" si="19"/>
        <v/>
      </c>
      <c r="CT208" s="46" t="str">
        <f t="shared" si="19"/>
        <v/>
      </c>
      <c r="CU208" s="46" t="str">
        <f t="shared" si="19"/>
        <v/>
      </c>
      <c r="CV208" s="46" t="str">
        <f t="shared" si="19"/>
        <v/>
      </c>
      <c r="CW208" s="46" t="str">
        <f t="shared" si="19"/>
        <v/>
      </c>
      <c r="CX208" s="46" t="str">
        <f t="shared" si="19"/>
        <v/>
      </c>
      <c r="CY208" s="46" t="str">
        <f t="shared" si="19"/>
        <v/>
      </c>
      <c r="CZ208" s="46" t="str">
        <f t="shared" si="19"/>
        <v/>
      </c>
      <c r="DA208" s="46" t="str">
        <f t="shared" si="19"/>
        <v/>
      </c>
      <c r="DB208" s="46" t="str">
        <f t="shared" si="19"/>
        <v/>
      </c>
      <c r="DC208" s="46" t="str">
        <f t="shared" si="19"/>
        <v/>
      </c>
      <c r="DD208" s="46" t="str">
        <f t="shared" si="19"/>
        <v/>
      </c>
      <c r="DE208" s="46" t="str">
        <f t="shared" si="19"/>
        <v/>
      </c>
      <c r="DF208" s="46" t="str">
        <f t="shared" si="19"/>
        <v/>
      </c>
      <c r="DG208" s="46" t="str">
        <f t="shared" si="19"/>
        <v/>
      </c>
      <c r="DH208" s="46" t="str">
        <f t="shared" si="19"/>
        <v/>
      </c>
      <c r="DL208" s="6"/>
    </row>
    <row r="209" spans="2:116" x14ac:dyDescent="0.25">
      <c r="B209" s="46"/>
      <c r="C209" s="46" t="str">
        <f t="shared" si="15"/>
        <v/>
      </c>
      <c r="D209" s="46" t="str">
        <f t="shared" ref="D209:BO212" si="20">IF(D19="X",$DK19,"")</f>
        <v/>
      </c>
      <c r="E209" s="46" t="str">
        <f t="shared" si="20"/>
        <v/>
      </c>
      <c r="F209" s="46" t="str">
        <f t="shared" si="20"/>
        <v/>
      </c>
      <c r="G209" s="46" t="str">
        <f t="shared" si="20"/>
        <v/>
      </c>
      <c r="H209" s="46" t="str">
        <f t="shared" si="20"/>
        <v/>
      </c>
      <c r="I209" s="46" t="str">
        <f t="shared" si="20"/>
        <v/>
      </c>
      <c r="J209" s="46" t="str">
        <f t="shared" si="20"/>
        <v/>
      </c>
      <c r="K209" s="46" t="str">
        <f t="shared" si="20"/>
        <v/>
      </c>
      <c r="L209" s="46" t="str">
        <f t="shared" si="20"/>
        <v/>
      </c>
      <c r="M209" s="46" t="str">
        <f t="shared" si="20"/>
        <v/>
      </c>
      <c r="N209" s="46" t="str">
        <f t="shared" si="20"/>
        <v/>
      </c>
      <c r="O209" s="46" t="str">
        <f t="shared" si="20"/>
        <v/>
      </c>
      <c r="P209" s="46" t="str">
        <f t="shared" si="20"/>
        <v/>
      </c>
      <c r="Q209" s="46" t="str">
        <f t="shared" si="20"/>
        <v/>
      </c>
      <c r="R209" s="46" t="str">
        <f t="shared" si="20"/>
        <v/>
      </c>
      <c r="S209" s="46" t="str">
        <f t="shared" si="20"/>
        <v/>
      </c>
      <c r="T209" s="46" t="str">
        <f t="shared" si="20"/>
        <v/>
      </c>
      <c r="U209" s="46" t="str">
        <f t="shared" si="20"/>
        <v/>
      </c>
      <c r="V209" s="46" t="str">
        <f t="shared" si="20"/>
        <v/>
      </c>
      <c r="W209" s="46" t="str">
        <f t="shared" si="20"/>
        <v/>
      </c>
      <c r="X209" s="46" t="str">
        <f t="shared" si="20"/>
        <v/>
      </c>
      <c r="Y209" s="46" t="str">
        <f t="shared" si="20"/>
        <v/>
      </c>
      <c r="Z209" s="46" t="str">
        <f t="shared" si="20"/>
        <v/>
      </c>
      <c r="AA209" s="46" t="str">
        <f t="shared" si="20"/>
        <v/>
      </c>
      <c r="AB209" s="46" t="str">
        <f t="shared" si="20"/>
        <v/>
      </c>
      <c r="AC209" s="46" t="str">
        <f t="shared" si="20"/>
        <v/>
      </c>
      <c r="AD209" s="46" t="str">
        <f t="shared" si="20"/>
        <v/>
      </c>
      <c r="AE209" s="46" t="str">
        <f t="shared" si="20"/>
        <v/>
      </c>
      <c r="AF209" s="46" t="str">
        <f t="shared" si="20"/>
        <v/>
      </c>
      <c r="AG209" s="46" t="str">
        <f t="shared" si="20"/>
        <v/>
      </c>
      <c r="AH209" s="46" t="str">
        <f t="shared" si="20"/>
        <v/>
      </c>
      <c r="AI209" s="46" t="str">
        <f t="shared" si="20"/>
        <v/>
      </c>
      <c r="AJ209" s="46" t="str">
        <f t="shared" si="20"/>
        <v/>
      </c>
      <c r="AK209" s="46">
        <f t="shared" si="20"/>
        <v>8</v>
      </c>
      <c r="AL209" s="46">
        <f t="shared" si="20"/>
        <v>8</v>
      </c>
      <c r="AM209" s="46">
        <f t="shared" si="20"/>
        <v>8</v>
      </c>
      <c r="AN209" s="46" t="str">
        <f t="shared" si="20"/>
        <v/>
      </c>
      <c r="AO209" s="46" t="str">
        <f t="shared" si="20"/>
        <v/>
      </c>
      <c r="AP209" s="46" t="str">
        <f t="shared" si="20"/>
        <v/>
      </c>
      <c r="AQ209" s="46" t="str">
        <f t="shared" si="20"/>
        <v/>
      </c>
      <c r="AR209" s="46" t="str">
        <f t="shared" si="20"/>
        <v/>
      </c>
      <c r="AS209" s="46" t="str">
        <f t="shared" si="20"/>
        <v/>
      </c>
      <c r="AT209" s="46" t="str">
        <f t="shared" si="20"/>
        <v/>
      </c>
      <c r="AU209" s="46" t="str">
        <f t="shared" si="20"/>
        <v/>
      </c>
      <c r="AV209" s="46" t="str">
        <f t="shared" si="20"/>
        <v/>
      </c>
      <c r="AW209" s="46" t="str">
        <f t="shared" si="20"/>
        <v/>
      </c>
      <c r="AX209" s="46" t="str">
        <f t="shared" si="20"/>
        <v/>
      </c>
      <c r="AY209" s="46" t="str">
        <f t="shared" si="20"/>
        <v/>
      </c>
      <c r="AZ209" s="46" t="str">
        <f t="shared" si="20"/>
        <v/>
      </c>
      <c r="BA209" s="46" t="str">
        <f t="shared" si="20"/>
        <v/>
      </c>
      <c r="BB209" s="46" t="str">
        <f t="shared" si="20"/>
        <v/>
      </c>
      <c r="BC209" s="46" t="str">
        <f t="shared" si="20"/>
        <v/>
      </c>
      <c r="BD209" s="46" t="str">
        <f t="shared" si="20"/>
        <v/>
      </c>
      <c r="BE209" s="46" t="str">
        <f t="shared" si="20"/>
        <v/>
      </c>
      <c r="BF209" s="46" t="str">
        <f t="shared" si="20"/>
        <v/>
      </c>
      <c r="BG209" s="46" t="str">
        <f t="shared" si="20"/>
        <v/>
      </c>
      <c r="BH209" s="46" t="str">
        <f t="shared" si="20"/>
        <v/>
      </c>
      <c r="BI209" s="46" t="str">
        <f t="shared" si="20"/>
        <v/>
      </c>
      <c r="BJ209" s="46" t="str">
        <f t="shared" si="20"/>
        <v/>
      </c>
      <c r="BK209" s="46" t="str">
        <f t="shared" si="20"/>
        <v/>
      </c>
      <c r="BL209" s="46" t="str">
        <f t="shared" si="20"/>
        <v/>
      </c>
      <c r="BM209" s="46" t="str">
        <f t="shared" si="20"/>
        <v/>
      </c>
      <c r="BN209" s="46" t="str">
        <f t="shared" si="20"/>
        <v/>
      </c>
      <c r="BO209" s="46" t="str">
        <f t="shared" si="20"/>
        <v/>
      </c>
      <c r="BP209" s="46" t="str">
        <f t="shared" si="19"/>
        <v/>
      </c>
      <c r="BQ209" s="46" t="str">
        <f t="shared" si="19"/>
        <v/>
      </c>
      <c r="BR209" s="46" t="str">
        <f t="shared" si="19"/>
        <v/>
      </c>
      <c r="BS209" s="46" t="str">
        <f t="shared" si="19"/>
        <v/>
      </c>
      <c r="BT209" s="46" t="str">
        <f t="shared" si="19"/>
        <v/>
      </c>
      <c r="BU209" s="46" t="str">
        <f t="shared" si="19"/>
        <v/>
      </c>
      <c r="BV209" s="46" t="str">
        <f t="shared" si="19"/>
        <v/>
      </c>
      <c r="BW209" s="46" t="str">
        <f t="shared" si="19"/>
        <v/>
      </c>
      <c r="BX209" s="46" t="str">
        <f t="shared" si="19"/>
        <v/>
      </c>
      <c r="BY209" s="46" t="str">
        <f t="shared" si="19"/>
        <v/>
      </c>
      <c r="BZ209" s="46" t="str">
        <f t="shared" si="19"/>
        <v/>
      </c>
      <c r="CA209" s="46" t="str">
        <f t="shared" si="19"/>
        <v/>
      </c>
      <c r="CB209" s="46" t="str">
        <f t="shared" si="19"/>
        <v/>
      </c>
      <c r="CC209" s="46" t="str">
        <f t="shared" si="19"/>
        <v/>
      </c>
      <c r="CD209" s="46" t="str">
        <f t="shared" si="19"/>
        <v/>
      </c>
      <c r="CE209" s="46" t="str">
        <f t="shared" si="19"/>
        <v/>
      </c>
      <c r="CF209" s="46" t="str">
        <f t="shared" si="19"/>
        <v/>
      </c>
      <c r="CG209" s="46" t="str">
        <f t="shared" si="19"/>
        <v/>
      </c>
      <c r="CH209" s="46" t="str">
        <f t="shared" si="19"/>
        <v/>
      </c>
      <c r="CI209" s="46" t="str">
        <f t="shared" si="19"/>
        <v/>
      </c>
      <c r="CJ209" s="46" t="str">
        <f t="shared" si="19"/>
        <v/>
      </c>
      <c r="CK209" s="46" t="str">
        <f t="shared" si="19"/>
        <v/>
      </c>
      <c r="CL209" s="46" t="str">
        <f t="shared" si="19"/>
        <v/>
      </c>
      <c r="CM209" s="46" t="str">
        <f t="shared" si="19"/>
        <v/>
      </c>
      <c r="CN209" s="46" t="str">
        <f t="shared" si="19"/>
        <v/>
      </c>
      <c r="CO209" s="46" t="str">
        <f t="shared" si="19"/>
        <v/>
      </c>
      <c r="CP209" s="46" t="str">
        <f t="shared" si="19"/>
        <v/>
      </c>
      <c r="CQ209" s="46" t="str">
        <f t="shared" si="19"/>
        <v/>
      </c>
      <c r="CR209" s="46" t="str">
        <f t="shared" si="19"/>
        <v/>
      </c>
      <c r="CS209" s="46" t="str">
        <f t="shared" si="19"/>
        <v/>
      </c>
      <c r="CT209" s="46" t="str">
        <f t="shared" si="19"/>
        <v/>
      </c>
      <c r="CU209" s="46" t="str">
        <f t="shared" si="19"/>
        <v/>
      </c>
      <c r="CV209" s="46" t="str">
        <f t="shared" si="19"/>
        <v/>
      </c>
      <c r="CW209" s="46" t="str">
        <f t="shared" si="19"/>
        <v/>
      </c>
      <c r="CX209" s="46" t="str">
        <f t="shared" si="19"/>
        <v/>
      </c>
      <c r="CY209" s="46" t="str">
        <f t="shared" si="19"/>
        <v/>
      </c>
      <c r="CZ209" s="46" t="str">
        <f t="shared" si="19"/>
        <v/>
      </c>
      <c r="DA209" s="46" t="str">
        <f t="shared" si="19"/>
        <v/>
      </c>
      <c r="DB209" s="46" t="str">
        <f t="shared" si="19"/>
        <v/>
      </c>
      <c r="DC209" s="46" t="str">
        <f t="shared" si="19"/>
        <v/>
      </c>
      <c r="DD209" s="46" t="str">
        <f t="shared" si="19"/>
        <v/>
      </c>
      <c r="DE209" s="46" t="str">
        <f t="shared" si="19"/>
        <v/>
      </c>
      <c r="DF209" s="46" t="str">
        <f t="shared" si="19"/>
        <v/>
      </c>
      <c r="DG209" s="46" t="str">
        <f t="shared" si="19"/>
        <v/>
      </c>
      <c r="DH209" s="46" t="str">
        <f t="shared" si="19"/>
        <v/>
      </c>
      <c r="DL209" s="6"/>
    </row>
    <row r="210" spans="2:116" x14ac:dyDescent="0.25">
      <c r="B210" s="46"/>
      <c r="C210" s="46">
        <f t="shared" si="15"/>
        <v>8</v>
      </c>
      <c r="D210" s="46">
        <f t="shared" si="20"/>
        <v>8</v>
      </c>
      <c r="E210" s="46">
        <f t="shared" si="20"/>
        <v>8</v>
      </c>
      <c r="F210" s="46">
        <f t="shared" si="20"/>
        <v>8</v>
      </c>
      <c r="G210" s="46">
        <f t="shared" si="20"/>
        <v>8</v>
      </c>
      <c r="H210" s="46">
        <f t="shared" si="20"/>
        <v>8</v>
      </c>
      <c r="I210" s="46">
        <f t="shared" si="20"/>
        <v>8</v>
      </c>
      <c r="J210" s="46">
        <f t="shared" si="20"/>
        <v>8</v>
      </c>
      <c r="K210" s="46">
        <f t="shared" si="20"/>
        <v>8</v>
      </c>
      <c r="L210" s="46">
        <f t="shared" si="20"/>
        <v>8</v>
      </c>
      <c r="M210" s="46" t="str">
        <f t="shared" si="20"/>
        <v/>
      </c>
      <c r="N210" s="46">
        <f t="shared" si="20"/>
        <v>8</v>
      </c>
      <c r="O210" s="46">
        <f t="shared" si="20"/>
        <v>8</v>
      </c>
      <c r="P210" s="46">
        <f t="shared" si="20"/>
        <v>8</v>
      </c>
      <c r="Q210" s="46">
        <f t="shared" si="20"/>
        <v>8</v>
      </c>
      <c r="R210" s="46">
        <f t="shared" si="20"/>
        <v>8</v>
      </c>
      <c r="S210" s="46">
        <f t="shared" si="20"/>
        <v>8</v>
      </c>
      <c r="T210" s="46" t="str">
        <f t="shared" si="20"/>
        <v/>
      </c>
      <c r="U210" s="46">
        <f t="shared" si="20"/>
        <v>8</v>
      </c>
      <c r="V210" s="46">
        <f t="shared" si="20"/>
        <v>8</v>
      </c>
      <c r="W210" s="46">
        <f t="shared" si="20"/>
        <v>8</v>
      </c>
      <c r="X210" s="46">
        <f t="shared" si="20"/>
        <v>8</v>
      </c>
      <c r="Y210" s="46">
        <f t="shared" si="20"/>
        <v>8</v>
      </c>
      <c r="Z210" s="46">
        <f t="shared" si="20"/>
        <v>8</v>
      </c>
      <c r="AA210" s="46">
        <f t="shared" si="20"/>
        <v>8</v>
      </c>
      <c r="AB210" s="46">
        <f t="shared" si="20"/>
        <v>8</v>
      </c>
      <c r="AC210" s="46">
        <f t="shared" si="20"/>
        <v>8</v>
      </c>
      <c r="AD210" s="46" t="str">
        <f t="shared" si="20"/>
        <v/>
      </c>
      <c r="AE210" s="46">
        <f t="shared" si="20"/>
        <v>8</v>
      </c>
      <c r="AF210" s="46">
        <f t="shared" si="20"/>
        <v>8</v>
      </c>
      <c r="AG210" s="46">
        <f t="shared" si="20"/>
        <v>8</v>
      </c>
      <c r="AH210" s="46">
        <f t="shared" si="20"/>
        <v>8</v>
      </c>
      <c r="AI210" s="46">
        <f t="shared" si="20"/>
        <v>8</v>
      </c>
      <c r="AJ210" s="46">
        <f t="shared" si="20"/>
        <v>8</v>
      </c>
      <c r="AK210" s="46">
        <f t="shared" si="20"/>
        <v>8</v>
      </c>
      <c r="AL210" s="46">
        <f t="shared" si="20"/>
        <v>8</v>
      </c>
      <c r="AM210" s="46">
        <f t="shared" si="20"/>
        <v>8</v>
      </c>
      <c r="AN210" s="46">
        <f t="shared" si="20"/>
        <v>8</v>
      </c>
      <c r="AO210" s="46">
        <f t="shared" si="20"/>
        <v>8</v>
      </c>
      <c r="AP210" s="46">
        <f t="shared" si="20"/>
        <v>8</v>
      </c>
      <c r="AQ210" s="46">
        <f t="shared" si="20"/>
        <v>8</v>
      </c>
      <c r="AR210" s="46">
        <f t="shared" si="20"/>
        <v>8</v>
      </c>
      <c r="AS210" s="46">
        <f t="shared" si="20"/>
        <v>8</v>
      </c>
      <c r="AT210" s="46">
        <f t="shared" si="20"/>
        <v>8</v>
      </c>
      <c r="AU210" s="46">
        <f t="shared" si="20"/>
        <v>8</v>
      </c>
      <c r="AV210" s="46">
        <f t="shared" si="20"/>
        <v>8</v>
      </c>
      <c r="AW210" s="46">
        <f t="shared" si="20"/>
        <v>8</v>
      </c>
      <c r="AX210" s="46">
        <f t="shared" si="20"/>
        <v>8</v>
      </c>
      <c r="AY210" s="46">
        <f t="shared" si="20"/>
        <v>8</v>
      </c>
      <c r="AZ210" s="46">
        <f t="shared" si="20"/>
        <v>8</v>
      </c>
      <c r="BA210" s="46" t="str">
        <f t="shared" si="20"/>
        <v/>
      </c>
      <c r="BB210" s="46" t="str">
        <f t="shared" si="20"/>
        <v/>
      </c>
      <c r="BC210" s="46" t="str">
        <f t="shared" si="20"/>
        <v/>
      </c>
      <c r="BD210" s="46" t="str">
        <f t="shared" si="20"/>
        <v/>
      </c>
      <c r="BE210" s="46">
        <f t="shared" si="20"/>
        <v>8</v>
      </c>
      <c r="BF210" s="46" t="str">
        <f t="shared" si="20"/>
        <v/>
      </c>
      <c r="BG210" s="46" t="str">
        <f t="shared" si="20"/>
        <v/>
      </c>
      <c r="BH210" s="46">
        <f t="shared" si="20"/>
        <v>8</v>
      </c>
      <c r="BI210" s="46">
        <f t="shared" si="20"/>
        <v>8</v>
      </c>
      <c r="BJ210" s="46">
        <f t="shared" si="20"/>
        <v>8</v>
      </c>
      <c r="BK210" s="46">
        <f t="shared" si="20"/>
        <v>8</v>
      </c>
      <c r="BL210" s="46">
        <f t="shared" si="20"/>
        <v>8</v>
      </c>
      <c r="BM210" s="46">
        <f t="shared" si="20"/>
        <v>8</v>
      </c>
      <c r="BN210" s="46">
        <f t="shared" si="20"/>
        <v>8</v>
      </c>
      <c r="BO210" s="46">
        <f t="shared" si="20"/>
        <v>8</v>
      </c>
      <c r="BP210" s="46">
        <f t="shared" si="19"/>
        <v>8</v>
      </c>
      <c r="BQ210" s="46">
        <f t="shared" si="19"/>
        <v>8</v>
      </c>
      <c r="BR210" s="46" t="str">
        <f t="shared" si="19"/>
        <v/>
      </c>
      <c r="BS210" s="46">
        <f t="shared" si="19"/>
        <v>8</v>
      </c>
      <c r="BT210" s="46" t="str">
        <f t="shared" si="19"/>
        <v/>
      </c>
      <c r="BU210" s="46" t="str">
        <f t="shared" si="19"/>
        <v/>
      </c>
      <c r="BV210" s="46">
        <f t="shared" si="19"/>
        <v>8</v>
      </c>
      <c r="BW210" s="46">
        <f t="shared" si="19"/>
        <v>8</v>
      </c>
      <c r="BX210" s="46" t="str">
        <f t="shared" si="19"/>
        <v/>
      </c>
      <c r="BY210" s="46" t="str">
        <f t="shared" si="19"/>
        <v/>
      </c>
      <c r="BZ210" s="46">
        <f t="shared" si="19"/>
        <v>8</v>
      </c>
      <c r="CA210" s="46">
        <f t="shared" si="19"/>
        <v>8</v>
      </c>
      <c r="CB210" s="46" t="str">
        <f t="shared" si="19"/>
        <v/>
      </c>
      <c r="CC210" s="46">
        <f t="shared" si="19"/>
        <v>8</v>
      </c>
      <c r="CD210" s="46">
        <f t="shared" si="19"/>
        <v>8</v>
      </c>
      <c r="CE210" s="46" t="str">
        <f t="shared" si="19"/>
        <v/>
      </c>
      <c r="CF210" s="46" t="str">
        <f t="shared" si="19"/>
        <v/>
      </c>
      <c r="CG210" s="46">
        <f t="shared" si="19"/>
        <v>8</v>
      </c>
      <c r="CH210" s="46">
        <f t="shared" si="19"/>
        <v>8</v>
      </c>
      <c r="CI210" s="46">
        <f t="shared" si="19"/>
        <v>8</v>
      </c>
      <c r="CJ210" s="46">
        <f t="shared" si="19"/>
        <v>8</v>
      </c>
      <c r="CK210" s="46" t="str">
        <f t="shared" si="19"/>
        <v/>
      </c>
      <c r="CL210" s="46">
        <f t="shared" si="19"/>
        <v>8</v>
      </c>
      <c r="CM210" s="46">
        <f t="shared" si="19"/>
        <v>8</v>
      </c>
      <c r="CN210" s="46">
        <f t="shared" si="19"/>
        <v>8</v>
      </c>
      <c r="CO210" s="46" t="str">
        <f t="shared" si="19"/>
        <v/>
      </c>
      <c r="CP210" s="46" t="str">
        <f t="shared" si="19"/>
        <v/>
      </c>
      <c r="CQ210" s="46">
        <f t="shared" si="19"/>
        <v>8</v>
      </c>
      <c r="CR210" s="46">
        <f t="shared" si="19"/>
        <v>8</v>
      </c>
      <c r="CS210" s="46" t="str">
        <f t="shared" si="19"/>
        <v/>
      </c>
      <c r="CT210" s="46" t="str">
        <f t="shared" si="19"/>
        <v/>
      </c>
      <c r="CU210" s="46">
        <f t="shared" si="19"/>
        <v>8</v>
      </c>
      <c r="CV210" s="46">
        <f t="shared" si="19"/>
        <v>8</v>
      </c>
      <c r="CW210" s="46" t="str">
        <f t="shared" si="19"/>
        <v/>
      </c>
      <c r="CX210" s="46" t="str">
        <f t="shared" si="19"/>
        <v/>
      </c>
      <c r="CY210" s="46">
        <f t="shared" si="19"/>
        <v>8</v>
      </c>
      <c r="CZ210" s="46">
        <f t="shared" si="19"/>
        <v>8</v>
      </c>
      <c r="DA210" s="46">
        <f t="shared" si="19"/>
        <v>8</v>
      </c>
      <c r="DB210" s="46">
        <f t="shared" si="19"/>
        <v>8</v>
      </c>
      <c r="DC210" s="46">
        <f t="shared" si="19"/>
        <v>8</v>
      </c>
      <c r="DD210" s="46">
        <f t="shared" si="19"/>
        <v>8</v>
      </c>
      <c r="DE210" s="46">
        <f t="shared" si="19"/>
        <v>8</v>
      </c>
      <c r="DF210" s="46">
        <f t="shared" si="19"/>
        <v>8</v>
      </c>
      <c r="DG210" s="46">
        <f t="shared" si="19"/>
        <v>8</v>
      </c>
      <c r="DH210" s="46" t="str">
        <f t="shared" si="19"/>
        <v/>
      </c>
      <c r="DL210" s="6"/>
    </row>
    <row r="211" spans="2:116" x14ac:dyDescent="0.25">
      <c r="B211" s="46"/>
      <c r="C211" s="46">
        <f t="shared" si="15"/>
        <v>8</v>
      </c>
      <c r="D211" s="46">
        <f t="shared" si="20"/>
        <v>8</v>
      </c>
      <c r="E211" s="46">
        <f t="shared" si="20"/>
        <v>8</v>
      </c>
      <c r="F211" s="46">
        <f t="shared" si="20"/>
        <v>8</v>
      </c>
      <c r="G211" s="46">
        <f t="shared" si="20"/>
        <v>8</v>
      </c>
      <c r="H211" s="46">
        <f t="shared" si="20"/>
        <v>8</v>
      </c>
      <c r="I211" s="46">
        <f t="shared" si="20"/>
        <v>8</v>
      </c>
      <c r="J211" s="46">
        <f t="shared" si="20"/>
        <v>8</v>
      </c>
      <c r="K211" s="46">
        <f t="shared" si="20"/>
        <v>8</v>
      </c>
      <c r="L211" s="46">
        <f t="shared" si="20"/>
        <v>8</v>
      </c>
      <c r="M211" s="46" t="str">
        <f t="shared" si="20"/>
        <v/>
      </c>
      <c r="N211" s="46">
        <f t="shared" si="20"/>
        <v>8</v>
      </c>
      <c r="O211" s="46">
        <f t="shared" si="20"/>
        <v>8</v>
      </c>
      <c r="P211" s="46">
        <f t="shared" si="20"/>
        <v>8</v>
      </c>
      <c r="Q211" s="46">
        <f t="shared" si="20"/>
        <v>8</v>
      </c>
      <c r="R211" s="46">
        <f t="shared" si="20"/>
        <v>8</v>
      </c>
      <c r="S211" s="46">
        <f t="shared" si="20"/>
        <v>8</v>
      </c>
      <c r="T211" s="46" t="str">
        <f t="shared" si="20"/>
        <v/>
      </c>
      <c r="U211" s="46">
        <f t="shared" si="20"/>
        <v>8</v>
      </c>
      <c r="V211" s="46">
        <f t="shared" si="20"/>
        <v>8</v>
      </c>
      <c r="W211" s="46">
        <f t="shared" si="20"/>
        <v>8</v>
      </c>
      <c r="X211" s="46">
        <f t="shared" si="20"/>
        <v>8</v>
      </c>
      <c r="Y211" s="46">
        <f t="shared" si="20"/>
        <v>8</v>
      </c>
      <c r="Z211" s="46">
        <f t="shared" si="20"/>
        <v>8</v>
      </c>
      <c r="AA211" s="46">
        <f t="shared" si="20"/>
        <v>8</v>
      </c>
      <c r="AB211" s="46">
        <f t="shared" si="20"/>
        <v>8</v>
      </c>
      <c r="AC211" s="46">
        <f t="shared" si="20"/>
        <v>8</v>
      </c>
      <c r="AD211" s="46" t="str">
        <f t="shared" si="20"/>
        <v/>
      </c>
      <c r="AE211" s="46">
        <f t="shared" si="20"/>
        <v>8</v>
      </c>
      <c r="AF211" s="46">
        <f t="shared" si="20"/>
        <v>8</v>
      </c>
      <c r="AG211" s="46">
        <f t="shared" si="20"/>
        <v>8</v>
      </c>
      <c r="AH211" s="46">
        <f t="shared" si="20"/>
        <v>8</v>
      </c>
      <c r="AI211" s="46">
        <f t="shared" si="20"/>
        <v>8</v>
      </c>
      <c r="AJ211" s="46">
        <f t="shared" si="20"/>
        <v>8</v>
      </c>
      <c r="AK211" s="46">
        <f t="shared" si="20"/>
        <v>8</v>
      </c>
      <c r="AL211" s="46">
        <f t="shared" si="20"/>
        <v>8</v>
      </c>
      <c r="AM211" s="46">
        <f t="shared" si="20"/>
        <v>8</v>
      </c>
      <c r="AN211" s="46">
        <f t="shared" si="20"/>
        <v>8</v>
      </c>
      <c r="AO211" s="46">
        <f t="shared" si="20"/>
        <v>8</v>
      </c>
      <c r="AP211" s="46">
        <f t="shared" si="20"/>
        <v>8</v>
      </c>
      <c r="AQ211" s="46">
        <f t="shared" si="20"/>
        <v>8</v>
      </c>
      <c r="AR211" s="46">
        <f t="shared" si="20"/>
        <v>8</v>
      </c>
      <c r="AS211" s="46">
        <f t="shared" si="20"/>
        <v>8</v>
      </c>
      <c r="AT211" s="46">
        <f t="shared" si="20"/>
        <v>8</v>
      </c>
      <c r="AU211" s="46">
        <f t="shared" si="20"/>
        <v>8</v>
      </c>
      <c r="AV211" s="46">
        <f t="shared" si="20"/>
        <v>8</v>
      </c>
      <c r="AW211" s="46">
        <f t="shared" si="20"/>
        <v>8</v>
      </c>
      <c r="AX211" s="46">
        <f t="shared" si="20"/>
        <v>8</v>
      </c>
      <c r="AY211" s="46">
        <f t="shared" si="20"/>
        <v>8</v>
      </c>
      <c r="AZ211" s="46">
        <f t="shared" si="20"/>
        <v>8</v>
      </c>
      <c r="BA211" s="46" t="str">
        <f t="shared" si="20"/>
        <v/>
      </c>
      <c r="BB211" s="46" t="str">
        <f t="shared" si="20"/>
        <v/>
      </c>
      <c r="BC211" s="46" t="str">
        <f t="shared" si="20"/>
        <v/>
      </c>
      <c r="BD211" s="46" t="str">
        <f t="shared" si="20"/>
        <v/>
      </c>
      <c r="BE211" s="46">
        <f t="shared" si="20"/>
        <v>8</v>
      </c>
      <c r="BF211" s="46" t="str">
        <f t="shared" si="20"/>
        <v/>
      </c>
      <c r="BG211" s="46" t="str">
        <f t="shared" si="20"/>
        <v/>
      </c>
      <c r="BH211" s="46">
        <f t="shared" si="20"/>
        <v>8</v>
      </c>
      <c r="BI211" s="46">
        <f t="shared" si="20"/>
        <v>8</v>
      </c>
      <c r="BJ211" s="46">
        <f t="shared" si="20"/>
        <v>8</v>
      </c>
      <c r="BK211" s="46">
        <f t="shared" si="20"/>
        <v>8</v>
      </c>
      <c r="BL211" s="46">
        <f t="shared" si="20"/>
        <v>8</v>
      </c>
      <c r="BM211" s="46">
        <f t="shared" si="20"/>
        <v>8</v>
      </c>
      <c r="BN211" s="46">
        <f t="shared" si="20"/>
        <v>8</v>
      </c>
      <c r="BO211" s="46">
        <f t="shared" si="20"/>
        <v>8</v>
      </c>
      <c r="BP211" s="46">
        <f t="shared" si="19"/>
        <v>8</v>
      </c>
      <c r="BQ211" s="46">
        <f t="shared" si="19"/>
        <v>8</v>
      </c>
      <c r="BR211" s="46" t="str">
        <f t="shared" si="19"/>
        <v/>
      </c>
      <c r="BS211" s="46">
        <f t="shared" si="19"/>
        <v>8</v>
      </c>
      <c r="BT211" s="46" t="str">
        <f t="shared" si="19"/>
        <v/>
      </c>
      <c r="BU211" s="46" t="str">
        <f t="shared" si="19"/>
        <v/>
      </c>
      <c r="BV211" s="46">
        <f t="shared" si="19"/>
        <v>8</v>
      </c>
      <c r="BW211" s="46">
        <f t="shared" si="19"/>
        <v>8</v>
      </c>
      <c r="BX211" s="46" t="str">
        <f t="shared" si="19"/>
        <v/>
      </c>
      <c r="BY211" s="46" t="str">
        <f t="shared" si="19"/>
        <v/>
      </c>
      <c r="BZ211" s="46">
        <f t="shared" si="19"/>
        <v>8</v>
      </c>
      <c r="CA211" s="46">
        <f t="shared" si="19"/>
        <v>8</v>
      </c>
      <c r="CB211" s="46" t="str">
        <f t="shared" si="19"/>
        <v/>
      </c>
      <c r="CC211" s="46">
        <f t="shared" si="19"/>
        <v>8</v>
      </c>
      <c r="CD211" s="46">
        <f t="shared" si="19"/>
        <v>8</v>
      </c>
      <c r="CE211" s="46" t="str">
        <f t="shared" si="19"/>
        <v/>
      </c>
      <c r="CF211" s="46" t="str">
        <f t="shared" si="19"/>
        <v/>
      </c>
      <c r="CG211" s="46">
        <f t="shared" si="19"/>
        <v>8</v>
      </c>
      <c r="CH211" s="46">
        <f t="shared" si="19"/>
        <v>8</v>
      </c>
      <c r="CI211" s="46">
        <f t="shared" si="19"/>
        <v>8</v>
      </c>
      <c r="CJ211" s="46">
        <f t="shared" si="19"/>
        <v>8</v>
      </c>
      <c r="CK211" s="46" t="str">
        <f t="shared" si="19"/>
        <v/>
      </c>
      <c r="CL211" s="46">
        <f t="shared" si="19"/>
        <v>8</v>
      </c>
      <c r="CM211" s="46">
        <f t="shared" si="19"/>
        <v>8</v>
      </c>
      <c r="CN211" s="46">
        <f t="shared" si="19"/>
        <v>8</v>
      </c>
      <c r="CO211" s="46" t="str">
        <f t="shared" si="19"/>
        <v/>
      </c>
      <c r="CP211" s="46" t="str">
        <f t="shared" si="19"/>
        <v/>
      </c>
      <c r="CQ211" s="46">
        <f t="shared" si="19"/>
        <v>8</v>
      </c>
      <c r="CR211" s="46">
        <f t="shared" si="19"/>
        <v>8</v>
      </c>
      <c r="CS211" s="46" t="str">
        <f t="shared" si="19"/>
        <v/>
      </c>
      <c r="CT211" s="46" t="str">
        <f t="shared" si="19"/>
        <v/>
      </c>
      <c r="CU211" s="46">
        <f t="shared" si="19"/>
        <v>8</v>
      </c>
      <c r="CV211" s="46">
        <f t="shared" si="19"/>
        <v>8</v>
      </c>
      <c r="CW211" s="46" t="str">
        <f t="shared" si="19"/>
        <v/>
      </c>
      <c r="CX211" s="46" t="str">
        <f t="shared" si="19"/>
        <v/>
      </c>
      <c r="CY211" s="46">
        <f t="shared" si="19"/>
        <v>8</v>
      </c>
      <c r="CZ211" s="46">
        <f t="shared" si="19"/>
        <v>8</v>
      </c>
      <c r="DA211" s="46">
        <f t="shared" si="19"/>
        <v>8</v>
      </c>
      <c r="DB211" s="46">
        <f t="shared" si="19"/>
        <v>8</v>
      </c>
      <c r="DC211" s="46">
        <f t="shared" si="19"/>
        <v>8</v>
      </c>
      <c r="DD211" s="46">
        <f t="shared" si="19"/>
        <v>8</v>
      </c>
      <c r="DE211" s="46">
        <f t="shared" si="19"/>
        <v>8</v>
      </c>
      <c r="DF211" s="46">
        <f t="shared" si="19"/>
        <v>8</v>
      </c>
      <c r="DG211" s="46">
        <f t="shared" si="19"/>
        <v>8</v>
      </c>
      <c r="DH211" s="46" t="str">
        <f t="shared" si="19"/>
        <v/>
      </c>
      <c r="DL211" s="6"/>
    </row>
    <row r="212" spans="2:116" x14ac:dyDescent="0.25">
      <c r="B212" s="46"/>
      <c r="C212" s="46" t="str">
        <f t="shared" si="15"/>
        <v/>
      </c>
      <c r="D212" s="46" t="str">
        <f t="shared" si="20"/>
        <v/>
      </c>
      <c r="E212" s="46" t="str">
        <f t="shared" si="20"/>
        <v/>
      </c>
      <c r="F212" s="46" t="str">
        <f t="shared" si="20"/>
        <v/>
      </c>
      <c r="G212" s="46" t="str">
        <f t="shared" si="20"/>
        <v/>
      </c>
      <c r="H212" s="46" t="str">
        <f t="shared" si="20"/>
        <v/>
      </c>
      <c r="I212" s="46" t="str">
        <f t="shared" si="20"/>
        <v/>
      </c>
      <c r="J212" s="46" t="str">
        <f t="shared" si="20"/>
        <v/>
      </c>
      <c r="K212" s="46" t="str">
        <f t="shared" si="20"/>
        <v/>
      </c>
      <c r="L212" s="46" t="str">
        <f t="shared" si="20"/>
        <v/>
      </c>
      <c r="M212" s="46" t="str">
        <f t="shared" si="20"/>
        <v/>
      </c>
      <c r="N212" s="46" t="str">
        <f t="shared" si="20"/>
        <v/>
      </c>
      <c r="O212" s="46" t="str">
        <f t="shared" si="20"/>
        <v/>
      </c>
      <c r="P212" s="46" t="str">
        <f t="shared" si="20"/>
        <v/>
      </c>
      <c r="Q212" s="46" t="str">
        <f t="shared" si="20"/>
        <v/>
      </c>
      <c r="R212" s="46" t="str">
        <f t="shared" si="20"/>
        <v/>
      </c>
      <c r="S212" s="46" t="str">
        <f t="shared" si="20"/>
        <v/>
      </c>
      <c r="T212" s="46" t="str">
        <f t="shared" si="20"/>
        <v/>
      </c>
      <c r="U212" s="46" t="str">
        <f t="shared" si="20"/>
        <v/>
      </c>
      <c r="V212" s="46" t="str">
        <f t="shared" si="20"/>
        <v/>
      </c>
      <c r="W212" s="46" t="str">
        <f t="shared" si="20"/>
        <v/>
      </c>
      <c r="X212" s="46" t="str">
        <f t="shared" si="20"/>
        <v/>
      </c>
      <c r="Y212" s="46" t="str">
        <f t="shared" si="20"/>
        <v/>
      </c>
      <c r="Z212" s="46" t="str">
        <f t="shared" si="20"/>
        <v/>
      </c>
      <c r="AA212" s="46" t="str">
        <f t="shared" si="20"/>
        <v/>
      </c>
      <c r="AB212" s="46" t="str">
        <f t="shared" si="20"/>
        <v/>
      </c>
      <c r="AC212" s="46" t="str">
        <f t="shared" si="20"/>
        <v/>
      </c>
      <c r="AD212" s="46" t="str">
        <f t="shared" si="20"/>
        <v/>
      </c>
      <c r="AE212" s="46" t="str">
        <f t="shared" si="20"/>
        <v/>
      </c>
      <c r="AF212" s="46" t="str">
        <f t="shared" si="20"/>
        <v/>
      </c>
      <c r="AG212" s="46" t="str">
        <f t="shared" si="20"/>
        <v/>
      </c>
      <c r="AH212" s="46" t="str">
        <f t="shared" si="20"/>
        <v/>
      </c>
      <c r="AI212" s="46" t="str">
        <f t="shared" si="20"/>
        <v/>
      </c>
      <c r="AJ212" s="46" t="str">
        <f t="shared" si="20"/>
        <v/>
      </c>
      <c r="AK212" s="46" t="str">
        <f t="shared" si="20"/>
        <v/>
      </c>
      <c r="AL212" s="46" t="str">
        <f t="shared" si="20"/>
        <v/>
      </c>
      <c r="AM212" s="46" t="str">
        <f t="shared" si="20"/>
        <v/>
      </c>
      <c r="AN212" s="46" t="str">
        <f t="shared" si="20"/>
        <v/>
      </c>
      <c r="AO212" s="46" t="str">
        <f t="shared" si="20"/>
        <v/>
      </c>
      <c r="AP212" s="46">
        <f t="shared" si="20"/>
        <v>8</v>
      </c>
      <c r="AQ212" s="46" t="str">
        <f t="shared" si="20"/>
        <v/>
      </c>
      <c r="AR212" s="46" t="str">
        <f t="shared" si="20"/>
        <v/>
      </c>
      <c r="AS212" s="46" t="str">
        <f t="shared" si="20"/>
        <v/>
      </c>
      <c r="AT212" s="46" t="str">
        <f t="shared" si="20"/>
        <v/>
      </c>
      <c r="AU212" s="46" t="str">
        <f t="shared" si="20"/>
        <v/>
      </c>
      <c r="AV212" s="46" t="str">
        <f t="shared" si="20"/>
        <v/>
      </c>
      <c r="AW212" s="46" t="str">
        <f t="shared" si="20"/>
        <v/>
      </c>
      <c r="AX212" s="46" t="str">
        <f t="shared" si="20"/>
        <v/>
      </c>
      <c r="AY212" s="46" t="str">
        <f t="shared" si="20"/>
        <v/>
      </c>
      <c r="AZ212" s="46" t="str">
        <f t="shared" si="20"/>
        <v/>
      </c>
      <c r="BA212" s="46" t="str">
        <f t="shared" si="20"/>
        <v/>
      </c>
      <c r="BB212" s="46" t="str">
        <f t="shared" si="20"/>
        <v/>
      </c>
      <c r="BC212" s="46">
        <f t="shared" si="20"/>
        <v>8</v>
      </c>
      <c r="BD212" s="46">
        <f t="shared" si="20"/>
        <v>8</v>
      </c>
      <c r="BE212" s="46">
        <f t="shared" si="20"/>
        <v>8</v>
      </c>
      <c r="BF212" s="46" t="str">
        <f t="shared" si="20"/>
        <v/>
      </c>
      <c r="BG212" s="46" t="str">
        <f t="shared" si="20"/>
        <v/>
      </c>
      <c r="BH212" s="46" t="str">
        <f t="shared" si="20"/>
        <v/>
      </c>
      <c r="BI212" s="46" t="str">
        <f t="shared" si="20"/>
        <v/>
      </c>
      <c r="BJ212" s="46" t="str">
        <f t="shared" si="20"/>
        <v/>
      </c>
      <c r="BK212" s="46" t="str">
        <f t="shared" si="20"/>
        <v/>
      </c>
      <c r="BL212" s="46" t="str">
        <f t="shared" si="20"/>
        <v/>
      </c>
      <c r="BM212" s="46" t="str">
        <f t="shared" si="20"/>
        <v/>
      </c>
      <c r="BN212" s="46" t="str">
        <f t="shared" si="20"/>
        <v/>
      </c>
      <c r="BO212" s="46" t="str">
        <f t="shared" ref="BO212:DH215" si="21">IF(BO22="X",$DK22,"")</f>
        <v/>
      </c>
      <c r="BP212" s="46" t="str">
        <f t="shared" si="21"/>
        <v/>
      </c>
      <c r="BQ212" s="46" t="str">
        <f t="shared" si="21"/>
        <v/>
      </c>
      <c r="BR212" s="46" t="str">
        <f t="shared" si="21"/>
        <v/>
      </c>
      <c r="BS212" s="46" t="str">
        <f t="shared" si="21"/>
        <v/>
      </c>
      <c r="BT212" s="46" t="str">
        <f t="shared" si="21"/>
        <v/>
      </c>
      <c r="BU212" s="46" t="str">
        <f t="shared" si="21"/>
        <v/>
      </c>
      <c r="BV212" s="46" t="str">
        <f t="shared" si="21"/>
        <v/>
      </c>
      <c r="BW212" s="46" t="str">
        <f t="shared" si="21"/>
        <v/>
      </c>
      <c r="BX212" s="46" t="str">
        <f t="shared" si="21"/>
        <v/>
      </c>
      <c r="BY212" s="46" t="str">
        <f t="shared" si="21"/>
        <v/>
      </c>
      <c r="BZ212" s="46" t="str">
        <f t="shared" si="21"/>
        <v/>
      </c>
      <c r="CA212" s="46" t="str">
        <f t="shared" si="21"/>
        <v/>
      </c>
      <c r="CB212" s="46" t="str">
        <f t="shared" si="21"/>
        <v/>
      </c>
      <c r="CC212" s="46" t="str">
        <f t="shared" si="21"/>
        <v/>
      </c>
      <c r="CD212" s="46" t="str">
        <f t="shared" si="21"/>
        <v/>
      </c>
      <c r="CE212" s="46">
        <f t="shared" si="21"/>
        <v>8</v>
      </c>
      <c r="CF212" s="46">
        <f t="shared" si="21"/>
        <v>8</v>
      </c>
      <c r="CG212" s="46" t="str">
        <f t="shared" si="21"/>
        <v/>
      </c>
      <c r="CH212" s="46" t="str">
        <f t="shared" si="21"/>
        <v/>
      </c>
      <c r="CI212" s="46" t="str">
        <f t="shared" si="21"/>
        <v/>
      </c>
      <c r="CJ212" s="46" t="str">
        <f t="shared" si="21"/>
        <v/>
      </c>
      <c r="CK212" s="46" t="str">
        <f t="shared" si="21"/>
        <v/>
      </c>
      <c r="CL212" s="46" t="str">
        <f t="shared" si="21"/>
        <v/>
      </c>
      <c r="CM212" s="46" t="str">
        <f t="shared" si="21"/>
        <v/>
      </c>
      <c r="CN212" s="46" t="str">
        <f t="shared" si="21"/>
        <v/>
      </c>
      <c r="CO212" s="46" t="str">
        <f t="shared" si="21"/>
        <v/>
      </c>
      <c r="CP212" s="46" t="str">
        <f t="shared" si="21"/>
        <v/>
      </c>
      <c r="CQ212" s="46" t="str">
        <f t="shared" si="21"/>
        <v/>
      </c>
      <c r="CR212" s="46" t="str">
        <f t="shared" si="21"/>
        <v/>
      </c>
      <c r="CS212" s="46" t="str">
        <f t="shared" si="21"/>
        <v/>
      </c>
      <c r="CT212" s="46" t="str">
        <f t="shared" si="21"/>
        <v/>
      </c>
      <c r="CU212" s="46" t="str">
        <f t="shared" si="21"/>
        <v/>
      </c>
      <c r="CV212" s="46" t="str">
        <f t="shared" si="21"/>
        <v/>
      </c>
      <c r="CW212" s="46" t="str">
        <f t="shared" si="21"/>
        <v/>
      </c>
      <c r="CX212" s="46" t="str">
        <f t="shared" si="21"/>
        <v/>
      </c>
      <c r="CY212" s="46" t="str">
        <f t="shared" si="21"/>
        <v/>
      </c>
      <c r="CZ212" s="46" t="str">
        <f t="shared" si="21"/>
        <v/>
      </c>
      <c r="DA212" s="46" t="str">
        <f t="shared" si="21"/>
        <v/>
      </c>
      <c r="DB212" s="46" t="str">
        <f t="shared" si="21"/>
        <v/>
      </c>
      <c r="DC212" s="46" t="str">
        <f t="shared" si="21"/>
        <v/>
      </c>
      <c r="DD212" s="46" t="str">
        <f t="shared" si="21"/>
        <v/>
      </c>
      <c r="DE212" s="46" t="str">
        <f t="shared" si="21"/>
        <v/>
      </c>
      <c r="DF212" s="46" t="str">
        <f t="shared" si="21"/>
        <v/>
      </c>
      <c r="DG212" s="46" t="str">
        <f t="shared" si="21"/>
        <v/>
      </c>
      <c r="DH212" s="46" t="str">
        <f t="shared" si="21"/>
        <v/>
      </c>
      <c r="DL212" s="6"/>
    </row>
    <row r="213" spans="2:116" x14ac:dyDescent="0.25">
      <c r="B213" s="46"/>
      <c r="C213" s="46" t="str">
        <f t="shared" si="15"/>
        <v/>
      </c>
      <c r="D213" s="46">
        <f t="shared" ref="D213:BO216" si="22">IF(D23="X",$DK23,"")</f>
        <v>4</v>
      </c>
      <c r="E213" s="46" t="str">
        <f t="shared" si="22"/>
        <v/>
      </c>
      <c r="F213" s="46" t="str">
        <f t="shared" si="22"/>
        <v/>
      </c>
      <c r="G213" s="46" t="str">
        <f t="shared" si="22"/>
        <v/>
      </c>
      <c r="H213" s="46" t="str">
        <f t="shared" si="22"/>
        <v/>
      </c>
      <c r="I213" s="46" t="str">
        <f t="shared" si="22"/>
        <v/>
      </c>
      <c r="J213" s="46" t="str">
        <f t="shared" si="22"/>
        <v/>
      </c>
      <c r="K213" s="46" t="str">
        <f t="shared" si="22"/>
        <v/>
      </c>
      <c r="L213" s="46">
        <f t="shared" si="22"/>
        <v>4</v>
      </c>
      <c r="M213" s="46">
        <f t="shared" si="22"/>
        <v>4</v>
      </c>
      <c r="N213" s="46">
        <f t="shared" si="22"/>
        <v>4</v>
      </c>
      <c r="O213" s="46">
        <f t="shared" si="22"/>
        <v>4</v>
      </c>
      <c r="P213" s="46">
        <f t="shared" si="22"/>
        <v>4</v>
      </c>
      <c r="Q213" s="46">
        <f t="shared" si="22"/>
        <v>4</v>
      </c>
      <c r="R213" s="46">
        <f t="shared" si="22"/>
        <v>4</v>
      </c>
      <c r="S213" s="46">
        <f t="shared" si="22"/>
        <v>4</v>
      </c>
      <c r="T213" s="46" t="str">
        <f t="shared" si="22"/>
        <v/>
      </c>
      <c r="U213" s="46">
        <f t="shared" si="22"/>
        <v>4</v>
      </c>
      <c r="V213" s="46" t="str">
        <f t="shared" si="22"/>
        <v/>
      </c>
      <c r="W213" s="46" t="str">
        <f t="shared" si="22"/>
        <v/>
      </c>
      <c r="X213" s="46">
        <f t="shared" si="22"/>
        <v>4</v>
      </c>
      <c r="Y213" s="46">
        <f t="shared" si="22"/>
        <v>4</v>
      </c>
      <c r="Z213" s="46">
        <f t="shared" si="22"/>
        <v>4</v>
      </c>
      <c r="AA213" s="46">
        <f t="shared" si="22"/>
        <v>4</v>
      </c>
      <c r="AB213" s="46">
        <f t="shared" si="22"/>
        <v>4</v>
      </c>
      <c r="AC213" s="46">
        <f t="shared" si="22"/>
        <v>4</v>
      </c>
      <c r="AD213" s="46" t="str">
        <f t="shared" si="22"/>
        <v/>
      </c>
      <c r="AE213" s="46" t="str">
        <f t="shared" si="22"/>
        <v/>
      </c>
      <c r="AF213" s="46" t="str">
        <f t="shared" si="22"/>
        <v/>
      </c>
      <c r="AG213" s="46">
        <f t="shared" si="22"/>
        <v>4</v>
      </c>
      <c r="AH213" s="46">
        <f t="shared" si="22"/>
        <v>4</v>
      </c>
      <c r="AI213" s="46">
        <f t="shared" si="22"/>
        <v>4</v>
      </c>
      <c r="AJ213" s="46" t="str">
        <f t="shared" si="22"/>
        <v/>
      </c>
      <c r="AK213" s="46">
        <f t="shared" si="22"/>
        <v>4</v>
      </c>
      <c r="AL213" s="46">
        <f t="shared" si="22"/>
        <v>4</v>
      </c>
      <c r="AM213" s="46">
        <f t="shared" si="22"/>
        <v>4</v>
      </c>
      <c r="AN213" s="46" t="str">
        <f t="shared" si="22"/>
        <v/>
      </c>
      <c r="AO213" s="46" t="str">
        <f t="shared" si="22"/>
        <v/>
      </c>
      <c r="AP213" s="46" t="str">
        <f t="shared" si="22"/>
        <v/>
      </c>
      <c r="AQ213" s="46">
        <f t="shared" si="22"/>
        <v>4</v>
      </c>
      <c r="AR213" s="46">
        <f t="shared" si="22"/>
        <v>4</v>
      </c>
      <c r="AS213" s="46">
        <f t="shared" si="22"/>
        <v>4</v>
      </c>
      <c r="AT213" s="46">
        <f t="shared" si="22"/>
        <v>4</v>
      </c>
      <c r="AU213" s="46">
        <f t="shared" si="22"/>
        <v>4</v>
      </c>
      <c r="AV213" s="46" t="str">
        <f t="shared" si="22"/>
        <v/>
      </c>
      <c r="AW213" s="46">
        <f t="shared" si="22"/>
        <v>4</v>
      </c>
      <c r="AX213" s="46">
        <f t="shared" si="22"/>
        <v>4</v>
      </c>
      <c r="AY213" s="46">
        <f t="shared" si="22"/>
        <v>4</v>
      </c>
      <c r="AZ213" s="46">
        <f t="shared" si="22"/>
        <v>4</v>
      </c>
      <c r="BA213" s="46">
        <f t="shared" si="22"/>
        <v>4</v>
      </c>
      <c r="BB213" s="46" t="str">
        <f t="shared" si="22"/>
        <v/>
      </c>
      <c r="BC213" s="46">
        <f t="shared" si="22"/>
        <v>4</v>
      </c>
      <c r="BD213" s="46">
        <f t="shared" si="22"/>
        <v>4</v>
      </c>
      <c r="BE213" s="46">
        <f t="shared" si="22"/>
        <v>4</v>
      </c>
      <c r="BF213" s="46" t="str">
        <f t="shared" si="22"/>
        <v/>
      </c>
      <c r="BG213" s="46">
        <f t="shared" si="22"/>
        <v>4</v>
      </c>
      <c r="BH213" s="46">
        <f t="shared" si="22"/>
        <v>4</v>
      </c>
      <c r="BI213" s="46">
        <f t="shared" si="22"/>
        <v>4</v>
      </c>
      <c r="BJ213" s="46" t="str">
        <f t="shared" si="22"/>
        <v/>
      </c>
      <c r="BK213" s="46">
        <f t="shared" si="22"/>
        <v>4</v>
      </c>
      <c r="BL213" s="46">
        <f t="shared" si="22"/>
        <v>4</v>
      </c>
      <c r="BM213" s="46">
        <f t="shared" si="22"/>
        <v>4</v>
      </c>
      <c r="BN213" s="46" t="str">
        <f t="shared" si="22"/>
        <v/>
      </c>
      <c r="BO213" s="46" t="str">
        <f t="shared" si="22"/>
        <v/>
      </c>
      <c r="BP213" s="46">
        <f t="shared" si="21"/>
        <v>4</v>
      </c>
      <c r="BQ213" s="46" t="str">
        <f t="shared" si="21"/>
        <v/>
      </c>
      <c r="BR213" s="46" t="str">
        <f t="shared" si="21"/>
        <v/>
      </c>
      <c r="BS213" s="46">
        <f t="shared" si="21"/>
        <v>4</v>
      </c>
      <c r="BT213" s="46" t="str">
        <f t="shared" si="21"/>
        <v/>
      </c>
      <c r="BU213" s="46" t="str">
        <f t="shared" si="21"/>
        <v/>
      </c>
      <c r="BV213" s="46">
        <f t="shared" si="21"/>
        <v>4</v>
      </c>
      <c r="BW213" s="46" t="str">
        <f t="shared" si="21"/>
        <v/>
      </c>
      <c r="BX213" s="46" t="str">
        <f t="shared" si="21"/>
        <v/>
      </c>
      <c r="BY213" s="46" t="str">
        <f t="shared" si="21"/>
        <v/>
      </c>
      <c r="BZ213" s="46">
        <f t="shared" si="21"/>
        <v>4</v>
      </c>
      <c r="CA213" s="46">
        <f t="shared" si="21"/>
        <v>4</v>
      </c>
      <c r="CB213" s="46" t="str">
        <f t="shared" si="21"/>
        <v/>
      </c>
      <c r="CC213" s="46">
        <f t="shared" si="21"/>
        <v>4</v>
      </c>
      <c r="CD213" s="46" t="str">
        <f t="shared" si="21"/>
        <v/>
      </c>
      <c r="CE213" s="46" t="str">
        <f t="shared" si="21"/>
        <v/>
      </c>
      <c r="CF213" s="46" t="str">
        <f t="shared" si="21"/>
        <v/>
      </c>
      <c r="CG213" s="46" t="str">
        <f t="shared" si="21"/>
        <v/>
      </c>
      <c r="CH213" s="46" t="str">
        <f t="shared" si="21"/>
        <v/>
      </c>
      <c r="CI213" s="46">
        <f t="shared" si="21"/>
        <v>4</v>
      </c>
      <c r="CJ213" s="46" t="str">
        <f t="shared" si="21"/>
        <v/>
      </c>
      <c r="CK213" s="46">
        <f t="shared" si="21"/>
        <v>4</v>
      </c>
      <c r="CL213" s="46">
        <f t="shared" si="21"/>
        <v>4</v>
      </c>
      <c r="CM213" s="46">
        <f t="shared" si="21"/>
        <v>4</v>
      </c>
      <c r="CN213" s="46">
        <f t="shared" si="21"/>
        <v>4</v>
      </c>
      <c r="CO213" s="46" t="str">
        <f t="shared" si="21"/>
        <v/>
      </c>
      <c r="CP213" s="46" t="str">
        <f t="shared" si="21"/>
        <v/>
      </c>
      <c r="CQ213" s="46">
        <f t="shared" si="21"/>
        <v>4</v>
      </c>
      <c r="CR213" s="46">
        <f t="shared" si="21"/>
        <v>4</v>
      </c>
      <c r="CS213" s="46" t="str">
        <f t="shared" si="21"/>
        <v/>
      </c>
      <c r="CT213" s="46" t="str">
        <f t="shared" si="21"/>
        <v/>
      </c>
      <c r="CU213" s="46">
        <f t="shared" si="21"/>
        <v>4</v>
      </c>
      <c r="CV213" s="46">
        <f t="shared" si="21"/>
        <v>4</v>
      </c>
      <c r="CW213" s="46" t="str">
        <f t="shared" si="21"/>
        <v/>
      </c>
      <c r="CX213" s="46" t="str">
        <f t="shared" si="21"/>
        <v/>
      </c>
      <c r="CY213" s="46">
        <f t="shared" si="21"/>
        <v>4</v>
      </c>
      <c r="CZ213" s="46" t="str">
        <f t="shared" si="21"/>
        <v/>
      </c>
      <c r="DA213" s="46">
        <f t="shared" si="21"/>
        <v>4</v>
      </c>
      <c r="DB213" s="46" t="str">
        <f t="shared" si="21"/>
        <v/>
      </c>
      <c r="DC213" s="46" t="str">
        <f t="shared" si="21"/>
        <v/>
      </c>
      <c r="DD213" s="46">
        <f t="shared" si="21"/>
        <v>4</v>
      </c>
      <c r="DE213" s="46" t="str">
        <f t="shared" si="21"/>
        <v/>
      </c>
      <c r="DF213" s="46" t="str">
        <f t="shared" si="21"/>
        <v/>
      </c>
      <c r="DG213" s="46" t="str">
        <f t="shared" si="21"/>
        <v/>
      </c>
      <c r="DH213" s="46" t="str">
        <f t="shared" si="21"/>
        <v/>
      </c>
      <c r="DL213" s="6"/>
    </row>
    <row r="214" spans="2:116" x14ac:dyDescent="0.25">
      <c r="B214" s="46"/>
      <c r="C214" s="46" t="str">
        <f t="shared" si="15"/>
        <v/>
      </c>
      <c r="D214" s="46" t="str">
        <f t="shared" si="22"/>
        <v/>
      </c>
      <c r="E214" s="46" t="str">
        <f t="shared" si="22"/>
        <v/>
      </c>
      <c r="F214" s="46" t="str">
        <f t="shared" si="22"/>
        <v/>
      </c>
      <c r="G214" s="46" t="str">
        <f t="shared" si="22"/>
        <v/>
      </c>
      <c r="H214" s="46" t="str">
        <f t="shared" si="22"/>
        <v/>
      </c>
      <c r="I214" s="46" t="str">
        <f t="shared" si="22"/>
        <v/>
      </c>
      <c r="J214" s="46" t="str">
        <f t="shared" si="22"/>
        <v/>
      </c>
      <c r="K214" s="46" t="str">
        <f t="shared" si="22"/>
        <v/>
      </c>
      <c r="L214" s="46" t="str">
        <f t="shared" si="22"/>
        <v/>
      </c>
      <c r="M214" s="46" t="str">
        <f t="shared" si="22"/>
        <v/>
      </c>
      <c r="N214" s="46" t="str">
        <f t="shared" si="22"/>
        <v/>
      </c>
      <c r="O214" s="46" t="str">
        <f t="shared" si="22"/>
        <v/>
      </c>
      <c r="P214" s="46" t="str">
        <f t="shared" si="22"/>
        <v/>
      </c>
      <c r="Q214" s="46" t="str">
        <f t="shared" si="22"/>
        <v/>
      </c>
      <c r="R214" s="46" t="str">
        <f t="shared" si="22"/>
        <v/>
      </c>
      <c r="S214" s="46" t="str">
        <f t="shared" si="22"/>
        <v/>
      </c>
      <c r="T214" s="46" t="str">
        <f t="shared" si="22"/>
        <v/>
      </c>
      <c r="U214" s="46" t="str">
        <f t="shared" si="22"/>
        <v/>
      </c>
      <c r="V214" s="46" t="str">
        <f t="shared" si="22"/>
        <v/>
      </c>
      <c r="W214" s="46" t="str">
        <f t="shared" si="22"/>
        <v/>
      </c>
      <c r="X214" s="46" t="str">
        <f t="shared" si="22"/>
        <v/>
      </c>
      <c r="Y214" s="46" t="str">
        <f t="shared" si="22"/>
        <v/>
      </c>
      <c r="Z214" s="46" t="str">
        <f t="shared" si="22"/>
        <v/>
      </c>
      <c r="AA214" s="46" t="str">
        <f t="shared" si="22"/>
        <v/>
      </c>
      <c r="AB214" s="46" t="str">
        <f t="shared" si="22"/>
        <v/>
      </c>
      <c r="AC214" s="46" t="str">
        <f t="shared" si="22"/>
        <v/>
      </c>
      <c r="AD214" s="46" t="str">
        <f t="shared" si="22"/>
        <v/>
      </c>
      <c r="AE214" s="46" t="str">
        <f t="shared" si="22"/>
        <v/>
      </c>
      <c r="AF214" s="46" t="str">
        <f t="shared" si="22"/>
        <v/>
      </c>
      <c r="AG214" s="46" t="str">
        <f t="shared" si="22"/>
        <v/>
      </c>
      <c r="AH214" s="46" t="str">
        <f t="shared" si="22"/>
        <v/>
      </c>
      <c r="AI214" s="46" t="str">
        <f t="shared" si="22"/>
        <v/>
      </c>
      <c r="AJ214" s="46" t="str">
        <f t="shared" si="22"/>
        <v/>
      </c>
      <c r="AK214" s="46" t="str">
        <f t="shared" si="22"/>
        <v/>
      </c>
      <c r="AL214" s="46" t="str">
        <f t="shared" si="22"/>
        <v/>
      </c>
      <c r="AM214" s="46" t="str">
        <f t="shared" si="22"/>
        <v/>
      </c>
      <c r="AN214" s="46" t="str">
        <f t="shared" si="22"/>
        <v/>
      </c>
      <c r="AO214" s="46" t="str">
        <f t="shared" si="22"/>
        <v/>
      </c>
      <c r="AP214" s="46" t="str">
        <f t="shared" si="22"/>
        <v/>
      </c>
      <c r="AQ214" s="46" t="str">
        <f t="shared" si="22"/>
        <v/>
      </c>
      <c r="AR214" s="46" t="str">
        <f t="shared" si="22"/>
        <v/>
      </c>
      <c r="AS214" s="46" t="str">
        <f t="shared" si="22"/>
        <v/>
      </c>
      <c r="AT214" s="46" t="str">
        <f t="shared" si="22"/>
        <v/>
      </c>
      <c r="AU214" s="46" t="str">
        <f t="shared" si="22"/>
        <v/>
      </c>
      <c r="AV214" s="46" t="str">
        <f t="shared" si="22"/>
        <v/>
      </c>
      <c r="AW214" s="46" t="str">
        <f t="shared" si="22"/>
        <v/>
      </c>
      <c r="AX214" s="46" t="str">
        <f t="shared" si="22"/>
        <v/>
      </c>
      <c r="AY214" s="46" t="str">
        <f t="shared" si="22"/>
        <v/>
      </c>
      <c r="AZ214" s="46" t="str">
        <f t="shared" si="22"/>
        <v/>
      </c>
      <c r="BA214" s="46" t="str">
        <f t="shared" si="22"/>
        <v/>
      </c>
      <c r="BB214" s="46" t="str">
        <f t="shared" si="22"/>
        <v/>
      </c>
      <c r="BC214" s="46" t="str">
        <f t="shared" si="22"/>
        <v/>
      </c>
      <c r="BD214" s="46" t="str">
        <f t="shared" si="22"/>
        <v/>
      </c>
      <c r="BE214" s="46" t="str">
        <f t="shared" si="22"/>
        <v/>
      </c>
      <c r="BF214" s="46" t="str">
        <f t="shared" si="22"/>
        <v/>
      </c>
      <c r="BG214" s="46" t="str">
        <f t="shared" si="22"/>
        <v/>
      </c>
      <c r="BH214" s="46" t="str">
        <f t="shared" si="22"/>
        <v/>
      </c>
      <c r="BI214" s="46" t="str">
        <f t="shared" si="22"/>
        <v/>
      </c>
      <c r="BJ214" s="46" t="str">
        <f t="shared" si="22"/>
        <v/>
      </c>
      <c r="BK214" s="46" t="str">
        <f t="shared" si="22"/>
        <v/>
      </c>
      <c r="BL214" s="46" t="str">
        <f t="shared" si="22"/>
        <v/>
      </c>
      <c r="BM214" s="46" t="str">
        <f t="shared" si="22"/>
        <v/>
      </c>
      <c r="BN214" s="46" t="str">
        <f t="shared" si="22"/>
        <v/>
      </c>
      <c r="BO214" s="46" t="str">
        <f t="shared" si="22"/>
        <v/>
      </c>
      <c r="BP214" s="46" t="str">
        <f t="shared" si="21"/>
        <v/>
      </c>
      <c r="BQ214" s="46" t="str">
        <f t="shared" si="21"/>
        <v/>
      </c>
      <c r="BR214" s="46" t="str">
        <f t="shared" si="21"/>
        <v/>
      </c>
      <c r="BS214" s="46" t="str">
        <f t="shared" si="21"/>
        <v/>
      </c>
      <c r="BT214" s="46" t="str">
        <f t="shared" si="21"/>
        <v/>
      </c>
      <c r="BU214" s="46" t="str">
        <f t="shared" si="21"/>
        <v/>
      </c>
      <c r="BV214" s="46" t="str">
        <f t="shared" si="21"/>
        <v/>
      </c>
      <c r="BW214" s="46" t="str">
        <f t="shared" si="21"/>
        <v/>
      </c>
      <c r="BX214" s="46" t="str">
        <f t="shared" si="21"/>
        <v/>
      </c>
      <c r="BY214" s="46" t="str">
        <f t="shared" si="21"/>
        <v/>
      </c>
      <c r="BZ214" s="46" t="str">
        <f t="shared" si="21"/>
        <v/>
      </c>
      <c r="CA214" s="46" t="str">
        <f t="shared" si="21"/>
        <v/>
      </c>
      <c r="CB214" s="46" t="str">
        <f t="shared" si="21"/>
        <v/>
      </c>
      <c r="CC214" s="46" t="str">
        <f t="shared" si="21"/>
        <v/>
      </c>
      <c r="CD214" s="46" t="str">
        <f t="shared" si="21"/>
        <v/>
      </c>
      <c r="CE214" s="46" t="str">
        <f t="shared" si="21"/>
        <v/>
      </c>
      <c r="CF214" s="46" t="str">
        <f t="shared" si="21"/>
        <v/>
      </c>
      <c r="CG214" s="46" t="str">
        <f t="shared" si="21"/>
        <v/>
      </c>
      <c r="CH214" s="46" t="str">
        <f t="shared" si="21"/>
        <v/>
      </c>
      <c r="CI214" s="46" t="str">
        <f t="shared" si="21"/>
        <v/>
      </c>
      <c r="CJ214" s="46" t="str">
        <f t="shared" si="21"/>
        <v/>
      </c>
      <c r="CK214" s="46" t="str">
        <f t="shared" si="21"/>
        <v/>
      </c>
      <c r="CL214" s="46" t="str">
        <f t="shared" si="21"/>
        <v/>
      </c>
      <c r="CM214" s="46" t="str">
        <f t="shared" si="21"/>
        <v/>
      </c>
      <c r="CN214" s="46" t="str">
        <f t="shared" si="21"/>
        <v/>
      </c>
      <c r="CO214" s="46" t="str">
        <f t="shared" si="21"/>
        <v/>
      </c>
      <c r="CP214" s="46" t="str">
        <f t="shared" si="21"/>
        <v/>
      </c>
      <c r="CQ214" s="46" t="str">
        <f t="shared" si="21"/>
        <v/>
      </c>
      <c r="CR214" s="46" t="str">
        <f t="shared" si="21"/>
        <v/>
      </c>
      <c r="CS214" s="46" t="str">
        <f t="shared" si="21"/>
        <v/>
      </c>
      <c r="CT214" s="46" t="str">
        <f t="shared" si="21"/>
        <v/>
      </c>
      <c r="CU214" s="46" t="str">
        <f t="shared" si="21"/>
        <v/>
      </c>
      <c r="CV214" s="46" t="str">
        <f t="shared" si="21"/>
        <v/>
      </c>
      <c r="CW214" s="46" t="str">
        <f t="shared" si="21"/>
        <v/>
      </c>
      <c r="CX214" s="46" t="str">
        <f t="shared" si="21"/>
        <v/>
      </c>
      <c r="CY214" s="46" t="str">
        <f t="shared" si="21"/>
        <v/>
      </c>
      <c r="CZ214" s="46" t="str">
        <f t="shared" si="21"/>
        <v/>
      </c>
      <c r="DA214" s="46" t="str">
        <f t="shared" si="21"/>
        <v/>
      </c>
      <c r="DB214" s="46" t="str">
        <f t="shared" si="21"/>
        <v/>
      </c>
      <c r="DC214" s="46">
        <f t="shared" si="21"/>
        <v>8</v>
      </c>
      <c r="DD214" s="46">
        <f t="shared" si="21"/>
        <v>8</v>
      </c>
      <c r="DE214" s="46" t="str">
        <f t="shared" si="21"/>
        <v/>
      </c>
      <c r="DF214" s="46" t="str">
        <f t="shared" si="21"/>
        <v/>
      </c>
      <c r="DG214" s="46" t="str">
        <f t="shared" si="21"/>
        <v/>
      </c>
      <c r="DH214" s="46" t="str">
        <f t="shared" si="21"/>
        <v/>
      </c>
      <c r="DL214" s="6"/>
    </row>
    <row r="215" spans="2:116" x14ac:dyDescent="0.25">
      <c r="B215" s="46"/>
      <c r="C215" s="46">
        <f t="shared" si="15"/>
        <v>8</v>
      </c>
      <c r="D215" s="46" t="str">
        <f t="shared" si="22"/>
        <v/>
      </c>
      <c r="E215" s="46" t="str">
        <f t="shared" si="22"/>
        <v/>
      </c>
      <c r="F215" s="46" t="str">
        <f t="shared" si="22"/>
        <v/>
      </c>
      <c r="G215" s="46" t="str">
        <f t="shared" si="22"/>
        <v/>
      </c>
      <c r="H215" s="46" t="str">
        <f t="shared" si="22"/>
        <v/>
      </c>
      <c r="I215" s="46" t="str">
        <f t="shared" si="22"/>
        <v/>
      </c>
      <c r="J215" s="46" t="str">
        <f t="shared" si="22"/>
        <v/>
      </c>
      <c r="K215" s="46" t="str">
        <f t="shared" si="22"/>
        <v/>
      </c>
      <c r="L215" s="46" t="str">
        <f t="shared" si="22"/>
        <v/>
      </c>
      <c r="M215" s="46" t="str">
        <f t="shared" si="22"/>
        <v/>
      </c>
      <c r="N215" s="46" t="str">
        <f t="shared" si="22"/>
        <v/>
      </c>
      <c r="O215" s="46" t="str">
        <f t="shared" si="22"/>
        <v/>
      </c>
      <c r="P215" s="46" t="str">
        <f t="shared" si="22"/>
        <v/>
      </c>
      <c r="Q215" s="46" t="str">
        <f t="shared" si="22"/>
        <v/>
      </c>
      <c r="R215" s="46" t="str">
        <f t="shared" si="22"/>
        <v/>
      </c>
      <c r="S215" s="46" t="str">
        <f t="shared" si="22"/>
        <v/>
      </c>
      <c r="T215" s="46" t="str">
        <f t="shared" si="22"/>
        <v/>
      </c>
      <c r="U215" s="46" t="str">
        <f t="shared" si="22"/>
        <v/>
      </c>
      <c r="V215" s="46" t="str">
        <f t="shared" si="22"/>
        <v/>
      </c>
      <c r="W215" s="46" t="str">
        <f t="shared" si="22"/>
        <v/>
      </c>
      <c r="X215" s="46" t="str">
        <f t="shared" si="22"/>
        <v/>
      </c>
      <c r="Y215" s="46" t="str">
        <f t="shared" si="22"/>
        <v/>
      </c>
      <c r="Z215" s="46" t="str">
        <f t="shared" si="22"/>
        <v/>
      </c>
      <c r="AA215" s="46" t="str">
        <f t="shared" si="22"/>
        <v/>
      </c>
      <c r="AB215" s="46" t="str">
        <f t="shared" si="22"/>
        <v/>
      </c>
      <c r="AC215" s="46" t="str">
        <f t="shared" si="22"/>
        <v/>
      </c>
      <c r="AD215" s="46" t="str">
        <f t="shared" si="22"/>
        <v/>
      </c>
      <c r="AE215" s="46" t="str">
        <f t="shared" si="22"/>
        <v/>
      </c>
      <c r="AF215" s="46" t="str">
        <f t="shared" si="22"/>
        <v/>
      </c>
      <c r="AG215" s="46" t="str">
        <f t="shared" si="22"/>
        <v/>
      </c>
      <c r="AH215" s="46" t="str">
        <f t="shared" si="22"/>
        <v/>
      </c>
      <c r="AI215" s="46" t="str">
        <f t="shared" si="22"/>
        <v/>
      </c>
      <c r="AJ215" s="46">
        <f t="shared" si="22"/>
        <v>8</v>
      </c>
      <c r="AK215" s="46" t="str">
        <f t="shared" si="22"/>
        <v/>
      </c>
      <c r="AL215" s="46" t="str">
        <f t="shared" si="22"/>
        <v/>
      </c>
      <c r="AM215" s="46" t="str">
        <f t="shared" si="22"/>
        <v/>
      </c>
      <c r="AN215" s="46" t="str">
        <f t="shared" si="22"/>
        <v/>
      </c>
      <c r="AO215" s="46" t="str">
        <f t="shared" si="22"/>
        <v/>
      </c>
      <c r="AP215" s="46" t="str">
        <f t="shared" si="22"/>
        <v/>
      </c>
      <c r="AQ215" s="46" t="str">
        <f t="shared" si="22"/>
        <v/>
      </c>
      <c r="AR215" s="46" t="str">
        <f t="shared" si="22"/>
        <v/>
      </c>
      <c r="AS215" s="46" t="str">
        <f t="shared" si="22"/>
        <v/>
      </c>
      <c r="AT215" s="46" t="str">
        <f t="shared" si="22"/>
        <v/>
      </c>
      <c r="AU215" s="46" t="str">
        <f t="shared" si="22"/>
        <v/>
      </c>
      <c r="AV215" s="46" t="str">
        <f t="shared" si="22"/>
        <v/>
      </c>
      <c r="AW215" s="46" t="str">
        <f t="shared" si="22"/>
        <v/>
      </c>
      <c r="AX215" s="46" t="str">
        <f t="shared" si="22"/>
        <v/>
      </c>
      <c r="AY215" s="46" t="str">
        <f t="shared" si="22"/>
        <v/>
      </c>
      <c r="AZ215" s="46" t="str">
        <f t="shared" si="22"/>
        <v/>
      </c>
      <c r="BA215" s="46" t="str">
        <f t="shared" si="22"/>
        <v/>
      </c>
      <c r="BB215" s="46" t="str">
        <f t="shared" si="22"/>
        <v/>
      </c>
      <c r="BC215" s="46" t="str">
        <f t="shared" si="22"/>
        <v/>
      </c>
      <c r="BD215" s="46" t="str">
        <f t="shared" si="22"/>
        <v/>
      </c>
      <c r="BE215" s="46" t="str">
        <f t="shared" si="22"/>
        <v/>
      </c>
      <c r="BF215" s="46" t="str">
        <f t="shared" si="22"/>
        <v/>
      </c>
      <c r="BG215" s="46" t="str">
        <f t="shared" si="22"/>
        <v/>
      </c>
      <c r="BH215" s="46" t="str">
        <f t="shared" si="22"/>
        <v/>
      </c>
      <c r="BI215" s="46" t="str">
        <f t="shared" si="22"/>
        <v/>
      </c>
      <c r="BJ215" s="46">
        <f t="shared" si="22"/>
        <v>8</v>
      </c>
      <c r="BK215" s="46" t="str">
        <f t="shared" si="22"/>
        <v/>
      </c>
      <c r="BL215" s="46" t="str">
        <f t="shared" si="22"/>
        <v/>
      </c>
      <c r="BM215" s="46" t="str">
        <f t="shared" si="22"/>
        <v/>
      </c>
      <c r="BN215" s="46" t="str">
        <f t="shared" si="22"/>
        <v/>
      </c>
      <c r="BO215" s="46" t="str">
        <f t="shared" si="22"/>
        <v/>
      </c>
      <c r="BP215" s="46" t="str">
        <f t="shared" si="21"/>
        <v/>
      </c>
      <c r="BQ215" s="46" t="str">
        <f t="shared" si="21"/>
        <v/>
      </c>
      <c r="BR215" s="46" t="str">
        <f t="shared" si="21"/>
        <v/>
      </c>
      <c r="BS215" s="46" t="str">
        <f t="shared" si="21"/>
        <v/>
      </c>
      <c r="BT215" s="46" t="str">
        <f t="shared" si="21"/>
        <v/>
      </c>
      <c r="BU215" s="46" t="str">
        <f t="shared" si="21"/>
        <v/>
      </c>
      <c r="BV215" s="46" t="str">
        <f t="shared" si="21"/>
        <v/>
      </c>
      <c r="BW215" s="46" t="str">
        <f t="shared" si="21"/>
        <v/>
      </c>
      <c r="BX215" s="46" t="str">
        <f t="shared" si="21"/>
        <v/>
      </c>
      <c r="BY215" s="46" t="str">
        <f t="shared" si="21"/>
        <v/>
      </c>
      <c r="BZ215" s="46" t="str">
        <f t="shared" si="21"/>
        <v/>
      </c>
      <c r="CA215" s="46" t="str">
        <f t="shared" si="21"/>
        <v/>
      </c>
      <c r="CB215" s="46" t="str">
        <f t="shared" si="21"/>
        <v/>
      </c>
      <c r="CC215" s="46" t="str">
        <f t="shared" si="21"/>
        <v/>
      </c>
      <c r="CD215" s="46" t="str">
        <f t="shared" si="21"/>
        <v/>
      </c>
      <c r="CE215" s="46" t="str">
        <f t="shared" si="21"/>
        <v/>
      </c>
      <c r="CF215" s="46" t="str">
        <f t="shared" si="21"/>
        <v/>
      </c>
      <c r="CG215" s="46" t="str">
        <f t="shared" si="21"/>
        <v/>
      </c>
      <c r="CH215" s="46" t="str">
        <f t="shared" si="21"/>
        <v/>
      </c>
      <c r="CI215" s="46" t="str">
        <f t="shared" si="21"/>
        <v/>
      </c>
      <c r="CJ215" s="46" t="str">
        <f t="shared" si="21"/>
        <v/>
      </c>
      <c r="CK215" s="46" t="str">
        <f t="shared" si="21"/>
        <v/>
      </c>
      <c r="CL215" s="46" t="str">
        <f t="shared" si="21"/>
        <v/>
      </c>
      <c r="CM215" s="46" t="str">
        <f t="shared" si="21"/>
        <v/>
      </c>
      <c r="CN215" s="46" t="str">
        <f t="shared" si="21"/>
        <v/>
      </c>
      <c r="CO215" s="46" t="str">
        <f t="shared" si="21"/>
        <v/>
      </c>
      <c r="CP215" s="46" t="str">
        <f t="shared" si="21"/>
        <v/>
      </c>
      <c r="CQ215" s="46" t="str">
        <f t="shared" si="21"/>
        <v/>
      </c>
      <c r="CR215" s="46" t="str">
        <f t="shared" si="21"/>
        <v/>
      </c>
      <c r="CS215" s="46" t="str">
        <f t="shared" si="21"/>
        <v/>
      </c>
      <c r="CT215" s="46" t="str">
        <f t="shared" si="21"/>
        <v/>
      </c>
      <c r="CU215" s="46" t="str">
        <f t="shared" si="21"/>
        <v/>
      </c>
      <c r="CV215" s="46" t="str">
        <f t="shared" si="21"/>
        <v/>
      </c>
      <c r="CW215" s="46" t="str">
        <f t="shared" si="21"/>
        <v/>
      </c>
      <c r="CX215" s="46" t="str">
        <f t="shared" si="21"/>
        <v/>
      </c>
      <c r="CY215" s="46" t="str">
        <f t="shared" si="21"/>
        <v/>
      </c>
      <c r="CZ215" s="46" t="str">
        <f t="shared" si="21"/>
        <v/>
      </c>
      <c r="DA215" s="46" t="str">
        <f t="shared" si="21"/>
        <v/>
      </c>
      <c r="DB215" s="46" t="str">
        <f t="shared" si="21"/>
        <v/>
      </c>
      <c r="DC215" s="46" t="str">
        <f t="shared" si="21"/>
        <v/>
      </c>
      <c r="DD215" s="46" t="str">
        <f t="shared" si="21"/>
        <v/>
      </c>
      <c r="DE215" s="46" t="str">
        <f t="shared" si="21"/>
        <v/>
      </c>
      <c r="DF215" s="46" t="str">
        <f t="shared" si="21"/>
        <v/>
      </c>
      <c r="DG215" s="46" t="str">
        <f t="shared" si="21"/>
        <v/>
      </c>
      <c r="DH215" s="46" t="str">
        <f t="shared" si="21"/>
        <v/>
      </c>
      <c r="DL215" s="6"/>
    </row>
    <row r="216" spans="2:116" x14ac:dyDescent="0.25">
      <c r="B216" s="46"/>
      <c r="C216" s="46" t="str">
        <f t="shared" si="15"/>
        <v/>
      </c>
      <c r="D216" s="46" t="str">
        <f t="shared" si="22"/>
        <v/>
      </c>
      <c r="E216" s="46" t="str">
        <f t="shared" si="22"/>
        <v/>
      </c>
      <c r="F216" s="46" t="str">
        <f t="shared" si="22"/>
        <v/>
      </c>
      <c r="G216" s="46" t="str">
        <f t="shared" si="22"/>
        <v/>
      </c>
      <c r="H216" s="46" t="str">
        <f t="shared" si="22"/>
        <v/>
      </c>
      <c r="I216" s="46" t="str">
        <f t="shared" si="22"/>
        <v/>
      </c>
      <c r="J216" s="46" t="str">
        <f t="shared" si="22"/>
        <v/>
      </c>
      <c r="K216" s="46" t="str">
        <f t="shared" si="22"/>
        <v/>
      </c>
      <c r="L216" s="46" t="str">
        <f t="shared" si="22"/>
        <v/>
      </c>
      <c r="M216" s="46" t="str">
        <f t="shared" si="22"/>
        <v/>
      </c>
      <c r="N216" s="46" t="str">
        <f t="shared" si="22"/>
        <v/>
      </c>
      <c r="O216" s="46" t="str">
        <f t="shared" si="22"/>
        <v/>
      </c>
      <c r="P216" s="46" t="str">
        <f t="shared" si="22"/>
        <v/>
      </c>
      <c r="Q216" s="46" t="str">
        <f t="shared" si="22"/>
        <v/>
      </c>
      <c r="R216" s="46" t="str">
        <f t="shared" si="22"/>
        <v/>
      </c>
      <c r="S216" s="46" t="str">
        <f t="shared" si="22"/>
        <v/>
      </c>
      <c r="T216" s="46" t="str">
        <f t="shared" si="22"/>
        <v/>
      </c>
      <c r="U216" s="46" t="str">
        <f t="shared" si="22"/>
        <v/>
      </c>
      <c r="V216" s="46" t="str">
        <f t="shared" si="22"/>
        <v/>
      </c>
      <c r="W216" s="46" t="str">
        <f t="shared" si="22"/>
        <v/>
      </c>
      <c r="X216" s="46" t="str">
        <f t="shared" si="22"/>
        <v/>
      </c>
      <c r="Y216" s="46" t="str">
        <f t="shared" si="22"/>
        <v/>
      </c>
      <c r="Z216" s="46" t="str">
        <f t="shared" si="22"/>
        <v/>
      </c>
      <c r="AA216" s="46" t="str">
        <f t="shared" si="22"/>
        <v/>
      </c>
      <c r="AB216" s="46" t="str">
        <f t="shared" si="22"/>
        <v/>
      </c>
      <c r="AC216" s="46" t="str">
        <f t="shared" si="22"/>
        <v/>
      </c>
      <c r="AD216" s="46" t="str">
        <f t="shared" si="22"/>
        <v/>
      </c>
      <c r="AE216" s="46" t="str">
        <f t="shared" si="22"/>
        <v/>
      </c>
      <c r="AF216" s="46" t="str">
        <f t="shared" si="22"/>
        <v/>
      </c>
      <c r="AG216" s="46" t="str">
        <f t="shared" si="22"/>
        <v/>
      </c>
      <c r="AH216" s="46" t="str">
        <f t="shared" si="22"/>
        <v/>
      </c>
      <c r="AI216" s="46" t="str">
        <f t="shared" si="22"/>
        <v/>
      </c>
      <c r="AJ216" s="46" t="str">
        <f t="shared" si="22"/>
        <v/>
      </c>
      <c r="AK216" s="46" t="str">
        <f t="shared" si="22"/>
        <v/>
      </c>
      <c r="AL216" s="46" t="str">
        <f t="shared" si="22"/>
        <v/>
      </c>
      <c r="AM216" s="46" t="str">
        <f t="shared" si="22"/>
        <v/>
      </c>
      <c r="AN216" s="46" t="str">
        <f t="shared" si="22"/>
        <v/>
      </c>
      <c r="AO216" s="46" t="str">
        <f t="shared" si="22"/>
        <v/>
      </c>
      <c r="AP216" s="46" t="str">
        <f t="shared" si="22"/>
        <v/>
      </c>
      <c r="AQ216" s="46" t="str">
        <f t="shared" si="22"/>
        <v/>
      </c>
      <c r="AR216" s="46" t="str">
        <f t="shared" si="22"/>
        <v/>
      </c>
      <c r="AS216" s="46" t="str">
        <f t="shared" si="22"/>
        <v/>
      </c>
      <c r="AT216" s="46" t="str">
        <f t="shared" si="22"/>
        <v/>
      </c>
      <c r="AU216" s="46" t="str">
        <f t="shared" si="22"/>
        <v/>
      </c>
      <c r="AV216" s="46" t="str">
        <f t="shared" si="22"/>
        <v/>
      </c>
      <c r="AW216" s="46" t="str">
        <f t="shared" si="22"/>
        <v/>
      </c>
      <c r="AX216" s="46" t="str">
        <f t="shared" si="22"/>
        <v/>
      </c>
      <c r="AY216" s="46" t="str">
        <f t="shared" si="22"/>
        <v/>
      </c>
      <c r="AZ216" s="46" t="str">
        <f t="shared" si="22"/>
        <v/>
      </c>
      <c r="BA216" s="46" t="str">
        <f t="shared" si="22"/>
        <v/>
      </c>
      <c r="BB216" s="46">
        <f t="shared" si="22"/>
        <v>4</v>
      </c>
      <c r="BC216" s="46" t="str">
        <f t="shared" si="22"/>
        <v/>
      </c>
      <c r="BD216" s="46" t="str">
        <f t="shared" si="22"/>
        <v/>
      </c>
      <c r="BE216" s="46" t="str">
        <f t="shared" si="22"/>
        <v/>
      </c>
      <c r="BF216" s="46" t="str">
        <f t="shared" si="22"/>
        <v/>
      </c>
      <c r="BG216" s="46" t="str">
        <f t="shared" si="22"/>
        <v/>
      </c>
      <c r="BH216" s="46" t="str">
        <f t="shared" si="22"/>
        <v/>
      </c>
      <c r="BI216" s="46" t="str">
        <f t="shared" si="22"/>
        <v/>
      </c>
      <c r="BJ216" s="46" t="str">
        <f t="shared" si="22"/>
        <v/>
      </c>
      <c r="BK216" s="46" t="str">
        <f t="shared" si="22"/>
        <v/>
      </c>
      <c r="BL216" s="46" t="str">
        <f t="shared" si="22"/>
        <v/>
      </c>
      <c r="BM216" s="46" t="str">
        <f t="shared" si="22"/>
        <v/>
      </c>
      <c r="BN216" s="46" t="str">
        <f t="shared" si="22"/>
        <v/>
      </c>
      <c r="BO216" s="46" t="str">
        <f t="shared" ref="BO216:DH219" si="23">IF(BO26="X",$DK26,"")</f>
        <v/>
      </c>
      <c r="BP216" s="46" t="str">
        <f t="shared" si="23"/>
        <v/>
      </c>
      <c r="BQ216" s="46" t="str">
        <f t="shared" si="23"/>
        <v/>
      </c>
      <c r="BR216" s="46" t="str">
        <f t="shared" si="23"/>
        <v/>
      </c>
      <c r="BS216" s="46" t="str">
        <f t="shared" si="23"/>
        <v/>
      </c>
      <c r="BT216" s="46" t="str">
        <f t="shared" si="23"/>
        <v/>
      </c>
      <c r="BU216" s="46" t="str">
        <f t="shared" si="23"/>
        <v/>
      </c>
      <c r="BV216" s="46" t="str">
        <f t="shared" si="23"/>
        <v/>
      </c>
      <c r="BW216" s="46" t="str">
        <f t="shared" si="23"/>
        <v/>
      </c>
      <c r="BX216" s="46" t="str">
        <f t="shared" si="23"/>
        <v/>
      </c>
      <c r="BY216" s="46" t="str">
        <f t="shared" si="23"/>
        <v/>
      </c>
      <c r="BZ216" s="46" t="str">
        <f t="shared" si="23"/>
        <v/>
      </c>
      <c r="CA216" s="46" t="str">
        <f t="shared" si="23"/>
        <v/>
      </c>
      <c r="CB216" s="46" t="str">
        <f t="shared" si="23"/>
        <v/>
      </c>
      <c r="CC216" s="46" t="str">
        <f t="shared" si="23"/>
        <v/>
      </c>
      <c r="CD216" s="46" t="str">
        <f t="shared" si="23"/>
        <v/>
      </c>
      <c r="CE216" s="46" t="str">
        <f t="shared" si="23"/>
        <v/>
      </c>
      <c r="CF216" s="46" t="str">
        <f t="shared" si="23"/>
        <v/>
      </c>
      <c r="CG216" s="46" t="str">
        <f t="shared" si="23"/>
        <v/>
      </c>
      <c r="CH216" s="46" t="str">
        <f t="shared" si="23"/>
        <v/>
      </c>
      <c r="CI216" s="46" t="str">
        <f t="shared" si="23"/>
        <v/>
      </c>
      <c r="CJ216" s="46" t="str">
        <f t="shared" si="23"/>
        <v/>
      </c>
      <c r="CK216" s="46" t="str">
        <f t="shared" si="23"/>
        <v/>
      </c>
      <c r="CL216" s="46" t="str">
        <f t="shared" si="23"/>
        <v/>
      </c>
      <c r="CM216" s="46" t="str">
        <f t="shared" si="23"/>
        <v/>
      </c>
      <c r="CN216" s="46" t="str">
        <f t="shared" si="23"/>
        <v/>
      </c>
      <c r="CO216" s="46" t="str">
        <f t="shared" si="23"/>
        <v/>
      </c>
      <c r="CP216" s="46" t="str">
        <f t="shared" si="23"/>
        <v/>
      </c>
      <c r="CQ216" s="46" t="str">
        <f t="shared" si="23"/>
        <v/>
      </c>
      <c r="CR216" s="46" t="str">
        <f t="shared" si="23"/>
        <v/>
      </c>
      <c r="CS216" s="46" t="str">
        <f t="shared" si="23"/>
        <v/>
      </c>
      <c r="CT216" s="46" t="str">
        <f t="shared" si="23"/>
        <v/>
      </c>
      <c r="CU216" s="46" t="str">
        <f t="shared" si="23"/>
        <v/>
      </c>
      <c r="CV216" s="46" t="str">
        <f t="shared" si="23"/>
        <v/>
      </c>
      <c r="CW216" s="46" t="str">
        <f t="shared" si="23"/>
        <v/>
      </c>
      <c r="CX216" s="46" t="str">
        <f t="shared" si="23"/>
        <v/>
      </c>
      <c r="CY216" s="46" t="str">
        <f t="shared" si="23"/>
        <v/>
      </c>
      <c r="CZ216" s="46" t="str">
        <f t="shared" si="23"/>
        <v/>
      </c>
      <c r="DA216" s="46" t="str">
        <f t="shared" si="23"/>
        <v/>
      </c>
      <c r="DB216" s="46" t="str">
        <f t="shared" si="23"/>
        <v/>
      </c>
      <c r="DC216" s="46" t="str">
        <f t="shared" si="23"/>
        <v/>
      </c>
      <c r="DD216" s="46" t="str">
        <f t="shared" si="23"/>
        <v/>
      </c>
      <c r="DE216" s="46" t="str">
        <f t="shared" si="23"/>
        <v/>
      </c>
      <c r="DF216" s="46" t="str">
        <f t="shared" si="23"/>
        <v/>
      </c>
      <c r="DG216" s="46" t="str">
        <f t="shared" si="23"/>
        <v/>
      </c>
      <c r="DH216" s="46" t="str">
        <f t="shared" si="23"/>
        <v/>
      </c>
      <c r="DL216" s="6"/>
    </row>
    <row r="217" spans="2:116" x14ac:dyDescent="0.25">
      <c r="B217" s="46"/>
      <c r="C217" s="46" t="str">
        <f t="shared" si="15"/>
        <v/>
      </c>
      <c r="D217" s="46" t="str">
        <f t="shared" ref="D217:BO220" si="24">IF(D27="X",$DK27,"")</f>
        <v/>
      </c>
      <c r="E217" s="46" t="str">
        <f t="shared" si="24"/>
        <v/>
      </c>
      <c r="F217" s="46" t="str">
        <f t="shared" si="24"/>
        <v/>
      </c>
      <c r="G217" s="46" t="str">
        <f t="shared" si="24"/>
        <v/>
      </c>
      <c r="H217" s="46" t="str">
        <f t="shared" si="24"/>
        <v/>
      </c>
      <c r="I217" s="46" t="str">
        <f t="shared" si="24"/>
        <v/>
      </c>
      <c r="J217" s="46" t="str">
        <f t="shared" si="24"/>
        <v/>
      </c>
      <c r="K217" s="46" t="str">
        <f t="shared" si="24"/>
        <v/>
      </c>
      <c r="L217" s="46" t="str">
        <f t="shared" si="24"/>
        <v/>
      </c>
      <c r="M217" s="46" t="str">
        <f t="shared" si="24"/>
        <v/>
      </c>
      <c r="N217" s="46" t="str">
        <f t="shared" si="24"/>
        <v/>
      </c>
      <c r="O217" s="46" t="str">
        <f t="shared" si="24"/>
        <v/>
      </c>
      <c r="P217" s="46" t="str">
        <f t="shared" si="24"/>
        <v/>
      </c>
      <c r="Q217" s="46" t="str">
        <f t="shared" si="24"/>
        <v/>
      </c>
      <c r="R217" s="46" t="str">
        <f t="shared" si="24"/>
        <v/>
      </c>
      <c r="S217" s="46" t="str">
        <f t="shared" si="24"/>
        <v/>
      </c>
      <c r="T217" s="46" t="str">
        <f t="shared" si="24"/>
        <v/>
      </c>
      <c r="U217" s="46" t="str">
        <f t="shared" si="24"/>
        <v/>
      </c>
      <c r="V217" s="46" t="str">
        <f t="shared" si="24"/>
        <v/>
      </c>
      <c r="W217" s="46" t="str">
        <f t="shared" si="24"/>
        <v/>
      </c>
      <c r="X217" s="46" t="str">
        <f t="shared" si="24"/>
        <v/>
      </c>
      <c r="Y217" s="46" t="str">
        <f t="shared" si="24"/>
        <v/>
      </c>
      <c r="Z217" s="46" t="str">
        <f t="shared" si="24"/>
        <v/>
      </c>
      <c r="AA217" s="46" t="str">
        <f t="shared" si="24"/>
        <v/>
      </c>
      <c r="AB217" s="46" t="str">
        <f t="shared" si="24"/>
        <v/>
      </c>
      <c r="AC217" s="46" t="str">
        <f t="shared" si="24"/>
        <v/>
      </c>
      <c r="AD217" s="46" t="str">
        <f t="shared" si="24"/>
        <v/>
      </c>
      <c r="AE217" s="46" t="str">
        <f t="shared" si="24"/>
        <v/>
      </c>
      <c r="AF217" s="46" t="str">
        <f t="shared" si="24"/>
        <v/>
      </c>
      <c r="AG217" s="46" t="str">
        <f t="shared" si="24"/>
        <v/>
      </c>
      <c r="AH217" s="46" t="str">
        <f t="shared" si="24"/>
        <v/>
      </c>
      <c r="AI217" s="46" t="str">
        <f t="shared" si="24"/>
        <v/>
      </c>
      <c r="AJ217" s="46" t="str">
        <f t="shared" si="24"/>
        <v/>
      </c>
      <c r="AK217" s="46" t="str">
        <f t="shared" si="24"/>
        <v/>
      </c>
      <c r="AL217" s="46" t="str">
        <f t="shared" si="24"/>
        <v/>
      </c>
      <c r="AM217" s="46" t="str">
        <f t="shared" si="24"/>
        <v/>
      </c>
      <c r="AN217" s="46" t="str">
        <f t="shared" si="24"/>
        <v/>
      </c>
      <c r="AO217" s="46" t="str">
        <f t="shared" si="24"/>
        <v/>
      </c>
      <c r="AP217" s="46" t="str">
        <f t="shared" si="24"/>
        <v/>
      </c>
      <c r="AQ217" s="46" t="str">
        <f t="shared" si="24"/>
        <v/>
      </c>
      <c r="AR217" s="46" t="str">
        <f t="shared" si="24"/>
        <v/>
      </c>
      <c r="AS217" s="46" t="str">
        <f t="shared" si="24"/>
        <v/>
      </c>
      <c r="AT217" s="46" t="str">
        <f t="shared" si="24"/>
        <v/>
      </c>
      <c r="AU217" s="46" t="str">
        <f t="shared" si="24"/>
        <v/>
      </c>
      <c r="AV217" s="46" t="str">
        <f t="shared" si="24"/>
        <v/>
      </c>
      <c r="AW217" s="46" t="str">
        <f t="shared" si="24"/>
        <v/>
      </c>
      <c r="AX217" s="46" t="str">
        <f t="shared" si="24"/>
        <v/>
      </c>
      <c r="AY217" s="46" t="str">
        <f t="shared" si="24"/>
        <v/>
      </c>
      <c r="AZ217" s="46" t="str">
        <f t="shared" si="24"/>
        <v/>
      </c>
      <c r="BA217" s="46" t="str">
        <f t="shared" si="24"/>
        <v/>
      </c>
      <c r="BB217" s="46" t="str">
        <f t="shared" si="24"/>
        <v/>
      </c>
      <c r="BC217" s="46" t="str">
        <f t="shared" si="24"/>
        <v/>
      </c>
      <c r="BD217" s="46" t="str">
        <f t="shared" si="24"/>
        <v/>
      </c>
      <c r="BE217" s="46" t="str">
        <f t="shared" si="24"/>
        <v/>
      </c>
      <c r="BF217" s="46" t="str">
        <f t="shared" si="24"/>
        <v/>
      </c>
      <c r="BG217" s="46" t="str">
        <f t="shared" si="24"/>
        <v/>
      </c>
      <c r="BH217" s="46" t="str">
        <f t="shared" si="24"/>
        <v/>
      </c>
      <c r="BI217" s="46" t="str">
        <f t="shared" si="24"/>
        <v/>
      </c>
      <c r="BJ217" s="46" t="str">
        <f t="shared" si="24"/>
        <v/>
      </c>
      <c r="BK217" s="46" t="str">
        <f t="shared" si="24"/>
        <v/>
      </c>
      <c r="BL217" s="46" t="str">
        <f t="shared" si="24"/>
        <v/>
      </c>
      <c r="BM217" s="46" t="str">
        <f t="shared" si="24"/>
        <v/>
      </c>
      <c r="BN217" s="46" t="str">
        <f t="shared" si="24"/>
        <v/>
      </c>
      <c r="BO217" s="46">
        <f t="shared" si="24"/>
        <v>8</v>
      </c>
      <c r="BP217" s="46" t="str">
        <f t="shared" si="23"/>
        <v/>
      </c>
      <c r="BQ217" s="46" t="str">
        <f t="shared" si="23"/>
        <v/>
      </c>
      <c r="BR217" s="46" t="str">
        <f t="shared" si="23"/>
        <v/>
      </c>
      <c r="BS217" s="46" t="str">
        <f t="shared" si="23"/>
        <v/>
      </c>
      <c r="BT217" s="46" t="str">
        <f t="shared" si="23"/>
        <v/>
      </c>
      <c r="BU217" s="46" t="str">
        <f t="shared" si="23"/>
        <v/>
      </c>
      <c r="BV217" s="46" t="str">
        <f t="shared" si="23"/>
        <v/>
      </c>
      <c r="BW217" s="46" t="str">
        <f t="shared" si="23"/>
        <v/>
      </c>
      <c r="BX217" s="46" t="str">
        <f t="shared" si="23"/>
        <v/>
      </c>
      <c r="BY217" s="46" t="str">
        <f t="shared" si="23"/>
        <v/>
      </c>
      <c r="BZ217" s="46" t="str">
        <f t="shared" si="23"/>
        <v/>
      </c>
      <c r="CA217" s="46" t="str">
        <f t="shared" si="23"/>
        <v/>
      </c>
      <c r="CB217" s="46" t="str">
        <f t="shared" si="23"/>
        <v/>
      </c>
      <c r="CC217" s="46" t="str">
        <f t="shared" si="23"/>
        <v/>
      </c>
      <c r="CD217" s="46" t="str">
        <f t="shared" si="23"/>
        <v/>
      </c>
      <c r="CE217" s="46" t="str">
        <f t="shared" si="23"/>
        <v/>
      </c>
      <c r="CF217" s="46" t="str">
        <f t="shared" si="23"/>
        <v/>
      </c>
      <c r="CG217" s="46">
        <f t="shared" si="23"/>
        <v>8</v>
      </c>
      <c r="CH217" s="46" t="str">
        <f t="shared" si="23"/>
        <v/>
      </c>
      <c r="CI217" s="46" t="str">
        <f t="shared" si="23"/>
        <v/>
      </c>
      <c r="CJ217" s="46" t="str">
        <f t="shared" si="23"/>
        <v/>
      </c>
      <c r="CK217" s="46" t="str">
        <f t="shared" si="23"/>
        <v/>
      </c>
      <c r="CL217" s="46" t="str">
        <f t="shared" si="23"/>
        <v/>
      </c>
      <c r="CM217" s="46" t="str">
        <f t="shared" si="23"/>
        <v/>
      </c>
      <c r="CN217" s="46" t="str">
        <f t="shared" si="23"/>
        <v/>
      </c>
      <c r="CO217" s="46" t="str">
        <f t="shared" si="23"/>
        <v/>
      </c>
      <c r="CP217" s="46" t="str">
        <f t="shared" si="23"/>
        <v/>
      </c>
      <c r="CQ217" s="46" t="str">
        <f t="shared" si="23"/>
        <v/>
      </c>
      <c r="CR217" s="46" t="str">
        <f t="shared" si="23"/>
        <v/>
      </c>
      <c r="CS217" s="46" t="str">
        <f t="shared" si="23"/>
        <v/>
      </c>
      <c r="CT217" s="46" t="str">
        <f t="shared" si="23"/>
        <v/>
      </c>
      <c r="CU217" s="46" t="str">
        <f t="shared" si="23"/>
        <v/>
      </c>
      <c r="CV217" s="46" t="str">
        <f t="shared" si="23"/>
        <v/>
      </c>
      <c r="CW217" s="46" t="str">
        <f t="shared" si="23"/>
        <v/>
      </c>
      <c r="CX217" s="46" t="str">
        <f t="shared" si="23"/>
        <v/>
      </c>
      <c r="CY217" s="46" t="str">
        <f t="shared" si="23"/>
        <v/>
      </c>
      <c r="CZ217" s="46" t="str">
        <f t="shared" si="23"/>
        <v/>
      </c>
      <c r="DA217" s="46" t="str">
        <f t="shared" si="23"/>
        <v/>
      </c>
      <c r="DB217" s="46" t="str">
        <f t="shared" si="23"/>
        <v/>
      </c>
      <c r="DC217" s="46" t="str">
        <f t="shared" si="23"/>
        <v/>
      </c>
      <c r="DD217" s="46" t="str">
        <f t="shared" si="23"/>
        <v/>
      </c>
      <c r="DE217" s="46" t="str">
        <f t="shared" si="23"/>
        <v/>
      </c>
      <c r="DF217" s="46" t="str">
        <f t="shared" si="23"/>
        <v/>
      </c>
      <c r="DG217" s="46" t="str">
        <f t="shared" si="23"/>
        <v/>
      </c>
      <c r="DH217" s="46" t="str">
        <f t="shared" si="23"/>
        <v/>
      </c>
      <c r="DL217" s="6"/>
    </row>
    <row r="218" spans="2:116" x14ac:dyDescent="0.25">
      <c r="B218" s="46"/>
      <c r="C218" s="46" t="str">
        <f t="shared" si="15"/>
        <v/>
      </c>
      <c r="D218" s="46" t="str">
        <f t="shared" si="24"/>
        <v/>
      </c>
      <c r="E218" s="46" t="str">
        <f t="shared" si="24"/>
        <v/>
      </c>
      <c r="F218" s="46" t="str">
        <f t="shared" si="24"/>
        <v/>
      </c>
      <c r="G218" s="46" t="str">
        <f t="shared" si="24"/>
        <v/>
      </c>
      <c r="H218" s="46" t="str">
        <f t="shared" si="24"/>
        <v/>
      </c>
      <c r="I218" s="46" t="str">
        <f t="shared" si="24"/>
        <v/>
      </c>
      <c r="J218" s="46" t="str">
        <f t="shared" si="24"/>
        <v/>
      </c>
      <c r="K218" s="46" t="str">
        <f t="shared" si="24"/>
        <v/>
      </c>
      <c r="L218" s="46" t="str">
        <f t="shared" si="24"/>
        <v/>
      </c>
      <c r="M218" s="46" t="str">
        <f t="shared" si="24"/>
        <v/>
      </c>
      <c r="N218" s="46" t="str">
        <f t="shared" si="24"/>
        <v/>
      </c>
      <c r="O218" s="46">
        <f t="shared" si="24"/>
        <v>8</v>
      </c>
      <c r="P218" s="46" t="str">
        <f t="shared" si="24"/>
        <v/>
      </c>
      <c r="Q218" s="46" t="str">
        <f t="shared" si="24"/>
        <v/>
      </c>
      <c r="R218" s="46" t="str">
        <f t="shared" si="24"/>
        <v/>
      </c>
      <c r="S218" s="46" t="str">
        <f t="shared" si="24"/>
        <v/>
      </c>
      <c r="T218" s="46" t="str">
        <f t="shared" si="24"/>
        <v/>
      </c>
      <c r="U218" s="46" t="str">
        <f t="shared" si="24"/>
        <v/>
      </c>
      <c r="V218" s="46" t="str">
        <f t="shared" si="24"/>
        <v/>
      </c>
      <c r="W218" s="46" t="str">
        <f t="shared" si="24"/>
        <v/>
      </c>
      <c r="X218" s="46" t="str">
        <f t="shared" si="24"/>
        <v/>
      </c>
      <c r="Y218" s="46" t="str">
        <f t="shared" si="24"/>
        <v/>
      </c>
      <c r="Z218" s="46" t="str">
        <f t="shared" si="24"/>
        <v/>
      </c>
      <c r="AA218" s="46" t="str">
        <f t="shared" si="24"/>
        <v/>
      </c>
      <c r="AB218" s="46">
        <f t="shared" si="24"/>
        <v>8</v>
      </c>
      <c r="AC218" s="46">
        <f t="shared" si="24"/>
        <v>8</v>
      </c>
      <c r="AD218" s="46" t="str">
        <f t="shared" si="24"/>
        <v/>
      </c>
      <c r="AE218" s="46" t="str">
        <f t="shared" si="24"/>
        <v/>
      </c>
      <c r="AF218" s="46" t="str">
        <f t="shared" si="24"/>
        <v/>
      </c>
      <c r="AG218" s="46" t="str">
        <f t="shared" si="24"/>
        <v/>
      </c>
      <c r="AH218" s="46" t="str">
        <f t="shared" si="24"/>
        <v/>
      </c>
      <c r="AI218" s="46" t="str">
        <f t="shared" si="24"/>
        <v/>
      </c>
      <c r="AJ218" s="46" t="str">
        <f t="shared" si="24"/>
        <v/>
      </c>
      <c r="AK218" s="46" t="str">
        <f t="shared" si="24"/>
        <v/>
      </c>
      <c r="AL218" s="46" t="str">
        <f t="shared" si="24"/>
        <v/>
      </c>
      <c r="AM218" s="46" t="str">
        <f t="shared" si="24"/>
        <v/>
      </c>
      <c r="AN218" s="46" t="str">
        <f t="shared" si="24"/>
        <v/>
      </c>
      <c r="AO218" s="46" t="str">
        <f t="shared" si="24"/>
        <v/>
      </c>
      <c r="AP218" s="46" t="str">
        <f t="shared" si="24"/>
        <v/>
      </c>
      <c r="AQ218" s="46" t="str">
        <f t="shared" si="24"/>
        <v/>
      </c>
      <c r="AR218" s="46" t="str">
        <f t="shared" si="24"/>
        <v/>
      </c>
      <c r="AS218" s="46" t="str">
        <f t="shared" si="24"/>
        <v/>
      </c>
      <c r="AT218" s="46" t="str">
        <f t="shared" si="24"/>
        <v/>
      </c>
      <c r="AU218" s="46" t="str">
        <f t="shared" si="24"/>
        <v/>
      </c>
      <c r="AV218" s="46" t="str">
        <f t="shared" si="24"/>
        <v/>
      </c>
      <c r="AW218" s="46" t="str">
        <f t="shared" si="24"/>
        <v/>
      </c>
      <c r="AX218" s="46" t="str">
        <f t="shared" si="24"/>
        <v/>
      </c>
      <c r="AY218" s="46" t="str">
        <f t="shared" si="24"/>
        <v/>
      </c>
      <c r="AZ218" s="46" t="str">
        <f t="shared" si="24"/>
        <v/>
      </c>
      <c r="BA218" s="46" t="str">
        <f t="shared" si="24"/>
        <v/>
      </c>
      <c r="BB218" s="46" t="str">
        <f t="shared" si="24"/>
        <v/>
      </c>
      <c r="BC218" s="46" t="str">
        <f t="shared" si="24"/>
        <v/>
      </c>
      <c r="BD218" s="46" t="str">
        <f t="shared" si="24"/>
        <v/>
      </c>
      <c r="BE218" s="46" t="str">
        <f t="shared" si="24"/>
        <v/>
      </c>
      <c r="BF218" s="46" t="str">
        <f t="shared" si="24"/>
        <v/>
      </c>
      <c r="BG218" s="46" t="str">
        <f t="shared" si="24"/>
        <v/>
      </c>
      <c r="BH218" s="46" t="str">
        <f t="shared" si="24"/>
        <v/>
      </c>
      <c r="BI218" s="46" t="str">
        <f t="shared" si="24"/>
        <v/>
      </c>
      <c r="BJ218" s="46" t="str">
        <f t="shared" si="24"/>
        <v/>
      </c>
      <c r="BK218" s="46" t="str">
        <f t="shared" si="24"/>
        <v/>
      </c>
      <c r="BL218" s="46" t="str">
        <f t="shared" si="24"/>
        <v/>
      </c>
      <c r="BM218" s="46" t="str">
        <f t="shared" si="24"/>
        <v/>
      </c>
      <c r="BN218" s="46">
        <f t="shared" si="24"/>
        <v>8</v>
      </c>
      <c r="BO218" s="46">
        <f t="shared" si="24"/>
        <v>8</v>
      </c>
      <c r="BP218" s="46">
        <f t="shared" si="23"/>
        <v>8</v>
      </c>
      <c r="BQ218" s="46">
        <f t="shared" si="23"/>
        <v>8</v>
      </c>
      <c r="BR218" s="46" t="str">
        <f t="shared" si="23"/>
        <v/>
      </c>
      <c r="BS218" s="46">
        <f t="shared" si="23"/>
        <v>8</v>
      </c>
      <c r="BT218" s="46" t="str">
        <f t="shared" si="23"/>
        <v/>
      </c>
      <c r="BU218" s="46" t="str">
        <f t="shared" si="23"/>
        <v/>
      </c>
      <c r="BV218" s="46" t="str">
        <f t="shared" si="23"/>
        <v/>
      </c>
      <c r="BW218" s="46">
        <f t="shared" si="23"/>
        <v>8</v>
      </c>
      <c r="BX218" s="46" t="str">
        <f t="shared" si="23"/>
        <v/>
      </c>
      <c r="BY218" s="46" t="str">
        <f t="shared" si="23"/>
        <v/>
      </c>
      <c r="BZ218" s="46" t="str">
        <f t="shared" si="23"/>
        <v/>
      </c>
      <c r="CA218" s="46" t="str">
        <f t="shared" si="23"/>
        <v/>
      </c>
      <c r="CB218" s="46" t="str">
        <f t="shared" si="23"/>
        <v/>
      </c>
      <c r="CC218" s="46" t="str">
        <f t="shared" si="23"/>
        <v/>
      </c>
      <c r="CD218" s="46" t="str">
        <f t="shared" si="23"/>
        <v/>
      </c>
      <c r="CE218" s="46" t="str">
        <f t="shared" si="23"/>
        <v/>
      </c>
      <c r="CF218" s="46" t="str">
        <f t="shared" si="23"/>
        <v/>
      </c>
      <c r="CG218" s="46">
        <f t="shared" si="23"/>
        <v>8</v>
      </c>
      <c r="CH218" s="46">
        <f t="shared" si="23"/>
        <v>8</v>
      </c>
      <c r="CI218" s="46">
        <f t="shared" si="23"/>
        <v>8</v>
      </c>
      <c r="CJ218" s="46">
        <f t="shared" si="23"/>
        <v>8</v>
      </c>
      <c r="CK218" s="46" t="str">
        <f t="shared" si="23"/>
        <v/>
      </c>
      <c r="CL218" s="46">
        <f t="shared" si="23"/>
        <v>8</v>
      </c>
      <c r="CM218" s="46" t="str">
        <f t="shared" si="23"/>
        <v/>
      </c>
      <c r="CN218" s="46">
        <f t="shared" si="23"/>
        <v>8</v>
      </c>
      <c r="CO218" s="46" t="str">
        <f t="shared" si="23"/>
        <v/>
      </c>
      <c r="CP218" s="46" t="str">
        <f t="shared" si="23"/>
        <v/>
      </c>
      <c r="CQ218" s="46" t="str">
        <f t="shared" si="23"/>
        <v/>
      </c>
      <c r="CR218" s="46">
        <f t="shared" si="23"/>
        <v>8</v>
      </c>
      <c r="CS218" s="46" t="str">
        <f t="shared" si="23"/>
        <v/>
      </c>
      <c r="CT218" s="46" t="str">
        <f t="shared" si="23"/>
        <v/>
      </c>
      <c r="CU218" s="46" t="str">
        <f t="shared" si="23"/>
        <v/>
      </c>
      <c r="CV218" s="46" t="str">
        <f t="shared" si="23"/>
        <v/>
      </c>
      <c r="CW218" s="46" t="str">
        <f t="shared" si="23"/>
        <v/>
      </c>
      <c r="CX218" s="46" t="str">
        <f t="shared" si="23"/>
        <v/>
      </c>
      <c r="CY218" s="46" t="str">
        <f t="shared" si="23"/>
        <v/>
      </c>
      <c r="CZ218" s="46" t="str">
        <f t="shared" si="23"/>
        <v/>
      </c>
      <c r="DA218" s="46" t="str">
        <f t="shared" si="23"/>
        <v/>
      </c>
      <c r="DB218" s="46" t="str">
        <f t="shared" si="23"/>
        <v/>
      </c>
      <c r="DC218" s="46" t="str">
        <f t="shared" si="23"/>
        <v/>
      </c>
      <c r="DD218" s="46" t="str">
        <f t="shared" si="23"/>
        <v/>
      </c>
      <c r="DE218" s="46" t="str">
        <f t="shared" si="23"/>
        <v/>
      </c>
      <c r="DF218" s="46" t="str">
        <f t="shared" si="23"/>
        <v/>
      </c>
      <c r="DG218" s="46" t="str">
        <f t="shared" si="23"/>
        <v/>
      </c>
      <c r="DH218" s="46" t="str">
        <f t="shared" si="23"/>
        <v/>
      </c>
      <c r="DL218" s="6"/>
    </row>
    <row r="219" spans="2:116" x14ac:dyDescent="0.25">
      <c r="B219" s="46"/>
      <c r="C219" s="46">
        <f t="shared" si="15"/>
        <v>8</v>
      </c>
      <c r="D219" s="46" t="str">
        <f t="shared" si="24"/>
        <v/>
      </c>
      <c r="E219" s="46" t="str">
        <f t="shared" si="24"/>
        <v/>
      </c>
      <c r="F219" s="46" t="str">
        <f t="shared" si="24"/>
        <v/>
      </c>
      <c r="G219" s="46" t="str">
        <f t="shared" si="24"/>
        <v/>
      </c>
      <c r="H219" s="46">
        <f t="shared" si="24"/>
        <v>8</v>
      </c>
      <c r="I219" s="46" t="str">
        <f t="shared" si="24"/>
        <v/>
      </c>
      <c r="J219" s="46" t="str">
        <f t="shared" si="24"/>
        <v/>
      </c>
      <c r="K219" s="46">
        <f t="shared" si="24"/>
        <v>8</v>
      </c>
      <c r="L219" s="46" t="str">
        <f t="shared" si="24"/>
        <v/>
      </c>
      <c r="M219" s="46" t="str">
        <f t="shared" si="24"/>
        <v/>
      </c>
      <c r="N219" s="46" t="str">
        <f t="shared" si="24"/>
        <v/>
      </c>
      <c r="O219" s="46" t="str">
        <f t="shared" si="24"/>
        <v/>
      </c>
      <c r="P219" s="46" t="str">
        <f t="shared" si="24"/>
        <v/>
      </c>
      <c r="Q219" s="46" t="str">
        <f t="shared" si="24"/>
        <v/>
      </c>
      <c r="R219" s="46" t="str">
        <f t="shared" si="24"/>
        <v/>
      </c>
      <c r="S219" s="46" t="str">
        <f t="shared" si="24"/>
        <v/>
      </c>
      <c r="T219" s="46" t="str">
        <f t="shared" si="24"/>
        <v/>
      </c>
      <c r="U219" s="46" t="str">
        <f t="shared" si="24"/>
        <v/>
      </c>
      <c r="V219" s="46" t="str">
        <f t="shared" si="24"/>
        <v/>
      </c>
      <c r="W219" s="46" t="str">
        <f t="shared" si="24"/>
        <v/>
      </c>
      <c r="X219" s="46" t="str">
        <f t="shared" si="24"/>
        <v/>
      </c>
      <c r="Y219" s="46" t="str">
        <f t="shared" si="24"/>
        <v/>
      </c>
      <c r="Z219" s="46" t="str">
        <f t="shared" si="24"/>
        <v/>
      </c>
      <c r="AA219" s="46" t="str">
        <f t="shared" si="24"/>
        <v/>
      </c>
      <c r="AB219" s="46" t="str">
        <f t="shared" si="24"/>
        <v/>
      </c>
      <c r="AC219" s="46" t="str">
        <f t="shared" si="24"/>
        <v/>
      </c>
      <c r="AD219" s="46" t="str">
        <f t="shared" si="24"/>
        <v/>
      </c>
      <c r="AE219" s="46" t="str">
        <f t="shared" si="24"/>
        <v/>
      </c>
      <c r="AF219" s="46" t="str">
        <f t="shared" si="24"/>
        <v/>
      </c>
      <c r="AG219" s="46" t="str">
        <f t="shared" si="24"/>
        <v/>
      </c>
      <c r="AH219" s="46" t="str">
        <f t="shared" si="24"/>
        <v/>
      </c>
      <c r="AI219" s="46" t="str">
        <f t="shared" si="24"/>
        <v/>
      </c>
      <c r="AJ219" s="46" t="str">
        <f t="shared" si="24"/>
        <v/>
      </c>
      <c r="AK219" s="46" t="str">
        <f t="shared" si="24"/>
        <v/>
      </c>
      <c r="AL219" s="46" t="str">
        <f t="shared" si="24"/>
        <v/>
      </c>
      <c r="AM219" s="46" t="str">
        <f t="shared" si="24"/>
        <v/>
      </c>
      <c r="AN219" s="46" t="str">
        <f t="shared" si="24"/>
        <v/>
      </c>
      <c r="AO219" s="46" t="str">
        <f t="shared" si="24"/>
        <v/>
      </c>
      <c r="AP219" s="46" t="str">
        <f t="shared" si="24"/>
        <v/>
      </c>
      <c r="AQ219" s="46" t="str">
        <f t="shared" si="24"/>
        <v/>
      </c>
      <c r="AR219" s="46" t="str">
        <f t="shared" si="24"/>
        <v/>
      </c>
      <c r="AS219" s="46" t="str">
        <f t="shared" si="24"/>
        <v/>
      </c>
      <c r="AT219" s="46" t="str">
        <f t="shared" si="24"/>
        <v/>
      </c>
      <c r="AU219" s="46" t="str">
        <f t="shared" si="24"/>
        <v/>
      </c>
      <c r="AV219" s="46" t="str">
        <f t="shared" si="24"/>
        <v/>
      </c>
      <c r="AW219" s="46" t="str">
        <f t="shared" si="24"/>
        <v/>
      </c>
      <c r="AX219" s="46" t="str">
        <f t="shared" si="24"/>
        <v/>
      </c>
      <c r="AY219" s="46" t="str">
        <f t="shared" si="24"/>
        <v/>
      </c>
      <c r="AZ219" s="46" t="str">
        <f t="shared" si="24"/>
        <v/>
      </c>
      <c r="BA219" s="46" t="str">
        <f t="shared" si="24"/>
        <v/>
      </c>
      <c r="BB219" s="46" t="str">
        <f t="shared" si="24"/>
        <v/>
      </c>
      <c r="BC219" s="46" t="str">
        <f t="shared" si="24"/>
        <v/>
      </c>
      <c r="BD219" s="46" t="str">
        <f t="shared" si="24"/>
        <v/>
      </c>
      <c r="BE219" s="46" t="str">
        <f t="shared" si="24"/>
        <v/>
      </c>
      <c r="BF219" s="46" t="str">
        <f t="shared" si="24"/>
        <v/>
      </c>
      <c r="BG219" s="46" t="str">
        <f t="shared" si="24"/>
        <v/>
      </c>
      <c r="BH219" s="46" t="str">
        <f t="shared" si="24"/>
        <v/>
      </c>
      <c r="BI219" s="46" t="str">
        <f t="shared" si="24"/>
        <v/>
      </c>
      <c r="BJ219" s="46" t="str">
        <f t="shared" si="24"/>
        <v/>
      </c>
      <c r="BK219" s="46" t="str">
        <f t="shared" si="24"/>
        <v/>
      </c>
      <c r="BL219" s="46" t="str">
        <f t="shared" si="24"/>
        <v/>
      </c>
      <c r="BM219" s="46" t="str">
        <f t="shared" si="24"/>
        <v/>
      </c>
      <c r="BN219" s="46">
        <f t="shared" si="24"/>
        <v>8</v>
      </c>
      <c r="BO219" s="46" t="str">
        <f t="shared" si="24"/>
        <v/>
      </c>
      <c r="BP219" s="46" t="str">
        <f t="shared" si="23"/>
        <v/>
      </c>
      <c r="BQ219" s="46" t="str">
        <f t="shared" si="23"/>
        <v/>
      </c>
      <c r="BR219" s="46" t="str">
        <f t="shared" si="23"/>
        <v/>
      </c>
      <c r="BS219" s="46" t="str">
        <f t="shared" si="23"/>
        <v/>
      </c>
      <c r="BT219" s="46" t="str">
        <f t="shared" si="23"/>
        <v/>
      </c>
      <c r="BU219" s="46" t="str">
        <f t="shared" si="23"/>
        <v/>
      </c>
      <c r="BV219" s="46" t="str">
        <f t="shared" si="23"/>
        <v/>
      </c>
      <c r="BW219" s="46" t="str">
        <f t="shared" si="23"/>
        <v/>
      </c>
      <c r="BX219" s="46" t="str">
        <f t="shared" si="23"/>
        <v/>
      </c>
      <c r="BY219" s="46" t="str">
        <f t="shared" si="23"/>
        <v/>
      </c>
      <c r="BZ219" s="46" t="str">
        <f t="shared" si="23"/>
        <v/>
      </c>
      <c r="CA219" s="46" t="str">
        <f t="shared" si="23"/>
        <v/>
      </c>
      <c r="CB219" s="46" t="str">
        <f t="shared" si="23"/>
        <v/>
      </c>
      <c r="CC219" s="46" t="str">
        <f t="shared" si="23"/>
        <v/>
      </c>
      <c r="CD219" s="46" t="str">
        <f t="shared" si="23"/>
        <v/>
      </c>
      <c r="CE219" s="46" t="str">
        <f t="shared" si="23"/>
        <v/>
      </c>
      <c r="CF219" s="46" t="str">
        <f t="shared" si="23"/>
        <v/>
      </c>
      <c r="CG219" s="46" t="str">
        <f t="shared" si="23"/>
        <v/>
      </c>
      <c r="CH219" s="46">
        <f t="shared" si="23"/>
        <v>8</v>
      </c>
      <c r="CI219" s="46" t="str">
        <f t="shared" si="23"/>
        <v/>
      </c>
      <c r="CJ219" s="46" t="str">
        <f t="shared" si="23"/>
        <v/>
      </c>
      <c r="CK219" s="46" t="str">
        <f t="shared" si="23"/>
        <v/>
      </c>
      <c r="CL219" s="46" t="str">
        <f t="shared" si="23"/>
        <v/>
      </c>
      <c r="CM219" s="46" t="str">
        <f t="shared" si="23"/>
        <v/>
      </c>
      <c r="CN219" s="46" t="str">
        <f t="shared" si="23"/>
        <v/>
      </c>
      <c r="CO219" s="46" t="str">
        <f t="shared" si="23"/>
        <v/>
      </c>
      <c r="CP219" s="46" t="str">
        <f t="shared" si="23"/>
        <v/>
      </c>
      <c r="CQ219" s="46" t="str">
        <f t="shared" si="23"/>
        <v/>
      </c>
      <c r="CR219" s="46" t="str">
        <f t="shared" si="23"/>
        <v/>
      </c>
      <c r="CS219" s="46" t="str">
        <f t="shared" si="23"/>
        <v/>
      </c>
      <c r="CT219" s="46" t="str">
        <f t="shared" si="23"/>
        <v/>
      </c>
      <c r="CU219" s="46" t="str">
        <f t="shared" si="23"/>
        <v/>
      </c>
      <c r="CV219" s="46" t="str">
        <f t="shared" si="23"/>
        <v/>
      </c>
      <c r="CW219" s="46" t="str">
        <f t="shared" si="23"/>
        <v/>
      </c>
      <c r="CX219" s="46" t="str">
        <f t="shared" si="23"/>
        <v/>
      </c>
      <c r="CY219" s="46" t="str">
        <f t="shared" si="23"/>
        <v/>
      </c>
      <c r="CZ219" s="46" t="str">
        <f t="shared" si="23"/>
        <v/>
      </c>
      <c r="DA219" s="46" t="str">
        <f t="shared" si="23"/>
        <v/>
      </c>
      <c r="DB219" s="46" t="str">
        <f t="shared" si="23"/>
        <v/>
      </c>
      <c r="DC219" s="46" t="str">
        <f t="shared" si="23"/>
        <v/>
      </c>
      <c r="DD219" s="46" t="str">
        <f t="shared" si="23"/>
        <v/>
      </c>
      <c r="DE219" s="46" t="str">
        <f t="shared" si="23"/>
        <v/>
      </c>
      <c r="DF219" s="46" t="str">
        <f t="shared" si="23"/>
        <v/>
      </c>
      <c r="DG219" s="46" t="str">
        <f t="shared" si="23"/>
        <v/>
      </c>
      <c r="DH219" s="46" t="str">
        <f t="shared" si="23"/>
        <v/>
      </c>
      <c r="DL219" s="6"/>
    </row>
    <row r="220" spans="2:116" x14ac:dyDescent="0.25">
      <c r="B220" s="46"/>
      <c r="C220" s="46">
        <f t="shared" si="15"/>
        <v>16</v>
      </c>
      <c r="D220" s="46" t="str">
        <f t="shared" si="24"/>
        <v/>
      </c>
      <c r="E220" s="46" t="str">
        <f t="shared" si="24"/>
        <v/>
      </c>
      <c r="F220" s="46" t="str">
        <f t="shared" si="24"/>
        <v/>
      </c>
      <c r="G220" s="46" t="str">
        <f t="shared" si="24"/>
        <v/>
      </c>
      <c r="H220" s="46" t="str">
        <f t="shared" si="24"/>
        <v/>
      </c>
      <c r="I220" s="46" t="str">
        <f t="shared" si="24"/>
        <v/>
      </c>
      <c r="J220" s="46" t="str">
        <f t="shared" si="24"/>
        <v/>
      </c>
      <c r="K220" s="46" t="str">
        <f t="shared" si="24"/>
        <v/>
      </c>
      <c r="L220" s="46" t="str">
        <f t="shared" si="24"/>
        <v/>
      </c>
      <c r="M220" s="46" t="str">
        <f t="shared" si="24"/>
        <v/>
      </c>
      <c r="N220" s="46" t="str">
        <f t="shared" si="24"/>
        <v/>
      </c>
      <c r="O220" s="46" t="str">
        <f t="shared" si="24"/>
        <v/>
      </c>
      <c r="P220" s="46" t="str">
        <f t="shared" si="24"/>
        <v/>
      </c>
      <c r="Q220" s="46" t="str">
        <f t="shared" si="24"/>
        <v/>
      </c>
      <c r="R220" s="46" t="str">
        <f t="shared" si="24"/>
        <v/>
      </c>
      <c r="S220" s="46" t="str">
        <f t="shared" si="24"/>
        <v/>
      </c>
      <c r="T220" s="46" t="str">
        <f t="shared" si="24"/>
        <v/>
      </c>
      <c r="U220" s="46" t="str">
        <f t="shared" si="24"/>
        <v/>
      </c>
      <c r="V220" s="46" t="str">
        <f t="shared" si="24"/>
        <v/>
      </c>
      <c r="W220" s="46" t="str">
        <f t="shared" si="24"/>
        <v/>
      </c>
      <c r="X220" s="46" t="str">
        <f t="shared" si="24"/>
        <v/>
      </c>
      <c r="Y220" s="46" t="str">
        <f t="shared" si="24"/>
        <v/>
      </c>
      <c r="Z220" s="46" t="str">
        <f t="shared" si="24"/>
        <v/>
      </c>
      <c r="AA220" s="46" t="str">
        <f t="shared" si="24"/>
        <v/>
      </c>
      <c r="AB220" s="46" t="str">
        <f t="shared" si="24"/>
        <v/>
      </c>
      <c r="AC220" s="46" t="str">
        <f t="shared" si="24"/>
        <v/>
      </c>
      <c r="AD220" s="46" t="str">
        <f t="shared" si="24"/>
        <v/>
      </c>
      <c r="AE220" s="46" t="str">
        <f t="shared" si="24"/>
        <v/>
      </c>
      <c r="AF220" s="46" t="str">
        <f t="shared" si="24"/>
        <v/>
      </c>
      <c r="AG220" s="46" t="str">
        <f t="shared" si="24"/>
        <v/>
      </c>
      <c r="AH220" s="46" t="str">
        <f t="shared" si="24"/>
        <v/>
      </c>
      <c r="AI220" s="46" t="str">
        <f t="shared" si="24"/>
        <v/>
      </c>
      <c r="AJ220" s="46" t="str">
        <f t="shared" si="24"/>
        <v/>
      </c>
      <c r="AK220" s="46" t="str">
        <f t="shared" si="24"/>
        <v/>
      </c>
      <c r="AL220" s="46" t="str">
        <f t="shared" si="24"/>
        <v/>
      </c>
      <c r="AM220" s="46" t="str">
        <f t="shared" si="24"/>
        <v/>
      </c>
      <c r="AN220" s="46" t="str">
        <f t="shared" si="24"/>
        <v/>
      </c>
      <c r="AO220" s="46" t="str">
        <f t="shared" si="24"/>
        <v/>
      </c>
      <c r="AP220" s="46" t="str">
        <f t="shared" si="24"/>
        <v/>
      </c>
      <c r="AQ220" s="46" t="str">
        <f t="shared" si="24"/>
        <v/>
      </c>
      <c r="AR220" s="46" t="str">
        <f t="shared" si="24"/>
        <v/>
      </c>
      <c r="AS220" s="46" t="str">
        <f t="shared" si="24"/>
        <v/>
      </c>
      <c r="AT220" s="46" t="str">
        <f t="shared" si="24"/>
        <v/>
      </c>
      <c r="AU220" s="46" t="str">
        <f t="shared" si="24"/>
        <v/>
      </c>
      <c r="AV220" s="46" t="str">
        <f t="shared" si="24"/>
        <v/>
      </c>
      <c r="AW220" s="46" t="str">
        <f t="shared" si="24"/>
        <v/>
      </c>
      <c r="AX220" s="46" t="str">
        <f t="shared" si="24"/>
        <v/>
      </c>
      <c r="AY220" s="46" t="str">
        <f t="shared" si="24"/>
        <v/>
      </c>
      <c r="AZ220" s="46" t="str">
        <f t="shared" si="24"/>
        <v/>
      </c>
      <c r="BA220" s="46" t="str">
        <f t="shared" si="24"/>
        <v/>
      </c>
      <c r="BB220" s="46" t="str">
        <f t="shared" si="24"/>
        <v/>
      </c>
      <c r="BC220" s="46" t="str">
        <f t="shared" si="24"/>
        <v/>
      </c>
      <c r="BD220" s="46" t="str">
        <f t="shared" si="24"/>
        <v/>
      </c>
      <c r="BE220" s="46" t="str">
        <f t="shared" si="24"/>
        <v/>
      </c>
      <c r="BF220" s="46" t="str">
        <f t="shared" si="24"/>
        <v/>
      </c>
      <c r="BG220" s="46" t="str">
        <f t="shared" si="24"/>
        <v/>
      </c>
      <c r="BH220" s="46" t="str">
        <f t="shared" si="24"/>
        <v/>
      </c>
      <c r="BI220" s="46" t="str">
        <f t="shared" si="24"/>
        <v/>
      </c>
      <c r="BJ220" s="46" t="str">
        <f t="shared" si="24"/>
        <v/>
      </c>
      <c r="BK220" s="46" t="str">
        <f t="shared" si="24"/>
        <v/>
      </c>
      <c r="BL220" s="46" t="str">
        <f t="shared" si="24"/>
        <v/>
      </c>
      <c r="BM220" s="46" t="str">
        <f t="shared" si="24"/>
        <v/>
      </c>
      <c r="BN220" s="46">
        <f t="shared" si="24"/>
        <v>16</v>
      </c>
      <c r="BO220" s="46" t="str">
        <f t="shared" ref="BO220:DH223" si="25">IF(BO30="X",$DK30,"")</f>
        <v/>
      </c>
      <c r="BP220" s="46" t="str">
        <f t="shared" si="25"/>
        <v/>
      </c>
      <c r="BQ220" s="46" t="str">
        <f t="shared" si="25"/>
        <v/>
      </c>
      <c r="BR220" s="46" t="str">
        <f t="shared" si="25"/>
        <v/>
      </c>
      <c r="BS220" s="46" t="str">
        <f t="shared" si="25"/>
        <v/>
      </c>
      <c r="BT220" s="46" t="str">
        <f t="shared" si="25"/>
        <v/>
      </c>
      <c r="BU220" s="46" t="str">
        <f t="shared" si="25"/>
        <v/>
      </c>
      <c r="BV220" s="46" t="str">
        <f t="shared" si="25"/>
        <v/>
      </c>
      <c r="BW220" s="46" t="str">
        <f t="shared" si="25"/>
        <v/>
      </c>
      <c r="BX220" s="46" t="str">
        <f t="shared" si="25"/>
        <v/>
      </c>
      <c r="BY220" s="46" t="str">
        <f t="shared" si="25"/>
        <v/>
      </c>
      <c r="BZ220" s="46" t="str">
        <f t="shared" si="25"/>
        <v/>
      </c>
      <c r="CA220" s="46" t="str">
        <f t="shared" si="25"/>
        <v/>
      </c>
      <c r="CB220" s="46" t="str">
        <f t="shared" si="25"/>
        <v/>
      </c>
      <c r="CC220" s="46" t="str">
        <f t="shared" si="25"/>
        <v/>
      </c>
      <c r="CD220" s="46" t="str">
        <f t="shared" si="25"/>
        <v/>
      </c>
      <c r="CE220" s="46" t="str">
        <f t="shared" si="25"/>
        <v/>
      </c>
      <c r="CF220" s="46" t="str">
        <f t="shared" si="25"/>
        <v/>
      </c>
      <c r="CG220" s="46" t="str">
        <f t="shared" si="25"/>
        <v/>
      </c>
      <c r="CH220" s="46" t="str">
        <f t="shared" si="25"/>
        <v/>
      </c>
      <c r="CI220" s="46" t="str">
        <f t="shared" si="25"/>
        <v/>
      </c>
      <c r="CJ220" s="46" t="str">
        <f t="shared" si="25"/>
        <v/>
      </c>
      <c r="CK220" s="46" t="str">
        <f t="shared" si="25"/>
        <v/>
      </c>
      <c r="CL220" s="46" t="str">
        <f t="shared" si="25"/>
        <v/>
      </c>
      <c r="CM220" s="46" t="str">
        <f t="shared" si="25"/>
        <v/>
      </c>
      <c r="CN220" s="46" t="str">
        <f t="shared" si="25"/>
        <v/>
      </c>
      <c r="CO220" s="46" t="str">
        <f t="shared" si="25"/>
        <v/>
      </c>
      <c r="CP220" s="46" t="str">
        <f t="shared" si="25"/>
        <v/>
      </c>
      <c r="CQ220" s="46" t="str">
        <f t="shared" si="25"/>
        <v/>
      </c>
      <c r="CR220" s="46" t="str">
        <f t="shared" si="25"/>
        <v/>
      </c>
      <c r="CS220" s="46" t="str">
        <f t="shared" si="25"/>
        <v/>
      </c>
      <c r="CT220" s="46" t="str">
        <f t="shared" si="25"/>
        <v/>
      </c>
      <c r="CU220" s="46" t="str">
        <f t="shared" si="25"/>
        <v/>
      </c>
      <c r="CV220" s="46" t="str">
        <f t="shared" si="25"/>
        <v/>
      </c>
      <c r="CW220" s="46" t="str">
        <f t="shared" si="25"/>
        <v/>
      </c>
      <c r="CX220" s="46" t="str">
        <f t="shared" si="25"/>
        <v/>
      </c>
      <c r="CY220" s="46" t="str">
        <f t="shared" si="25"/>
        <v/>
      </c>
      <c r="CZ220" s="46" t="str">
        <f t="shared" si="25"/>
        <v/>
      </c>
      <c r="DA220" s="46" t="str">
        <f t="shared" si="25"/>
        <v/>
      </c>
      <c r="DB220" s="46" t="str">
        <f t="shared" si="25"/>
        <v/>
      </c>
      <c r="DC220" s="46" t="str">
        <f t="shared" si="25"/>
        <v/>
      </c>
      <c r="DD220" s="46" t="str">
        <f t="shared" si="25"/>
        <v/>
      </c>
      <c r="DE220" s="46" t="str">
        <f t="shared" si="25"/>
        <v/>
      </c>
      <c r="DF220" s="46" t="str">
        <f t="shared" si="25"/>
        <v/>
      </c>
      <c r="DG220" s="46" t="str">
        <f t="shared" si="25"/>
        <v/>
      </c>
      <c r="DH220" s="46" t="str">
        <f t="shared" si="25"/>
        <v/>
      </c>
      <c r="DL220" s="6"/>
    </row>
    <row r="221" spans="2:116" x14ac:dyDescent="0.25">
      <c r="B221" s="46"/>
      <c r="C221" s="46" t="str">
        <f t="shared" si="15"/>
        <v/>
      </c>
      <c r="D221" s="46" t="str">
        <f t="shared" ref="D221:BO224" si="26">IF(D31="X",$DK31,"")</f>
        <v/>
      </c>
      <c r="E221" s="46" t="str">
        <f t="shared" si="26"/>
        <v/>
      </c>
      <c r="F221" s="46" t="str">
        <f t="shared" si="26"/>
        <v/>
      </c>
      <c r="G221" s="46" t="str">
        <f t="shared" si="26"/>
        <v/>
      </c>
      <c r="H221" s="46" t="str">
        <f t="shared" si="26"/>
        <v/>
      </c>
      <c r="I221" s="46" t="str">
        <f t="shared" si="26"/>
        <v/>
      </c>
      <c r="J221" s="46" t="str">
        <f t="shared" si="26"/>
        <v/>
      </c>
      <c r="K221" s="46" t="str">
        <f t="shared" si="26"/>
        <v/>
      </c>
      <c r="L221" s="46" t="str">
        <f t="shared" si="26"/>
        <v/>
      </c>
      <c r="M221" s="46" t="str">
        <f t="shared" si="26"/>
        <v/>
      </c>
      <c r="N221" s="46" t="str">
        <f t="shared" si="26"/>
        <v/>
      </c>
      <c r="O221" s="46" t="str">
        <f t="shared" si="26"/>
        <v/>
      </c>
      <c r="P221" s="46" t="str">
        <f t="shared" si="26"/>
        <v/>
      </c>
      <c r="Q221" s="46" t="str">
        <f t="shared" si="26"/>
        <v/>
      </c>
      <c r="R221" s="46">
        <f t="shared" si="26"/>
        <v>8</v>
      </c>
      <c r="S221" s="46" t="str">
        <f t="shared" si="26"/>
        <v/>
      </c>
      <c r="T221" s="46" t="str">
        <f t="shared" si="26"/>
        <v/>
      </c>
      <c r="U221" s="46" t="str">
        <f t="shared" si="26"/>
        <v/>
      </c>
      <c r="V221" s="46" t="str">
        <f t="shared" si="26"/>
        <v/>
      </c>
      <c r="W221" s="46" t="str">
        <f t="shared" si="26"/>
        <v/>
      </c>
      <c r="X221" s="46" t="str">
        <f t="shared" si="26"/>
        <v/>
      </c>
      <c r="Y221" s="46" t="str">
        <f t="shared" si="26"/>
        <v/>
      </c>
      <c r="Z221" s="46" t="str">
        <f t="shared" si="26"/>
        <v/>
      </c>
      <c r="AA221" s="46" t="str">
        <f t="shared" si="26"/>
        <v/>
      </c>
      <c r="AB221" s="46" t="str">
        <f t="shared" si="26"/>
        <v/>
      </c>
      <c r="AC221" s="46" t="str">
        <f t="shared" si="26"/>
        <v/>
      </c>
      <c r="AD221" s="46" t="str">
        <f t="shared" si="26"/>
        <v/>
      </c>
      <c r="AE221" s="46" t="str">
        <f t="shared" si="26"/>
        <v/>
      </c>
      <c r="AF221" s="46" t="str">
        <f t="shared" si="26"/>
        <v/>
      </c>
      <c r="AG221" s="46" t="str">
        <f t="shared" si="26"/>
        <v/>
      </c>
      <c r="AH221" s="46" t="str">
        <f t="shared" si="26"/>
        <v/>
      </c>
      <c r="AI221" s="46" t="str">
        <f t="shared" si="26"/>
        <v/>
      </c>
      <c r="AJ221" s="46" t="str">
        <f t="shared" si="26"/>
        <v/>
      </c>
      <c r="AK221" s="46" t="str">
        <f t="shared" si="26"/>
        <v/>
      </c>
      <c r="AL221" s="46" t="str">
        <f t="shared" si="26"/>
        <v/>
      </c>
      <c r="AM221" s="46" t="str">
        <f t="shared" si="26"/>
        <v/>
      </c>
      <c r="AN221" s="46" t="str">
        <f t="shared" si="26"/>
        <v/>
      </c>
      <c r="AO221" s="46" t="str">
        <f t="shared" si="26"/>
        <v/>
      </c>
      <c r="AP221" s="46" t="str">
        <f t="shared" si="26"/>
        <v/>
      </c>
      <c r="AQ221" s="46" t="str">
        <f t="shared" si="26"/>
        <v/>
      </c>
      <c r="AR221" s="46" t="str">
        <f t="shared" si="26"/>
        <v/>
      </c>
      <c r="AS221" s="46" t="str">
        <f t="shared" si="26"/>
        <v/>
      </c>
      <c r="AT221" s="46" t="str">
        <f t="shared" si="26"/>
        <v/>
      </c>
      <c r="AU221" s="46" t="str">
        <f t="shared" si="26"/>
        <v/>
      </c>
      <c r="AV221" s="46" t="str">
        <f t="shared" si="26"/>
        <v/>
      </c>
      <c r="AW221" s="46" t="str">
        <f t="shared" si="26"/>
        <v/>
      </c>
      <c r="AX221" s="46" t="str">
        <f t="shared" si="26"/>
        <v/>
      </c>
      <c r="AY221" s="46" t="str">
        <f t="shared" si="26"/>
        <v/>
      </c>
      <c r="AZ221" s="46" t="str">
        <f t="shared" si="26"/>
        <v/>
      </c>
      <c r="BA221" s="46" t="str">
        <f t="shared" si="26"/>
        <v/>
      </c>
      <c r="BB221" s="46" t="str">
        <f t="shared" si="26"/>
        <v/>
      </c>
      <c r="BC221" s="46" t="str">
        <f t="shared" si="26"/>
        <v/>
      </c>
      <c r="BD221" s="46" t="str">
        <f t="shared" si="26"/>
        <v/>
      </c>
      <c r="BE221" s="46" t="str">
        <f t="shared" si="26"/>
        <v/>
      </c>
      <c r="BF221" s="46" t="str">
        <f t="shared" si="26"/>
        <v/>
      </c>
      <c r="BG221" s="46" t="str">
        <f t="shared" si="26"/>
        <v/>
      </c>
      <c r="BH221" s="46" t="str">
        <f t="shared" si="26"/>
        <v/>
      </c>
      <c r="BI221" s="46" t="str">
        <f t="shared" si="26"/>
        <v/>
      </c>
      <c r="BJ221" s="46" t="str">
        <f t="shared" si="26"/>
        <v/>
      </c>
      <c r="BK221" s="46" t="str">
        <f t="shared" si="26"/>
        <v/>
      </c>
      <c r="BL221" s="46" t="str">
        <f t="shared" si="26"/>
        <v/>
      </c>
      <c r="BM221" s="46" t="str">
        <f t="shared" si="26"/>
        <v/>
      </c>
      <c r="BN221" s="46" t="str">
        <f t="shared" si="26"/>
        <v/>
      </c>
      <c r="BO221" s="46" t="str">
        <f t="shared" si="26"/>
        <v/>
      </c>
      <c r="BP221" s="46" t="str">
        <f t="shared" si="25"/>
        <v/>
      </c>
      <c r="BQ221" s="46" t="str">
        <f t="shared" si="25"/>
        <v/>
      </c>
      <c r="BR221" s="46">
        <f t="shared" si="25"/>
        <v>8</v>
      </c>
      <c r="BS221" s="46" t="str">
        <f t="shared" si="25"/>
        <v/>
      </c>
      <c r="BT221" s="46" t="str">
        <f t="shared" si="25"/>
        <v/>
      </c>
      <c r="BU221" s="46" t="str">
        <f t="shared" si="25"/>
        <v/>
      </c>
      <c r="BV221" s="46" t="str">
        <f t="shared" si="25"/>
        <v/>
      </c>
      <c r="BW221" s="46" t="str">
        <f t="shared" si="25"/>
        <v/>
      </c>
      <c r="BX221" s="46" t="str">
        <f t="shared" si="25"/>
        <v/>
      </c>
      <c r="BY221" s="46" t="str">
        <f t="shared" si="25"/>
        <v/>
      </c>
      <c r="BZ221" s="46" t="str">
        <f t="shared" si="25"/>
        <v/>
      </c>
      <c r="CA221" s="46" t="str">
        <f t="shared" si="25"/>
        <v/>
      </c>
      <c r="CB221" s="46" t="str">
        <f t="shared" si="25"/>
        <v/>
      </c>
      <c r="CC221" s="46" t="str">
        <f t="shared" si="25"/>
        <v/>
      </c>
      <c r="CD221" s="46" t="str">
        <f t="shared" si="25"/>
        <v/>
      </c>
      <c r="CE221" s="46" t="str">
        <f t="shared" si="25"/>
        <v/>
      </c>
      <c r="CF221" s="46" t="str">
        <f t="shared" si="25"/>
        <v/>
      </c>
      <c r="CG221" s="46" t="str">
        <f t="shared" si="25"/>
        <v/>
      </c>
      <c r="CH221" s="46" t="str">
        <f t="shared" si="25"/>
        <v/>
      </c>
      <c r="CI221" s="46" t="str">
        <f t="shared" si="25"/>
        <v/>
      </c>
      <c r="CJ221" s="46" t="str">
        <f t="shared" si="25"/>
        <v/>
      </c>
      <c r="CK221" s="46">
        <f t="shared" si="25"/>
        <v>8</v>
      </c>
      <c r="CL221" s="46" t="str">
        <f t="shared" si="25"/>
        <v/>
      </c>
      <c r="CM221" s="46" t="str">
        <f t="shared" si="25"/>
        <v/>
      </c>
      <c r="CN221" s="46" t="str">
        <f t="shared" si="25"/>
        <v/>
      </c>
      <c r="CO221" s="46" t="str">
        <f t="shared" si="25"/>
        <v/>
      </c>
      <c r="CP221" s="46" t="str">
        <f t="shared" si="25"/>
        <v/>
      </c>
      <c r="CQ221" s="46" t="str">
        <f t="shared" si="25"/>
        <v/>
      </c>
      <c r="CR221" s="46" t="str">
        <f t="shared" si="25"/>
        <v/>
      </c>
      <c r="CS221" s="46" t="str">
        <f t="shared" si="25"/>
        <v/>
      </c>
      <c r="CT221" s="46" t="str">
        <f t="shared" si="25"/>
        <v/>
      </c>
      <c r="CU221" s="46" t="str">
        <f t="shared" si="25"/>
        <v/>
      </c>
      <c r="CV221" s="46" t="str">
        <f t="shared" si="25"/>
        <v/>
      </c>
      <c r="CW221" s="46" t="str">
        <f t="shared" si="25"/>
        <v/>
      </c>
      <c r="CX221" s="46" t="str">
        <f t="shared" si="25"/>
        <v/>
      </c>
      <c r="CY221" s="46" t="str">
        <f t="shared" si="25"/>
        <v/>
      </c>
      <c r="CZ221" s="46" t="str">
        <f t="shared" si="25"/>
        <v/>
      </c>
      <c r="DA221" s="46" t="str">
        <f t="shared" si="25"/>
        <v/>
      </c>
      <c r="DB221" s="46" t="str">
        <f t="shared" si="25"/>
        <v/>
      </c>
      <c r="DC221" s="46" t="str">
        <f t="shared" si="25"/>
        <v/>
      </c>
      <c r="DD221" s="46" t="str">
        <f t="shared" si="25"/>
        <v/>
      </c>
      <c r="DE221" s="46" t="str">
        <f t="shared" si="25"/>
        <v/>
      </c>
      <c r="DF221" s="46" t="str">
        <f t="shared" si="25"/>
        <v/>
      </c>
      <c r="DG221" s="46" t="str">
        <f t="shared" si="25"/>
        <v/>
      </c>
      <c r="DH221" s="46" t="str">
        <f t="shared" si="25"/>
        <v/>
      </c>
      <c r="DL221" s="6"/>
    </row>
    <row r="222" spans="2:116" x14ac:dyDescent="0.25">
      <c r="B222" s="46"/>
      <c r="C222" s="46" t="str">
        <f t="shared" si="15"/>
        <v/>
      </c>
      <c r="D222" s="46" t="str">
        <f t="shared" si="26"/>
        <v/>
      </c>
      <c r="E222" s="46" t="str">
        <f t="shared" si="26"/>
        <v/>
      </c>
      <c r="F222" s="46" t="str">
        <f t="shared" si="26"/>
        <v/>
      </c>
      <c r="G222" s="46" t="str">
        <f t="shared" si="26"/>
        <v/>
      </c>
      <c r="H222" s="46" t="str">
        <f t="shared" si="26"/>
        <v/>
      </c>
      <c r="I222" s="46" t="str">
        <f t="shared" si="26"/>
        <v/>
      </c>
      <c r="J222" s="46" t="str">
        <f t="shared" si="26"/>
        <v/>
      </c>
      <c r="K222" s="46" t="str">
        <f t="shared" si="26"/>
        <v/>
      </c>
      <c r="L222" s="46">
        <f t="shared" si="26"/>
        <v>8</v>
      </c>
      <c r="M222" s="46">
        <f t="shared" si="26"/>
        <v>8</v>
      </c>
      <c r="N222" s="46">
        <f t="shared" si="26"/>
        <v>8</v>
      </c>
      <c r="O222" s="46">
        <f t="shared" si="26"/>
        <v>8</v>
      </c>
      <c r="P222" s="46">
        <f t="shared" si="26"/>
        <v>8</v>
      </c>
      <c r="Q222" s="46">
        <f t="shared" si="26"/>
        <v>8</v>
      </c>
      <c r="R222" s="46" t="str">
        <f t="shared" si="26"/>
        <v/>
      </c>
      <c r="S222" s="46">
        <f t="shared" si="26"/>
        <v>8</v>
      </c>
      <c r="T222" s="46" t="str">
        <f t="shared" si="26"/>
        <v/>
      </c>
      <c r="U222" s="46">
        <f t="shared" si="26"/>
        <v>8</v>
      </c>
      <c r="V222" s="46" t="str">
        <f t="shared" si="26"/>
        <v/>
      </c>
      <c r="W222" s="46">
        <f t="shared" si="26"/>
        <v>8</v>
      </c>
      <c r="X222" s="46" t="str">
        <f t="shared" si="26"/>
        <v/>
      </c>
      <c r="Y222" s="46">
        <f t="shared" si="26"/>
        <v>8</v>
      </c>
      <c r="Z222" s="46">
        <f t="shared" si="26"/>
        <v>8</v>
      </c>
      <c r="AA222" s="46" t="str">
        <f t="shared" si="26"/>
        <v/>
      </c>
      <c r="AB222" s="46" t="str">
        <f t="shared" si="26"/>
        <v/>
      </c>
      <c r="AC222" s="46">
        <f t="shared" si="26"/>
        <v>8</v>
      </c>
      <c r="AD222" s="46" t="str">
        <f t="shared" si="26"/>
        <v/>
      </c>
      <c r="AE222" s="46">
        <f t="shared" si="26"/>
        <v>8</v>
      </c>
      <c r="AF222" s="46" t="str">
        <f t="shared" si="26"/>
        <v/>
      </c>
      <c r="AG222" s="46" t="str">
        <f t="shared" si="26"/>
        <v/>
      </c>
      <c r="AH222" s="46" t="str">
        <f t="shared" si="26"/>
        <v/>
      </c>
      <c r="AI222" s="46" t="str">
        <f t="shared" si="26"/>
        <v/>
      </c>
      <c r="AJ222" s="46" t="str">
        <f t="shared" si="26"/>
        <v/>
      </c>
      <c r="AK222" s="46" t="str">
        <f t="shared" si="26"/>
        <v/>
      </c>
      <c r="AL222" s="46" t="str">
        <f t="shared" si="26"/>
        <v/>
      </c>
      <c r="AM222" s="46" t="str">
        <f t="shared" si="26"/>
        <v/>
      </c>
      <c r="AN222" s="46" t="str">
        <f t="shared" si="26"/>
        <v/>
      </c>
      <c r="AO222" s="46" t="str">
        <f t="shared" si="26"/>
        <v/>
      </c>
      <c r="AP222" s="46" t="str">
        <f t="shared" si="26"/>
        <v/>
      </c>
      <c r="AQ222" s="46" t="str">
        <f t="shared" si="26"/>
        <v/>
      </c>
      <c r="AR222" s="46" t="str">
        <f t="shared" si="26"/>
        <v/>
      </c>
      <c r="AS222" s="46" t="str">
        <f t="shared" si="26"/>
        <v/>
      </c>
      <c r="AT222" s="46" t="str">
        <f t="shared" si="26"/>
        <v/>
      </c>
      <c r="AU222" s="46" t="str">
        <f t="shared" si="26"/>
        <v/>
      </c>
      <c r="AV222" s="46" t="str">
        <f t="shared" si="26"/>
        <v/>
      </c>
      <c r="AW222" s="46" t="str">
        <f t="shared" si="26"/>
        <v/>
      </c>
      <c r="AX222" s="46" t="str">
        <f t="shared" si="26"/>
        <v/>
      </c>
      <c r="AY222" s="46" t="str">
        <f t="shared" si="26"/>
        <v/>
      </c>
      <c r="AZ222" s="46" t="str">
        <f t="shared" si="26"/>
        <v/>
      </c>
      <c r="BA222" s="46" t="str">
        <f t="shared" si="26"/>
        <v/>
      </c>
      <c r="BB222" s="46" t="str">
        <f t="shared" si="26"/>
        <v/>
      </c>
      <c r="BC222" s="46" t="str">
        <f t="shared" si="26"/>
        <v/>
      </c>
      <c r="BD222" s="46" t="str">
        <f t="shared" si="26"/>
        <v/>
      </c>
      <c r="BE222" s="46" t="str">
        <f t="shared" si="26"/>
        <v/>
      </c>
      <c r="BF222" s="46" t="str">
        <f t="shared" si="26"/>
        <v/>
      </c>
      <c r="BG222" s="46" t="str">
        <f t="shared" si="26"/>
        <v/>
      </c>
      <c r="BH222" s="46" t="str">
        <f t="shared" si="26"/>
        <v/>
      </c>
      <c r="BI222" s="46" t="str">
        <f t="shared" si="26"/>
        <v/>
      </c>
      <c r="BJ222" s="46" t="str">
        <f t="shared" si="26"/>
        <v/>
      </c>
      <c r="BK222" s="46" t="str">
        <f t="shared" si="26"/>
        <v/>
      </c>
      <c r="BL222" s="46" t="str">
        <f t="shared" si="26"/>
        <v/>
      </c>
      <c r="BM222" s="46" t="str">
        <f t="shared" si="26"/>
        <v/>
      </c>
      <c r="BN222" s="46" t="str">
        <f t="shared" si="26"/>
        <v/>
      </c>
      <c r="BO222" s="46" t="str">
        <f t="shared" si="26"/>
        <v/>
      </c>
      <c r="BP222" s="46" t="str">
        <f t="shared" si="25"/>
        <v/>
      </c>
      <c r="BQ222" s="46" t="str">
        <f t="shared" si="25"/>
        <v/>
      </c>
      <c r="BR222" s="46" t="str">
        <f t="shared" si="25"/>
        <v/>
      </c>
      <c r="BS222" s="46" t="str">
        <f t="shared" si="25"/>
        <v/>
      </c>
      <c r="BT222" s="46" t="str">
        <f t="shared" si="25"/>
        <v/>
      </c>
      <c r="BU222" s="46" t="str">
        <f t="shared" si="25"/>
        <v/>
      </c>
      <c r="BV222" s="46" t="str">
        <f t="shared" si="25"/>
        <v/>
      </c>
      <c r="BW222" s="46" t="str">
        <f t="shared" si="25"/>
        <v/>
      </c>
      <c r="BX222" s="46" t="str">
        <f t="shared" si="25"/>
        <v/>
      </c>
      <c r="BY222" s="46" t="str">
        <f t="shared" si="25"/>
        <v/>
      </c>
      <c r="BZ222" s="46" t="str">
        <f t="shared" si="25"/>
        <v/>
      </c>
      <c r="CA222" s="46" t="str">
        <f t="shared" si="25"/>
        <v/>
      </c>
      <c r="CB222" s="46" t="str">
        <f t="shared" si="25"/>
        <v/>
      </c>
      <c r="CC222" s="46" t="str">
        <f t="shared" si="25"/>
        <v/>
      </c>
      <c r="CD222" s="46" t="str">
        <f t="shared" si="25"/>
        <v/>
      </c>
      <c r="CE222" s="46" t="str">
        <f t="shared" si="25"/>
        <v/>
      </c>
      <c r="CF222" s="46" t="str">
        <f t="shared" si="25"/>
        <v/>
      </c>
      <c r="CG222" s="46" t="str">
        <f t="shared" si="25"/>
        <v/>
      </c>
      <c r="CH222" s="46" t="str">
        <f t="shared" si="25"/>
        <v/>
      </c>
      <c r="CI222" s="46" t="str">
        <f t="shared" si="25"/>
        <v/>
      </c>
      <c r="CJ222" s="46" t="str">
        <f t="shared" si="25"/>
        <v/>
      </c>
      <c r="CK222" s="46" t="str">
        <f t="shared" si="25"/>
        <v/>
      </c>
      <c r="CL222" s="46" t="str">
        <f t="shared" si="25"/>
        <v/>
      </c>
      <c r="CM222" s="46" t="str">
        <f t="shared" si="25"/>
        <v/>
      </c>
      <c r="CN222" s="46" t="str">
        <f t="shared" si="25"/>
        <v/>
      </c>
      <c r="CO222" s="46" t="str">
        <f t="shared" si="25"/>
        <v/>
      </c>
      <c r="CP222" s="46" t="str">
        <f t="shared" si="25"/>
        <v/>
      </c>
      <c r="CQ222" s="46" t="str">
        <f t="shared" si="25"/>
        <v/>
      </c>
      <c r="CR222" s="46" t="str">
        <f t="shared" si="25"/>
        <v/>
      </c>
      <c r="CS222" s="46" t="str">
        <f t="shared" si="25"/>
        <v/>
      </c>
      <c r="CT222" s="46" t="str">
        <f t="shared" si="25"/>
        <v/>
      </c>
      <c r="CU222" s="46" t="str">
        <f t="shared" si="25"/>
        <v/>
      </c>
      <c r="CV222" s="46" t="str">
        <f t="shared" si="25"/>
        <v/>
      </c>
      <c r="CW222" s="46" t="str">
        <f t="shared" si="25"/>
        <v/>
      </c>
      <c r="CX222" s="46" t="str">
        <f t="shared" si="25"/>
        <v/>
      </c>
      <c r="CY222" s="46" t="str">
        <f t="shared" si="25"/>
        <v/>
      </c>
      <c r="CZ222" s="46" t="str">
        <f t="shared" si="25"/>
        <v/>
      </c>
      <c r="DA222" s="46" t="str">
        <f t="shared" si="25"/>
        <v/>
      </c>
      <c r="DB222" s="46" t="str">
        <f t="shared" si="25"/>
        <v/>
      </c>
      <c r="DC222" s="46" t="str">
        <f t="shared" si="25"/>
        <v/>
      </c>
      <c r="DD222" s="46" t="str">
        <f t="shared" si="25"/>
        <v/>
      </c>
      <c r="DE222" s="46" t="str">
        <f t="shared" si="25"/>
        <v/>
      </c>
      <c r="DF222" s="46" t="str">
        <f t="shared" si="25"/>
        <v/>
      </c>
      <c r="DG222" s="46" t="str">
        <f t="shared" si="25"/>
        <v/>
      </c>
      <c r="DH222" s="46">
        <f t="shared" si="25"/>
        <v>8</v>
      </c>
      <c r="DL222" s="6"/>
    </row>
    <row r="223" spans="2:116" x14ac:dyDescent="0.25">
      <c r="B223" s="46"/>
      <c r="C223" s="46" t="str">
        <f t="shared" si="15"/>
        <v/>
      </c>
      <c r="D223" s="46" t="str">
        <f t="shared" si="26"/>
        <v/>
      </c>
      <c r="E223" s="46" t="str">
        <f t="shared" si="26"/>
        <v/>
      </c>
      <c r="F223" s="46" t="str">
        <f t="shared" si="26"/>
        <v/>
      </c>
      <c r="G223" s="46" t="str">
        <f t="shared" si="26"/>
        <v/>
      </c>
      <c r="H223" s="46" t="str">
        <f t="shared" si="26"/>
        <v/>
      </c>
      <c r="I223" s="46" t="str">
        <f t="shared" si="26"/>
        <v/>
      </c>
      <c r="J223" s="46" t="str">
        <f t="shared" si="26"/>
        <v/>
      </c>
      <c r="K223" s="46" t="str">
        <f t="shared" si="26"/>
        <v/>
      </c>
      <c r="L223" s="46" t="str">
        <f t="shared" si="26"/>
        <v/>
      </c>
      <c r="M223" s="46" t="str">
        <f t="shared" si="26"/>
        <v/>
      </c>
      <c r="N223" s="46" t="str">
        <f t="shared" si="26"/>
        <v/>
      </c>
      <c r="O223" s="46" t="str">
        <f t="shared" si="26"/>
        <v/>
      </c>
      <c r="P223" s="46" t="str">
        <f t="shared" si="26"/>
        <v/>
      </c>
      <c r="Q223" s="46" t="str">
        <f t="shared" si="26"/>
        <v/>
      </c>
      <c r="R223" s="46" t="str">
        <f t="shared" si="26"/>
        <v/>
      </c>
      <c r="S223" s="46" t="str">
        <f t="shared" si="26"/>
        <v/>
      </c>
      <c r="T223" s="46" t="str">
        <f t="shared" si="26"/>
        <v/>
      </c>
      <c r="U223" s="46" t="str">
        <f t="shared" si="26"/>
        <v/>
      </c>
      <c r="V223" s="46" t="str">
        <f t="shared" si="26"/>
        <v/>
      </c>
      <c r="W223" s="46" t="str">
        <f t="shared" si="26"/>
        <v/>
      </c>
      <c r="X223" s="46" t="str">
        <f t="shared" si="26"/>
        <v/>
      </c>
      <c r="Y223" s="46" t="str">
        <f t="shared" si="26"/>
        <v/>
      </c>
      <c r="Z223" s="46" t="str">
        <f t="shared" si="26"/>
        <v/>
      </c>
      <c r="AA223" s="46" t="str">
        <f t="shared" si="26"/>
        <v/>
      </c>
      <c r="AB223" s="46" t="str">
        <f t="shared" si="26"/>
        <v/>
      </c>
      <c r="AC223" s="46" t="str">
        <f t="shared" si="26"/>
        <v/>
      </c>
      <c r="AD223" s="46" t="str">
        <f t="shared" si="26"/>
        <v/>
      </c>
      <c r="AE223" s="46" t="str">
        <f t="shared" si="26"/>
        <v/>
      </c>
      <c r="AF223" s="46" t="str">
        <f t="shared" si="26"/>
        <v/>
      </c>
      <c r="AG223" s="46" t="str">
        <f t="shared" si="26"/>
        <v/>
      </c>
      <c r="AH223" s="46" t="str">
        <f t="shared" si="26"/>
        <v/>
      </c>
      <c r="AI223" s="46" t="str">
        <f t="shared" si="26"/>
        <v/>
      </c>
      <c r="AJ223" s="46" t="str">
        <f t="shared" si="26"/>
        <v/>
      </c>
      <c r="AK223" s="46" t="str">
        <f t="shared" si="26"/>
        <v/>
      </c>
      <c r="AL223" s="46" t="str">
        <f t="shared" si="26"/>
        <v/>
      </c>
      <c r="AM223" s="46" t="str">
        <f t="shared" si="26"/>
        <v/>
      </c>
      <c r="AN223" s="46" t="str">
        <f t="shared" si="26"/>
        <v/>
      </c>
      <c r="AO223" s="46" t="str">
        <f t="shared" si="26"/>
        <v/>
      </c>
      <c r="AP223" s="46" t="str">
        <f t="shared" si="26"/>
        <v/>
      </c>
      <c r="AQ223" s="46" t="str">
        <f t="shared" si="26"/>
        <v/>
      </c>
      <c r="AR223" s="46" t="str">
        <f t="shared" si="26"/>
        <v/>
      </c>
      <c r="AS223" s="46" t="str">
        <f t="shared" si="26"/>
        <v/>
      </c>
      <c r="AT223" s="46">
        <f t="shared" si="26"/>
        <v>8</v>
      </c>
      <c r="AU223" s="46" t="str">
        <f t="shared" si="26"/>
        <v/>
      </c>
      <c r="AV223" s="46" t="str">
        <f t="shared" si="26"/>
        <v/>
      </c>
      <c r="AW223" s="46" t="str">
        <f t="shared" si="26"/>
        <v/>
      </c>
      <c r="AX223" s="46" t="str">
        <f t="shared" si="26"/>
        <v/>
      </c>
      <c r="AY223" s="46" t="str">
        <f t="shared" si="26"/>
        <v/>
      </c>
      <c r="AZ223" s="46" t="str">
        <f t="shared" si="26"/>
        <v/>
      </c>
      <c r="BA223" s="46" t="str">
        <f t="shared" si="26"/>
        <v/>
      </c>
      <c r="BB223" s="46" t="str">
        <f t="shared" si="26"/>
        <v/>
      </c>
      <c r="BC223" s="46" t="str">
        <f t="shared" si="26"/>
        <v/>
      </c>
      <c r="BD223" s="46" t="str">
        <f t="shared" si="26"/>
        <v/>
      </c>
      <c r="BE223" s="46" t="str">
        <f t="shared" si="26"/>
        <v/>
      </c>
      <c r="BF223" s="46" t="str">
        <f t="shared" si="26"/>
        <v/>
      </c>
      <c r="BG223" s="46" t="str">
        <f t="shared" si="26"/>
        <v/>
      </c>
      <c r="BH223" s="46" t="str">
        <f t="shared" si="26"/>
        <v/>
      </c>
      <c r="BI223" s="46" t="str">
        <f t="shared" si="26"/>
        <v/>
      </c>
      <c r="BJ223" s="46" t="str">
        <f t="shared" si="26"/>
        <v/>
      </c>
      <c r="BK223" s="46" t="str">
        <f t="shared" si="26"/>
        <v/>
      </c>
      <c r="BL223" s="46">
        <f t="shared" si="26"/>
        <v>8</v>
      </c>
      <c r="BM223" s="46" t="str">
        <f t="shared" si="26"/>
        <v/>
      </c>
      <c r="BN223" s="46" t="str">
        <f t="shared" si="26"/>
        <v/>
      </c>
      <c r="BO223" s="46" t="str">
        <f t="shared" si="26"/>
        <v/>
      </c>
      <c r="BP223" s="46">
        <f t="shared" si="25"/>
        <v>8</v>
      </c>
      <c r="BQ223" s="46" t="str">
        <f t="shared" si="25"/>
        <v/>
      </c>
      <c r="BR223" s="46" t="str">
        <f t="shared" si="25"/>
        <v/>
      </c>
      <c r="BS223" s="46" t="str">
        <f t="shared" si="25"/>
        <v/>
      </c>
      <c r="BT223" s="46" t="str">
        <f t="shared" si="25"/>
        <v/>
      </c>
      <c r="BU223" s="46" t="str">
        <f t="shared" si="25"/>
        <v/>
      </c>
      <c r="BV223" s="46" t="str">
        <f t="shared" si="25"/>
        <v/>
      </c>
      <c r="BW223" s="46" t="str">
        <f t="shared" si="25"/>
        <v/>
      </c>
      <c r="BX223" s="46" t="str">
        <f t="shared" si="25"/>
        <v/>
      </c>
      <c r="BY223" s="46" t="str">
        <f t="shared" si="25"/>
        <v/>
      </c>
      <c r="BZ223" s="46" t="str">
        <f t="shared" si="25"/>
        <v/>
      </c>
      <c r="CA223" s="46" t="str">
        <f t="shared" si="25"/>
        <v/>
      </c>
      <c r="CB223" s="46" t="str">
        <f t="shared" si="25"/>
        <v/>
      </c>
      <c r="CC223" s="46" t="str">
        <f t="shared" si="25"/>
        <v/>
      </c>
      <c r="CD223" s="46" t="str">
        <f t="shared" si="25"/>
        <v/>
      </c>
      <c r="CE223" s="46" t="str">
        <f t="shared" si="25"/>
        <v/>
      </c>
      <c r="CF223" s="46" t="str">
        <f t="shared" si="25"/>
        <v/>
      </c>
      <c r="CG223" s="46" t="str">
        <f t="shared" si="25"/>
        <v/>
      </c>
      <c r="CH223" s="46" t="str">
        <f t="shared" si="25"/>
        <v/>
      </c>
      <c r="CI223" s="46">
        <f t="shared" si="25"/>
        <v>8</v>
      </c>
      <c r="CJ223" s="46" t="str">
        <f t="shared" si="25"/>
        <v/>
      </c>
      <c r="CK223" s="46" t="str">
        <f t="shared" si="25"/>
        <v/>
      </c>
      <c r="CL223" s="46" t="str">
        <f t="shared" si="25"/>
        <v/>
      </c>
      <c r="CM223" s="46" t="str">
        <f t="shared" si="25"/>
        <v/>
      </c>
      <c r="CN223" s="46" t="str">
        <f t="shared" si="25"/>
        <v/>
      </c>
      <c r="CO223" s="46" t="str">
        <f t="shared" si="25"/>
        <v/>
      </c>
      <c r="CP223" s="46" t="str">
        <f t="shared" si="25"/>
        <v/>
      </c>
      <c r="CQ223" s="46" t="str">
        <f t="shared" si="25"/>
        <v/>
      </c>
      <c r="CR223" s="46" t="str">
        <f t="shared" si="25"/>
        <v/>
      </c>
      <c r="CS223" s="46" t="str">
        <f t="shared" si="25"/>
        <v/>
      </c>
      <c r="CT223" s="46" t="str">
        <f t="shared" si="25"/>
        <v/>
      </c>
      <c r="CU223" s="46" t="str">
        <f t="shared" si="25"/>
        <v/>
      </c>
      <c r="CV223" s="46" t="str">
        <f t="shared" si="25"/>
        <v/>
      </c>
      <c r="CW223" s="46" t="str">
        <f t="shared" si="25"/>
        <v/>
      </c>
      <c r="CX223" s="46" t="str">
        <f t="shared" si="25"/>
        <v/>
      </c>
      <c r="CY223" s="46" t="str">
        <f t="shared" si="25"/>
        <v/>
      </c>
      <c r="CZ223" s="46" t="str">
        <f t="shared" si="25"/>
        <v/>
      </c>
      <c r="DA223" s="46" t="str">
        <f t="shared" si="25"/>
        <v/>
      </c>
      <c r="DB223" s="46" t="str">
        <f t="shared" si="25"/>
        <v/>
      </c>
      <c r="DC223" s="46" t="str">
        <f t="shared" si="25"/>
        <v/>
      </c>
      <c r="DD223" s="46" t="str">
        <f t="shared" si="25"/>
        <v/>
      </c>
      <c r="DE223" s="46" t="str">
        <f t="shared" si="25"/>
        <v/>
      </c>
      <c r="DF223" s="46" t="str">
        <f t="shared" si="25"/>
        <v/>
      </c>
      <c r="DG223" s="46" t="str">
        <f t="shared" si="25"/>
        <v/>
      </c>
      <c r="DH223" s="46" t="str">
        <f t="shared" si="25"/>
        <v/>
      </c>
      <c r="DL223" s="6"/>
    </row>
    <row r="224" spans="2:116" x14ac:dyDescent="0.25">
      <c r="B224" s="46"/>
      <c r="C224" s="46" t="str">
        <f t="shared" si="15"/>
        <v/>
      </c>
      <c r="D224" s="46" t="str">
        <f t="shared" si="26"/>
        <v/>
      </c>
      <c r="E224" s="46" t="str">
        <f t="shared" si="26"/>
        <v/>
      </c>
      <c r="F224" s="46" t="str">
        <f t="shared" si="26"/>
        <v/>
      </c>
      <c r="G224" s="46" t="str">
        <f t="shared" si="26"/>
        <v/>
      </c>
      <c r="H224" s="46" t="str">
        <f t="shared" si="26"/>
        <v/>
      </c>
      <c r="I224" s="46" t="str">
        <f t="shared" si="26"/>
        <v/>
      </c>
      <c r="J224" s="46" t="str">
        <f t="shared" si="26"/>
        <v/>
      </c>
      <c r="K224" s="46" t="str">
        <f t="shared" si="26"/>
        <v/>
      </c>
      <c r="L224" s="46" t="str">
        <f t="shared" si="26"/>
        <v/>
      </c>
      <c r="M224" s="46" t="str">
        <f t="shared" si="26"/>
        <v/>
      </c>
      <c r="N224" s="46" t="str">
        <f t="shared" si="26"/>
        <v/>
      </c>
      <c r="O224" s="46" t="str">
        <f t="shared" si="26"/>
        <v/>
      </c>
      <c r="P224" s="46" t="str">
        <f t="shared" si="26"/>
        <v/>
      </c>
      <c r="Q224" s="46" t="str">
        <f t="shared" si="26"/>
        <v/>
      </c>
      <c r="R224" s="46">
        <f t="shared" si="26"/>
        <v>8</v>
      </c>
      <c r="S224" s="46" t="str">
        <f t="shared" si="26"/>
        <v/>
      </c>
      <c r="T224" s="46" t="str">
        <f t="shared" si="26"/>
        <v/>
      </c>
      <c r="U224" s="46" t="str">
        <f t="shared" si="26"/>
        <v/>
      </c>
      <c r="V224" s="46" t="str">
        <f t="shared" si="26"/>
        <v/>
      </c>
      <c r="W224" s="46" t="str">
        <f t="shared" si="26"/>
        <v/>
      </c>
      <c r="X224" s="46" t="str">
        <f t="shared" si="26"/>
        <v/>
      </c>
      <c r="Y224" s="46" t="str">
        <f t="shared" si="26"/>
        <v/>
      </c>
      <c r="Z224" s="46" t="str">
        <f t="shared" si="26"/>
        <v/>
      </c>
      <c r="AA224" s="46" t="str">
        <f t="shared" si="26"/>
        <v/>
      </c>
      <c r="AB224" s="46" t="str">
        <f t="shared" si="26"/>
        <v/>
      </c>
      <c r="AC224" s="46" t="str">
        <f t="shared" si="26"/>
        <v/>
      </c>
      <c r="AD224" s="46" t="str">
        <f t="shared" si="26"/>
        <v/>
      </c>
      <c r="AE224" s="46" t="str">
        <f t="shared" si="26"/>
        <v/>
      </c>
      <c r="AF224" s="46" t="str">
        <f t="shared" si="26"/>
        <v/>
      </c>
      <c r="AG224" s="46" t="str">
        <f t="shared" si="26"/>
        <v/>
      </c>
      <c r="AH224" s="46" t="str">
        <f t="shared" si="26"/>
        <v/>
      </c>
      <c r="AI224" s="46" t="str">
        <f t="shared" si="26"/>
        <v/>
      </c>
      <c r="AJ224" s="46" t="str">
        <f t="shared" si="26"/>
        <v/>
      </c>
      <c r="AK224" s="46" t="str">
        <f t="shared" si="26"/>
        <v/>
      </c>
      <c r="AL224" s="46" t="str">
        <f t="shared" si="26"/>
        <v/>
      </c>
      <c r="AM224" s="46" t="str">
        <f t="shared" si="26"/>
        <v/>
      </c>
      <c r="AN224" s="46" t="str">
        <f t="shared" si="26"/>
        <v/>
      </c>
      <c r="AO224" s="46" t="str">
        <f t="shared" si="26"/>
        <v/>
      </c>
      <c r="AP224" s="46" t="str">
        <f t="shared" si="26"/>
        <v/>
      </c>
      <c r="AQ224" s="46" t="str">
        <f t="shared" si="26"/>
        <v/>
      </c>
      <c r="AR224" s="46" t="str">
        <f t="shared" si="26"/>
        <v/>
      </c>
      <c r="AS224" s="46" t="str">
        <f t="shared" si="26"/>
        <v/>
      </c>
      <c r="AT224" s="46" t="str">
        <f t="shared" si="26"/>
        <v/>
      </c>
      <c r="AU224" s="46" t="str">
        <f t="shared" si="26"/>
        <v/>
      </c>
      <c r="AV224" s="46" t="str">
        <f t="shared" si="26"/>
        <v/>
      </c>
      <c r="AW224" s="46" t="str">
        <f t="shared" si="26"/>
        <v/>
      </c>
      <c r="AX224" s="46" t="str">
        <f t="shared" si="26"/>
        <v/>
      </c>
      <c r="AY224" s="46" t="str">
        <f t="shared" si="26"/>
        <v/>
      </c>
      <c r="AZ224" s="46" t="str">
        <f t="shared" si="26"/>
        <v/>
      </c>
      <c r="BA224" s="46" t="str">
        <f t="shared" si="26"/>
        <v/>
      </c>
      <c r="BB224" s="46" t="str">
        <f t="shared" si="26"/>
        <v/>
      </c>
      <c r="BC224" s="46" t="str">
        <f t="shared" si="26"/>
        <v/>
      </c>
      <c r="BD224" s="46" t="str">
        <f t="shared" si="26"/>
        <v/>
      </c>
      <c r="BE224" s="46" t="str">
        <f t="shared" si="26"/>
        <v/>
      </c>
      <c r="BF224" s="46" t="str">
        <f t="shared" si="26"/>
        <v/>
      </c>
      <c r="BG224" s="46" t="str">
        <f t="shared" si="26"/>
        <v/>
      </c>
      <c r="BH224" s="46" t="str">
        <f t="shared" si="26"/>
        <v/>
      </c>
      <c r="BI224" s="46" t="str">
        <f t="shared" si="26"/>
        <v/>
      </c>
      <c r="BJ224" s="46" t="str">
        <f t="shared" si="26"/>
        <v/>
      </c>
      <c r="BK224" s="46" t="str">
        <f t="shared" si="26"/>
        <v/>
      </c>
      <c r="BL224" s="46" t="str">
        <f t="shared" si="26"/>
        <v/>
      </c>
      <c r="BM224" s="46" t="str">
        <f t="shared" si="26"/>
        <v/>
      </c>
      <c r="BN224" s="46" t="str">
        <f t="shared" si="26"/>
        <v/>
      </c>
      <c r="BO224" s="46" t="str">
        <f t="shared" ref="BO224:DH227" si="27">IF(BO34="X",$DK34,"")</f>
        <v/>
      </c>
      <c r="BP224" s="46" t="str">
        <f t="shared" si="27"/>
        <v/>
      </c>
      <c r="BQ224" s="46" t="str">
        <f t="shared" si="27"/>
        <v/>
      </c>
      <c r="BR224" s="46">
        <f t="shared" si="27"/>
        <v>8</v>
      </c>
      <c r="BS224" s="46" t="str">
        <f t="shared" si="27"/>
        <v/>
      </c>
      <c r="BT224" s="46" t="str">
        <f t="shared" si="27"/>
        <v/>
      </c>
      <c r="BU224" s="46" t="str">
        <f t="shared" si="27"/>
        <v/>
      </c>
      <c r="BV224" s="46" t="str">
        <f t="shared" si="27"/>
        <v/>
      </c>
      <c r="BW224" s="46" t="str">
        <f t="shared" si="27"/>
        <v/>
      </c>
      <c r="BX224" s="46" t="str">
        <f t="shared" si="27"/>
        <v/>
      </c>
      <c r="BY224" s="46" t="str">
        <f t="shared" si="27"/>
        <v/>
      </c>
      <c r="BZ224" s="46" t="str">
        <f t="shared" si="27"/>
        <v/>
      </c>
      <c r="CA224" s="46" t="str">
        <f t="shared" si="27"/>
        <v/>
      </c>
      <c r="CB224" s="46" t="str">
        <f t="shared" si="27"/>
        <v/>
      </c>
      <c r="CC224" s="46" t="str">
        <f t="shared" si="27"/>
        <v/>
      </c>
      <c r="CD224" s="46" t="str">
        <f t="shared" si="27"/>
        <v/>
      </c>
      <c r="CE224" s="46" t="str">
        <f t="shared" si="27"/>
        <v/>
      </c>
      <c r="CF224" s="46" t="str">
        <f t="shared" si="27"/>
        <v/>
      </c>
      <c r="CG224" s="46" t="str">
        <f t="shared" si="27"/>
        <v/>
      </c>
      <c r="CH224" s="46" t="str">
        <f t="shared" si="27"/>
        <v/>
      </c>
      <c r="CI224" s="46" t="str">
        <f t="shared" si="27"/>
        <v/>
      </c>
      <c r="CJ224" s="46" t="str">
        <f t="shared" si="27"/>
        <v/>
      </c>
      <c r="CK224" s="46" t="str">
        <f t="shared" si="27"/>
        <v/>
      </c>
      <c r="CL224" s="46" t="str">
        <f t="shared" si="27"/>
        <v/>
      </c>
      <c r="CM224" s="46" t="str">
        <f t="shared" si="27"/>
        <v/>
      </c>
      <c r="CN224" s="46" t="str">
        <f t="shared" si="27"/>
        <v/>
      </c>
      <c r="CO224" s="46" t="str">
        <f t="shared" si="27"/>
        <v/>
      </c>
      <c r="CP224" s="46" t="str">
        <f t="shared" si="27"/>
        <v/>
      </c>
      <c r="CQ224" s="46" t="str">
        <f t="shared" si="27"/>
        <v/>
      </c>
      <c r="CR224" s="46" t="str">
        <f t="shared" si="27"/>
        <v/>
      </c>
      <c r="CS224" s="46" t="str">
        <f t="shared" si="27"/>
        <v/>
      </c>
      <c r="CT224" s="46" t="str">
        <f t="shared" si="27"/>
        <v/>
      </c>
      <c r="CU224" s="46" t="str">
        <f t="shared" si="27"/>
        <v/>
      </c>
      <c r="CV224" s="46" t="str">
        <f t="shared" si="27"/>
        <v/>
      </c>
      <c r="CW224" s="46" t="str">
        <f t="shared" si="27"/>
        <v/>
      </c>
      <c r="CX224" s="46" t="str">
        <f t="shared" si="27"/>
        <v/>
      </c>
      <c r="CY224" s="46" t="str">
        <f t="shared" si="27"/>
        <v/>
      </c>
      <c r="CZ224" s="46" t="str">
        <f t="shared" si="27"/>
        <v/>
      </c>
      <c r="DA224" s="46" t="str">
        <f t="shared" si="27"/>
        <v/>
      </c>
      <c r="DB224" s="46" t="str">
        <f t="shared" si="27"/>
        <v/>
      </c>
      <c r="DC224" s="46" t="str">
        <f t="shared" si="27"/>
        <v/>
      </c>
      <c r="DD224" s="46" t="str">
        <f t="shared" si="27"/>
        <v/>
      </c>
      <c r="DE224" s="46" t="str">
        <f t="shared" si="27"/>
        <v/>
      </c>
      <c r="DF224" s="46" t="str">
        <f t="shared" si="27"/>
        <v/>
      </c>
      <c r="DG224" s="46" t="str">
        <f t="shared" si="27"/>
        <v/>
      </c>
      <c r="DH224" s="46" t="str">
        <f t="shared" si="27"/>
        <v/>
      </c>
      <c r="DL224" s="6"/>
    </row>
    <row r="225" spans="2:116" x14ac:dyDescent="0.25">
      <c r="B225" s="46"/>
      <c r="C225" s="46" t="str">
        <f t="shared" si="15"/>
        <v/>
      </c>
      <c r="D225" s="46" t="str">
        <f t="shared" ref="D225:BO228" si="28">IF(D35="X",$DK35,"")</f>
        <v/>
      </c>
      <c r="E225" s="46" t="str">
        <f t="shared" si="28"/>
        <v/>
      </c>
      <c r="F225" s="46" t="str">
        <f t="shared" si="28"/>
        <v/>
      </c>
      <c r="G225" s="46" t="str">
        <f t="shared" si="28"/>
        <v/>
      </c>
      <c r="H225" s="46" t="str">
        <f t="shared" si="28"/>
        <v/>
      </c>
      <c r="I225" s="46" t="str">
        <f t="shared" si="28"/>
        <v/>
      </c>
      <c r="J225" s="46" t="str">
        <f t="shared" si="28"/>
        <v/>
      </c>
      <c r="K225" s="46" t="str">
        <f t="shared" si="28"/>
        <v/>
      </c>
      <c r="L225" s="46">
        <f t="shared" si="28"/>
        <v>8</v>
      </c>
      <c r="M225" s="46">
        <f t="shared" si="28"/>
        <v>8</v>
      </c>
      <c r="N225" s="46">
        <f t="shared" si="28"/>
        <v>8</v>
      </c>
      <c r="O225" s="46">
        <f t="shared" si="28"/>
        <v>8</v>
      </c>
      <c r="P225" s="46">
        <f t="shared" si="28"/>
        <v>8</v>
      </c>
      <c r="Q225" s="46">
        <f t="shared" si="28"/>
        <v>8</v>
      </c>
      <c r="R225" s="46" t="str">
        <f t="shared" si="28"/>
        <v/>
      </c>
      <c r="S225" s="46">
        <f t="shared" si="28"/>
        <v>8</v>
      </c>
      <c r="T225" s="46" t="str">
        <f t="shared" si="28"/>
        <v/>
      </c>
      <c r="U225" s="46">
        <f t="shared" si="28"/>
        <v>8</v>
      </c>
      <c r="V225" s="46" t="str">
        <f t="shared" si="28"/>
        <v/>
      </c>
      <c r="W225" s="46">
        <f t="shared" si="28"/>
        <v>8</v>
      </c>
      <c r="X225" s="46" t="str">
        <f t="shared" si="28"/>
        <v/>
      </c>
      <c r="Y225" s="46">
        <f t="shared" si="28"/>
        <v>8</v>
      </c>
      <c r="Z225" s="46">
        <f t="shared" si="28"/>
        <v>8</v>
      </c>
      <c r="AA225" s="46" t="str">
        <f t="shared" si="28"/>
        <v/>
      </c>
      <c r="AB225" s="46" t="str">
        <f t="shared" si="28"/>
        <v/>
      </c>
      <c r="AC225" s="46">
        <f t="shared" si="28"/>
        <v>8</v>
      </c>
      <c r="AD225" s="46" t="str">
        <f t="shared" si="28"/>
        <v/>
      </c>
      <c r="AE225" s="46">
        <f t="shared" si="28"/>
        <v>8</v>
      </c>
      <c r="AF225" s="46" t="str">
        <f t="shared" si="28"/>
        <v/>
      </c>
      <c r="AG225" s="46" t="str">
        <f t="shared" si="28"/>
        <v/>
      </c>
      <c r="AH225" s="46" t="str">
        <f t="shared" si="28"/>
        <v/>
      </c>
      <c r="AI225" s="46" t="str">
        <f t="shared" si="28"/>
        <v/>
      </c>
      <c r="AJ225" s="46" t="str">
        <f t="shared" si="28"/>
        <v/>
      </c>
      <c r="AK225" s="46" t="str">
        <f t="shared" si="28"/>
        <v/>
      </c>
      <c r="AL225" s="46" t="str">
        <f t="shared" si="28"/>
        <v/>
      </c>
      <c r="AM225" s="46" t="str">
        <f t="shared" si="28"/>
        <v/>
      </c>
      <c r="AN225" s="46" t="str">
        <f t="shared" si="28"/>
        <v/>
      </c>
      <c r="AO225" s="46" t="str">
        <f t="shared" si="28"/>
        <v/>
      </c>
      <c r="AP225" s="46" t="str">
        <f t="shared" si="28"/>
        <v/>
      </c>
      <c r="AQ225" s="46" t="str">
        <f t="shared" si="28"/>
        <v/>
      </c>
      <c r="AR225" s="46" t="str">
        <f t="shared" si="28"/>
        <v/>
      </c>
      <c r="AS225" s="46" t="str">
        <f t="shared" si="28"/>
        <v/>
      </c>
      <c r="AT225" s="46" t="str">
        <f t="shared" si="28"/>
        <v/>
      </c>
      <c r="AU225" s="46" t="str">
        <f t="shared" si="28"/>
        <v/>
      </c>
      <c r="AV225" s="46" t="str">
        <f t="shared" si="28"/>
        <v/>
      </c>
      <c r="AW225" s="46" t="str">
        <f t="shared" si="28"/>
        <v/>
      </c>
      <c r="AX225" s="46" t="str">
        <f t="shared" si="28"/>
        <v/>
      </c>
      <c r="AY225" s="46" t="str">
        <f t="shared" si="28"/>
        <v/>
      </c>
      <c r="AZ225" s="46" t="str">
        <f t="shared" si="28"/>
        <v/>
      </c>
      <c r="BA225" s="46" t="str">
        <f t="shared" si="28"/>
        <v/>
      </c>
      <c r="BB225" s="46" t="str">
        <f t="shared" si="28"/>
        <v/>
      </c>
      <c r="BC225" s="46" t="str">
        <f t="shared" si="28"/>
        <v/>
      </c>
      <c r="BD225" s="46" t="str">
        <f t="shared" si="28"/>
        <v/>
      </c>
      <c r="BE225" s="46" t="str">
        <f t="shared" si="28"/>
        <v/>
      </c>
      <c r="BF225" s="46" t="str">
        <f t="shared" si="28"/>
        <v/>
      </c>
      <c r="BG225" s="46" t="str">
        <f t="shared" si="28"/>
        <v/>
      </c>
      <c r="BH225" s="46" t="str">
        <f t="shared" si="28"/>
        <v/>
      </c>
      <c r="BI225" s="46" t="str">
        <f t="shared" si="28"/>
        <v/>
      </c>
      <c r="BJ225" s="46" t="str">
        <f t="shared" si="28"/>
        <v/>
      </c>
      <c r="BK225" s="46" t="str">
        <f t="shared" si="28"/>
        <v/>
      </c>
      <c r="BL225" s="46" t="str">
        <f t="shared" si="28"/>
        <v/>
      </c>
      <c r="BM225" s="46" t="str">
        <f t="shared" si="28"/>
        <v/>
      </c>
      <c r="BN225" s="46" t="str">
        <f t="shared" si="28"/>
        <v/>
      </c>
      <c r="BO225" s="46" t="str">
        <f t="shared" si="28"/>
        <v/>
      </c>
      <c r="BP225" s="46" t="str">
        <f t="shared" si="27"/>
        <v/>
      </c>
      <c r="BQ225" s="46" t="str">
        <f t="shared" si="27"/>
        <v/>
      </c>
      <c r="BR225" s="46" t="str">
        <f t="shared" si="27"/>
        <v/>
      </c>
      <c r="BS225" s="46" t="str">
        <f t="shared" si="27"/>
        <v/>
      </c>
      <c r="BT225" s="46" t="str">
        <f t="shared" si="27"/>
        <v/>
      </c>
      <c r="BU225" s="46" t="str">
        <f t="shared" si="27"/>
        <v/>
      </c>
      <c r="BV225" s="46" t="str">
        <f t="shared" si="27"/>
        <v/>
      </c>
      <c r="BW225" s="46" t="str">
        <f t="shared" si="27"/>
        <v/>
      </c>
      <c r="BX225" s="46" t="str">
        <f t="shared" si="27"/>
        <v/>
      </c>
      <c r="BY225" s="46" t="str">
        <f t="shared" si="27"/>
        <v/>
      </c>
      <c r="BZ225" s="46" t="str">
        <f t="shared" si="27"/>
        <v/>
      </c>
      <c r="CA225" s="46" t="str">
        <f t="shared" si="27"/>
        <v/>
      </c>
      <c r="CB225" s="46" t="str">
        <f t="shared" si="27"/>
        <v/>
      </c>
      <c r="CC225" s="46" t="str">
        <f t="shared" si="27"/>
        <v/>
      </c>
      <c r="CD225" s="46" t="str">
        <f t="shared" si="27"/>
        <v/>
      </c>
      <c r="CE225" s="46" t="str">
        <f t="shared" si="27"/>
        <v/>
      </c>
      <c r="CF225" s="46" t="str">
        <f t="shared" si="27"/>
        <v/>
      </c>
      <c r="CG225" s="46" t="str">
        <f t="shared" si="27"/>
        <v/>
      </c>
      <c r="CH225" s="46" t="str">
        <f t="shared" si="27"/>
        <v/>
      </c>
      <c r="CI225" s="46" t="str">
        <f t="shared" si="27"/>
        <v/>
      </c>
      <c r="CJ225" s="46" t="str">
        <f t="shared" si="27"/>
        <v/>
      </c>
      <c r="CK225" s="46" t="str">
        <f t="shared" si="27"/>
        <v/>
      </c>
      <c r="CL225" s="46" t="str">
        <f t="shared" si="27"/>
        <v/>
      </c>
      <c r="CM225" s="46" t="str">
        <f t="shared" si="27"/>
        <v/>
      </c>
      <c r="CN225" s="46" t="str">
        <f t="shared" si="27"/>
        <v/>
      </c>
      <c r="CO225" s="46" t="str">
        <f t="shared" si="27"/>
        <v/>
      </c>
      <c r="CP225" s="46" t="str">
        <f t="shared" si="27"/>
        <v/>
      </c>
      <c r="CQ225" s="46" t="str">
        <f t="shared" si="27"/>
        <v/>
      </c>
      <c r="CR225" s="46" t="str">
        <f t="shared" si="27"/>
        <v/>
      </c>
      <c r="CS225" s="46" t="str">
        <f t="shared" si="27"/>
        <v/>
      </c>
      <c r="CT225" s="46" t="str">
        <f t="shared" si="27"/>
        <v/>
      </c>
      <c r="CU225" s="46" t="str">
        <f t="shared" si="27"/>
        <v/>
      </c>
      <c r="CV225" s="46" t="str">
        <f t="shared" si="27"/>
        <v/>
      </c>
      <c r="CW225" s="46" t="str">
        <f t="shared" si="27"/>
        <v/>
      </c>
      <c r="CX225" s="46" t="str">
        <f t="shared" si="27"/>
        <v/>
      </c>
      <c r="CY225" s="46" t="str">
        <f t="shared" si="27"/>
        <v/>
      </c>
      <c r="CZ225" s="46" t="str">
        <f t="shared" si="27"/>
        <v/>
      </c>
      <c r="DA225" s="46" t="str">
        <f t="shared" si="27"/>
        <v/>
      </c>
      <c r="DB225" s="46" t="str">
        <f t="shared" si="27"/>
        <v/>
      </c>
      <c r="DC225" s="46" t="str">
        <f t="shared" si="27"/>
        <v/>
      </c>
      <c r="DD225" s="46" t="str">
        <f t="shared" si="27"/>
        <v/>
      </c>
      <c r="DE225" s="46" t="str">
        <f t="shared" si="27"/>
        <v/>
      </c>
      <c r="DF225" s="46" t="str">
        <f t="shared" si="27"/>
        <v/>
      </c>
      <c r="DG225" s="46" t="str">
        <f t="shared" si="27"/>
        <v/>
      </c>
      <c r="DH225" s="46" t="str">
        <f t="shared" si="27"/>
        <v/>
      </c>
      <c r="DL225" s="6"/>
    </row>
    <row r="226" spans="2:116" x14ac:dyDescent="0.25">
      <c r="B226" s="46"/>
      <c r="C226" s="46" t="str">
        <f t="shared" si="15"/>
        <v/>
      </c>
      <c r="D226" s="46" t="str">
        <f t="shared" si="28"/>
        <v/>
      </c>
      <c r="E226" s="46" t="str">
        <f t="shared" si="28"/>
        <v/>
      </c>
      <c r="F226" s="46" t="str">
        <f t="shared" si="28"/>
        <v/>
      </c>
      <c r="G226" s="46" t="str">
        <f t="shared" si="28"/>
        <v/>
      </c>
      <c r="H226" s="46" t="str">
        <f t="shared" si="28"/>
        <v/>
      </c>
      <c r="I226" s="46" t="str">
        <f t="shared" si="28"/>
        <v/>
      </c>
      <c r="J226" s="46" t="str">
        <f t="shared" si="28"/>
        <v/>
      </c>
      <c r="K226" s="46" t="str">
        <f t="shared" si="28"/>
        <v/>
      </c>
      <c r="L226" s="46" t="str">
        <f t="shared" si="28"/>
        <v/>
      </c>
      <c r="M226" s="46">
        <f t="shared" si="28"/>
        <v>4</v>
      </c>
      <c r="N226" s="46" t="str">
        <f t="shared" si="28"/>
        <v/>
      </c>
      <c r="O226" s="46" t="str">
        <f t="shared" si="28"/>
        <v/>
      </c>
      <c r="P226" s="46" t="str">
        <f t="shared" si="28"/>
        <v/>
      </c>
      <c r="Q226" s="46" t="str">
        <f t="shared" si="28"/>
        <v/>
      </c>
      <c r="R226" s="46" t="str">
        <f t="shared" si="28"/>
        <v/>
      </c>
      <c r="S226" s="46" t="str">
        <f t="shared" si="28"/>
        <v/>
      </c>
      <c r="T226" s="46" t="str">
        <f t="shared" si="28"/>
        <v/>
      </c>
      <c r="U226" s="46" t="str">
        <f t="shared" si="28"/>
        <v/>
      </c>
      <c r="V226" s="46" t="str">
        <f t="shared" si="28"/>
        <v/>
      </c>
      <c r="W226" s="46">
        <f t="shared" si="28"/>
        <v>4</v>
      </c>
      <c r="X226" s="46" t="str">
        <f t="shared" si="28"/>
        <v/>
      </c>
      <c r="Y226" s="46" t="str">
        <f t="shared" si="28"/>
        <v/>
      </c>
      <c r="Z226" s="46" t="str">
        <f t="shared" si="28"/>
        <v/>
      </c>
      <c r="AA226" s="46" t="str">
        <f t="shared" si="28"/>
        <v/>
      </c>
      <c r="AB226" s="46" t="str">
        <f t="shared" si="28"/>
        <v/>
      </c>
      <c r="AC226" s="46" t="str">
        <f t="shared" si="28"/>
        <v/>
      </c>
      <c r="AD226" s="46" t="str">
        <f t="shared" si="28"/>
        <v/>
      </c>
      <c r="AE226" s="46" t="str">
        <f t="shared" si="28"/>
        <v/>
      </c>
      <c r="AF226" s="46" t="str">
        <f t="shared" si="28"/>
        <v/>
      </c>
      <c r="AG226" s="46" t="str">
        <f t="shared" si="28"/>
        <v/>
      </c>
      <c r="AH226" s="46" t="str">
        <f t="shared" si="28"/>
        <v/>
      </c>
      <c r="AI226" s="46" t="str">
        <f t="shared" si="28"/>
        <v/>
      </c>
      <c r="AJ226" s="46" t="str">
        <f t="shared" si="28"/>
        <v/>
      </c>
      <c r="AK226" s="46" t="str">
        <f t="shared" si="28"/>
        <v/>
      </c>
      <c r="AL226" s="46" t="str">
        <f t="shared" si="28"/>
        <v/>
      </c>
      <c r="AM226" s="46" t="str">
        <f t="shared" si="28"/>
        <v/>
      </c>
      <c r="AN226" s="46" t="str">
        <f t="shared" si="28"/>
        <v/>
      </c>
      <c r="AO226" s="46" t="str">
        <f t="shared" si="28"/>
        <v/>
      </c>
      <c r="AP226" s="46" t="str">
        <f t="shared" si="28"/>
        <v/>
      </c>
      <c r="AQ226" s="46" t="str">
        <f t="shared" si="28"/>
        <v/>
      </c>
      <c r="AR226" s="46" t="str">
        <f t="shared" si="28"/>
        <v/>
      </c>
      <c r="AS226" s="46" t="str">
        <f t="shared" si="28"/>
        <v/>
      </c>
      <c r="AT226" s="46" t="str">
        <f t="shared" si="28"/>
        <v/>
      </c>
      <c r="AU226" s="46" t="str">
        <f t="shared" si="28"/>
        <v/>
      </c>
      <c r="AV226" s="46" t="str">
        <f t="shared" si="28"/>
        <v/>
      </c>
      <c r="AW226" s="46" t="str">
        <f t="shared" si="28"/>
        <v/>
      </c>
      <c r="AX226" s="46" t="str">
        <f t="shared" si="28"/>
        <v/>
      </c>
      <c r="AY226" s="46" t="str">
        <f t="shared" si="28"/>
        <v/>
      </c>
      <c r="AZ226" s="46" t="str">
        <f t="shared" si="28"/>
        <v/>
      </c>
      <c r="BA226" s="46" t="str">
        <f t="shared" si="28"/>
        <v/>
      </c>
      <c r="BB226" s="46" t="str">
        <f t="shared" si="28"/>
        <v/>
      </c>
      <c r="BC226" s="46" t="str">
        <f t="shared" si="28"/>
        <v/>
      </c>
      <c r="BD226" s="46" t="str">
        <f t="shared" si="28"/>
        <v/>
      </c>
      <c r="BE226" s="46" t="str">
        <f t="shared" si="28"/>
        <v/>
      </c>
      <c r="BF226" s="46" t="str">
        <f t="shared" si="28"/>
        <v/>
      </c>
      <c r="BG226" s="46" t="str">
        <f t="shared" si="28"/>
        <v/>
      </c>
      <c r="BH226" s="46" t="str">
        <f t="shared" si="28"/>
        <v/>
      </c>
      <c r="BI226" s="46" t="str">
        <f t="shared" si="28"/>
        <v/>
      </c>
      <c r="BJ226" s="46" t="str">
        <f t="shared" si="28"/>
        <v/>
      </c>
      <c r="BK226" s="46" t="str">
        <f t="shared" si="28"/>
        <v/>
      </c>
      <c r="BL226" s="46" t="str">
        <f t="shared" si="28"/>
        <v/>
      </c>
      <c r="BM226" s="46" t="str">
        <f t="shared" si="28"/>
        <v/>
      </c>
      <c r="BN226" s="46" t="str">
        <f t="shared" si="28"/>
        <v/>
      </c>
      <c r="BO226" s="46" t="str">
        <f t="shared" si="28"/>
        <v/>
      </c>
      <c r="BP226" s="46" t="str">
        <f t="shared" si="27"/>
        <v/>
      </c>
      <c r="BQ226" s="46" t="str">
        <f t="shared" si="27"/>
        <v/>
      </c>
      <c r="BR226" s="46" t="str">
        <f t="shared" si="27"/>
        <v/>
      </c>
      <c r="BS226" s="46" t="str">
        <f t="shared" si="27"/>
        <v/>
      </c>
      <c r="BT226" s="46" t="str">
        <f t="shared" si="27"/>
        <v/>
      </c>
      <c r="BU226" s="46" t="str">
        <f t="shared" si="27"/>
        <v/>
      </c>
      <c r="BV226" s="46" t="str">
        <f t="shared" si="27"/>
        <v/>
      </c>
      <c r="BW226" s="46" t="str">
        <f t="shared" si="27"/>
        <v/>
      </c>
      <c r="BX226" s="46" t="str">
        <f t="shared" si="27"/>
        <v/>
      </c>
      <c r="BY226" s="46" t="str">
        <f t="shared" si="27"/>
        <v/>
      </c>
      <c r="BZ226" s="46" t="str">
        <f t="shared" si="27"/>
        <v/>
      </c>
      <c r="CA226" s="46" t="str">
        <f t="shared" si="27"/>
        <v/>
      </c>
      <c r="CB226" s="46" t="str">
        <f t="shared" si="27"/>
        <v/>
      </c>
      <c r="CC226" s="46" t="str">
        <f t="shared" si="27"/>
        <v/>
      </c>
      <c r="CD226" s="46" t="str">
        <f t="shared" si="27"/>
        <v/>
      </c>
      <c r="CE226" s="46" t="str">
        <f t="shared" si="27"/>
        <v/>
      </c>
      <c r="CF226" s="46" t="str">
        <f t="shared" si="27"/>
        <v/>
      </c>
      <c r="CG226" s="46" t="str">
        <f t="shared" si="27"/>
        <v/>
      </c>
      <c r="CH226" s="46" t="str">
        <f t="shared" si="27"/>
        <v/>
      </c>
      <c r="CI226" s="46" t="str">
        <f t="shared" si="27"/>
        <v/>
      </c>
      <c r="CJ226" s="46" t="str">
        <f t="shared" si="27"/>
        <v/>
      </c>
      <c r="CK226" s="46" t="str">
        <f t="shared" si="27"/>
        <v/>
      </c>
      <c r="CL226" s="46" t="str">
        <f t="shared" si="27"/>
        <v/>
      </c>
      <c r="CM226" s="46" t="str">
        <f t="shared" si="27"/>
        <v/>
      </c>
      <c r="CN226" s="46" t="str">
        <f t="shared" si="27"/>
        <v/>
      </c>
      <c r="CO226" s="46" t="str">
        <f t="shared" si="27"/>
        <v/>
      </c>
      <c r="CP226" s="46" t="str">
        <f t="shared" si="27"/>
        <v/>
      </c>
      <c r="CQ226" s="46">
        <f t="shared" si="27"/>
        <v>4</v>
      </c>
      <c r="CR226" s="46" t="str">
        <f t="shared" si="27"/>
        <v/>
      </c>
      <c r="CS226" s="46" t="str">
        <f t="shared" si="27"/>
        <v/>
      </c>
      <c r="CT226" s="46" t="str">
        <f t="shared" si="27"/>
        <v/>
      </c>
      <c r="CU226" s="46" t="str">
        <f t="shared" si="27"/>
        <v/>
      </c>
      <c r="CV226" s="46" t="str">
        <f t="shared" si="27"/>
        <v/>
      </c>
      <c r="CW226" s="46" t="str">
        <f t="shared" si="27"/>
        <v/>
      </c>
      <c r="CX226" s="46" t="str">
        <f t="shared" si="27"/>
        <v/>
      </c>
      <c r="CY226" s="46" t="str">
        <f t="shared" si="27"/>
        <v/>
      </c>
      <c r="CZ226" s="46" t="str">
        <f t="shared" si="27"/>
        <v/>
      </c>
      <c r="DA226" s="46" t="str">
        <f t="shared" si="27"/>
        <v/>
      </c>
      <c r="DB226" s="46" t="str">
        <f t="shared" si="27"/>
        <v/>
      </c>
      <c r="DC226" s="46" t="str">
        <f t="shared" si="27"/>
        <v/>
      </c>
      <c r="DD226" s="46" t="str">
        <f t="shared" si="27"/>
        <v/>
      </c>
      <c r="DE226" s="46" t="str">
        <f t="shared" si="27"/>
        <v/>
      </c>
      <c r="DF226" s="46" t="str">
        <f t="shared" si="27"/>
        <v/>
      </c>
      <c r="DG226" s="46" t="str">
        <f t="shared" si="27"/>
        <v/>
      </c>
      <c r="DH226" s="46" t="str">
        <f t="shared" si="27"/>
        <v/>
      </c>
      <c r="DL226" s="6"/>
    </row>
    <row r="227" spans="2:116" x14ac:dyDescent="0.25">
      <c r="B227" s="46"/>
      <c r="C227" s="46" t="str">
        <f t="shared" si="15"/>
        <v/>
      </c>
      <c r="D227" s="46" t="str">
        <f t="shared" si="28"/>
        <v/>
      </c>
      <c r="E227" s="46" t="str">
        <f t="shared" si="28"/>
        <v/>
      </c>
      <c r="F227" s="46" t="str">
        <f t="shared" si="28"/>
        <v/>
      </c>
      <c r="G227" s="46" t="str">
        <f t="shared" si="28"/>
        <v/>
      </c>
      <c r="H227" s="46" t="str">
        <f t="shared" si="28"/>
        <v/>
      </c>
      <c r="I227" s="46" t="str">
        <f t="shared" si="28"/>
        <v/>
      </c>
      <c r="J227" s="46" t="str">
        <f t="shared" si="28"/>
        <v/>
      </c>
      <c r="K227" s="46" t="str">
        <f t="shared" si="28"/>
        <v/>
      </c>
      <c r="L227" s="46" t="str">
        <f t="shared" si="28"/>
        <v/>
      </c>
      <c r="M227" s="46" t="str">
        <f t="shared" si="28"/>
        <v/>
      </c>
      <c r="N227" s="46" t="str">
        <f t="shared" si="28"/>
        <v/>
      </c>
      <c r="O227" s="46" t="str">
        <f t="shared" si="28"/>
        <v/>
      </c>
      <c r="P227" s="46" t="str">
        <f t="shared" si="28"/>
        <v/>
      </c>
      <c r="Q227" s="46" t="str">
        <f t="shared" si="28"/>
        <v/>
      </c>
      <c r="R227" s="46" t="str">
        <f t="shared" si="28"/>
        <v/>
      </c>
      <c r="S227" s="46" t="str">
        <f t="shared" si="28"/>
        <v/>
      </c>
      <c r="T227" s="46" t="str">
        <f t="shared" si="28"/>
        <v/>
      </c>
      <c r="U227" s="46" t="str">
        <f t="shared" si="28"/>
        <v/>
      </c>
      <c r="V227" s="46" t="str">
        <f t="shared" si="28"/>
        <v/>
      </c>
      <c r="W227" s="46" t="str">
        <f t="shared" si="28"/>
        <v/>
      </c>
      <c r="X227" s="46" t="str">
        <f t="shared" si="28"/>
        <v/>
      </c>
      <c r="Y227" s="46" t="str">
        <f t="shared" si="28"/>
        <v/>
      </c>
      <c r="Z227" s="46" t="str">
        <f t="shared" si="28"/>
        <v/>
      </c>
      <c r="AA227" s="46" t="str">
        <f t="shared" si="28"/>
        <v/>
      </c>
      <c r="AB227" s="46" t="str">
        <f t="shared" si="28"/>
        <v/>
      </c>
      <c r="AC227" s="46" t="str">
        <f t="shared" si="28"/>
        <v/>
      </c>
      <c r="AD227" s="46" t="str">
        <f t="shared" si="28"/>
        <v/>
      </c>
      <c r="AE227" s="46" t="str">
        <f t="shared" si="28"/>
        <v/>
      </c>
      <c r="AF227" s="46" t="str">
        <f t="shared" si="28"/>
        <v/>
      </c>
      <c r="AG227" s="46">
        <f t="shared" si="28"/>
        <v>8</v>
      </c>
      <c r="AH227" s="46" t="str">
        <f t="shared" si="28"/>
        <v/>
      </c>
      <c r="AI227" s="46" t="str">
        <f t="shared" si="28"/>
        <v/>
      </c>
      <c r="AJ227" s="46" t="str">
        <f t="shared" si="28"/>
        <v/>
      </c>
      <c r="AK227" s="46" t="str">
        <f t="shared" si="28"/>
        <v/>
      </c>
      <c r="AL227" s="46" t="str">
        <f t="shared" si="28"/>
        <v/>
      </c>
      <c r="AM227" s="46" t="str">
        <f t="shared" si="28"/>
        <v/>
      </c>
      <c r="AN227" s="46" t="str">
        <f t="shared" si="28"/>
        <v/>
      </c>
      <c r="AO227" s="46" t="str">
        <f t="shared" si="28"/>
        <v/>
      </c>
      <c r="AP227" s="46" t="str">
        <f t="shared" si="28"/>
        <v/>
      </c>
      <c r="AQ227" s="46" t="str">
        <f t="shared" si="28"/>
        <v/>
      </c>
      <c r="AR227" s="46" t="str">
        <f t="shared" si="28"/>
        <v/>
      </c>
      <c r="AS227" s="46" t="str">
        <f t="shared" si="28"/>
        <v/>
      </c>
      <c r="AT227" s="46" t="str">
        <f t="shared" si="28"/>
        <v/>
      </c>
      <c r="AU227" s="46" t="str">
        <f t="shared" si="28"/>
        <v/>
      </c>
      <c r="AV227" s="46" t="str">
        <f t="shared" si="28"/>
        <v/>
      </c>
      <c r="AW227" s="46" t="str">
        <f t="shared" si="28"/>
        <v/>
      </c>
      <c r="AX227" s="46" t="str">
        <f t="shared" si="28"/>
        <v/>
      </c>
      <c r="AY227" s="46" t="str">
        <f t="shared" si="28"/>
        <v/>
      </c>
      <c r="AZ227" s="46" t="str">
        <f t="shared" si="28"/>
        <v/>
      </c>
      <c r="BA227" s="46" t="str">
        <f t="shared" si="28"/>
        <v/>
      </c>
      <c r="BB227" s="46" t="str">
        <f t="shared" si="28"/>
        <v/>
      </c>
      <c r="BC227" s="46" t="str">
        <f t="shared" si="28"/>
        <v/>
      </c>
      <c r="BD227" s="46" t="str">
        <f t="shared" si="28"/>
        <v/>
      </c>
      <c r="BE227" s="46" t="str">
        <f t="shared" si="28"/>
        <v/>
      </c>
      <c r="BF227" s="46" t="str">
        <f t="shared" si="28"/>
        <v/>
      </c>
      <c r="BG227" s="46" t="str">
        <f t="shared" si="28"/>
        <v/>
      </c>
      <c r="BH227" s="46" t="str">
        <f t="shared" si="28"/>
        <v/>
      </c>
      <c r="BI227" s="46" t="str">
        <f t="shared" si="28"/>
        <v/>
      </c>
      <c r="BJ227" s="46" t="str">
        <f t="shared" si="28"/>
        <v/>
      </c>
      <c r="BK227" s="46" t="str">
        <f t="shared" si="28"/>
        <v/>
      </c>
      <c r="BL227" s="46" t="str">
        <f t="shared" si="28"/>
        <v/>
      </c>
      <c r="BM227" s="46" t="str">
        <f t="shared" si="28"/>
        <v/>
      </c>
      <c r="BN227" s="46" t="str">
        <f t="shared" si="28"/>
        <v/>
      </c>
      <c r="BO227" s="46" t="str">
        <f t="shared" si="28"/>
        <v/>
      </c>
      <c r="BP227" s="46" t="str">
        <f t="shared" si="27"/>
        <v/>
      </c>
      <c r="BQ227" s="46" t="str">
        <f t="shared" si="27"/>
        <v/>
      </c>
      <c r="BR227" s="46" t="str">
        <f t="shared" si="27"/>
        <v/>
      </c>
      <c r="BS227" s="46" t="str">
        <f t="shared" si="27"/>
        <v/>
      </c>
      <c r="BT227" s="46" t="str">
        <f t="shared" si="27"/>
        <v/>
      </c>
      <c r="BU227" s="46" t="str">
        <f t="shared" si="27"/>
        <v/>
      </c>
      <c r="BV227" s="46" t="str">
        <f t="shared" si="27"/>
        <v/>
      </c>
      <c r="BW227" s="46" t="str">
        <f t="shared" si="27"/>
        <v/>
      </c>
      <c r="BX227" s="46" t="str">
        <f t="shared" si="27"/>
        <v/>
      </c>
      <c r="BY227" s="46" t="str">
        <f t="shared" si="27"/>
        <v/>
      </c>
      <c r="BZ227" s="46">
        <f t="shared" si="27"/>
        <v>8</v>
      </c>
      <c r="CA227" s="46" t="str">
        <f t="shared" si="27"/>
        <v/>
      </c>
      <c r="CB227" s="46" t="str">
        <f t="shared" si="27"/>
        <v/>
      </c>
      <c r="CC227" s="46" t="str">
        <f t="shared" si="27"/>
        <v/>
      </c>
      <c r="CD227" s="46" t="str">
        <f t="shared" si="27"/>
        <v/>
      </c>
      <c r="CE227" s="46" t="str">
        <f t="shared" si="27"/>
        <v/>
      </c>
      <c r="CF227" s="46" t="str">
        <f t="shared" si="27"/>
        <v/>
      </c>
      <c r="CG227" s="46" t="str">
        <f t="shared" si="27"/>
        <v/>
      </c>
      <c r="CH227" s="46" t="str">
        <f t="shared" si="27"/>
        <v/>
      </c>
      <c r="CI227" s="46" t="str">
        <f t="shared" si="27"/>
        <v/>
      </c>
      <c r="CJ227" s="46" t="str">
        <f t="shared" si="27"/>
        <v/>
      </c>
      <c r="CK227" s="46" t="str">
        <f t="shared" si="27"/>
        <v/>
      </c>
      <c r="CL227" s="46" t="str">
        <f t="shared" si="27"/>
        <v/>
      </c>
      <c r="CM227" s="46" t="str">
        <f t="shared" si="27"/>
        <v/>
      </c>
      <c r="CN227" s="46" t="str">
        <f t="shared" si="27"/>
        <v/>
      </c>
      <c r="CO227" s="46" t="str">
        <f t="shared" si="27"/>
        <v/>
      </c>
      <c r="CP227" s="46" t="str">
        <f t="shared" si="27"/>
        <v/>
      </c>
      <c r="CQ227" s="46" t="str">
        <f t="shared" si="27"/>
        <v/>
      </c>
      <c r="CR227" s="46" t="str">
        <f t="shared" si="27"/>
        <v/>
      </c>
      <c r="CS227" s="46" t="str">
        <f t="shared" si="27"/>
        <v/>
      </c>
      <c r="CT227" s="46" t="str">
        <f t="shared" si="27"/>
        <v/>
      </c>
      <c r="CU227" s="46" t="str">
        <f t="shared" si="27"/>
        <v/>
      </c>
      <c r="CV227" s="46" t="str">
        <f t="shared" si="27"/>
        <v/>
      </c>
      <c r="CW227" s="46" t="str">
        <f t="shared" si="27"/>
        <v/>
      </c>
      <c r="CX227" s="46" t="str">
        <f t="shared" si="27"/>
        <v/>
      </c>
      <c r="CY227" s="46" t="str">
        <f t="shared" si="27"/>
        <v/>
      </c>
      <c r="CZ227" s="46" t="str">
        <f t="shared" si="27"/>
        <v/>
      </c>
      <c r="DA227" s="46" t="str">
        <f t="shared" si="27"/>
        <v/>
      </c>
      <c r="DB227" s="46" t="str">
        <f t="shared" si="27"/>
        <v/>
      </c>
      <c r="DC227" s="46" t="str">
        <f t="shared" si="27"/>
        <v/>
      </c>
      <c r="DD227" s="46" t="str">
        <f t="shared" si="27"/>
        <v/>
      </c>
      <c r="DE227" s="46" t="str">
        <f t="shared" si="27"/>
        <v/>
      </c>
      <c r="DF227" s="46" t="str">
        <f t="shared" si="27"/>
        <v/>
      </c>
      <c r="DG227" s="46" t="str">
        <f t="shared" si="27"/>
        <v/>
      </c>
      <c r="DH227" s="46" t="str">
        <f t="shared" si="27"/>
        <v/>
      </c>
      <c r="DL227" s="6"/>
    </row>
    <row r="228" spans="2:116" x14ac:dyDescent="0.25">
      <c r="B228" s="46"/>
      <c r="C228" s="46" t="str">
        <f t="shared" si="15"/>
        <v/>
      </c>
      <c r="D228" s="46" t="str">
        <f t="shared" si="28"/>
        <v/>
      </c>
      <c r="E228" s="46" t="str">
        <f t="shared" si="28"/>
        <v/>
      </c>
      <c r="F228" s="46" t="str">
        <f t="shared" si="28"/>
        <v/>
      </c>
      <c r="G228" s="46" t="str">
        <f t="shared" si="28"/>
        <v/>
      </c>
      <c r="H228" s="46" t="str">
        <f t="shared" si="28"/>
        <v/>
      </c>
      <c r="I228" s="46" t="str">
        <f t="shared" si="28"/>
        <v/>
      </c>
      <c r="J228" s="46" t="str">
        <f t="shared" si="28"/>
        <v/>
      </c>
      <c r="K228" s="46" t="str">
        <f t="shared" si="28"/>
        <v/>
      </c>
      <c r="L228" s="46" t="str">
        <f t="shared" si="28"/>
        <v/>
      </c>
      <c r="M228" s="46" t="str">
        <f t="shared" si="28"/>
        <v/>
      </c>
      <c r="N228" s="46" t="str">
        <f t="shared" si="28"/>
        <v/>
      </c>
      <c r="O228" s="46" t="str">
        <f t="shared" si="28"/>
        <v/>
      </c>
      <c r="P228" s="46" t="str">
        <f t="shared" si="28"/>
        <v/>
      </c>
      <c r="Q228" s="46" t="str">
        <f t="shared" si="28"/>
        <v/>
      </c>
      <c r="R228" s="46" t="str">
        <f t="shared" si="28"/>
        <v/>
      </c>
      <c r="S228" s="46" t="str">
        <f t="shared" si="28"/>
        <v/>
      </c>
      <c r="T228" s="46" t="str">
        <f t="shared" si="28"/>
        <v/>
      </c>
      <c r="U228" s="46" t="str">
        <f t="shared" si="28"/>
        <v/>
      </c>
      <c r="V228" s="46" t="str">
        <f t="shared" si="28"/>
        <v/>
      </c>
      <c r="W228" s="46" t="str">
        <f t="shared" si="28"/>
        <v/>
      </c>
      <c r="X228" s="46" t="str">
        <f t="shared" si="28"/>
        <v/>
      </c>
      <c r="Y228" s="46" t="str">
        <f t="shared" si="28"/>
        <v/>
      </c>
      <c r="Z228" s="46" t="str">
        <f t="shared" si="28"/>
        <v/>
      </c>
      <c r="AA228" s="46" t="str">
        <f t="shared" si="28"/>
        <v/>
      </c>
      <c r="AB228" s="46" t="str">
        <f t="shared" si="28"/>
        <v/>
      </c>
      <c r="AC228" s="46" t="str">
        <f t="shared" si="28"/>
        <v/>
      </c>
      <c r="AD228" s="46" t="str">
        <f t="shared" si="28"/>
        <v/>
      </c>
      <c r="AE228" s="46" t="str">
        <f t="shared" si="28"/>
        <v/>
      </c>
      <c r="AF228" s="46">
        <f t="shared" si="28"/>
        <v>8</v>
      </c>
      <c r="AG228" s="46" t="str">
        <f t="shared" si="28"/>
        <v/>
      </c>
      <c r="AH228" s="46" t="str">
        <f t="shared" si="28"/>
        <v/>
      </c>
      <c r="AI228" s="46" t="str">
        <f t="shared" si="28"/>
        <v/>
      </c>
      <c r="AJ228" s="46" t="str">
        <f t="shared" si="28"/>
        <v/>
      </c>
      <c r="AK228" s="46" t="str">
        <f t="shared" si="28"/>
        <v/>
      </c>
      <c r="AL228" s="46" t="str">
        <f t="shared" si="28"/>
        <v/>
      </c>
      <c r="AM228" s="46" t="str">
        <f t="shared" si="28"/>
        <v/>
      </c>
      <c r="AN228" s="46" t="str">
        <f t="shared" si="28"/>
        <v/>
      </c>
      <c r="AO228" s="46" t="str">
        <f t="shared" si="28"/>
        <v/>
      </c>
      <c r="AP228" s="46" t="str">
        <f t="shared" si="28"/>
        <v/>
      </c>
      <c r="AQ228" s="46">
        <f t="shared" si="28"/>
        <v>8</v>
      </c>
      <c r="AR228" s="46" t="str">
        <f t="shared" si="28"/>
        <v/>
      </c>
      <c r="AS228" s="46" t="str">
        <f t="shared" si="28"/>
        <v/>
      </c>
      <c r="AT228" s="46" t="str">
        <f t="shared" si="28"/>
        <v/>
      </c>
      <c r="AU228" s="46" t="str">
        <f t="shared" si="28"/>
        <v/>
      </c>
      <c r="AV228" s="46" t="str">
        <f t="shared" si="28"/>
        <v/>
      </c>
      <c r="AW228" s="46" t="str">
        <f t="shared" si="28"/>
        <v/>
      </c>
      <c r="AX228" s="46" t="str">
        <f t="shared" si="28"/>
        <v/>
      </c>
      <c r="AY228" s="46" t="str">
        <f t="shared" si="28"/>
        <v/>
      </c>
      <c r="AZ228" s="46" t="str">
        <f t="shared" si="28"/>
        <v/>
      </c>
      <c r="BA228" s="46" t="str">
        <f t="shared" si="28"/>
        <v/>
      </c>
      <c r="BB228" s="46" t="str">
        <f t="shared" si="28"/>
        <v/>
      </c>
      <c r="BC228" s="46" t="str">
        <f t="shared" si="28"/>
        <v/>
      </c>
      <c r="BD228" s="46" t="str">
        <f t="shared" si="28"/>
        <v/>
      </c>
      <c r="BE228" s="46">
        <f t="shared" si="28"/>
        <v>8</v>
      </c>
      <c r="BF228" s="46" t="str">
        <f t="shared" si="28"/>
        <v/>
      </c>
      <c r="BG228" s="46" t="str">
        <f t="shared" si="28"/>
        <v/>
      </c>
      <c r="BH228" s="46" t="str">
        <f t="shared" si="28"/>
        <v/>
      </c>
      <c r="BI228" s="46" t="str">
        <f t="shared" si="28"/>
        <v/>
      </c>
      <c r="BJ228" s="46" t="str">
        <f t="shared" si="28"/>
        <v/>
      </c>
      <c r="BK228" s="46" t="str">
        <f t="shared" si="28"/>
        <v/>
      </c>
      <c r="BL228" s="46" t="str">
        <f t="shared" si="28"/>
        <v/>
      </c>
      <c r="BM228" s="46" t="str">
        <f t="shared" si="28"/>
        <v/>
      </c>
      <c r="BN228" s="46" t="str">
        <f t="shared" si="28"/>
        <v/>
      </c>
      <c r="BO228" s="46" t="str">
        <f t="shared" ref="BO228:DH231" si="29">IF(BO38="X",$DK38,"")</f>
        <v/>
      </c>
      <c r="BP228" s="46" t="str">
        <f t="shared" si="29"/>
        <v/>
      </c>
      <c r="BQ228" s="46" t="str">
        <f t="shared" si="29"/>
        <v/>
      </c>
      <c r="BR228" s="46" t="str">
        <f t="shared" si="29"/>
        <v/>
      </c>
      <c r="BS228" s="46" t="str">
        <f t="shared" si="29"/>
        <v/>
      </c>
      <c r="BT228" s="46" t="str">
        <f t="shared" si="29"/>
        <v/>
      </c>
      <c r="BU228" s="46" t="str">
        <f t="shared" si="29"/>
        <v/>
      </c>
      <c r="BV228" s="46" t="str">
        <f t="shared" si="29"/>
        <v/>
      </c>
      <c r="BW228" s="46" t="str">
        <f t="shared" si="29"/>
        <v/>
      </c>
      <c r="BX228" s="46" t="str">
        <f t="shared" si="29"/>
        <v/>
      </c>
      <c r="BY228" s="46" t="str">
        <f t="shared" si="29"/>
        <v/>
      </c>
      <c r="BZ228" s="46" t="str">
        <f t="shared" si="29"/>
        <v/>
      </c>
      <c r="CA228" s="46" t="str">
        <f t="shared" si="29"/>
        <v/>
      </c>
      <c r="CB228" s="46" t="str">
        <f t="shared" si="29"/>
        <v/>
      </c>
      <c r="CC228" s="46" t="str">
        <f t="shared" si="29"/>
        <v/>
      </c>
      <c r="CD228" s="46" t="str">
        <f t="shared" si="29"/>
        <v/>
      </c>
      <c r="CE228" s="46" t="str">
        <f t="shared" si="29"/>
        <v/>
      </c>
      <c r="CF228" s="46" t="str">
        <f t="shared" si="29"/>
        <v/>
      </c>
      <c r="CG228" s="46" t="str">
        <f t="shared" si="29"/>
        <v/>
      </c>
      <c r="CH228" s="46" t="str">
        <f t="shared" si="29"/>
        <v/>
      </c>
      <c r="CI228" s="46" t="str">
        <f t="shared" si="29"/>
        <v/>
      </c>
      <c r="CJ228" s="46" t="str">
        <f t="shared" si="29"/>
        <v/>
      </c>
      <c r="CK228" s="46" t="str">
        <f t="shared" si="29"/>
        <v/>
      </c>
      <c r="CL228" s="46" t="str">
        <f t="shared" si="29"/>
        <v/>
      </c>
      <c r="CM228" s="46" t="str">
        <f t="shared" si="29"/>
        <v/>
      </c>
      <c r="CN228" s="46" t="str">
        <f t="shared" si="29"/>
        <v/>
      </c>
      <c r="CO228" s="46" t="str">
        <f t="shared" si="29"/>
        <v/>
      </c>
      <c r="CP228" s="46" t="str">
        <f t="shared" si="29"/>
        <v/>
      </c>
      <c r="CQ228" s="46" t="str">
        <f t="shared" si="29"/>
        <v/>
      </c>
      <c r="CR228" s="46" t="str">
        <f t="shared" si="29"/>
        <v/>
      </c>
      <c r="CS228" s="46" t="str">
        <f t="shared" si="29"/>
        <v/>
      </c>
      <c r="CT228" s="46" t="str">
        <f t="shared" si="29"/>
        <v/>
      </c>
      <c r="CU228" s="46" t="str">
        <f t="shared" si="29"/>
        <v/>
      </c>
      <c r="CV228" s="46" t="str">
        <f t="shared" si="29"/>
        <v/>
      </c>
      <c r="CW228" s="46" t="str">
        <f t="shared" si="29"/>
        <v/>
      </c>
      <c r="CX228" s="46" t="str">
        <f t="shared" si="29"/>
        <v/>
      </c>
      <c r="CY228" s="46" t="str">
        <f t="shared" si="29"/>
        <v/>
      </c>
      <c r="CZ228" s="46" t="str">
        <f t="shared" si="29"/>
        <v/>
      </c>
      <c r="DA228" s="46" t="str">
        <f t="shared" si="29"/>
        <v/>
      </c>
      <c r="DB228" s="46" t="str">
        <f t="shared" si="29"/>
        <v/>
      </c>
      <c r="DC228" s="46" t="str">
        <f t="shared" si="29"/>
        <v/>
      </c>
      <c r="DD228" s="46" t="str">
        <f t="shared" si="29"/>
        <v/>
      </c>
      <c r="DE228" s="46" t="str">
        <f t="shared" si="29"/>
        <v/>
      </c>
      <c r="DF228" s="46" t="str">
        <f t="shared" si="29"/>
        <v/>
      </c>
      <c r="DG228" s="46" t="str">
        <f t="shared" si="29"/>
        <v/>
      </c>
      <c r="DH228" s="46" t="str">
        <f t="shared" si="29"/>
        <v/>
      </c>
      <c r="DL228" s="6"/>
    </row>
    <row r="229" spans="2:116" x14ac:dyDescent="0.25">
      <c r="B229" s="46"/>
      <c r="C229" s="46" t="str">
        <f t="shared" si="15"/>
        <v/>
      </c>
      <c r="D229" s="46" t="str">
        <f t="shared" ref="D229:BO232" si="30">IF(D39="X",$DK39,"")</f>
        <v/>
      </c>
      <c r="E229" s="46" t="str">
        <f t="shared" si="30"/>
        <v/>
      </c>
      <c r="F229" s="46" t="str">
        <f t="shared" si="30"/>
        <v/>
      </c>
      <c r="G229" s="46" t="str">
        <f t="shared" si="30"/>
        <v/>
      </c>
      <c r="H229" s="46" t="str">
        <f t="shared" si="30"/>
        <v/>
      </c>
      <c r="I229" s="46" t="str">
        <f t="shared" si="30"/>
        <v/>
      </c>
      <c r="J229" s="46" t="str">
        <f t="shared" si="30"/>
        <v/>
      </c>
      <c r="K229" s="46" t="str">
        <f t="shared" si="30"/>
        <v/>
      </c>
      <c r="L229" s="46" t="str">
        <f t="shared" si="30"/>
        <v/>
      </c>
      <c r="M229" s="46" t="str">
        <f t="shared" si="30"/>
        <v/>
      </c>
      <c r="N229" s="46" t="str">
        <f t="shared" si="30"/>
        <v/>
      </c>
      <c r="O229" s="46" t="str">
        <f t="shared" si="30"/>
        <v/>
      </c>
      <c r="P229" s="46" t="str">
        <f t="shared" si="30"/>
        <v/>
      </c>
      <c r="Q229" s="46" t="str">
        <f t="shared" si="30"/>
        <v/>
      </c>
      <c r="R229" s="46" t="str">
        <f t="shared" si="30"/>
        <v/>
      </c>
      <c r="S229" s="46" t="str">
        <f t="shared" si="30"/>
        <v/>
      </c>
      <c r="T229" s="46" t="str">
        <f t="shared" si="30"/>
        <v/>
      </c>
      <c r="U229" s="46" t="str">
        <f t="shared" si="30"/>
        <v/>
      </c>
      <c r="V229" s="46" t="str">
        <f t="shared" si="30"/>
        <v/>
      </c>
      <c r="W229" s="46" t="str">
        <f t="shared" si="30"/>
        <v/>
      </c>
      <c r="X229" s="46" t="str">
        <f t="shared" si="30"/>
        <v/>
      </c>
      <c r="Y229" s="46" t="str">
        <f t="shared" si="30"/>
        <v/>
      </c>
      <c r="Z229" s="46" t="str">
        <f t="shared" si="30"/>
        <v/>
      </c>
      <c r="AA229" s="46">
        <f t="shared" si="30"/>
        <v>8</v>
      </c>
      <c r="AB229" s="46" t="str">
        <f t="shared" si="30"/>
        <v/>
      </c>
      <c r="AC229" s="46" t="str">
        <f t="shared" si="30"/>
        <v/>
      </c>
      <c r="AD229" s="46" t="str">
        <f t="shared" si="30"/>
        <v/>
      </c>
      <c r="AE229" s="46" t="str">
        <f t="shared" si="30"/>
        <v/>
      </c>
      <c r="AF229" s="46" t="str">
        <f t="shared" si="30"/>
        <v/>
      </c>
      <c r="AG229" s="46" t="str">
        <f t="shared" si="30"/>
        <v/>
      </c>
      <c r="AH229" s="46" t="str">
        <f t="shared" si="30"/>
        <v/>
      </c>
      <c r="AI229" s="46" t="str">
        <f t="shared" si="30"/>
        <v/>
      </c>
      <c r="AJ229" s="46" t="str">
        <f t="shared" si="30"/>
        <v/>
      </c>
      <c r="AK229" s="46" t="str">
        <f t="shared" si="30"/>
        <v/>
      </c>
      <c r="AL229" s="46" t="str">
        <f t="shared" si="30"/>
        <v/>
      </c>
      <c r="AM229" s="46" t="str">
        <f t="shared" si="30"/>
        <v/>
      </c>
      <c r="AN229" s="46" t="str">
        <f t="shared" si="30"/>
        <v/>
      </c>
      <c r="AO229" s="46" t="str">
        <f t="shared" si="30"/>
        <v/>
      </c>
      <c r="AP229" s="46" t="str">
        <f t="shared" si="30"/>
        <v/>
      </c>
      <c r="AQ229" s="46" t="str">
        <f t="shared" si="30"/>
        <v/>
      </c>
      <c r="AR229" s="46" t="str">
        <f t="shared" si="30"/>
        <v/>
      </c>
      <c r="AS229" s="46" t="str">
        <f t="shared" si="30"/>
        <v/>
      </c>
      <c r="AT229" s="46" t="str">
        <f t="shared" si="30"/>
        <v/>
      </c>
      <c r="AU229" s="46" t="str">
        <f t="shared" si="30"/>
        <v/>
      </c>
      <c r="AV229" s="46" t="str">
        <f t="shared" si="30"/>
        <v/>
      </c>
      <c r="AW229" s="46" t="str">
        <f t="shared" si="30"/>
        <v/>
      </c>
      <c r="AX229" s="46" t="str">
        <f t="shared" si="30"/>
        <v/>
      </c>
      <c r="AY229" s="46" t="str">
        <f t="shared" si="30"/>
        <v/>
      </c>
      <c r="AZ229" s="46" t="str">
        <f t="shared" si="30"/>
        <v/>
      </c>
      <c r="BA229" s="46" t="str">
        <f t="shared" si="30"/>
        <v/>
      </c>
      <c r="BB229" s="46" t="str">
        <f t="shared" si="30"/>
        <v/>
      </c>
      <c r="BC229" s="46" t="str">
        <f t="shared" si="30"/>
        <v/>
      </c>
      <c r="BD229" s="46" t="str">
        <f t="shared" si="30"/>
        <v/>
      </c>
      <c r="BE229" s="46" t="str">
        <f t="shared" si="30"/>
        <v/>
      </c>
      <c r="BF229" s="46" t="str">
        <f t="shared" si="30"/>
        <v/>
      </c>
      <c r="BG229" s="46" t="str">
        <f t="shared" si="30"/>
        <v/>
      </c>
      <c r="BH229" s="46" t="str">
        <f t="shared" si="30"/>
        <v/>
      </c>
      <c r="BI229" s="46" t="str">
        <f t="shared" si="30"/>
        <v/>
      </c>
      <c r="BJ229" s="46" t="str">
        <f t="shared" si="30"/>
        <v/>
      </c>
      <c r="BK229" s="46">
        <f t="shared" si="30"/>
        <v>8</v>
      </c>
      <c r="BL229" s="46" t="str">
        <f t="shared" si="30"/>
        <v/>
      </c>
      <c r="BM229" s="46" t="str">
        <f t="shared" si="30"/>
        <v/>
      </c>
      <c r="BN229" s="46" t="str">
        <f t="shared" si="30"/>
        <v/>
      </c>
      <c r="BO229" s="46" t="str">
        <f t="shared" si="30"/>
        <v/>
      </c>
      <c r="BP229" s="46" t="str">
        <f t="shared" si="29"/>
        <v/>
      </c>
      <c r="BQ229" s="46" t="str">
        <f t="shared" si="29"/>
        <v/>
      </c>
      <c r="BR229" s="46" t="str">
        <f t="shared" si="29"/>
        <v/>
      </c>
      <c r="BS229" s="46" t="str">
        <f t="shared" si="29"/>
        <v/>
      </c>
      <c r="BT229" s="46" t="str">
        <f t="shared" si="29"/>
        <v/>
      </c>
      <c r="BU229" s="46" t="str">
        <f t="shared" si="29"/>
        <v/>
      </c>
      <c r="BV229" s="46" t="str">
        <f t="shared" si="29"/>
        <v/>
      </c>
      <c r="BW229" s="46" t="str">
        <f t="shared" si="29"/>
        <v/>
      </c>
      <c r="BX229" s="46" t="str">
        <f t="shared" si="29"/>
        <v/>
      </c>
      <c r="BY229" s="46" t="str">
        <f t="shared" si="29"/>
        <v/>
      </c>
      <c r="BZ229" s="46" t="str">
        <f t="shared" si="29"/>
        <v/>
      </c>
      <c r="CA229" s="46" t="str">
        <f t="shared" si="29"/>
        <v/>
      </c>
      <c r="CB229" s="46" t="str">
        <f t="shared" si="29"/>
        <v/>
      </c>
      <c r="CC229" s="46" t="str">
        <f t="shared" si="29"/>
        <v/>
      </c>
      <c r="CD229" s="46" t="str">
        <f t="shared" si="29"/>
        <v/>
      </c>
      <c r="CE229" s="46" t="str">
        <f t="shared" si="29"/>
        <v/>
      </c>
      <c r="CF229" s="46" t="str">
        <f t="shared" si="29"/>
        <v/>
      </c>
      <c r="CG229" s="46" t="str">
        <f t="shared" si="29"/>
        <v/>
      </c>
      <c r="CH229" s="46" t="str">
        <f t="shared" si="29"/>
        <v/>
      </c>
      <c r="CI229" s="46" t="str">
        <f t="shared" si="29"/>
        <v/>
      </c>
      <c r="CJ229" s="46" t="str">
        <f t="shared" si="29"/>
        <v/>
      </c>
      <c r="CK229" s="46" t="str">
        <f t="shared" si="29"/>
        <v/>
      </c>
      <c r="CL229" s="46" t="str">
        <f t="shared" si="29"/>
        <v/>
      </c>
      <c r="CM229" s="46" t="str">
        <f t="shared" si="29"/>
        <v/>
      </c>
      <c r="CN229" s="46" t="str">
        <f t="shared" si="29"/>
        <v/>
      </c>
      <c r="CO229" s="46" t="str">
        <f t="shared" si="29"/>
        <v/>
      </c>
      <c r="CP229" s="46" t="str">
        <f t="shared" si="29"/>
        <v/>
      </c>
      <c r="CQ229" s="46" t="str">
        <f t="shared" si="29"/>
        <v/>
      </c>
      <c r="CR229" s="46">
        <f t="shared" si="29"/>
        <v>8</v>
      </c>
      <c r="CS229" s="46" t="str">
        <f t="shared" si="29"/>
        <v/>
      </c>
      <c r="CT229" s="46" t="str">
        <f t="shared" si="29"/>
        <v/>
      </c>
      <c r="CU229" s="46" t="str">
        <f t="shared" si="29"/>
        <v/>
      </c>
      <c r="CV229" s="46" t="str">
        <f t="shared" si="29"/>
        <v/>
      </c>
      <c r="CW229" s="46" t="str">
        <f t="shared" si="29"/>
        <v/>
      </c>
      <c r="CX229" s="46" t="str">
        <f t="shared" si="29"/>
        <v/>
      </c>
      <c r="CY229" s="46">
        <f t="shared" si="29"/>
        <v>8</v>
      </c>
      <c r="CZ229" s="46" t="str">
        <f t="shared" si="29"/>
        <v/>
      </c>
      <c r="DA229" s="46" t="str">
        <f t="shared" si="29"/>
        <v/>
      </c>
      <c r="DB229" s="46" t="str">
        <f t="shared" si="29"/>
        <v/>
      </c>
      <c r="DC229" s="46" t="str">
        <f t="shared" si="29"/>
        <v/>
      </c>
      <c r="DD229" s="46" t="str">
        <f t="shared" si="29"/>
        <v/>
      </c>
      <c r="DE229" s="46" t="str">
        <f t="shared" si="29"/>
        <v/>
      </c>
      <c r="DF229" s="46" t="str">
        <f t="shared" si="29"/>
        <v/>
      </c>
      <c r="DG229" s="46" t="str">
        <f t="shared" si="29"/>
        <v/>
      </c>
      <c r="DH229" s="46" t="str">
        <f t="shared" si="29"/>
        <v/>
      </c>
      <c r="DL229" s="6"/>
    </row>
    <row r="230" spans="2:116" x14ac:dyDescent="0.25">
      <c r="B230" s="46"/>
      <c r="C230" s="46" t="str">
        <f t="shared" si="15"/>
        <v/>
      </c>
      <c r="D230" s="46" t="str">
        <f t="shared" si="30"/>
        <v/>
      </c>
      <c r="E230" s="46" t="str">
        <f t="shared" si="30"/>
        <v/>
      </c>
      <c r="F230" s="46" t="str">
        <f t="shared" si="30"/>
        <v/>
      </c>
      <c r="G230" s="46" t="str">
        <f t="shared" si="30"/>
        <v/>
      </c>
      <c r="H230" s="46" t="str">
        <f t="shared" si="30"/>
        <v/>
      </c>
      <c r="I230" s="46" t="str">
        <f t="shared" si="30"/>
        <v/>
      </c>
      <c r="J230" s="46" t="str">
        <f t="shared" si="30"/>
        <v/>
      </c>
      <c r="K230" s="46" t="str">
        <f t="shared" si="30"/>
        <v/>
      </c>
      <c r="L230" s="46" t="str">
        <f t="shared" si="30"/>
        <v/>
      </c>
      <c r="M230" s="46" t="str">
        <f t="shared" si="30"/>
        <v/>
      </c>
      <c r="N230" s="46" t="str">
        <f t="shared" si="30"/>
        <v/>
      </c>
      <c r="O230" s="46" t="str">
        <f t="shared" si="30"/>
        <v/>
      </c>
      <c r="P230" s="46" t="str">
        <f t="shared" si="30"/>
        <v/>
      </c>
      <c r="Q230" s="46" t="str">
        <f t="shared" si="30"/>
        <v/>
      </c>
      <c r="R230" s="46" t="str">
        <f t="shared" si="30"/>
        <v/>
      </c>
      <c r="S230" s="46" t="str">
        <f t="shared" si="30"/>
        <v/>
      </c>
      <c r="T230" s="46" t="str">
        <f t="shared" si="30"/>
        <v/>
      </c>
      <c r="U230" s="46" t="str">
        <f t="shared" si="30"/>
        <v/>
      </c>
      <c r="V230" s="46" t="str">
        <f t="shared" si="30"/>
        <v/>
      </c>
      <c r="W230" s="46" t="str">
        <f t="shared" si="30"/>
        <v/>
      </c>
      <c r="X230" s="46" t="str">
        <f t="shared" si="30"/>
        <v/>
      </c>
      <c r="Y230" s="46" t="str">
        <f t="shared" si="30"/>
        <v/>
      </c>
      <c r="Z230" s="46" t="str">
        <f t="shared" si="30"/>
        <v/>
      </c>
      <c r="AA230" s="46" t="str">
        <f t="shared" si="30"/>
        <v/>
      </c>
      <c r="AB230" s="46" t="str">
        <f t="shared" si="30"/>
        <v/>
      </c>
      <c r="AC230" s="46" t="str">
        <f t="shared" si="30"/>
        <v/>
      </c>
      <c r="AD230" s="46" t="str">
        <f t="shared" si="30"/>
        <v/>
      </c>
      <c r="AE230" s="46" t="str">
        <f t="shared" si="30"/>
        <v/>
      </c>
      <c r="AF230" s="46" t="str">
        <f t="shared" si="30"/>
        <v/>
      </c>
      <c r="AG230" s="46" t="str">
        <f t="shared" si="30"/>
        <v/>
      </c>
      <c r="AH230" s="46" t="str">
        <f t="shared" si="30"/>
        <v/>
      </c>
      <c r="AI230" s="46" t="str">
        <f t="shared" si="30"/>
        <v/>
      </c>
      <c r="AJ230" s="46" t="str">
        <f t="shared" si="30"/>
        <v/>
      </c>
      <c r="AK230" s="46" t="str">
        <f t="shared" si="30"/>
        <v/>
      </c>
      <c r="AL230" s="46" t="str">
        <f t="shared" si="30"/>
        <v/>
      </c>
      <c r="AM230" s="46" t="str">
        <f t="shared" si="30"/>
        <v/>
      </c>
      <c r="AN230" s="46" t="str">
        <f t="shared" si="30"/>
        <v/>
      </c>
      <c r="AO230" s="46" t="str">
        <f t="shared" si="30"/>
        <v/>
      </c>
      <c r="AP230" s="46" t="str">
        <f t="shared" si="30"/>
        <v/>
      </c>
      <c r="AQ230" s="46" t="str">
        <f t="shared" si="30"/>
        <v/>
      </c>
      <c r="AR230" s="46" t="str">
        <f t="shared" si="30"/>
        <v/>
      </c>
      <c r="AS230" s="46" t="str">
        <f t="shared" si="30"/>
        <v/>
      </c>
      <c r="AT230" s="46" t="str">
        <f t="shared" si="30"/>
        <v/>
      </c>
      <c r="AU230" s="46" t="str">
        <f t="shared" si="30"/>
        <v/>
      </c>
      <c r="AV230" s="46" t="str">
        <f t="shared" si="30"/>
        <v/>
      </c>
      <c r="AW230" s="46" t="str">
        <f t="shared" si="30"/>
        <v/>
      </c>
      <c r="AX230" s="46" t="str">
        <f t="shared" si="30"/>
        <v/>
      </c>
      <c r="AY230" s="46" t="str">
        <f t="shared" si="30"/>
        <v/>
      </c>
      <c r="AZ230" s="46" t="str">
        <f t="shared" si="30"/>
        <v/>
      </c>
      <c r="BA230" s="46" t="str">
        <f t="shared" si="30"/>
        <v/>
      </c>
      <c r="BB230" s="46" t="str">
        <f t="shared" si="30"/>
        <v/>
      </c>
      <c r="BC230" s="46" t="str">
        <f t="shared" si="30"/>
        <v/>
      </c>
      <c r="BD230" s="46" t="str">
        <f t="shared" si="30"/>
        <v/>
      </c>
      <c r="BE230" s="46" t="str">
        <f t="shared" si="30"/>
        <v/>
      </c>
      <c r="BF230" s="46" t="str">
        <f t="shared" si="30"/>
        <v/>
      </c>
      <c r="BG230" s="46" t="str">
        <f t="shared" si="30"/>
        <v/>
      </c>
      <c r="BH230" s="46" t="str">
        <f t="shared" si="30"/>
        <v/>
      </c>
      <c r="BI230" s="46" t="str">
        <f t="shared" si="30"/>
        <v/>
      </c>
      <c r="BJ230" s="46" t="str">
        <f t="shared" si="30"/>
        <v/>
      </c>
      <c r="BK230" s="46" t="str">
        <f t="shared" si="30"/>
        <v/>
      </c>
      <c r="BL230" s="46" t="str">
        <f t="shared" si="30"/>
        <v/>
      </c>
      <c r="BM230" s="46" t="str">
        <f t="shared" si="30"/>
        <v/>
      </c>
      <c r="BN230" s="46" t="str">
        <f t="shared" si="30"/>
        <v/>
      </c>
      <c r="BO230" s="46" t="str">
        <f t="shared" si="30"/>
        <v/>
      </c>
      <c r="BP230" s="46" t="str">
        <f t="shared" si="29"/>
        <v/>
      </c>
      <c r="BQ230" s="46" t="str">
        <f t="shared" si="29"/>
        <v/>
      </c>
      <c r="BR230" s="46" t="str">
        <f t="shared" si="29"/>
        <v/>
      </c>
      <c r="BS230" s="46" t="str">
        <f t="shared" si="29"/>
        <v/>
      </c>
      <c r="BT230" s="46" t="str">
        <f t="shared" si="29"/>
        <v/>
      </c>
      <c r="BU230" s="46" t="str">
        <f t="shared" si="29"/>
        <v/>
      </c>
      <c r="BV230" s="46" t="str">
        <f t="shared" si="29"/>
        <v/>
      </c>
      <c r="BW230" s="46" t="str">
        <f t="shared" si="29"/>
        <v/>
      </c>
      <c r="BX230" s="46" t="str">
        <f t="shared" si="29"/>
        <v/>
      </c>
      <c r="BY230" s="46" t="str">
        <f t="shared" si="29"/>
        <v/>
      </c>
      <c r="BZ230" s="46" t="str">
        <f t="shared" si="29"/>
        <v/>
      </c>
      <c r="CA230" s="46" t="str">
        <f t="shared" si="29"/>
        <v/>
      </c>
      <c r="CB230" s="46" t="str">
        <f t="shared" si="29"/>
        <v/>
      </c>
      <c r="CC230" s="46" t="str">
        <f t="shared" si="29"/>
        <v/>
      </c>
      <c r="CD230" s="46" t="str">
        <f t="shared" si="29"/>
        <v/>
      </c>
      <c r="CE230" s="46" t="str">
        <f t="shared" si="29"/>
        <v/>
      </c>
      <c r="CF230" s="46" t="str">
        <f t="shared" si="29"/>
        <v/>
      </c>
      <c r="CG230" s="46" t="str">
        <f t="shared" si="29"/>
        <v/>
      </c>
      <c r="CH230" s="46" t="str">
        <f t="shared" si="29"/>
        <v/>
      </c>
      <c r="CI230" s="46" t="str">
        <f t="shared" si="29"/>
        <v/>
      </c>
      <c r="CJ230" s="46" t="str">
        <f t="shared" si="29"/>
        <v/>
      </c>
      <c r="CK230" s="46" t="str">
        <f t="shared" si="29"/>
        <v/>
      </c>
      <c r="CL230" s="46" t="str">
        <f t="shared" si="29"/>
        <v/>
      </c>
      <c r="CM230" s="46" t="str">
        <f t="shared" si="29"/>
        <v/>
      </c>
      <c r="CN230" s="46" t="str">
        <f t="shared" si="29"/>
        <v/>
      </c>
      <c r="CO230" s="46" t="str">
        <f t="shared" si="29"/>
        <v/>
      </c>
      <c r="CP230" s="46" t="str">
        <f t="shared" si="29"/>
        <v/>
      </c>
      <c r="CQ230" s="46" t="str">
        <f t="shared" si="29"/>
        <v/>
      </c>
      <c r="CR230" s="46">
        <f t="shared" si="29"/>
        <v>8</v>
      </c>
      <c r="CS230" s="46" t="str">
        <f t="shared" si="29"/>
        <v/>
      </c>
      <c r="CT230" s="46" t="str">
        <f t="shared" si="29"/>
        <v/>
      </c>
      <c r="CU230" s="46" t="str">
        <f t="shared" si="29"/>
        <v/>
      </c>
      <c r="CV230" s="46" t="str">
        <f t="shared" si="29"/>
        <v/>
      </c>
      <c r="CW230" s="46" t="str">
        <f t="shared" si="29"/>
        <v/>
      </c>
      <c r="CX230" s="46" t="str">
        <f t="shared" si="29"/>
        <v/>
      </c>
      <c r="CY230" s="46" t="str">
        <f t="shared" si="29"/>
        <v/>
      </c>
      <c r="CZ230" s="46" t="str">
        <f t="shared" si="29"/>
        <v/>
      </c>
      <c r="DA230" s="46" t="str">
        <f t="shared" si="29"/>
        <v/>
      </c>
      <c r="DB230" s="46" t="str">
        <f t="shared" si="29"/>
        <v/>
      </c>
      <c r="DC230" s="46" t="str">
        <f t="shared" si="29"/>
        <v/>
      </c>
      <c r="DD230" s="46" t="str">
        <f t="shared" si="29"/>
        <v/>
      </c>
      <c r="DE230" s="46" t="str">
        <f t="shared" si="29"/>
        <v/>
      </c>
      <c r="DF230" s="46" t="str">
        <f t="shared" si="29"/>
        <v/>
      </c>
      <c r="DG230" s="46" t="str">
        <f t="shared" si="29"/>
        <v/>
      </c>
      <c r="DH230" s="46" t="str">
        <f t="shared" si="29"/>
        <v/>
      </c>
      <c r="DL230" s="6"/>
    </row>
    <row r="231" spans="2:116" x14ac:dyDescent="0.25">
      <c r="B231" s="46"/>
      <c r="C231" s="46" t="str">
        <f t="shared" si="15"/>
        <v/>
      </c>
      <c r="D231" s="46" t="str">
        <f t="shared" si="30"/>
        <v/>
      </c>
      <c r="E231" s="46" t="str">
        <f t="shared" si="30"/>
        <v/>
      </c>
      <c r="F231" s="46" t="str">
        <f t="shared" si="30"/>
        <v/>
      </c>
      <c r="G231" s="46" t="str">
        <f t="shared" si="30"/>
        <v/>
      </c>
      <c r="H231" s="46" t="str">
        <f t="shared" si="30"/>
        <v/>
      </c>
      <c r="I231" s="46" t="str">
        <f t="shared" si="30"/>
        <v/>
      </c>
      <c r="J231" s="46" t="str">
        <f t="shared" si="30"/>
        <v/>
      </c>
      <c r="K231" s="46" t="str">
        <f t="shared" si="30"/>
        <v/>
      </c>
      <c r="L231" s="46" t="str">
        <f t="shared" si="30"/>
        <v/>
      </c>
      <c r="M231" s="46" t="str">
        <f t="shared" si="30"/>
        <v/>
      </c>
      <c r="N231" s="46" t="str">
        <f t="shared" si="30"/>
        <v/>
      </c>
      <c r="O231" s="46" t="str">
        <f t="shared" si="30"/>
        <v/>
      </c>
      <c r="P231" s="46" t="str">
        <f t="shared" si="30"/>
        <v/>
      </c>
      <c r="Q231" s="46" t="str">
        <f t="shared" si="30"/>
        <v/>
      </c>
      <c r="R231" s="46" t="str">
        <f t="shared" si="30"/>
        <v/>
      </c>
      <c r="S231" s="46" t="str">
        <f t="shared" si="30"/>
        <v/>
      </c>
      <c r="T231" s="46" t="str">
        <f t="shared" si="30"/>
        <v/>
      </c>
      <c r="U231" s="46" t="str">
        <f t="shared" si="30"/>
        <v/>
      </c>
      <c r="V231" s="46" t="str">
        <f t="shared" si="30"/>
        <v/>
      </c>
      <c r="W231" s="46" t="str">
        <f t="shared" si="30"/>
        <v/>
      </c>
      <c r="X231" s="46" t="str">
        <f t="shared" si="30"/>
        <v/>
      </c>
      <c r="Y231" s="46" t="str">
        <f t="shared" si="30"/>
        <v/>
      </c>
      <c r="Z231" s="46" t="str">
        <f t="shared" si="30"/>
        <v/>
      </c>
      <c r="AA231" s="46" t="str">
        <f t="shared" si="30"/>
        <v/>
      </c>
      <c r="AB231" s="46" t="str">
        <f t="shared" si="30"/>
        <v/>
      </c>
      <c r="AC231" s="46" t="str">
        <f t="shared" si="30"/>
        <v/>
      </c>
      <c r="AD231" s="46" t="str">
        <f t="shared" si="30"/>
        <v/>
      </c>
      <c r="AE231" s="46" t="str">
        <f t="shared" si="30"/>
        <v/>
      </c>
      <c r="AF231" s="46" t="str">
        <f t="shared" si="30"/>
        <v/>
      </c>
      <c r="AG231" s="46" t="str">
        <f t="shared" si="30"/>
        <v/>
      </c>
      <c r="AH231" s="46" t="str">
        <f t="shared" si="30"/>
        <v/>
      </c>
      <c r="AI231" s="46" t="str">
        <f t="shared" si="30"/>
        <v/>
      </c>
      <c r="AJ231" s="46" t="str">
        <f t="shared" si="30"/>
        <v/>
      </c>
      <c r="AK231" s="46" t="str">
        <f t="shared" si="30"/>
        <v/>
      </c>
      <c r="AL231" s="46" t="str">
        <f t="shared" si="30"/>
        <v/>
      </c>
      <c r="AM231" s="46" t="str">
        <f t="shared" si="30"/>
        <v/>
      </c>
      <c r="AN231" s="46" t="str">
        <f t="shared" si="30"/>
        <v/>
      </c>
      <c r="AO231" s="46" t="str">
        <f t="shared" si="30"/>
        <v/>
      </c>
      <c r="AP231" s="46" t="str">
        <f t="shared" si="30"/>
        <v/>
      </c>
      <c r="AQ231" s="46" t="str">
        <f t="shared" si="30"/>
        <v/>
      </c>
      <c r="AR231" s="46" t="str">
        <f t="shared" si="30"/>
        <v/>
      </c>
      <c r="AS231" s="46" t="str">
        <f t="shared" si="30"/>
        <v/>
      </c>
      <c r="AT231" s="46" t="str">
        <f t="shared" si="30"/>
        <v/>
      </c>
      <c r="AU231" s="46" t="str">
        <f t="shared" si="30"/>
        <v/>
      </c>
      <c r="AV231" s="46">
        <f t="shared" si="30"/>
        <v>8</v>
      </c>
      <c r="AW231" s="46">
        <f t="shared" si="30"/>
        <v>8</v>
      </c>
      <c r="AX231" s="46" t="str">
        <f t="shared" si="30"/>
        <v/>
      </c>
      <c r="AY231" s="46" t="str">
        <f t="shared" si="30"/>
        <v/>
      </c>
      <c r="AZ231" s="46">
        <f t="shared" si="30"/>
        <v>8</v>
      </c>
      <c r="BA231" s="46">
        <f t="shared" si="30"/>
        <v>8</v>
      </c>
      <c r="BB231" s="46" t="str">
        <f t="shared" si="30"/>
        <v/>
      </c>
      <c r="BC231" s="46" t="str">
        <f t="shared" si="30"/>
        <v/>
      </c>
      <c r="BD231" s="46" t="str">
        <f t="shared" si="30"/>
        <v/>
      </c>
      <c r="BE231" s="46">
        <f t="shared" si="30"/>
        <v>8</v>
      </c>
      <c r="BF231" s="46" t="str">
        <f t="shared" si="30"/>
        <v/>
      </c>
      <c r="BG231" s="46" t="str">
        <f t="shared" si="30"/>
        <v/>
      </c>
      <c r="BH231" s="46" t="str">
        <f t="shared" si="30"/>
        <v/>
      </c>
      <c r="BI231" s="46" t="str">
        <f t="shared" si="30"/>
        <v/>
      </c>
      <c r="BJ231" s="46" t="str">
        <f t="shared" si="30"/>
        <v/>
      </c>
      <c r="BK231" s="46" t="str">
        <f t="shared" si="30"/>
        <v/>
      </c>
      <c r="BL231" s="46" t="str">
        <f t="shared" si="30"/>
        <v/>
      </c>
      <c r="BM231" s="46" t="str">
        <f t="shared" si="30"/>
        <v/>
      </c>
      <c r="BN231" s="46" t="str">
        <f t="shared" si="30"/>
        <v/>
      </c>
      <c r="BO231" s="46" t="str">
        <f t="shared" si="30"/>
        <v/>
      </c>
      <c r="BP231" s="46" t="str">
        <f t="shared" si="29"/>
        <v/>
      </c>
      <c r="BQ231" s="46" t="str">
        <f t="shared" si="29"/>
        <v/>
      </c>
      <c r="BR231" s="46" t="str">
        <f t="shared" si="29"/>
        <v/>
      </c>
      <c r="BS231" s="46" t="str">
        <f t="shared" si="29"/>
        <v/>
      </c>
      <c r="BT231" s="46" t="str">
        <f t="shared" si="29"/>
        <v/>
      </c>
      <c r="BU231" s="46" t="str">
        <f t="shared" si="29"/>
        <v/>
      </c>
      <c r="BV231" s="46" t="str">
        <f t="shared" si="29"/>
        <v/>
      </c>
      <c r="BW231" s="46" t="str">
        <f t="shared" si="29"/>
        <v/>
      </c>
      <c r="BX231" s="46" t="str">
        <f t="shared" si="29"/>
        <v/>
      </c>
      <c r="BY231" s="46" t="str">
        <f t="shared" si="29"/>
        <v/>
      </c>
      <c r="BZ231" s="46" t="str">
        <f t="shared" si="29"/>
        <v/>
      </c>
      <c r="CA231" s="46" t="str">
        <f t="shared" si="29"/>
        <v/>
      </c>
      <c r="CB231" s="46" t="str">
        <f t="shared" si="29"/>
        <v/>
      </c>
      <c r="CC231" s="46" t="str">
        <f t="shared" si="29"/>
        <v/>
      </c>
      <c r="CD231" s="46" t="str">
        <f t="shared" si="29"/>
        <v/>
      </c>
      <c r="CE231" s="46" t="str">
        <f t="shared" si="29"/>
        <v/>
      </c>
      <c r="CF231" s="46" t="str">
        <f t="shared" si="29"/>
        <v/>
      </c>
      <c r="CG231" s="46" t="str">
        <f t="shared" si="29"/>
        <v/>
      </c>
      <c r="CH231" s="46" t="str">
        <f t="shared" si="29"/>
        <v/>
      </c>
      <c r="CI231" s="46" t="str">
        <f t="shared" si="29"/>
        <v/>
      </c>
      <c r="CJ231" s="46" t="str">
        <f t="shared" si="29"/>
        <v/>
      </c>
      <c r="CK231" s="46" t="str">
        <f t="shared" si="29"/>
        <v/>
      </c>
      <c r="CL231" s="46" t="str">
        <f t="shared" si="29"/>
        <v/>
      </c>
      <c r="CM231" s="46" t="str">
        <f t="shared" si="29"/>
        <v/>
      </c>
      <c r="CN231" s="46" t="str">
        <f t="shared" si="29"/>
        <v/>
      </c>
      <c r="CO231" s="46" t="str">
        <f t="shared" si="29"/>
        <v/>
      </c>
      <c r="CP231" s="46" t="str">
        <f t="shared" si="29"/>
        <v/>
      </c>
      <c r="CQ231" s="46" t="str">
        <f t="shared" si="29"/>
        <v/>
      </c>
      <c r="CR231" s="46" t="str">
        <f t="shared" si="29"/>
        <v/>
      </c>
      <c r="CS231" s="46" t="str">
        <f t="shared" si="29"/>
        <v/>
      </c>
      <c r="CT231" s="46" t="str">
        <f t="shared" si="29"/>
        <v/>
      </c>
      <c r="CU231" s="46" t="str">
        <f t="shared" si="29"/>
        <v/>
      </c>
      <c r="CV231" s="46" t="str">
        <f t="shared" si="29"/>
        <v/>
      </c>
      <c r="CW231" s="46" t="str">
        <f t="shared" si="29"/>
        <v/>
      </c>
      <c r="CX231" s="46" t="str">
        <f t="shared" si="29"/>
        <v/>
      </c>
      <c r="CY231" s="46" t="str">
        <f t="shared" si="29"/>
        <v/>
      </c>
      <c r="CZ231" s="46" t="str">
        <f t="shared" si="29"/>
        <v/>
      </c>
      <c r="DA231" s="46" t="str">
        <f t="shared" si="29"/>
        <v/>
      </c>
      <c r="DB231" s="46" t="str">
        <f t="shared" si="29"/>
        <v/>
      </c>
      <c r="DC231" s="46" t="str">
        <f t="shared" si="29"/>
        <v/>
      </c>
      <c r="DD231" s="46" t="str">
        <f t="shared" si="29"/>
        <v/>
      </c>
      <c r="DE231" s="46" t="str">
        <f t="shared" si="29"/>
        <v/>
      </c>
      <c r="DF231" s="46" t="str">
        <f t="shared" si="29"/>
        <v/>
      </c>
      <c r="DG231" s="46" t="str">
        <f t="shared" si="29"/>
        <v/>
      </c>
      <c r="DH231" s="46" t="str">
        <f t="shared" si="29"/>
        <v/>
      </c>
      <c r="DL231" s="6"/>
    </row>
    <row r="232" spans="2:116" x14ac:dyDescent="0.25">
      <c r="B232" s="46"/>
      <c r="C232" s="46" t="str">
        <f t="shared" si="15"/>
        <v/>
      </c>
      <c r="D232" s="46" t="str">
        <f t="shared" si="30"/>
        <v/>
      </c>
      <c r="E232" s="46" t="str">
        <f t="shared" si="30"/>
        <v/>
      </c>
      <c r="F232" s="46" t="str">
        <f t="shared" si="30"/>
        <v/>
      </c>
      <c r="G232" s="46" t="str">
        <f t="shared" si="30"/>
        <v/>
      </c>
      <c r="H232" s="46" t="str">
        <f t="shared" si="30"/>
        <v/>
      </c>
      <c r="I232" s="46" t="str">
        <f t="shared" si="30"/>
        <v/>
      </c>
      <c r="J232" s="46" t="str">
        <f t="shared" si="30"/>
        <v/>
      </c>
      <c r="K232" s="46" t="str">
        <f t="shared" si="30"/>
        <v/>
      </c>
      <c r="L232" s="46" t="str">
        <f t="shared" si="30"/>
        <v/>
      </c>
      <c r="M232" s="46" t="str">
        <f t="shared" si="30"/>
        <v/>
      </c>
      <c r="N232" s="46" t="str">
        <f t="shared" si="30"/>
        <v/>
      </c>
      <c r="O232" s="46" t="str">
        <f t="shared" si="30"/>
        <v/>
      </c>
      <c r="P232" s="46" t="str">
        <f t="shared" si="30"/>
        <v/>
      </c>
      <c r="Q232" s="46" t="str">
        <f t="shared" si="30"/>
        <v/>
      </c>
      <c r="R232" s="46" t="str">
        <f t="shared" si="30"/>
        <v/>
      </c>
      <c r="S232" s="46" t="str">
        <f t="shared" si="30"/>
        <v/>
      </c>
      <c r="T232" s="46" t="str">
        <f t="shared" si="30"/>
        <v/>
      </c>
      <c r="U232" s="46" t="str">
        <f t="shared" si="30"/>
        <v/>
      </c>
      <c r="V232" s="46" t="str">
        <f t="shared" si="30"/>
        <v/>
      </c>
      <c r="W232" s="46" t="str">
        <f t="shared" si="30"/>
        <v/>
      </c>
      <c r="X232" s="46" t="str">
        <f t="shared" si="30"/>
        <v/>
      </c>
      <c r="Y232" s="46" t="str">
        <f t="shared" si="30"/>
        <v/>
      </c>
      <c r="Z232" s="46" t="str">
        <f t="shared" si="30"/>
        <v/>
      </c>
      <c r="AA232" s="46" t="str">
        <f t="shared" si="30"/>
        <v/>
      </c>
      <c r="AB232" s="46" t="str">
        <f t="shared" si="30"/>
        <v/>
      </c>
      <c r="AC232" s="46" t="str">
        <f t="shared" si="30"/>
        <v/>
      </c>
      <c r="AD232" s="46" t="str">
        <f t="shared" si="30"/>
        <v/>
      </c>
      <c r="AE232" s="46" t="str">
        <f t="shared" si="30"/>
        <v/>
      </c>
      <c r="AF232" s="46" t="str">
        <f t="shared" si="30"/>
        <v/>
      </c>
      <c r="AG232" s="46" t="str">
        <f t="shared" si="30"/>
        <v/>
      </c>
      <c r="AH232" s="46" t="str">
        <f t="shared" si="30"/>
        <v/>
      </c>
      <c r="AI232" s="46" t="str">
        <f t="shared" si="30"/>
        <v/>
      </c>
      <c r="AJ232" s="46" t="str">
        <f t="shared" si="30"/>
        <v/>
      </c>
      <c r="AK232" s="46" t="str">
        <f t="shared" si="30"/>
        <v/>
      </c>
      <c r="AL232" s="46" t="str">
        <f t="shared" si="30"/>
        <v/>
      </c>
      <c r="AM232" s="46" t="str">
        <f t="shared" si="30"/>
        <v/>
      </c>
      <c r="AN232" s="46" t="str">
        <f t="shared" si="30"/>
        <v/>
      </c>
      <c r="AO232" s="46" t="str">
        <f t="shared" si="30"/>
        <v/>
      </c>
      <c r="AP232" s="46" t="str">
        <f t="shared" si="30"/>
        <v/>
      </c>
      <c r="AQ232" s="46">
        <f t="shared" si="30"/>
        <v>8</v>
      </c>
      <c r="AR232" s="46">
        <f t="shared" si="30"/>
        <v>8</v>
      </c>
      <c r="AS232" s="46">
        <f t="shared" si="30"/>
        <v>8</v>
      </c>
      <c r="AT232" s="46">
        <f t="shared" si="30"/>
        <v>8</v>
      </c>
      <c r="AU232" s="46">
        <f t="shared" si="30"/>
        <v>8</v>
      </c>
      <c r="AV232" s="46" t="str">
        <f t="shared" si="30"/>
        <v/>
      </c>
      <c r="AW232" s="46" t="str">
        <f t="shared" si="30"/>
        <v/>
      </c>
      <c r="AX232" s="46">
        <f t="shared" si="30"/>
        <v>8</v>
      </c>
      <c r="AY232" s="46">
        <f t="shared" si="30"/>
        <v>8</v>
      </c>
      <c r="AZ232" s="46" t="str">
        <f t="shared" si="30"/>
        <v/>
      </c>
      <c r="BA232" s="46">
        <f t="shared" si="30"/>
        <v>8</v>
      </c>
      <c r="BB232" s="46" t="str">
        <f t="shared" si="30"/>
        <v/>
      </c>
      <c r="BC232" s="46" t="str">
        <f t="shared" si="30"/>
        <v/>
      </c>
      <c r="BD232" s="46" t="str">
        <f t="shared" si="30"/>
        <v/>
      </c>
      <c r="BE232" s="46" t="str">
        <f t="shared" si="30"/>
        <v/>
      </c>
      <c r="BF232" s="46" t="str">
        <f t="shared" si="30"/>
        <v/>
      </c>
      <c r="BG232" s="46" t="str">
        <f t="shared" si="30"/>
        <v/>
      </c>
      <c r="BH232" s="46" t="str">
        <f t="shared" si="30"/>
        <v/>
      </c>
      <c r="BI232" s="46" t="str">
        <f t="shared" si="30"/>
        <v/>
      </c>
      <c r="BJ232" s="46" t="str">
        <f t="shared" si="30"/>
        <v/>
      </c>
      <c r="BK232" s="46" t="str">
        <f t="shared" si="30"/>
        <v/>
      </c>
      <c r="BL232" s="46" t="str">
        <f t="shared" si="30"/>
        <v/>
      </c>
      <c r="BM232" s="46" t="str">
        <f t="shared" si="30"/>
        <v/>
      </c>
      <c r="BN232" s="46" t="str">
        <f t="shared" si="30"/>
        <v/>
      </c>
      <c r="BO232" s="46" t="str">
        <f t="shared" ref="BO232:DH235" si="31">IF(BO42="X",$DK42,"")</f>
        <v/>
      </c>
      <c r="BP232" s="46" t="str">
        <f t="shared" si="31"/>
        <v/>
      </c>
      <c r="BQ232" s="46" t="str">
        <f t="shared" si="31"/>
        <v/>
      </c>
      <c r="BR232" s="46" t="str">
        <f t="shared" si="31"/>
        <v/>
      </c>
      <c r="BS232" s="46" t="str">
        <f t="shared" si="31"/>
        <v/>
      </c>
      <c r="BT232" s="46" t="str">
        <f t="shared" si="31"/>
        <v/>
      </c>
      <c r="BU232" s="46" t="str">
        <f t="shared" si="31"/>
        <v/>
      </c>
      <c r="BV232" s="46" t="str">
        <f t="shared" si="31"/>
        <v/>
      </c>
      <c r="BW232" s="46" t="str">
        <f t="shared" si="31"/>
        <v/>
      </c>
      <c r="BX232" s="46" t="str">
        <f t="shared" si="31"/>
        <v/>
      </c>
      <c r="BY232" s="46" t="str">
        <f t="shared" si="31"/>
        <v/>
      </c>
      <c r="BZ232" s="46" t="str">
        <f t="shared" si="31"/>
        <v/>
      </c>
      <c r="CA232" s="46" t="str">
        <f t="shared" si="31"/>
        <v/>
      </c>
      <c r="CB232" s="46" t="str">
        <f t="shared" si="31"/>
        <v/>
      </c>
      <c r="CC232" s="46" t="str">
        <f t="shared" si="31"/>
        <v/>
      </c>
      <c r="CD232" s="46" t="str">
        <f t="shared" si="31"/>
        <v/>
      </c>
      <c r="CE232" s="46" t="str">
        <f t="shared" si="31"/>
        <v/>
      </c>
      <c r="CF232" s="46" t="str">
        <f t="shared" si="31"/>
        <v/>
      </c>
      <c r="CG232" s="46" t="str">
        <f t="shared" si="31"/>
        <v/>
      </c>
      <c r="CH232" s="46" t="str">
        <f t="shared" si="31"/>
        <v/>
      </c>
      <c r="CI232" s="46" t="str">
        <f t="shared" si="31"/>
        <v/>
      </c>
      <c r="CJ232" s="46" t="str">
        <f t="shared" si="31"/>
        <v/>
      </c>
      <c r="CK232" s="46" t="str">
        <f t="shared" si="31"/>
        <v/>
      </c>
      <c r="CL232" s="46" t="str">
        <f t="shared" si="31"/>
        <v/>
      </c>
      <c r="CM232" s="46" t="str">
        <f t="shared" si="31"/>
        <v/>
      </c>
      <c r="CN232" s="46" t="str">
        <f t="shared" si="31"/>
        <v/>
      </c>
      <c r="CO232" s="46" t="str">
        <f t="shared" si="31"/>
        <v/>
      </c>
      <c r="CP232" s="46" t="str">
        <f t="shared" si="31"/>
        <v/>
      </c>
      <c r="CQ232" s="46" t="str">
        <f t="shared" si="31"/>
        <v/>
      </c>
      <c r="CR232" s="46" t="str">
        <f t="shared" si="31"/>
        <v/>
      </c>
      <c r="CS232" s="46" t="str">
        <f t="shared" si="31"/>
        <v/>
      </c>
      <c r="CT232" s="46" t="str">
        <f t="shared" si="31"/>
        <v/>
      </c>
      <c r="CU232" s="46" t="str">
        <f t="shared" si="31"/>
        <v/>
      </c>
      <c r="CV232" s="46" t="str">
        <f t="shared" si="31"/>
        <v/>
      </c>
      <c r="CW232" s="46" t="str">
        <f t="shared" si="31"/>
        <v/>
      </c>
      <c r="CX232" s="46" t="str">
        <f t="shared" si="31"/>
        <v/>
      </c>
      <c r="CY232" s="46" t="str">
        <f t="shared" si="31"/>
        <v/>
      </c>
      <c r="CZ232" s="46" t="str">
        <f t="shared" si="31"/>
        <v/>
      </c>
      <c r="DA232" s="46" t="str">
        <f t="shared" si="31"/>
        <v/>
      </c>
      <c r="DB232" s="46" t="str">
        <f t="shared" si="31"/>
        <v/>
      </c>
      <c r="DC232" s="46" t="str">
        <f t="shared" si="31"/>
        <v/>
      </c>
      <c r="DD232" s="46" t="str">
        <f t="shared" si="31"/>
        <v/>
      </c>
      <c r="DE232" s="46" t="str">
        <f t="shared" si="31"/>
        <v/>
      </c>
      <c r="DF232" s="46" t="str">
        <f t="shared" si="31"/>
        <v/>
      </c>
      <c r="DG232" s="46" t="str">
        <f t="shared" si="31"/>
        <v/>
      </c>
      <c r="DH232" s="46" t="str">
        <f t="shared" si="31"/>
        <v/>
      </c>
      <c r="DL232" s="6"/>
    </row>
    <row r="233" spans="2:116" x14ac:dyDescent="0.25">
      <c r="B233" s="46"/>
      <c r="C233" s="46" t="str">
        <f t="shared" si="15"/>
        <v/>
      </c>
      <c r="D233" s="46" t="str">
        <f t="shared" ref="D233:BO236" si="32">IF(D43="X",$DK43,"")</f>
        <v/>
      </c>
      <c r="E233" s="46" t="str">
        <f t="shared" si="32"/>
        <v/>
      </c>
      <c r="F233" s="46" t="str">
        <f t="shared" si="32"/>
        <v/>
      </c>
      <c r="G233" s="46" t="str">
        <f t="shared" si="32"/>
        <v/>
      </c>
      <c r="H233" s="46" t="str">
        <f t="shared" si="32"/>
        <v/>
      </c>
      <c r="I233" s="46" t="str">
        <f t="shared" si="32"/>
        <v/>
      </c>
      <c r="J233" s="46" t="str">
        <f t="shared" si="32"/>
        <v/>
      </c>
      <c r="K233" s="46" t="str">
        <f t="shared" si="32"/>
        <v/>
      </c>
      <c r="L233" s="46" t="str">
        <f t="shared" si="32"/>
        <v/>
      </c>
      <c r="M233" s="46" t="str">
        <f t="shared" si="32"/>
        <v/>
      </c>
      <c r="N233" s="46" t="str">
        <f t="shared" si="32"/>
        <v/>
      </c>
      <c r="O233" s="46" t="str">
        <f t="shared" si="32"/>
        <v/>
      </c>
      <c r="P233" s="46" t="str">
        <f t="shared" si="32"/>
        <v/>
      </c>
      <c r="Q233" s="46" t="str">
        <f t="shared" si="32"/>
        <v/>
      </c>
      <c r="R233" s="46" t="str">
        <f t="shared" si="32"/>
        <v/>
      </c>
      <c r="S233" s="46" t="str">
        <f t="shared" si="32"/>
        <v/>
      </c>
      <c r="T233" s="46" t="str">
        <f t="shared" si="32"/>
        <v/>
      </c>
      <c r="U233" s="46" t="str">
        <f t="shared" si="32"/>
        <v/>
      </c>
      <c r="V233" s="46" t="str">
        <f t="shared" si="32"/>
        <v/>
      </c>
      <c r="W233" s="46" t="str">
        <f t="shared" si="32"/>
        <v/>
      </c>
      <c r="X233" s="46" t="str">
        <f t="shared" si="32"/>
        <v/>
      </c>
      <c r="Y233" s="46" t="str">
        <f t="shared" si="32"/>
        <v/>
      </c>
      <c r="Z233" s="46" t="str">
        <f t="shared" si="32"/>
        <v/>
      </c>
      <c r="AA233" s="46" t="str">
        <f t="shared" si="32"/>
        <v/>
      </c>
      <c r="AB233" s="46" t="str">
        <f t="shared" si="32"/>
        <v/>
      </c>
      <c r="AC233" s="46" t="str">
        <f t="shared" si="32"/>
        <v/>
      </c>
      <c r="AD233" s="46" t="str">
        <f t="shared" si="32"/>
        <v/>
      </c>
      <c r="AE233" s="46" t="str">
        <f t="shared" si="32"/>
        <v/>
      </c>
      <c r="AF233" s="46" t="str">
        <f t="shared" si="32"/>
        <v/>
      </c>
      <c r="AG233" s="46" t="str">
        <f t="shared" si="32"/>
        <v/>
      </c>
      <c r="AH233" s="46" t="str">
        <f t="shared" si="32"/>
        <v/>
      </c>
      <c r="AI233" s="46" t="str">
        <f t="shared" si="32"/>
        <v/>
      </c>
      <c r="AJ233" s="46" t="str">
        <f t="shared" si="32"/>
        <v/>
      </c>
      <c r="AK233" s="46" t="str">
        <f t="shared" si="32"/>
        <v/>
      </c>
      <c r="AL233" s="46" t="str">
        <f t="shared" si="32"/>
        <v/>
      </c>
      <c r="AM233" s="46" t="str">
        <f t="shared" si="32"/>
        <v/>
      </c>
      <c r="AN233" s="46" t="str">
        <f t="shared" si="32"/>
        <v/>
      </c>
      <c r="AO233" s="46" t="str">
        <f t="shared" si="32"/>
        <v/>
      </c>
      <c r="AP233" s="46" t="str">
        <f t="shared" si="32"/>
        <v/>
      </c>
      <c r="AQ233" s="46" t="str">
        <f t="shared" si="32"/>
        <v/>
      </c>
      <c r="AR233" s="46" t="str">
        <f t="shared" si="32"/>
        <v/>
      </c>
      <c r="AS233" s="46" t="str">
        <f t="shared" si="32"/>
        <v/>
      </c>
      <c r="AT233" s="46" t="str">
        <f t="shared" si="32"/>
        <v/>
      </c>
      <c r="AU233" s="46" t="str">
        <f t="shared" si="32"/>
        <v/>
      </c>
      <c r="AV233" s="46" t="str">
        <f t="shared" si="32"/>
        <v/>
      </c>
      <c r="AW233" s="46" t="str">
        <f t="shared" si="32"/>
        <v/>
      </c>
      <c r="AX233" s="46" t="str">
        <f t="shared" si="32"/>
        <v/>
      </c>
      <c r="AY233" s="46">
        <f t="shared" si="32"/>
        <v>8</v>
      </c>
      <c r="AZ233" s="46" t="str">
        <f t="shared" si="32"/>
        <v/>
      </c>
      <c r="BA233" s="46" t="str">
        <f t="shared" si="32"/>
        <v/>
      </c>
      <c r="BB233" s="46" t="str">
        <f t="shared" si="32"/>
        <v/>
      </c>
      <c r="BC233" s="46" t="str">
        <f t="shared" si="32"/>
        <v/>
      </c>
      <c r="BD233" s="46" t="str">
        <f t="shared" si="32"/>
        <v/>
      </c>
      <c r="BE233" s="46" t="str">
        <f t="shared" si="32"/>
        <v/>
      </c>
      <c r="BF233" s="46" t="str">
        <f t="shared" si="32"/>
        <v/>
      </c>
      <c r="BG233" s="46" t="str">
        <f t="shared" si="32"/>
        <v/>
      </c>
      <c r="BH233" s="46" t="str">
        <f t="shared" si="32"/>
        <v/>
      </c>
      <c r="BI233" s="46" t="str">
        <f t="shared" si="32"/>
        <v/>
      </c>
      <c r="BJ233" s="46" t="str">
        <f t="shared" si="32"/>
        <v/>
      </c>
      <c r="BK233" s="46" t="str">
        <f t="shared" si="32"/>
        <v/>
      </c>
      <c r="BL233" s="46" t="str">
        <f t="shared" si="32"/>
        <v/>
      </c>
      <c r="BM233" s="46" t="str">
        <f t="shared" si="32"/>
        <v/>
      </c>
      <c r="BN233" s="46" t="str">
        <f t="shared" si="32"/>
        <v/>
      </c>
      <c r="BO233" s="46" t="str">
        <f t="shared" si="32"/>
        <v/>
      </c>
      <c r="BP233" s="46" t="str">
        <f t="shared" si="31"/>
        <v/>
      </c>
      <c r="BQ233" s="46" t="str">
        <f t="shared" si="31"/>
        <v/>
      </c>
      <c r="BR233" s="46" t="str">
        <f t="shared" si="31"/>
        <v/>
      </c>
      <c r="BS233" s="46" t="str">
        <f t="shared" si="31"/>
        <v/>
      </c>
      <c r="BT233" s="46" t="str">
        <f t="shared" si="31"/>
        <v/>
      </c>
      <c r="BU233" s="46" t="str">
        <f t="shared" si="31"/>
        <v/>
      </c>
      <c r="BV233" s="46" t="str">
        <f t="shared" si="31"/>
        <v/>
      </c>
      <c r="BW233" s="46" t="str">
        <f t="shared" si="31"/>
        <v/>
      </c>
      <c r="BX233" s="46" t="str">
        <f t="shared" si="31"/>
        <v/>
      </c>
      <c r="BY233" s="46" t="str">
        <f t="shared" si="31"/>
        <v/>
      </c>
      <c r="BZ233" s="46" t="str">
        <f t="shared" si="31"/>
        <v/>
      </c>
      <c r="CA233" s="46" t="str">
        <f t="shared" si="31"/>
        <v/>
      </c>
      <c r="CB233" s="46" t="str">
        <f t="shared" si="31"/>
        <v/>
      </c>
      <c r="CC233" s="46" t="str">
        <f t="shared" si="31"/>
        <v/>
      </c>
      <c r="CD233" s="46" t="str">
        <f t="shared" si="31"/>
        <v/>
      </c>
      <c r="CE233" s="46" t="str">
        <f t="shared" si="31"/>
        <v/>
      </c>
      <c r="CF233" s="46" t="str">
        <f t="shared" si="31"/>
        <v/>
      </c>
      <c r="CG233" s="46" t="str">
        <f t="shared" si="31"/>
        <v/>
      </c>
      <c r="CH233" s="46" t="str">
        <f t="shared" si="31"/>
        <v/>
      </c>
      <c r="CI233" s="46" t="str">
        <f t="shared" si="31"/>
        <v/>
      </c>
      <c r="CJ233" s="46" t="str">
        <f t="shared" si="31"/>
        <v/>
      </c>
      <c r="CK233" s="46" t="str">
        <f t="shared" si="31"/>
        <v/>
      </c>
      <c r="CL233" s="46" t="str">
        <f t="shared" si="31"/>
        <v/>
      </c>
      <c r="CM233" s="46" t="str">
        <f t="shared" si="31"/>
        <v/>
      </c>
      <c r="CN233" s="46" t="str">
        <f t="shared" si="31"/>
        <v/>
      </c>
      <c r="CO233" s="46" t="str">
        <f t="shared" si="31"/>
        <v/>
      </c>
      <c r="CP233" s="46" t="str">
        <f t="shared" si="31"/>
        <v/>
      </c>
      <c r="CQ233" s="46" t="str">
        <f t="shared" si="31"/>
        <v/>
      </c>
      <c r="CR233" s="46" t="str">
        <f t="shared" si="31"/>
        <v/>
      </c>
      <c r="CS233" s="46" t="str">
        <f t="shared" si="31"/>
        <v/>
      </c>
      <c r="CT233" s="46" t="str">
        <f t="shared" si="31"/>
        <v/>
      </c>
      <c r="CU233" s="46" t="str">
        <f t="shared" si="31"/>
        <v/>
      </c>
      <c r="CV233" s="46" t="str">
        <f t="shared" si="31"/>
        <v/>
      </c>
      <c r="CW233" s="46" t="str">
        <f t="shared" si="31"/>
        <v/>
      </c>
      <c r="CX233" s="46" t="str">
        <f t="shared" si="31"/>
        <v/>
      </c>
      <c r="CY233" s="46" t="str">
        <f t="shared" si="31"/>
        <v/>
      </c>
      <c r="CZ233" s="46" t="str">
        <f t="shared" si="31"/>
        <v/>
      </c>
      <c r="DA233" s="46" t="str">
        <f t="shared" si="31"/>
        <v/>
      </c>
      <c r="DB233" s="46" t="str">
        <f t="shared" si="31"/>
        <v/>
      </c>
      <c r="DC233" s="46" t="str">
        <f t="shared" si="31"/>
        <v/>
      </c>
      <c r="DD233" s="46" t="str">
        <f t="shared" si="31"/>
        <v/>
      </c>
      <c r="DE233" s="46" t="str">
        <f t="shared" si="31"/>
        <v/>
      </c>
      <c r="DF233" s="46" t="str">
        <f t="shared" si="31"/>
        <v/>
      </c>
      <c r="DG233" s="46" t="str">
        <f t="shared" si="31"/>
        <v/>
      </c>
      <c r="DH233" s="46" t="str">
        <f t="shared" si="31"/>
        <v/>
      </c>
      <c r="DL233" s="6"/>
    </row>
    <row r="234" spans="2:116" x14ac:dyDescent="0.25">
      <c r="B234" s="46"/>
      <c r="C234" s="46" t="str">
        <f t="shared" si="15"/>
        <v/>
      </c>
      <c r="D234" s="46" t="str">
        <f t="shared" si="32"/>
        <v/>
      </c>
      <c r="E234" s="46" t="str">
        <f t="shared" si="32"/>
        <v/>
      </c>
      <c r="F234" s="46" t="str">
        <f t="shared" si="32"/>
        <v/>
      </c>
      <c r="G234" s="46" t="str">
        <f t="shared" si="32"/>
        <v/>
      </c>
      <c r="H234" s="46" t="str">
        <f t="shared" si="32"/>
        <v/>
      </c>
      <c r="I234" s="46" t="str">
        <f t="shared" si="32"/>
        <v/>
      </c>
      <c r="J234" s="46" t="str">
        <f t="shared" si="32"/>
        <v/>
      </c>
      <c r="K234" s="46" t="str">
        <f t="shared" si="32"/>
        <v/>
      </c>
      <c r="L234" s="46" t="str">
        <f t="shared" si="32"/>
        <v/>
      </c>
      <c r="M234" s="46" t="str">
        <f t="shared" si="32"/>
        <v/>
      </c>
      <c r="N234" s="46" t="str">
        <f t="shared" si="32"/>
        <v/>
      </c>
      <c r="O234" s="46" t="str">
        <f t="shared" si="32"/>
        <v/>
      </c>
      <c r="P234" s="46" t="str">
        <f t="shared" si="32"/>
        <v/>
      </c>
      <c r="Q234" s="46" t="str">
        <f t="shared" si="32"/>
        <v/>
      </c>
      <c r="R234" s="46" t="str">
        <f t="shared" si="32"/>
        <v/>
      </c>
      <c r="S234" s="46" t="str">
        <f t="shared" si="32"/>
        <v/>
      </c>
      <c r="T234" s="46" t="str">
        <f t="shared" si="32"/>
        <v/>
      </c>
      <c r="U234" s="46" t="str">
        <f t="shared" si="32"/>
        <v/>
      </c>
      <c r="V234" s="46" t="str">
        <f t="shared" si="32"/>
        <v/>
      </c>
      <c r="W234" s="46" t="str">
        <f t="shared" si="32"/>
        <v/>
      </c>
      <c r="X234" s="46" t="str">
        <f t="shared" si="32"/>
        <v/>
      </c>
      <c r="Y234" s="46" t="str">
        <f t="shared" si="32"/>
        <v/>
      </c>
      <c r="Z234" s="46" t="str">
        <f t="shared" si="32"/>
        <v/>
      </c>
      <c r="AA234" s="46" t="str">
        <f t="shared" si="32"/>
        <v/>
      </c>
      <c r="AB234" s="46" t="str">
        <f t="shared" si="32"/>
        <v/>
      </c>
      <c r="AC234" s="46" t="str">
        <f t="shared" si="32"/>
        <v/>
      </c>
      <c r="AD234" s="46" t="str">
        <f t="shared" si="32"/>
        <v/>
      </c>
      <c r="AE234" s="46" t="str">
        <f t="shared" si="32"/>
        <v/>
      </c>
      <c r="AF234" s="46" t="str">
        <f t="shared" si="32"/>
        <v/>
      </c>
      <c r="AG234" s="46" t="str">
        <f t="shared" si="32"/>
        <v/>
      </c>
      <c r="AH234" s="46" t="str">
        <f t="shared" si="32"/>
        <v/>
      </c>
      <c r="AI234" s="46" t="str">
        <f t="shared" si="32"/>
        <v/>
      </c>
      <c r="AJ234" s="46" t="str">
        <f t="shared" si="32"/>
        <v/>
      </c>
      <c r="AK234" s="46" t="str">
        <f t="shared" si="32"/>
        <v/>
      </c>
      <c r="AL234" s="46" t="str">
        <f t="shared" si="32"/>
        <v/>
      </c>
      <c r="AM234" s="46" t="str">
        <f t="shared" si="32"/>
        <v/>
      </c>
      <c r="AN234" s="46" t="str">
        <f t="shared" si="32"/>
        <v/>
      </c>
      <c r="AO234" s="46" t="str">
        <f t="shared" si="32"/>
        <v/>
      </c>
      <c r="AP234" s="46" t="str">
        <f t="shared" si="32"/>
        <v/>
      </c>
      <c r="AQ234" s="46" t="str">
        <f t="shared" si="32"/>
        <v/>
      </c>
      <c r="AR234" s="46" t="str">
        <f t="shared" si="32"/>
        <v/>
      </c>
      <c r="AS234" s="46">
        <f t="shared" si="32"/>
        <v>16</v>
      </c>
      <c r="AT234" s="46" t="str">
        <f t="shared" si="32"/>
        <v/>
      </c>
      <c r="AU234" s="46" t="str">
        <f t="shared" si="32"/>
        <v/>
      </c>
      <c r="AV234" s="46" t="str">
        <f t="shared" si="32"/>
        <v/>
      </c>
      <c r="AW234" s="46" t="str">
        <f t="shared" si="32"/>
        <v/>
      </c>
      <c r="AX234" s="46" t="str">
        <f t="shared" si="32"/>
        <v/>
      </c>
      <c r="AY234" s="46" t="str">
        <f t="shared" si="32"/>
        <v/>
      </c>
      <c r="AZ234" s="46" t="str">
        <f t="shared" si="32"/>
        <v/>
      </c>
      <c r="BA234" s="46" t="str">
        <f t="shared" si="32"/>
        <v/>
      </c>
      <c r="BB234" s="46" t="str">
        <f t="shared" si="32"/>
        <v/>
      </c>
      <c r="BC234" s="46" t="str">
        <f t="shared" si="32"/>
        <v/>
      </c>
      <c r="BD234" s="46" t="str">
        <f t="shared" si="32"/>
        <v/>
      </c>
      <c r="BE234" s="46" t="str">
        <f t="shared" si="32"/>
        <v/>
      </c>
      <c r="BF234" s="46" t="str">
        <f t="shared" si="32"/>
        <v/>
      </c>
      <c r="BG234" s="46" t="str">
        <f t="shared" si="32"/>
        <v/>
      </c>
      <c r="BH234" s="46" t="str">
        <f t="shared" si="32"/>
        <v/>
      </c>
      <c r="BI234" s="46" t="str">
        <f t="shared" si="32"/>
        <v/>
      </c>
      <c r="BJ234" s="46" t="str">
        <f t="shared" si="32"/>
        <v/>
      </c>
      <c r="BK234" s="46" t="str">
        <f t="shared" si="32"/>
        <v/>
      </c>
      <c r="BL234" s="46" t="str">
        <f t="shared" si="32"/>
        <v/>
      </c>
      <c r="BM234" s="46" t="str">
        <f t="shared" si="32"/>
        <v/>
      </c>
      <c r="BN234" s="46" t="str">
        <f t="shared" si="32"/>
        <v/>
      </c>
      <c r="BO234" s="46" t="str">
        <f t="shared" si="32"/>
        <v/>
      </c>
      <c r="BP234" s="46" t="str">
        <f t="shared" si="31"/>
        <v/>
      </c>
      <c r="BQ234" s="46" t="str">
        <f t="shared" si="31"/>
        <v/>
      </c>
      <c r="BR234" s="46" t="str">
        <f t="shared" si="31"/>
        <v/>
      </c>
      <c r="BS234" s="46" t="str">
        <f t="shared" si="31"/>
        <v/>
      </c>
      <c r="BT234" s="46" t="str">
        <f t="shared" si="31"/>
        <v/>
      </c>
      <c r="BU234" s="46" t="str">
        <f t="shared" si="31"/>
        <v/>
      </c>
      <c r="BV234" s="46" t="str">
        <f t="shared" si="31"/>
        <v/>
      </c>
      <c r="BW234" s="46" t="str">
        <f t="shared" si="31"/>
        <v/>
      </c>
      <c r="BX234" s="46" t="str">
        <f t="shared" si="31"/>
        <v/>
      </c>
      <c r="BY234" s="46" t="str">
        <f t="shared" si="31"/>
        <v/>
      </c>
      <c r="BZ234" s="46" t="str">
        <f t="shared" si="31"/>
        <v/>
      </c>
      <c r="CA234" s="46" t="str">
        <f t="shared" si="31"/>
        <v/>
      </c>
      <c r="CB234" s="46" t="str">
        <f t="shared" si="31"/>
        <v/>
      </c>
      <c r="CC234" s="46" t="str">
        <f t="shared" si="31"/>
        <v/>
      </c>
      <c r="CD234" s="46" t="str">
        <f t="shared" si="31"/>
        <v/>
      </c>
      <c r="CE234" s="46" t="str">
        <f t="shared" si="31"/>
        <v/>
      </c>
      <c r="CF234" s="46" t="str">
        <f t="shared" si="31"/>
        <v/>
      </c>
      <c r="CG234" s="46" t="str">
        <f t="shared" si="31"/>
        <v/>
      </c>
      <c r="CH234" s="46" t="str">
        <f t="shared" si="31"/>
        <v/>
      </c>
      <c r="CI234" s="46" t="str">
        <f t="shared" si="31"/>
        <v/>
      </c>
      <c r="CJ234" s="46" t="str">
        <f t="shared" si="31"/>
        <v/>
      </c>
      <c r="CK234" s="46" t="str">
        <f t="shared" si="31"/>
        <v/>
      </c>
      <c r="CL234" s="46" t="str">
        <f t="shared" si="31"/>
        <v/>
      </c>
      <c r="CM234" s="46" t="str">
        <f t="shared" si="31"/>
        <v/>
      </c>
      <c r="CN234" s="46" t="str">
        <f t="shared" si="31"/>
        <v/>
      </c>
      <c r="CO234" s="46" t="str">
        <f t="shared" si="31"/>
        <v/>
      </c>
      <c r="CP234" s="46" t="str">
        <f t="shared" si="31"/>
        <v/>
      </c>
      <c r="CQ234" s="46" t="str">
        <f t="shared" si="31"/>
        <v/>
      </c>
      <c r="CR234" s="46" t="str">
        <f t="shared" si="31"/>
        <v/>
      </c>
      <c r="CS234" s="46" t="str">
        <f t="shared" si="31"/>
        <v/>
      </c>
      <c r="CT234" s="46" t="str">
        <f t="shared" si="31"/>
        <v/>
      </c>
      <c r="CU234" s="46" t="str">
        <f t="shared" si="31"/>
        <v/>
      </c>
      <c r="CV234" s="46" t="str">
        <f t="shared" si="31"/>
        <v/>
      </c>
      <c r="CW234" s="46" t="str">
        <f t="shared" si="31"/>
        <v/>
      </c>
      <c r="CX234" s="46" t="str">
        <f t="shared" si="31"/>
        <v/>
      </c>
      <c r="CY234" s="46" t="str">
        <f t="shared" si="31"/>
        <v/>
      </c>
      <c r="CZ234" s="46" t="str">
        <f t="shared" si="31"/>
        <v/>
      </c>
      <c r="DA234" s="46" t="str">
        <f t="shared" si="31"/>
        <v/>
      </c>
      <c r="DB234" s="46" t="str">
        <f t="shared" si="31"/>
        <v/>
      </c>
      <c r="DC234" s="46" t="str">
        <f t="shared" si="31"/>
        <v/>
      </c>
      <c r="DD234" s="46" t="str">
        <f t="shared" si="31"/>
        <v/>
      </c>
      <c r="DE234" s="46" t="str">
        <f t="shared" si="31"/>
        <v/>
      </c>
      <c r="DF234" s="46" t="str">
        <f t="shared" si="31"/>
        <v/>
      </c>
      <c r="DG234" s="46" t="str">
        <f t="shared" si="31"/>
        <v/>
      </c>
      <c r="DH234" s="46" t="str">
        <f t="shared" si="31"/>
        <v/>
      </c>
      <c r="DL234" s="6"/>
    </row>
    <row r="235" spans="2:116" x14ac:dyDescent="0.25">
      <c r="B235" s="46"/>
      <c r="C235" s="46" t="str">
        <f t="shared" si="15"/>
        <v/>
      </c>
      <c r="D235" s="46" t="str">
        <f t="shared" si="32"/>
        <v/>
      </c>
      <c r="E235" s="46" t="str">
        <f t="shared" si="32"/>
        <v/>
      </c>
      <c r="F235" s="46" t="str">
        <f t="shared" si="32"/>
        <v/>
      </c>
      <c r="G235" s="46" t="str">
        <f t="shared" si="32"/>
        <v/>
      </c>
      <c r="H235" s="46" t="str">
        <f t="shared" si="32"/>
        <v/>
      </c>
      <c r="I235" s="46" t="str">
        <f t="shared" si="32"/>
        <v/>
      </c>
      <c r="J235" s="46" t="str">
        <f t="shared" si="32"/>
        <v/>
      </c>
      <c r="K235" s="46" t="str">
        <f t="shared" si="32"/>
        <v/>
      </c>
      <c r="L235" s="46" t="str">
        <f t="shared" si="32"/>
        <v/>
      </c>
      <c r="M235" s="46" t="str">
        <f t="shared" si="32"/>
        <v/>
      </c>
      <c r="N235" s="46" t="str">
        <f t="shared" si="32"/>
        <v/>
      </c>
      <c r="O235" s="46" t="str">
        <f t="shared" si="32"/>
        <v/>
      </c>
      <c r="P235" s="46" t="str">
        <f t="shared" si="32"/>
        <v/>
      </c>
      <c r="Q235" s="46" t="str">
        <f t="shared" si="32"/>
        <v/>
      </c>
      <c r="R235" s="46" t="str">
        <f t="shared" si="32"/>
        <v/>
      </c>
      <c r="S235" s="46" t="str">
        <f t="shared" si="32"/>
        <v/>
      </c>
      <c r="T235" s="46" t="str">
        <f t="shared" si="32"/>
        <v/>
      </c>
      <c r="U235" s="46" t="str">
        <f t="shared" si="32"/>
        <v/>
      </c>
      <c r="V235" s="46" t="str">
        <f t="shared" si="32"/>
        <v/>
      </c>
      <c r="W235" s="46" t="str">
        <f t="shared" si="32"/>
        <v/>
      </c>
      <c r="X235" s="46" t="str">
        <f t="shared" si="32"/>
        <v/>
      </c>
      <c r="Y235" s="46" t="str">
        <f t="shared" si="32"/>
        <v/>
      </c>
      <c r="Z235" s="46" t="str">
        <f t="shared" si="32"/>
        <v/>
      </c>
      <c r="AA235" s="46" t="str">
        <f t="shared" si="32"/>
        <v/>
      </c>
      <c r="AB235" s="46" t="str">
        <f t="shared" si="32"/>
        <v/>
      </c>
      <c r="AC235" s="46" t="str">
        <f t="shared" si="32"/>
        <v/>
      </c>
      <c r="AD235" s="46" t="str">
        <f t="shared" si="32"/>
        <v/>
      </c>
      <c r="AE235" s="46" t="str">
        <f t="shared" si="32"/>
        <v/>
      </c>
      <c r="AF235" s="46" t="str">
        <f t="shared" si="32"/>
        <v/>
      </c>
      <c r="AG235" s="46" t="str">
        <f t="shared" si="32"/>
        <v/>
      </c>
      <c r="AH235" s="46" t="str">
        <f t="shared" si="32"/>
        <v/>
      </c>
      <c r="AI235" s="46" t="str">
        <f t="shared" si="32"/>
        <v/>
      </c>
      <c r="AJ235" s="46" t="str">
        <f t="shared" si="32"/>
        <v/>
      </c>
      <c r="AK235" s="46" t="str">
        <f t="shared" si="32"/>
        <v/>
      </c>
      <c r="AL235" s="46" t="str">
        <f t="shared" si="32"/>
        <v/>
      </c>
      <c r="AM235" s="46" t="str">
        <f t="shared" si="32"/>
        <v/>
      </c>
      <c r="AN235" s="46" t="str">
        <f t="shared" si="32"/>
        <v/>
      </c>
      <c r="AO235" s="46" t="str">
        <f t="shared" si="32"/>
        <v/>
      </c>
      <c r="AP235" s="46" t="str">
        <f t="shared" si="32"/>
        <v/>
      </c>
      <c r="AQ235" s="46" t="str">
        <f t="shared" si="32"/>
        <v/>
      </c>
      <c r="AR235" s="46" t="str">
        <f t="shared" si="32"/>
        <v/>
      </c>
      <c r="AS235" s="46" t="str">
        <f t="shared" si="32"/>
        <v/>
      </c>
      <c r="AT235" s="46" t="str">
        <f t="shared" si="32"/>
        <v/>
      </c>
      <c r="AU235" s="46">
        <f t="shared" si="32"/>
        <v>16</v>
      </c>
      <c r="AV235" s="46" t="str">
        <f t="shared" si="32"/>
        <v/>
      </c>
      <c r="AW235" s="46" t="str">
        <f t="shared" si="32"/>
        <v/>
      </c>
      <c r="AX235" s="46" t="str">
        <f t="shared" si="32"/>
        <v/>
      </c>
      <c r="AY235" s="46" t="str">
        <f t="shared" si="32"/>
        <v/>
      </c>
      <c r="AZ235" s="46" t="str">
        <f t="shared" si="32"/>
        <v/>
      </c>
      <c r="BA235" s="46" t="str">
        <f t="shared" si="32"/>
        <v/>
      </c>
      <c r="BB235" s="46" t="str">
        <f t="shared" si="32"/>
        <v/>
      </c>
      <c r="BC235" s="46" t="str">
        <f t="shared" si="32"/>
        <v/>
      </c>
      <c r="BD235" s="46" t="str">
        <f t="shared" si="32"/>
        <v/>
      </c>
      <c r="BE235" s="46" t="str">
        <f t="shared" si="32"/>
        <v/>
      </c>
      <c r="BF235" s="46" t="str">
        <f t="shared" si="32"/>
        <v/>
      </c>
      <c r="BG235" s="46" t="str">
        <f t="shared" si="32"/>
        <v/>
      </c>
      <c r="BH235" s="46" t="str">
        <f t="shared" si="32"/>
        <v/>
      </c>
      <c r="BI235" s="46" t="str">
        <f t="shared" si="32"/>
        <v/>
      </c>
      <c r="BJ235" s="46" t="str">
        <f t="shared" si="32"/>
        <v/>
      </c>
      <c r="BK235" s="46" t="str">
        <f t="shared" si="32"/>
        <v/>
      </c>
      <c r="BL235" s="46" t="str">
        <f t="shared" si="32"/>
        <v/>
      </c>
      <c r="BM235" s="46" t="str">
        <f t="shared" si="32"/>
        <v/>
      </c>
      <c r="BN235" s="46" t="str">
        <f t="shared" si="32"/>
        <v/>
      </c>
      <c r="BO235" s="46" t="str">
        <f t="shared" si="32"/>
        <v/>
      </c>
      <c r="BP235" s="46" t="str">
        <f t="shared" si="31"/>
        <v/>
      </c>
      <c r="BQ235" s="46" t="str">
        <f t="shared" si="31"/>
        <v/>
      </c>
      <c r="BR235" s="46" t="str">
        <f t="shared" si="31"/>
        <v/>
      </c>
      <c r="BS235" s="46" t="str">
        <f t="shared" si="31"/>
        <v/>
      </c>
      <c r="BT235" s="46" t="str">
        <f t="shared" si="31"/>
        <v/>
      </c>
      <c r="BU235" s="46" t="str">
        <f t="shared" si="31"/>
        <v/>
      </c>
      <c r="BV235" s="46" t="str">
        <f t="shared" si="31"/>
        <v/>
      </c>
      <c r="BW235" s="46" t="str">
        <f t="shared" si="31"/>
        <v/>
      </c>
      <c r="BX235" s="46" t="str">
        <f t="shared" si="31"/>
        <v/>
      </c>
      <c r="BY235" s="46" t="str">
        <f t="shared" si="31"/>
        <v/>
      </c>
      <c r="BZ235" s="46" t="str">
        <f t="shared" si="31"/>
        <v/>
      </c>
      <c r="CA235" s="46" t="str">
        <f t="shared" si="31"/>
        <v/>
      </c>
      <c r="CB235" s="46" t="str">
        <f t="shared" si="31"/>
        <v/>
      </c>
      <c r="CC235" s="46" t="str">
        <f t="shared" si="31"/>
        <v/>
      </c>
      <c r="CD235" s="46" t="str">
        <f t="shared" si="31"/>
        <v/>
      </c>
      <c r="CE235" s="46" t="str">
        <f t="shared" si="31"/>
        <v/>
      </c>
      <c r="CF235" s="46" t="str">
        <f t="shared" si="31"/>
        <v/>
      </c>
      <c r="CG235" s="46" t="str">
        <f t="shared" si="31"/>
        <v/>
      </c>
      <c r="CH235" s="46" t="str">
        <f t="shared" si="31"/>
        <v/>
      </c>
      <c r="CI235" s="46" t="str">
        <f t="shared" si="31"/>
        <v/>
      </c>
      <c r="CJ235" s="46" t="str">
        <f t="shared" si="31"/>
        <v/>
      </c>
      <c r="CK235" s="46" t="str">
        <f t="shared" si="31"/>
        <v/>
      </c>
      <c r="CL235" s="46" t="str">
        <f t="shared" si="31"/>
        <v/>
      </c>
      <c r="CM235" s="46" t="str">
        <f t="shared" si="31"/>
        <v/>
      </c>
      <c r="CN235" s="46" t="str">
        <f t="shared" si="31"/>
        <v/>
      </c>
      <c r="CO235" s="46" t="str">
        <f t="shared" si="31"/>
        <v/>
      </c>
      <c r="CP235" s="46" t="str">
        <f t="shared" si="31"/>
        <v/>
      </c>
      <c r="CQ235" s="46" t="str">
        <f t="shared" si="31"/>
        <v/>
      </c>
      <c r="CR235" s="46" t="str">
        <f t="shared" si="31"/>
        <v/>
      </c>
      <c r="CS235" s="46" t="str">
        <f t="shared" si="31"/>
        <v/>
      </c>
      <c r="CT235" s="46" t="str">
        <f t="shared" si="31"/>
        <v/>
      </c>
      <c r="CU235" s="46" t="str">
        <f t="shared" si="31"/>
        <v/>
      </c>
      <c r="CV235" s="46" t="str">
        <f t="shared" si="31"/>
        <v/>
      </c>
      <c r="CW235" s="46" t="str">
        <f t="shared" si="31"/>
        <v/>
      </c>
      <c r="CX235" s="46" t="str">
        <f t="shared" si="31"/>
        <v/>
      </c>
      <c r="CY235" s="46" t="str">
        <f t="shared" si="31"/>
        <v/>
      </c>
      <c r="CZ235" s="46" t="str">
        <f t="shared" si="31"/>
        <v/>
      </c>
      <c r="DA235" s="46" t="str">
        <f t="shared" si="31"/>
        <v/>
      </c>
      <c r="DB235" s="46" t="str">
        <f t="shared" si="31"/>
        <v/>
      </c>
      <c r="DC235" s="46" t="str">
        <f t="shared" si="31"/>
        <v/>
      </c>
      <c r="DD235" s="46" t="str">
        <f t="shared" si="31"/>
        <v/>
      </c>
      <c r="DE235" s="46" t="str">
        <f t="shared" si="31"/>
        <v/>
      </c>
      <c r="DF235" s="46" t="str">
        <f t="shared" si="31"/>
        <v/>
      </c>
      <c r="DG235" s="46" t="str">
        <f t="shared" si="31"/>
        <v/>
      </c>
      <c r="DH235" s="46" t="str">
        <f t="shared" si="31"/>
        <v/>
      </c>
      <c r="DL235" s="6"/>
    </row>
    <row r="236" spans="2:116" x14ac:dyDescent="0.25">
      <c r="B236" s="46"/>
      <c r="C236" s="46" t="str">
        <f t="shared" si="15"/>
        <v/>
      </c>
      <c r="D236" s="46" t="str">
        <f t="shared" si="32"/>
        <v/>
      </c>
      <c r="E236" s="46" t="str">
        <f t="shared" si="32"/>
        <v/>
      </c>
      <c r="F236" s="46" t="str">
        <f t="shared" si="32"/>
        <v/>
      </c>
      <c r="G236" s="46" t="str">
        <f t="shared" si="32"/>
        <v/>
      </c>
      <c r="H236" s="46" t="str">
        <f t="shared" si="32"/>
        <v/>
      </c>
      <c r="I236" s="46" t="str">
        <f t="shared" si="32"/>
        <v/>
      </c>
      <c r="J236" s="46" t="str">
        <f t="shared" si="32"/>
        <v/>
      </c>
      <c r="K236" s="46" t="str">
        <f t="shared" si="32"/>
        <v/>
      </c>
      <c r="L236" s="46" t="str">
        <f t="shared" si="32"/>
        <v/>
      </c>
      <c r="M236" s="46" t="str">
        <f t="shared" si="32"/>
        <v/>
      </c>
      <c r="N236" s="46" t="str">
        <f t="shared" si="32"/>
        <v/>
      </c>
      <c r="O236" s="46" t="str">
        <f t="shared" si="32"/>
        <v/>
      </c>
      <c r="P236" s="46" t="str">
        <f t="shared" si="32"/>
        <v/>
      </c>
      <c r="Q236" s="46" t="str">
        <f t="shared" si="32"/>
        <v/>
      </c>
      <c r="R236" s="46" t="str">
        <f t="shared" si="32"/>
        <v/>
      </c>
      <c r="S236" s="46" t="str">
        <f t="shared" si="32"/>
        <v/>
      </c>
      <c r="T236" s="46" t="str">
        <f t="shared" si="32"/>
        <v/>
      </c>
      <c r="U236" s="46" t="str">
        <f t="shared" si="32"/>
        <v/>
      </c>
      <c r="V236" s="46" t="str">
        <f t="shared" si="32"/>
        <v/>
      </c>
      <c r="W236" s="46" t="str">
        <f t="shared" si="32"/>
        <v/>
      </c>
      <c r="X236" s="46" t="str">
        <f t="shared" si="32"/>
        <v/>
      </c>
      <c r="Y236" s="46" t="str">
        <f t="shared" si="32"/>
        <v/>
      </c>
      <c r="Z236" s="46" t="str">
        <f t="shared" si="32"/>
        <v/>
      </c>
      <c r="AA236" s="46" t="str">
        <f t="shared" si="32"/>
        <v/>
      </c>
      <c r="AB236" s="46" t="str">
        <f t="shared" si="32"/>
        <v/>
      </c>
      <c r="AC236" s="46" t="str">
        <f t="shared" si="32"/>
        <v/>
      </c>
      <c r="AD236" s="46" t="str">
        <f t="shared" si="32"/>
        <v/>
      </c>
      <c r="AE236" s="46" t="str">
        <f t="shared" si="32"/>
        <v/>
      </c>
      <c r="AF236" s="46" t="str">
        <f t="shared" si="32"/>
        <v/>
      </c>
      <c r="AG236" s="46" t="str">
        <f t="shared" si="32"/>
        <v/>
      </c>
      <c r="AH236" s="46" t="str">
        <f t="shared" si="32"/>
        <v/>
      </c>
      <c r="AI236" s="46" t="str">
        <f t="shared" si="32"/>
        <v/>
      </c>
      <c r="AJ236" s="46" t="str">
        <f t="shared" si="32"/>
        <v/>
      </c>
      <c r="AK236" s="46" t="str">
        <f t="shared" si="32"/>
        <v/>
      </c>
      <c r="AL236" s="46" t="str">
        <f t="shared" si="32"/>
        <v/>
      </c>
      <c r="AM236" s="46" t="str">
        <f t="shared" si="32"/>
        <v/>
      </c>
      <c r="AN236" s="46" t="str">
        <f t="shared" si="32"/>
        <v/>
      </c>
      <c r="AO236" s="46">
        <f t="shared" si="32"/>
        <v>32</v>
      </c>
      <c r="AP236" s="46" t="str">
        <f t="shared" si="32"/>
        <v/>
      </c>
      <c r="AQ236" s="46" t="str">
        <f t="shared" si="32"/>
        <v/>
      </c>
      <c r="AR236" s="46" t="str">
        <f t="shared" si="32"/>
        <v/>
      </c>
      <c r="AS236" s="46">
        <f t="shared" si="32"/>
        <v>32</v>
      </c>
      <c r="AT236" s="46" t="str">
        <f t="shared" si="32"/>
        <v/>
      </c>
      <c r="AU236" s="46" t="str">
        <f t="shared" si="32"/>
        <v/>
      </c>
      <c r="AV236" s="46" t="str">
        <f t="shared" si="32"/>
        <v/>
      </c>
      <c r="AW236" s="46">
        <f t="shared" si="32"/>
        <v>32</v>
      </c>
      <c r="AX236" s="46" t="str">
        <f t="shared" si="32"/>
        <v/>
      </c>
      <c r="AY236" s="46" t="str">
        <f t="shared" si="32"/>
        <v/>
      </c>
      <c r="AZ236" s="46" t="str">
        <f t="shared" si="32"/>
        <v/>
      </c>
      <c r="BA236" s="46" t="str">
        <f t="shared" si="32"/>
        <v/>
      </c>
      <c r="BB236" s="46" t="str">
        <f t="shared" si="32"/>
        <v/>
      </c>
      <c r="BC236" s="46" t="str">
        <f t="shared" si="32"/>
        <v/>
      </c>
      <c r="BD236" s="46" t="str">
        <f t="shared" si="32"/>
        <v/>
      </c>
      <c r="BE236" s="46" t="str">
        <f t="shared" si="32"/>
        <v/>
      </c>
      <c r="BF236" s="46" t="str">
        <f t="shared" si="32"/>
        <v/>
      </c>
      <c r="BG236" s="46" t="str">
        <f t="shared" si="32"/>
        <v/>
      </c>
      <c r="BH236" s="46" t="str">
        <f t="shared" si="32"/>
        <v/>
      </c>
      <c r="BI236" s="46" t="str">
        <f t="shared" si="32"/>
        <v/>
      </c>
      <c r="BJ236" s="46" t="str">
        <f t="shared" si="32"/>
        <v/>
      </c>
      <c r="BK236" s="46" t="str">
        <f t="shared" si="32"/>
        <v/>
      </c>
      <c r="BL236" s="46" t="str">
        <f t="shared" si="32"/>
        <v/>
      </c>
      <c r="BM236" s="46" t="str">
        <f t="shared" si="32"/>
        <v/>
      </c>
      <c r="BN236" s="46" t="str">
        <f t="shared" si="32"/>
        <v/>
      </c>
      <c r="BO236" s="46" t="str">
        <f t="shared" ref="BO236:DH239" si="33">IF(BO46="X",$DK46,"")</f>
        <v/>
      </c>
      <c r="BP236" s="46" t="str">
        <f t="shared" si="33"/>
        <v/>
      </c>
      <c r="BQ236" s="46" t="str">
        <f t="shared" si="33"/>
        <v/>
      </c>
      <c r="BR236" s="46" t="str">
        <f t="shared" si="33"/>
        <v/>
      </c>
      <c r="BS236" s="46" t="str">
        <f t="shared" si="33"/>
        <v/>
      </c>
      <c r="BT236" s="46" t="str">
        <f t="shared" si="33"/>
        <v/>
      </c>
      <c r="BU236" s="46" t="str">
        <f t="shared" si="33"/>
        <v/>
      </c>
      <c r="BV236" s="46" t="str">
        <f t="shared" si="33"/>
        <v/>
      </c>
      <c r="BW236" s="46" t="str">
        <f t="shared" si="33"/>
        <v/>
      </c>
      <c r="BX236" s="46" t="str">
        <f t="shared" si="33"/>
        <v/>
      </c>
      <c r="BY236" s="46" t="str">
        <f t="shared" si="33"/>
        <v/>
      </c>
      <c r="BZ236" s="46" t="str">
        <f t="shared" si="33"/>
        <v/>
      </c>
      <c r="CA236" s="46" t="str">
        <f t="shared" si="33"/>
        <v/>
      </c>
      <c r="CB236" s="46" t="str">
        <f t="shared" si="33"/>
        <v/>
      </c>
      <c r="CC236" s="46" t="str">
        <f t="shared" si="33"/>
        <v/>
      </c>
      <c r="CD236" s="46" t="str">
        <f t="shared" si="33"/>
        <v/>
      </c>
      <c r="CE236" s="46" t="str">
        <f t="shared" si="33"/>
        <v/>
      </c>
      <c r="CF236" s="46" t="str">
        <f t="shared" si="33"/>
        <v/>
      </c>
      <c r="CG236" s="46" t="str">
        <f t="shared" si="33"/>
        <v/>
      </c>
      <c r="CH236" s="46" t="str">
        <f t="shared" si="33"/>
        <v/>
      </c>
      <c r="CI236" s="46" t="str">
        <f t="shared" si="33"/>
        <v/>
      </c>
      <c r="CJ236" s="46" t="str">
        <f t="shared" si="33"/>
        <v/>
      </c>
      <c r="CK236" s="46" t="str">
        <f t="shared" si="33"/>
        <v/>
      </c>
      <c r="CL236" s="46" t="str">
        <f t="shared" si="33"/>
        <v/>
      </c>
      <c r="CM236" s="46" t="str">
        <f t="shared" si="33"/>
        <v/>
      </c>
      <c r="CN236" s="46" t="str">
        <f t="shared" si="33"/>
        <v/>
      </c>
      <c r="CO236" s="46" t="str">
        <f t="shared" si="33"/>
        <v/>
      </c>
      <c r="CP236" s="46" t="str">
        <f t="shared" si="33"/>
        <v/>
      </c>
      <c r="CQ236" s="46" t="str">
        <f t="shared" si="33"/>
        <v/>
      </c>
      <c r="CR236" s="46" t="str">
        <f t="shared" si="33"/>
        <v/>
      </c>
      <c r="CS236" s="46" t="str">
        <f t="shared" si="33"/>
        <v/>
      </c>
      <c r="CT236" s="46" t="str">
        <f t="shared" si="33"/>
        <v/>
      </c>
      <c r="CU236" s="46" t="str">
        <f t="shared" si="33"/>
        <v/>
      </c>
      <c r="CV236" s="46" t="str">
        <f t="shared" si="33"/>
        <v/>
      </c>
      <c r="CW236" s="46" t="str">
        <f t="shared" si="33"/>
        <v/>
      </c>
      <c r="CX236" s="46" t="str">
        <f t="shared" si="33"/>
        <v/>
      </c>
      <c r="CY236" s="46" t="str">
        <f t="shared" si="33"/>
        <v/>
      </c>
      <c r="CZ236" s="46" t="str">
        <f t="shared" si="33"/>
        <v/>
      </c>
      <c r="DA236" s="46" t="str">
        <f t="shared" si="33"/>
        <v/>
      </c>
      <c r="DB236" s="46" t="str">
        <f t="shared" si="33"/>
        <v/>
      </c>
      <c r="DC236" s="46" t="str">
        <f t="shared" si="33"/>
        <v/>
      </c>
      <c r="DD236" s="46" t="str">
        <f t="shared" si="33"/>
        <v/>
      </c>
      <c r="DE236" s="46" t="str">
        <f t="shared" si="33"/>
        <v/>
      </c>
      <c r="DF236" s="46" t="str">
        <f t="shared" si="33"/>
        <v/>
      </c>
      <c r="DG236" s="46" t="str">
        <f t="shared" si="33"/>
        <v/>
      </c>
      <c r="DH236" s="46" t="str">
        <f t="shared" si="33"/>
        <v/>
      </c>
      <c r="DL236" s="6"/>
    </row>
    <row r="237" spans="2:116" x14ac:dyDescent="0.25">
      <c r="B237" s="46"/>
      <c r="C237" s="46" t="str">
        <f t="shared" si="15"/>
        <v/>
      </c>
      <c r="D237" s="46" t="str">
        <f t="shared" ref="D237:BO240" si="34">IF(D47="X",$DK47,"")</f>
        <v/>
      </c>
      <c r="E237" s="46" t="str">
        <f t="shared" si="34"/>
        <v/>
      </c>
      <c r="F237" s="46" t="str">
        <f t="shared" si="34"/>
        <v/>
      </c>
      <c r="G237" s="46" t="str">
        <f t="shared" si="34"/>
        <v/>
      </c>
      <c r="H237" s="46" t="str">
        <f t="shared" si="34"/>
        <v/>
      </c>
      <c r="I237" s="46" t="str">
        <f t="shared" si="34"/>
        <v/>
      </c>
      <c r="J237" s="46" t="str">
        <f t="shared" si="34"/>
        <v/>
      </c>
      <c r="K237" s="46" t="str">
        <f t="shared" si="34"/>
        <v/>
      </c>
      <c r="L237" s="46" t="str">
        <f t="shared" si="34"/>
        <v/>
      </c>
      <c r="M237" s="46" t="str">
        <f t="shared" si="34"/>
        <v/>
      </c>
      <c r="N237" s="46" t="str">
        <f t="shared" si="34"/>
        <v/>
      </c>
      <c r="O237" s="46" t="str">
        <f t="shared" si="34"/>
        <v/>
      </c>
      <c r="P237" s="46" t="str">
        <f t="shared" si="34"/>
        <v/>
      </c>
      <c r="Q237" s="46" t="str">
        <f t="shared" si="34"/>
        <v/>
      </c>
      <c r="R237" s="46" t="str">
        <f t="shared" si="34"/>
        <v/>
      </c>
      <c r="S237" s="46" t="str">
        <f t="shared" si="34"/>
        <v/>
      </c>
      <c r="T237" s="46" t="str">
        <f t="shared" si="34"/>
        <v/>
      </c>
      <c r="U237" s="46" t="str">
        <f t="shared" si="34"/>
        <v/>
      </c>
      <c r="V237" s="46" t="str">
        <f t="shared" si="34"/>
        <v/>
      </c>
      <c r="W237" s="46" t="str">
        <f t="shared" si="34"/>
        <v/>
      </c>
      <c r="X237" s="46" t="str">
        <f t="shared" si="34"/>
        <v/>
      </c>
      <c r="Y237" s="46" t="str">
        <f t="shared" si="34"/>
        <v/>
      </c>
      <c r="Z237" s="46" t="str">
        <f t="shared" si="34"/>
        <v/>
      </c>
      <c r="AA237" s="46" t="str">
        <f t="shared" si="34"/>
        <v/>
      </c>
      <c r="AB237" s="46" t="str">
        <f t="shared" si="34"/>
        <v/>
      </c>
      <c r="AC237" s="46" t="str">
        <f t="shared" si="34"/>
        <v/>
      </c>
      <c r="AD237" s="46" t="str">
        <f t="shared" si="34"/>
        <v/>
      </c>
      <c r="AE237" s="46" t="str">
        <f t="shared" si="34"/>
        <v/>
      </c>
      <c r="AF237" s="46" t="str">
        <f t="shared" si="34"/>
        <v/>
      </c>
      <c r="AG237" s="46" t="str">
        <f t="shared" si="34"/>
        <v/>
      </c>
      <c r="AH237" s="46" t="str">
        <f t="shared" si="34"/>
        <v/>
      </c>
      <c r="AI237" s="46" t="str">
        <f t="shared" si="34"/>
        <v/>
      </c>
      <c r="AJ237" s="46" t="str">
        <f t="shared" si="34"/>
        <v/>
      </c>
      <c r="AK237" s="46" t="str">
        <f t="shared" si="34"/>
        <v/>
      </c>
      <c r="AL237" s="46" t="str">
        <f t="shared" si="34"/>
        <v/>
      </c>
      <c r="AM237" s="46" t="str">
        <f t="shared" si="34"/>
        <v/>
      </c>
      <c r="AN237" s="46" t="str">
        <f t="shared" si="34"/>
        <v/>
      </c>
      <c r="AO237" s="46" t="str">
        <f t="shared" si="34"/>
        <v/>
      </c>
      <c r="AP237" s="46" t="str">
        <f t="shared" si="34"/>
        <v/>
      </c>
      <c r="AQ237" s="46" t="str">
        <f t="shared" si="34"/>
        <v/>
      </c>
      <c r="AR237" s="46" t="str">
        <f t="shared" si="34"/>
        <v/>
      </c>
      <c r="AS237" s="46" t="str">
        <f t="shared" si="34"/>
        <v/>
      </c>
      <c r="AT237" s="46" t="str">
        <f t="shared" si="34"/>
        <v/>
      </c>
      <c r="AU237" s="46" t="str">
        <f t="shared" si="34"/>
        <v/>
      </c>
      <c r="AV237" s="46" t="str">
        <f t="shared" si="34"/>
        <v/>
      </c>
      <c r="AW237" s="46" t="str">
        <f t="shared" si="34"/>
        <v/>
      </c>
      <c r="AX237" s="46" t="str">
        <f t="shared" si="34"/>
        <v/>
      </c>
      <c r="AY237" s="46" t="str">
        <f t="shared" si="34"/>
        <v/>
      </c>
      <c r="AZ237" s="46" t="str">
        <f t="shared" si="34"/>
        <v/>
      </c>
      <c r="BA237" s="46" t="str">
        <f t="shared" si="34"/>
        <v/>
      </c>
      <c r="BB237" s="46" t="str">
        <f t="shared" si="34"/>
        <v/>
      </c>
      <c r="BC237" s="46" t="str">
        <f t="shared" si="34"/>
        <v/>
      </c>
      <c r="BD237" s="46" t="str">
        <f t="shared" si="34"/>
        <v/>
      </c>
      <c r="BE237" s="46" t="str">
        <f t="shared" si="34"/>
        <v/>
      </c>
      <c r="BF237" s="46" t="str">
        <f t="shared" si="34"/>
        <v/>
      </c>
      <c r="BG237" s="46" t="str">
        <f t="shared" si="34"/>
        <v/>
      </c>
      <c r="BH237" s="46" t="str">
        <f t="shared" si="34"/>
        <v/>
      </c>
      <c r="BI237" s="46" t="str">
        <f t="shared" si="34"/>
        <v/>
      </c>
      <c r="BJ237" s="46" t="str">
        <f t="shared" si="34"/>
        <v/>
      </c>
      <c r="BK237" s="46" t="str">
        <f t="shared" si="34"/>
        <v/>
      </c>
      <c r="BL237" s="46" t="str">
        <f t="shared" si="34"/>
        <v/>
      </c>
      <c r="BM237" s="46" t="str">
        <f t="shared" si="34"/>
        <v/>
      </c>
      <c r="BN237" s="46" t="str">
        <f t="shared" si="34"/>
        <v/>
      </c>
      <c r="BO237" s="46" t="str">
        <f t="shared" si="34"/>
        <v/>
      </c>
      <c r="BP237" s="46" t="str">
        <f t="shared" si="33"/>
        <v/>
      </c>
      <c r="BQ237" s="46" t="str">
        <f t="shared" si="33"/>
        <v/>
      </c>
      <c r="BR237" s="46" t="str">
        <f t="shared" si="33"/>
        <v/>
      </c>
      <c r="BS237" s="46" t="str">
        <f t="shared" si="33"/>
        <v/>
      </c>
      <c r="BT237" s="46" t="str">
        <f t="shared" si="33"/>
        <v/>
      </c>
      <c r="BU237" s="46" t="str">
        <f t="shared" si="33"/>
        <v/>
      </c>
      <c r="BV237" s="46" t="str">
        <f t="shared" si="33"/>
        <v/>
      </c>
      <c r="BW237" s="46" t="str">
        <f t="shared" si="33"/>
        <v/>
      </c>
      <c r="BX237" s="46" t="str">
        <f t="shared" si="33"/>
        <v/>
      </c>
      <c r="BY237" s="46" t="str">
        <f t="shared" si="33"/>
        <v/>
      </c>
      <c r="BZ237" s="46" t="str">
        <f t="shared" si="33"/>
        <v/>
      </c>
      <c r="CA237" s="46" t="str">
        <f t="shared" si="33"/>
        <v/>
      </c>
      <c r="CB237" s="46" t="str">
        <f t="shared" si="33"/>
        <v/>
      </c>
      <c r="CC237" s="46" t="str">
        <f t="shared" si="33"/>
        <v/>
      </c>
      <c r="CD237" s="46" t="str">
        <f t="shared" si="33"/>
        <v/>
      </c>
      <c r="CE237" s="46" t="str">
        <f t="shared" si="33"/>
        <v/>
      </c>
      <c r="CF237" s="46" t="str">
        <f t="shared" si="33"/>
        <v/>
      </c>
      <c r="CG237" s="46" t="str">
        <f t="shared" si="33"/>
        <v/>
      </c>
      <c r="CH237" s="46" t="str">
        <f t="shared" si="33"/>
        <v/>
      </c>
      <c r="CI237" s="46" t="str">
        <f t="shared" si="33"/>
        <v/>
      </c>
      <c r="CJ237" s="46" t="str">
        <f t="shared" si="33"/>
        <v/>
      </c>
      <c r="CK237" s="46" t="str">
        <f t="shared" si="33"/>
        <v/>
      </c>
      <c r="CL237" s="46" t="str">
        <f t="shared" si="33"/>
        <v/>
      </c>
      <c r="CM237" s="46">
        <f t="shared" si="33"/>
        <v>32</v>
      </c>
      <c r="CN237" s="46" t="str">
        <f t="shared" si="33"/>
        <v/>
      </c>
      <c r="CO237" s="46" t="str">
        <f t="shared" si="33"/>
        <v/>
      </c>
      <c r="CP237" s="46" t="str">
        <f t="shared" si="33"/>
        <v/>
      </c>
      <c r="CQ237" s="46" t="str">
        <f t="shared" si="33"/>
        <v/>
      </c>
      <c r="CR237" s="46" t="str">
        <f t="shared" si="33"/>
        <v/>
      </c>
      <c r="CS237" s="46" t="str">
        <f t="shared" si="33"/>
        <v/>
      </c>
      <c r="CT237" s="46" t="str">
        <f t="shared" si="33"/>
        <v/>
      </c>
      <c r="CU237" s="46" t="str">
        <f t="shared" si="33"/>
        <v/>
      </c>
      <c r="CV237" s="46" t="str">
        <f t="shared" si="33"/>
        <v/>
      </c>
      <c r="CW237" s="46" t="str">
        <f t="shared" si="33"/>
        <v/>
      </c>
      <c r="CX237" s="46" t="str">
        <f t="shared" si="33"/>
        <v/>
      </c>
      <c r="CY237" s="46" t="str">
        <f t="shared" si="33"/>
        <v/>
      </c>
      <c r="CZ237" s="46" t="str">
        <f t="shared" si="33"/>
        <v/>
      </c>
      <c r="DA237" s="46" t="str">
        <f t="shared" si="33"/>
        <v/>
      </c>
      <c r="DB237" s="46" t="str">
        <f t="shared" si="33"/>
        <v/>
      </c>
      <c r="DC237" s="46" t="str">
        <f t="shared" si="33"/>
        <v/>
      </c>
      <c r="DD237" s="46" t="str">
        <f t="shared" si="33"/>
        <v/>
      </c>
      <c r="DE237" s="46" t="str">
        <f t="shared" si="33"/>
        <v/>
      </c>
      <c r="DF237" s="46" t="str">
        <f t="shared" si="33"/>
        <v/>
      </c>
      <c r="DG237" s="46" t="str">
        <f t="shared" si="33"/>
        <v/>
      </c>
      <c r="DH237" s="46" t="str">
        <f t="shared" si="33"/>
        <v/>
      </c>
      <c r="DL237" s="6"/>
    </row>
    <row r="238" spans="2:116" x14ac:dyDescent="0.25">
      <c r="B238" s="46"/>
      <c r="C238" s="46" t="str">
        <f t="shared" si="15"/>
        <v/>
      </c>
      <c r="D238" s="46" t="str">
        <f t="shared" si="34"/>
        <v/>
      </c>
      <c r="E238" s="46" t="str">
        <f t="shared" si="34"/>
        <v/>
      </c>
      <c r="F238" s="46" t="str">
        <f t="shared" si="34"/>
        <v/>
      </c>
      <c r="G238" s="46" t="str">
        <f t="shared" si="34"/>
        <v/>
      </c>
      <c r="H238" s="46" t="str">
        <f t="shared" si="34"/>
        <v/>
      </c>
      <c r="I238" s="46" t="str">
        <f t="shared" si="34"/>
        <v/>
      </c>
      <c r="J238" s="46" t="str">
        <f t="shared" si="34"/>
        <v/>
      </c>
      <c r="K238" s="46" t="str">
        <f t="shared" si="34"/>
        <v/>
      </c>
      <c r="L238" s="46" t="str">
        <f t="shared" si="34"/>
        <v/>
      </c>
      <c r="M238" s="46" t="str">
        <f t="shared" si="34"/>
        <v/>
      </c>
      <c r="N238" s="46" t="str">
        <f t="shared" si="34"/>
        <v/>
      </c>
      <c r="O238" s="46" t="str">
        <f t="shared" si="34"/>
        <v/>
      </c>
      <c r="P238" s="46" t="str">
        <f t="shared" si="34"/>
        <v/>
      </c>
      <c r="Q238" s="46" t="str">
        <f t="shared" si="34"/>
        <v/>
      </c>
      <c r="R238" s="46" t="str">
        <f t="shared" si="34"/>
        <v/>
      </c>
      <c r="S238" s="46" t="str">
        <f t="shared" si="34"/>
        <v/>
      </c>
      <c r="T238" s="46" t="str">
        <f t="shared" si="34"/>
        <v/>
      </c>
      <c r="U238" s="46" t="str">
        <f t="shared" si="34"/>
        <v/>
      </c>
      <c r="V238" s="46" t="str">
        <f t="shared" si="34"/>
        <v/>
      </c>
      <c r="W238" s="46" t="str">
        <f t="shared" si="34"/>
        <v/>
      </c>
      <c r="X238" s="46" t="str">
        <f t="shared" si="34"/>
        <v/>
      </c>
      <c r="Y238" s="46" t="str">
        <f t="shared" si="34"/>
        <v/>
      </c>
      <c r="Z238" s="46" t="str">
        <f t="shared" si="34"/>
        <v/>
      </c>
      <c r="AA238" s="46" t="str">
        <f t="shared" si="34"/>
        <v/>
      </c>
      <c r="AB238" s="46" t="str">
        <f t="shared" si="34"/>
        <v/>
      </c>
      <c r="AC238" s="46" t="str">
        <f t="shared" si="34"/>
        <v/>
      </c>
      <c r="AD238" s="46" t="str">
        <f t="shared" si="34"/>
        <v/>
      </c>
      <c r="AE238" s="46" t="str">
        <f t="shared" si="34"/>
        <v/>
      </c>
      <c r="AF238" s="46" t="str">
        <f t="shared" si="34"/>
        <v/>
      </c>
      <c r="AG238" s="46" t="str">
        <f t="shared" si="34"/>
        <v/>
      </c>
      <c r="AH238" s="46" t="str">
        <f t="shared" si="34"/>
        <v/>
      </c>
      <c r="AI238" s="46" t="str">
        <f t="shared" si="34"/>
        <v/>
      </c>
      <c r="AJ238" s="46" t="str">
        <f t="shared" si="34"/>
        <v/>
      </c>
      <c r="AK238" s="46" t="str">
        <f t="shared" si="34"/>
        <v/>
      </c>
      <c r="AL238" s="46" t="str">
        <f t="shared" si="34"/>
        <v/>
      </c>
      <c r="AM238" s="46" t="str">
        <f t="shared" si="34"/>
        <v/>
      </c>
      <c r="AN238" s="46" t="str">
        <f t="shared" si="34"/>
        <v/>
      </c>
      <c r="AO238" s="46" t="str">
        <f t="shared" si="34"/>
        <v/>
      </c>
      <c r="AP238" s="46" t="str">
        <f t="shared" si="34"/>
        <v/>
      </c>
      <c r="AQ238" s="46" t="str">
        <f t="shared" si="34"/>
        <v/>
      </c>
      <c r="AR238" s="46" t="str">
        <f t="shared" si="34"/>
        <v/>
      </c>
      <c r="AS238" s="46" t="str">
        <f t="shared" si="34"/>
        <v/>
      </c>
      <c r="AT238" s="46" t="str">
        <f t="shared" si="34"/>
        <v/>
      </c>
      <c r="AU238" s="46" t="str">
        <f t="shared" si="34"/>
        <v/>
      </c>
      <c r="AV238" s="46" t="str">
        <f t="shared" si="34"/>
        <v/>
      </c>
      <c r="AW238" s="46" t="str">
        <f t="shared" si="34"/>
        <v/>
      </c>
      <c r="AX238" s="46" t="str">
        <f t="shared" si="34"/>
        <v/>
      </c>
      <c r="AY238" s="46" t="str">
        <f t="shared" si="34"/>
        <v/>
      </c>
      <c r="AZ238" s="46" t="str">
        <f t="shared" si="34"/>
        <v/>
      </c>
      <c r="BA238" s="46" t="str">
        <f t="shared" si="34"/>
        <v/>
      </c>
      <c r="BB238" s="46" t="str">
        <f t="shared" si="34"/>
        <v/>
      </c>
      <c r="BC238" s="46" t="str">
        <f t="shared" si="34"/>
        <v/>
      </c>
      <c r="BD238" s="46" t="str">
        <f t="shared" si="34"/>
        <v/>
      </c>
      <c r="BE238" s="46" t="str">
        <f t="shared" si="34"/>
        <v/>
      </c>
      <c r="BF238" s="46" t="str">
        <f t="shared" si="34"/>
        <v/>
      </c>
      <c r="BG238" s="46" t="str">
        <f t="shared" si="34"/>
        <v/>
      </c>
      <c r="BH238" s="46" t="str">
        <f t="shared" si="34"/>
        <v/>
      </c>
      <c r="BI238" s="46" t="str">
        <f t="shared" si="34"/>
        <v/>
      </c>
      <c r="BJ238" s="46" t="str">
        <f t="shared" si="34"/>
        <v/>
      </c>
      <c r="BK238" s="46" t="str">
        <f t="shared" si="34"/>
        <v/>
      </c>
      <c r="BL238" s="46" t="str">
        <f t="shared" si="34"/>
        <v/>
      </c>
      <c r="BM238" s="46" t="str">
        <f t="shared" si="34"/>
        <v/>
      </c>
      <c r="BN238" s="46" t="str">
        <f t="shared" si="34"/>
        <v/>
      </c>
      <c r="BO238" s="46" t="str">
        <f t="shared" si="34"/>
        <v/>
      </c>
      <c r="BP238" s="46" t="str">
        <f t="shared" si="33"/>
        <v/>
      </c>
      <c r="BQ238" s="46" t="str">
        <f t="shared" si="33"/>
        <v/>
      </c>
      <c r="BR238" s="46" t="str">
        <f t="shared" si="33"/>
        <v/>
      </c>
      <c r="BS238" s="46" t="str">
        <f t="shared" si="33"/>
        <v/>
      </c>
      <c r="BT238" s="46" t="str">
        <f t="shared" si="33"/>
        <v/>
      </c>
      <c r="BU238" s="46" t="str">
        <f t="shared" si="33"/>
        <v/>
      </c>
      <c r="BV238" s="46" t="str">
        <f t="shared" si="33"/>
        <v/>
      </c>
      <c r="BW238" s="46" t="str">
        <f t="shared" si="33"/>
        <v/>
      </c>
      <c r="BX238" s="46" t="str">
        <f t="shared" si="33"/>
        <v/>
      </c>
      <c r="BY238" s="46" t="str">
        <f t="shared" si="33"/>
        <v/>
      </c>
      <c r="BZ238" s="46" t="str">
        <f t="shared" si="33"/>
        <v/>
      </c>
      <c r="CA238" s="46" t="str">
        <f t="shared" si="33"/>
        <v/>
      </c>
      <c r="CB238" s="46" t="str">
        <f t="shared" si="33"/>
        <v/>
      </c>
      <c r="CC238" s="46" t="str">
        <f t="shared" si="33"/>
        <v/>
      </c>
      <c r="CD238" s="46">
        <f t="shared" si="33"/>
        <v>8</v>
      </c>
      <c r="CE238" s="46" t="str">
        <f t="shared" si="33"/>
        <v/>
      </c>
      <c r="CF238" s="46" t="str">
        <f t="shared" si="33"/>
        <v/>
      </c>
      <c r="CG238" s="46" t="str">
        <f t="shared" si="33"/>
        <v/>
      </c>
      <c r="CH238" s="46" t="str">
        <f t="shared" si="33"/>
        <v/>
      </c>
      <c r="CI238" s="46" t="str">
        <f t="shared" si="33"/>
        <v/>
      </c>
      <c r="CJ238" s="46" t="str">
        <f t="shared" si="33"/>
        <v/>
      </c>
      <c r="CK238" s="46" t="str">
        <f t="shared" si="33"/>
        <v/>
      </c>
      <c r="CL238" s="46" t="str">
        <f t="shared" si="33"/>
        <v/>
      </c>
      <c r="CM238" s="46" t="str">
        <f t="shared" si="33"/>
        <v/>
      </c>
      <c r="CN238" s="46" t="str">
        <f t="shared" si="33"/>
        <v/>
      </c>
      <c r="CO238" s="46" t="str">
        <f t="shared" si="33"/>
        <v/>
      </c>
      <c r="CP238" s="46" t="str">
        <f t="shared" si="33"/>
        <v/>
      </c>
      <c r="CQ238" s="46" t="str">
        <f t="shared" si="33"/>
        <v/>
      </c>
      <c r="CR238" s="46" t="str">
        <f t="shared" si="33"/>
        <v/>
      </c>
      <c r="CS238" s="46" t="str">
        <f t="shared" si="33"/>
        <v/>
      </c>
      <c r="CT238" s="46" t="str">
        <f t="shared" si="33"/>
        <v/>
      </c>
      <c r="CU238" s="46" t="str">
        <f t="shared" si="33"/>
        <v/>
      </c>
      <c r="CV238" s="46" t="str">
        <f t="shared" si="33"/>
        <v/>
      </c>
      <c r="CW238" s="46" t="str">
        <f t="shared" si="33"/>
        <v/>
      </c>
      <c r="CX238" s="46" t="str">
        <f t="shared" si="33"/>
        <v/>
      </c>
      <c r="CY238" s="46" t="str">
        <f t="shared" si="33"/>
        <v/>
      </c>
      <c r="CZ238" s="46" t="str">
        <f t="shared" si="33"/>
        <v/>
      </c>
      <c r="DA238" s="46" t="str">
        <f t="shared" si="33"/>
        <v/>
      </c>
      <c r="DB238" s="46" t="str">
        <f t="shared" si="33"/>
        <v/>
      </c>
      <c r="DC238" s="46" t="str">
        <f t="shared" si="33"/>
        <v/>
      </c>
      <c r="DD238" s="46" t="str">
        <f t="shared" si="33"/>
        <v/>
      </c>
      <c r="DE238" s="46" t="str">
        <f t="shared" si="33"/>
        <v/>
      </c>
      <c r="DF238" s="46" t="str">
        <f t="shared" si="33"/>
        <v/>
      </c>
      <c r="DG238" s="46" t="str">
        <f t="shared" si="33"/>
        <v/>
      </c>
      <c r="DH238" s="46" t="str">
        <f t="shared" si="33"/>
        <v/>
      </c>
      <c r="DL238" s="6"/>
    </row>
    <row r="239" spans="2:116" x14ac:dyDescent="0.25">
      <c r="B239" s="46"/>
      <c r="C239" s="46" t="str">
        <f t="shared" si="15"/>
        <v/>
      </c>
      <c r="D239" s="46" t="str">
        <f t="shared" si="34"/>
        <v/>
      </c>
      <c r="E239" s="46" t="str">
        <f t="shared" si="34"/>
        <v/>
      </c>
      <c r="F239" s="46" t="str">
        <f t="shared" si="34"/>
        <v/>
      </c>
      <c r="G239" s="46" t="str">
        <f t="shared" si="34"/>
        <v/>
      </c>
      <c r="H239" s="46" t="str">
        <f t="shared" si="34"/>
        <v/>
      </c>
      <c r="I239" s="46" t="str">
        <f t="shared" si="34"/>
        <v/>
      </c>
      <c r="J239" s="46" t="str">
        <f t="shared" si="34"/>
        <v/>
      </c>
      <c r="K239" s="46" t="str">
        <f t="shared" si="34"/>
        <v/>
      </c>
      <c r="L239" s="46" t="str">
        <f t="shared" si="34"/>
        <v/>
      </c>
      <c r="M239" s="46" t="str">
        <f t="shared" si="34"/>
        <v/>
      </c>
      <c r="N239" s="46" t="str">
        <f t="shared" si="34"/>
        <v/>
      </c>
      <c r="O239" s="46" t="str">
        <f t="shared" si="34"/>
        <v/>
      </c>
      <c r="P239" s="46" t="str">
        <f t="shared" si="34"/>
        <v/>
      </c>
      <c r="Q239" s="46" t="str">
        <f t="shared" si="34"/>
        <v/>
      </c>
      <c r="R239" s="46" t="str">
        <f t="shared" si="34"/>
        <v/>
      </c>
      <c r="S239" s="46" t="str">
        <f t="shared" si="34"/>
        <v/>
      </c>
      <c r="T239" s="46" t="str">
        <f t="shared" si="34"/>
        <v/>
      </c>
      <c r="U239" s="46" t="str">
        <f t="shared" si="34"/>
        <v/>
      </c>
      <c r="V239" s="46" t="str">
        <f t="shared" si="34"/>
        <v/>
      </c>
      <c r="W239" s="46" t="str">
        <f t="shared" si="34"/>
        <v/>
      </c>
      <c r="X239" s="46" t="str">
        <f t="shared" si="34"/>
        <v/>
      </c>
      <c r="Y239" s="46" t="str">
        <f t="shared" si="34"/>
        <v/>
      </c>
      <c r="Z239" s="46" t="str">
        <f t="shared" si="34"/>
        <v/>
      </c>
      <c r="AA239" s="46" t="str">
        <f t="shared" si="34"/>
        <v/>
      </c>
      <c r="AB239" s="46" t="str">
        <f t="shared" si="34"/>
        <v/>
      </c>
      <c r="AC239" s="46" t="str">
        <f t="shared" si="34"/>
        <v/>
      </c>
      <c r="AD239" s="46" t="str">
        <f t="shared" si="34"/>
        <v/>
      </c>
      <c r="AE239" s="46" t="str">
        <f t="shared" si="34"/>
        <v/>
      </c>
      <c r="AF239" s="46" t="str">
        <f t="shared" si="34"/>
        <v/>
      </c>
      <c r="AG239" s="46" t="str">
        <f t="shared" si="34"/>
        <v/>
      </c>
      <c r="AH239" s="46" t="str">
        <f t="shared" si="34"/>
        <v/>
      </c>
      <c r="AI239" s="46" t="str">
        <f t="shared" si="34"/>
        <v/>
      </c>
      <c r="AJ239" s="46" t="str">
        <f t="shared" si="34"/>
        <v/>
      </c>
      <c r="AK239" s="46" t="str">
        <f t="shared" si="34"/>
        <v/>
      </c>
      <c r="AL239" s="46" t="str">
        <f t="shared" si="34"/>
        <v/>
      </c>
      <c r="AM239" s="46" t="str">
        <f t="shared" si="34"/>
        <v/>
      </c>
      <c r="AN239" s="46" t="str">
        <f t="shared" si="34"/>
        <v/>
      </c>
      <c r="AO239" s="46" t="str">
        <f t="shared" si="34"/>
        <v/>
      </c>
      <c r="AP239" s="46" t="str">
        <f t="shared" si="34"/>
        <v/>
      </c>
      <c r="AQ239" s="46" t="str">
        <f t="shared" si="34"/>
        <v/>
      </c>
      <c r="AR239" s="46" t="str">
        <f t="shared" si="34"/>
        <v/>
      </c>
      <c r="AS239" s="46" t="str">
        <f t="shared" si="34"/>
        <v/>
      </c>
      <c r="AT239" s="46" t="str">
        <f t="shared" si="34"/>
        <v/>
      </c>
      <c r="AU239" s="46" t="str">
        <f t="shared" si="34"/>
        <v/>
      </c>
      <c r="AV239" s="46" t="str">
        <f t="shared" si="34"/>
        <v/>
      </c>
      <c r="AW239" s="46" t="str">
        <f t="shared" si="34"/>
        <v/>
      </c>
      <c r="AX239" s="46" t="str">
        <f t="shared" si="34"/>
        <v/>
      </c>
      <c r="AY239" s="46" t="str">
        <f t="shared" si="34"/>
        <v/>
      </c>
      <c r="AZ239" s="46" t="str">
        <f t="shared" si="34"/>
        <v/>
      </c>
      <c r="BA239" s="46" t="str">
        <f t="shared" si="34"/>
        <v/>
      </c>
      <c r="BB239" s="46" t="str">
        <f t="shared" si="34"/>
        <v/>
      </c>
      <c r="BC239" s="46" t="str">
        <f t="shared" si="34"/>
        <v/>
      </c>
      <c r="BD239" s="46" t="str">
        <f t="shared" si="34"/>
        <v/>
      </c>
      <c r="BE239" s="46" t="str">
        <f t="shared" si="34"/>
        <v/>
      </c>
      <c r="BF239" s="46" t="str">
        <f t="shared" si="34"/>
        <v/>
      </c>
      <c r="BG239" s="46" t="str">
        <f t="shared" si="34"/>
        <v/>
      </c>
      <c r="BH239" s="46" t="str">
        <f t="shared" si="34"/>
        <v/>
      </c>
      <c r="BI239" s="46" t="str">
        <f t="shared" si="34"/>
        <v/>
      </c>
      <c r="BJ239" s="46" t="str">
        <f t="shared" si="34"/>
        <v/>
      </c>
      <c r="BK239" s="46" t="str">
        <f t="shared" si="34"/>
        <v/>
      </c>
      <c r="BL239" s="46" t="str">
        <f t="shared" si="34"/>
        <v/>
      </c>
      <c r="BM239" s="46" t="str">
        <f t="shared" si="34"/>
        <v/>
      </c>
      <c r="BN239" s="46" t="str">
        <f t="shared" si="34"/>
        <v/>
      </c>
      <c r="BO239" s="46" t="str">
        <f t="shared" si="34"/>
        <v/>
      </c>
      <c r="BP239" s="46" t="str">
        <f t="shared" si="33"/>
        <v/>
      </c>
      <c r="BQ239" s="46" t="str">
        <f t="shared" si="33"/>
        <v/>
      </c>
      <c r="BR239" s="46" t="str">
        <f t="shared" si="33"/>
        <v/>
      </c>
      <c r="BS239" s="46" t="str">
        <f t="shared" si="33"/>
        <v/>
      </c>
      <c r="BT239" s="46" t="str">
        <f t="shared" si="33"/>
        <v/>
      </c>
      <c r="BU239" s="46" t="str">
        <f t="shared" si="33"/>
        <v/>
      </c>
      <c r="BV239" s="46" t="str">
        <f t="shared" si="33"/>
        <v/>
      </c>
      <c r="BW239" s="46" t="str">
        <f t="shared" si="33"/>
        <v/>
      </c>
      <c r="BX239" s="46" t="str">
        <f t="shared" si="33"/>
        <v/>
      </c>
      <c r="BY239" s="46" t="str">
        <f t="shared" si="33"/>
        <v/>
      </c>
      <c r="BZ239" s="46" t="str">
        <f t="shared" si="33"/>
        <v/>
      </c>
      <c r="CA239" s="46" t="str">
        <f t="shared" si="33"/>
        <v/>
      </c>
      <c r="CB239" s="46" t="str">
        <f t="shared" si="33"/>
        <v/>
      </c>
      <c r="CC239" s="46" t="str">
        <f t="shared" si="33"/>
        <v/>
      </c>
      <c r="CD239" s="46" t="str">
        <f t="shared" si="33"/>
        <v/>
      </c>
      <c r="CE239" s="46" t="str">
        <f t="shared" si="33"/>
        <v/>
      </c>
      <c r="CF239" s="46" t="str">
        <f t="shared" si="33"/>
        <v/>
      </c>
      <c r="CG239" s="46" t="str">
        <f t="shared" si="33"/>
        <v/>
      </c>
      <c r="CH239" s="46" t="str">
        <f t="shared" si="33"/>
        <v/>
      </c>
      <c r="CI239" s="46" t="str">
        <f t="shared" si="33"/>
        <v/>
      </c>
      <c r="CJ239" s="46" t="str">
        <f t="shared" si="33"/>
        <v/>
      </c>
      <c r="CK239" s="46" t="str">
        <f t="shared" si="33"/>
        <v/>
      </c>
      <c r="CL239" s="46" t="str">
        <f t="shared" si="33"/>
        <v/>
      </c>
      <c r="CM239" s="46" t="str">
        <f t="shared" si="33"/>
        <v/>
      </c>
      <c r="CN239" s="46" t="str">
        <f t="shared" si="33"/>
        <v/>
      </c>
      <c r="CO239" s="46" t="str">
        <f t="shared" si="33"/>
        <v/>
      </c>
      <c r="CP239" s="46" t="str">
        <f t="shared" si="33"/>
        <v/>
      </c>
      <c r="CQ239" s="46" t="str">
        <f t="shared" si="33"/>
        <v/>
      </c>
      <c r="CR239" s="46" t="str">
        <f t="shared" si="33"/>
        <v/>
      </c>
      <c r="CS239" s="46" t="str">
        <f t="shared" si="33"/>
        <v/>
      </c>
      <c r="CT239" s="46" t="str">
        <f t="shared" si="33"/>
        <v/>
      </c>
      <c r="CU239" s="46" t="str">
        <f t="shared" si="33"/>
        <v/>
      </c>
      <c r="CV239" s="46" t="str">
        <f t="shared" si="33"/>
        <v/>
      </c>
      <c r="CW239" s="46" t="str">
        <f t="shared" si="33"/>
        <v/>
      </c>
      <c r="CX239" s="46" t="str">
        <f t="shared" si="33"/>
        <v/>
      </c>
      <c r="CY239" s="46" t="str">
        <f t="shared" si="33"/>
        <v/>
      </c>
      <c r="CZ239" s="46" t="str">
        <f t="shared" si="33"/>
        <v/>
      </c>
      <c r="DA239" s="46" t="str">
        <f t="shared" si="33"/>
        <v/>
      </c>
      <c r="DB239" s="46" t="str">
        <f t="shared" si="33"/>
        <v/>
      </c>
      <c r="DC239" s="46">
        <f t="shared" si="33"/>
        <v>8</v>
      </c>
      <c r="DD239" s="46" t="str">
        <f t="shared" si="33"/>
        <v/>
      </c>
      <c r="DE239" s="46" t="str">
        <f t="shared" si="33"/>
        <v/>
      </c>
      <c r="DF239" s="46" t="str">
        <f t="shared" si="33"/>
        <v/>
      </c>
      <c r="DG239" s="46">
        <f t="shared" si="33"/>
        <v>8</v>
      </c>
      <c r="DH239" s="46" t="str">
        <f t="shared" si="33"/>
        <v/>
      </c>
      <c r="DL239" s="6"/>
    </row>
    <row r="240" spans="2:116" x14ac:dyDescent="0.25">
      <c r="B240" s="46"/>
      <c r="C240" s="46" t="str">
        <f t="shared" si="15"/>
        <v/>
      </c>
      <c r="D240" s="46" t="str">
        <f t="shared" si="34"/>
        <v/>
      </c>
      <c r="E240" s="46" t="str">
        <f t="shared" si="34"/>
        <v/>
      </c>
      <c r="F240" s="46" t="str">
        <f t="shared" si="34"/>
        <v/>
      </c>
      <c r="G240" s="46" t="str">
        <f t="shared" si="34"/>
        <v/>
      </c>
      <c r="H240" s="46" t="str">
        <f t="shared" si="34"/>
        <v/>
      </c>
      <c r="I240" s="46" t="str">
        <f t="shared" si="34"/>
        <v/>
      </c>
      <c r="J240" s="46" t="str">
        <f t="shared" si="34"/>
        <v/>
      </c>
      <c r="K240" s="46" t="str">
        <f t="shared" si="34"/>
        <v/>
      </c>
      <c r="L240" s="46" t="str">
        <f t="shared" si="34"/>
        <v/>
      </c>
      <c r="M240" s="46" t="str">
        <f t="shared" si="34"/>
        <v/>
      </c>
      <c r="N240" s="46" t="str">
        <f t="shared" si="34"/>
        <v/>
      </c>
      <c r="O240" s="46" t="str">
        <f t="shared" si="34"/>
        <v/>
      </c>
      <c r="P240" s="46" t="str">
        <f t="shared" si="34"/>
        <v/>
      </c>
      <c r="Q240" s="46" t="str">
        <f t="shared" si="34"/>
        <v/>
      </c>
      <c r="R240" s="46" t="str">
        <f t="shared" si="34"/>
        <v/>
      </c>
      <c r="S240" s="46" t="str">
        <f t="shared" si="34"/>
        <v/>
      </c>
      <c r="T240" s="46" t="str">
        <f t="shared" si="34"/>
        <v/>
      </c>
      <c r="U240" s="46" t="str">
        <f t="shared" si="34"/>
        <v/>
      </c>
      <c r="V240" s="46" t="str">
        <f t="shared" si="34"/>
        <v/>
      </c>
      <c r="W240" s="46" t="str">
        <f t="shared" si="34"/>
        <v/>
      </c>
      <c r="X240" s="46" t="str">
        <f t="shared" si="34"/>
        <v/>
      </c>
      <c r="Y240" s="46" t="str">
        <f t="shared" si="34"/>
        <v/>
      </c>
      <c r="Z240" s="46" t="str">
        <f t="shared" si="34"/>
        <v/>
      </c>
      <c r="AA240" s="46" t="str">
        <f t="shared" si="34"/>
        <v/>
      </c>
      <c r="AB240" s="46" t="str">
        <f t="shared" si="34"/>
        <v/>
      </c>
      <c r="AC240" s="46" t="str">
        <f t="shared" si="34"/>
        <v/>
      </c>
      <c r="AD240" s="46" t="str">
        <f t="shared" si="34"/>
        <v/>
      </c>
      <c r="AE240" s="46" t="str">
        <f t="shared" si="34"/>
        <v/>
      </c>
      <c r="AF240" s="46" t="str">
        <f t="shared" si="34"/>
        <v/>
      </c>
      <c r="AG240" s="46" t="str">
        <f t="shared" si="34"/>
        <v/>
      </c>
      <c r="AH240" s="46" t="str">
        <f t="shared" si="34"/>
        <v/>
      </c>
      <c r="AI240" s="46" t="str">
        <f t="shared" si="34"/>
        <v/>
      </c>
      <c r="AJ240" s="46" t="str">
        <f t="shared" si="34"/>
        <v/>
      </c>
      <c r="AK240" s="46" t="str">
        <f t="shared" si="34"/>
        <v/>
      </c>
      <c r="AL240" s="46" t="str">
        <f t="shared" si="34"/>
        <v/>
      </c>
      <c r="AM240" s="46" t="str">
        <f t="shared" si="34"/>
        <v/>
      </c>
      <c r="AN240" s="46" t="str">
        <f t="shared" si="34"/>
        <v/>
      </c>
      <c r="AO240" s="46" t="str">
        <f t="shared" si="34"/>
        <v/>
      </c>
      <c r="AP240" s="46" t="str">
        <f t="shared" si="34"/>
        <v/>
      </c>
      <c r="AQ240" s="46" t="str">
        <f t="shared" si="34"/>
        <v/>
      </c>
      <c r="AR240" s="46" t="str">
        <f t="shared" si="34"/>
        <v/>
      </c>
      <c r="AS240" s="46" t="str">
        <f t="shared" si="34"/>
        <v/>
      </c>
      <c r="AT240" s="46" t="str">
        <f t="shared" si="34"/>
        <v/>
      </c>
      <c r="AU240" s="46" t="str">
        <f t="shared" si="34"/>
        <v/>
      </c>
      <c r="AV240" s="46" t="str">
        <f t="shared" si="34"/>
        <v/>
      </c>
      <c r="AW240" s="46" t="str">
        <f t="shared" si="34"/>
        <v/>
      </c>
      <c r="AX240" s="46" t="str">
        <f t="shared" si="34"/>
        <v/>
      </c>
      <c r="AY240" s="46" t="str">
        <f t="shared" si="34"/>
        <v/>
      </c>
      <c r="AZ240" s="46" t="str">
        <f t="shared" si="34"/>
        <v/>
      </c>
      <c r="BA240" s="46" t="str">
        <f t="shared" si="34"/>
        <v/>
      </c>
      <c r="BB240" s="46" t="str">
        <f t="shared" si="34"/>
        <v/>
      </c>
      <c r="BC240" s="46" t="str">
        <f t="shared" si="34"/>
        <v/>
      </c>
      <c r="BD240" s="46" t="str">
        <f t="shared" si="34"/>
        <v/>
      </c>
      <c r="BE240" s="46" t="str">
        <f t="shared" si="34"/>
        <v/>
      </c>
      <c r="BF240" s="46" t="str">
        <f t="shared" si="34"/>
        <v/>
      </c>
      <c r="BG240" s="46" t="str">
        <f t="shared" si="34"/>
        <v/>
      </c>
      <c r="BH240" s="46" t="str">
        <f t="shared" si="34"/>
        <v/>
      </c>
      <c r="BI240" s="46" t="str">
        <f t="shared" si="34"/>
        <v/>
      </c>
      <c r="BJ240" s="46" t="str">
        <f t="shared" si="34"/>
        <v/>
      </c>
      <c r="BK240" s="46" t="str">
        <f t="shared" si="34"/>
        <v/>
      </c>
      <c r="BL240" s="46" t="str">
        <f t="shared" si="34"/>
        <v/>
      </c>
      <c r="BM240" s="46" t="str">
        <f t="shared" si="34"/>
        <v/>
      </c>
      <c r="BN240" s="46" t="str">
        <f t="shared" si="34"/>
        <v/>
      </c>
      <c r="BO240" s="46" t="str">
        <f t="shared" ref="BO240:DH243" si="35">IF(BO50="X",$DK50,"")</f>
        <v/>
      </c>
      <c r="BP240" s="46" t="str">
        <f t="shared" si="35"/>
        <v/>
      </c>
      <c r="BQ240" s="46" t="str">
        <f t="shared" si="35"/>
        <v/>
      </c>
      <c r="BR240" s="46" t="str">
        <f t="shared" si="35"/>
        <v/>
      </c>
      <c r="BS240" s="46" t="str">
        <f t="shared" si="35"/>
        <v/>
      </c>
      <c r="BT240" s="46" t="str">
        <f t="shared" si="35"/>
        <v/>
      </c>
      <c r="BU240" s="46" t="str">
        <f t="shared" si="35"/>
        <v/>
      </c>
      <c r="BV240" s="46" t="str">
        <f t="shared" si="35"/>
        <v/>
      </c>
      <c r="BW240" s="46" t="str">
        <f t="shared" si="35"/>
        <v/>
      </c>
      <c r="BX240" s="46" t="str">
        <f t="shared" si="35"/>
        <v/>
      </c>
      <c r="BY240" s="46" t="str">
        <f t="shared" si="35"/>
        <v/>
      </c>
      <c r="BZ240" s="46" t="str">
        <f t="shared" si="35"/>
        <v/>
      </c>
      <c r="CA240" s="46" t="str">
        <f t="shared" si="35"/>
        <v/>
      </c>
      <c r="CB240" s="46" t="str">
        <f t="shared" si="35"/>
        <v/>
      </c>
      <c r="CC240" s="46" t="str">
        <f t="shared" si="35"/>
        <v/>
      </c>
      <c r="CD240" s="46" t="str">
        <f t="shared" si="35"/>
        <v/>
      </c>
      <c r="CE240" s="46" t="str">
        <f t="shared" si="35"/>
        <v/>
      </c>
      <c r="CF240" s="46" t="str">
        <f t="shared" si="35"/>
        <v/>
      </c>
      <c r="CG240" s="46" t="str">
        <f t="shared" si="35"/>
        <v/>
      </c>
      <c r="CH240" s="46" t="str">
        <f t="shared" si="35"/>
        <v/>
      </c>
      <c r="CI240" s="46" t="str">
        <f t="shared" si="35"/>
        <v/>
      </c>
      <c r="CJ240" s="46" t="str">
        <f t="shared" si="35"/>
        <v/>
      </c>
      <c r="CK240" s="46" t="str">
        <f t="shared" si="35"/>
        <v/>
      </c>
      <c r="CL240" s="46" t="str">
        <f t="shared" si="35"/>
        <v/>
      </c>
      <c r="CM240" s="46" t="str">
        <f t="shared" si="35"/>
        <v/>
      </c>
      <c r="CN240" s="46" t="str">
        <f t="shared" si="35"/>
        <v/>
      </c>
      <c r="CO240" s="46" t="str">
        <f t="shared" si="35"/>
        <v/>
      </c>
      <c r="CP240" s="46" t="str">
        <f t="shared" si="35"/>
        <v/>
      </c>
      <c r="CQ240" s="46" t="str">
        <f t="shared" si="35"/>
        <v/>
      </c>
      <c r="CR240" s="46" t="str">
        <f t="shared" si="35"/>
        <v/>
      </c>
      <c r="CS240" s="46" t="str">
        <f t="shared" si="35"/>
        <v/>
      </c>
      <c r="CT240" s="46" t="str">
        <f t="shared" si="35"/>
        <v/>
      </c>
      <c r="CU240" s="46" t="str">
        <f t="shared" si="35"/>
        <v/>
      </c>
      <c r="CV240" s="46" t="str">
        <f t="shared" si="35"/>
        <v/>
      </c>
      <c r="CW240" s="46" t="str">
        <f t="shared" si="35"/>
        <v/>
      </c>
      <c r="CX240" s="46" t="str">
        <f t="shared" si="35"/>
        <v/>
      </c>
      <c r="CY240" s="46" t="str">
        <f t="shared" si="35"/>
        <v/>
      </c>
      <c r="CZ240" s="46" t="str">
        <f t="shared" si="35"/>
        <v/>
      </c>
      <c r="DA240" s="46" t="str">
        <f t="shared" si="35"/>
        <v/>
      </c>
      <c r="DB240" s="46" t="str">
        <f t="shared" si="35"/>
        <v/>
      </c>
      <c r="DC240" s="46">
        <f t="shared" si="35"/>
        <v>8</v>
      </c>
      <c r="DD240" s="46" t="str">
        <f t="shared" si="35"/>
        <v/>
      </c>
      <c r="DE240" s="46" t="str">
        <f t="shared" si="35"/>
        <v/>
      </c>
      <c r="DF240" s="46" t="str">
        <f t="shared" si="35"/>
        <v/>
      </c>
      <c r="DG240" s="46">
        <f t="shared" si="35"/>
        <v>8</v>
      </c>
      <c r="DH240" s="46" t="str">
        <f t="shared" si="35"/>
        <v/>
      </c>
      <c r="DL240" s="6"/>
    </row>
    <row r="241" spans="1:116" x14ac:dyDescent="0.25">
      <c r="B241" s="46"/>
      <c r="C241" s="46" t="str">
        <f t="shared" si="15"/>
        <v/>
      </c>
      <c r="D241" s="46" t="str">
        <f t="shared" ref="D241:BO244" si="36">IF(D51="X",$DK51,"")</f>
        <v/>
      </c>
      <c r="E241" s="46" t="str">
        <f t="shared" si="36"/>
        <v/>
      </c>
      <c r="F241" s="46" t="str">
        <f t="shared" si="36"/>
        <v/>
      </c>
      <c r="G241" s="46" t="str">
        <f t="shared" si="36"/>
        <v/>
      </c>
      <c r="H241" s="46" t="str">
        <f t="shared" si="36"/>
        <v/>
      </c>
      <c r="I241" s="46" t="str">
        <f t="shared" si="36"/>
        <v/>
      </c>
      <c r="J241" s="46" t="str">
        <f t="shared" si="36"/>
        <v/>
      </c>
      <c r="K241" s="46" t="str">
        <f t="shared" si="36"/>
        <v/>
      </c>
      <c r="L241" s="46" t="str">
        <f t="shared" si="36"/>
        <v/>
      </c>
      <c r="M241" s="46" t="str">
        <f t="shared" si="36"/>
        <v/>
      </c>
      <c r="N241" s="46" t="str">
        <f t="shared" si="36"/>
        <v/>
      </c>
      <c r="O241" s="46" t="str">
        <f t="shared" si="36"/>
        <v/>
      </c>
      <c r="P241" s="46" t="str">
        <f t="shared" si="36"/>
        <v/>
      </c>
      <c r="Q241" s="46" t="str">
        <f t="shared" si="36"/>
        <v/>
      </c>
      <c r="R241" s="46" t="str">
        <f t="shared" si="36"/>
        <v/>
      </c>
      <c r="S241" s="46" t="str">
        <f t="shared" si="36"/>
        <v/>
      </c>
      <c r="T241" s="46" t="str">
        <f t="shared" si="36"/>
        <v/>
      </c>
      <c r="U241" s="46" t="str">
        <f t="shared" si="36"/>
        <v/>
      </c>
      <c r="V241" s="46" t="str">
        <f t="shared" si="36"/>
        <v/>
      </c>
      <c r="W241" s="46" t="str">
        <f t="shared" si="36"/>
        <v/>
      </c>
      <c r="X241" s="46" t="str">
        <f t="shared" si="36"/>
        <v/>
      </c>
      <c r="Y241" s="46" t="str">
        <f t="shared" si="36"/>
        <v/>
      </c>
      <c r="Z241" s="46" t="str">
        <f t="shared" si="36"/>
        <v/>
      </c>
      <c r="AA241" s="46" t="str">
        <f t="shared" si="36"/>
        <v/>
      </c>
      <c r="AB241" s="46" t="str">
        <f t="shared" si="36"/>
        <v/>
      </c>
      <c r="AC241" s="46" t="str">
        <f t="shared" si="36"/>
        <v/>
      </c>
      <c r="AD241" s="46" t="str">
        <f t="shared" si="36"/>
        <v/>
      </c>
      <c r="AE241" s="46" t="str">
        <f t="shared" si="36"/>
        <v/>
      </c>
      <c r="AF241" s="46" t="str">
        <f t="shared" si="36"/>
        <v/>
      </c>
      <c r="AG241" s="46" t="str">
        <f t="shared" si="36"/>
        <v/>
      </c>
      <c r="AH241" s="46" t="str">
        <f t="shared" si="36"/>
        <v/>
      </c>
      <c r="AI241" s="46" t="str">
        <f t="shared" si="36"/>
        <v/>
      </c>
      <c r="AJ241" s="46" t="str">
        <f t="shared" si="36"/>
        <v/>
      </c>
      <c r="AK241" s="46" t="str">
        <f t="shared" si="36"/>
        <v/>
      </c>
      <c r="AL241" s="46" t="str">
        <f t="shared" si="36"/>
        <v/>
      </c>
      <c r="AM241" s="46" t="str">
        <f t="shared" si="36"/>
        <v/>
      </c>
      <c r="AN241" s="46" t="str">
        <f t="shared" si="36"/>
        <v/>
      </c>
      <c r="AO241" s="46" t="str">
        <f t="shared" si="36"/>
        <v/>
      </c>
      <c r="AP241" s="46" t="str">
        <f t="shared" si="36"/>
        <v/>
      </c>
      <c r="AQ241" s="46" t="str">
        <f t="shared" si="36"/>
        <v/>
      </c>
      <c r="AR241" s="46" t="str">
        <f t="shared" si="36"/>
        <v/>
      </c>
      <c r="AS241" s="46" t="str">
        <f t="shared" si="36"/>
        <v/>
      </c>
      <c r="AT241" s="46" t="str">
        <f t="shared" si="36"/>
        <v/>
      </c>
      <c r="AU241" s="46" t="str">
        <f t="shared" si="36"/>
        <v/>
      </c>
      <c r="AV241" s="46" t="str">
        <f t="shared" si="36"/>
        <v/>
      </c>
      <c r="AW241" s="46" t="str">
        <f t="shared" si="36"/>
        <v/>
      </c>
      <c r="AX241" s="46" t="str">
        <f t="shared" si="36"/>
        <v/>
      </c>
      <c r="AY241" s="46" t="str">
        <f t="shared" si="36"/>
        <v/>
      </c>
      <c r="AZ241" s="46" t="str">
        <f t="shared" si="36"/>
        <v/>
      </c>
      <c r="BA241" s="46" t="str">
        <f t="shared" si="36"/>
        <v/>
      </c>
      <c r="BB241" s="46" t="str">
        <f t="shared" si="36"/>
        <v/>
      </c>
      <c r="BC241" s="46" t="str">
        <f t="shared" si="36"/>
        <v/>
      </c>
      <c r="BD241" s="46" t="str">
        <f t="shared" si="36"/>
        <v/>
      </c>
      <c r="BE241" s="46" t="str">
        <f t="shared" si="36"/>
        <v/>
      </c>
      <c r="BF241" s="46" t="str">
        <f t="shared" si="36"/>
        <v/>
      </c>
      <c r="BG241" s="46" t="str">
        <f t="shared" si="36"/>
        <v/>
      </c>
      <c r="BH241" s="46" t="str">
        <f t="shared" si="36"/>
        <v/>
      </c>
      <c r="BI241" s="46" t="str">
        <f t="shared" si="36"/>
        <v/>
      </c>
      <c r="BJ241" s="46" t="str">
        <f t="shared" si="36"/>
        <v/>
      </c>
      <c r="BK241" s="46" t="str">
        <f t="shared" si="36"/>
        <v/>
      </c>
      <c r="BL241" s="46" t="str">
        <f t="shared" si="36"/>
        <v/>
      </c>
      <c r="BM241" s="46" t="str">
        <f t="shared" si="36"/>
        <v/>
      </c>
      <c r="BN241" s="46" t="str">
        <f t="shared" si="36"/>
        <v/>
      </c>
      <c r="BO241" s="46" t="str">
        <f t="shared" si="36"/>
        <v/>
      </c>
      <c r="BP241" s="46" t="str">
        <f t="shared" si="35"/>
        <v/>
      </c>
      <c r="BQ241" s="46" t="str">
        <f t="shared" si="35"/>
        <v/>
      </c>
      <c r="BR241" s="46" t="str">
        <f t="shared" si="35"/>
        <v/>
      </c>
      <c r="BS241" s="46" t="str">
        <f t="shared" si="35"/>
        <v/>
      </c>
      <c r="BT241" s="46" t="str">
        <f t="shared" si="35"/>
        <v/>
      </c>
      <c r="BU241" s="46" t="str">
        <f t="shared" si="35"/>
        <v/>
      </c>
      <c r="BV241" s="46" t="str">
        <f t="shared" si="35"/>
        <v/>
      </c>
      <c r="BW241" s="46" t="str">
        <f t="shared" si="35"/>
        <v/>
      </c>
      <c r="BX241" s="46" t="str">
        <f t="shared" si="35"/>
        <v/>
      </c>
      <c r="BY241" s="46" t="str">
        <f t="shared" si="35"/>
        <v/>
      </c>
      <c r="BZ241" s="46">
        <f t="shared" si="35"/>
        <v>8</v>
      </c>
      <c r="CA241" s="46" t="str">
        <f t="shared" si="35"/>
        <v/>
      </c>
      <c r="CB241" s="46" t="str">
        <f t="shared" si="35"/>
        <v/>
      </c>
      <c r="CC241" s="46" t="str">
        <f t="shared" si="35"/>
        <v/>
      </c>
      <c r="CD241" s="46" t="str">
        <f t="shared" si="35"/>
        <v/>
      </c>
      <c r="CE241" s="46" t="str">
        <f t="shared" si="35"/>
        <v/>
      </c>
      <c r="CF241" s="46" t="str">
        <f t="shared" si="35"/>
        <v/>
      </c>
      <c r="CG241" s="46" t="str">
        <f t="shared" si="35"/>
        <v/>
      </c>
      <c r="CH241" s="46" t="str">
        <f t="shared" si="35"/>
        <v/>
      </c>
      <c r="CI241" s="46" t="str">
        <f t="shared" si="35"/>
        <v/>
      </c>
      <c r="CJ241" s="46" t="str">
        <f t="shared" si="35"/>
        <v/>
      </c>
      <c r="CK241" s="46" t="str">
        <f t="shared" si="35"/>
        <v/>
      </c>
      <c r="CL241" s="46" t="str">
        <f t="shared" si="35"/>
        <v/>
      </c>
      <c r="CM241" s="46" t="str">
        <f t="shared" si="35"/>
        <v/>
      </c>
      <c r="CN241" s="46" t="str">
        <f t="shared" si="35"/>
        <v/>
      </c>
      <c r="CO241" s="46" t="str">
        <f t="shared" si="35"/>
        <v/>
      </c>
      <c r="CP241" s="46" t="str">
        <f t="shared" si="35"/>
        <v/>
      </c>
      <c r="CQ241" s="46" t="str">
        <f t="shared" si="35"/>
        <v/>
      </c>
      <c r="CR241" s="46" t="str">
        <f t="shared" si="35"/>
        <v/>
      </c>
      <c r="CS241" s="46" t="str">
        <f t="shared" si="35"/>
        <v/>
      </c>
      <c r="CT241" s="46" t="str">
        <f t="shared" si="35"/>
        <v/>
      </c>
      <c r="CU241" s="46">
        <f t="shared" si="35"/>
        <v>8</v>
      </c>
      <c r="CV241" s="46" t="str">
        <f t="shared" si="35"/>
        <v/>
      </c>
      <c r="CW241" s="46" t="str">
        <f t="shared" si="35"/>
        <v/>
      </c>
      <c r="CX241" s="46" t="str">
        <f t="shared" si="35"/>
        <v/>
      </c>
      <c r="CY241" s="46" t="str">
        <f t="shared" si="35"/>
        <v/>
      </c>
      <c r="CZ241" s="46" t="str">
        <f t="shared" si="35"/>
        <v/>
      </c>
      <c r="DA241" s="46" t="str">
        <f t="shared" si="35"/>
        <v/>
      </c>
      <c r="DB241" s="46" t="str">
        <f t="shared" si="35"/>
        <v/>
      </c>
      <c r="DC241" s="46" t="str">
        <f t="shared" si="35"/>
        <v/>
      </c>
      <c r="DD241" s="46" t="str">
        <f t="shared" si="35"/>
        <v/>
      </c>
      <c r="DE241" s="46" t="str">
        <f t="shared" si="35"/>
        <v/>
      </c>
      <c r="DF241" s="46" t="str">
        <f t="shared" si="35"/>
        <v/>
      </c>
      <c r="DG241" s="46" t="str">
        <f t="shared" si="35"/>
        <v/>
      </c>
      <c r="DH241" s="46" t="str">
        <f t="shared" si="35"/>
        <v/>
      </c>
      <c r="DL241" s="6"/>
    </row>
    <row r="242" spans="1:116" x14ac:dyDescent="0.25">
      <c r="B242" s="46"/>
      <c r="C242" s="46" t="str">
        <f t="shared" si="15"/>
        <v/>
      </c>
      <c r="D242" s="46" t="str">
        <f t="shared" si="36"/>
        <v/>
      </c>
      <c r="E242" s="46" t="str">
        <f t="shared" si="36"/>
        <v/>
      </c>
      <c r="F242" s="46" t="str">
        <f t="shared" si="36"/>
        <v/>
      </c>
      <c r="G242" s="46" t="str">
        <f t="shared" si="36"/>
        <v/>
      </c>
      <c r="H242" s="46" t="str">
        <f t="shared" si="36"/>
        <v/>
      </c>
      <c r="I242" s="46" t="str">
        <f t="shared" si="36"/>
        <v/>
      </c>
      <c r="J242" s="46" t="str">
        <f t="shared" si="36"/>
        <v/>
      </c>
      <c r="K242" s="46" t="str">
        <f t="shared" si="36"/>
        <v/>
      </c>
      <c r="L242" s="46" t="str">
        <f t="shared" si="36"/>
        <v/>
      </c>
      <c r="M242" s="46" t="str">
        <f t="shared" si="36"/>
        <v/>
      </c>
      <c r="N242" s="46" t="str">
        <f t="shared" si="36"/>
        <v/>
      </c>
      <c r="O242" s="46" t="str">
        <f t="shared" si="36"/>
        <v/>
      </c>
      <c r="P242" s="46" t="str">
        <f t="shared" si="36"/>
        <v/>
      </c>
      <c r="Q242" s="46" t="str">
        <f t="shared" si="36"/>
        <v/>
      </c>
      <c r="R242" s="46" t="str">
        <f t="shared" si="36"/>
        <v/>
      </c>
      <c r="S242" s="46" t="str">
        <f t="shared" si="36"/>
        <v/>
      </c>
      <c r="T242" s="46" t="str">
        <f t="shared" si="36"/>
        <v/>
      </c>
      <c r="U242" s="46" t="str">
        <f t="shared" si="36"/>
        <v/>
      </c>
      <c r="V242" s="46" t="str">
        <f t="shared" si="36"/>
        <v/>
      </c>
      <c r="W242" s="46" t="str">
        <f t="shared" si="36"/>
        <v/>
      </c>
      <c r="X242" s="46" t="str">
        <f t="shared" si="36"/>
        <v/>
      </c>
      <c r="Y242" s="46" t="str">
        <f t="shared" si="36"/>
        <v/>
      </c>
      <c r="Z242" s="46" t="str">
        <f t="shared" si="36"/>
        <v/>
      </c>
      <c r="AA242" s="46" t="str">
        <f t="shared" si="36"/>
        <v/>
      </c>
      <c r="AB242" s="46" t="str">
        <f t="shared" si="36"/>
        <v/>
      </c>
      <c r="AC242" s="46" t="str">
        <f t="shared" si="36"/>
        <v/>
      </c>
      <c r="AD242" s="46" t="str">
        <f t="shared" si="36"/>
        <v/>
      </c>
      <c r="AE242" s="46" t="str">
        <f t="shared" si="36"/>
        <v/>
      </c>
      <c r="AF242" s="46" t="str">
        <f t="shared" si="36"/>
        <v/>
      </c>
      <c r="AG242" s="46" t="str">
        <f t="shared" si="36"/>
        <v/>
      </c>
      <c r="AH242" s="46" t="str">
        <f t="shared" si="36"/>
        <v/>
      </c>
      <c r="AI242" s="46" t="str">
        <f t="shared" si="36"/>
        <v/>
      </c>
      <c r="AJ242" s="46" t="str">
        <f t="shared" si="36"/>
        <v/>
      </c>
      <c r="AK242" s="46" t="str">
        <f t="shared" si="36"/>
        <v/>
      </c>
      <c r="AL242" s="46" t="str">
        <f t="shared" si="36"/>
        <v/>
      </c>
      <c r="AM242" s="46" t="str">
        <f t="shared" si="36"/>
        <v/>
      </c>
      <c r="AN242" s="46" t="str">
        <f t="shared" si="36"/>
        <v/>
      </c>
      <c r="AO242" s="46" t="str">
        <f t="shared" si="36"/>
        <v/>
      </c>
      <c r="AP242" s="46" t="str">
        <f t="shared" si="36"/>
        <v/>
      </c>
      <c r="AQ242" s="46" t="str">
        <f t="shared" si="36"/>
        <v/>
      </c>
      <c r="AR242" s="46" t="str">
        <f t="shared" si="36"/>
        <v/>
      </c>
      <c r="AS242" s="46" t="str">
        <f t="shared" si="36"/>
        <v/>
      </c>
      <c r="AT242" s="46" t="str">
        <f t="shared" si="36"/>
        <v/>
      </c>
      <c r="AU242" s="46" t="str">
        <f t="shared" si="36"/>
        <v/>
      </c>
      <c r="AV242" s="46" t="str">
        <f t="shared" si="36"/>
        <v/>
      </c>
      <c r="AW242" s="46" t="str">
        <f t="shared" si="36"/>
        <v/>
      </c>
      <c r="AX242" s="46" t="str">
        <f t="shared" si="36"/>
        <v/>
      </c>
      <c r="AY242" s="46" t="str">
        <f t="shared" si="36"/>
        <v/>
      </c>
      <c r="AZ242" s="46" t="str">
        <f t="shared" si="36"/>
        <v/>
      </c>
      <c r="BA242" s="46" t="str">
        <f t="shared" si="36"/>
        <v/>
      </c>
      <c r="BB242" s="46" t="str">
        <f t="shared" si="36"/>
        <v/>
      </c>
      <c r="BC242" s="46" t="str">
        <f t="shared" si="36"/>
        <v/>
      </c>
      <c r="BD242" s="46" t="str">
        <f t="shared" si="36"/>
        <v/>
      </c>
      <c r="BE242" s="46" t="str">
        <f t="shared" si="36"/>
        <v/>
      </c>
      <c r="BF242" s="46" t="str">
        <f t="shared" si="36"/>
        <v/>
      </c>
      <c r="BG242" s="46" t="str">
        <f t="shared" si="36"/>
        <v/>
      </c>
      <c r="BH242" s="46" t="str">
        <f t="shared" si="36"/>
        <v/>
      </c>
      <c r="BI242" s="46" t="str">
        <f t="shared" si="36"/>
        <v/>
      </c>
      <c r="BJ242" s="46" t="str">
        <f t="shared" si="36"/>
        <v/>
      </c>
      <c r="BK242" s="46" t="str">
        <f t="shared" si="36"/>
        <v/>
      </c>
      <c r="BL242" s="46" t="str">
        <f t="shared" si="36"/>
        <v/>
      </c>
      <c r="BM242" s="46" t="str">
        <f t="shared" si="36"/>
        <v/>
      </c>
      <c r="BN242" s="46" t="str">
        <f t="shared" si="36"/>
        <v/>
      </c>
      <c r="BO242" s="46" t="str">
        <f t="shared" si="36"/>
        <v/>
      </c>
      <c r="BP242" s="46" t="str">
        <f t="shared" si="35"/>
        <v/>
      </c>
      <c r="BQ242" s="46" t="str">
        <f t="shared" si="35"/>
        <v/>
      </c>
      <c r="BR242" s="46" t="str">
        <f t="shared" si="35"/>
        <v/>
      </c>
      <c r="BS242" s="46" t="str">
        <f t="shared" si="35"/>
        <v/>
      </c>
      <c r="BT242" s="46" t="str">
        <f t="shared" si="35"/>
        <v/>
      </c>
      <c r="BU242" s="46" t="str">
        <f t="shared" si="35"/>
        <v/>
      </c>
      <c r="BV242" s="46" t="str">
        <f t="shared" si="35"/>
        <v/>
      </c>
      <c r="BW242" s="46">
        <f t="shared" si="35"/>
        <v>8</v>
      </c>
      <c r="BX242" s="46" t="str">
        <f t="shared" si="35"/>
        <v/>
      </c>
      <c r="BY242" s="46" t="str">
        <f t="shared" si="35"/>
        <v/>
      </c>
      <c r="BZ242" s="46" t="str">
        <f t="shared" si="35"/>
        <v/>
      </c>
      <c r="CA242" s="46" t="str">
        <f t="shared" si="35"/>
        <v/>
      </c>
      <c r="CB242" s="46" t="str">
        <f t="shared" si="35"/>
        <v/>
      </c>
      <c r="CC242" s="46" t="str">
        <f t="shared" si="35"/>
        <v/>
      </c>
      <c r="CD242" s="46" t="str">
        <f t="shared" si="35"/>
        <v/>
      </c>
      <c r="CE242" s="46" t="str">
        <f t="shared" si="35"/>
        <v/>
      </c>
      <c r="CF242" s="46" t="str">
        <f t="shared" si="35"/>
        <v/>
      </c>
      <c r="CG242" s="46" t="str">
        <f t="shared" si="35"/>
        <v/>
      </c>
      <c r="CH242" s="46" t="str">
        <f t="shared" si="35"/>
        <v/>
      </c>
      <c r="CI242" s="46" t="str">
        <f t="shared" si="35"/>
        <v/>
      </c>
      <c r="CJ242" s="46" t="str">
        <f t="shared" si="35"/>
        <v/>
      </c>
      <c r="CK242" s="46" t="str">
        <f t="shared" si="35"/>
        <v/>
      </c>
      <c r="CL242" s="46" t="str">
        <f t="shared" si="35"/>
        <v/>
      </c>
      <c r="CM242" s="46" t="str">
        <f t="shared" si="35"/>
        <v/>
      </c>
      <c r="CN242" s="46">
        <f t="shared" si="35"/>
        <v>8</v>
      </c>
      <c r="CO242" s="46" t="str">
        <f t="shared" si="35"/>
        <v/>
      </c>
      <c r="CP242" s="46" t="str">
        <f t="shared" si="35"/>
        <v/>
      </c>
      <c r="CQ242" s="46" t="str">
        <f t="shared" si="35"/>
        <v/>
      </c>
      <c r="CR242" s="46" t="str">
        <f t="shared" si="35"/>
        <v/>
      </c>
      <c r="CS242" s="46" t="str">
        <f t="shared" si="35"/>
        <v/>
      </c>
      <c r="CT242" s="46" t="str">
        <f t="shared" si="35"/>
        <v/>
      </c>
      <c r="CU242" s="46" t="str">
        <f t="shared" si="35"/>
        <v/>
      </c>
      <c r="CV242" s="46" t="str">
        <f t="shared" si="35"/>
        <v/>
      </c>
      <c r="CW242" s="46" t="str">
        <f t="shared" si="35"/>
        <v/>
      </c>
      <c r="CX242" s="46" t="str">
        <f t="shared" si="35"/>
        <v/>
      </c>
      <c r="CY242" s="46" t="str">
        <f t="shared" si="35"/>
        <v/>
      </c>
      <c r="CZ242" s="46" t="str">
        <f t="shared" si="35"/>
        <v/>
      </c>
      <c r="DA242" s="46" t="str">
        <f t="shared" si="35"/>
        <v/>
      </c>
      <c r="DB242" s="46" t="str">
        <f t="shared" si="35"/>
        <v/>
      </c>
      <c r="DC242" s="46" t="str">
        <f t="shared" si="35"/>
        <v/>
      </c>
      <c r="DD242" s="46" t="str">
        <f t="shared" si="35"/>
        <v/>
      </c>
      <c r="DE242" s="46" t="str">
        <f t="shared" si="35"/>
        <v/>
      </c>
      <c r="DF242" s="46" t="str">
        <f t="shared" si="35"/>
        <v/>
      </c>
      <c r="DG242" s="46" t="str">
        <f t="shared" si="35"/>
        <v/>
      </c>
      <c r="DH242" s="46" t="str">
        <f t="shared" si="35"/>
        <v/>
      </c>
      <c r="DL242" s="6"/>
    </row>
    <row r="243" spans="1:116" x14ac:dyDescent="0.25">
      <c r="B243" s="46"/>
      <c r="C243" s="46" t="str">
        <f t="shared" si="15"/>
        <v/>
      </c>
      <c r="D243" s="46" t="str">
        <f t="shared" si="36"/>
        <v/>
      </c>
      <c r="E243" s="46" t="str">
        <f t="shared" si="36"/>
        <v/>
      </c>
      <c r="F243" s="46" t="str">
        <f t="shared" si="36"/>
        <v/>
      </c>
      <c r="G243" s="46" t="str">
        <f t="shared" si="36"/>
        <v/>
      </c>
      <c r="H243" s="46" t="str">
        <f t="shared" si="36"/>
        <v/>
      </c>
      <c r="I243" s="46" t="str">
        <f t="shared" si="36"/>
        <v/>
      </c>
      <c r="J243" s="46" t="str">
        <f t="shared" si="36"/>
        <v/>
      </c>
      <c r="K243" s="46" t="str">
        <f t="shared" si="36"/>
        <v/>
      </c>
      <c r="L243" s="46" t="str">
        <f t="shared" si="36"/>
        <v/>
      </c>
      <c r="M243" s="46" t="str">
        <f t="shared" si="36"/>
        <v/>
      </c>
      <c r="N243" s="46" t="str">
        <f t="shared" si="36"/>
        <v/>
      </c>
      <c r="O243" s="46" t="str">
        <f t="shared" si="36"/>
        <v/>
      </c>
      <c r="P243" s="46" t="str">
        <f t="shared" si="36"/>
        <v/>
      </c>
      <c r="Q243" s="46" t="str">
        <f t="shared" si="36"/>
        <v/>
      </c>
      <c r="R243" s="46" t="str">
        <f t="shared" si="36"/>
        <v/>
      </c>
      <c r="S243" s="46" t="str">
        <f t="shared" si="36"/>
        <v/>
      </c>
      <c r="T243" s="46" t="str">
        <f t="shared" si="36"/>
        <v/>
      </c>
      <c r="U243" s="46" t="str">
        <f t="shared" si="36"/>
        <v/>
      </c>
      <c r="V243" s="46" t="str">
        <f t="shared" si="36"/>
        <v/>
      </c>
      <c r="W243" s="46" t="str">
        <f t="shared" si="36"/>
        <v/>
      </c>
      <c r="X243" s="46" t="str">
        <f t="shared" si="36"/>
        <v/>
      </c>
      <c r="Y243" s="46" t="str">
        <f t="shared" si="36"/>
        <v/>
      </c>
      <c r="Z243" s="46" t="str">
        <f t="shared" si="36"/>
        <v/>
      </c>
      <c r="AA243" s="46">
        <f t="shared" si="36"/>
        <v>8</v>
      </c>
      <c r="AB243" s="46" t="str">
        <f t="shared" si="36"/>
        <v/>
      </c>
      <c r="AC243" s="46" t="str">
        <f t="shared" si="36"/>
        <v/>
      </c>
      <c r="AD243" s="46" t="str">
        <f t="shared" si="36"/>
        <v/>
      </c>
      <c r="AE243" s="46" t="str">
        <f t="shared" si="36"/>
        <v/>
      </c>
      <c r="AF243" s="46" t="str">
        <f t="shared" si="36"/>
        <v/>
      </c>
      <c r="AG243" s="46" t="str">
        <f t="shared" si="36"/>
        <v/>
      </c>
      <c r="AH243" s="46" t="str">
        <f t="shared" si="36"/>
        <v/>
      </c>
      <c r="AI243" s="46" t="str">
        <f t="shared" si="36"/>
        <v/>
      </c>
      <c r="AJ243" s="46" t="str">
        <f t="shared" si="36"/>
        <v/>
      </c>
      <c r="AK243" s="46" t="str">
        <f t="shared" si="36"/>
        <v/>
      </c>
      <c r="AL243" s="46" t="str">
        <f t="shared" si="36"/>
        <v/>
      </c>
      <c r="AM243" s="46" t="str">
        <f t="shared" si="36"/>
        <v/>
      </c>
      <c r="AN243" s="46" t="str">
        <f t="shared" si="36"/>
        <v/>
      </c>
      <c r="AO243" s="46" t="str">
        <f t="shared" si="36"/>
        <v/>
      </c>
      <c r="AP243" s="46" t="str">
        <f t="shared" si="36"/>
        <v/>
      </c>
      <c r="AQ243" s="46" t="str">
        <f t="shared" si="36"/>
        <v/>
      </c>
      <c r="AR243" s="46" t="str">
        <f t="shared" si="36"/>
        <v/>
      </c>
      <c r="AS243" s="46" t="str">
        <f t="shared" si="36"/>
        <v/>
      </c>
      <c r="AT243" s="46" t="str">
        <f t="shared" si="36"/>
        <v/>
      </c>
      <c r="AU243" s="46" t="str">
        <f t="shared" si="36"/>
        <v/>
      </c>
      <c r="AV243" s="46" t="str">
        <f t="shared" si="36"/>
        <v/>
      </c>
      <c r="AW243" s="46" t="str">
        <f t="shared" si="36"/>
        <v/>
      </c>
      <c r="AX243" s="46" t="str">
        <f t="shared" si="36"/>
        <v/>
      </c>
      <c r="AY243" s="46" t="str">
        <f t="shared" si="36"/>
        <v/>
      </c>
      <c r="AZ243" s="46" t="str">
        <f t="shared" si="36"/>
        <v/>
      </c>
      <c r="BA243" s="46" t="str">
        <f t="shared" si="36"/>
        <v/>
      </c>
      <c r="BB243" s="46" t="str">
        <f t="shared" si="36"/>
        <v/>
      </c>
      <c r="BC243" s="46" t="str">
        <f t="shared" si="36"/>
        <v/>
      </c>
      <c r="BD243" s="46" t="str">
        <f t="shared" si="36"/>
        <v/>
      </c>
      <c r="BE243" s="46" t="str">
        <f t="shared" si="36"/>
        <v/>
      </c>
      <c r="BF243" s="46" t="str">
        <f t="shared" si="36"/>
        <v/>
      </c>
      <c r="BG243" s="46">
        <f t="shared" si="36"/>
        <v>8</v>
      </c>
      <c r="BH243" s="46" t="str">
        <f t="shared" si="36"/>
        <v/>
      </c>
      <c r="BI243" s="46" t="str">
        <f t="shared" si="36"/>
        <v/>
      </c>
      <c r="BJ243" s="46" t="str">
        <f t="shared" si="36"/>
        <v/>
      </c>
      <c r="BK243" s="46">
        <f t="shared" si="36"/>
        <v>8</v>
      </c>
      <c r="BL243" s="46">
        <f t="shared" si="36"/>
        <v>8</v>
      </c>
      <c r="BM243" s="46">
        <f t="shared" si="36"/>
        <v>8</v>
      </c>
      <c r="BN243" s="46" t="str">
        <f t="shared" si="36"/>
        <v/>
      </c>
      <c r="BO243" s="46" t="str">
        <f t="shared" si="36"/>
        <v/>
      </c>
      <c r="BP243" s="46" t="str">
        <f t="shared" si="35"/>
        <v/>
      </c>
      <c r="BQ243" s="46" t="str">
        <f t="shared" si="35"/>
        <v/>
      </c>
      <c r="BR243" s="46" t="str">
        <f t="shared" si="35"/>
        <v/>
      </c>
      <c r="BS243" s="46" t="str">
        <f t="shared" si="35"/>
        <v/>
      </c>
      <c r="BT243" s="46" t="str">
        <f t="shared" si="35"/>
        <v/>
      </c>
      <c r="BU243" s="46" t="str">
        <f t="shared" si="35"/>
        <v/>
      </c>
      <c r="BV243" s="46" t="str">
        <f t="shared" si="35"/>
        <v/>
      </c>
      <c r="BW243" s="46" t="str">
        <f t="shared" si="35"/>
        <v/>
      </c>
      <c r="BX243" s="46" t="str">
        <f t="shared" si="35"/>
        <v/>
      </c>
      <c r="BY243" s="46" t="str">
        <f t="shared" si="35"/>
        <v/>
      </c>
      <c r="BZ243" s="46" t="str">
        <f t="shared" si="35"/>
        <v/>
      </c>
      <c r="CA243" s="46">
        <f t="shared" si="35"/>
        <v>8</v>
      </c>
      <c r="CB243" s="46" t="str">
        <f t="shared" si="35"/>
        <v/>
      </c>
      <c r="CC243" s="46" t="str">
        <f t="shared" si="35"/>
        <v/>
      </c>
      <c r="CD243" s="46" t="str">
        <f t="shared" si="35"/>
        <v/>
      </c>
      <c r="CE243" s="46" t="str">
        <f t="shared" si="35"/>
        <v/>
      </c>
      <c r="CF243" s="46" t="str">
        <f t="shared" si="35"/>
        <v/>
      </c>
      <c r="CG243" s="46" t="str">
        <f t="shared" si="35"/>
        <v/>
      </c>
      <c r="CH243" s="46" t="str">
        <f t="shared" si="35"/>
        <v/>
      </c>
      <c r="CI243" s="46" t="str">
        <f t="shared" si="35"/>
        <v/>
      </c>
      <c r="CJ243" s="46" t="str">
        <f t="shared" si="35"/>
        <v/>
      </c>
      <c r="CK243" s="46" t="str">
        <f t="shared" si="35"/>
        <v/>
      </c>
      <c r="CL243" s="46" t="str">
        <f t="shared" si="35"/>
        <v/>
      </c>
      <c r="CM243" s="46" t="str">
        <f t="shared" si="35"/>
        <v/>
      </c>
      <c r="CN243" s="46" t="str">
        <f t="shared" si="35"/>
        <v/>
      </c>
      <c r="CO243" s="46" t="str">
        <f t="shared" si="35"/>
        <v/>
      </c>
      <c r="CP243" s="46" t="str">
        <f t="shared" si="35"/>
        <v/>
      </c>
      <c r="CQ243" s="46" t="str">
        <f t="shared" si="35"/>
        <v/>
      </c>
      <c r="CR243" s="46">
        <f t="shared" si="35"/>
        <v>8</v>
      </c>
      <c r="CS243" s="46" t="str">
        <f t="shared" si="35"/>
        <v/>
      </c>
      <c r="CT243" s="46" t="str">
        <f t="shared" si="35"/>
        <v/>
      </c>
      <c r="CU243" s="46" t="str">
        <f t="shared" si="35"/>
        <v/>
      </c>
      <c r="CV243" s="46">
        <f t="shared" si="35"/>
        <v>8</v>
      </c>
      <c r="CW243" s="46" t="str">
        <f t="shared" si="35"/>
        <v/>
      </c>
      <c r="CX243" s="46" t="str">
        <f t="shared" si="35"/>
        <v/>
      </c>
      <c r="CY243" s="46">
        <f t="shared" si="35"/>
        <v>8</v>
      </c>
      <c r="CZ243" s="46" t="str">
        <f t="shared" si="35"/>
        <v/>
      </c>
      <c r="DA243" s="46" t="str">
        <f t="shared" si="35"/>
        <v/>
      </c>
      <c r="DB243" s="46" t="str">
        <f t="shared" si="35"/>
        <v/>
      </c>
      <c r="DC243" s="46">
        <f t="shared" si="35"/>
        <v>8</v>
      </c>
      <c r="DD243" s="46" t="str">
        <f t="shared" si="35"/>
        <v/>
      </c>
      <c r="DE243" s="46" t="str">
        <f t="shared" si="35"/>
        <v/>
      </c>
      <c r="DF243" s="46">
        <f t="shared" si="35"/>
        <v>8</v>
      </c>
      <c r="DG243" s="46">
        <f t="shared" si="35"/>
        <v>8</v>
      </c>
      <c r="DH243" s="46">
        <f t="shared" si="35"/>
        <v>8</v>
      </c>
      <c r="DL243" s="6"/>
    </row>
    <row r="244" spans="1:116" x14ac:dyDescent="0.25">
      <c r="B244" s="46"/>
      <c r="C244" s="46" t="str">
        <f t="shared" si="15"/>
        <v/>
      </c>
      <c r="D244" s="46" t="str">
        <f t="shared" si="36"/>
        <v/>
      </c>
      <c r="E244" s="46" t="str">
        <f t="shared" si="36"/>
        <v/>
      </c>
      <c r="F244" s="46" t="str">
        <f t="shared" si="36"/>
        <v/>
      </c>
      <c r="G244" s="46" t="str">
        <f t="shared" si="36"/>
        <v/>
      </c>
      <c r="H244" s="46" t="str">
        <f t="shared" si="36"/>
        <v/>
      </c>
      <c r="I244" s="46" t="str">
        <f t="shared" si="36"/>
        <v/>
      </c>
      <c r="J244" s="46" t="str">
        <f t="shared" si="36"/>
        <v/>
      </c>
      <c r="K244" s="46" t="str">
        <f t="shared" si="36"/>
        <v/>
      </c>
      <c r="L244" s="46" t="str">
        <f t="shared" si="36"/>
        <v/>
      </c>
      <c r="M244" s="46" t="str">
        <f t="shared" si="36"/>
        <v/>
      </c>
      <c r="N244" s="46" t="str">
        <f t="shared" si="36"/>
        <v/>
      </c>
      <c r="O244" s="46" t="str">
        <f t="shared" si="36"/>
        <v/>
      </c>
      <c r="P244" s="46" t="str">
        <f t="shared" si="36"/>
        <v/>
      </c>
      <c r="Q244" s="46" t="str">
        <f t="shared" si="36"/>
        <v/>
      </c>
      <c r="R244" s="46" t="str">
        <f t="shared" si="36"/>
        <v/>
      </c>
      <c r="S244" s="46" t="str">
        <f t="shared" si="36"/>
        <v/>
      </c>
      <c r="T244" s="46" t="str">
        <f t="shared" si="36"/>
        <v/>
      </c>
      <c r="U244" s="46" t="str">
        <f t="shared" si="36"/>
        <v/>
      </c>
      <c r="V244" s="46" t="str">
        <f t="shared" si="36"/>
        <v/>
      </c>
      <c r="W244" s="46" t="str">
        <f t="shared" si="36"/>
        <v/>
      </c>
      <c r="X244" s="46" t="str">
        <f t="shared" si="36"/>
        <v/>
      </c>
      <c r="Y244" s="46" t="str">
        <f t="shared" si="36"/>
        <v/>
      </c>
      <c r="Z244" s="46" t="str">
        <f t="shared" si="36"/>
        <v/>
      </c>
      <c r="AA244" s="46" t="str">
        <f t="shared" si="36"/>
        <v/>
      </c>
      <c r="AB244" s="46" t="str">
        <f t="shared" si="36"/>
        <v/>
      </c>
      <c r="AC244" s="46" t="str">
        <f t="shared" si="36"/>
        <v/>
      </c>
      <c r="AD244" s="46" t="str">
        <f t="shared" si="36"/>
        <v/>
      </c>
      <c r="AE244" s="46" t="str">
        <f t="shared" si="36"/>
        <v/>
      </c>
      <c r="AF244" s="46" t="str">
        <f t="shared" si="36"/>
        <v/>
      </c>
      <c r="AG244" s="46" t="str">
        <f t="shared" si="36"/>
        <v/>
      </c>
      <c r="AH244" s="46" t="str">
        <f t="shared" si="36"/>
        <v/>
      </c>
      <c r="AI244" s="46" t="str">
        <f t="shared" si="36"/>
        <v/>
      </c>
      <c r="AJ244" s="46" t="str">
        <f t="shared" si="36"/>
        <v/>
      </c>
      <c r="AK244" s="46" t="str">
        <f t="shared" si="36"/>
        <v/>
      </c>
      <c r="AL244" s="46" t="str">
        <f t="shared" si="36"/>
        <v/>
      </c>
      <c r="AM244" s="46" t="str">
        <f t="shared" si="36"/>
        <v/>
      </c>
      <c r="AN244" s="46" t="str">
        <f t="shared" si="36"/>
        <v/>
      </c>
      <c r="AO244" s="46" t="str">
        <f t="shared" si="36"/>
        <v/>
      </c>
      <c r="AP244" s="46" t="str">
        <f t="shared" si="36"/>
        <v/>
      </c>
      <c r="AQ244" s="46" t="str">
        <f t="shared" si="36"/>
        <v/>
      </c>
      <c r="AR244" s="46" t="str">
        <f t="shared" si="36"/>
        <v/>
      </c>
      <c r="AS244" s="46" t="str">
        <f t="shared" si="36"/>
        <v/>
      </c>
      <c r="AT244" s="46" t="str">
        <f t="shared" si="36"/>
        <v/>
      </c>
      <c r="AU244" s="46" t="str">
        <f t="shared" si="36"/>
        <v/>
      </c>
      <c r="AV244" s="46" t="str">
        <f t="shared" si="36"/>
        <v/>
      </c>
      <c r="AW244" s="46" t="str">
        <f t="shared" si="36"/>
        <v/>
      </c>
      <c r="AX244" s="46" t="str">
        <f t="shared" si="36"/>
        <v/>
      </c>
      <c r="AY244" s="46" t="str">
        <f t="shared" si="36"/>
        <v/>
      </c>
      <c r="AZ244" s="46" t="str">
        <f t="shared" si="36"/>
        <v/>
      </c>
      <c r="BA244" s="46" t="str">
        <f t="shared" si="36"/>
        <v/>
      </c>
      <c r="BB244" s="46" t="str">
        <f t="shared" si="36"/>
        <v/>
      </c>
      <c r="BC244" s="46" t="str">
        <f t="shared" si="36"/>
        <v/>
      </c>
      <c r="BD244" s="46" t="str">
        <f t="shared" si="36"/>
        <v/>
      </c>
      <c r="BE244" s="46" t="str">
        <f t="shared" si="36"/>
        <v/>
      </c>
      <c r="BF244" s="46" t="str">
        <f t="shared" si="36"/>
        <v/>
      </c>
      <c r="BG244" s="46" t="str">
        <f t="shared" si="36"/>
        <v/>
      </c>
      <c r="BH244" s="46" t="str">
        <f t="shared" si="36"/>
        <v/>
      </c>
      <c r="BI244" s="46" t="str">
        <f t="shared" si="36"/>
        <v/>
      </c>
      <c r="BJ244" s="46" t="str">
        <f t="shared" si="36"/>
        <v/>
      </c>
      <c r="BK244" s="46" t="str">
        <f t="shared" si="36"/>
        <v/>
      </c>
      <c r="BL244" s="46" t="str">
        <f t="shared" si="36"/>
        <v/>
      </c>
      <c r="BM244" s="46" t="str">
        <f t="shared" si="36"/>
        <v/>
      </c>
      <c r="BN244" s="46" t="str">
        <f t="shared" si="36"/>
        <v/>
      </c>
      <c r="BO244" s="46" t="str">
        <f t="shared" ref="BO244:DH247" si="37">IF(BO54="X",$DK54,"")</f>
        <v/>
      </c>
      <c r="BP244" s="46" t="str">
        <f t="shared" si="37"/>
        <v/>
      </c>
      <c r="BQ244" s="46" t="str">
        <f t="shared" si="37"/>
        <v/>
      </c>
      <c r="BR244" s="46" t="str">
        <f t="shared" si="37"/>
        <v/>
      </c>
      <c r="BS244" s="46" t="str">
        <f t="shared" si="37"/>
        <v/>
      </c>
      <c r="BT244" s="46" t="str">
        <f t="shared" si="37"/>
        <v/>
      </c>
      <c r="BU244" s="46" t="str">
        <f t="shared" si="37"/>
        <v/>
      </c>
      <c r="BV244" s="46" t="str">
        <f t="shared" si="37"/>
        <v/>
      </c>
      <c r="BW244" s="46" t="str">
        <f t="shared" si="37"/>
        <v/>
      </c>
      <c r="BX244" s="46" t="str">
        <f t="shared" si="37"/>
        <v/>
      </c>
      <c r="BY244" s="46" t="str">
        <f t="shared" si="37"/>
        <v/>
      </c>
      <c r="BZ244" s="46" t="str">
        <f t="shared" si="37"/>
        <v/>
      </c>
      <c r="CA244" s="46" t="str">
        <f t="shared" si="37"/>
        <v/>
      </c>
      <c r="CB244" s="46" t="str">
        <f t="shared" si="37"/>
        <v/>
      </c>
      <c r="CC244" s="46" t="str">
        <f t="shared" si="37"/>
        <v/>
      </c>
      <c r="CD244" s="46" t="str">
        <f t="shared" si="37"/>
        <v/>
      </c>
      <c r="CE244" s="46" t="str">
        <f t="shared" si="37"/>
        <v/>
      </c>
      <c r="CF244" s="46" t="str">
        <f t="shared" si="37"/>
        <v/>
      </c>
      <c r="CG244" s="46" t="str">
        <f t="shared" si="37"/>
        <v/>
      </c>
      <c r="CH244" s="46" t="str">
        <f t="shared" si="37"/>
        <v/>
      </c>
      <c r="CI244" s="46" t="str">
        <f t="shared" si="37"/>
        <v/>
      </c>
      <c r="CJ244" s="46" t="str">
        <f t="shared" si="37"/>
        <v/>
      </c>
      <c r="CK244" s="46" t="str">
        <f t="shared" si="37"/>
        <v/>
      </c>
      <c r="CL244" s="46" t="str">
        <f t="shared" si="37"/>
        <v/>
      </c>
      <c r="CM244" s="46" t="str">
        <f t="shared" si="37"/>
        <v/>
      </c>
      <c r="CN244" s="46">
        <f t="shared" si="37"/>
        <v>8</v>
      </c>
      <c r="CO244" s="46" t="str">
        <f t="shared" si="37"/>
        <v/>
      </c>
      <c r="CP244" s="46" t="str">
        <f t="shared" si="37"/>
        <v/>
      </c>
      <c r="CQ244" s="46" t="str">
        <f t="shared" si="37"/>
        <v/>
      </c>
      <c r="CR244" s="46" t="str">
        <f t="shared" si="37"/>
        <v/>
      </c>
      <c r="CS244" s="46" t="str">
        <f t="shared" si="37"/>
        <v/>
      </c>
      <c r="CT244" s="46" t="str">
        <f t="shared" si="37"/>
        <v/>
      </c>
      <c r="CU244" s="46" t="str">
        <f t="shared" si="37"/>
        <v/>
      </c>
      <c r="CV244" s="46" t="str">
        <f t="shared" si="37"/>
        <v/>
      </c>
      <c r="CW244" s="46" t="str">
        <f t="shared" si="37"/>
        <v/>
      </c>
      <c r="CX244" s="46" t="str">
        <f t="shared" si="37"/>
        <v/>
      </c>
      <c r="CY244" s="46" t="str">
        <f t="shared" si="37"/>
        <v/>
      </c>
      <c r="CZ244" s="46" t="str">
        <f t="shared" si="37"/>
        <v/>
      </c>
      <c r="DA244" s="46" t="str">
        <f t="shared" si="37"/>
        <v/>
      </c>
      <c r="DB244" s="46" t="str">
        <f t="shared" si="37"/>
        <v/>
      </c>
      <c r="DC244" s="46" t="str">
        <f t="shared" si="37"/>
        <v/>
      </c>
      <c r="DD244" s="46" t="str">
        <f t="shared" si="37"/>
        <v/>
      </c>
      <c r="DE244" s="46" t="str">
        <f t="shared" si="37"/>
        <v/>
      </c>
      <c r="DF244" s="46" t="str">
        <f t="shared" si="37"/>
        <v/>
      </c>
      <c r="DG244" s="46" t="str">
        <f t="shared" si="37"/>
        <v/>
      </c>
      <c r="DH244" s="46" t="str">
        <f t="shared" si="37"/>
        <v/>
      </c>
      <c r="DL244" s="6"/>
    </row>
    <row r="245" spans="1:116" x14ac:dyDescent="0.25">
      <c r="B245" s="46"/>
      <c r="C245" s="46" t="str">
        <f t="shared" si="15"/>
        <v/>
      </c>
      <c r="D245" s="46" t="str">
        <f t="shared" ref="D245:BO248" si="38">IF(D55="X",$DK55,"")</f>
        <v/>
      </c>
      <c r="E245" s="46" t="str">
        <f t="shared" si="38"/>
        <v/>
      </c>
      <c r="F245" s="46" t="str">
        <f t="shared" si="38"/>
        <v/>
      </c>
      <c r="G245" s="46" t="str">
        <f t="shared" si="38"/>
        <v/>
      </c>
      <c r="H245" s="46" t="str">
        <f t="shared" si="38"/>
        <v/>
      </c>
      <c r="I245" s="46" t="str">
        <f t="shared" si="38"/>
        <v/>
      </c>
      <c r="J245" s="46" t="str">
        <f t="shared" si="38"/>
        <v/>
      </c>
      <c r="K245" s="46" t="str">
        <f t="shared" si="38"/>
        <v/>
      </c>
      <c r="L245" s="46" t="str">
        <f t="shared" si="38"/>
        <v/>
      </c>
      <c r="M245" s="46" t="str">
        <f t="shared" si="38"/>
        <v/>
      </c>
      <c r="N245" s="46" t="str">
        <f t="shared" si="38"/>
        <v/>
      </c>
      <c r="O245" s="46" t="str">
        <f t="shared" si="38"/>
        <v/>
      </c>
      <c r="P245" s="46" t="str">
        <f t="shared" si="38"/>
        <v/>
      </c>
      <c r="Q245" s="46" t="str">
        <f t="shared" si="38"/>
        <v/>
      </c>
      <c r="R245" s="46" t="str">
        <f t="shared" si="38"/>
        <v/>
      </c>
      <c r="S245" s="46" t="str">
        <f t="shared" si="38"/>
        <v/>
      </c>
      <c r="T245" s="46" t="str">
        <f t="shared" si="38"/>
        <v/>
      </c>
      <c r="U245" s="46" t="str">
        <f t="shared" si="38"/>
        <v/>
      </c>
      <c r="V245" s="46" t="str">
        <f t="shared" si="38"/>
        <v/>
      </c>
      <c r="W245" s="46" t="str">
        <f t="shared" si="38"/>
        <v/>
      </c>
      <c r="X245" s="46" t="str">
        <f t="shared" si="38"/>
        <v/>
      </c>
      <c r="Y245" s="46" t="str">
        <f t="shared" si="38"/>
        <v/>
      </c>
      <c r="Z245" s="46" t="str">
        <f t="shared" si="38"/>
        <v/>
      </c>
      <c r="AA245" s="46" t="str">
        <f t="shared" si="38"/>
        <v/>
      </c>
      <c r="AB245" s="46" t="str">
        <f t="shared" si="38"/>
        <v/>
      </c>
      <c r="AC245" s="46" t="str">
        <f t="shared" si="38"/>
        <v/>
      </c>
      <c r="AD245" s="46" t="str">
        <f t="shared" si="38"/>
        <v/>
      </c>
      <c r="AE245" s="46" t="str">
        <f t="shared" si="38"/>
        <v/>
      </c>
      <c r="AF245" s="46" t="str">
        <f t="shared" si="38"/>
        <v/>
      </c>
      <c r="AG245" s="46" t="str">
        <f t="shared" si="38"/>
        <v/>
      </c>
      <c r="AH245" s="46" t="str">
        <f t="shared" si="38"/>
        <v/>
      </c>
      <c r="AI245" s="46" t="str">
        <f t="shared" si="38"/>
        <v/>
      </c>
      <c r="AJ245" s="46" t="str">
        <f t="shared" si="38"/>
        <v/>
      </c>
      <c r="AK245" s="46" t="str">
        <f t="shared" si="38"/>
        <v/>
      </c>
      <c r="AL245" s="46" t="str">
        <f t="shared" si="38"/>
        <v/>
      </c>
      <c r="AM245" s="46" t="str">
        <f t="shared" si="38"/>
        <v/>
      </c>
      <c r="AN245" s="46" t="str">
        <f t="shared" si="38"/>
        <v/>
      </c>
      <c r="AO245" s="46" t="str">
        <f t="shared" si="38"/>
        <v/>
      </c>
      <c r="AP245" s="46" t="str">
        <f t="shared" si="38"/>
        <v/>
      </c>
      <c r="AQ245" s="46" t="str">
        <f t="shared" si="38"/>
        <v/>
      </c>
      <c r="AR245" s="46" t="str">
        <f t="shared" si="38"/>
        <v/>
      </c>
      <c r="AS245" s="46" t="str">
        <f t="shared" si="38"/>
        <v/>
      </c>
      <c r="AT245" s="46" t="str">
        <f t="shared" si="38"/>
        <v/>
      </c>
      <c r="AU245" s="46" t="str">
        <f t="shared" si="38"/>
        <v/>
      </c>
      <c r="AV245" s="46" t="str">
        <f t="shared" si="38"/>
        <v/>
      </c>
      <c r="AW245" s="46" t="str">
        <f t="shared" si="38"/>
        <v/>
      </c>
      <c r="AX245" s="46" t="str">
        <f t="shared" si="38"/>
        <v/>
      </c>
      <c r="AY245" s="46" t="str">
        <f t="shared" si="38"/>
        <v/>
      </c>
      <c r="AZ245" s="46" t="str">
        <f t="shared" si="38"/>
        <v/>
      </c>
      <c r="BA245" s="46" t="str">
        <f t="shared" si="38"/>
        <v/>
      </c>
      <c r="BB245" s="46" t="str">
        <f t="shared" si="38"/>
        <v/>
      </c>
      <c r="BC245" s="46" t="str">
        <f t="shared" si="38"/>
        <v/>
      </c>
      <c r="BD245" s="46" t="str">
        <f t="shared" si="38"/>
        <v/>
      </c>
      <c r="BE245" s="46" t="str">
        <f t="shared" si="38"/>
        <v/>
      </c>
      <c r="BF245" s="46" t="str">
        <f t="shared" si="38"/>
        <v/>
      </c>
      <c r="BG245" s="46" t="str">
        <f t="shared" si="38"/>
        <v/>
      </c>
      <c r="BH245" s="46" t="str">
        <f t="shared" si="38"/>
        <v/>
      </c>
      <c r="BI245" s="46" t="str">
        <f t="shared" si="38"/>
        <v/>
      </c>
      <c r="BJ245" s="46" t="str">
        <f t="shared" si="38"/>
        <v/>
      </c>
      <c r="BK245" s="46" t="str">
        <f t="shared" si="38"/>
        <v/>
      </c>
      <c r="BL245" s="46" t="str">
        <f t="shared" si="38"/>
        <v/>
      </c>
      <c r="BM245" s="46" t="str">
        <f t="shared" si="38"/>
        <v/>
      </c>
      <c r="BN245" s="46" t="str">
        <f t="shared" si="38"/>
        <v/>
      </c>
      <c r="BO245" s="46" t="str">
        <f t="shared" si="38"/>
        <v/>
      </c>
      <c r="BP245" s="46" t="str">
        <f t="shared" si="37"/>
        <v/>
      </c>
      <c r="BQ245" s="46" t="str">
        <f t="shared" si="37"/>
        <v/>
      </c>
      <c r="BR245" s="46" t="str">
        <f t="shared" si="37"/>
        <v/>
      </c>
      <c r="BS245" s="46" t="str">
        <f t="shared" si="37"/>
        <v/>
      </c>
      <c r="BT245" s="46" t="str">
        <f t="shared" si="37"/>
        <v/>
      </c>
      <c r="BU245" s="46" t="str">
        <f t="shared" si="37"/>
        <v/>
      </c>
      <c r="BV245" s="46" t="str">
        <f t="shared" si="37"/>
        <v/>
      </c>
      <c r="BW245" s="46">
        <f t="shared" si="37"/>
        <v>8</v>
      </c>
      <c r="BX245" s="46" t="str">
        <f t="shared" si="37"/>
        <v/>
      </c>
      <c r="BY245" s="46" t="str">
        <f t="shared" si="37"/>
        <v/>
      </c>
      <c r="BZ245" s="46" t="str">
        <f t="shared" si="37"/>
        <v/>
      </c>
      <c r="CA245" s="46" t="str">
        <f t="shared" si="37"/>
        <v/>
      </c>
      <c r="CB245" s="46" t="str">
        <f t="shared" si="37"/>
        <v/>
      </c>
      <c r="CC245" s="46" t="str">
        <f t="shared" si="37"/>
        <v/>
      </c>
      <c r="CD245" s="46" t="str">
        <f t="shared" si="37"/>
        <v/>
      </c>
      <c r="CE245" s="46" t="str">
        <f t="shared" si="37"/>
        <v/>
      </c>
      <c r="CF245" s="46" t="str">
        <f t="shared" si="37"/>
        <v/>
      </c>
      <c r="CG245" s="46" t="str">
        <f t="shared" si="37"/>
        <v/>
      </c>
      <c r="CH245" s="46" t="str">
        <f t="shared" si="37"/>
        <v/>
      </c>
      <c r="CI245" s="46" t="str">
        <f t="shared" si="37"/>
        <v/>
      </c>
      <c r="CJ245" s="46" t="str">
        <f t="shared" si="37"/>
        <v/>
      </c>
      <c r="CK245" s="46" t="str">
        <f t="shared" si="37"/>
        <v/>
      </c>
      <c r="CL245" s="46" t="str">
        <f t="shared" si="37"/>
        <v/>
      </c>
      <c r="CM245" s="46" t="str">
        <f t="shared" si="37"/>
        <v/>
      </c>
      <c r="CN245" s="46">
        <f t="shared" si="37"/>
        <v>8</v>
      </c>
      <c r="CO245" s="46" t="str">
        <f t="shared" si="37"/>
        <v/>
      </c>
      <c r="CP245" s="46" t="str">
        <f t="shared" si="37"/>
        <v/>
      </c>
      <c r="CQ245" s="46" t="str">
        <f t="shared" si="37"/>
        <v/>
      </c>
      <c r="CR245" s="46" t="str">
        <f t="shared" si="37"/>
        <v/>
      </c>
      <c r="CS245" s="46" t="str">
        <f t="shared" si="37"/>
        <v/>
      </c>
      <c r="CT245" s="46" t="str">
        <f t="shared" si="37"/>
        <v/>
      </c>
      <c r="CU245" s="46" t="str">
        <f t="shared" si="37"/>
        <v/>
      </c>
      <c r="CV245" s="46" t="str">
        <f t="shared" si="37"/>
        <v/>
      </c>
      <c r="CW245" s="46" t="str">
        <f t="shared" si="37"/>
        <v/>
      </c>
      <c r="CX245" s="46" t="str">
        <f t="shared" si="37"/>
        <v/>
      </c>
      <c r="CY245" s="46" t="str">
        <f t="shared" si="37"/>
        <v/>
      </c>
      <c r="CZ245" s="46" t="str">
        <f t="shared" si="37"/>
        <v/>
      </c>
      <c r="DA245" s="46" t="str">
        <f t="shared" si="37"/>
        <v/>
      </c>
      <c r="DB245" s="46" t="str">
        <f t="shared" si="37"/>
        <v/>
      </c>
      <c r="DC245" s="46" t="str">
        <f t="shared" si="37"/>
        <v/>
      </c>
      <c r="DD245" s="46" t="str">
        <f t="shared" si="37"/>
        <v/>
      </c>
      <c r="DE245" s="46" t="str">
        <f t="shared" si="37"/>
        <v/>
      </c>
      <c r="DF245" s="46" t="str">
        <f t="shared" si="37"/>
        <v/>
      </c>
      <c r="DG245" s="46" t="str">
        <f t="shared" si="37"/>
        <v/>
      </c>
      <c r="DH245" s="46" t="str">
        <f t="shared" si="37"/>
        <v/>
      </c>
      <c r="DL245" s="6"/>
    </row>
    <row r="246" spans="1:116" x14ac:dyDescent="0.25">
      <c r="B246" s="46"/>
      <c r="C246" s="46" t="str">
        <f t="shared" si="15"/>
        <v/>
      </c>
      <c r="D246" s="46" t="str">
        <f t="shared" si="38"/>
        <v/>
      </c>
      <c r="E246" s="46" t="str">
        <f t="shared" si="38"/>
        <v/>
      </c>
      <c r="F246" s="46" t="str">
        <f t="shared" si="38"/>
        <v/>
      </c>
      <c r="G246" s="46" t="str">
        <f t="shared" si="38"/>
        <v/>
      </c>
      <c r="H246" s="46" t="str">
        <f t="shared" si="38"/>
        <v/>
      </c>
      <c r="I246" s="46" t="str">
        <f t="shared" si="38"/>
        <v/>
      </c>
      <c r="J246" s="46" t="str">
        <f t="shared" si="38"/>
        <v/>
      </c>
      <c r="K246" s="46" t="str">
        <f t="shared" si="38"/>
        <v/>
      </c>
      <c r="L246" s="46" t="str">
        <f t="shared" si="38"/>
        <v/>
      </c>
      <c r="M246" s="46" t="str">
        <f t="shared" si="38"/>
        <v/>
      </c>
      <c r="N246" s="46" t="str">
        <f t="shared" si="38"/>
        <v/>
      </c>
      <c r="O246" s="46" t="str">
        <f t="shared" si="38"/>
        <v/>
      </c>
      <c r="P246" s="46" t="str">
        <f t="shared" si="38"/>
        <v/>
      </c>
      <c r="Q246" s="46" t="str">
        <f t="shared" si="38"/>
        <v/>
      </c>
      <c r="R246" s="46" t="str">
        <f t="shared" si="38"/>
        <v/>
      </c>
      <c r="S246" s="46" t="str">
        <f t="shared" si="38"/>
        <v/>
      </c>
      <c r="T246" s="46" t="str">
        <f t="shared" si="38"/>
        <v/>
      </c>
      <c r="U246" s="46" t="str">
        <f t="shared" si="38"/>
        <v/>
      </c>
      <c r="V246" s="46" t="str">
        <f t="shared" si="38"/>
        <v/>
      </c>
      <c r="W246" s="46" t="str">
        <f t="shared" si="38"/>
        <v/>
      </c>
      <c r="X246" s="46" t="str">
        <f t="shared" si="38"/>
        <v/>
      </c>
      <c r="Y246" s="46" t="str">
        <f t="shared" si="38"/>
        <v/>
      </c>
      <c r="Z246" s="46" t="str">
        <f t="shared" si="38"/>
        <v/>
      </c>
      <c r="AA246" s="46" t="str">
        <f t="shared" si="38"/>
        <v/>
      </c>
      <c r="AB246" s="46" t="str">
        <f t="shared" si="38"/>
        <v/>
      </c>
      <c r="AC246" s="46" t="str">
        <f t="shared" si="38"/>
        <v/>
      </c>
      <c r="AD246" s="46" t="str">
        <f t="shared" si="38"/>
        <v/>
      </c>
      <c r="AE246" s="46" t="str">
        <f t="shared" si="38"/>
        <v/>
      </c>
      <c r="AF246" s="46" t="str">
        <f t="shared" si="38"/>
        <v/>
      </c>
      <c r="AG246" s="46" t="str">
        <f t="shared" si="38"/>
        <v/>
      </c>
      <c r="AH246" s="46" t="str">
        <f t="shared" si="38"/>
        <v/>
      </c>
      <c r="AI246" s="46" t="str">
        <f t="shared" si="38"/>
        <v/>
      </c>
      <c r="AJ246" s="46" t="str">
        <f t="shared" si="38"/>
        <v/>
      </c>
      <c r="AK246" s="46" t="str">
        <f t="shared" si="38"/>
        <v/>
      </c>
      <c r="AL246" s="46" t="str">
        <f t="shared" si="38"/>
        <v/>
      </c>
      <c r="AM246" s="46" t="str">
        <f t="shared" si="38"/>
        <v/>
      </c>
      <c r="AN246" s="46" t="str">
        <f t="shared" si="38"/>
        <v/>
      </c>
      <c r="AO246" s="46" t="str">
        <f t="shared" si="38"/>
        <v/>
      </c>
      <c r="AP246" s="46" t="str">
        <f t="shared" si="38"/>
        <v/>
      </c>
      <c r="AQ246" s="46" t="str">
        <f t="shared" si="38"/>
        <v/>
      </c>
      <c r="AR246" s="46" t="str">
        <f t="shared" si="38"/>
        <v/>
      </c>
      <c r="AS246" s="46" t="str">
        <f t="shared" si="38"/>
        <v/>
      </c>
      <c r="AT246" s="46" t="str">
        <f t="shared" si="38"/>
        <v/>
      </c>
      <c r="AU246" s="46" t="str">
        <f t="shared" si="38"/>
        <v/>
      </c>
      <c r="AV246" s="46" t="str">
        <f t="shared" si="38"/>
        <v/>
      </c>
      <c r="AW246" s="46" t="str">
        <f t="shared" si="38"/>
        <v/>
      </c>
      <c r="AX246" s="46" t="str">
        <f t="shared" si="38"/>
        <v/>
      </c>
      <c r="AY246" s="46" t="str">
        <f t="shared" si="38"/>
        <v/>
      </c>
      <c r="AZ246" s="46" t="str">
        <f t="shared" si="38"/>
        <v/>
      </c>
      <c r="BA246" s="46" t="str">
        <f t="shared" si="38"/>
        <v/>
      </c>
      <c r="BB246" s="46" t="str">
        <f t="shared" si="38"/>
        <v/>
      </c>
      <c r="BC246" s="46" t="str">
        <f t="shared" si="38"/>
        <v/>
      </c>
      <c r="BD246" s="46" t="str">
        <f t="shared" si="38"/>
        <v/>
      </c>
      <c r="BE246" s="46" t="str">
        <f t="shared" si="38"/>
        <v/>
      </c>
      <c r="BF246" s="46" t="str">
        <f t="shared" si="38"/>
        <v/>
      </c>
      <c r="BG246" s="46">
        <f t="shared" si="38"/>
        <v>8</v>
      </c>
      <c r="BH246" s="46" t="str">
        <f t="shared" si="38"/>
        <v/>
      </c>
      <c r="BI246" s="46" t="str">
        <f t="shared" si="38"/>
        <v/>
      </c>
      <c r="BJ246" s="46" t="str">
        <f t="shared" si="38"/>
        <v/>
      </c>
      <c r="BK246" s="46" t="str">
        <f t="shared" si="38"/>
        <v/>
      </c>
      <c r="BL246" s="46" t="str">
        <f t="shared" si="38"/>
        <v/>
      </c>
      <c r="BM246" s="46" t="str">
        <f t="shared" si="38"/>
        <v/>
      </c>
      <c r="BN246" s="46" t="str">
        <f t="shared" si="38"/>
        <v/>
      </c>
      <c r="BO246" s="46" t="str">
        <f t="shared" si="38"/>
        <v/>
      </c>
      <c r="BP246" s="46" t="str">
        <f t="shared" si="37"/>
        <v/>
      </c>
      <c r="BQ246" s="46" t="str">
        <f t="shared" si="37"/>
        <v/>
      </c>
      <c r="BR246" s="46" t="str">
        <f t="shared" si="37"/>
        <v/>
      </c>
      <c r="BS246" s="46" t="str">
        <f t="shared" si="37"/>
        <v/>
      </c>
      <c r="BT246" s="46" t="str">
        <f t="shared" si="37"/>
        <v/>
      </c>
      <c r="BU246" s="46" t="str">
        <f t="shared" si="37"/>
        <v/>
      </c>
      <c r="BV246" s="46" t="str">
        <f t="shared" si="37"/>
        <v/>
      </c>
      <c r="BW246" s="46" t="str">
        <f t="shared" si="37"/>
        <v/>
      </c>
      <c r="BX246" s="46" t="str">
        <f t="shared" si="37"/>
        <v/>
      </c>
      <c r="BY246" s="46" t="str">
        <f t="shared" si="37"/>
        <v/>
      </c>
      <c r="BZ246" s="46" t="str">
        <f t="shared" si="37"/>
        <v/>
      </c>
      <c r="CA246" s="46" t="str">
        <f t="shared" si="37"/>
        <v/>
      </c>
      <c r="CB246" s="46" t="str">
        <f t="shared" si="37"/>
        <v/>
      </c>
      <c r="CC246" s="46" t="str">
        <f t="shared" si="37"/>
        <v/>
      </c>
      <c r="CD246" s="46" t="str">
        <f t="shared" si="37"/>
        <v/>
      </c>
      <c r="CE246" s="46" t="str">
        <f t="shared" si="37"/>
        <v/>
      </c>
      <c r="CF246" s="46" t="str">
        <f t="shared" si="37"/>
        <v/>
      </c>
      <c r="CG246" s="46" t="str">
        <f t="shared" si="37"/>
        <v/>
      </c>
      <c r="CH246" s="46" t="str">
        <f t="shared" si="37"/>
        <v/>
      </c>
      <c r="CI246" s="46" t="str">
        <f t="shared" si="37"/>
        <v/>
      </c>
      <c r="CJ246" s="46" t="str">
        <f t="shared" si="37"/>
        <v/>
      </c>
      <c r="CK246" s="46" t="str">
        <f t="shared" si="37"/>
        <v/>
      </c>
      <c r="CL246" s="46" t="str">
        <f t="shared" si="37"/>
        <v/>
      </c>
      <c r="CM246" s="46" t="str">
        <f t="shared" si="37"/>
        <v/>
      </c>
      <c r="CN246" s="46" t="str">
        <f t="shared" si="37"/>
        <v/>
      </c>
      <c r="CO246" s="46" t="str">
        <f t="shared" si="37"/>
        <v/>
      </c>
      <c r="CP246" s="46" t="str">
        <f t="shared" si="37"/>
        <v/>
      </c>
      <c r="CQ246" s="46" t="str">
        <f t="shared" si="37"/>
        <v/>
      </c>
      <c r="CR246" s="46" t="str">
        <f t="shared" si="37"/>
        <v/>
      </c>
      <c r="CS246" s="46" t="str">
        <f t="shared" si="37"/>
        <v/>
      </c>
      <c r="CT246" s="46" t="str">
        <f t="shared" si="37"/>
        <v/>
      </c>
      <c r="CU246" s="46" t="str">
        <f t="shared" si="37"/>
        <v/>
      </c>
      <c r="CV246" s="46" t="str">
        <f t="shared" si="37"/>
        <v/>
      </c>
      <c r="CW246" s="46" t="str">
        <f t="shared" si="37"/>
        <v/>
      </c>
      <c r="CX246" s="46" t="str">
        <f t="shared" si="37"/>
        <v/>
      </c>
      <c r="CY246" s="46" t="str">
        <f t="shared" si="37"/>
        <v/>
      </c>
      <c r="CZ246" s="46" t="str">
        <f t="shared" si="37"/>
        <v/>
      </c>
      <c r="DA246" s="46" t="str">
        <f t="shared" si="37"/>
        <v/>
      </c>
      <c r="DB246" s="46">
        <f t="shared" si="37"/>
        <v>8</v>
      </c>
      <c r="DC246" s="46" t="str">
        <f t="shared" si="37"/>
        <v/>
      </c>
      <c r="DD246" s="46" t="str">
        <f t="shared" si="37"/>
        <v/>
      </c>
      <c r="DE246" s="46">
        <f t="shared" si="37"/>
        <v>8</v>
      </c>
      <c r="DF246" s="46">
        <f t="shared" si="37"/>
        <v>8</v>
      </c>
      <c r="DG246" s="46" t="str">
        <f t="shared" si="37"/>
        <v/>
      </c>
      <c r="DH246" s="46" t="str">
        <f t="shared" si="37"/>
        <v/>
      </c>
      <c r="DL246" s="6"/>
    </row>
    <row r="247" spans="1:116" x14ac:dyDescent="0.25">
      <c r="B247" s="46"/>
      <c r="C247" s="46" t="str">
        <f t="shared" si="15"/>
        <v/>
      </c>
      <c r="D247" s="46" t="str">
        <f t="shared" si="38"/>
        <v/>
      </c>
      <c r="E247" s="46" t="str">
        <f t="shared" si="38"/>
        <v/>
      </c>
      <c r="F247" s="46" t="str">
        <f t="shared" si="38"/>
        <v/>
      </c>
      <c r="G247" s="46" t="str">
        <f t="shared" si="38"/>
        <v/>
      </c>
      <c r="H247" s="46" t="str">
        <f t="shared" si="38"/>
        <v/>
      </c>
      <c r="I247" s="46" t="str">
        <f t="shared" si="38"/>
        <v/>
      </c>
      <c r="J247" s="46" t="str">
        <f t="shared" si="38"/>
        <v/>
      </c>
      <c r="K247" s="46" t="str">
        <f t="shared" si="38"/>
        <v/>
      </c>
      <c r="L247" s="46" t="str">
        <f t="shared" si="38"/>
        <v/>
      </c>
      <c r="M247" s="46" t="str">
        <f t="shared" si="38"/>
        <v/>
      </c>
      <c r="N247" s="46" t="str">
        <f t="shared" si="38"/>
        <v/>
      </c>
      <c r="O247" s="46" t="str">
        <f t="shared" si="38"/>
        <v/>
      </c>
      <c r="P247" s="46" t="str">
        <f t="shared" si="38"/>
        <v/>
      </c>
      <c r="Q247" s="46" t="str">
        <f t="shared" si="38"/>
        <v/>
      </c>
      <c r="R247" s="46" t="str">
        <f t="shared" si="38"/>
        <v/>
      </c>
      <c r="S247" s="46" t="str">
        <f t="shared" si="38"/>
        <v/>
      </c>
      <c r="T247" s="46" t="str">
        <f t="shared" si="38"/>
        <v/>
      </c>
      <c r="U247" s="46" t="str">
        <f t="shared" si="38"/>
        <v/>
      </c>
      <c r="V247" s="46" t="str">
        <f t="shared" si="38"/>
        <v/>
      </c>
      <c r="W247" s="46" t="str">
        <f t="shared" si="38"/>
        <v/>
      </c>
      <c r="X247" s="46" t="str">
        <f t="shared" si="38"/>
        <v/>
      </c>
      <c r="Y247" s="46" t="str">
        <f t="shared" si="38"/>
        <v/>
      </c>
      <c r="Z247" s="46" t="str">
        <f t="shared" si="38"/>
        <v/>
      </c>
      <c r="AA247" s="46" t="str">
        <f t="shared" si="38"/>
        <v/>
      </c>
      <c r="AB247" s="46" t="str">
        <f t="shared" si="38"/>
        <v/>
      </c>
      <c r="AC247" s="46" t="str">
        <f t="shared" si="38"/>
        <v/>
      </c>
      <c r="AD247" s="46" t="str">
        <f t="shared" si="38"/>
        <v/>
      </c>
      <c r="AE247" s="46" t="str">
        <f t="shared" si="38"/>
        <v/>
      </c>
      <c r="AF247" s="46" t="str">
        <f t="shared" si="38"/>
        <v/>
      </c>
      <c r="AG247" s="46" t="str">
        <f t="shared" si="38"/>
        <v/>
      </c>
      <c r="AH247" s="46" t="str">
        <f t="shared" si="38"/>
        <v/>
      </c>
      <c r="AI247" s="46" t="str">
        <f t="shared" si="38"/>
        <v/>
      </c>
      <c r="AJ247" s="46" t="str">
        <f t="shared" si="38"/>
        <v/>
      </c>
      <c r="AK247" s="46" t="str">
        <f t="shared" si="38"/>
        <v/>
      </c>
      <c r="AL247" s="46" t="str">
        <f t="shared" si="38"/>
        <v/>
      </c>
      <c r="AM247" s="46" t="str">
        <f t="shared" si="38"/>
        <v/>
      </c>
      <c r="AN247" s="46" t="str">
        <f t="shared" si="38"/>
        <v/>
      </c>
      <c r="AO247" s="46" t="str">
        <f t="shared" si="38"/>
        <v/>
      </c>
      <c r="AP247" s="46" t="str">
        <f t="shared" si="38"/>
        <v/>
      </c>
      <c r="AQ247" s="46" t="str">
        <f t="shared" si="38"/>
        <v/>
      </c>
      <c r="AR247" s="46" t="str">
        <f t="shared" si="38"/>
        <v/>
      </c>
      <c r="AS247" s="46" t="str">
        <f t="shared" si="38"/>
        <v/>
      </c>
      <c r="AT247" s="46" t="str">
        <f t="shared" si="38"/>
        <v/>
      </c>
      <c r="AU247" s="46" t="str">
        <f t="shared" si="38"/>
        <v/>
      </c>
      <c r="AV247" s="46" t="str">
        <f t="shared" si="38"/>
        <v/>
      </c>
      <c r="AW247" s="46" t="str">
        <f t="shared" si="38"/>
        <v/>
      </c>
      <c r="AX247" s="46" t="str">
        <f t="shared" si="38"/>
        <v/>
      </c>
      <c r="AY247" s="46" t="str">
        <f t="shared" si="38"/>
        <v/>
      </c>
      <c r="AZ247" s="46" t="str">
        <f t="shared" si="38"/>
        <v/>
      </c>
      <c r="BA247" s="46" t="str">
        <f t="shared" si="38"/>
        <v/>
      </c>
      <c r="BB247" s="46" t="str">
        <f t="shared" si="38"/>
        <v/>
      </c>
      <c r="BC247" s="46" t="str">
        <f t="shared" si="38"/>
        <v/>
      </c>
      <c r="BD247" s="46" t="str">
        <f t="shared" si="38"/>
        <v/>
      </c>
      <c r="BE247" s="46" t="str">
        <f t="shared" si="38"/>
        <v/>
      </c>
      <c r="BF247" s="46" t="str">
        <f t="shared" si="38"/>
        <v/>
      </c>
      <c r="BG247" s="46" t="str">
        <f t="shared" si="38"/>
        <v/>
      </c>
      <c r="BH247" s="46" t="str">
        <f t="shared" si="38"/>
        <v/>
      </c>
      <c r="BI247" s="46" t="str">
        <f t="shared" si="38"/>
        <v/>
      </c>
      <c r="BJ247" s="46" t="str">
        <f t="shared" si="38"/>
        <v/>
      </c>
      <c r="BK247" s="46" t="str">
        <f t="shared" si="38"/>
        <v/>
      </c>
      <c r="BL247" s="46" t="str">
        <f t="shared" si="38"/>
        <v/>
      </c>
      <c r="BM247" s="46" t="str">
        <f t="shared" si="38"/>
        <v/>
      </c>
      <c r="BN247" s="46" t="str">
        <f t="shared" si="38"/>
        <v/>
      </c>
      <c r="BO247" s="46" t="str">
        <f t="shared" si="38"/>
        <v/>
      </c>
      <c r="BP247" s="46" t="str">
        <f t="shared" si="37"/>
        <v/>
      </c>
      <c r="BQ247" s="46" t="str">
        <f t="shared" si="37"/>
        <v/>
      </c>
      <c r="BR247" s="46" t="str">
        <f t="shared" si="37"/>
        <v/>
      </c>
      <c r="BS247" s="46" t="str">
        <f t="shared" si="37"/>
        <v/>
      </c>
      <c r="BT247" s="46" t="str">
        <f t="shared" si="37"/>
        <v/>
      </c>
      <c r="BU247" s="46" t="str">
        <f t="shared" si="37"/>
        <v/>
      </c>
      <c r="BV247" s="46" t="str">
        <f t="shared" si="37"/>
        <v/>
      </c>
      <c r="BW247" s="46" t="str">
        <f t="shared" si="37"/>
        <v/>
      </c>
      <c r="BX247" s="46" t="str">
        <f t="shared" si="37"/>
        <v/>
      </c>
      <c r="BY247" s="46" t="str">
        <f t="shared" si="37"/>
        <v/>
      </c>
      <c r="BZ247" s="46" t="str">
        <f t="shared" si="37"/>
        <v/>
      </c>
      <c r="CA247" s="46" t="str">
        <f t="shared" si="37"/>
        <v/>
      </c>
      <c r="CB247" s="46" t="str">
        <f t="shared" si="37"/>
        <v/>
      </c>
      <c r="CC247" s="46" t="str">
        <f t="shared" si="37"/>
        <v/>
      </c>
      <c r="CD247" s="46" t="str">
        <f t="shared" si="37"/>
        <v/>
      </c>
      <c r="CE247" s="46" t="str">
        <f t="shared" si="37"/>
        <v/>
      </c>
      <c r="CF247" s="46" t="str">
        <f t="shared" si="37"/>
        <v/>
      </c>
      <c r="CG247" s="46" t="str">
        <f t="shared" si="37"/>
        <v/>
      </c>
      <c r="CH247" s="46" t="str">
        <f t="shared" si="37"/>
        <v/>
      </c>
      <c r="CI247" s="46" t="str">
        <f t="shared" si="37"/>
        <v/>
      </c>
      <c r="CJ247" s="46" t="str">
        <f t="shared" si="37"/>
        <v/>
      </c>
      <c r="CK247" s="46" t="str">
        <f t="shared" si="37"/>
        <v/>
      </c>
      <c r="CL247" s="46" t="str">
        <f t="shared" si="37"/>
        <v/>
      </c>
      <c r="CM247" s="46" t="str">
        <f t="shared" si="37"/>
        <v/>
      </c>
      <c r="CN247" s="46" t="str">
        <f t="shared" si="37"/>
        <v/>
      </c>
      <c r="CO247" s="46" t="str">
        <f t="shared" si="37"/>
        <v/>
      </c>
      <c r="CP247" s="46" t="str">
        <f t="shared" si="37"/>
        <v/>
      </c>
      <c r="CQ247" s="46" t="str">
        <f t="shared" si="37"/>
        <v/>
      </c>
      <c r="CR247" s="46" t="str">
        <f t="shared" si="37"/>
        <v/>
      </c>
      <c r="CS247" s="46" t="str">
        <f t="shared" si="37"/>
        <v/>
      </c>
      <c r="CT247" s="46" t="str">
        <f t="shared" si="37"/>
        <v/>
      </c>
      <c r="CU247" s="46" t="str">
        <f t="shared" si="37"/>
        <v/>
      </c>
      <c r="CV247" s="46" t="str">
        <f t="shared" si="37"/>
        <v/>
      </c>
      <c r="CW247" s="46" t="str">
        <f t="shared" si="37"/>
        <v/>
      </c>
      <c r="CX247" s="46" t="str">
        <f t="shared" si="37"/>
        <v/>
      </c>
      <c r="CY247" s="46" t="str">
        <f t="shared" si="37"/>
        <v/>
      </c>
      <c r="CZ247" s="46">
        <f t="shared" si="37"/>
        <v>8</v>
      </c>
      <c r="DA247" s="46" t="str">
        <f t="shared" si="37"/>
        <v/>
      </c>
      <c r="DB247" s="46" t="str">
        <f t="shared" si="37"/>
        <v/>
      </c>
      <c r="DC247" s="46" t="str">
        <f t="shared" si="37"/>
        <v/>
      </c>
      <c r="DD247" s="46" t="str">
        <f t="shared" si="37"/>
        <v/>
      </c>
      <c r="DE247" s="46" t="str">
        <f t="shared" si="37"/>
        <v/>
      </c>
      <c r="DF247" s="46" t="str">
        <f t="shared" si="37"/>
        <v/>
      </c>
      <c r="DG247" s="46" t="str">
        <f t="shared" si="37"/>
        <v/>
      </c>
      <c r="DH247" s="46" t="str">
        <f t="shared" si="37"/>
        <v/>
      </c>
      <c r="DL247" s="6"/>
    </row>
    <row r="248" spans="1:116" x14ac:dyDescent="0.25">
      <c r="B248" s="46"/>
      <c r="C248" s="46" t="str">
        <f t="shared" si="15"/>
        <v/>
      </c>
      <c r="D248" s="46" t="str">
        <f t="shared" si="38"/>
        <v/>
      </c>
      <c r="E248" s="46" t="str">
        <f t="shared" si="38"/>
        <v/>
      </c>
      <c r="F248" s="46" t="str">
        <f t="shared" si="38"/>
        <v/>
      </c>
      <c r="G248" s="46" t="str">
        <f t="shared" si="38"/>
        <v/>
      </c>
      <c r="H248" s="46" t="str">
        <f t="shared" si="38"/>
        <v/>
      </c>
      <c r="I248" s="46" t="str">
        <f t="shared" si="38"/>
        <v/>
      </c>
      <c r="J248" s="46" t="str">
        <f t="shared" si="38"/>
        <v/>
      </c>
      <c r="K248" s="46" t="str">
        <f t="shared" si="38"/>
        <v/>
      </c>
      <c r="L248" s="46" t="str">
        <f t="shared" si="38"/>
        <v/>
      </c>
      <c r="M248" s="46" t="str">
        <f t="shared" si="38"/>
        <v/>
      </c>
      <c r="N248" s="46" t="str">
        <f t="shared" si="38"/>
        <v/>
      </c>
      <c r="O248" s="46" t="str">
        <f t="shared" si="38"/>
        <v/>
      </c>
      <c r="P248" s="46" t="str">
        <f t="shared" si="38"/>
        <v/>
      </c>
      <c r="Q248" s="46" t="str">
        <f t="shared" si="38"/>
        <v/>
      </c>
      <c r="R248" s="46" t="str">
        <f t="shared" si="38"/>
        <v/>
      </c>
      <c r="S248" s="46" t="str">
        <f t="shared" si="38"/>
        <v/>
      </c>
      <c r="T248" s="46" t="str">
        <f t="shared" si="38"/>
        <v/>
      </c>
      <c r="U248" s="46" t="str">
        <f t="shared" si="38"/>
        <v/>
      </c>
      <c r="V248" s="46" t="str">
        <f t="shared" si="38"/>
        <v/>
      </c>
      <c r="W248" s="46" t="str">
        <f t="shared" si="38"/>
        <v/>
      </c>
      <c r="X248" s="46" t="str">
        <f t="shared" si="38"/>
        <v/>
      </c>
      <c r="Y248" s="46" t="str">
        <f t="shared" si="38"/>
        <v/>
      </c>
      <c r="Z248" s="46" t="str">
        <f t="shared" si="38"/>
        <v/>
      </c>
      <c r="AA248" s="46" t="str">
        <f t="shared" si="38"/>
        <v/>
      </c>
      <c r="AB248" s="46" t="str">
        <f t="shared" si="38"/>
        <v/>
      </c>
      <c r="AC248" s="46" t="str">
        <f t="shared" si="38"/>
        <v/>
      </c>
      <c r="AD248" s="46" t="str">
        <f t="shared" si="38"/>
        <v/>
      </c>
      <c r="AE248" s="46" t="str">
        <f t="shared" si="38"/>
        <v/>
      </c>
      <c r="AF248" s="46" t="str">
        <f t="shared" si="38"/>
        <v/>
      </c>
      <c r="AG248" s="46" t="str">
        <f t="shared" si="38"/>
        <v/>
      </c>
      <c r="AH248" s="46" t="str">
        <f t="shared" si="38"/>
        <v/>
      </c>
      <c r="AI248" s="46" t="str">
        <f t="shared" si="38"/>
        <v/>
      </c>
      <c r="AJ248" s="46" t="str">
        <f t="shared" si="38"/>
        <v/>
      </c>
      <c r="AK248" s="46" t="str">
        <f t="shared" si="38"/>
        <v/>
      </c>
      <c r="AL248" s="46" t="str">
        <f t="shared" si="38"/>
        <v/>
      </c>
      <c r="AM248" s="46" t="str">
        <f t="shared" si="38"/>
        <v/>
      </c>
      <c r="AN248" s="46" t="str">
        <f t="shared" si="38"/>
        <v/>
      </c>
      <c r="AO248" s="46" t="str">
        <f t="shared" si="38"/>
        <v/>
      </c>
      <c r="AP248" s="46" t="str">
        <f t="shared" si="38"/>
        <v/>
      </c>
      <c r="AQ248" s="46" t="str">
        <f t="shared" si="38"/>
        <v/>
      </c>
      <c r="AR248" s="46" t="str">
        <f t="shared" si="38"/>
        <v/>
      </c>
      <c r="AS248" s="46" t="str">
        <f t="shared" si="38"/>
        <v/>
      </c>
      <c r="AT248" s="46" t="str">
        <f t="shared" si="38"/>
        <v/>
      </c>
      <c r="AU248" s="46" t="str">
        <f t="shared" si="38"/>
        <v/>
      </c>
      <c r="AV248" s="46" t="str">
        <f t="shared" si="38"/>
        <v/>
      </c>
      <c r="AW248" s="46" t="str">
        <f t="shared" si="38"/>
        <v/>
      </c>
      <c r="AX248" s="46" t="str">
        <f t="shared" si="38"/>
        <v/>
      </c>
      <c r="AY248" s="46" t="str">
        <f t="shared" si="38"/>
        <v/>
      </c>
      <c r="AZ248" s="46" t="str">
        <f t="shared" si="38"/>
        <v/>
      </c>
      <c r="BA248" s="46" t="str">
        <f t="shared" si="38"/>
        <v/>
      </c>
      <c r="BB248" s="46" t="str">
        <f t="shared" si="38"/>
        <v/>
      </c>
      <c r="BC248" s="46" t="str">
        <f t="shared" si="38"/>
        <v/>
      </c>
      <c r="BD248" s="46" t="str">
        <f t="shared" si="38"/>
        <v/>
      </c>
      <c r="BE248" s="46" t="str">
        <f t="shared" si="38"/>
        <v/>
      </c>
      <c r="BF248" s="46" t="str">
        <f t="shared" si="38"/>
        <v/>
      </c>
      <c r="BG248" s="46" t="str">
        <f t="shared" si="38"/>
        <v/>
      </c>
      <c r="BH248" s="46" t="str">
        <f t="shared" si="38"/>
        <v/>
      </c>
      <c r="BI248" s="46" t="str">
        <f t="shared" si="38"/>
        <v/>
      </c>
      <c r="BJ248" s="46" t="str">
        <f t="shared" si="38"/>
        <v/>
      </c>
      <c r="BK248" s="46" t="str">
        <f t="shared" si="38"/>
        <v/>
      </c>
      <c r="BL248" s="46" t="str">
        <f t="shared" si="38"/>
        <v/>
      </c>
      <c r="BM248" s="46" t="str">
        <f t="shared" si="38"/>
        <v/>
      </c>
      <c r="BN248" s="46" t="str">
        <f t="shared" si="38"/>
        <v/>
      </c>
      <c r="BO248" s="46" t="str">
        <f t="shared" ref="BO248:DH251" si="39">IF(BO58="X",$DK58,"")</f>
        <v/>
      </c>
      <c r="BP248" s="46" t="str">
        <f t="shared" si="39"/>
        <v/>
      </c>
      <c r="BQ248" s="46" t="str">
        <f t="shared" si="39"/>
        <v/>
      </c>
      <c r="BR248" s="46" t="str">
        <f t="shared" si="39"/>
        <v/>
      </c>
      <c r="BS248" s="46" t="str">
        <f t="shared" si="39"/>
        <v/>
      </c>
      <c r="BT248" s="46" t="str">
        <f t="shared" si="39"/>
        <v/>
      </c>
      <c r="BU248" s="46" t="str">
        <f t="shared" si="39"/>
        <v/>
      </c>
      <c r="BV248" s="46" t="str">
        <f t="shared" si="39"/>
        <v/>
      </c>
      <c r="BW248" s="46" t="str">
        <f t="shared" si="39"/>
        <v/>
      </c>
      <c r="BX248" s="46" t="str">
        <f t="shared" si="39"/>
        <v/>
      </c>
      <c r="BY248" s="46" t="str">
        <f t="shared" si="39"/>
        <v/>
      </c>
      <c r="BZ248" s="46" t="str">
        <f t="shared" si="39"/>
        <v/>
      </c>
      <c r="CA248" s="46" t="str">
        <f t="shared" si="39"/>
        <v/>
      </c>
      <c r="CB248" s="46" t="str">
        <f t="shared" si="39"/>
        <v/>
      </c>
      <c r="CC248" s="46" t="str">
        <f t="shared" si="39"/>
        <v/>
      </c>
      <c r="CD248" s="46" t="str">
        <f t="shared" si="39"/>
        <v/>
      </c>
      <c r="CE248" s="46" t="str">
        <f t="shared" si="39"/>
        <v/>
      </c>
      <c r="CF248" s="46" t="str">
        <f t="shared" si="39"/>
        <v/>
      </c>
      <c r="CG248" s="46" t="str">
        <f t="shared" si="39"/>
        <v/>
      </c>
      <c r="CH248" s="46" t="str">
        <f t="shared" si="39"/>
        <v/>
      </c>
      <c r="CI248" s="46" t="str">
        <f t="shared" si="39"/>
        <v/>
      </c>
      <c r="CJ248" s="46" t="str">
        <f t="shared" si="39"/>
        <v/>
      </c>
      <c r="CK248" s="46" t="str">
        <f t="shared" si="39"/>
        <v/>
      </c>
      <c r="CL248" s="46" t="str">
        <f t="shared" si="39"/>
        <v/>
      </c>
      <c r="CM248" s="46" t="str">
        <f t="shared" si="39"/>
        <v/>
      </c>
      <c r="CN248" s="46" t="str">
        <f t="shared" si="39"/>
        <v/>
      </c>
      <c r="CO248" s="46" t="str">
        <f t="shared" si="39"/>
        <v/>
      </c>
      <c r="CP248" s="46" t="str">
        <f t="shared" si="39"/>
        <v/>
      </c>
      <c r="CQ248" s="46" t="str">
        <f t="shared" si="39"/>
        <v/>
      </c>
      <c r="CR248" s="46" t="str">
        <f t="shared" si="39"/>
        <v/>
      </c>
      <c r="CS248" s="46" t="str">
        <f t="shared" si="39"/>
        <v/>
      </c>
      <c r="CT248" s="46" t="str">
        <f t="shared" si="39"/>
        <v/>
      </c>
      <c r="CU248" s="46" t="str">
        <f t="shared" si="39"/>
        <v/>
      </c>
      <c r="CV248" s="46" t="str">
        <f t="shared" si="39"/>
        <v/>
      </c>
      <c r="CW248" s="46" t="str">
        <f t="shared" si="39"/>
        <v/>
      </c>
      <c r="CX248" s="46" t="str">
        <f t="shared" si="39"/>
        <v/>
      </c>
      <c r="CY248" s="46" t="str">
        <f t="shared" si="39"/>
        <v/>
      </c>
      <c r="CZ248" s="46" t="str">
        <f t="shared" si="39"/>
        <v/>
      </c>
      <c r="DA248" s="46" t="str">
        <f t="shared" si="39"/>
        <v/>
      </c>
      <c r="DB248" s="46" t="str">
        <f t="shared" si="39"/>
        <v/>
      </c>
      <c r="DC248" s="46" t="str">
        <f t="shared" si="39"/>
        <v/>
      </c>
      <c r="DD248" s="46" t="str">
        <f t="shared" si="39"/>
        <v/>
      </c>
      <c r="DE248" s="46" t="str">
        <f t="shared" si="39"/>
        <v/>
      </c>
      <c r="DF248" s="46" t="str">
        <f t="shared" si="39"/>
        <v/>
      </c>
      <c r="DG248" s="46" t="str">
        <f t="shared" si="39"/>
        <v/>
      </c>
      <c r="DH248" s="46">
        <f t="shared" si="39"/>
        <v>4</v>
      </c>
      <c r="DL248" s="6"/>
    </row>
    <row r="249" spans="1:116" x14ac:dyDescent="0.25">
      <c r="B249" s="46"/>
      <c r="C249" s="46" t="str">
        <f t="shared" si="15"/>
        <v/>
      </c>
      <c r="D249" s="46" t="str">
        <f t="shared" ref="D249:BO251" si="40">IF(D59="X",$DK59,"")</f>
        <v/>
      </c>
      <c r="E249" s="46" t="str">
        <f t="shared" si="40"/>
        <v/>
      </c>
      <c r="F249" s="46" t="str">
        <f t="shared" si="40"/>
        <v/>
      </c>
      <c r="G249" s="46" t="str">
        <f t="shared" si="40"/>
        <v/>
      </c>
      <c r="H249" s="46" t="str">
        <f t="shared" si="40"/>
        <v/>
      </c>
      <c r="I249" s="46" t="str">
        <f t="shared" si="40"/>
        <v/>
      </c>
      <c r="J249" s="46" t="str">
        <f t="shared" si="40"/>
        <v/>
      </c>
      <c r="K249" s="46" t="str">
        <f t="shared" si="40"/>
        <v/>
      </c>
      <c r="L249" s="46" t="str">
        <f t="shared" si="40"/>
        <v/>
      </c>
      <c r="M249" s="46" t="str">
        <f t="shared" si="40"/>
        <v/>
      </c>
      <c r="N249" s="46" t="str">
        <f t="shared" si="40"/>
        <v/>
      </c>
      <c r="O249" s="46" t="str">
        <f t="shared" si="40"/>
        <v/>
      </c>
      <c r="P249" s="46" t="str">
        <f t="shared" si="40"/>
        <v/>
      </c>
      <c r="Q249" s="46" t="str">
        <f t="shared" si="40"/>
        <v/>
      </c>
      <c r="R249" s="46" t="str">
        <f t="shared" si="40"/>
        <v/>
      </c>
      <c r="S249" s="46" t="str">
        <f t="shared" si="40"/>
        <v/>
      </c>
      <c r="T249" s="46" t="str">
        <f t="shared" si="40"/>
        <v/>
      </c>
      <c r="U249" s="46" t="str">
        <f t="shared" si="40"/>
        <v/>
      </c>
      <c r="V249" s="46" t="str">
        <f t="shared" si="40"/>
        <v/>
      </c>
      <c r="W249" s="46" t="str">
        <f t="shared" si="40"/>
        <v/>
      </c>
      <c r="X249" s="46" t="str">
        <f t="shared" si="40"/>
        <v/>
      </c>
      <c r="Y249" s="46" t="str">
        <f t="shared" si="40"/>
        <v/>
      </c>
      <c r="Z249" s="46" t="str">
        <f t="shared" si="40"/>
        <v/>
      </c>
      <c r="AA249" s="46" t="str">
        <f t="shared" si="40"/>
        <v/>
      </c>
      <c r="AB249" s="46" t="str">
        <f t="shared" si="40"/>
        <v/>
      </c>
      <c r="AC249" s="46" t="str">
        <f t="shared" si="40"/>
        <v/>
      </c>
      <c r="AD249" s="46" t="str">
        <f t="shared" si="40"/>
        <v/>
      </c>
      <c r="AE249" s="46" t="str">
        <f t="shared" si="40"/>
        <v/>
      </c>
      <c r="AF249" s="46" t="str">
        <f t="shared" si="40"/>
        <v/>
      </c>
      <c r="AG249" s="46" t="str">
        <f t="shared" si="40"/>
        <v/>
      </c>
      <c r="AH249" s="46" t="str">
        <f t="shared" si="40"/>
        <v/>
      </c>
      <c r="AI249" s="46" t="str">
        <f t="shared" si="40"/>
        <v/>
      </c>
      <c r="AJ249" s="46" t="str">
        <f t="shared" si="40"/>
        <v/>
      </c>
      <c r="AK249" s="46" t="str">
        <f t="shared" si="40"/>
        <v/>
      </c>
      <c r="AL249" s="46" t="str">
        <f t="shared" si="40"/>
        <v/>
      </c>
      <c r="AM249" s="46" t="str">
        <f t="shared" si="40"/>
        <v/>
      </c>
      <c r="AN249" s="46" t="str">
        <f t="shared" si="40"/>
        <v/>
      </c>
      <c r="AO249" s="46" t="str">
        <f t="shared" si="40"/>
        <v/>
      </c>
      <c r="AP249" s="46" t="str">
        <f t="shared" si="40"/>
        <v/>
      </c>
      <c r="AQ249" s="46" t="str">
        <f t="shared" si="40"/>
        <v/>
      </c>
      <c r="AR249" s="46" t="str">
        <f t="shared" si="40"/>
        <v/>
      </c>
      <c r="AS249" s="46" t="str">
        <f t="shared" si="40"/>
        <v/>
      </c>
      <c r="AT249" s="46" t="str">
        <f t="shared" si="40"/>
        <v/>
      </c>
      <c r="AU249" s="46" t="str">
        <f t="shared" si="40"/>
        <v/>
      </c>
      <c r="AV249" s="46" t="str">
        <f t="shared" si="40"/>
        <v/>
      </c>
      <c r="AW249" s="46" t="str">
        <f t="shared" si="40"/>
        <v/>
      </c>
      <c r="AX249" s="46" t="str">
        <f t="shared" si="40"/>
        <v/>
      </c>
      <c r="AY249" s="46" t="str">
        <f t="shared" si="40"/>
        <v/>
      </c>
      <c r="AZ249" s="46" t="str">
        <f t="shared" si="40"/>
        <v/>
      </c>
      <c r="BA249" s="46" t="str">
        <f t="shared" si="40"/>
        <v/>
      </c>
      <c r="BB249" s="46" t="str">
        <f t="shared" si="40"/>
        <v/>
      </c>
      <c r="BC249" s="46" t="str">
        <f t="shared" si="40"/>
        <v/>
      </c>
      <c r="BD249" s="46" t="str">
        <f t="shared" si="40"/>
        <v/>
      </c>
      <c r="BE249" s="46" t="str">
        <f t="shared" si="40"/>
        <v/>
      </c>
      <c r="BF249" s="46">
        <f t="shared" si="40"/>
        <v>8</v>
      </c>
      <c r="BG249" s="46" t="str">
        <f t="shared" si="40"/>
        <v/>
      </c>
      <c r="BH249" s="46" t="str">
        <f t="shared" si="40"/>
        <v/>
      </c>
      <c r="BI249" s="46" t="str">
        <f t="shared" si="40"/>
        <v/>
      </c>
      <c r="BJ249" s="46" t="str">
        <f t="shared" si="40"/>
        <v/>
      </c>
      <c r="BK249" s="46" t="str">
        <f t="shared" si="40"/>
        <v/>
      </c>
      <c r="BL249" s="46" t="str">
        <f t="shared" si="40"/>
        <v/>
      </c>
      <c r="BM249" s="46" t="str">
        <f t="shared" si="40"/>
        <v/>
      </c>
      <c r="BN249" s="46" t="str">
        <f t="shared" si="40"/>
        <v/>
      </c>
      <c r="BO249" s="46" t="str">
        <f t="shared" si="40"/>
        <v/>
      </c>
      <c r="BP249" s="46" t="str">
        <f t="shared" si="39"/>
        <v/>
      </c>
      <c r="BQ249" s="46" t="str">
        <f t="shared" si="39"/>
        <v/>
      </c>
      <c r="BR249" s="46" t="str">
        <f t="shared" si="39"/>
        <v/>
      </c>
      <c r="BS249" s="46" t="str">
        <f t="shared" si="39"/>
        <v/>
      </c>
      <c r="BT249" s="46" t="str">
        <f t="shared" si="39"/>
        <v/>
      </c>
      <c r="BU249" s="46" t="str">
        <f t="shared" si="39"/>
        <v/>
      </c>
      <c r="BV249" s="46" t="str">
        <f t="shared" si="39"/>
        <v/>
      </c>
      <c r="BW249" s="46" t="str">
        <f t="shared" si="39"/>
        <v/>
      </c>
      <c r="BX249" s="46" t="str">
        <f t="shared" si="39"/>
        <v/>
      </c>
      <c r="BY249" s="46" t="str">
        <f t="shared" si="39"/>
        <v/>
      </c>
      <c r="BZ249" s="46" t="str">
        <f t="shared" si="39"/>
        <v/>
      </c>
      <c r="CA249" s="46" t="str">
        <f t="shared" si="39"/>
        <v/>
      </c>
      <c r="CB249" s="46" t="str">
        <f t="shared" si="39"/>
        <v/>
      </c>
      <c r="CC249" s="46" t="str">
        <f t="shared" si="39"/>
        <v/>
      </c>
      <c r="CD249" s="46" t="str">
        <f t="shared" si="39"/>
        <v/>
      </c>
      <c r="CE249" s="46" t="str">
        <f t="shared" si="39"/>
        <v/>
      </c>
      <c r="CF249" s="46" t="str">
        <f t="shared" si="39"/>
        <v/>
      </c>
      <c r="CG249" s="46" t="str">
        <f t="shared" si="39"/>
        <v/>
      </c>
      <c r="CH249" s="46" t="str">
        <f t="shared" si="39"/>
        <v/>
      </c>
      <c r="CI249" s="46" t="str">
        <f t="shared" si="39"/>
        <v/>
      </c>
      <c r="CJ249" s="46" t="str">
        <f t="shared" si="39"/>
        <v/>
      </c>
      <c r="CK249" s="46" t="str">
        <f t="shared" si="39"/>
        <v/>
      </c>
      <c r="CL249" s="46" t="str">
        <f t="shared" si="39"/>
        <v/>
      </c>
      <c r="CM249" s="46" t="str">
        <f t="shared" si="39"/>
        <v/>
      </c>
      <c r="CN249" s="46" t="str">
        <f t="shared" si="39"/>
        <v/>
      </c>
      <c r="CO249" s="46" t="str">
        <f t="shared" si="39"/>
        <v/>
      </c>
      <c r="CP249" s="46" t="str">
        <f t="shared" si="39"/>
        <v/>
      </c>
      <c r="CQ249" s="46" t="str">
        <f t="shared" si="39"/>
        <v/>
      </c>
      <c r="CR249" s="46" t="str">
        <f t="shared" si="39"/>
        <v/>
      </c>
      <c r="CS249" s="46" t="str">
        <f t="shared" si="39"/>
        <v/>
      </c>
      <c r="CT249" s="46" t="str">
        <f t="shared" si="39"/>
        <v/>
      </c>
      <c r="CU249" s="46" t="str">
        <f t="shared" si="39"/>
        <v/>
      </c>
      <c r="CV249" s="46" t="str">
        <f t="shared" si="39"/>
        <v/>
      </c>
      <c r="CW249" s="46" t="str">
        <f t="shared" si="39"/>
        <v/>
      </c>
      <c r="CX249" s="46" t="str">
        <f t="shared" si="39"/>
        <v/>
      </c>
      <c r="CY249" s="46" t="str">
        <f t="shared" si="39"/>
        <v/>
      </c>
      <c r="CZ249" s="46" t="str">
        <f t="shared" si="39"/>
        <v/>
      </c>
      <c r="DA249" s="46" t="str">
        <f t="shared" si="39"/>
        <v/>
      </c>
      <c r="DB249" s="46" t="str">
        <f t="shared" si="39"/>
        <v/>
      </c>
      <c r="DC249" s="46" t="str">
        <f t="shared" si="39"/>
        <v/>
      </c>
      <c r="DD249" s="46" t="str">
        <f t="shared" si="39"/>
        <v/>
      </c>
      <c r="DE249" s="46" t="str">
        <f t="shared" si="39"/>
        <v/>
      </c>
      <c r="DF249" s="46" t="str">
        <f t="shared" si="39"/>
        <v/>
      </c>
      <c r="DG249" s="46" t="str">
        <f t="shared" si="39"/>
        <v/>
      </c>
      <c r="DH249" s="46" t="str">
        <f t="shared" si="39"/>
        <v/>
      </c>
      <c r="DL249" s="6"/>
    </row>
    <row r="250" spans="1:116" x14ac:dyDescent="0.25">
      <c r="B250" s="46"/>
      <c r="C250" s="46" t="str">
        <f t="shared" si="15"/>
        <v/>
      </c>
      <c r="D250" s="46" t="str">
        <f t="shared" si="40"/>
        <v/>
      </c>
      <c r="E250" s="46" t="str">
        <f t="shared" si="40"/>
        <v/>
      </c>
      <c r="F250" s="46" t="str">
        <f t="shared" si="40"/>
        <v/>
      </c>
      <c r="G250" s="46" t="str">
        <f t="shared" si="40"/>
        <v/>
      </c>
      <c r="H250" s="46" t="str">
        <f t="shared" si="40"/>
        <v/>
      </c>
      <c r="I250" s="46" t="str">
        <f t="shared" si="40"/>
        <v/>
      </c>
      <c r="J250" s="46" t="str">
        <f t="shared" si="40"/>
        <v/>
      </c>
      <c r="K250" s="46" t="str">
        <f t="shared" si="40"/>
        <v/>
      </c>
      <c r="L250" s="46" t="str">
        <f t="shared" si="40"/>
        <v/>
      </c>
      <c r="M250" s="46" t="str">
        <f t="shared" si="40"/>
        <v/>
      </c>
      <c r="N250" s="46" t="str">
        <f t="shared" si="40"/>
        <v/>
      </c>
      <c r="O250" s="46" t="str">
        <f t="shared" si="40"/>
        <v/>
      </c>
      <c r="P250" s="46" t="str">
        <f t="shared" si="40"/>
        <v/>
      </c>
      <c r="Q250" s="46" t="str">
        <f t="shared" si="40"/>
        <v/>
      </c>
      <c r="R250" s="46" t="str">
        <f t="shared" si="40"/>
        <v/>
      </c>
      <c r="S250" s="46" t="str">
        <f t="shared" si="40"/>
        <v/>
      </c>
      <c r="T250" s="46" t="str">
        <f t="shared" si="40"/>
        <v/>
      </c>
      <c r="U250" s="46" t="str">
        <f t="shared" si="40"/>
        <v/>
      </c>
      <c r="V250" s="46" t="str">
        <f t="shared" si="40"/>
        <v/>
      </c>
      <c r="W250" s="46" t="str">
        <f t="shared" si="40"/>
        <v/>
      </c>
      <c r="X250" s="46" t="str">
        <f t="shared" si="40"/>
        <v/>
      </c>
      <c r="Y250" s="46" t="str">
        <f t="shared" si="40"/>
        <v/>
      </c>
      <c r="Z250" s="46" t="str">
        <f t="shared" si="40"/>
        <v/>
      </c>
      <c r="AA250" s="46" t="str">
        <f t="shared" si="40"/>
        <v/>
      </c>
      <c r="AB250" s="46" t="str">
        <f t="shared" si="40"/>
        <v/>
      </c>
      <c r="AC250" s="46" t="str">
        <f t="shared" si="40"/>
        <v/>
      </c>
      <c r="AD250" s="46" t="str">
        <f t="shared" si="40"/>
        <v/>
      </c>
      <c r="AE250" s="46" t="str">
        <f t="shared" si="40"/>
        <v/>
      </c>
      <c r="AF250" s="46" t="str">
        <f t="shared" si="40"/>
        <v/>
      </c>
      <c r="AG250" s="46" t="str">
        <f t="shared" si="40"/>
        <v/>
      </c>
      <c r="AH250" s="46" t="str">
        <f t="shared" si="40"/>
        <v/>
      </c>
      <c r="AI250" s="46" t="str">
        <f t="shared" si="40"/>
        <v/>
      </c>
      <c r="AJ250" s="46" t="str">
        <f t="shared" si="40"/>
        <v/>
      </c>
      <c r="AK250" s="46" t="str">
        <f t="shared" si="40"/>
        <v/>
      </c>
      <c r="AL250" s="46" t="str">
        <f t="shared" si="40"/>
        <v/>
      </c>
      <c r="AM250" s="46" t="str">
        <f t="shared" si="40"/>
        <v/>
      </c>
      <c r="AN250" s="46" t="str">
        <f t="shared" si="40"/>
        <v/>
      </c>
      <c r="AO250" s="46" t="str">
        <f t="shared" si="40"/>
        <v/>
      </c>
      <c r="AP250" s="46" t="str">
        <f t="shared" si="40"/>
        <v/>
      </c>
      <c r="AQ250" s="46" t="str">
        <f t="shared" si="40"/>
        <v/>
      </c>
      <c r="AR250" s="46" t="str">
        <f t="shared" si="40"/>
        <v/>
      </c>
      <c r="AS250" s="46" t="str">
        <f t="shared" si="40"/>
        <v/>
      </c>
      <c r="AT250" s="46" t="str">
        <f t="shared" si="40"/>
        <v/>
      </c>
      <c r="AU250" s="46" t="str">
        <f t="shared" si="40"/>
        <v/>
      </c>
      <c r="AV250" s="46" t="str">
        <f t="shared" si="40"/>
        <v/>
      </c>
      <c r="AW250" s="46" t="str">
        <f t="shared" si="40"/>
        <v/>
      </c>
      <c r="AX250" s="46" t="str">
        <f t="shared" si="40"/>
        <v/>
      </c>
      <c r="AY250" s="46" t="str">
        <f t="shared" si="40"/>
        <v/>
      </c>
      <c r="AZ250" s="46" t="str">
        <f t="shared" si="40"/>
        <v/>
      </c>
      <c r="BA250" s="46" t="str">
        <f t="shared" si="40"/>
        <v/>
      </c>
      <c r="BB250" s="46" t="str">
        <f t="shared" si="40"/>
        <v/>
      </c>
      <c r="BC250" s="46" t="str">
        <f t="shared" si="40"/>
        <v/>
      </c>
      <c r="BD250" s="46" t="str">
        <f t="shared" si="40"/>
        <v/>
      </c>
      <c r="BE250" s="46" t="str">
        <f t="shared" si="40"/>
        <v/>
      </c>
      <c r="BF250" s="46" t="str">
        <f t="shared" si="40"/>
        <v/>
      </c>
      <c r="BG250" s="46" t="str">
        <f t="shared" si="40"/>
        <v/>
      </c>
      <c r="BH250" s="46">
        <f t="shared" si="40"/>
        <v>8</v>
      </c>
      <c r="BI250" s="46" t="str">
        <f t="shared" si="40"/>
        <v/>
      </c>
      <c r="BJ250" s="46" t="str">
        <f t="shared" si="40"/>
        <v/>
      </c>
      <c r="BK250" s="46" t="str">
        <f t="shared" si="40"/>
        <v/>
      </c>
      <c r="BL250" s="46">
        <f t="shared" si="40"/>
        <v>8</v>
      </c>
      <c r="BM250" s="46">
        <f t="shared" si="40"/>
        <v>8</v>
      </c>
      <c r="BN250" s="46" t="str">
        <f t="shared" si="40"/>
        <v/>
      </c>
      <c r="BO250" s="46" t="str">
        <f t="shared" si="40"/>
        <v/>
      </c>
      <c r="BP250" s="46" t="str">
        <f t="shared" si="39"/>
        <v/>
      </c>
      <c r="BQ250" s="46" t="str">
        <f t="shared" si="39"/>
        <v/>
      </c>
      <c r="BR250" s="46" t="str">
        <f t="shared" si="39"/>
        <v/>
      </c>
      <c r="BS250" s="46" t="str">
        <f t="shared" si="39"/>
        <v/>
      </c>
      <c r="BT250" s="46" t="str">
        <f t="shared" si="39"/>
        <v/>
      </c>
      <c r="BU250" s="46" t="str">
        <f t="shared" si="39"/>
        <v/>
      </c>
      <c r="BV250" s="46" t="str">
        <f t="shared" si="39"/>
        <v/>
      </c>
      <c r="BW250" s="46" t="str">
        <f t="shared" si="39"/>
        <v/>
      </c>
      <c r="BX250" s="46" t="str">
        <f t="shared" si="39"/>
        <v/>
      </c>
      <c r="BY250" s="46" t="str">
        <f t="shared" si="39"/>
        <v/>
      </c>
      <c r="BZ250" s="46" t="str">
        <f t="shared" si="39"/>
        <v/>
      </c>
      <c r="CA250" s="46" t="str">
        <f t="shared" si="39"/>
        <v/>
      </c>
      <c r="CB250" s="46" t="str">
        <f t="shared" si="39"/>
        <v/>
      </c>
      <c r="CC250" s="46" t="str">
        <f t="shared" si="39"/>
        <v/>
      </c>
      <c r="CD250" s="46" t="str">
        <f t="shared" si="39"/>
        <v/>
      </c>
      <c r="CE250" s="46" t="str">
        <f t="shared" si="39"/>
        <v/>
      </c>
      <c r="CF250" s="46" t="str">
        <f t="shared" si="39"/>
        <v/>
      </c>
      <c r="CG250" s="46" t="str">
        <f t="shared" si="39"/>
        <v/>
      </c>
      <c r="CH250" s="46" t="str">
        <f t="shared" si="39"/>
        <v/>
      </c>
      <c r="CI250" s="46" t="str">
        <f t="shared" si="39"/>
        <v/>
      </c>
      <c r="CJ250" s="46" t="str">
        <f t="shared" si="39"/>
        <v/>
      </c>
      <c r="CK250" s="46" t="str">
        <f t="shared" si="39"/>
        <v/>
      </c>
      <c r="CL250" s="46" t="str">
        <f t="shared" si="39"/>
        <v/>
      </c>
      <c r="CM250" s="46" t="str">
        <f t="shared" si="39"/>
        <v/>
      </c>
      <c r="CN250" s="46" t="str">
        <f t="shared" si="39"/>
        <v/>
      </c>
      <c r="CO250" s="46" t="str">
        <f t="shared" si="39"/>
        <v/>
      </c>
      <c r="CP250" s="46" t="str">
        <f t="shared" si="39"/>
        <v/>
      </c>
      <c r="CQ250" s="46" t="str">
        <f t="shared" si="39"/>
        <v/>
      </c>
      <c r="CR250" s="46" t="str">
        <f t="shared" si="39"/>
        <v/>
      </c>
      <c r="CS250" s="46" t="str">
        <f t="shared" si="39"/>
        <v/>
      </c>
      <c r="CT250" s="46" t="str">
        <f t="shared" si="39"/>
        <v/>
      </c>
      <c r="CU250" s="46" t="str">
        <f t="shared" si="39"/>
        <v/>
      </c>
      <c r="CV250" s="46" t="str">
        <f t="shared" si="39"/>
        <v/>
      </c>
      <c r="CW250" s="46" t="str">
        <f t="shared" si="39"/>
        <v/>
      </c>
      <c r="CX250" s="46" t="str">
        <f t="shared" si="39"/>
        <v/>
      </c>
      <c r="CY250" s="46" t="str">
        <f t="shared" si="39"/>
        <v/>
      </c>
      <c r="CZ250" s="46" t="str">
        <f t="shared" si="39"/>
        <v/>
      </c>
      <c r="DA250" s="46" t="str">
        <f t="shared" si="39"/>
        <v/>
      </c>
      <c r="DB250" s="46" t="str">
        <f t="shared" si="39"/>
        <v/>
      </c>
      <c r="DC250" s="46" t="str">
        <f t="shared" si="39"/>
        <v/>
      </c>
      <c r="DD250" s="46" t="str">
        <f t="shared" si="39"/>
        <v/>
      </c>
      <c r="DE250" s="46" t="str">
        <f t="shared" si="39"/>
        <v/>
      </c>
      <c r="DF250" s="46" t="str">
        <f t="shared" si="39"/>
        <v/>
      </c>
      <c r="DG250" s="46" t="str">
        <f t="shared" si="39"/>
        <v/>
      </c>
      <c r="DH250" s="46" t="str">
        <f t="shared" si="39"/>
        <v/>
      </c>
      <c r="DL250" s="6"/>
    </row>
    <row r="251" spans="1:116" x14ac:dyDescent="0.25">
      <c r="B251" s="46"/>
      <c r="C251" s="46" t="str">
        <f t="shared" si="15"/>
        <v/>
      </c>
      <c r="D251" s="46" t="str">
        <f t="shared" si="40"/>
        <v/>
      </c>
      <c r="E251" s="46" t="str">
        <f t="shared" si="40"/>
        <v/>
      </c>
      <c r="F251" s="46" t="str">
        <f t="shared" si="40"/>
        <v/>
      </c>
      <c r="G251" s="46" t="str">
        <f t="shared" si="40"/>
        <v/>
      </c>
      <c r="H251" s="46" t="str">
        <f t="shared" si="40"/>
        <v/>
      </c>
      <c r="I251" s="46" t="str">
        <f t="shared" si="40"/>
        <v/>
      </c>
      <c r="J251" s="46" t="str">
        <f t="shared" si="40"/>
        <v/>
      </c>
      <c r="K251" s="46" t="str">
        <f t="shared" si="40"/>
        <v/>
      </c>
      <c r="L251" s="46" t="str">
        <f t="shared" si="40"/>
        <v/>
      </c>
      <c r="M251" s="46" t="str">
        <f t="shared" si="40"/>
        <v/>
      </c>
      <c r="N251" s="46" t="str">
        <f t="shared" si="40"/>
        <v/>
      </c>
      <c r="O251" s="46" t="str">
        <f t="shared" si="40"/>
        <v/>
      </c>
      <c r="P251" s="46" t="str">
        <f t="shared" si="40"/>
        <v/>
      </c>
      <c r="Q251" s="46" t="str">
        <f t="shared" si="40"/>
        <v/>
      </c>
      <c r="R251" s="46" t="str">
        <f t="shared" si="40"/>
        <v/>
      </c>
      <c r="S251" s="46" t="str">
        <f t="shared" si="40"/>
        <v/>
      </c>
      <c r="T251" s="46" t="str">
        <f t="shared" si="40"/>
        <v/>
      </c>
      <c r="U251" s="46" t="str">
        <f t="shared" si="40"/>
        <v/>
      </c>
      <c r="V251" s="46" t="str">
        <f t="shared" si="40"/>
        <v/>
      </c>
      <c r="W251" s="46" t="str">
        <f t="shared" si="40"/>
        <v/>
      </c>
      <c r="X251" s="46" t="str">
        <f t="shared" si="40"/>
        <v/>
      </c>
      <c r="Y251" s="46" t="str">
        <f t="shared" si="40"/>
        <v/>
      </c>
      <c r="Z251" s="46" t="str">
        <f t="shared" si="40"/>
        <v/>
      </c>
      <c r="AA251" s="46" t="str">
        <f t="shared" si="40"/>
        <v/>
      </c>
      <c r="AB251" s="46" t="str">
        <f t="shared" si="40"/>
        <v/>
      </c>
      <c r="AC251" s="46" t="str">
        <f t="shared" si="40"/>
        <v/>
      </c>
      <c r="AD251" s="46" t="str">
        <f t="shared" si="40"/>
        <v/>
      </c>
      <c r="AE251" s="46" t="str">
        <f t="shared" si="40"/>
        <v/>
      </c>
      <c r="AF251" s="46" t="str">
        <f t="shared" si="40"/>
        <v/>
      </c>
      <c r="AG251" s="46" t="str">
        <f t="shared" si="40"/>
        <v/>
      </c>
      <c r="AH251" s="46" t="str">
        <f t="shared" si="40"/>
        <v/>
      </c>
      <c r="AI251" s="46" t="str">
        <f t="shared" si="40"/>
        <v/>
      </c>
      <c r="AJ251" s="46" t="str">
        <f t="shared" si="40"/>
        <v/>
      </c>
      <c r="AK251" s="46" t="str">
        <f t="shared" si="40"/>
        <v/>
      </c>
      <c r="AL251" s="46" t="str">
        <f t="shared" si="40"/>
        <v/>
      </c>
      <c r="AM251" s="46" t="str">
        <f t="shared" si="40"/>
        <v/>
      </c>
      <c r="AN251" s="46" t="str">
        <f t="shared" si="40"/>
        <v/>
      </c>
      <c r="AO251" s="46" t="str">
        <f t="shared" si="40"/>
        <v/>
      </c>
      <c r="AP251" s="46" t="str">
        <f t="shared" si="40"/>
        <v/>
      </c>
      <c r="AQ251" s="46" t="str">
        <f t="shared" si="40"/>
        <v/>
      </c>
      <c r="AR251" s="46" t="str">
        <f t="shared" si="40"/>
        <v/>
      </c>
      <c r="AS251" s="46" t="str">
        <f t="shared" si="40"/>
        <v/>
      </c>
      <c r="AT251" s="46" t="str">
        <f t="shared" si="40"/>
        <v/>
      </c>
      <c r="AU251" s="46" t="str">
        <f t="shared" si="40"/>
        <v/>
      </c>
      <c r="AV251" s="46" t="str">
        <f t="shared" si="40"/>
        <v/>
      </c>
      <c r="AW251" s="46" t="str">
        <f t="shared" si="40"/>
        <v/>
      </c>
      <c r="AX251" s="46" t="str">
        <f t="shared" si="40"/>
        <v/>
      </c>
      <c r="AY251" s="46" t="str">
        <f t="shared" si="40"/>
        <v/>
      </c>
      <c r="AZ251" s="46" t="str">
        <f t="shared" si="40"/>
        <v/>
      </c>
      <c r="BA251" s="46" t="str">
        <f t="shared" si="40"/>
        <v/>
      </c>
      <c r="BB251" s="46" t="str">
        <f t="shared" si="40"/>
        <v/>
      </c>
      <c r="BC251" s="46" t="str">
        <f t="shared" si="40"/>
        <v/>
      </c>
      <c r="BD251" s="46" t="str">
        <f t="shared" si="40"/>
        <v/>
      </c>
      <c r="BE251" s="46" t="str">
        <f t="shared" si="40"/>
        <v/>
      </c>
      <c r="BF251" s="46" t="str">
        <f t="shared" si="40"/>
        <v/>
      </c>
      <c r="BG251" s="46" t="str">
        <f t="shared" si="40"/>
        <v/>
      </c>
      <c r="BH251" s="46">
        <f t="shared" si="40"/>
        <v>8</v>
      </c>
      <c r="BI251" s="46" t="str">
        <f t="shared" si="40"/>
        <v/>
      </c>
      <c r="BJ251" s="46" t="str">
        <f t="shared" si="40"/>
        <v/>
      </c>
      <c r="BK251" s="46" t="str">
        <f t="shared" si="40"/>
        <v/>
      </c>
      <c r="BL251" s="46" t="str">
        <f t="shared" si="40"/>
        <v/>
      </c>
      <c r="BM251" s="46" t="str">
        <f t="shared" si="40"/>
        <v/>
      </c>
      <c r="BN251" s="46" t="str">
        <f t="shared" si="40"/>
        <v/>
      </c>
      <c r="BO251" s="46" t="str">
        <f t="shared" si="40"/>
        <v/>
      </c>
      <c r="BP251" s="46" t="str">
        <f t="shared" si="39"/>
        <v/>
      </c>
      <c r="BQ251" s="46" t="str">
        <f t="shared" si="39"/>
        <v/>
      </c>
      <c r="BR251" s="46" t="str">
        <f t="shared" si="39"/>
        <v/>
      </c>
      <c r="BS251" s="46" t="str">
        <f t="shared" si="39"/>
        <v/>
      </c>
      <c r="BT251" s="46" t="str">
        <f t="shared" si="39"/>
        <v/>
      </c>
      <c r="BU251" s="46" t="str">
        <f t="shared" si="39"/>
        <v/>
      </c>
      <c r="BV251" s="46" t="str">
        <f t="shared" si="39"/>
        <v/>
      </c>
      <c r="BW251" s="46" t="str">
        <f t="shared" si="39"/>
        <v/>
      </c>
      <c r="BX251" s="46" t="str">
        <f t="shared" si="39"/>
        <v/>
      </c>
      <c r="BY251" s="46" t="str">
        <f t="shared" si="39"/>
        <v/>
      </c>
      <c r="BZ251" s="46" t="str">
        <f t="shared" si="39"/>
        <v/>
      </c>
      <c r="CA251" s="46" t="str">
        <f t="shared" si="39"/>
        <v/>
      </c>
      <c r="CB251" s="46" t="str">
        <f t="shared" si="39"/>
        <v/>
      </c>
      <c r="CC251" s="46" t="str">
        <f t="shared" si="39"/>
        <v/>
      </c>
      <c r="CD251" s="46" t="str">
        <f t="shared" si="39"/>
        <v/>
      </c>
      <c r="CE251" s="46" t="str">
        <f t="shared" si="39"/>
        <v/>
      </c>
      <c r="CF251" s="46" t="str">
        <f t="shared" si="39"/>
        <v/>
      </c>
      <c r="CG251" s="46" t="str">
        <f t="shared" si="39"/>
        <v/>
      </c>
      <c r="CH251" s="46" t="str">
        <f t="shared" si="39"/>
        <v/>
      </c>
      <c r="CI251" s="46" t="str">
        <f t="shared" si="39"/>
        <v/>
      </c>
      <c r="CJ251" s="46" t="str">
        <f t="shared" si="39"/>
        <v/>
      </c>
      <c r="CK251" s="46" t="str">
        <f t="shared" si="39"/>
        <v/>
      </c>
      <c r="CL251" s="46" t="str">
        <f t="shared" si="39"/>
        <v/>
      </c>
      <c r="CM251" s="46" t="str">
        <f t="shared" si="39"/>
        <v/>
      </c>
      <c r="CN251" s="46" t="str">
        <f t="shared" si="39"/>
        <v/>
      </c>
      <c r="CO251" s="46" t="str">
        <f t="shared" si="39"/>
        <v/>
      </c>
      <c r="CP251" s="46" t="str">
        <f t="shared" si="39"/>
        <v/>
      </c>
      <c r="CQ251" s="46" t="str">
        <f t="shared" si="39"/>
        <v/>
      </c>
      <c r="CR251" s="46" t="str">
        <f t="shared" si="39"/>
        <v/>
      </c>
      <c r="CS251" s="46" t="str">
        <f t="shared" si="39"/>
        <v/>
      </c>
      <c r="CT251" s="46" t="str">
        <f t="shared" si="39"/>
        <v/>
      </c>
      <c r="CU251" s="46" t="str">
        <f t="shared" si="39"/>
        <v/>
      </c>
      <c r="CV251" s="46" t="str">
        <f t="shared" si="39"/>
        <v/>
      </c>
      <c r="CW251" s="46" t="str">
        <f t="shared" si="39"/>
        <v/>
      </c>
      <c r="CX251" s="46" t="str">
        <f t="shared" si="39"/>
        <v/>
      </c>
      <c r="CY251" s="46" t="str">
        <f t="shared" si="39"/>
        <v/>
      </c>
      <c r="CZ251" s="46" t="str">
        <f t="shared" si="39"/>
        <v/>
      </c>
      <c r="DA251" s="46" t="str">
        <f t="shared" si="39"/>
        <v/>
      </c>
      <c r="DB251" s="46" t="str">
        <f t="shared" si="39"/>
        <v/>
      </c>
      <c r="DC251" s="46" t="str">
        <f t="shared" si="39"/>
        <v/>
      </c>
      <c r="DD251" s="46" t="str">
        <f t="shared" si="39"/>
        <v/>
      </c>
      <c r="DE251" s="46" t="str">
        <f t="shared" si="39"/>
        <v/>
      </c>
      <c r="DF251" s="46" t="str">
        <f t="shared" si="39"/>
        <v/>
      </c>
      <c r="DG251" s="46" t="str">
        <f t="shared" si="39"/>
        <v/>
      </c>
      <c r="DH251" s="46" t="str">
        <f t="shared" si="39"/>
        <v/>
      </c>
      <c r="DL251" s="6"/>
    </row>
    <row r="252" spans="1:116" s="47" customFormat="1" x14ac:dyDescent="0.25">
      <c r="A252" s="86"/>
      <c r="B252" s="48"/>
      <c r="D252" s="48"/>
      <c r="E252" s="48"/>
      <c r="F252" s="48"/>
      <c r="G252" s="48"/>
      <c r="H252" s="48"/>
      <c r="I252" s="48"/>
      <c r="J252" s="48"/>
      <c r="K252" s="48"/>
      <c r="L252" s="48"/>
      <c r="M252" s="48"/>
      <c r="N252" s="48"/>
      <c r="O252" s="48"/>
      <c r="P252" s="48"/>
      <c r="Q252" s="48"/>
      <c r="R252" s="48"/>
      <c r="S252" s="48"/>
      <c r="T252" s="48"/>
      <c r="U252" s="49"/>
      <c r="V252" s="49"/>
      <c r="W252" s="49"/>
      <c r="X252" s="49"/>
      <c r="Y252" s="49"/>
      <c r="Z252" s="49"/>
      <c r="AA252" s="49"/>
      <c r="AB252" s="49"/>
      <c r="AC252" s="49"/>
      <c r="AD252" s="49"/>
      <c r="AE252" s="49"/>
      <c r="AF252" s="49"/>
      <c r="AG252" s="49"/>
      <c r="AH252" s="49"/>
      <c r="AI252" s="49"/>
      <c r="AJ252" s="49"/>
      <c r="AK252" s="49"/>
      <c r="AL252" s="49"/>
      <c r="AM252" s="49"/>
      <c r="AN252" s="49"/>
      <c r="AO252" s="49"/>
      <c r="AP252" s="49"/>
      <c r="AQ252" s="49"/>
      <c r="AR252" s="49"/>
      <c r="AS252" s="49"/>
      <c r="AT252" s="49"/>
      <c r="AU252" s="49"/>
      <c r="AV252" s="49"/>
      <c r="AW252" s="49"/>
      <c r="AX252" s="49"/>
      <c r="AY252" s="49"/>
      <c r="AZ252" s="49"/>
      <c r="BA252" s="49"/>
      <c r="BB252" s="49"/>
      <c r="BC252" s="49"/>
      <c r="BD252" s="49"/>
      <c r="BE252" s="49"/>
      <c r="BF252" s="49"/>
      <c r="BG252" s="49"/>
      <c r="BH252" s="49"/>
      <c r="BI252" s="49"/>
      <c r="BJ252" s="49"/>
      <c r="BK252" s="49"/>
      <c r="BL252" s="49"/>
      <c r="BM252" s="49"/>
      <c r="BN252" s="49"/>
      <c r="BO252" s="49"/>
      <c r="BP252" s="49"/>
      <c r="BQ252" s="49"/>
      <c r="BR252" s="49"/>
      <c r="BS252" s="49"/>
      <c r="BT252" s="49"/>
      <c r="BU252" s="49"/>
      <c r="BV252" s="49"/>
      <c r="BW252" s="49"/>
      <c r="BX252" s="49"/>
      <c r="BY252" s="49"/>
      <c r="BZ252" s="49"/>
      <c r="CA252" s="49"/>
      <c r="CB252" s="49"/>
      <c r="CC252" s="49"/>
      <c r="CD252" s="49"/>
      <c r="CE252" s="49"/>
      <c r="CF252" s="49"/>
      <c r="CG252" s="49"/>
      <c r="CH252" s="49"/>
      <c r="CI252" s="49"/>
      <c r="CJ252" s="49"/>
      <c r="CK252" s="49"/>
      <c r="CL252" s="49"/>
      <c r="CM252" s="49"/>
      <c r="CN252" s="49"/>
      <c r="CO252" s="49"/>
      <c r="CP252" s="49"/>
      <c r="CQ252" s="49"/>
      <c r="CR252" s="49"/>
      <c r="CS252" s="49"/>
      <c r="CT252" s="49"/>
      <c r="CU252" s="49"/>
      <c r="CV252" s="49"/>
      <c r="CW252" s="49"/>
      <c r="CX252" s="49"/>
      <c r="CY252" s="49"/>
      <c r="CZ252" s="49"/>
      <c r="DA252" s="49"/>
      <c r="DB252" s="49"/>
      <c r="DC252" s="49"/>
      <c r="DD252" s="49"/>
      <c r="DE252" s="49"/>
      <c r="DF252" s="49"/>
      <c r="DG252" s="49"/>
      <c r="DH252" s="49"/>
      <c r="DI252" s="49"/>
    </row>
  </sheetData>
  <sortState columnSort="1" ref="C1:DH252">
    <sortCondition ref="C6:DH6"/>
  </sortState>
  <conditionalFormatting sqref="DL56:XFD58 DL253:XFD1048576 C9 G9:DH9 B253:DI1048576 C18:AJ18 AN18:DH18 AN22:BD22 C24:DH28 B60:B61 B66:DI196 B63:B65 DI63:DI65 C64:DH65 C45:AT45 AV45:DH45 C55:DH55 DH57 B57:BF57 B58:DH58 B56:CM56 CO56:DH56 BH57:DA57 B62:BG62 DM8:DM55 DO8:XFD55 C19:DH21 C10:DH17 B8:B55 D8:DI8 DI9:DI61 C44:DH44 C43:AP43 AV43:DH43 C30:DH42 C47:AN47 AT47:AV47 C46:DH46 CN48:DH48 AX47:DH47 C49:CC49 CE49:DH49 C48:CL48 DH50:DH51 DC49:DG50 C52:BY52 CA52:CT52 CV52:DH52 C50:DB51 C54:Z54 C53:DH53 BI62:DI62 C23:BD23 BE22:DH23 DL60:XFD196">
    <cfRule type="containsText" dxfId="312" priority="106" operator="containsText" text="x">
      <formula>NOT(ISERROR(SEARCH("x",B8)))</formula>
    </cfRule>
  </conditionalFormatting>
  <conditionalFormatting sqref="DA3:DI3">
    <cfRule type="cellIs" dxfId="311" priority="71" operator="equal">
      <formula>"CM"</formula>
    </cfRule>
    <cfRule type="cellIs" dxfId="310" priority="74" operator="equal">
      <formula>"CA"</formula>
    </cfRule>
    <cfRule type="cellIs" dxfId="309" priority="75" operator="equal">
      <formula>"CMA"</formula>
    </cfRule>
  </conditionalFormatting>
  <conditionalFormatting sqref="AX3:BB3 BD3:CX3 M3:N3 AE3:AV3 R3:AC3">
    <cfRule type="cellIs" dxfId="308" priority="56" operator="equal">
      <formula>"CM"</formula>
    </cfRule>
    <cfRule type="cellIs" dxfId="307" priority="59" operator="equal">
      <formula>"CA"</formula>
    </cfRule>
    <cfRule type="cellIs" dxfId="306" priority="60" operator="equal">
      <formula>"CMA"</formula>
    </cfRule>
  </conditionalFormatting>
  <conditionalFormatting sqref="BC3">
    <cfRule type="cellIs" dxfId="305" priority="53" operator="equal">
      <formula>"CM"</formula>
    </cfRule>
    <cfRule type="cellIs" dxfId="304" priority="54" operator="equal">
      <formula>"CA"</formula>
    </cfRule>
    <cfRule type="cellIs" dxfId="303" priority="55" operator="equal">
      <formula>"CMA"</formula>
    </cfRule>
  </conditionalFormatting>
  <conditionalFormatting sqref="AW3">
    <cfRule type="cellIs" dxfId="302" priority="50" operator="equal">
      <formula>"CM"</formula>
    </cfRule>
    <cfRule type="cellIs" dxfId="301" priority="51" operator="equal">
      <formula>"CA"</formula>
    </cfRule>
    <cfRule type="cellIs" dxfId="300" priority="52" operator="equal">
      <formula>"CMA"</formula>
    </cfRule>
  </conditionalFormatting>
  <conditionalFormatting sqref="CY3:CZ3">
    <cfRule type="cellIs" dxfId="299" priority="47" operator="equal">
      <formula>"CM"</formula>
    </cfRule>
    <cfRule type="cellIs" dxfId="298" priority="48" operator="equal">
      <formula>"CA"</formula>
    </cfRule>
    <cfRule type="cellIs" dxfId="297" priority="49" operator="equal">
      <formula>"CMA"</formula>
    </cfRule>
  </conditionalFormatting>
  <conditionalFormatting sqref="AD3">
    <cfRule type="cellIs" dxfId="296" priority="44" operator="equal">
      <formula>"CM"</formula>
    </cfRule>
    <cfRule type="cellIs" dxfId="295" priority="45" operator="equal">
      <formula>"CA"</formula>
    </cfRule>
    <cfRule type="cellIs" dxfId="294" priority="46" operator="equal">
      <formula>"CMA"</formula>
    </cfRule>
  </conditionalFormatting>
  <conditionalFormatting sqref="G9">
    <cfRule type="cellIs" dxfId="293" priority="39" operator="equal">
      <formula>"CM"</formula>
    </cfRule>
    <cfRule type="cellIs" dxfId="292" priority="42" operator="equal">
      <formula>"CA"</formula>
    </cfRule>
    <cfRule type="cellIs" dxfId="291" priority="43" operator="equal">
      <formula>"CMA"</formula>
    </cfRule>
  </conditionalFormatting>
  <conditionalFormatting sqref="G9">
    <cfRule type="cellIs" dxfId="290" priority="40" operator="equal">
      <formula>"CA"</formula>
    </cfRule>
    <cfRule type="cellIs" dxfId="289" priority="41" operator="equal">
      <formula>"CMA"</formula>
    </cfRule>
  </conditionalFormatting>
  <conditionalFormatting sqref="E9">
    <cfRule type="cellIs" dxfId="288" priority="34" operator="equal">
      <formula>"CM"</formula>
    </cfRule>
    <cfRule type="cellIs" dxfId="287" priority="37" operator="equal">
      <formula>"CA"</formula>
    </cfRule>
    <cfRule type="cellIs" dxfId="286" priority="38" operator="equal">
      <formula>"CMA"</formula>
    </cfRule>
  </conditionalFormatting>
  <conditionalFormatting sqref="E9">
    <cfRule type="cellIs" dxfId="285" priority="35" operator="equal">
      <formula>"CA"</formula>
    </cfRule>
    <cfRule type="cellIs" dxfId="284" priority="36" operator="equal">
      <formula>"CMA"</formula>
    </cfRule>
  </conditionalFormatting>
  <conditionalFormatting sqref="F9">
    <cfRule type="cellIs" dxfId="283" priority="29" operator="equal">
      <formula>"CM"</formula>
    </cfRule>
    <cfRule type="cellIs" dxfId="282" priority="32" operator="equal">
      <formula>"CA"</formula>
    </cfRule>
    <cfRule type="cellIs" dxfId="281" priority="33" operator="equal">
      <formula>"CMA"</formula>
    </cfRule>
  </conditionalFormatting>
  <conditionalFormatting sqref="F9">
    <cfRule type="cellIs" dxfId="280" priority="30" operator="equal">
      <formula>"CA"</formula>
    </cfRule>
    <cfRule type="cellIs" dxfId="279" priority="31" operator="equal">
      <formula>"CMA"</formula>
    </cfRule>
  </conditionalFormatting>
  <conditionalFormatting sqref="D9">
    <cfRule type="cellIs" dxfId="278" priority="26" operator="equal">
      <formula>"CM"</formula>
    </cfRule>
    <cfRule type="cellIs" dxfId="277" priority="27" operator="equal">
      <formula>"CA"</formula>
    </cfRule>
    <cfRule type="cellIs" dxfId="276" priority="28" operator="equal">
      <formula>"CMA"</formula>
    </cfRule>
  </conditionalFormatting>
  <conditionalFormatting sqref="C3:L3">
    <cfRule type="cellIs" dxfId="275" priority="21" operator="equal">
      <formula>"CM"</formula>
    </cfRule>
    <cfRule type="cellIs" dxfId="274" priority="24" operator="equal">
      <formula>"CA"</formula>
    </cfRule>
    <cfRule type="cellIs" dxfId="273" priority="25" operator="equal">
      <formula>"CMA"</formula>
    </cfRule>
  </conditionalFormatting>
  <conditionalFormatting sqref="C3:L3">
    <cfRule type="cellIs" dxfId="272" priority="22" operator="equal">
      <formula>"CA"</formula>
    </cfRule>
    <cfRule type="cellIs" dxfId="271" priority="23" operator="equal">
      <formula>"CMA"</formula>
    </cfRule>
  </conditionalFormatting>
  <conditionalFormatting sqref="O3:Q3">
    <cfRule type="cellIs" dxfId="270" priority="16" operator="equal">
      <formula>"CM"</formula>
    </cfRule>
    <cfRule type="cellIs" dxfId="269" priority="19" operator="equal">
      <formula>"CA"</formula>
    </cfRule>
    <cfRule type="cellIs" dxfId="268" priority="20" operator="equal">
      <formula>"CMA"</formula>
    </cfRule>
  </conditionalFormatting>
  <conditionalFormatting sqref="O3:Q3">
    <cfRule type="cellIs" dxfId="267" priority="17" operator="equal">
      <formula>"CA"</formula>
    </cfRule>
    <cfRule type="cellIs" dxfId="266" priority="18" operator="equal">
      <formula>"CMA"</formula>
    </cfRule>
  </conditionalFormatting>
  <conditionalFormatting sqref="C29">
    <cfRule type="containsText" dxfId="265" priority="15" operator="containsText" text="x">
      <formula>NOT(ISERROR(SEARCH("x",C29)))</formula>
    </cfRule>
  </conditionalFormatting>
  <conditionalFormatting sqref="H29">
    <cfRule type="containsText" dxfId="264" priority="14" operator="containsText" text="x">
      <formula>NOT(ISERROR(SEARCH("x",H29)))</formula>
    </cfRule>
  </conditionalFormatting>
  <conditionalFormatting sqref="K29">
    <cfRule type="containsText" dxfId="263" priority="13" operator="containsText" text="x">
      <formula>NOT(ISERROR(SEARCH("x",K29)))</formula>
    </cfRule>
  </conditionalFormatting>
  <conditionalFormatting sqref="BN29">
    <cfRule type="containsText" dxfId="262" priority="12" operator="containsText" text="x">
      <formula>NOT(ISERROR(SEARCH("x",BN29)))</formula>
    </cfRule>
  </conditionalFormatting>
  <conditionalFormatting sqref="CH29">
    <cfRule type="containsText" dxfId="261" priority="11" operator="containsText" text="x">
      <formula>NOT(ISERROR(SEARCH("x",CH29)))</formula>
    </cfRule>
  </conditionalFormatting>
  <conditionalFormatting sqref="CN56">
    <cfRule type="containsText" dxfId="260" priority="10" operator="containsText" text="x">
      <formula>NOT(ISERROR(SEARCH("x",CN56)))</formula>
    </cfRule>
  </conditionalFormatting>
  <conditionalFormatting sqref="CZ59">
    <cfRule type="containsText" dxfId="259" priority="9" operator="containsText" text="x">
      <formula>NOT(ISERROR(SEARCH("x",CZ59)))</formula>
    </cfRule>
  </conditionalFormatting>
  <conditionalFormatting sqref="DH60">
    <cfRule type="containsText" dxfId="258" priority="8" operator="containsText" text="x">
      <formula>NOT(ISERROR(SEARCH("x",DH60)))</formula>
    </cfRule>
  </conditionalFormatting>
  <conditionalFormatting sqref="BI61">
    <cfRule type="containsText" dxfId="257" priority="7" operator="containsText" text="x">
      <formula>NOT(ISERROR(SEARCH("x",BI61)))</formula>
    </cfRule>
  </conditionalFormatting>
  <conditionalFormatting sqref="AU45">
    <cfRule type="containsText" dxfId="256" priority="6" operator="containsText" text="x">
      <formula>NOT(ISERROR(SEARCH("x",AU45)))</formula>
    </cfRule>
  </conditionalFormatting>
  <conditionalFormatting sqref="CN54">
    <cfRule type="containsText" dxfId="255" priority="5" operator="containsText" text="x">
      <formula>NOT(ISERROR(SEARCH("x",CN54)))</formula>
    </cfRule>
  </conditionalFormatting>
  <conditionalFormatting sqref="BF59">
    <cfRule type="containsText" dxfId="254" priority="4" operator="containsText" text="x">
      <formula>NOT(ISERROR(SEARCH("x",BF59)))</formula>
    </cfRule>
  </conditionalFormatting>
  <conditionalFormatting sqref="BH60">
    <cfRule type="containsText" dxfId="253" priority="3" operator="containsText" text="x">
      <formula>NOT(ISERROR(SEARCH("x",BH60)))</formula>
    </cfRule>
  </conditionalFormatting>
  <conditionalFormatting sqref="BL60:BM60">
    <cfRule type="containsText" dxfId="252" priority="2" operator="containsText" text="x">
      <formula>NOT(ISERROR(SEARCH("x",BL60)))</formula>
    </cfRule>
  </conditionalFormatting>
  <conditionalFormatting sqref="BH61">
    <cfRule type="containsText" dxfId="251" priority="1" operator="containsText" text="x">
      <formula>NOT(ISERROR(SEARCH("x",BH61)))</formula>
    </cfRule>
  </conditionalFormatting>
  <pageMargins left="0.7" right="0.7" top="0.75" bottom="0.75" header="0.3" footer="0.3"/>
  <pageSetup paperSize="9" orientation="portrait"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EB261"/>
  <sheetViews>
    <sheetView zoomScale="80" zoomScaleNormal="80" workbookViewId="0">
      <pane ySplit="6" topLeftCell="A7" activePane="bottomLeft" state="frozen"/>
      <selection pane="bottomLeft" activeCell="B20" sqref="B20"/>
    </sheetView>
  </sheetViews>
  <sheetFormatPr baseColWidth="10" defaultRowHeight="15" x14ac:dyDescent="0.25"/>
  <cols>
    <col min="1" max="1" width="12.85546875" style="84" bestFit="1" customWidth="1"/>
    <col min="2" max="2" width="17.140625" style="45" customWidth="1"/>
    <col min="3" max="7" width="14.28515625" style="46" customWidth="1"/>
    <col min="8" max="20" width="11.42578125" style="46"/>
    <col min="21" max="64" width="11.42578125" style="9"/>
    <col min="66" max="112" width="11.42578125" style="9"/>
    <col min="113" max="113" width="12.85546875" style="9" bestFit="1" customWidth="1"/>
    <col min="114" max="114" width="12.140625" style="6" bestFit="1" customWidth="1"/>
    <col min="115" max="115" width="11.42578125" style="6"/>
    <col min="116" max="116" width="11.42578125" style="9"/>
    <col min="117" max="16384" width="11.42578125" style="6"/>
  </cols>
  <sheetData>
    <row r="1" spans="1:132" s="114" customFormat="1" ht="201" customHeight="1" x14ac:dyDescent="0.25">
      <c r="A1" s="111"/>
      <c r="B1" s="112"/>
      <c r="C1" s="81" t="s">
        <v>354</v>
      </c>
      <c r="D1" s="81" t="s">
        <v>895</v>
      </c>
      <c r="E1" s="81" t="s">
        <v>357</v>
      </c>
      <c r="F1" s="81" t="s">
        <v>926</v>
      </c>
      <c r="G1" s="81" t="s">
        <v>896</v>
      </c>
      <c r="H1" s="81" t="s">
        <v>361</v>
      </c>
      <c r="I1" s="81" t="s">
        <v>897</v>
      </c>
      <c r="J1" s="81" t="s">
        <v>925</v>
      </c>
      <c r="K1" s="81" t="s">
        <v>365</v>
      </c>
      <c r="L1" s="81" t="s">
        <v>367</v>
      </c>
      <c r="M1" s="81" t="s">
        <v>369</v>
      </c>
      <c r="N1" s="81" t="s">
        <v>371</v>
      </c>
      <c r="O1" s="81" t="s">
        <v>373</v>
      </c>
      <c r="P1" s="81" t="s">
        <v>375</v>
      </c>
      <c r="Q1" s="81" t="s">
        <v>377</v>
      </c>
      <c r="R1" s="81" t="s">
        <v>379</v>
      </c>
      <c r="S1" s="81" t="s">
        <v>381</v>
      </c>
      <c r="T1" s="81" t="s">
        <v>383</v>
      </c>
      <c r="U1" s="81" t="s">
        <v>385</v>
      </c>
      <c r="V1" s="81" t="s">
        <v>387</v>
      </c>
      <c r="W1" s="81" t="s">
        <v>389</v>
      </c>
      <c r="X1" s="81" t="s">
        <v>391</v>
      </c>
      <c r="Y1" s="81" t="s">
        <v>393</v>
      </c>
      <c r="Z1" s="81" t="s">
        <v>395</v>
      </c>
      <c r="AA1" s="81" t="s">
        <v>397</v>
      </c>
      <c r="AB1" s="81" t="s">
        <v>399</v>
      </c>
      <c r="AC1" s="81" t="s">
        <v>401</v>
      </c>
      <c r="AD1" s="81" t="s">
        <v>403</v>
      </c>
      <c r="AE1" s="81" t="s">
        <v>898</v>
      </c>
      <c r="AF1" s="81" t="s">
        <v>406</v>
      </c>
      <c r="AG1" s="81" t="s">
        <v>894</v>
      </c>
      <c r="AH1" s="81" t="s">
        <v>409</v>
      </c>
      <c r="AI1" s="81" t="s">
        <v>411</v>
      </c>
      <c r="AJ1" s="81" t="s">
        <v>899</v>
      </c>
      <c r="AK1" s="81" t="s">
        <v>414</v>
      </c>
      <c r="AL1" s="81" t="s">
        <v>416</v>
      </c>
      <c r="AM1" s="81" t="s">
        <v>418</v>
      </c>
      <c r="AN1" s="81" t="s">
        <v>900</v>
      </c>
      <c r="AO1" s="81" t="s">
        <v>901</v>
      </c>
      <c r="AP1" s="81" t="s">
        <v>902</v>
      </c>
      <c r="AQ1" s="81" t="s">
        <v>423</v>
      </c>
      <c r="AR1" s="81" t="s">
        <v>425</v>
      </c>
      <c r="AS1" s="81" t="s">
        <v>427</v>
      </c>
      <c r="AT1" s="81" t="s">
        <v>429</v>
      </c>
      <c r="AU1" s="81" t="s">
        <v>431</v>
      </c>
      <c r="AV1" s="81" t="s">
        <v>433</v>
      </c>
      <c r="AW1" s="81" t="s">
        <v>435</v>
      </c>
      <c r="AX1" s="81" t="s">
        <v>903</v>
      </c>
      <c r="AY1" s="81" t="s">
        <v>438</v>
      </c>
      <c r="AZ1" s="81" t="s">
        <v>440</v>
      </c>
      <c r="BA1" s="81" t="s">
        <v>904</v>
      </c>
      <c r="BB1" s="81" t="s">
        <v>443</v>
      </c>
      <c r="BC1" s="81" t="s">
        <v>905</v>
      </c>
      <c r="BD1" s="81" t="s">
        <v>906</v>
      </c>
      <c r="BE1" s="81" t="s">
        <v>928</v>
      </c>
      <c r="BF1" s="81" t="s">
        <v>448</v>
      </c>
      <c r="BG1" s="81" t="s">
        <v>450</v>
      </c>
      <c r="BH1" s="81" t="s">
        <v>452</v>
      </c>
      <c r="BI1" s="81" t="s">
        <v>454</v>
      </c>
      <c r="BJ1" s="81" t="s">
        <v>456</v>
      </c>
      <c r="BK1" s="81" t="s">
        <v>458</v>
      </c>
      <c r="BL1" s="81" t="s">
        <v>460</v>
      </c>
      <c r="BM1" s="81" t="s">
        <v>462</v>
      </c>
      <c r="BN1" s="81" t="s">
        <v>464</v>
      </c>
      <c r="BO1" s="81" t="s">
        <v>466</v>
      </c>
      <c r="BP1" s="81" t="s">
        <v>468</v>
      </c>
      <c r="BQ1" s="81" t="s">
        <v>470</v>
      </c>
      <c r="BR1" s="81" t="s">
        <v>907</v>
      </c>
      <c r="BS1" s="81" t="s">
        <v>473</v>
      </c>
      <c r="BT1" s="81" t="s">
        <v>475</v>
      </c>
      <c r="BU1" s="81" t="s">
        <v>477</v>
      </c>
      <c r="BV1" s="81" t="s">
        <v>479</v>
      </c>
      <c r="BW1" s="81" t="s">
        <v>908</v>
      </c>
      <c r="BX1" s="81" t="s">
        <v>482</v>
      </c>
      <c r="BY1" s="81" t="s">
        <v>484</v>
      </c>
      <c r="BZ1" s="81" t="s">
        <v>486</v>
      </c>
      <c r="CA1" s="81" t="s">
        <v>488</v>
      </c>
      <c r="CB1" s="81" t="s">
        <v>490</v>
      </c>
      <c r="CC1" s="81" t="s">
        <v>492</v>
      </c>
      <c r="CD1" s="81" t="s">
        <v>909</v>
      </c>
      <c r="CE1" s="81" t="s">
        <v>495</v>
      </c>
      <c r="CF1" s="81" t="s">
        <v>497</v>
      </c>
      <c r="CG1" s="81" t="s">
        <v>499</v>
      </c>
      <c r="CH1" s="81" t="s">
        <v>464</v>
      </c>
      <c r="CI1" s="81" t="s">
        <v>502</v>
      </c>
      <c r="CJ1" s="81" t="s">
        <v>470</v>
      </c>
      <c r="CK1" s="81" t="s">
        <v>907</v>
      </c>
      <c r="CL1" s="81" t="s">
        <v>473</v>
      </c>
      <c r="CM1" s="81" t="s">
        <v>507</v>
      </c>
      <c r="CN1" s="81" t="s">
        <v>509</v>
      </c>
      <c r="CO1" s="81" t="s">
        <v>475</v>
      </c>
      <c r="CP1" s="81" t="s">
        <v>477</v>
      </c>
      <c r="CQ1" s="81" t="s">
        <v>910</v>
      </c>
      <c r="CR1" s="81" t="s">
        <v>514</v>
      </c>
      <c r="CS1" s="81" t="s">
        <v>482</v>
      </c>
      <c r="CT1" s="81" t="s">
        <v>484</v>
      </c>
      <c r="CU1" s="81" t="s">
        <v>486</v>
      </c>
      <c r="CV1" s="81" t="s">
        <v>488</v>
      </c>
      <c r="CW1" s="81" t="s">
        <v>490</v>
      </c>
      <c r="CX1" s="81" t="s">
        <v>927</v>
      </c>
      <c r="CY1" s="81" t="s">
        <v>522</v>
      </c>
      <c r="CZ1" s="81" t="s">
        <v>524</v>
      </c>
      <c r="DA1" s="81" t="s">
        <v>492</v>
      </c>
      <c r="DB1" s="81" t="s">
        <v>527</v>
      </c>
      <c r="DC1" s="81" t="s">
        <v>529</v>
      </c>
      <c r="DD1" s="81" t="s">
        <v>531</v>
      </c>
      <c r="DE1" s="81" t="s">
        <v>533</v>
      </c>
      <c r="DF1" s="81" t="s">
        <v>535</v>
      </c>
      <c r="DG1" s="81" t="s">
        <v>537</v>
      </c>
      <c r="DH1" s="81" t="s">
        <v>539</v>
      </c>
      <c r="DI1" s="113"/>
    </row>
    <row r="2" spans="1:132" customFormat="1" x14ac:dyDescent="0.25">
      <c r="A2" s="54"/>
      <c r="B2" s="4"/>
      <c r="C2" s="80" t="s">
        <v>146</v>
      </c>
      <c r="D2" s="80" t="s">
        <v>151</v>
      </c>
      <c r="E2" s="80" t="s">
        <v>151</v>
      </c>
      <c r="F2" s="80" t="s">
        <v>151</v>
      </c>
      <c r="G2" s="80" t="s">
        <v>146</v>
      </c>
      <c r="H2" s="80" t="s">
        <v>151</v>
      </c>
      <c r="I2" s="80" t="s">
        <v>151</v>
      </c>
      <c r="J2" s="80" t="s">
        <v>146</v>
      </c>
      <c r="K2" s="80" t="s">
        <v>146</v>
      </c>
      <c r="L2" s="80" t="s">
        <v>151</v>
      </c>
      <c r="M2" s="80" t="s">
        <v>151</v>
      </c>
      <c r="N2" s="80" t="s">
        <v>151</v>
      </c>
      <c r="O2" s="80" t="s">
        <v>151</v>
      </c>
      <c r="P2" s="80" t="s">
        <v>151</v>
      </c>
      <c r="Q2" s="80" t="s">
        <v>151</v>
      </c>
      <c r="R2" s="80" t="s">
        <v>151</v>
      </c>
      <c r="S2" s="80" t="s">
        <v>151</v>
      </c>
      <c r="T2" s="80" t="s">
        <v>146</v>
      </c>
      <c r="U2" s="80" t="s">
        <v>146</v>
      </c>
      <c r="V2" s="80" t="s">
        <v>146</v>
      </c>
      <c r="W2" s="80" t="s">
        <v>146</v>
      </c>
      <c r="X2" s="80" t="s">
        <v>146</v>
      </c>
      <c r="Y2" s="80" t="s">
        <v>146</v>
      </c>
      <c r="Z2" s="80" t="s">
        <v>151</v>
      </c>
      <c r="AA2" s="80" t="s">
        <v>146</v>
      </c>
      <c r="AB2" s="80" t="s">
        <v>151</v>
      </c>
      <c r="AC2" s="80" t="s">
        <v>151</v>
      </c>
      <c r="AD2" s="80" t="s">
        <v>150</v>
      </c>
      <c r="AE2" s="80" t="s">
        <v>146</v>
      </c>
      <c r="AF2" s="80" t="s">
        <v>146</v>
      </c>
      <c r="AG2" s="80" t="s">
        <v>146</v>
      </c>
      <c r="AH2" s="80" t="s">
        <v>151</v>
      </c>
      <c r="AI2" s="80" t="s">
        <v>151</v>
      </c>
      <c r="AJ2" s="80" t="s">
        <v>146</v>
      </c>
      <c r="AK2" s="80" t="s">
        <v>151</v>
      </c>
      <c r="AL2" s="80" t="s">
        <v>151</v>
      </c>
      <c r="AM2" s="80" t="s">
        <v>151</v>
      </c>
      <c r="AN2" s="80" t="s">
        <v>146</v>
      </c>
      <c r="AO2" s="80" t="s">
        <v>151</v>
      </c>
      <c r="AP2" s="80" t="s">
        <v>151</v>
      </c>
      <c r="AQ2" s="80" t="s">
        <v>146</v>
      </c>
      <c r="AR2" s="80" t="s">
        <v>151</v>
      </c>
      <c r="AS2" s="80" t="s">
        <v>151</v>
      </c>
      <c r="AT2" s="80" t="s">
        <v>151</v>
      </c>
      <c r="AU2" s="80" t="s">
        <v>151</v>
      </c>
      <c r="AV2" s="80" t="s">
        <v>151</v>
      </c>
      <c r="AW2" s="80" t="s">
        <v>151</v>
      </c>
      <c r="AX2" s="80" t="s">
        <v>151</v>
      </c>
      <c r="AY2" s="80" t="s">
        <v>146</v>
      </c>
      <c r="AZ2" s="80" t="s">
        <v>146</v>
      </c>
      <c r="BA2" s="80" t="s">
        <v>151</v>
      </c>
      <c r="BB2" s="80" t="s">
        <v>150</v>
      </c>
      <c r="BC2" s="80" t="s">
        <v>151</v>
      </c>
      <c r="BD2" s="80" t="s">
        <v>146</v>
      </c>
      <c r="BE2" s="80" t="s">
        <v>151</v>
      </c>
      <c r="BF2" s="80" t="s">
        <v>146</v>
      </c>
      <c r="BG2" s="80" t="s">
        <v>151</v>
      </c>
      <c r="BH2" s="80" t="s">
        <v>151</v>
      </c>
      <c r="BI2" s="80" t="s">
        <v>146</v>
      </c>
      <c r="BJ2" s="80" t="s">
        <v>151</v>
      </c>
      <c r="BK2" s="80" t="s">
        <v>146</v>
      </c>
      <c r="BL2" s="80" t="s">
        <v>151</v>
      </c>
      <c r="BM2" s="80" t="s">
        <v>151</v>
      </c>
      <c r="BN2" s="80" t="s">
        <v>151</v>
      </c>
      <c r="BO2" s="80" t="s">
        <v>146</v>
      </c>
      <c r="BP2" s="80" t="s">
        <v>151</v>
      </c>
      <c r="BQ2" s="80" t="s">
        <v>151</v>
      </c>
      <c r="BR2" s="80" t="s">
        <v>151</v>
      </c>
      <c r="BS2" s="80" t="s">
        <v>151</v>
      </c>
      <c r="BT2" s="80" t="s">
        <v>151</v>
      </c>
      <c r="BU2" s="80" t="s">
        <v>146</v>
      </c>
      <c r="BV2" s="80" t="s">
        <v>151</v>
      </c>
      <c r="BW2" s="80" t="s">
        <v>146</v>
      </c>
      <c r="BX2" s="80" t="s">
        <v>150</v>
      </c>
      <c r="BY2" s="80" t="s">
        <v>150</v>
      </c>
      <c r="BZ2" s="80" t="s">
        <v>151</v>
      </c>
      <c r="CA2" s="80" t="s">
        <v>151</v>
      </c>
      <c r="CB2" s="80" t="s">
        <v>150</v>
      </c>
      <c r="CC2" s="80" t="s">
        <v>146</v>
      </c>
      <c r="CD2" s="80" t="s">
        <v>146</v>
      </c>
      <c r="CE2" s="80" t="s">
        <v>151</v>
      </c>
      <c r="CF2" s="80" t="s">
        <v>151</v>
      </c>
      <c r="CG2" s="80" t="s">
        <v>153</v>
      </c>
      <c r="CH2" s="80" t="s">
        <v>153</v>
      </c>
      <c r="CI2" s="80" t="s">
        <v>153</v>
      </c>
      <c r="CJ2" s="80" t="s">
        <v>153</v>
      </c>
      <c r="CK2" s="80" t="s">
        <v>151</v>
      </c>
      <c r="CL2" s="80" t="s">
        <v>153</v>
      </c>
      <c r="CM2" s="80" t="s">
        <v>153</v>
      </c>
      <c r="CN2" s="80" t="s">
        <v>146</v>
      </c>
      <c r="CO2" s="80" t="s">
        <v>151</v>
      </c>
      <c r="CP2" s="80" t="s">
        <v>146</v>
      </c>
      <c r="CQ2" s="80" t="s">
        <v>151</v>
      </c>
      <c r="CR2" s="80" t="s">
        <v>151</v>
      </c>
      <c r="CS2" s="80" t="s">
        <v>146</v>
      </c>
      <c r="CT2" s="80" t="s">
        <v>150</v>
      </c>
      <c r="CU2" s="80" t="s">
        <v>151</v>
      </c>
      <c r="CV2" s="80" t="s">
        <v>151</v>
      </c>
      <c r="CW2" s="80" t="s">
        <v>146</v>
      </c>
      <c r="CX2" s="80" t="s">
        <v>146</v>
      </c>
      <c r="CY2" s="80" t="s">
        <v>151</v>
      </c>
      <c r="CZ2" s="80" t="s">
        <v>151</v>
      </c>
      <c r="DA2" s="80" t="s">
        <v>151</v>
      </c>
      <c r="DB2" s="80" t="s">
        <v>151</v>
      </c>
      <c r="DC2" s="80" t="s">
        <v>153</v>
      </c>
      <c r="DD2" s="80" t="s">
        <v>151</v>
      </c>
      <c r="DE2" s="80" t="s">
        <v>151</v>
      </c>
      <c r="DF2" s="80" t="s">
        <v>146</v>
      </c>
      <c r="DG2" s="80" t="s">
        <v>151</v>
      </c>
      <c r="DH2" s="80" t="s">
        <v>153</v>
      </c>
      <c r="DI2" s="26"/>
      <c r="DJ2" s="4"/>
      <c r="DK2" s="4"/>
      <c r="DL2" s="4"/>
      <c r="DM2" s="4"/>
      <c r="DN2" s="4"/>
      <c r="DO2" s="4"/>
      <c r="DP2" s="4"/>
      <c r="DQ2" s="4"/>
      <c r="DR2" s="4"/>
      <c r="DS2" s="4"/>
      <c r="DT2" s="4"/>
      <c r="DU2" s="4"/>
      <c r="DV2" s="4"/>
      <c r="DW2" s="4"/>
      <c r="DX2" s="4"/>
      <c r="DY2" s="4"/>
      <c r="DZ2" s="4"/>
      <c r="EA2" s="4"/>
      <c r="EB2" s="4"/>
    </row>
    <row r="3" spans="1:132" customFormat="1" x14ac:dyDescent="0.25">
      <c r="A3" s="54"/>
      <c r="B3" s="4"/>
      <c r="C3" s="14" t="s">
        <v>149</v>
      </c>
      <c r="D3" s="14" t="s">
        <v>149</v>
      </c>
      <c r="E3" s="14" t="s">
        <v>149</v>
      </c>
      <c r="F3" s="14" t="s">
        <v>149</v>
      </c>
      <c r="G3" s="14" t="s">
        <v>149</v>
      </c>
      <c r="H3" s="14" t="s">
        <v>149</v>
      </c>
      <c r="I3" s="14" t="s">
        <v>149</v>
      </c>
      <c r="J3" s="14" t="s">
        <v>149</v>
      </c>
      <c r="K3" s="14" t="s">
        <v>149</v>
      </c>
      <c r="L3" s="14" t="s">
        <v>149</v>
      </c>
      <c r="M3" s="105" t="s">
        <v>148</v>
      </c>
      <c r="N3" s="105" t="s">
        <v>148</v>
      </c>
      <c r="O3" s="14" t="s">
        <v>149</v>
      </c>
      <c r="P3" s="14" t="s">
        <v>149</v>
      </c>
      <c r="Q3" s="14" t="s">
        <v>149</v>
      </c>
      <c r="R3" s="106" t="s">
        <v>147</v>
      </c>
      <c r="S3" s="105" t="s">
        <v>149</v>
      </c>
      <c r="T3" s="106" t="s">
        <v>147</v>
      </c>
      <c r="U3" s="106" t="s">
        <v>149</v>
      </c>
      <c r="V3" s="105" t="s">
        <v>149</v>
      </c>
      <c r="W3" s="105" t="s">
        <v>148</v>
      </c>
      <c r="X3" s="105" t="s">
        <v>149</v>
      </c>
      <c r="Y3" s="105" t="s">
        <v>148</v>
      </c>
      <c r="Z3" s="105" t="s">
        <v>149</v>
      </c>
      <c r="AA3" s="107" t="s">
        <v>149</v>
      </c>
      <c r="AB3" s="105" t="s">
        <v>149</v>
      </c>
      <c r="AC3" s="105" t="s">
        <v>149</v>
      </c>
      <c r="AD3" s="105" t="s">
        <v>149</v>
      </c>
      <c r="AE3" s="105" t="s">
        <v>149</v>
      </c>
      <c r="AF3" s="105" t="s">
        <v>149</v>
      </c>
      <c r="AG3" s="105" t="s">
        <v>149</v>
      </c>
      <c r="AH3" s="105" t="s">
        <v>149</v>
      </c>
      <c r="AI3" s="105" t="s">
        <v>149</v>
      </c>
      <c r="AJ3" s="105" t="s">
        <v>149</v>
      </c>
      <c r="AK3" s="105" t="s">
        <v>149</v>
      </c>
      <c r="AL3" s="105" t="s">
        <v>149</v>
      </c>
      <c r="AM3" s="105" t="s">
        <v>149</v>
      </c>
      <c r="AN3" s="105" t="s">
        <v>149</v>
      </c>
      <c r="AO3" s="105" t="s">
        <v>149</v>
      </c>
      <c r="AP3" s="105" t="s">
        <v>149</v>
      </c>
      <c r="AQ3" s="105" t="s">
        <v>148</v>
      </c>
      <c r="AR3" s="105" t="s">
        <v>149</v>
      </c>
      <c r="AS3" s="105" t="s">
        <v>148</v>
      </c>
      <c r="AT3" s="105" t="s">
        <v>148</v>
      </c>
      <c r="AU3" s="105" t="s">
        <v>148</v>
      </c>
      <c r="AV3" s="105" t="s">
        <v>149</v>
      </c>
      <c r="AW3" s="105" t="s">
        <v>149</v>
      </c>
      <c r="AX3" s="107" t="s">
        <v>149</v>
      </c>
      <c r="AY3" s="105" t="s">
        <v>147</v>
      </c>
      <c r="AZ3" s="105" t="s">
        <v>149</v>
      </c>
      <c r="BA3" s="105" t="s">
        <v>149</v>
      </c>
      <c r="BB3" s="105" t="s">
        <v>149</v>
      </c>
      <c r="BC3" s="105" t="s">
        <v>149</v>
      </c>
      <c r="BD3" s="105" t="s">
        <v>149</v>
      </c>
      <c r="BE3" s="105" t="s">
        <v>149</v>
      </c>
      <c r="BF3" s="105" t="s">
        <v>149</v>
      </c>
      <c r="BG3" s="107" t="s">
        <v>149</v>
      </c>
      <c r="BH3" s="105" t="s">
        <v>149</v>
      </c>
      <c r="BI3" s="105" t="s">
        <v>149</v>
      </c>
      <c r="BJ3" s="107" t="s">
        <v>149</v>
      </c>
      <c r="BK3" s="107" t="s">
        <v>149</v>
      </c>
      <c r="BL3" s="105" t="s">
        <v>149</v>
      </c>
      <c r="BM3" s="105" t="s">
        <v>149</v>
      </c>
      <c r="BN3" s="105" t="s">
        <v>149</v>
      </c>
      <c r="BO3" s="105" t="s">
        <v>149</v>
      </c>
      <c r="BP3" s="105" t="s">
        <v>149</v>
      </c>
      <c r="BQ3" s="105" t="s">
        <v>149</v>
      </c>
      <c r="BR3" s="105" t="s">
        <v>148</v>
      </c>
      <c r="BS3" s="105" t="s">
        <v>149</v>
      </c>
      <c r="BT3" s="105" t="s">
        <v>149</v>
      </c>
      <c r="BU3" s="105" t="s">
        <v>149</v>
      </c>
      <c r="BV3" s="105" t="s">
        <v>149</v>
      </c>
      <c r="BW3" s="105" t="s">
        <v>149</v>
      </c>
      <c r="BX3" s="105" t="s">
        <v>149</v>
      </c>
      <c r="BY3" s="105" t="s">
        <v>149</v>
      </c>
      <c r="BZ3" s="105" t="s">
        <v>149</v>
      </c>
      <c r="CA3" s="105" t="s">
        <v>149</v>
      </c>
      <c r="CB3" s="105" t="s">
        <v>149</v>
      </c>
      <c r="CC3" s="105" t="s">
        <v>149</v>
      </c>
      <c r="CD3" s="105" t="s">
        <v>149</v>
      </c>
      <c r="CE3" s="105" t="s">
        <v>149</v>
      </c>
      <c r="CF3" s="105" t="s">
        <v>149</v>
      </c>
      <c r="CG3" s="105" t="s">
        <v>149</v>
      </c>
      <c r="CH3" s="105" t="s">
        <v>149</v>
      </c>
      <c r="CI3" s="105" t="s">
        <v>149</v>
      </c>
      <c r="CJ3" s="105" t="s">
        <v>148</v>
      </c>
      <c r="CK3" s="105" t="s">
        <v>148</v>
      </c>
      <c r="CL3" s="105" t="s">
        <v>148</v>
      </c>
      <c r="CM3" s="105" t="s">
        <v>149</v>
      </c>
      <c r="CN3" s="105" t="s">
        <v>148</v>
      </c>
      <c r="CO3" s="105" t="s">
        <v>148</v>
      </c>
      <c r="CP3" s="105" t="s">
        <v>148</v>
      </c>
      <c r="CQ3" s="105" t="s">
        <v>148</v>
      </c>
      <c r="CR3" s="105" t="s">
        <v>148</v>
      </c>
      <c r="CS3" s="106" t="s">
        <v>149</v>
      </c>
      <c r="CT3" s="105" t="s">
        <v>149</v>
      </c>
      <c r="CU3" s="105" t="s">
        <v>148</v>
      </c>
      <c r="CV3" s="105" t="s">
        <v>149</v>
      </c>
      <c r="CW3" s="106" t="s">
        <v>147</v>
      </c>
      <c r="CX3" s="107" t="s">
        <v>147</v>
      </c>
      <c r="CY3" s="107" t="s">
        <v>148</v>
      </c>
      <c r="CZ3" s="105" t="s">
        <v>149</v>
      </c>
      <c r="DA3" s="105" t="s">
        <v>149</v>
      </c>
      <c r="DB3" s="105" t="s">
        <v>148</v>
      </c>
      <c r="DC3" s="105" t="s">
        <v>148</v>
      </c>
      <c r="DD3" s="105" t="s">
        <v>148</v>
      </c>
      <c r="DE3" s="105" t="s">
        <v>149</v>
      </c>
      <c r="DF3" s="105" t="s">
        <v>148</v>
      </c>
      <c r="DG3" s="105" t="s">
        <v>148</v>
      </c>
      <c r="DH3" s="105" t="s">
        <v>148</v>
      </c>
      <c r="DI3" s="26"/>
      <c r="DJ3" s="4"/>
      <c r="DK3" s="4"/>
      <c r="DL3" s="4"/>
      <c r="DM3" s="4"/>
      <c r="DN3" s="4"/>
      <c r="DO3" s="4"/>
      <c r="DP3" s="4"/>
      <c r="DQ3" s="4"/>
      <c r="DR3" s="4"/>
      <c r="DS3" s="4"/>
      <c r="DT3" s="4"/>
      <c r="DU3" s="4"/>
      <c r="DV3" s="4"/>
      <c r="DW3" s="4"/>
      <c r="DX3" s="4"/>
      <c r="DY3" s="4"/>
      <c r="DZ3" s="4"/>
      <c r="EA3" s="4"/>
      <c r="EB3" s="4"/>
    </row>
    <row r="4" spans="1:132" s="21" customFormat="1" x14ac:dyDescent="0.25">
      <c r="A4" s="85"/>
      <c r="B4" s="56" t="s">
        <v>164</v>
      </c>
      <c r="C4" s="22"/>
      <c r="D4" s="22" t="s">
        <v>556</v>
      </c>
      <c r="E4" s="22"/>
      <c r="F4" s="22" t="s">
        <v>557</v>
      </c>
      <c r="G4" s="22" t="s">
        <v>558</v>
      </c>
      <c r="H4" s="22" t="s">
        <v>559</v>
      </c>
      <c r="I4" s="22" t="s">
        <v>560</v>
      </c>
      <c r="J4" s="22"/>
      <c r="K4" s="22" t="s">
        <v>561</v>
      </c>
      <c r="L4" s="22"/>
      <c r="M4" s="22"/>
      <c r="N4" s="22"/>
      <c r="O4" s="22" t="s">
        <v>562</v>
      </c>
      <c r="P4" s="22" t="s">
        <v>563</v>
      </c>
      <c r="Q4" s="22" t="s">
        <v>564</v>
      </c>
      <c r="R4" s="22" t="s">
        <v>565</v>
      </c>
      <c r="S4" s="22" t="s">
        <v>566</v>
      </c>
      <c r="T4" s="22" t="s">
        <v>567</v>
      </c>
      <c r="U4" s="22"/>
      <c r="V4" s="22"/>
      <c r="W4" s="22"/>
      <c r="X4" s="22"/>
      <c r="Y4" s="22"/>
      <c r="Z4" s="22" t="s">
        <v>568</v>
      </c>
      <c r="AA4" s="22"/>
      <c r="AB4" s="22" t="s">
        <v>569</v>
      </c>
      <c r="AC4" s="22" t="s">
        <v>570</v>
      </c>
      <c r="AD4" s="22" t="s">
        <v>571</v>
      </c>
      <c r="AE4" s="22"/>
      <c r="AF4" s="22"/>
      <c r="AG4" s="22"/>
      <c r="AH4" s="22" t="s">
        <v>572</v>
      </c>
      <c r="AI4" s="22" t="s">
        <v>572</v>
      </c>
      <c r="AJ4" s="22" t="s">
        <v>573</v>
      </c>
      <c r="AK4" s="22" t="s">
        <v>574</v>
      </c>
      <c r="AL4" s="22" t="s">
        <v>575</v>
      </c>
      <c r="AM4" s="22" t="s">
        <v>576</v>
      </c>
      <c r="AN4" s="22" t="s">
        <v>577</v>
      </c>
      <c r="AO4" s="22" t="s">
        <v>578</v>
      </c>
      <c r="AP4" s="22"/>
      <c r="AQ4" s="22"/>
      <c r="AR4" s="22"/>
      <c r="AS4" s="22"/>
      <c r="AT4" s="22"/>
      <c r="AU4" s="22"/>
      <c r="AV4" s="22" t="s">
        <v>579</v>
      </c>
      <c r="AW4" s="22"/>
      <c r="AX4" s="22"/>
      <c r="AY4" s="22" t="s">
        <v>580</v>
      </c>
      <c r="AZ4" s="22" t="s">
        <v>581</v>
      </c>
      <c r="BA4" s="22"/>
      <c r="BB4" s="22" t="s">
        <v>582</v>
      </c>
      <c r="BC4" s="22"/>
      <c r="BD4" s="22"/>
      <c r="BE4" s="22"/>
      <c r="BF4" s="22" t="s">
        <v>583</v>
      </c>
      <c r="BG4" s="22"/>
      <c r="BH4" s="22"/>
      <c r="BI4" s="22"/>
      <c r="BJ4" s="22"/>
      <c r="BK4" s="22"/>
      <c r="BL4" s="22"/>
      <c r="BM4" s="22"/>
      <c r="BN4" s="22"/>
      <c r="BO4" s="22" t="s">
        <v>584</v>
      </c>
      <c r="BP4" s="22" t="s">
        <v>585</v>
      </c>
      <c r="BQ4" s="22"/>
      <c r="BR4" s="22" t="s">
        <v>586</v>
      </c>
      <c r="BS4" s="22"/>
      <c r="BT4" s="22" t="s">
        <v>587</v>
      </c>
      <c r="BU4" s="22" t="s">
        <v>588</v>
      </c>
      <c r="BV4" s="22"/>
      <c r="BW4" s="22" t="s">
        <v>589</v>
      </c>
      <c r="BX4" s="22"/>
      <c r="BY4" s="22"/>
      <c r="BZ4" s="22"/>
      <c r="CA4" s="22"/>
      <c r="CB4" s="22"/>
      <c r="CC4" s="22" t="s">
        <v>590</v>
      </c>
      <c r="CD4" s="22" t="s">
        <v>591</v>
      </c>
      <c r="CE4" s="22" t="s">
        <v>592</v>
      </c>
      <c r="CF4" s="22" t="s">
        <v>593</v>
      </c>
      <c r="CG4" s="22" t="s">
        <v>594</v>
      </c>
      <c r="CH4" s="22"/>
      <c r="CI4" s="22" t="s">
        <v>595</v>
      </c>
      <c r="CJ4" s="22"/>
      <c r="CK4" s="22" t="s">
        <v>586</v>
      </c>
      <c r="CL4" s="22"/>
      <c r="CM4" s="22" t="s">
        <v>596</v>
      </c>
      <c r="CN4" s="22" t="s">
        <v>597</v>
      </c>
      <c r="CO4" s="22" t="s">
        <v>587</v>
      </c>
      <c r="CP4" s="22" t="s">
        <v>588</v>
      </c>
      <c r="CQ4" s="22"/>
      <c r="CR4" s="22"/>
      <c r="CS4" s="22"/>
      <c r="CT4" s="22"/>
      <c r="CU4" s="22"/>
      <c r="CV4" s="22"/>
      <c r="CW4" s="22"/>
      <c r="CX4" s="22"/>
      <c r="CY4" s="22"/>
      <c r="CZ4" s="22" t="s">
        <v>598</v>
      </c>
      <c r="DA4" s="22" t="s">
        <v>599</v>
      </c>
      <c r="DB4" s="22" t="s">
        <v>600</v>
      </c>
      <c r="DC4" s="22" t="s">
        <v>601</v>
      </c>
      <c r="DD4" s="22" t="s">
        <v>602</v>
      </c>
      <c r="DE4" s="22" t="s">
        <v>603</v>
      </c>
      <c r="DF4" s="22" t="s">
        <v>604</v>
      </c>
      <c r="DG4" s="22" t="s">
        <v>605</v>
      </c>
      <c r="DH4" s="22" t="s">
        <v>606</v>
      </c>
      <c r="DI4" s="24"/>
      <c r="DJ4" s="25"/>
      <c r="DK4" s="25"/>
    </row>
    <row r="5" spans="1:132" s="21" customFormat="1" x14ac:dyDescent="0.25">
      <c r="A5" s="85"/>
      <c r="B5" s="56" t="s">
        <v>554</v>
      </c>
      <c r="C5" s="22" t="s">
        <v>353</v>
      </c>
      <c r="D5" s="22" t="s">
        <v>356</v>
      </c>
      <c r="E5" s="22" t="s">
        <v>540</v>
      </c>
      <c r="F5" s="22" t="s">
        <v>362</v>
      </c>
      <c r="G5" s="22" t="s">
        <v>363</v>
      </c>
      <c r="H5" s="22" t="s">
        <v>541</v>
      </c>
      <c r="I5" s="22" t="s">
        <v>542</v>
      </c>
      <c r="J5" s="22" t="s">
        <v>543</v>
      </c>
      <c r="K5" s="22" t="s">
        <v>364</v>
      </c>
      <c r="L5" s="22" t="s">
        <v>366</v>
      </c>
      <c r="M5" s="22" t="s">
        <v>368</v>
      </c>
      <c r="N5" s="22" t="s">
        <v>370</v>
      </c>
      <c r="O5" s="22" t="s">
        <v>372</v>
      </c>
      <c r="P5" s="22" t="s">
        <v>374</v>
      </c>
      <c r="Q5" s="22" t="s">
        <v>376</v>
      </c>
      <c r="R5" s="22" t="s">
        <v>378</v>
      </c>
      <c r="S5" s="22" t="s">
        <v>380</v>
      </c>
      <c r="T5" s="22" t="s">
        <v>382</v>
      </c>
      <c r="U5" s="22" t="s">
        <v>384</v>
      </c>
      <c r="V5" s="22" t="s">
        <v>386</v>
      </c>
      <c r="W5" s="22" t="s">
        <v>388</v>
      </c>
      <c r="X5" s="22" t="s">
        <v>390</v>
      </c>
      <c r="Y5" s="22" t="s">
        <v>392</v>
      </c>
      <c r="Z5" s="22" t="s">
        <v>394</v>
      </c>
      <c r="AA5" s="22" t="s">
        <v>544</v>
      </c>
      <c r="AB5" s="22" t="s">
        <v>396</v>
      </c>
      <c r="AC5" s="22" t="s">
        <v>398</v>
      </c>
      <c r="AD5" s="22" t="s">
        <v>400</v>
      </c>
      <c r="AE5" s="22" t="s">
        <v>402</v>
      </c>
      <c r="AF5" s="22" t="s">
        <v>404</v>
      </c>
      <c r="AG5" s="22" t="s">
        <v>405</v>
      </c>
      <c r="AH5" s="22" t="s">
        <v>410</v>
      </c>
      <c r="AI5" s="22" t="s">
        <v>412</v>
      </c>
      <c r="AJ5" s="22" t="s">
        <v>413</v>
      </c>
      <c r="AK5" s="22" t="s">
        <v>415</v>
      </c>
      <c r="AL5" s="22" t="s">
        <v>417</v>
      </c>
      <c r="AM5" s="22" t="s">
        <v>545</v>
      </c>
      <c r="AN5" s="22" t="s">
        <v>419</v>
      </c>
      <c r="AO5" s="22" t="s">
        <v>420</v>
      </c>
      <c r="AP5" s="22" t="s">
        <v>421</v>
      </c>
      <c r="AQ5" s="22" t="s">
        <v>422</v>
      </c>
      <c r="AR5" s="22" t="s">
        <v>424</v>
      </c>
      <c r="AS5" s="22" t="s">
        <v>426</v>
      </c>
      <c r="AT5" s="22" t="s">
        <v>428</v>
      </c>
      <c r="AU5" s="22" t="s">
        <v>430</v>
      </c>
      <c r="AV5" s="22" t="s">
        <v>432</v>
      </c>
      <c r="AW5" s="22" t="s">
        <v>434</v>
      </c>
      <c r="AX5" s="22" t="s">
        <v>546</v>
      </c>
      <c r="AY5" s="22" t="s">
        <v>436</v>
      </c>
      <c r="AZ5" s="22" t="s">
        <v>439</v>
      </c>
      <c r="BA5" s="22" t="s">
        <v>441</v>
      </c>
      <c r="BB5" s="22" t="s">
        <v>442</v>
      </c>
      <c r="BC5" s="22" t="s">
        <v>444</v>
      </c>
      <c r="BD5" s="22" t="s">
        <v>445</v>
      </c>
      <c r="BE5" s="22" t="s">
        <v>446</v>
      </c>
      <c r="BF5" s="22" t="s">
        <v>447</v>
      </c>
      <c r="BG5" s="22" t="s">
        <v>547</v>
      </c>
      <c r="BH5" s="22" t="s">
        <v>449</v>
      </c>
      <c r="BI5" s="22" t="s">
        <v>451</v>
      </c>
      <c r="BJ5" s="22" t="s">
        <v>548</v>
      </c>
      <c r="BK5" s="22" t="s">
        <v>549</v>
      </c>
      <c r="BL5" s="22" t="s">
        <v>538</v>
      </c>
      <c r="BM5" s="22" t="s">
        <v>550</v>
      </c>
      <c r="BN5" s="22" t="s">
        <v>457</v>
      </c>
      <c r="BO5" s="22" t="s">
        <v>455</v>
      </c>
      <c r="BP5" s="22" t="s">
        <v>459</v>
      </c>
      <c r="BQ5" s="22" t="s">
        <v>461</v>
      </c>
      <c r="BR5" s="22" t="s">
        <v>463</v>
      </c>
      <c r="BS5" s="22" t="s">
        <v>465</v>
      </c>
      <c r="BT5" s="22" t="s">
        <v>467</v>
      </c>
      <c r="BU5" s="22" t="s">
        <v>469</v>
      </c>
      <c r="BV5" s="22" t="s">
        <v>474</v>
      </c>
      <c r="BW5" s="22" t="s">
        <v>476</v>
      </c>
      <c r="BX5" s="22" t="s">
        <v>480</v>
      </c>
      <c r="BY5" s="22" t="s">
        <v>481</v>
      </c>
      <c r="BZ5" s="22" t="s">
        <v>485</v>
      </c>
      <c r="CA5" s="22" t="s">
        <v>487</v>
      </c>
      <c r="CB5" s="22" t="s">
        <v>489</v>
      </c>
      <c r="CC5" s="22" t="s">
        <v>491</v>
      </c>
      <c r="CD5" s="22" t="s">
        <v>493</v>
      </c>
      <c r="CE5" s="22" t="s">
        <v>494</v>
      </c>
      <c r="CF5" s="22" t="s">
        <v>496</v>
      </c>
      <c r="CG5" s="22" t="s">
        <v>500</v>
      </c>
      <c r="CH5" s="22" t="s">
        <v>498</v>
      </c>
      <c r="CI5" s="22" t="s">
        <v>501</v>
      </c>
      <c r="CJ5" s="22" t="s">
        <v>503</v>
      </c>
      <c r="CK5" s="22" t="s">
        <v>504</v>
      </c>
      <c r="CL5" s="22" t="s">
        <v>505</v>
      </c>
      <c r="CM5" s="22" t="s">
        <v>506</v>
      </c>
      <c r="CN5" s="22" t="s">
        <v>508</v>
      </c>
      <c r="CO5" s="22" t="s">
        <v>510</v>
      </c>
      <c r="CP5" s="22" t="s">
        <v>511</v>
      </c>
      <c r="CQ5" s="22" t="s">
        <v>513</v>
      </c>
      <c r="CR5" s="22" t="s">
        <v>515</v>
      </c>
      <c r="CS5" s="22" t="s">
        <v>516</v>
      </c>
      <c r="CT5" s="22" t="s">
        <v>517</v>
      </c>
      <c r="CU5" s="22" t="s">
        <v>519</v>
      </c>
      <c r="CV5" s="22" t="s">
        <v>520</v>
      </c>
      <c r="CW5" s="22" t="s">
        <v>521</v>
      </c>
      <c r="CX5" s="22" t="s">
        <v>551</v>
      </c>
      <c r="CY5" s="22" t="s">
        <v>552</v>
      </c>
      <c r="CZ5" s="22" t="s">
        <v>523</v>
      </c>
      <c r="DA5" s="22" t="s">
        <v>525</v>
      </c>
      <c r="DB5" s="22" t="s">
        <v>526</v>
      </c>
      <c r="DC5" s="22" t="s">
        <v>528</v>
      </c>
      <c r="DD5" s="22" t="s">
        <v>530</v>
      </c>
      <c r="DE5" s="22" t="s">
        <v>532</v>
      </c>
      <c r="DF5" s="22" t="s">
        <v>534</v>
      </c>
      <c r="DG5" s="22" t="s">
        <v>536</v>
      </c>
      <c r="DH5" s="22" t="s">
        <v>553</v>
      </c>
      <c r="DI5" s="24"/>
      <c r="DJ5" s="25"/>
      <c r="DK5" s="25"/>
    </row>
    <row r="6" spans="1:132" s="17" customFormat="1" x14ac:dyDescent="0.25">
      <c r="A6" s="87" t="s">
        <v>554</v>
      </c>
      <c r="B6" s="57" t="s">
        <v>555</v>
      </c>
      <c r="C6" s="79" t="s">
        <v>353</v>
      </c>
      <c r="D6" s="79" t="s">
        <v>355</v>
      </c>
      <c r="E6" s="79" t="s">
        <v>356</v>
      </c>
      <c r="F6" s="79" t="s">
        <v>358</v>
      </c>
      <c r="G6" s="79" t="s">
        <v>359</v>
      </c>
      <c r="H6" s="79" t="s">
        <v>360</v>
      </c>
      <c r="I6" s="79" t="s">
        <v>362</v>
      </c>
      <c r="J6" s="79" t="s">
        <v>363</v>
      </c>
      <c r="K6" s="79" t="s">
        <v>364</v>
      </c>
      <c r="L6" s="79" t="s">
        <v>366</v>
      </c>
      <c r="M6" s="79" t="s">
        <v>368</v>
      </c>
      <c r="N6" s="79" t="s">
        <v>370</v>
      </c>
      <c r="O6" s="79" t="s">
        <v>372</v>
      </c>
      <c r="P6" s="79" t="s">
        <v>374</v>
      </c>
      <c r="Q6" s="79" t="s">
        <v>376</v>
      </c>
      <c r="R6" s="79" t="s">
        <v>378</v>
      </c>
      <c r="S6" s="79" t="s">
        <v>380</v>
      </c>
      <c r="T6" s="79" t="s">
        <v>382</v>
      </c>
      <c r="U6" s="79" t="s">
        <v>384</v>
      </c>
      <c r="V6" s="79" t="s">
        <v>386</v>
      </c>
      <c r="W6" s="79" t="s">
        <v>388</v>
      </c>
      <c r="X6" s="79" t="s">
        <v>390</v>
      </c>
      <c r="Y6" s="79" t="s">
        <v>392</v>
      </c>
      <c r="Z6" s="79" t="s">
        <v>394</v>
      </c>
      <c r="AA6" s="79" t="s">
        <v>396</v>
      </c>
      <c r="AB6" s="79" t="s">
        <v>398</v>
      </c>
      <c r="AC6" s="79" t="s">
        <v>400</v>
      </c>
      <c r="AD6" s="79" t="s">
        <v>402</v>
      </c>
      <c r="AE6" s="79" t="s">
        <v>404</v>
      </c>
      <c r="AF6" s="79" t="s">
        <v>405</v>
      </c>
      <c r="AG6" s="79" t="s">
        <v>407</v>
      </c>
      <c r="AH6" s="79" t="s">
        <v>408</v>
      </c>
      <c r="AI6" s="79" t="s">
        <v>410</v>
      </c>
      <c r="AJ6" s="79" t="s">
        <v>412</v>
      </c>
      <c r="AK6" s="79" t="s">
        <v>413</v>
      </c>
      <c r="AL6" s="79" t="s">
        <v>415</v>
      </c>
      <c r="AM6" s="79" t="s">
        <v>417</v>
      </c>
      <c r="AN6" s="79" t="s">
        <v>419</v>
      </c>
      <c r="AO6" s="79" t="s">
        <v>420</v>
      </c>
      <c r="AP6" s="79" t="s">
        <v>421</v>
      </c>
      <c r="AQ6" s="79" t="s">
        <v>422</v>
      </c>
      <c r="AR6" s="79" t="s">
        <v>424</v>
      </c>
      <c r="AS6" s="79" t="s">
        <v>426</v>
      </c>
      <c r="AT6" s="79" t="s">
        <v>428</v>
      </c>
      <c r="AU6" s="79" t="s">
        <v>430</v>
      </c>
      <c r="AV6" s="79" t="s">
        <v>432</v>
      </c>
      <c r="AW6" s="79" t="s">
        <v>434</v>
      </c>
      <c r="AX6" s="79" t="s">
        <v>436</v>
      </c>
      <c r="AY6" s="79" t="s">
        <v>437</v>
      </c>
      <c r="AZ6" s="79" t="s">
        <v>439</v>
      </c>
      <c r="BA6" s="79" t="s">
        <v>441</v>
      </c>
      <c r="BB6" s="79" t="s">
        <v>442</v>
      </c>
      <c r="BC6" s="79" t="s">
        <v>444</v>
      </c>
      <c r="BD6" s="79" t="s">
        <v>445</v>
      </c>
      <c r="BE6" s="79" t="s">
        <v>446</v>
      </c>
      <c r="BF6" s="79" t="s">
        <v>447</v>
      </c>
      <c r="BG6" s="79" t="s">
        <v>449</v>
      </c>
      <c r="BH6" s="79" t="s">
        <v>451</v>
      </c>
      <c r="BI6" s="79" t="s">
        <v>453</v>
      </c>
      <c r="BJ6" s="79" t="s">
        <v>455</v>
      </c>
      <c r="BK6" s="79" t="s">
        <v>457</v>
      </c>
      <c r="BL6" s="79" t="s">
        <v>459</v>
      </c>
      <c r="BM6" s="79" t="s">
        <v>461</v>
      </c>
      <c r="BN6" s="79" t="s">
        <v>463</v>
      </c>
      <c r="BO6" s="79" t="s">
        <v>465</v>
      </c>
      <c r="BP6" s="79" t="s">
        <v>467</v>
      </c>
      <c r="BQ6" s="79" t="s">
        <v>469</v>
      </c>
      <c r="BR6" s="79" t="s">
        <v>471</v>
      </c>
      <c r="BS6" s="79" t="s">
        <v>472</v>
      </c>
      <c r="BT6" s="79" t="s">
        <v>474</v>
      </c>
      <c r="BU6" s="79" t="s">
        <v>476</v>
      </c>
      <c r="BV6" s="79" t="s">
        <v>478</v>
      </c>
      <c r="BW6" s="79" t="s">
        <v>480</v>
      </c>
      <c r="BX6" s="79" t="s">
        <v>481</v>
      </c>
      <c r="BY6" s="79" t="s">
        <v>483</v>
      </c>
      <c r="BZ6" s="79" t="s">
        <v>485</v>
      </c>
      <c r="CA6" s="79" t="s">
        <v>487</v>
      </c>
      <c r="CB6" s="79" t="s">
        <v>489</v>
      </c>
      <c r="CC6" s="79" t="s">
        <v>491</v>
      </c>
      <c r="CD6" s="79" t="s">
        <v>493</v>
      </c>
      <c r="CE6" s="79" t="s">
        <v>494</v>
      </c>
      <c r="CF6" s="79" t="s">
        <v>496</v>
      </c>
      <c r="CG6" s="79" t="s">
        <v>498</v>
      </c>
      <c r="CH6" s="79" t="s">
        <v>500</v>
      </c>
      <c r="CI6" s="79" t="s">
        <v>501</v>
      </c>
      <c r="CJ6" s="79" t="s">
        <v>503</v>
      </c>
      <c r="CK6" s="79" t="s">
        <v>504</v>
      </c>
      <c r="CL6" s="79" t="s">
        <v>505</v>
      </c>
      <c r="CM6" s="79" t="s">
        <v>506</v>
      </c>
      <c r="CN6" s="79" t="s">
        <v>508</v>
      </c>
      <c r="CO6" s="79" t="s">
        <v>510</v>
      </c>
      <c r="CP6" s="79" t="s">
        <v>511</v>
      </c>
      <c r="CQ6" s="79" t="s">
        <v>512</v>
      </c>
      <c r="CR6" s="79" t="s">
        <v>513</v>
      </c>
      <c r="CS6" s="79" t="s">
        <v>515</v>
      </c>
      <c r="CT6" s="79" t="s">
        <v>516</v>
      </c>
      <c r="CU6" s="79" t="s">
        <v>517</v>
      </c>
      <c r="CV6" s="79" t="s">
        <v>518</v>
      </c>
      <c r="CW6" s="79" t="s">
        <v>519</v>
      </c>
      <c r="CX6" s="79" t="s">
        <v>520</v>
      </c>
      <c r="CY6" s="79" t="s">
        <v>521</v>
      </c>
      <c r="CZ6" s="79" t="s">
        <v>523</v>
      </c>
      <c r="DA6" s="79" t="s">
        <v>525</v>
      </c>
      <c r="DB6" s="79" t="s">
        <v>526</v>
      </c>
      <c r="DC6" s="79" t="s">
        <v>528</v>
      </c>
      <c r="DD6" s="79" t="s">
        <v>530</v>
      </c>
      <c r="DE6" s="79" t="s">
        <v>532</v>
      </c>
      <c r="DF6" s="79" t="s">
        <v>534</v>
      </c>
      <c r="DG6" s="79" t="s">
        <v>536</v>
      </c>
      <c r="DH6" s="79" t="s">
        <v>538</v>
      </c>
      <c r="DI6" s="19" t="s">
        <v>171</v>
      </c>
      <c r="DJ6" s="20"/>
      <c r="DK6" s="20"/>
    </row>
    <row r="7" spans="1:132" x14ac:dyDescent="0.25">
      <c r="B7" s="46"/>
      <c r="C7" s="9">
        <f t="shared" ref="C7:AH7" si="0">COUNTA(C8:C70)</f>
        <v>4</v>
      </c>
      <c r="D7" s="9">
        <f t="shared" si="0"/>
        <v>6</v>
      </c>
      <c r="E7" s="9">
        <f t="shared" si="0"/>
        <v>6</v>
      </c>
      <c r="F7" s="9">
        <f t="shared" si="0"/>
        <v>6</v>
      </c>
      <c r="G7" s="9">
        <f t="shared" si="0"/>
        <v>4</v>
      </c>
      <c r="H7" s="9">
        <f t="shared" si="0"/>
        <v>4</v>
      </c>
      <c r="I7" s="9">
        <f t="shared" si="0"/>
        <v>5</v>
      </c>
      <c r="J7" s="9">
        <f t="shared" si="0"/>
        <v>5</v>
      </c>
      <c r="K7" s="9">
        <f t="shared" si="0"/>
        <v>10</v>
      </c>
      <c r="L7" s="9">
        <f t="shared" si="0"/>
        <v>8</v>
      </c>
      <c r="M7" s="9">
        <f t="shared" si="0"/>
        <v>9</v>
      </c>
      <c r="N7" s="9">
        <f t="shared" si="0"/>
        <v>8</v>
      </c>
      <c r="O7" s="9">
        <f t="shared" si="0"/>
        <v>8</v>
      </c>
      <c r="P7" s="9">
        <f t="shared" si="0"/>
        <v>8</v>
      </c>
      <c r="Q7" s="9">
        <f t="shared" si="0"/>
        <v>8</v>
      </c>
      <c r="R7" s="9">
        <f t="shared" si="0"/>
        <v>5</v>
      </c>
      <c r="S7" s="9">
        <f t="shared" si="0"/>
        <v>5</v>
      </c>
      <c r="T7" s="9">
        <f t="shared" si="0"/>
        <v>7</v>
      </c>
      <c r="U7" s="9">
        <f t="shared" si="0"/>
        <v>5</v>
      </c>
      <c r="V7" s="9">
        <f t="shared" si="0"/>
        <v>5</v>
      </c>
      <c r="W7" s="9">
        <f t="shared" si="0"/>
        <v>5</v>
      </c>
      <c r="X7" s="9">
        <f t="shared" si="0"/>
        <v>4</v>
      </c>
      <c r="Y7" s="9">
        <f t="shared" si="0"/>
        <v>6</v>
      </c>
      <c r="Z7" s="9">
        <f t="shared" si="0"/>
        <v>4</v>
      </c>
      <c r="AA7" s="9">
        <f t="shared" si="0"/>
        <v>4</v>
      </c>
      <c r="AB7" s="9">
        <f t="shared" si="0"/>
        <v>6</v>
      </c>
      <c r="AC7" s="9">
        <f t="shared" si="0"/>
        <v>4</v>
      </c>
      <c r="AD7" s="9">
        <f t="shared" si="0"/>
        <v>5</v>
      </c>
      <c r="AE7" s="9">
        <f t="shared" si="0"/>
        <v>4</v>
      </c>
      <c r="AF7" s="9">
        <f t="shared" si="0"/>
        <v>6</v>
      </c>
      <c r="AG7" s="9">
        <f t="shared" si="0"/>
        <v>4</v>
      </c>
      <c r="AH7" s="9">
        <f t="shared" si="0"/>
        <v>6</v>
      </c>
      <c r="AI7" s="9">
        <f t="shared" ref="AI7:BN7" si="1">COUNTA(AI8:AI70)</f>
        <v>6</v>
      </c>
      <c r="AJ7" s="9">
        <f t="shared" si="1"/>
        <v>5</v>
      </c>
      <c r="AK7" s="9">
        <f t="shared" si="1"/>
        <v>3</v>
      </c>
      <c r="AL7" s="9">
        <f t="shared" si="1"/>
        <v>4</v>
      </c>
      <c r="AM7" s="9">
        <f t="shared" si="1"/>
        <v>4</v>
      </c>
      <c r="AN7" s="9">
        <f t="shared" si="1"/>
        <v>5</v>
      </c>
      <c r="AO7" s="9">
        <f t="shared" si="1"/>
        <v>5</v>
      </c>
      <c r="AP7" s="9">
        <f t="shared" si="1"/>
        <v>5</v>
      </c>
      <c r="AQ7" s="9">
        <f t="shared" si="1"/>
        <v>6</v>
      </c>
      <c r="AR7" s="9">
        <f t="shared" si="1"/>
        <v>7</v>
      </c>
      <c r="AS7" s="9">
        <f t="shared" si="1"/>
        <v>3</v>
      </c>
      <c r="AT7" s="9">
        <f t="shared" si="1"/>
        <v>3</v>
      </c>
      <c r="AU7" s="9">
        <f t="shared" si="1"/>
        <v>3</v>
      </c>
      <c r="AV7" s="9">
        <f t="shared" si="1"/>
        <v>3</v>
      </c>
      <c r="AW7" s="9">
        <f t="shared" si="1"/>
        <v>5</v>
      </c>
      <c r="AX7" s="9">
        <f t="shared" si="1"/>
        <v>2</v>
      </c>
      <c r="AY7" s="9">
        <f t="shared" si="1"/>
        <v>5</v>
      </c>
      <c r="AZ7" s="9">
        <f t="shared" si="1"/>
        <v>6</v>
      </c>
      <c r="BA7" s="9">
        <f t="shared" si="1"/>
        <v>3</v>
      </c>
      <c r="BB7" s="9">
        <f t="shared" si="1"/>
        <v>3</v>
      </c>
      <c r="BC7" s="9">
        <f t="shared" si="1"/>
        <v>4</v>
      </c>
      <c r="BD7" s="9">
        <f t="shared" si="1"/>
        <v>3</v>
      </c>
      <c r="BE7" s="9">
        <f t="shared" si="1"/>
        <v>2</v>
      </c>
      <c r="BF7" s="9">
        <f t="shared" si="1"/>
        <v>4</v>
      </c>
      <c r="BG7" s="9">
        <f t="shared" si="1"/>
        <v>3</v>
      </c>
      <c r="BH7" s="9">
        <f t="shared" si="1"/>
        <v>5</v>
      </c>
      <c r="BI7" s="9">
        <f t="shared" si="1"/>
        <v>4</v>
      </c>
      <c r="BJ7" s="9">
        <f t="shared" si="1"/>
        <v>2</v>
      </c>
      <c r="BK7" s="9">
        <f t="shared" si="1"/>
        <v>4</v>
      </c>
      <c r="BL7" s="9">
        <f t="shared" si="1"/>
        <v>3</v>
      </c>
      <c r="BM7" s="9">
        <f t="shared" si="1"/>
        <v>2</v>
      </c>
      <c r="BN7" s="9">
        <f t="shared" si="1"/>
        <v>7</v>
      </c>
      <c r="BO7" s="9">
        <f t="shared" ref="BO7:CT7" si="2">COUNTA(BO8:BO70)</f>
        <v>8</v>
      </c>
      <c r="BP7" s="9">
        <f t="shared" si="2"/>
        <v>7</v>
      </c>
      <c r="BQ7" s="9">
        <f t="shared" si="2"/>
        <v>6</v>
      </c>
      <c r="BR7" s="9">
        <f t="shared" si="2"/>
        <v>3</v>
      </c>
      <c r="BS7" s="9">
        <f t="shared" si="2"/>
        <v>6</v>
      </c>
      <c r="BT7" s="9">
        <f t="shared" si="2"/>
        <v>4</v>
      </c>
      <c r="BU7" s="9">
        <f t="shared" si="2"/>
        <v>2</v>
      </c>
      <c r="BV7" s="9">
        <f t="shared" si="2"/>
        <v>5</v>
      </c>
      <c r="BW7" s="9">
        <f t="shared" si="2"/>
        <v>3</v>
      </c>
      <c r="BX7" s="9">
        <f t="shared" si="2"/>
        <v>4</v>
      </c>
      <c r="BY7" s="9">
        <f t="shared" si="2"/>
        <v>2</v>
      </c>
      <c r="BZ7" s="9">
        <f t="shared" si="2"/>
        <v>4</v>
      </c>
      <c r="CA7" s="9">
        <f t="shared" si="2"/>
        <v>3</v>
      </c>
      <c r="CB7" s="9">
        <f t="shared" si="2"/>
        <v>3</v>
      </c>
      <c r="CC7" s="9">
        <f t="shared" si="2"/>
        <v>4</v>
      </c>
      <c r="CD7" s="9">
        <f t="shared" si="2"/>
        <v>3</v>
      </c>
      <c r="CE7" s="9">
        <f t="shared" si="2"/>
        <v>2</v>
      </c>
      <c r="CF7" s="9">
        <f t="shared" si="2"/>
        <v>5</v>
      </c>
      <c r="CG7" s="9">
        <f t="shared" si="2"/>
        <v>7</v>
      </c>
      <c r="CH7" s="9">
        <f t="shared" si="2"/>
        <v>6</v>
      </c>
      <c r="CI7" s="9">
        <f t="shared" si="2"/>
        <v>5</v>
      </c>
      <c r="CJ7" s="9">
        <f t="shared" si="2"/>
        <v>5</v>
      </c>
      <c r="CK7" s="9">
        <f t="shared" si="2"/>
        <v>4</v>
      </c>
      <c r="CL7" s="9">
        <f t="shared" si="2"/>
        <v>5</v>
      </c>
      <c r="CM7" s="9">
        <f t="shared" si="2"/>
        <v>5</v>
      </c>
      <c r="CN7" s="9">
        <f t="shared" si="2"/>
        <v>2</v>
      </c>
      <c r="CO7" s="9">
        <f t="shared" si="2"/>
        <v>3</v>
      </c>
      <c r="CP7" s="9">
        <f t="shared" si="2"/>
        <v>2</v>
      </c>
      <c r="CQ7" s="9">
        <f t="shared" si="2"/>
        <v>3</v>
      </c>
      <c r="CR7" s="9">
        <f t="shared" si="2"/>
        <v>4</v>
      </c>
      <c r="CS7" s="9">
        <f t="shared" si="2"/>
        <v>4</v>
      </c>
      <c r="CT7" s="9">
        <f t="shared" si="2"/>
        <v>2</v>
      </c>
      <c r="CU7" s="9">
        <f t="shared" ref="CU7:DH7" si="3">COUNTA(CU8:CU70)</f>
        <v>3</v>
      </c>
      <c r="CV7" s="9">
        <f t="shared" si="3"/>
        <v>3</v>
      </c>
      <c r="CW7" s="9">
        <f t="shared" si="3"/>
        <v>3</v>
      </c>
      <c r="CX7" s="9">
        <f t="shared" si="3"/>
        <v>2</v>
      </c>
      <c r="CY7" s="9">
        <f t="shared" si="3"/>
        <v>3</v>
      </c>
      <c r="CZ7" s="9">
        <f t="shared" si="3"/>
        <v>3</v>
      </c>
      <c r="DA7" s="9">
        <f t="shared" si="3"/>
        <v>3</v>
      </c>
      <c r="DB7" s="9">
        <f t="shared" si="3"/>
        <v>4</v>
      </c>
      <c r="DC7" s="9">
        <f t="shared" si="3"/>
        <v>4</v>
      </c>
      <c r="DD7" s="9">
        <f t="shared" si="3"/>
        <v>2</v>
      </c>
      <c r="DE7" s="9">
        <f t="shared" si="3"/>
        <v>3</v>
      </c>
      <c r="DF7" s="9">
        <f t="shared" si="3"/>
        <v>1</v>
      </c>
      <c r="DG7" s="9">
        <f t="shared" si="3"/>
        <v>1</v>
      </c>
      <c r="DH7" s="9">
        <f t="shared" si="3"/>
        <v>1</v>
      </c>
      <c r="DI7" s="9" t="s">
        <v>133</v>
      </c>
      <c r="DJ7" s="6" t="s">
        <v>172</v>
      </c>
      <c r="DK7" s="9" t="s">
        <v>263</v>
      </c>
      <c r="DL7" s="33" t="s">
        <v>264</v>
      </c>
    </row>
    <row r="8" spans="1:132" x14ac:dyDescent="0.25">
      <c r="A8" s="87" t="s">
        <v>758</v>
      </c>
      <c r="B8" s="108" t="s">
        <v>758</v>
      </c>
      <c r="C8" s="9" t="s">
        <v>4</v>
      </c>
      <c r="D8" s="9"/>
      <c r="E8" s="9"/>
      <c r="F8" s="9"/>
      <c r="G8" s="9"/>
      <c r="H8" s="9" t="s">
        <v>4</v>
      </c>
      <c r="I8" s="9" t="s">
        <v>4</v>
      </c>
      <c r="J8" s="9" t="s">
        <v>4</v>
      </c>
      <c r="K8" s="9"/>
      <c r="L8" s="9"/>
      <c r="M8" s="9"/>
      <c r="N8" s="9"/>
      <c r="O8" s="9"/>
      <c r="P8" s="9"/>
      <c r="Q8" s="9"/>
      <c r="R8" s="9"/>
      <c r="S8" s="9"/>
      <c r="T8" s="9"/>
      <c r="AP8" s="9" t="s">
        <v>4</v>
      </c>
      <c r="BM8" s="9"/>
      <c r="BQ8" s="109"/>
      <c r="CK8" s="46"/>
      <c r="DE8" s="46"/>
      <c r="DF8" s="46"/>
      <c r="DG8" s="46"/>
      <c r="DH8" s="46"/>
      <c r="DI8" s="108" t="str">
        <f>B8</f>
        <v>BA-DEC-001</v>
      </c>
      <c r="DJ8" s="35">
        <f>COUNTA(C8:DH8)</f>
        <v>5</v>
      </c>
      <c r="DK8" s="83">
        <v>8</v>
      </c>
      <c r="DL8" s="83" t="s">
        <v>831</v>
      </c>
    </row>
    <row r="9" spans="1:132" x14ac:dyDescent="0.25">
      <c r="A9" s="87" t="s">
        <v>759</v>
      </c>
      <c r="B9" s="108" t="s">
        <v>759</v>
      </c>
      <c r="C9" s="9"/>
      <c r="D9" s="9" t="s">
        <v>4</v>
      </c>
      <c r="E9" s="9" t="s">
        <v>4</v>
      </c>
      <c r="F9" s="9" t="s">
        <v>4</v>
      </c>
      <c r="G9" s="9" t="s">
        <v>4</v>
      </c>
      <c r="H9" s="9"/>
      <c r="I9" s="9" t="s">
        <v>4</v>
      </c>
      <c r="J9" s="9"/>
      <c r="K9" s="9"/>
      <c r="L9" s="9"/>
      <c r="M9" s="9"/>
      <c r="N9" s="9"/>
      <c r="O9" s="9"/>
      <c r="P9" s="9"/>
      <c r="Q9" s="9"/>
      <c r="R9" s="9"/>
      <c r="S9" s="9"/>
      <c r="T9" s="9"/>
      <c r="AH9" s="9" t="s">
        <v>4</v>
      </c>
      <c r="AK9" s="9" t="s">
        <v>4</v>
      </c>
      <c r="AP9" s="9" t="s">
        <v>4</v>
      </c>
      <c r="BM9" s="9"/>
      <c r="BQ9" s="109"/>
      <c r="CK9" s="46"/>
      <c r="DE9" s="46"/>
      <c r="DF9" s="46"/>
      <c r="DG9" s="46"/>
      <c r="DH9" s="46"/>
      <c r="DI9" s="108" t="str">
        <f t="shared" ref="DI9:DI66" si="4">B9</f>
        <v>BA-DEC-002</v>
      </c>
      <c r="DJ9" s="35">
        <f t="shared" ref="DJ9:DJ66" si="5">COUNTA(C9:DH9)</f>
        <v>8</v>
      </c>
      <c r="DK9" s="83">
        <v>16</v>
      </c>
      <c r="DL9" s="83" t="s">
        <v>832</v>
      </c>
    </row>
    <row r="10" spans="1:132" x14ac:dyDescent="0.25">
      <c r="A10" s="87" t="s">
        <v>817</v>
      </c>
      <c r="B10" s="108" t="s">
        <v>760</v>
      </c>
      <c r="C10" s="9" t="s">
        <v>4</v>
      </c>
      <c r="D10" s="9"/>
      <c r="E10" s="9"/>
      <c r="F10" s="9"/>
      <c r="G10" s="9"/>
      <c r="H10" s="9"/>
      <c r="I10" s="9"/>
      <c r="J10" s="9"/>
      <c r="K10" s="9"/>
      <c r="L10" s="9"/>
      <c r="M10" s="9"/>
      <c r="N10" s="9"/>
      <c r="O10" s="9"/>
      <c r="P10" s="9"/>
      <c r="Q10" s="9"/>
      <c r="R10" s="9"/>
      <c r="S10" s="9"/>
      <c r="T10" s="9"/>
      <c r="BM10" s="9"/>
      <c r="BQ10" s="109"/>
      <c r="BX10" s="9" t="s">
        <v>4</v>
      </c>
      <c r="CK10" s="46"/>
      <c r="CS10" s="9" t="s">
        <v>4</v>
      </c>
      <c r="DE10" s="46"/>
      <c r="DF10" s="46"/>
      <c r="DG10" s="46"/>
      <c r="DH10" s="46"/>
      <c r="DI10" s="108" t="str">
        <f t="shared" si="4"/>
        <v>BA-DEC-003</v>
      </c>
      <c r="DJ10" s="35">
        <f t="shared" si="5"/>
        <v>3</v>
      </c>
      <c r="DK10" s="83">
        <v>32</v>
      </c>
      <c r="DL10" s="83" t="s">
        <v>833</v>
      </c>
    </row>
    <row r="11" spans="1:132" x14ac:dyDescent="0.25">
      <c r="A11" s="87" t="s">
        <v>762</v>
      </c>
      <c r="B11" s="108" t="s">
        <v>761</v>
      </c>
      <c r="C11" s="9"/>
      <c r="D11" s="9"/>
      <c r="E11" s="9"/>
      <c r="F11" s="9"/>
      <c r="G11" s="9"/>
      <c r="H11" s="9"/>
      <c r="I11" s="9"/>
      <c r="J11" s="9"/>
      <c r="K11" s="9"/>
      <c r="L11" s="9"/>
      <c r="M11" s="9"/>
      <c r="N11" s="9"/>
      <c r="O11" s="9"/>
      <c r="P11" s="9"/>
      <c r="Q11" s="9"/>
      <c r="R11" s="9"/>
      <c r="S11" s="9"/>
      <c r="T11" s="9"/>
      <c r="BM11" s="9"/>
      <c r="BQ11" s="109"/>
      <c r="CK11" s="46"/>
      <c r="DE11" s="9" t="s">
        <v>4</v>
      </c>
      <c r="DF11" s="9" t="s">
        <v>4</v>
      </c>
      <c r="DG11" s="9" t="s">
        <v>4</v>
      </c>
      <c r="DH11" s="46"/>
      <c r="DI11" s="108" t="str">
        <f t="shared" si="4"/>
        <v>BA-DEF-001</v>
      </c>
      <c r="DJ11" s="35">
        <f t="shared" si="5"/>
        <v>3</v>
      </c>
      <c r="DK11" s="83">
        <v>32</v>
      </c>
      <c r="DL11" s="83" t="s">
        <v>834</v>
      </c>
    </row>
    <row r="12" spans="1:132" x14ac:dyDescent="0.25">
      <c r="A12" s="87" t="s">
        <v>763</v>
      </c>
      <c r="B12" s="108" t="s">
        <v>762</v>
      </c>
      <c r="C12" s="9"/>
      <c r="D12" s="9"/>
      <c r="E12" s="9"/>
      <c r="F12" s="9"/>
      <c r="G12" s="9"/>
      <c r="H12" s="9"/>
      <c r="I12" s="9"/>
      <c r="J12" s="9"/>
      <c r="K12" s="9"/>
      <c r="L12" s="9"/>
      <c r="M12" s="9"/>
      <c r="N12" s="9"/>
      <c r="O12" s="9"/>
      <c r="P12" s="9"/>
      <c r="Q12" s="9"/>
      <c r="R12" s="9"/>
      <c r="S12" s="9"/>
      <c r="T12" s="9"/>
      <c r="BM12" s="9"/>
      <c r="BQ12" s="109"/>
      <c r="CK12" s="46"/>
      <c r="DB12" s="9" t="s">
        <v>4</v>
      </c>
      <c r="DC12" s="9" t="s">
        <v>4</v>
      </c>
      <c r="DD12" s="9" t="s">
        <v>4</v>
      </c>
      <c r="DE12" s="46"/>
      <c r="DF12" s="46"/>
      <c r="DG12" s="46"/>
      <c r="DH12" s="46"/>
      <c r="DI12" s="108" t="str">
        <f t="shared" si="4"/>
        <v>BA-DEF-002</v>
      </c>
      <c r="DJ12" s="35">
        <f t="shared" si="5"/>
        <v>3</v>
      </c>
      <c r="DK12" s="83">
        <v>16</v>
      </c>
      <c r="DL12" s="83" t="s">
        <v>835</v>
      </c>
    </row>
    <row r="13" spans="1:132" x14ac:dyDescent="0.25">
      <c r="A13" s="87" t="s">
        <v>765</v>
      </c>
      <c r="B13" s="108" t="s">
        <v>763</v>
      </c>
      <c r="C13" s="9"/>
      <c r="D13" s="9"/>
      <c r="E13" s="9"/>
      <c r="F13" s="9"/>
      <c r="G13" s="9"/>
      <c r="H13" s="9"/>
      <c r="I13" s="9"/>
      <c r="J13" s="9"/>
      <c r="K13" s="9"/>
      <c r="L13" s="9"/>
      <c r="M13" s="9"/>
      <c r="N13" s="9"/>
      <c r="O13" s="9"/>
      <c r="P13" s="9"/>
      <c r="Q13" s="9"/>
      <c r="R13" s="9"/>
      <c r="S13" s="9"/>
      <c r="T13" s="9"/>
      <c r="BM13" s="9"/>
      <c r="BQ13" s="4"/>
      <c r="CC13" s="9" t="s">
        <v>4</v>
      </c>
      <c r="CK13" s="46"/>
      <c r="DA13" s="9" t="s">
        <v>4</v>
      </c>
      <c r="DB13" s="6"/>
      <c r="DC13" s="6"/>
      <c r="DD13" s="6"/>
      <c r="DE13" s="46"/>
      <c r="DF13" s="46"/>
      <c r="DG13" s="46"/>
      <c r="DH13" s="46"/>
      <c r="DI13" s="108" t="str">
        <f t="shared" si="4"/>
        <v>BA-DEF-003</v>
      </c>
      <c r="DJ13" s="35">
        <f t="shared" si="5"/>
        <v>2</v>
      </c>
      <c r="DK13" s="83">
        <v>32</v>
      </c>
      <c r="DL13" s="83" t="s">
        <v>836</v>
      </c>
    </row>
    <row r="14" spans="1:132" x14ac:dyDescent="0.25">
      <c r="A14" s="87" t="s">
        <v>766</v>
      </c>
      <c r="B14" s="108" t="s">
        <v>764</v>
      </c>
      <c r="C14" s="9"/>
      <c r="D14" s="9"/>
      <c r="E14" s="9"/>
      <c r="F14" s="9"/>
      <c r="G14" s="9"/>
      <c r="H14" s="9"/>
      <c r="I14" s="9"/>
      <c r="J14" s="9"/>
      <c r="K14" s="9"/>
      <c r="L14" s="9"/>
      <c r="M14" s="9"/>
      <c r="N14" s="9"/>
      <c r="O14" s="9"/>
      <c r="P14" s="9"/>
      <c r="Q14" s="9"/>
      <c r="R14" s="9"/>
      <c r="S14" s="9"/>
      <c r="T14" s="9"/>
      <c r="BM14" s="9"/>
      <c r="BN14" s="9" t="s">
        <v>4</v>
      </c>
      <c r="BO14" s="9" t="s">
        <v>4</v>
      </c>
      <c r="BP14" s="9" t="s">
        <v>4</v>
      </c>
      <c r="BQ14" s="4"/>
      <c r="BS14" s="9" t="s">
        <v>4</v>
      </c>
      <c r="BT14" s="9" t="s">
        <v>4</v>
      </c>
      <c r="BV14" s="9" t="s">
        <v>4</v>
      </c>
      <c r="BY14" s="9" t="s">
        <v>4</v>
      </c>
      <c r="CA14" s="9" t="s">
        <v>4</v>
      </c>
      <c r="CB14" s="9" t="s">
        <v>4</v>
      </c>
      <c r="CG14" s="9" t="s">
        <v>4</v>
      </c>
      <c r="CH14" s="9" t="s">
        <v>4</v>
      </c>
      <c r="CI14" s="9" t="s">
        <v>4</v>
      </c>
      <c r="CK14" s="46"/>
      <c r="CL14" s="9" t="s">
        <v>4</v>
      </c>
      <c r="CM14" s="9" t="s">
        <v>4</v>
      </c>
      <c r="CT14" s="9" t="s">
        <v>4</v>
      </c>
      <c r="CV14" s="9" t="s">
        <v>4</v>
      </c>
      <c r="CW14" s="9" t="s">
        <v>4</v>
      </c>
      <c r="CZ14" s="9" t="s">
        <v>4</v>
      </c>
      <c r="DE14" s="46"/>
      <c r="DF14" s="46"/>
      <c r="DG14" s="46"/>
      <c r="DH14" s="46"/>
      <c r="DI14" s="108" t="str">
        <f t="shared" si="4"/>
        <v>BA-DEF-004</v>
      </c>
      <c r="DJ14" s="35">
        <f t="shared" si="5"/>
        <v>18</v>
      </c>
      <c r="DK14" s="83">
        <v>32</v>
      </c>
      <c r="DL14" s="83" t="s">
        <v>837</v>
      </c>
    </row>
    <row r="15" spans="1:132" x14ac:dyDescent="0.25">
      <c r="A15" s="87" t="s">
        <v>818</v>
      </c>
      <c r="B15" s="108" t="s">
        <v>765</v>
      </c>
      <c r="C15" s="9"/>
      <c r="D15" s="9"/>
      <c r="E15" s="9"/>
      <c r="F15" s="9"/>
      <c r="G15" s="9"/>
      <c r="H15" s="9"/>
      <c r="I15" s="9"/>
      <c r="J15" s="9"/>
      <c r="K15" s="9"/>
      <c r="L15" s="9"/>
      <c r="M15" s="9"/>
      <c r="N15" s="9"/>
      <c r="O15" s="9"/>
      <c r="P15" s="9"/>
      <c r="Q15" s="9"/>
      <c r="R15" s="9"/>
      <c r="S15" s="82"/>
      <c r="T15" s="82"/>
      <c r="U15" s="82"/>
      <c r="V15" s="82"/>
      <c r="W15" s="82"/>
      <c r="X15" s="82"/>
      <c r="Y15" s="82"/>
      <c r="Z15" s="82"/>
      <c r="AD15" s="9" t="s">
        <v>4</v>
      </c>
      <c r="BF15" s="9" t="s">
        <v>4</v>
      </c>
      <c r="BM15" s="9"/>
      <c r="BQ15" s="4"/>
      <c r="CK15" s="46"/>
      <c r="DE15" s="46"/>
      <c r="DF15" s="46"/>
      <c r="DG15" s="46"/>
      <c r="DH15" s="46"/>
      <c r="DI15" s="108" t="str">
        <f t="shared" si="4"/>
        <v>BA-DEF-005</v>
      </c>
      <c r="DJ15" s="35">
        <f t="shared" si="5"/>
        <v>2</v>
      </c>
      <c r="DK15" s="83">
        <v>16</v>
      </c>
      <c r="DL15" s="83" t="s">
        <v>838</v>
      </c>
    </row>
    <row r="16" spans="1:132" x14ac:dyDescent="0.25">
      <c r="A16" s="87" t="s">
        <v>819</v>
      </c>
      <c r="B16" s="108" t="s">
        <v>766</v>
      </c>
      <c r="C16" s="9"/>
      <c r="D16" s="9"/>
      <c r="E16" s="9"/>
      <c r="F16" s="9"/>
      <c r="G16" s="9"/>
      <c r="H16" s="9"/>
      <c r="I16" s="9"/>
      <c r="J16" s="9"/>
      <c r="K16" s="9"/>
      <c r="L16" s="9"/>
      <c r="M16" s="9"/>
      <c r="N16" s="9"/>
      <c r="O16" s="9"/>
      <c r="P16" s="9"/>
      <c r="Q16" s="9"/>
      <c r="R16" s="9"/>
      <c r="S16" s="9"/>
      <c r="T16" s="9"/>
      <c r="BJ16" s="9" t="s">
        <v>4</v>
      </c>
      <c r="BM16" s="9"/>
      <c r="BQ16" s="109"/>
      <c r="CK16" s="46"/>
      <c r="DE16" s="46"/>
      <c r="DF16" s="46"/>
      <c r="DG16" s="46"/>
      <c r="DH16" s="46"/>
      <c r="DI16" s="108" t="str">
        <f t="shared" si="4"/>
        <v>BA-DEF-006</v>
      </c>
      <c r="DJ16" s="35">
        <f t="shared" si="5"/>
        <v>1</v>
      </c>
      <c r="DK16" s="83">
        <v>16</v>
      </c>
      <c r="DL16" s="83" t="s">
        <v>839</v>
      </c>
    </row>
    <row r="17" spans="1:116" x14ac:dyDescent="0.25">
      <c r="A17" s="87" t="s">
        <v>820</v>
      </c>
      <c r="B17" s="108" t="s">
        <v>767</v>
      </c>
      <c r="C17" s="9"/>
      <c r="D17" s="9"/>
      <c r="E17" s="9"/>
      <c r="F17" s="9"/>
      <c r="G17" s="9"/>
      <c r="H17" s="9"/>
      <c r="I17" s="9"/>
      <c r="J17" s="9"/>
      <c r="K17" s="9"/>
      <c r="L17" s="9"/>
      <c r="M17" s="9"/>
      <c r="N17" s="9"/>
      <c r="O17" s="9"/>
      <c r="P17" s="9"/>
      <c r="Q17" s="9"/>
      <c r="R17" s="9"/>
      <c r="S17" s="9"/>
      <c r="T17" s="9"/>
      <c r="BM17" s="9"/>
      <c r="BQ17" s="109"/>
      <c r="BX17" s="9" t="s">
        <v>4</v>
      </c>
      <c r="CK17" s="46"/>
      <c r="CS17" s="9" t="s">
        <v>4</v>
      </c>
      <c r="DE17" s="46"/>
      <c r="DF17" s="46"/>
      <c r="DG17" s="46"/>
      <c r="DH17" s="46"/>
      <c r="DI17" s="108" t="str">
        <f t="shared" si="4"/>
        <v>BA-DEF-007</v>
      </c>
      <c r="DJ17" s="35">
        <f t="shared" si="5"/>
        <v>2</v>
      </c>
      <c r="DK17" s="83">
        <v>32</v>
      </c>
      <c r="DL17" s="83" t="s">
        <v>840</v>
      </c>
    </row>
    <row r="18" spans="1:116" x14ac:dyDescent="0.25">
      <c r="A18" s="87" t="s">
        <v>821</v>
      </c>
      <c r="B18" s="108" t="s">
        <v>768</v>
      </c>
      <c r="C18" s="9"/>
      <c r="D18" s="9"/>
      <c r="E18" s="9"/>
      <c r="F18" s="9"/>
      <c r="G18" s="9"/>
      <c r="H18" s="9"/>
      <c r="I18" s="9"/>
      <c r="J18" s="9"/>
      <c r="K18" s="9"/>
      <c r="L18" s="9"/>
      <c r="M18" s="9"/>
      <c r="N18" s="9"/>
      <c r="O18" s="9"/>
      <c r="P18" s="9"/>
      <c r="Q18" s="9"/>
      <c r="R18" s="9"/>
      <c r="S18" s="9"/>
      <c r="T18" s="9"/>
      <c r="BM18" s="9"/>
      <c r="BQ18" s="109"/>
      <c r="BX18" s="9" t="s">
        <v>4</v>
      </c>
      <c r="CK18" s="46"/>
      <c r="CS18" s="9" t="s">
        <v>4</v>
      </c>
      <c r="CX18" s="9" t="s">
        <v>4</v>
      </c>
      <c r="DE18" s="46"/>
      <c r="DF18" s="46"/>
      <c r="DG18" s="46"/>
      <c r="DH18" s="46"/>
      <c r="DI18" s="108" t="str">
        <f t="shared" si="4"/>
        <v>BA-DEF-008</v>
      </c>
      <c r="DJ18" s="35">
        <f t="shared" si="5"/>
        <v>3</v>
      </c>
      <c r="DK18" s="83">
        <v>32</v>
      </c>
      <c r="DL18" s="83" t="s">
        <v>841</v>
      </c>
    </row>
    <row r="19" spans="1:116" x14ac:dyDescent="0.25">
      <c r="A19" s="87" t="s">
        <v>822</v>
      </c>
      <c r="B19" s="108" t="s">
        <v>769</v>
      </c>
      <c r="C19" s="9"/>
      <c r="D19" s="9"/>
      <c r="E19" s="9"/>
      <c r="F19" s="9"/>
      <c r="G19" s="9"/>
      <c r="H19" s="9"/>
      <c r="I19" s="9"/>
      <c r="J19" s="9"/>
      <c r="K19" s="9"/>
      <c r="L19" s="9"/>
      <c r="M19" s="9"/>
      <c r="N19" s="9"/>
      <c r="O19" s="9"/>
      <c r="P19" s="9"/>
      <c r="Q19" s="9"/>
      <c r="R19" s="9"/>
      <c r="S19" s="9"/>
      <c r="T19" s="9"/>
      <c r="BM19" s="9"/>
      <c r="CK19" s="46"/>
      <c r="CX19" s="9" t="s">
        <v>4</v>
      </c>
      <c r="DH19" s="46"/>
      <c r="DI19" s="108" t="str">
        <f t="shared" si="4"/>
        <v>BA-DEF-009</v>
      </c>
      <c r="DJ19" s="35">
        <f t="shared" si="5"/>
        <v>1</v>
      </c>
      <c r="DK19" s="83">
        <v>32</v>
      </c>
      <c r="DL19" s="83" t="s">
        <v>842</v>
      </c>
    </row>
    <row r="20" spans="1:116" x14ac:dyDescent="0.25">
      <c r="A20" s="87" t="s">
        <v>757</v>
      </c>
      <c r="B20" s="108" t="s">
        <v>757</v>
      </c>
      <c r="D20" s="9" t="s">
        <v>4</v>
      </c>
      <c r="F20" s="9" t="s">
        <v>4</v>
      </c>
      <c r="I20" s="9" t="s">
        <v>4</v>
      </c>
      <c r="K20" s="9" t="s">
        <v>4</v>
      </c>
      <c r="L20" s="9" t="s">
        <v>4</v>
      </c>
      <c r="M20" s="9" t="s">
        <v>4</v>
      </c>
      <c r="N20" s="9" t="s">
        <v>4</v>
      </c>
      <c r="Q20" s="9" t="s">
        <v>4</v>
      </c>
      <c r="S20" s="9" t="s">
        <v>4</v>
      </c>
      <c r="T20" s="9" t="s">
        <v>4</v>
      </c>
      <c r="V20" s="9" t="s">
        <v>4</v>
      </c>
      <c r="W20" s="9" t="s">
        <v>4</v>
      </c>
      <c r="X20" s="9" t="s">
        <v>4</v>
      </c>
      <c r="Y20" s="9" t="s">
        <v>4</v>
      </c>
      <c r="AB20" s="9" t="s">
        <v>4</v>
      </c>
      <c r="AD20" s="9" t="s">
        <v>4</v>
      </c>
      <c r="AF20" s="9" t="s">
        <v>4</v>
      </c>
      <c r="BM20" s="9"/>
      <c r="BQ20" s="4"/>
      <c r="CK20" s="46"/>
      <c r="DE20" s="46"/>
      <c r="DF20" s="46"/>
      <c r="DG20" s="46"/>
      <c r="DH20" s="46"/>
      <c r="DI20" s="108" t="str">
        <f t="shared" si="4"/>
        <v>BA-DEL-001</v>
      </c>
      <c r="DJ20" s="35">
        <f t="shared" si="5"/>
        <v>17</v>
      </c>
      <c r="DK20" s="83">
        <v>4</v>
      </c>
      <c r="DL20" s="83" t="s">
        <v>936</v>
      </c>
    </row>
    <row r="21" spans="1:116" x14ac:dyDescent="0.25">
      <c r="A21" s="87" t="s">
        <v>770</v>
      </c>
      <c r="B21" s="108" t="s">
        <v>770</v>
      </c>
      <c r="L21" s="9" t="s">
        <v>4</v>
      </c>
      <c r="AH21" s="9" t="s">
        <v>4</v>
      </c>
      <c r="AI21" s="9" t="s">
        <v>4</v>
      </c>
      <c r="DI21" s="108" t="str">
        <f t="shared" si="4"/>
        <v>BA-DEL-002</v>
      </c>
      <c r="DJ21" s="35">
        <f t="shared" si="5"/>
        <v>3</v>
      </c>
      <c r="DK21" s="83">
        <v>8</v>
      </c>
      <c r="DL21" s="83" t="s">
        <v>843</v>
      </c>
    </row>
    <row r="22" spans="1:116" x14ac:dyDescent="0.25">
      <c r="A22" s="87" t="s">
        <v>771</v>
      </c>
      <c r="B22" s="108" t="s">
        <v>771</v>
      </c>
      <c r="C22" s="9"/>
      <c r="D22" s="9"/>
      <c r="E22" s="9"/>
      <c r="F22" s="9"/>
      <c r="G22" s="9"/>
      <c r="H22" s="9"/>
      <c r="I22" s="9"/>
      <c r="J22" s="9" t="s">
        <v>4</v>
      </c>
      <c r="K22" s="9"/>
      <c r="L22" s="9" t="s">
        <v>4</v>
      </c>
      <c r="M22" s="9"/>
      <c r="N22" s="9" t="s">
        <v>4</v>
      </c>
      <c r="O22" s="9" t="s">
        <v>4</v>
      </c>
      <c r="P22" s="9" t="s">
        <v>4</v>
      </c>
      <c r="Q22" s="9" t="s">
        <v>4</v>
      </c>
      <c r="R22" s="9"/>
      <c r="S22" s="9"/>
      <c r="T22" s="9"/>
      <c r="Y22" s="9" t="s">
        <v>4</v>
      </c>
      <c r="AE22" s="9" t="s">
        <v>4</v>
      </c>
      <c r="AI22" s="9" t="s">
        <v>4</v>
      </c>
      <c r="AO22" s="9" t="s">
        <v>4</v>
      </c>
      <c r="AQ22" s="9" t="s">
        <v>4</v>
      </c>
      <c r="AR22" s="9" t="s">
        <v>4</v>
      </c>
      <c r="AS22" s="9" t="s">
        <v>4</v>
      </c>
      <c r="AT22" s="9" t="s">
        <v>4</v>
      </c>
      <c r="AU22" s="9" t="s">
        <v>4</v>
      </c>
      <c r="AV22" s="9" t="s">
        <v>4</v>
      </c>
      <c r="AW22" s="9" t="s">
        <v>4</v>
      </c>
      <c r="AX22" s="9" t="s">
        <v>4</v>
      </c>
      <c r="AZ22" s="9" t="s">
        <v>4</v>
      </c>
      <c r="BM22" s="9"/>
      <c r="BQ22" s="4"/>
      <c r="BW22" s="9" t="s">
        <v>4</v>
      </c>
      <c r="CC22" s="9" t="s">
        <v>4</v>
      </c>
      <c r="CK22" s="46"/>
      <c r="CM22" s="9" t="s">
        <v>4</v>
      </c>
      <c r="CN22" s="9" t="s">
        <v>4</v>
      </c>
      <c r="CR22" s="9" t="s">
        <v>4</v>
      </c>
      <c r="DA22" s="9" t="s">
        <v>4</v>
      </c>
      <c r="DE22" s="46"/>
      <c r="DF22" s="46"/>
      <c r="DG22" s="46"/>
      <c r="DH22" s="46"/>
      <c r="DI22" s="108" t="str">
        <f t="shared" si="4"/>
        <v>BA-DEV-001</v>
      </c>
      <c r="DJ22" s="35">
        <f t="shared" si="5"/>
        <v>25</v>
      </c>
      <c r="DK22" s="83">
        <v>4</v>
      </c>
      <c r="DL22" s="83" t="s">
        <v>844</v>
      </c>
    </row>
    <row r="23" spans="1:116" x14ac:dyDescent="0.25">
      <c r="A23" s="87" t="s">
        <v>772</v>
      </c>
      <c r="B23" s="108" t="s">
        <v>772</v>
      </c>
      <c r="C23" s="9"/>
      <c r="D23" s="9"/>
      <c r="E23" s="9"/>
      <c r="F23" s="9"/>
      <c r="G23" s="9"/>
      <c r="H23" s="9"/>
      <c r="I23" s="9"/>
      <c r="J23" s="9"/>
      <c r="K23" s="9"/>
      <c r="L23" s="9"/>
      <c r="M23" s="9"/>
      <c r="N23" s="9"/>
      <c r="O23" s="9"/>
      <c r="P23" s="9"/>
      <c r="Q23" s="9"/>
      <c r="R23" s="9"/>
      <c r="S23" s="9"/>
      <c r="T23" s="9"/>
      <c r="BH23" s="9" t="s">
        <v>4</v>
      </c>
      <c r="BM23" s="9"/>
      <c r="BQ23" s="4"/>
      <c r="CK23" s="46"/>
      <c r="DB23" s="9" t="s">
        <v>4</v>
      </c>
      <c r="DC23" s="9" t="s">
        <v>4</v>
      </c>
      <c r="DE23" s="46"/>
      <c r="DF23" s="46"/>
      <c r="DG23" s="46"/>
      <c r="DH23" s="46"/>
      <c r="DI23" s="108" t="str">
        <f t="shared" si="4"/>
        <v>BA-DEV-002</v>
      </c>
      <c r="DJ23" s="35">
        <f t="shared" si="5"/>
        <v>3</v>
      </c>
      <c r="DK23" s="83">
        <v>4</v>
      </c>
      <c r="DL23" s="83" t="s">
        <v>845</v>
      </c>
    </row>
    <row r="24" spans="1:116" x14ac:dyDescent="0.25">
      <c r="A24" s="87" t="s">
        <v>773</v>
      </c>
      <c r="B24" s="108" t="s">
        <v>773</v>
      </c>
      <c r="C24" s="9"/>
      <c r="D24" s="9"/>
      <c r="E24" s="9"/>
      <c r="F24" s="9"/>
      <c r="G24" s="9"/>
      <c r="H24" s="9"/>
      <c r="I24" s="9"/>
      <c r="J24" s="9" t="s">
        <v>4</v>
      </c>
      <c r="K24" s="9"/>
      <c r="L24" s="9"/>
      <c r="M24" s="9" t="s">
        <v>4</v>
      </c>
      <c r="N24" s="9"/>
      <c r="O24" s="9"/>
      <c r="P24" s="9"/>
      <c r="Q24" s="9"/>
      <c r="R24" s="9"/>
      <c r="S24" s="9"/>
      <c r="T24" s="9"/>
      <c r="BG24" s="9" t="s">
        <v>4</v>
      </c>
      <c r="BM24" s="9"/>
      <c r="CK24" s="46"/>
      <c r="DB24" s="9" t="s">
        <v>4</v>
      </c>
      <c r="DC24" s="9" t="s">
        <v>4</v>
      </c>
      <c r="DE24" s="46" t="s">
        <v>4</v>
      </c>
      <c r="DF24" s="46"/>
      <c r="DG24" s="46"/>
      <c r="DH24" s="46"/>
      <c r="DI24" s="108" t="str">
        <f t="shared" si="4"/>
        <v>BA-DEV-003</v>
      </c>
      <c r="DJ24" s="35">
        <f t="shared" si="5"/>
        <v>6</v>
      </c>
      <c r="DK24" s="83">
        <v>4</v>
      </c>
      <c r="DL24" s="83" t="s">
        <v>846</v>
      </c>
    </row>
    <row r="25" spans="1:116" x14ac:dyDescent="0.25">
      <c r="A25" s="87" t="s">
        <v>774</v>
      </c>
      <c r="B25" s="108" t="s">
        <v>774</v>
      </c>
      <c r="C25" s="9"/>
      <c r="D25" s="9"/>
      <c r="E25" s="9"/>
      <c r="F25" s="9"/>
      <c r="G25" s="9"/>
      <c r="H25" s="9"/>
      <c r="I25" s="9"/>
      <c r="J25" s="9"/>
      <c r="K25" s="9"/>
      <c r="L25" s="9"/>
      <c r="M25" s="9"/>
      <c r="N25" s="9"/>
      <c r="O25" s="9"/>
      <c r="P25" s="9"/>
      <c r="Q25" s="9"/>
      <c r="R25" s="9"/>
      <c r="S25" s="9"/>
      <c r="T25" s="9"/>
      <c r="BC25" s="9" t="s">
        <v>4</v>
      </c>
      <c r="BM25" s="9"/>
      <c r="BQ25" s="109"/>
      <c r="CK25" s="46"/>
      <c r="DE25" s="46"/>
      <c r="DF25" s="46"/>
      <c r="DG25" s="46"/>
      <c r="DH25" s="46"/>
      <c r="DI25" s="108" t="str">
        <f t="shared" si="4"/>
        <v>BA-DEV-004</v>
      </c>
      <c r="DJ25" s="35">
        <f t="shared" si="5"/>
        <v>1</v>
      </c>
      <c r="DK25" s="83">
        <v>4</v>
      </c>
      <c r="DL25" s="83" t="s">
        <v>847</v>
      </c>
    </row>
    <row r="26" spans="1:116" x14ac:dyDescent="0.25">
      <c r="A26" s="87" t="s">
        <v>775</v>
      </c>
      <c r="B26" s="108" t="s">
        <v>775</v>
      </c>
      <c r="C26" s="9"/>
      <c r="D26" s="9" t="s">
        <v>4</v>
      </c>
      <c r="E26" s="9" t="s">
        <v>4</v>
      </c>
      <c r="F26" s="9" t="s">
        <v>4</v>
      </c>
      <c r="G26" s="9" t="s">
        <v>4</v>
      </c>
      <c r="H26" s="9" t="s">
        <v>4</v>
      </c>
      <c r="I26" s="9" t="s">
        <v>4</v>
      </c>
      <c r="J26" s="9" t="s">
        <v>4</v>
      </c>
      <c r="K26" s="9"/>
      <c r="L26" s="9" t="s">
        <v>4</v>
      </c>
      <c r="M26" s="9" t="s">
        <v>4</v>
      </c>
      <c r="N26" s="9" t="s">
        <v>4</v>
      </c>
      <c r="O26" s="9"/>
      <c r="P26" s="9"/>
      <c r="Q26" s="9"/>
      <c r="R26" s="9"/>
      <c r="S26" s="9" t="s">
        <v>4</v>
      </c>
      <c r="T26" s="9" t="s">
        <v>4</v>
      </c>
      <c r="X26" s="9" t="s">
        <v>4</v>
      </c>
      <c r="Y26" s="9" t="s">
        <v>4</v>
      </c>
      <c r="AD26" s="9" t="s">
        <v>4</v>
      </c>
      <c r="AF26" s="9" t="s">
        <v>4</v>
      </c>
      <c r="AG26" s="9" t="s">
        <v>4</v>
      </c>
      <c r="AH26" s="9" t="s">
        <v>4</v>
      </c>
      <c r="AI26" s="9" t="s">
        <v>4</v>
      </c>
      <c r="AJ26" s="9" t="s">
        <v>4</v>
      </c>
      <c r="AL26" s="9" t="s">
        <v>4</v>
      </c>
      <c r="AM26" s="9" t="s">
        <v>4</v>
      </c>
      <c r="AO26" s="9" t="s">
        <v>4</v>
      </c>
      <c r="AP26" s="9" t="s">
        <v>4</v>
      </c>
      <c r="AW26" s="9" t="s">
        <v>4</v>
      </c>
      <c r="AZ26" s="9" t="s">
        <v>4</v>
      </c>
      <c r="BA26" s="9" t="s">
        <v>4</v>
      </c>
      <c r="BB26" s="9" t="s">
        <v>4</v>
      </c>
      <c r="BD26" s="9" t="s">
        <v>4</v>
      </c>
      <c r="BE26" s="9" t="s">
        <v>4</v>
      </c>
      <c r="BI26" s="9" t="s">
        <v>4</v>
      </c>
      <c r="BM26" s="9"/>
      <c r="CF26" s="9" t="s">
        <v>4</v>
      </c>
      <c r="CK26" s="46"/>
      <c r="DE26" s="46"/>
      <c r="DF26" s="46"/>
      <c r="DG26" s="46"/>
      <c r="DH26" s="46"/>
      <c r="DI26" s="108" t="str">
        <f t="shared" si="4"/>
        <v>BA-DEV-005</v>
      </c>
      <c r="DJ26" s="35">
        <f t="shared" si="5"/>
        <v>32</v>
      </c>
      <c r="DK26" s="83">
        <v>8</v>
      </c>
      <c r="DL26" s="83" t="s">
        <v>848</v>
      </c>
    </row>
    <row r="27" spans="1:116" x14ac:dyDescent="0.25">
      <c r="A27" s="87" t="s">
        <v>823</v>
      </c>
      <c r="B27" s="108" t="s">
        <v>776</v>
      </c>
      <c r="C27" s="9"/>
      <c r="H27" s="9"/>
      <c r="K27" s="9"/>
      <c r="BJ27" s="9" t="s">
        <v>4</v>
      </c>
      <c r="BM27" s="4"/>
      <c r="DI27" s="108" t="str">
        <f t="shared" si="4"/>
        <v>BA-DEV-006</v>
      </c>
      <c r="DJ27" s="35">
        <f t="shared" si="5"/>
        <v>1</v>
      </c>
      <c r="DK27" s="83">
        <v>4</v>
      </c>
      <c r="DL27" s="83" t="s">
        <v>849</v>
      </c>
    </row>
    <row r="28" spans="1:116" x14ac:dyDescent="0.25">
      <c r="A28" s="87" t="s">
        <v>777</v>
      </c>
      <c r="B28" s="108" t="s">
        <v>777</v>
      </c>
      <c r="C28" s="9"/>
      <c r="D28" s="9"/>
      <c r="E28" s="9"/>
      <c r="F28" s="9"/>
      <c r="G28" s="9"/>
      <c r="H28" s="9"/>
      <c r="I28" s="9"/>
      <c r="J28" s="9"/>
      <c r="K28" s="9" t="s">
        <v>4</v>
      </c>
      <c r="L28" s="9"/>
      <c r="M28" s="9"/>
      <c r="N28" s="9"/>
      <c r="O28" s="9"/>
      <c r="P28" s="9"/>
      <c r="Q28" s="9"/>
      <c r="R28" s="9"/>
      <c r="S28" s="9"/>
      <c r="T28" s="9"/>
      <c r="V28" s="9" t="s">
        <v>4</v>
      </c>
      <c r="AJ28" s="9" t="s">
        <v>4</v>
      </c>
      <c r="BM28" s="9"/>
      <c r="BO28" s="9" t="s">
        <v>4</v>
      </c>
      <c r="BQ28" s="4"/>
      <c r="CK28" s="46"/>
      <c r="DE28" s="46"/>
      <c r="DF28" s="46"/>
      <c r="DG28" s="46"/>
      <c r="DH28" s="46"/>
      <c r="DI28" s="108" t="str">
        <f t="shared" si="4"/>
        <v>BA-IDE-001</v>
      </c>
      <c r="DJ28" s="35">
        <f t="shared" si="5"/>
        <v>4</v>
      </c>
      <c r="DK28" s="83">
        <v>4</v>
      </c>
      <c r="DL28" s="83" t="s">
        <v>850</v>
      </c>
    </row>
    <row r="29" spans="1:116" x14ac:dyDescent="0.25">
      <c r="A29" s="87" t="s">
        <v>778</v>
      </c>
      <c r="B29" s="108" t="s">
        <v>778</v>
      </c>
      <c r="C29" s="9" t="s">
        <v>4</v>
      </c>
      <c r="D29" s="9"/>
      <c r="E29" s="9"/>
      <c r="F29" s="9"/>
      <c r="G29" s="9"/>
      <c r="H29" s="9"/>
      <c r="I29" s="9"/>
      <c r="J29" s="9"/>
      <c r="K29" s="9" t="s">
        <v>4</v>
      </c>
      <c r="L29" s="9"/>
      <c r="M29" s="9"/>
      <c r="N29" s="9"/>
      <c r="O29" s="9"/>
      <c r="P29" s="9"/>
      <c r="Q29" s="9"/>
      <c r="R29" s="9"/>
      <c r="S29" s="9"/>
      <c r="T29" s="9"/>
      <c r="V29" s="9" t="s">
        <v>4</v>
      </c>
      <c r="BM29" s="9"/>
      <c r="BN29" s="9" t="s">
        <v>4</v>
      </c>
      <c r="BO29" s="9" t="s">
        <v>4</v>
      </c>
      <c r="BQ29" s="109"/>
      <c r="CG29" s="9" t="s">
        <v>4</v>
      </c>
      <c r="CH29" s="9" t="s">
        <v>4</v>
      </c>
      <c r="DE29" s="46"/>
      <c r="DF29" s="46"/>
      <c r="DG29" s="46"/>
      <c r="DH29" s="46"/>
      <c r="DI29" s="108" t="str">
        <f t="shared" si="4"/>
        <v>BA-IDE-002</v>
      </c>
      <c r="DJ29" s="35">
        <f t="shared" si="5"/>
        <v>7</v>
      </c>
      <c r="DK29" s="83">
        <v>4</v>
      </c>
      <c r="DL29" s="83" t="s">
        <v>851</v>
      </c>
    </row>
    <row r="30" spans="1:116" x14ac:dyDescent="0.25">
      <c r="A30" s="87" t="s">
        <v>779</v>
      </c>
      <c r="B30" s="108" t="s">
        <v>779</v>
      </c>
      <c r="C30" s="9"/>
      <c r="D30" s="9"/>
      <c r="E30" s="9"/>
      <c r="F30" s="9"/>
      <c r="G30" s="9"/>
      <c r="H30" s="9"/>
      <c r="I30" s="9"/>
      <c r="J30" s="9"/>
      <c r="K30" s="9" t="s">
        <v>4</v>
      </c>
      <c r="L30" s="9"/>
      <c r="M30" s="9"/>
      <c r="N30" s="9"/>
      <c r="O30" s="9"/>
      <c r="P30" s="9"/>
      <c r="Q30" s="9"/>
      <c r="R30" s="9"/>
      <c r="S30" s="9"/>
      <c r="T30" s="9"/>
      <c r="V30" s="9" t="s">
        <v>4</v>
      </c>
      <c r="BM30" s="9"/>
      <c r="BN30" s="9" t="s">
        <v>4</v>
      </c>
      <c r="BO30" s="9" t="s">
        <v>4</v>
      </c>
      <c r="CG30" s="9" t="s">
        <v>4</v>
      </c>
      <c r="CH30" s="9" t="s">
        <v>4</v>
      </c>
      <c r="CK30" s="46"/>
      <c r="DE30" s="46"/>
      <c r="DF30" s="46"/>
      <c r="DG30" s="46"/>
      <c r="DI30" s="108" t="str">
        <f t="shared" si="4"/>
        <v>BA-IDE-003</v>
      </c>
      <c r="DJ30" s="35">
        <f t="shared" si="5"/>
        <v>6</v>
      </c>
      <c r="DK30" s="83">
        <v>16</v>
      </c>
      <c r="DL30" s="83" t="s">
        <v>852</v>
      </c>
    </row>
    <row r="31" spans="1:116" x14ac:dyDescent="0.25">
      <c r="A31" s="87" t="s">
        <v>780</v>
      </c>
      <c r="B31" s="108" t="s">
        <v>780</v>
      </c>
      <c r="C31" s="9"/>
      <c r="D31" s="9"/>
      <c r="E31" s="9"/>
      <c r="F31" s="9"/>
      <c r="G31" s="9"/>
      <c r="H31" s="9"/>
      <c r="I31" s="9"/>
      <c r="J31" s="9"/>
      <c r="K31" s="9" t="s">
        <v>4</v>
      </c>
      <c r="L31" s="9"/>
      <c r="M31" s="9"/>
      <c r="N31" s="9"/>
      <c r="O31" s="9" t="s">
        <v>4</v>
      </c>
      <c r="P31" s="9" t="s">
        <v>4</v>
      </c>
      <c r="Q31" s="9" t="s">
        <v>4</v>
      </c>
      <c r="R31" s="9" t="s">
        <v>4</v>
      </c>
      <c r="S31" s="9"/>
      <c r="T31" s="9"/>
      <c r="U31" s="9" t="s">
        <v>4</v>
      </c>
      <c r="W31" s="9" t="s">
        <v>4</v>
      </c>
      <c r="Z31" s="9" t="s">
        <v>4</v>
      </c>
      <c r="AA31" s="9" t="s">
        <v>4</v>
      </c>
      <c r="AB31" s="9" t="s">
        <v>4</v>
      </c>
      <c r="AC31" s="9" t="s">
        <v>4</v>
      </c>
      <c r="BM31" s="9"/>
      <c r="BQ31" s="109"/>
      <c r="CK31" s="46"/>
      <c r="DE31" s="46"/>
      <c r="DF31" s="46"/>
      <c r="DG31" s="46"/>
      <c r="DH31" s="46"/>
      <c r="DI31" s="108" t="str">
        <f>B31</f>
        <v>BA-LOC-001</v>
      </c>
      <c r="DJ31" s="35">
        <f t="shared" si="5"/>
        <v>11</v>
      </c>
      <c r="DK31" s="83">
        <v>8</v>
      </c>
      <c r="DL31" s="83" t="s">
        <v>853</v>
      </c>
    </row>
    <row r="32" spans="1:116" x14ac:dyDescent="0.25">
      <c r="A32" s="87" t="s">
        <v>781</v>
      </c>
      <c r="B32" s="108" t="s">
        <v>781</v>
      </c>
      <c r="C32" s="9"/>
      <c r="D32" s="9"/>
      <c r="E32" s="9"/>
      <c r="F32" s="9"/>
      <c r="G32" s="9"/>
      <c r="H32" s="9"/>
      <c r="I32" s="9"/>
      <c r="J32" s="9"/>
      <c r="K32" s="9"/>
      <c r="L32" s="9"/>
      <c r="M32" s="9" t="s">
        <v>4</v>
      </c>
      <c r="N32" s="9"/>
      <c r="O32" s="9"/>
      <c r="P32" s="9"/>
      <c r="Q32" s="9"/>
      <c r="R32" s="9"/>
      <c r="S32" s="9"/>
      <c r="T32" s="9"/>
      <c r="AQ32" s="9" t="s">
        <v>4</v>
      </c>
      <c r="BM32" s="9"/>
      <c r="CK32" s="46"/>
      <c r="CQ32" s="9" t="s">
        <v>4</v>
      </c>
      <c r="DE32" s="46"/>
      <c r="DF32" s="46"/>
      <c r="DG32" s="46"/>
      <c r="DH32" s="46"/>
      <c r="DI32" s="108" t="str">
        <f t="shared" si="4"/>
        <v>BA-LOC-002</v>
      </c>
      <c r="DJ32" s="35">
        <f t="shared" si="5"/>
        <v>3</v>
      </c>
      <c r="DK32" s="83">
        <v>4</v>
      </c>
      <c r="DL32" s="83" t="s">
        <v>854</v>
      </c>
    </row>
    <row r="33" spans="1:116" x14ac:dyDescent="0.25">
      <c r="A33" s="87" t="s">
        <v>782</v>
      </c>
      <c r="B33" s="108" t="s">
        <v>782</v>
      </c>
      <c r="C33" s="9"/>
      <c r="D33" s="9"/>
      <c r="E33" s="9"/>
      <c r="F33" s="9"/>
      <c r="G33" s="9"/>
      <c r="H33" s="9"/>
      <c r="I33" s="9"/>
      <c r="J33" s="9"/>
      <c r="K33" s="9"/>
      <c r="L33" s="9"/>
      <c r="M33" s="9"/>
      <c r="N33" s="9"/>
      <c r="O33" s="9"/>
      <c r="P33" s="9"/>
      <c r="Q33" s="9"/>
      <c r="R33" s="9"/>
      <c r="S33" s="9"/>
      <c r="T33" s="9"/>
      <c r="AE33" s="9" t="s">
        <v>4</v>
      </c>
      <c r="AF33" s="9" t="s">
        <v>4</v>
      </c>
      <c r="BM33" s="9"/>
      <c r="CK33" s="46"/>
      <c r="DE33" s="46"/>
      <c r="DF33" s="46"/>
      <c r="DG33" s="46"/>
      <c r="DI33" s="108" t="str">
        <f t="shared" si="4"/>
        <v>BA-LOC-003</v>
      </c>
      <c r="DJ33" s="35">
        <f t="shared" si="5"/>
        <v>2</v>
      </c>
      <c r="DK33" s="83">
        <v>32</v>
      </c>
      <c r="DL33" s="83" t="s">
        <v>855</v>
      </c>
    </row>
    <row r="34" spans="1:116" x14ac:dyDescent="0.25">
      <c r="A34" s="87" t="s">
        <v>824</v>
      </c>
      <c r="B34" s="108" t="s">
        <v>783</v>
      </c>
      <c r="C34" s="9"/>
      <c r="D34" s="9"/>
      <c r="E34" s="9"/>
      <c r="F34" s="9"/>
      <c r="G34" s="9"/>
      <c r="H34" s="9"/>
      <c r="I34" s="9"/>
      <c r="J34" s="9"/>
      <c r="K34" s="9" t="s">
        <v>4</v>
      </c>
      <c r="L34" s="9"/>
      <c r="M34" s="9"/>
      <c r="N34" s="9"/>
      <c r="O34" s="9" t="s">
        <v>4</v>
      </c>
      <c r="P34" s="9" t="s">
        <v>4</v>
      </c>
      <c r="Q34" s="9"/>
      <c r="R34" s="9"/>
      <c r="S34" s="9"/>
      <c r="T34" s="9"/>
      <c r="Z34" s="9" t="s">
        <v>4</v>
      </c>
      <c r="AA34" s="9" t="s">
        <v>4</v>
      </c>
      <c r="AB34" s="9" t="s">
        <v>4</v>
      </c>
      <c r="AC34" s="9" t="s">
        <v>4</v>
      </c>
      <c r="AN34" s="9" t="s">
        <v>4</v>
      </c>
      <c r="AQ34" s="9" t="s">
        <v>4</v>
      </c>
      <c r="AR34" s="9" t="s">
        <v>4</v>
      </c>
      <c r="BK34" s="9" t="s">
        <v>4</v>
      </c>
      <c r="BM34" s="9"/>
      <c r="BN34" s="9" t="s">
        <v>4</v>
      </c>
      <c r="BO34" s="9" t="s">
        <v>4</v>
      </c>
      <c r="BP34" s="9" t="s">
        <v>4</v>
      </c>
      <c r="BQ34" s="109" t="s">
        <v>4</v>
      </c>
      <c r="BR34" s="9" t="s">
        <v>4</v>
      </c>
      <c r="BS34" s="9" t="s">
        <v>4</v>
      </c>
      <c r="BT34" s="9" t="s">
        <v>4</v>
      </c>
      <c r="BU34" s="9" t="s">
        <v>4</v>
      </c>
      <c r="BV34" s="9" t="s">
        <v>4</v>
      </c>
      <c r="BW34" s="9" t="s">
        <v>4</v>
      </c>
      <c r="BX34" s="9" t="s">
        <v>4</v>
      </c>
      <c r="BY34" s="9" t="s">
        <v>4</v>
      </c>
      <c r="BZ34" s="9" t="s">
        <v>4</v>
      </c>
      <c r="CA34" s="9" t="s">
        <v>4</v>
      </c>
      <c r="CB34" s="9" t="s">
        <v>4</v>
      </c>
      <c r="CC34" s="9" t="s">
        <v>4</v>
      </c>
      <c r="CD34" s="9" t="s">
        <v>4</v>
      </c>
      <c r="CG34" s="9" t="s">
        <v>4</v>
      </c>
      <c r="CH34" s="9" t="s">
        <v>4</v>
      </c>
      <c r="CI34" s="9" t="s">
        <v>4</v>
      </c>
      <c r="CJ34" s="9" t="s">
        <v>4</v>
      </c>
      <c r="CK34" s="46" t="s">
        <v>4</v>
      </c>
      <c r="CL34" s="9" t="s">
        <v>4</v>
      </c>
      <c r="CM34" s="9" t="s">
        <v>4</v>
      </c>
      <c r="CN34" s="9" t="s">
        <v>4</v>
      </c>
      <c r="CO34" s="9" t="s">
        <v>4</v>
      </c>
      <c r="CP34" s="9" t="s">
        <v>4</v>
      </c>
      <c r="CR34" s="9" t="s">
        <v>4</v>
      </c>
      <c r="CS34" s="9" t="s">
        <v>4</v>
      </c>
      <c r="CT34" s="9" t="s">
        <v>4</v>
      </c>
      <c r="CU34" s="9" t="s">
        <v>4</v>
      </c>
      <c r="CV34" s="9" t="s">
        <v>4</v>
      </c>
      <c r="CW34" s="9" t="s">
        <v>4</v>
      </c>
      <c r="CY34" s="9" t="s">
        <v>4</v>
      </c>
      <c r="CZ34" s="9" t="s">
        <v>4</v>
      </c>
      <c r="DA34" s="9" t="s">
        <v>4</v>
      </c>
      <c r="DE34" s="46"/>
      <c r="DF34" s="46"/>
      <c r="DG34" s="46"/>
      <c r="DH34" s="46" t="s">
        <v>4</v>
      </c>
      <c r="DI34" s="108" t="str">
        <f t="shared" si="4"/>
        <v>BA-LOC-004</v>
      </c>
      <c r="DJ34" s="35">
        <f t="shared" si="5"/>
        <v>48</v>
      </c>
      <c r="DK34" s="83">
        <v>16</v>
      </c>
      <c r="DL34" s="83" t="s">
        <v>856</v>
      </c>
    </row>
    <row r="35" spans="1:116" x14ac:dyDescent="0.25">
      <c r="A35" s="87" t="s">
        <v>784</v>
      </c>
      <c r="B35" s="108" t="s">
        <v>824</v>
      </c>
      <c r="C35" s="9"/>
      <c r="D35" s="9"/>
      <c r="E35" s="9"/>
      <c r="F35" s="9"/>
      <c r="G35" s="9"/>
      <c r="H35" s="9"/>
      <c r="I35" s="9"/>
      <c r="J35" s="9"/>
      <c r="K35" s="9"/>
      <c r="L35" s="9" t="s">
        <v>4</v>
      </c>
      <c r="M35" s="9"/>
      <c r="N35" s="9"/>
      <c r="O35" s="9"/>
      <c r="P35" s="9"/>
      <c r="Q35" s="9"/>
      <c r="R35" s="9"/>
      <c r="S35" s="9"/>
      <c r="T35" s="9"/>
      <c r="BM35" s="9"/>
      <c r="BQ35" s="109"/>
      <c r="CK35" s="46"/>
      <c r="DE35" s="46"/>
      <c r="DF35" s="46"/>
      <c r="DG35" s="46"/>
      <c r="DH35" s="46"/>
      <c r="DI35" s="108" t="str">
        <f t="shared" si="4"/>
        <v>BA-LOC-005</v>
      </c>
      <c r="DJ35" s="35">
        <f t="shared" si="5"/>
        <v>1</v>
      </c>
      <c r="DK35" s="83">
        <v>8</v>
      </c>
      <c r="DL35" s="83" t="s">
        <v>857</v>
      </c>
    </row>
    <row r="36" spans="1:116" x14ac:dyDescent="0.25">
      <c r="A36" s="87" t="s">
        <v>785</v>
      </c>
      <c r="B36" s="108" t="s">
        <v>784</v>
      </c>
      <c r="C36" s="9"/>
      <c r="D36" s="9"/>
      <c r="E36" s="9"/>
      <c r="F36" s="9"/>
      <c r="G36" s="9"/>
      <c r="H36" s="9"/>
      <c r="I36" s="9"/>
      <c r="J36" s="9"/>
      <c r="K36" s="9" t="s">
        <v>4</v>
      </c>
      <c r="L36" s="9" t="s">
        <v>4</v>
      </c>
      <c r="M36" s="9" t="s">
        <v>4</v>
      </c>
      <c r="N36" s="9" t="s">
        <v>4</v>
      </c>
      <c r="O36" s="9" t="s">
        <v>4</v>
      </c>
      <c r="P36" s="9" t="s">
        <v>4</v>
      </c>
      <c r="Q36" s="9" t="s">
        <v>4</v>
      </c>
      <c r="R36" s="9" t="s">
        <v>4</v>
      </c>
      <c r="S36" s="9" t="s">
        <v>4</v>
      </c>
      <c r="T36" s="9" t="s">
        <v>4</v>
      </c>
      <c r="U36" s="9" t="s">
        <v>4</v>
      </c>
      <c r="W36" s="9" t="s">
        <v>4</v>
      </c>
      <c r="X36" s="9" t="s">
        <v>4</v>
      </c>
      <c r="Y36" s="9" t="s">
        <v>4</v>
      </c>
      <c r="BM36" s="9"/>
      <c r="BQ36" s="109"/>
      <c r="CK36" s="46"/>
      <c r="DE36" s="46"/>
      <c r="DF36" s="46"/>
      <c r="DG36" s="46"/>
      <c r="DH36" s="46"/>
      <c r="DI36" s="108" t="str">
        <f t="shared" si="4"/>
        <v>BA-LOC-006</v>
      </c>
      <c r="DJ36" s="35">
        <f t="shared" si="5"/>
        <v>14</v>
      </c>
      <c r="DK36" s="83">
        <v>8</v>
      </c>
      <c r="DL36" s="83" t="s">
        <v>858</v>
      </c>
    </row>
    <row r="37" spans="1:116" x14ac:dyDescent="0.25">
      <c r="A37" s="87" t="s">
        <v>786</v>
      </c>
      <c r="B37" s="108" t="s">
        <v>785</v>
      </c>
      <c r="C37" s="9"/>
      <c r="D37" s="9"/>
      <c r="E37" s="9"/>
      <c r="F37" s="9"/>
      <c r="G37" s="9"/>
      <c r="H37" s="9"/>
      <c r="I37" s="9"/>
      <c r="J37" s="9"/>
      <c r="K37" s="9"/>
      <c r="L37" s="9"/>
      <c r="M37" s="9"/>
      <c r="N37" s="9"/>
      <c r="O37" s="9"/>
      <c r="P37" s="9"/>
      <c r="Q37" s="9"/>
      <c r="R37" s="9"/>
      <c r="S37" s="9"/>
      <c r="T37" s="9"/>
      <c r="BM37" s="9"/>
      <c r="BQ37" s="109" t="s">
        <v>4</v>
      </c>
      <c r="CJ37" s="9" t="s">
        <v>4</v>
      </c>
      <c r="CK37" s="46"/>
      <c r="DE37" s="46"/>
      <c r="DF37" s="46"/>
      <c r="DG37" s="46"/>
      <c r="DH37" s="46"/>
      <c r="DI37" s="108" t="str">
        <f t="shared" si="4"/>
        <v>BA-LOC-007</v>
      </c>
      <c r="DJ37" s="35">
        <f t="shared" si="5"/>
        <v>2</v>
      </c>
      <c r="DK37" s="83">
        <v>16</v>
      </c>
      <c r="DL37" s="83" t="s">
        <v>859</v>
      </c>
    </row>
    <row r="38" spans="1:116" x14ac:dyDescent="0.25">
      <c r="A38" s="87" t="s">
        <v>787</v>
      </c>
      <c r="B38" s="108" t="s">
        <v>786</v>
      </c>
      <c r="C38" s="9"/>
      <c r="D38" s="9"/>
      <c r="E38" s="9"/>
      <c r="F38" s="9"/>
      <c r="G38" s="9"/>
      <c r="H38" s="9"/>
      <c r="I38" s="9"/>
      <c r="J38" s="9"/>
      <c r="K38" s="9"/>
      <c r="L38" s="9"/>
      <c r="M38" s="9" t="s">
        <v>4</v>
      </c>
      <c r="N38" s="9" t="s">
        <v>4</v>
      </c>
      <c r="O38" s="9"/>
      <c r="P38" s="9" t="s">
        <v>4</v>
      </c>
      <c r="Q38" s="9"/>
      <c r="R38" s="9"/>
      <c r="S38" s="9"/>
      <c r="T38" s="9" t="s">
        <v>4</v>
      </c>
      <c r="BM38" s="9"/>
      <c r="BQ38" s="109"/>
      <c r="CK38" s="46"/>
      <c r="DE38" s="46"/>
      <c r="DF38" s="46"/>
      <c r="DG38" s="46"/>
      <c r="DH38" s="46"/>
      <c r="DI38" s="108" t="str">
        <f t="shared" si="4"/>
        <v>BA-LOC-008</v>
      </c>
      <c r="DJ38" s="35">
        <f t="shared" si="5"/>
        <v>4</v>
      </c>
      <c r="DK38" s="83">
        <v>4</v>
      </c>
      <c r="DL38" s="83" t="s">
        <v>860</v>
      </c>
    </row>
    <row r="39" spans="1:116" x14ac:dyDescent="0.25">
      <c r="A39" s="87" t="s">
        <v>825</v>
      </c>
      <c r="B39" s="108" t="s">
        <v>787</v>
      </c>
      <c r="C39" s="9"/>
      <c r="D39" s="9"/>
      <c r="E39" s="9"/>
      <c r="F39" s="9"/>
      <c r="G39" s="9"/>
      <c r="H39" s="9"/>
      <c r="I39" s="9"/>
      <c r="J39" s="9"/>
      <c r="K39" s="9"/>
      <c r="L39" s="9"/>
      <c r="M39" s="9"/>
      <c r="N39" s="9"/>
      <c r="O39" s="9"/>
      <c r="P39" s="9"/>
      <c r="Q39" s="9"/>
      <c r="R39" s="9"/>
      <c r="S39" s="9"/>
      <c r="T39" s="9"/>
      <c r="Y39" s="9" t="s">
        <v>4</v>
      </c>
      <c r="BM39" s="9"/>
      <c r="BQ39" s="10"/>
      <c r="CK39" s="46"/>
      <c r="DE39" s="46"/>
      <c r="DF39" s="46"/>
      <c r="DG39" s="46"/>
      <c r="DH39" s="46"/>
      <c r="DI39" s="108" t="str">
        <f t="shared" si="4"/>
        <v>BA-LOC-009</v>
      </c>
      <c r="DJ39" s="35">
        <f t="shared" si="5"/>
        <v>1</v>
      </c>
      <c r="DK39" s="83">
        <v>4</v>
      </c>
      <c r="DL39" s="83" t="s">
        <v>861</v>
      </c>
    </row>
    <row r="40" spans="1:116" x14ac:dyDescent="0.25">
      <c r="A40" s="87" t="s">
        <v>788</v>
      </c>
      <c r="B40" s="108" t="s">
        <v>788</v>
      </c>
      <c r="C40" s="9"/>
      <c r="D40" s="9"/>
      <c r="E40" s="9"/>
      <c r="F40" s="9"/>
      <c r="G40" s="9"/>
      <c r="H40" s="9"/>
      <c r="I40" s="9"/>
      <c r="J40" s="9"/>
      <c r="K40" s="9"/>
      <c r="L40" s="9"/>
      <c r="M40" s="9"/>
      <c r="N40" s="9"/>
      <c r="O40" s="9"/>
      <c r="P40" s="9"/>
      <c r="Q40" s="9"/>
      <c r="R40" s="9"/>
      <c r="S40" s="9"/>
      <c r="T40" s="9"/>
      <c r="AY40" s="9" t="s">
        <v>4</v>
      </c>
      <c r="BM40" s="9"/>
      <c r="BQ40" s="4"/>
      <c r="CK40" s="46"/>
      <c r="DE40" s="46"/>
      <c r="DF40" s="46"/>
      <c r="DG40" s="46"/>
      <c r="DH40" s="46"/>
      <c r="DI40" s="108" t="str">
        <f t="shared" si="4"/>
        <v>BA-MAN-001</v>
      </c>
      <c r="DJ40" s="35">
        <f t="shared" si="5"/>
        <v>1</v>
      </c>
      <c r="DK40" s="83">
        <v>8</v>
      </c>
      <c r="DL40" s="83" t="s">
        <v>862</v>
      </c>
    </row>
    <row r="41" spans="1:116" x14ac:dyDescent="0.25">
      <c r="A41" s="87" t="s">
        <v>789</v>
      </c>
      <c r="B41" s="108" t="s">
        <v>789</v>
      </c>
      <c r="C41" s="9"/>
      <c r="D41" s="9" t="s">
        <v>4</v>
      </c>
      <c r="E41" s="9" t="s">
        <v>4</v>
      </c>
      <c r="F41" s="9" t="s">
        <v>4</v>
      </c>
      <c r="G41" s="9" t="s">
        <v>4</v>
      </c>
      <c r="H41" s="9"/>
      <c r="I41" s="9"/>
      <c r="J41" s="9"/>
      <c r="K41" s="9"/>
      <c r="L41" s="9" t="s">
        <v>4</v>
      </c>
      <c r="M41" s="9" t="s">
        <v>4</v>
      </c>
      <c r="N41" s="9" t="s">
        <v>4</v>
      </c>
      <c r="O41" s="9" t="s">
        <v>4</v>
      </c>
      <c r="P41" s="9" t="s">
        <v>4</v>
      </c>
      <c r="Q41" s="9" t="s">
        <v>4</v>
      </c>
      <c r="R41" s="9"/>
      <c r="S41" s="9" t="s">
        <v>4</v>
      </c>
      <c r="T41" s="9" t="s">
        <v>4</v>
      </c>
      <c r="U41" s="9" t="s">
        <v>4</v>
      </c>
      <c r="V41" s="9" t="s">
        <v>4</v>
      </c>
      <c r="W41" s="9" t="s">
        <v>4</v>
      </c>
      <c r="AB41" s="9" t="s">
        <v>4</v>
      </c>
      <c r="AD41" s="9" t="s">
        <v>4</v>
      </c>
      <c r="AF41" s="9" t="s">
        <v>4</v>
      </c>
      <c r="AG41" s="9" t="s">
        <v>4</v>
      </c>
      <c r="AH41" s="9" t="s">
        <v>4</v>
      </c>
      <c r="AI41" s="9" t="s">
        <v>4</v>
      </c>
      <c r="AK41" s="9" t="s">
        <v>4</v>
      </c>
      <c r="AL41" s="9" t="s">
        <v>4</v>
      </c>
      <c r="AM41" s="9" t="s">
        <v>4</v>
      </c>
      <c r="AP41" s="9" t="s">
        <v>4</v>
      </c>
      <c r="BM41" s="9"/>
      <c r="BQ41" s="4"/>
      <c r="CK41" s="46"/>
      <c r="DE41" s="46"/>
      <c r="DF41" s="46"/>
      <c r="DG41" s="46"/>
      <c r="DH41" s="46"/>
      <c r="DI41" s="108" t="str">
        <f t="shared" si="4"/>
        <v>BA-PLA-001</v>
      </c>
      <c r="DJ41" s="35">
        <f t="shared" si="5"/>
        <v>25</v>
      </c>
      <c r="DK41" s="83">
        <v>8</v>
      </c>
      <c r="DL41" s="83" t="s">
        <v>863</v>
      </c>
    </row>
    <row r="42" spans="1:116" x14ac:dyDescent="0.25">
      <c r="A42" s="87" t="s">
        <v>790</v>
      </c>
      <c r="B42" s="108" t="s">
        <v>790</v>
      </c>
      <c r="C42" s="9"/>
      <c r="D42" s="9"/>
      <c r="E42" s="9"/>
      <c r="F42" s="9"/>
      <c r="G42" s="9"/>
      <c r="H42" s="9"/>
      <c r="I42" s="9"/>
      <c r="J42" s="9"/>
      <c r="K42" s="9"/>
      <c r="L42" s="9"/>
      <c r="M42" s="9"/>
      <c r="N42" s="9"/>
      <c r="O42" s="9"/>
      <c r="P42" s="9"/>
      <c r="Q42" s="9"/>
      <c r="R42" s="9"/>
      <c r="S42" s="9"/>
      <c r="T42" s="9"/>
      <c r="AT42" s="9" t="s">
        <v>4</v>
      </c>
      <c r="AU42" s="9" t="s">
        <v>4</v>
      </c>
      <c r="AW42" s="9" t="s">
        <v>4</v>
      </c>
      <c r="AY42" s="9" t="s">
        <v>4</v>
      </c>
      <c r="BB42" s="9" t="s">
        <v>4</v>
      </c>
      <c r="BI42" s="9" t="s">
        <v>4</v>
      </c>
      <c r="BM42" s="9"/>
      <c r="CF42" s="9" t="s">
        <v>4</v>
      </c>
      <c r="CK42" s="46"/>
      <c r="DE42" s="46"/>
      <c r="DF42" s="46"/>
      <c r="DG42" s="46"/>
      <c r="DH42" s="46"/>
      <c r="DI42" s="108" t="str">
        <f t="shared" si="4"/>
        <v>BA-PLA-002</v>
      </c>
      <c r="DJ42" s="35">
        <f t="shared" si="5"/>
        <v>7</v>
      </c>
      <c r="DK42" s="83">
        <v>8</v>
      </c>
      <c r="DL42" s="83" t="s">
        <v>864</v>
      </c>
    </row>
    <row r="43" spans="1:116" x14ac:dyDescent="0.25">
      <c r="A43" s="87" t="s">
        <v>791</v>
      </c>
      <c r="B43" s="108" t="s">
        <v>791</v>
      </c>
      <c r="C43" s="9"/>
      <c r="D43" s="9" t="s">
        <v>4</v>
      </c>
      <c r="E43" s="9" t="s">
        <v>4</v>
      </c>
      <c r="F43" s="9" t="s">
        <v>4</v>
      </c>
      <c r="G43" s="9"/>
      <c r="H43" s="9"/>
      <c r="I43" s="9"/>
      <c r="J43" s="9"/>
      <c r="K43" s="9"/>
      <c r="L43" s="9"/>
      <c r="M43" s="9"/>
      <c r="N43" s="9"/>
      <c r="O43" s="9"/>
      <c r="P43" s="9"/>
      <c r="Q43" s="9"/>
      <c r="R43" s="9"/>
      <c r="S43" s="9"/>
      <c r="T43" s="9"/>
      <c r="AO43" s="9" t="s">
        <v>4</v>
      </c>
      <c r="AQ43" s="9" t="s">
        <v>4</v>
      </c>
      <c r="AR43" s="9" t="s">
        <v>4</v>
      </c>
      <c r="AS43" s="9" t="s">
        <v>4</v>
      </c>
      <c r="AT43" s="9" t="s">
        <v>4</v>
      </c>
      <c r="AU43" s="9" t="s">
        <v>4</v>
      </c>
      <c r="AV43" s="9" t="s">
        <v>4</v>
      </c>
      <c r="AW43" s="9" t="s">
        <v>4</v>
      </c>
      <c r="AX43" s="9" t="s">
        <v>4</v>
      </c>
      <c r="AY43" s="9" t="s">
        <v>4</v>
      </c>
      <c r="AZ43" s="9" t="s">
        <v>4</v>
      </c>
      <c r="BA43" s="9" t="s">
        <v>4</v>
      </c>
      <c r="BD43" s="9" t="s">
        <v>4</v>
      </c>
      <c r="BM43" s="9"/>
      <c r="BQ43" s="4"/>
      <c r="CK43" s="46"/>
      <c r="DE43" s="46"/>
      <c r="DF43" s="46"/>
      <c r="DG43" s="46"/>
      <c r="DH43" s="46"/>
      <c r="DI43" s="108" t="str">
        <f t="shared" si="4"/>
        <v>BA-PLA-003</v>
      </c>
      <c r="DJ43" s="35">
        <f t="shared" si="5"/>
        <v>16</v>
      </c>
      <c r="DK43" s="83">
        <v>8</v>
      </c>
      <c r="DL43" s="83" t="s">
        <v>865</v>
      </c>
    </row>
    <row r="44" spans="1:116" x14ac:dyDescent="0.25">
      <c r="A44" s="87" t="s">
        <v>792</v>
      </c>
      <c r="B44" s="108" t="s">
        <v>792</v>
      </c>
      <c r="C44" s="9" t="s">
        <v>4</v>
      </c>
      <c r="D44" s="9" t="s">
        <v>4</v>
      </c>
      <c r="E44" s="9" t="s">
        <v>4</v>
      </c>
      <c r="F44" s="9" t="s">
        <v>4</v>
      </c>
      <c r="G44" s="9" t="s">
        <v>4</v>
      </c>
      <c r="H44" s="9" t="s">
        <v>4</v>
      </c>
      <c r="I44" s="9" t="s">
        <v>4</v>
      </c>
      <c r="J44" s="9" t="s">
        <v>4</v>
      </c>
      <c r="K44" s="9"/>
      <c r="L44" s="9"/>
      <c r="M44" s="9" t="s">
        <v>4</v>
      </c>
      <c r="N44" s="9" t="s">
        <v>4</v>
      </c>
      <c r="O44" s="9"/>
      <c r="P44" s="9"/>
      <c r="Q44" s="9" t="s">
        <v>4</v>
      </c>
      <c r="R44" s="9"/>
      <c r="S44" s="9" t="s">
        <v>4</v>
      </c>
      <c r="T44" s="9" t="s">
        <v>4</v>
      </c>
      <c r="U44" s="9" t="s">
        <v>4</v>
      </c>
      <c r="AE44" s="9" t="s">
        <v>4</v>
      </c>
      <c r="AH44" s="9" t="s">
        <v>4</v>
      </c>
      <c r="AI44" s="9" t="s">
        <v>4</v>
      </c>
      <c r="AJ44" s="9" t="s">
        <v>4</v>
      </c>
      <c r="AK44" s="9" t="s">
        <v>4</v>
      </c>
      <c r="AL44" s="9" t="s">
        <v>4</v>
      </c>
      <c r="AM44" s="9" t="s">
        <v>4</v>
      </c>
      <c r="AN44" s="9" t="s">
        <v>4</v>
      </c>
      <c r="AO44" s="9" t="s">
        <v>4</v>
      </c>
      <c r="AQ44" s="9" t="s">
        <v>4</v>
      </c>
      <c r="AR44" s="9" t="s">
        <v>4</v>
      </c>
      <c r="AW44" s="9" t="s">
        <v>4</v>
      </c>
      <c r="AY44" s="9" t="s">
        <v>4</v>
      </c>
      <c r="AZ44" s="9" t="s">
        <v>4</v>
      </c>
      <c r="BA44" s="9" t="s">
        <v>4</v>
      </c>
      <c r="BM44" s="9"/>
      <c r="BQ44" s="4"/>
      <c r="CK44" s="46"/>
      <c r="DE44" s="46"/>
      <c r="DF44" s="46"/>
      <c r="DG44" s="46"/>
      <c r="DH44" s="46"/>
      <c r="DI44" s="108" t="str">
        <f t="shared" si="4"/>
        <v>BA-PLA-004</v>
      </c>
      <c r="DJ44" s="35">
        <f t="shared" si="5"/>
        <v>29</v>
      </c>
      <c r="DK44" s="83">
        <v>8</v>
      </c>
      <c r="DL44" s="83" t="s">
        <v>866</v>
      </c>
    </row>
    <row r="45" spans="1:116" x14ac:dyDescent="0.25">
      <c r="A45" s="87" t="s">
        <v>793</v>
      </c>
      <c r="B45" s="108" t="s">
        <v>793</v>
      </c>
      <c r="C45" s="9"/>
      <c r="D45" s="9"/>
      <c r="E45" s="9"/>
      <c r="F45" s="9"/>
      <c r="G45" s="9"/>
      <c r="H45" s="9"/>
      <c r="I45" s="9"/>
      <c r="J45" s="9"/>
      <c r="K45" s="9"/>
      <c r="L45" s="9"/>
      <c r="M45" s="9"/>
      <c r="N45" s="9"/>
      <c r="O45" s="9"/>
      <c r="P45" s="9"/>
      <c r="Q45" s="9"/>
      <c r="R45" s="9"/>
      <c r="S45" s="9"/>
      <c r="T45" s="9"/>
      <c r="AP45" s="9" t="s">
        <v>4</v>
      </c>
      <c r="BC45" s="9" t="s">
        <v>4</v>
      </c>
      <c r="BD45" s="9" t="s">
        <v>4</v>
      </c>
      <c r="BM45" s="9"/>
      <c r="BQ45" s="109"/>
      <c r="CF45" s="9" t="s">
        <v>4</v>
      </c>
      <c r="CK45" s="46"/>
      <c r="DE45" s="46"/>
      <c r="DF45" s="46"/>
      <c r="DG45" s="46"/>
      <c r="DH45" s="46"/>
      <c r="DI45" s="108" t="str">
        <f t="shared" si="4"/>
        <v>BA-PLA-005</v>
      </c>
      <c r="DJ45" s="35">
        <f t="shared" si="5"/>
        <v>4</v>
      </c>
      <c r="DK45" s="83">
        <v>8</v>
      </c>
      <c r="DL45" s="83" t="s">
        <v>867</v>
      </c>
    </row>
    <row r="46" spans="1:116" x14ac:dyDescent="0.25">
      <c r="A46" s="87" t="s">
        <v>795</v>
      </c>
      <c r="B46" s="108" t="s">
        <v>794</v>
      </c>
      <c r="C46" s="9"/>
      <c r="D46" s="9"/>
      <c r="E46" s="9"/>
      <c r="F46" s="9"/>
      <c r="G46" s="9"/>
      <c r="H46" s="9"/>
      <c r="I46" s="9"/>
      <c r="J46" s="9"/>
      <c r="K46" s="9"/>
      <c r="L46" s="9"/>
      <c r="M46" s="9"/>
      <c r="N46" s="9"/>
      <c r="O46" s="9"/>
      <c r="P46" s="9"/>
      <c r="Q46" s="9"/>
      <c r="R46" s="9"/>
      <c r="S46" s="9"/>
      <c r="T46" s="9"/>
      <c r="AV46" s="9" t="s">
        <v>4</v>
      </c>
      <c r="BM46" s="9"/>
      <c r="BQ46" s="4"/>
      <c r="CK46" s="46"/>
      <c r="DE46" s="46"/>
      <c r="DF46" s="46"/>
      <c r="DG46" s="46"/>
      <c r="DH46" s="46"/>
      <c r="DI46" s="108" t="str">
        <f t="shared" si="4"/>
        <v>BA-PLA-006</v>
      </c>
      <c r="DJ46" s="35">
        <f t="shared" si="5"/>
        <v>1</v>
      </c>
      <c r="DK46" s="83">
        <v>32</v>
      </c>
      <c r="DL46" s="83" t="s">
        <v>868</v>
      </c>
    </row>
    <row r="47" spans="1:116" x14ac:dyDescent="0.25">
      <c r="A47" s="87" t="s">
        <v>826</v>
      </c>
      <c r="B47" s="108" t="s">
        <v>795</v>
      </c>
      <c r="C47" s="9"/>
      <c r="D47" s="9"/>
      <c r="E47" s="9"/>
      <c r="F47" s="9"/>
      <c r="G47" s="9"/>
      <c r="H47" s="9"/>
      <c r="I47" s="9"/>
      <c r="J47" s="9"/>
      <c r="K47" s="9"/>
      <c r="L47" s="9"/>
      <c r="M47" s="9"/>
      <c r="N47" s="9"/>
      <c r="O47" s="9"/>
      <c r="P47" s="9"/>
      <c r="Q47" s="9"/>
      <c r="R47" s="9"/>
      <c r="S47" s="9"/>
      <c r="T47" s="9"/>
      <c r="AN47" s="9" t="s">
        <v>4</v>
      </c>
      <c r="BM47" s="9"/>
      <c r="BQ47" s="4"/>
      <c r="CK47" s="46"/>
      <c r="DE47" s="46"/>
      <c r="DF47" s="46"/>
      <c r="DG47" s="46"/>
      <c r="DH47" s="46"/>
      <c r="DI47" s="108" t="str">
        <f t="shared" si="4"/>
        <v>BA-PLA-007</v>
      </c>
      <c r="DJ47" s="35">
        <f t="shared" si="5"/>
        <v>1</v>
      </c>
      <c r="DK47" s="83">
        <v>16</v>
      </c>
      <c r="DL47" s="83" t="s">
        <v>869</v>
      </c>
    </row>
    <row r="48" spans="1:116" x14ac:dyDescent="0.25">
      <c r="A48" s="87" t="s">
        <v>799</v>
      </c>
      <c r="B48" s="108" t="s">
        <v>796</v>
      </c>
      <c r="C48" s="9"/>
      <c r="D48" s="9"/>
      <c r="E48" s="9"/>
      <c r="F48" s="9"/>
      <c r="G48" s="9"/>
      <c r="H48" s="9"/>
      <c r="I48" s="9"/>
      <c r="J48" s="9"/>
      <c r="K48" s="9" t="s">
        <v>4</v>
      </c>
      <c r="L48" s="9"/>
      <c r="M48" s="9"/>
      <c r="N48" s="9"/>
      <c r="O48" s="9" t="s">
        <v>4</v>
      </c>
      <c r="P48" s="9"/>
      <c r="Q48" s="9" t="s">
        <v>4</v>
      </c>
      <c r="R48" s="9" t="s">
        <v>4</v>
      </c>
      <c r="S48" s="9"/>
      <c r="T48" s="9"/>
      <c r="AA48" s="9" t="s">
        <v>4</v>
      </c>
      <c r="AJ48" s="9" t="s">
        <v>4</v>
      </c>
      <c r="AL48" s="9" t="s">
        <v>4</v>
      </c>
      <c r="AR48" s="9" t="s">
        <v>4</v>
      </c>
      <c r="AZ48" s="9" t="s">
        <v>4</v>
      </c>
      <c r="BF48" s="9" t="s">
        <v>4</v>
      </c>
      <c r="BG48" s="9" t="s">
        <v>4</v>
      </c>
      <c r="BK48" s="9" t="s">
        <v>4</v>
      </c>
      <c r="BM48" s="9"/>
      <c r="BN48" s="9" t="s">
        <v>4</v>
      </c>
      <c r="BO48" s="9" t="s">
        <v>4</v>
      </c>
      <c r="BP48" s="9" t="s">
        <v>4</v>
      </c>
      <c r="BQ48" s="4" t="s">
        <v>4</v>
      </c>
      <c r="BS48" s="9" t="s">
        <v>4</v>
      </c>
      <c r="BV48" s="9" t="s">
        <v>4</v>
      </c>
      <c r="BW48" s="9" t="s">
        <v>4</v>
      </c>
      <c r="BZ48" s="9" t="s">
        <v>4</v>
      </c>
      <c r="CC48" s="9" t="s">
        <v>4</v>
      </c>
      <c r="CE48" s="9" t="s">
        <v>4</v>
      </c>
      <c r="CF48" s="9" t="s">
        <v>4</v>
      </c>
      <c r="CK48" s="46"/>
      <c r="DE48" s="46"/>
      <c r="DF48" s="46"/>
      <c r="DH48" s="46"/>
      <c r="DI48" s="108" t="str">
        <f t="shared" si="4"/>
        <v>BA-SIN-001</v>
      </c>
      <c r="DJ48" s="35">
        <f t="shared" si="5"/>
        <v>23</v>
      </c>
      <c r="DK48" s="83">
        <v>8</v>
      </c>
      <c r="DL48" s="83" t="s">
        <v>870</v>
      </c>
    </row>
    <row r="49" spans="1:116" x14ac:dyDescent="0.25">
      <c r="A49" s="87" t="s">
        <v>801</v>
      </c>
      <c r="B49" s="108" t="s">
        <v>797</v>
      </c>
      <c r="C49" s="9"/>
      <c r="D49" s="9"/>
      <c r="E49" s="9"/>
      <c r="F49" s="9"/>
      <c r="G49" s="9"/>
      <c r="H49" s="9"/>
      <c r="I49" s="9"/>
      <c r="J49" s="9"/>
      <c r="K49" s="9"/>
      <c r="L49" s="9"/>
      <c r="M49" s="9"/>
      <c r="N49" s="9"/>
      <c r="O49" s="9"/>
      <c r="P49" s="9"/>
      <c r="Q49" s="9"/>
      <c r="R49" s="9"/>
      <c r="S49" s="9"/>
      <c r="T49" s="9"/>
      <c r="BM49" s="9"/>
      <c r="BP49" s="9" t="s">
        <v>4</v>
      </c>
      <c r="BQ49" s="4"/>
      <c r="CK49" s="46"/>
      <c r="DE49" s="46"/>
      <c r="DF49" s="46"/>
      <c r="DG49" s="46"/>
      <c r="DH49" s="46"/>
      <c r="DI49" s="108" t="str">
        <f t="shared" si="4"/>
        <v>BA-SIN-002</v>
      </c>
      <c r="DJ49" s="35">
        <f>COUNTA(C49:DH49)</f>
        <v>1</v>
      </c>
      <c r="DK49" s="83">
        <v>4</v>
      </c>
      <c r="DL49" s="83" t="s">
        <v>871</v>
      </c>
    </row>
    <row r="50" spans="1:116" x14ac:dyDescent="0.25">
      <c r="A50" s="87" t="s">
        <v>802</v>
      </c>
      <c r="B50" s="108" t="s">
        <v>798</v>
      </c>
      <c r="C50" s="9"/>
      <c r="D50" s="9"/>
      <c r="E50" s="9"/>
      <c r="F50" s="9"/>
      <c r="G50" s="9"/>
      <c r="H50" s="9"/>
      <c r="I50" s="9"/>
      <c r="J50" s="9"/>
      <c r="K50" s="9" t="s">
        <v>4</v>
      </c>
      <c r="L50" s="9"/>
      <c r="M50" s="9"/>
      <c r="N50" s="9"/>
      <c r="O50" s="9" t="s">
        <v>4</v>
      </c>
      <c r="P50" s="9" t="s">
        <v>4</v>
      </c>
      <c r="Q50" s="9"/>
      <c r="R50" s="9"/>
      <c r="S50" s="9"/>
      <c r="T50" s="9"/>
      <c r="Z50" s="9" t="s">
        <v>4</v>
      </c>
      <c r="AB50" s="9" t="s">
        <v>4</v>
      </c>
      <c r="AC50" s="9" t="s">
        <v>4</v>
      </c>
      <c r="AN50" s="9" t="s">
        <v>4</v>
      </c>
      <c r="AR50" s="9" t="s">
        <v>4</v>
      </c>
      <c r="BM50" s="9"/>
      <c r="BN50" s="9" t="s">
        <v>4</v>
      </c>
      <c r="BO50" s="9" t="s">
        <v>4</v>
      </c>
      <c r="BP50" s="9" t="s">
        <v>4</v>
      </c>
      <c r="BQ50" s="4" t="s">
        <v>4</v>
      </c>
      <c r="BR50" s="9" t="s">
        <v>4</v>
      </c>
      <c r="BS50" s="9" t="s">
        <v>4</v>
      </c>
      <c r="BT50" s="9" t="s">
        <v>4</v>
      </c>
      <c r="BV50" s="9" t="s">
        <v>4</v>
      </c>
      <c r="CG50" s="9" t="s">
        <v>4</v>
      </c>
      <c r="CH50" s="9" t="s">
        <v>4</v>
      </c>
      <c r="CI50" s="9" t="s">
        <v>4</v>
      </c>
      <c r="CJ50" s="9" t="s">
        <v>4</v>
      </c>
      <c r="CK50" s="46" t="s">
        <v>4</v>
      </c>
      <c r="CL50" s="9" t="s">
        <v>4</v>
      </c>
      <c r="CM50" s="9" t="s">
        <v>4</v>
      </c>
      <c r="CO50" s="9" t="s">
        <v>4</v>
      </c>
      <c r="DE50" s="46"/>
      <c r="DF50" s="46"/>
      <c r="DG50" s="46"/>
      <c r="DH50" s="46"/>
      <c r="DI50" s="108" t="str">
        <f t="shared" si="4"/>
        <v>BA-SIN-003</v>
      </c>
      <c r="DJ50" s="35">
        <f t="shared" si="5"/>
        <v>24</v>
      </c>
      <c r="DK50" s="83">
        <v>4</v>
      </c>
      <c r="DL50" s="83" t="s">
        <v>872</v>
      </c>
    </row>
    <row r="51" spans="1:116" x14ac:dyDescent="0.25">
      <c r="A51" s="87" t="s">
        <v>803</v>
      </c>
      <c r="B51" s="108" t="s">
        <v>799</v>
      </c>
      <c r="C51" s="9"/>
      <c r="D51" s="9"/>
      <c r="E51" s="9"/>
      <c r="F51" s="9"/>
      <c r="G51" s="9"/>
      <c r="H51" s="9"/>
      <c r="I51" s="9"/>
      <c r="J51" s="9"/>
      <c r="K51" s="9" t="s">
        <v>4</v>
      </c>
      <c r="L51" s="9" t="s">
        <v>4</v>
      </c>
      <c r="M51" s="9" t="s">
        <v>4</v>
      </c>
      <c r="N51" s="9" t="s">
        <v>4</v>
      </c>
      <c r="O51" s="9" t="s">
        <v>4</v>
      </c>
      <c r="P51" s="9" t="s">
        <v>4</v>
      </c>
      <c r="Q51" s="9" t="s">
        <v>4</v>
      </c>
      <c r="R51" s="9" t="s">
        <v>4</v>
      </c>
      <c r="S51" s="9"/>
      <c r="T51" s="9" t="s">
        <v>4</v>
      </c>
      <c r="U51" s="9" t="s">
        <v>4</v>
      </c>
      <c r="Z51" s="9" t="s">
        <v>4</v>
      </c>
      <c r="AB51" s="9" t="s">
        <v>4</v>
      </c>
      <c r="AC51" s="9" t="s">
        <v>4</v>
      </c>
      <c r="AD51" s="9" t="s">
        <v>4</v>
      </c>
      <c r="AE51" s="9" t="s">
        <v>4</v>
      </c>
      <c r="AF51" s="9" t="s">
        <v>4</v>
      </c>
      <c r="AG51" s="9" t="s">
        <v>4</v>
      </c>
      <c r="AH51" s="9" t="s">
        <v>4</v>
      </c>
      <c r="AI51" s="9" t="s">
        <v>4</v>
      </c>
      <c r="AJ51" s="9" t="s">
        <v>4</v>
      </c>
      <c r="AM51" s="9" t="s">
        <v>4</v>
      </c>
      <c r="AN51" s="9" t="s">
        <v>4</v>
      </c>
      <c r="AQ51" s="9" t="s">
        <v>4</v>
      </c>
      <c r="AR51" s="9" t="s">
        <v>4</v>
      </c>
      <c r="BC51" s="9" t="s">
        <v>4</v>
      </c>
      <c r="BF51" s="9" t="s">
        <v>4</v>
      </c>
      <c r="BM51" s="9"/>
      <c r="BN51" s="9" t="s">
        <v>4</v>
      </c>
      <c r="BO51" s="9" t="s">
        <v>4</v>
      </c>
      <c r="BP51" s="9" t="s">
        <v>4</v>
      </c>
      <c r="BQ51" s="4" t="s">
        <v>4</v>
      </c>
      <c r="BR51" s="9" t="s">
        <v>4</v>
      </c>
      <c r="BS51" s="9" t="s">
        <v>4</v>
      </c>
      <c r="BT51" s="9" t="s">
        <v>4</v>
      </c>
      <c r="BU51" s="9" t="s">
        <v>4</v>
      </c>
      <c r="BV51" s="9" t="s">
        <v>4</v>
      </c>
      <c r="CD51" s="9" t="s">
        <v>4</v>
      </c>
      <c r="CK51" s="46"/>
      <c r="DE51" s="46"/>
      <c r="DI51" s="108" t="str">
        <f t="shared" si="4"/>
        <v>BA-SIN-004</v>
      </c>
      <c r="DJ51" s="35">
        <f t="shared" si="5"/>
        <v>36</v>
      </c>
      <c r="DK51" s="83">
        <v>4</v>
      </c>
      <c r="DL51" s="83" t="s">
        <v>873</v>
      </c>
    </row>
    <row r="52" spans="1:116" x14ac:dyDescent="0.25">
      <c r="A52" s="87" t="s">
        <v>804</v>
      </c>
      <c r="B52" s="108" t="s">
        <v>800</v>
      </c>
      <c r="C52" s="9"/>
      <c r="D52" s="9"/>
      <c r="E52" s="9" t="s">
        <v>4</v>
      </c>
      <c r="F52" s="9"/>
      <c r="G52" s="9"/>
      <c r="H52" s="9" t="s">
        <v>4</v>
      </c>
      <c r="I52" s="9"/>
      <c r="J52" s="9"/>
      <c r="K52" s="9"/>
      <c r="L52" s="9"/>
      <c r="M52" s="9"/>
      <c r="N52" s="9"/>
      <c r="O52" s="9"/>
      <c r="P52" s="9"/>
      <c r="Q52" s="9"/>
      <c r="R52" s="9"/>
      <c r="S52" s="9"/>
      <c r="T52" s="9"/>
      <c r="AO52" s="9" t="s">
        <v>4</v>
      </c>
      <c r="AZ52" s="9" t="s">
        <v>4</v>
      </c>
      <c r="BM52" s="9"/>
      <c r="BQ52" s="109"/>
      <c r="CK52" s="46"/>
      <c r="DE52" s="46"/>
      <c r="DF52" s="46"/>
      <c r="DG52" s="46"/>
      <c r="DI52" s="108" t="str">
        <f>B52</f>
        <v>BA-SIN-005</v>
      </c>
      <c r="DJ52" s="35">
        <f t="shared" si="5"/>
        <v>4</v>
      </c>
      <c r="DK52" s="83">
        <v>4</v>
      </c>
      <c r="DL52" s="83" t="s">
        <v>874</v>
      </c>
    </row>
    <row r="53" spans="1:116" x14ac:dyDescent="0.25">
      <c r="A53" s="87" t="s">
        <v>805</v>
      </c>
      <c r="B53" s="108" t="s">
        <v>801</v>
      </c>
      <c r="BM53" s="4"/>
      <c r="CG53" s="9" t="s">
        <v>4</v>
      </c>
      <c r="CH53" s="9" t="s">
        <v>4</v>
      </c>
      <c r="CI53" s="9" t="s">
        <v>4</v>
      </c>
      <c r="CJ53" s="9" t="s">
        <v>4</v>
      </c>
      <c r="CK53" s="9" t="s">
        <v>4</v>
      </c>
      <c r="CL53" s="9" t="s">
        <v>4</v>
      </c>
      <c r="CM53" s="9" t="s">
        <v>4</v>
      </c>
      <c r="CO53" s="9" t="s">
        <v>4</v>
      </c>
      <c r="CP53" s="9" t="s">
        <v>4</v>
      </c>
      <c r="CQ53" s="9" t="s">
        <v>4</v>
      </c>
      <c r="CZ53" s="9" t="s">
        <v>4</v>
      </c>
      <c r="DI53" s="108" t="str">
        <f t="shared" si="4"/>
        <v>BA-SIN-006</v>
      </c>
      <c r="DJ53" s="35">
        <f t="shared" si="5"/>
        <v>11</v>
      </c>
      <c r="DK53" s="83">
        <v>8</v>
      </c>
      <c r="DL53" s="83" t="s">
        <v>875</v>
      </c>
    </row>
    <row r="54" spans="1:116" x14ac:dyDescent="0.25">
      <c r="A54" s="87" t="s">
        <v>827</v>
      </c>
      <c r="B54" s="108" t="s">
        <v>802</v>
      </c>
      <c r="W54" s="9" t="s">
        <v>4</v>
      </c>
      <c r="X54" s="9" t="s">
        <v>4</v>
      </c>
      <c r="Y54" s="9" t="s">
        <v>4</v>
      </c>
      <c r="AF54" s="9" t="s">
        <v>4</v>
      </c>
      <c r="AG54" s="9" t="s">
        <v>4</v>
      </c>
      <c r="BM54" s="4"/>
      <c r="BZ54" s="9" t="s">
        <v>4</v>
      </c>
      <c r="CU54" s="9" t="s">
        <v>4</v>
      </c>
      <c r="DI54" s="108" t="str">
        <f t="shared" si="4"/>
        <v>BA-SIN-007</v>
      </c>
      <c r="DJ54" s="35">
        <f t="shared" si="5"/>
        <v>7</v>
      </c>
      <c r="DK54" s="83">
        <v>8</v>
      </c>
      <c r="DL54" s="83" t="s">
        <v>876</v>
      </c>
    </row>
    <row r="55" spans="1:116" x14ac:dyDescent="0.25">
      <c r="A55" s="87" t="s">
        <v>828</v>
      </c>
      <c r="B55" s="108" t="s">
        <v>803</v>
      </c>
      <c r="BM55" s="4"/>
      <c r="BZ55" s="9" t="s">
        <v>4</v>
      </c>
      <c r="CA55" s="9" t="s">
        <v>4</v>
      </c>
      <c r="CB55" s="9" t="s">
        <v>4</v>
      </c>
      <c r="CD55" s="9" t="s">
        <v>4</v>
      </c>
      <c r="CU55" s="9" t="s">
        <v>4</v>
      </c>
      <c r="CV55" s="9" t="s">
        <v>4</v>
      </c>
      <c r="CW55" s="9" t="s">
        <v>4</v>
      </c>
      <c r="DI55" s="108" t="str">
        <f t="shared" si="4"/>
        <v>BA-SIN-008</v>
      </c>
      <c r="DJ55" s="35">
        <f t="shared" si="5"/>
        <v>7</v>
      </c>
      <c r="DK55" s="83">
        <v>4</v>
      </c>
      <c r="DL55" s="83" t="s">
        <v>877</v>
      </c>
    </row>
    <row r="56" spans="1:116" x14ac:dyDescent="0.25">
      <c r="A56" s="87" t="s">
        <v>829</v>
      </c>
      <c r="B56" s="108" t="s">
        <v>804</v>
      </c>
      <c r="AA56" s="9" t="s">
        <v>4</v>
      </c>
      <c r="BK56" s="9" t="s">
        <v>4</v>
      </c>
      <c r="BM56" s="4"/>
      <c r="CR56" s="9" t="s">
        <v>4</v>
      </c>
      <c r="CY56" s="9" t="s">
        <v>4</v>
      </c>
      <c r="DI56" s="108" t="str">
        <f t="shared" si="4"/>
        <v>BA-SIN-009</v>
      </c>
      <c r="DJ56" s="35">
        <f t="shared" si="5"/>
        <v>4</v>
      </c>
      <c r="DK56" s="83">
        <v>8</v>
      </c>
      <c r="DL56" s="83" t="s">
        <v>878</v>
      </c>
    </row>
    <row r="57" spans="1:116" x14ac:dyDescent="0.25">
      <c r="A57" s="87" t="s">
        <v>806</v>
      </c>
      <c r="B57" s="108" t="s">
        <v>806</v>
      </c>
      <c r="R57" s="9" t="s">
        <v>4</v>
      </c>
      <c r="BM57" s="4"/>
      <c r="CK57" s="9" t="s">
        <v>4</v>
      </c>
      <c r="DI57" s="108" t="str">
        <f t="shared" si="4"/>
        <v>BA-TTD-001</v>
      </c>
      <c r="DJ57" s="35">
        <f t="shared" si="5"/>
        <v>2</v>
      </c>
      <c r="DK57" s="83">
        <v>4</v>
      </c>
      <c r="DL57" s="83" t="s">
        <v>879</v>
      </c>
    </row>
    <row r="58" spans="1:116" x14ac:dyDescent="0.25">
      <c r="A58" s="87" t="s">
        <v>807</v>
      </c>
      <c r="B58" s="108" t="s">
        <v>807</v>
      </c>
      <c r="BK58" s="9" t="s">
        <v>4</v>
      </c>
      <c r="BM58" s="4"/>
      <c r="BP58" s="9" t="s">
        <v>4</v>
      </c>
      <c r="BQ58" s="9" t="s">
        <v>4</v>
      </c>
      <c r="BS58" s="9" t="s">
        <v>4</v>
      </c>
      <c r="CG58" s="9" t="s">
        <v>4</v>
      </c>
      <c r="CI58" s="9" t="s">
        <v>4</v>
      </c>
      <c r="CJ58" s="9" t="s">
        <v>4</v>
      </c>
      <c r="CL58" s="9" t="s">
        <v>4</v>
      </c>
      <c r="CQ58" s="9" t="s">
        <v>4</v>
      </c>
      <c r="CR58" s="9" t="s">
        <v>4</v>
      </c>
      <c r="CY58" s="9" t="s">
        <v>4</v>
      </c>
      <c r="DI58" s="108" t="str">
        <f t="shared" si="4"/>
        <v>BA-TTD-002</v>
      </c>
      <c r="DJ58" s="35">
        <f t="shared" si="5"/>
        <v>11</v>
      </c>
      <c r="DK58" s="83">
        <v>4</v>
      </c>
      <c r="DL58" s="83" t="s">
        <v>880</v>
      </c>
    </row>
    <row r="59" spans="1:116" x14ac:dyDescent="0.25">
      <c r="A59" s="87" t="s">
        <v>809</v>
      </c>
      <c r="B59" s="108" t="s">
        <v>808</v>
      </c>
      <c r="BH59" s="9" t="s">
        <v>4</v>
      </c>
      <c r="BL59" s="9" t="s">
        <v>4</v>
      </c>
      <c r="BM59" s="9"/>
      <c r="DB59" s="9" t="s">
        <v>4</v>
      </c>
      <c r="DC59" s="9" t="s">
        <v>4</v>
      </c>
      <c r="DD59" s="9" t="s">
        <v>4</v>
      </c>
      <c r="DE59" s="9" t="s">
        <v>4</v>
      </c>
      <c r="DI59" s="108" t="str">
        <f t="shared" si="4"/>
        <v>BA-TTD-003</v>
      </c>
      <c r="DJ59" s="35">
        <f t="shared" si="5"/>
        <v>6</v>
      </c>
      <c r="DK59" s="83">
        <v>4</v>
      </c>
      <c r="DL59" s="83" t="s">
        <v>881</v>
      </c>
    </row>
    <row r="60" spans="1:116" x14ac:dyDescent="0.25">
      <c r="A60" s="87" t="s">
        <v>830</v>
      </c>
      <c r="B60" s="108" t="s">
        <v>809</v>
      </c>
      <c r="BC60" s="9" t="s">
        <v>4</v>
      </c>
      <c r="BM60" s="4"/>
      <c r="CE60" s="9" t="s">
        <v>4</v>
      </c>
      <c r="DI60" s="108" t="str">
        <f t="shared" si="4"/>
        <v>BA-TTD-004</v>
      </c>
      <c r="DJ60" s="35">
        <f t="shared" si="5"/>
        <v>2</v>
      </c>
      <c r="DK60" s="83">
        <v>16</v>
      </c>
      <c r="DL60" s="83" t="s">
        <v>882</v>
      </c>
    </row>
    <row r="61" spans="1:116" x14ac:dyDescent="0.25">
      <c r="A61" s="87" t="s">
        <v>810</v>
      </c>
      <c r="B61" s="108" t="s">
        <v>810</v>
      </c>
      <c r="AS61" s="9" t="s">
        <v>4</v>
      </c>
      <c r="AY61" s="9" t="s">
        <v>4</v>
      </c>
      <c r="BB61" s="9" t="s">
        <v>4</v>
      </c>
      <c r="BF61" s="9" t="s">
        <v>4</v>
      </c>
      <c r="BI61" s="9" t="s">
        <v>4</v>
      </c>
      <c r="BM61" s="4"/>
      <c r="CF61" s="9" t="s">
        <v>4</v>
      </c>
      <c r="DI61" s="108" t="str">
        <f t="shared" si="4"/>
        <v>BA-VER-001</v>
      </c>
      <c r="DJ61" s="35">
        <f t="shared" si="5"/>
        <v>6</v>
      </c>
      <c r="DK61" s="83">
        <v>8</v>
      </c>
      <c r="DL61" s="83" t="s">
        <v>883</v>
      </c>
    </row>
    <row r="62" spans="1:116" x14ac:dyDescent="0.25">
      <c r="A62" s="87" t="s">
        <v>811</v>
      </c>
      <c r="B62" s="108" t="s">
        <v>811</v>
      </c>
      <c r="BL62" s="9" t="s">
        <v>4</v>
      </c>
      <c r="BM62" s="4" t="s">
        <v>4</v>
      </c>
      <c r="DI62" s="108" t="str">
        <f t="shared" si="4"/>
        <v>BA-VER-002</v>
      </c>
      <c r="DJ62" s="35">
        <f t="shared" si="5"/>
        <v>2</v>
      </c>
      <c r="DK62" s="83">
        <v>16</v>
      </c>
      <c r="DL62" s="83" t="s">
        <v>884</v>
      </c>
    </row>
    <row r="63" spans="1:116" x14ac:dyDescent="0.25">
      <c r="A63" s="87" t="s">
        <v>812</v>
      </c>
      <c r="B63" s="33" t="s">
        <v>812</v>
      </c>
      <c r="BH63" s="9" t="s">
        <v>4</v>
      </c>
      <c r="BL63" s="9" t="s">
        <v>4</v>
      </c>
      <c r="BM63" s="4" t="s">
        <v>4</v>
      </c>
      <c r="DI63" s="108" t="str">
        <f t="shared" si="4"/>
        <v>BA-VER-003</v>
      </c>
      <c r="DJ63" s="35">
        <f t="shared" si="5"/>
        <v>3</v>
      </c>
      <c r="DK63" s="83">
        <v>32</v>
      </c>
      <c r="DL63" s="83" t="s">
        <v>885</v>
      </c>
    </row>
    <row r="64" spans="1:116" x14ac:dyDescent="0.25">
      <c r="A64" s="87" t="s">
        <v>813</v>
      </c>
      <c r="B64" s="33" t="s">
        <v>813</v>
      </c>
      <c r="BH64" s="9" t="s">
        <v>4</v>
      </c>
      <c r="BM64" s="4"/>
      <c r="DI64" s="108" t="str">
        <f t="shared" si="4"/>
        <v>BA-VER-004</v>
      </c>
      <c r="DJ64" s="35">
        <f t="shared" si="5"/>
        <v>1</v>
      </c>
      <c r="DK64" s="83">
        <v>4</v>
      </c>
      <c r="DL64" s="83" t="s">
        <v>886</v>
      </c>
    </row>
    <row r="65" spans="1:129" x14ac:dyDescent="0.25">
      <c r="A65" s="87" t="s">
        <v>814</v>
      </c>
      <c r="B65" s="33" t="s">
        <v>814</v>
      </c>
      <c r="BI65" s="9" t="s">
        <v>4</v>
      </c>
      <c r="DI65" s="108" t="str">
        <f t="shared" si="4"/>
        <v>BA-VER-005</v>
      </c>
      <c r="DJ65" s="35">
        <f t="shared" si="5"/>
        <v>1</v>
      </c>
      <c r="DK65" s="83">
        <v>8</v>
      </c>
      <c r="DL65" s="83" t="s">
        <v>887</v>
      </c>
    </row>
    <row r="66" spans="1:129" x14ac:dyDescent="0.25">
      <c r="A66" s="87" t="s">
        <v>816</v>
      </c>
      <c r="B66" s="33" t="s">
        <v>815</v>
      </c>
      <c r="BE66" s="9" t="s">
        <v>4</v>
      </c>
      <c r="BG66" s="9" t="s">
        <v>4</v>
      </c>
      <c r="BH66" s="9" t="s">
        <v>4</v>
      </c>
      <c r="DI66" s="108" t="str">
        <f t="shared" si="4"/>
        <v>BA-VER-006</v>
      </c>
      <c r="DJ66" s="35">
        <f t="shared" si="5"/>
        <v>3</v>
      </c>
      <c r="DK66" s="83">
        <v>4</v>
      </c>
      <c r="DL66" s="83" t="s">
        <v>888</v>
      </c>
    </row>
    <row r="67" spans="1:129" x14ac:dyDescent="0.25">
      <c r="A67" s="87"/>
      <c r="B67" s="33"/>
      <c r="BM67" s="4"/>
      <c r="DI67" s="108"/>
      <c r="DJ67" s="35"/>
      <c r="DK67" s="108"/>
      <c r="DL67" s="83"/>
    </row>
    <row r="68" spans="1:129" x14ac:dyDescent="0.25">
      <c r="A68" s="87"/>
      <c r="B68" s="33"/>
      <c r="BM68" s="4"/>
      <c r="DI68" s="108"/>
      <c r="DJ68" s="35"/>
      <c r="DK68" s="108"/>
      <c r="DL68" s="83"/>
    </row>
    <row r="69" spans="1:129" x14ac:dyDescent="0.25">
      <c r="A69" s="87"/>
      <c r="B69" s="33"/>
      <c r="BM69" s="4"/>
      <c r="DI69" s="108"/>
      <c r="DJ69" s="35"/>
      <c r="DK69" s="108"/>
      <c r="DL69" s="83"/>
    </row>
    <row r="70" spans="1:129" x14ac:dyDescent="0.25">
      <c r="A70" s="87"/>
      <c r="B70" s="33"/>
      <c r="BM70" s="4"/>
      <c r="DI70" s="108"/>
      <c r="DJ70" s="35"/>
      <c r="DK70" s="108"/>
      <c r="DL70" s="83"/>
    </row>
    <row r="72" spans="1:129" ht="27.75" customHeight="1" x14ac:dyDescent="0.25">
      <c r="A72" s="6"/>
      <c r="B72" s="5" t="s">
        <v>177</v>
      </c>
      <c r="C72" s="18" t="str">
        <f>LOOKUP(CONCATENATE(C2,"PA",C3),MATRIZ!$A$1:$B$64)</f>
        <v>RA</v>
      </c>
      <c r="D72" s="18" t="str">
        <f>LOOKUP(CONCATENATE(D2,"PA",D3),MATRIZ!$A$1:$B$64)</f>
        <v>RA</v>
      </c>
      <c r="E72" s="18" t="str">
        <f>LOOKUP(CONCATENATE(E2,"PA",E3),MATRIZ!$A$1:$B$64)</f>
        <v>RA</v>
      </c>
      <c r="F72" s="18" t="str">
        <f>LOOKUP(CONCATENATE(F2,"PA",F3),MATRIZ!$A$1:$B$64)</f>
        <v>RA</v>
      </c>
      <c r="G72" s="18" t="str">
        <f>LOOKUP(CONCATENATE(G2,"PA",G3),MATRIZ!$A$1:$B$64)</f>
        <v>RA</v>
      </c>
      <c r="H72" s="18" t="str">
        <f>LOOKUP(CONCATENATE(H2,"PA",H3),MATRIZ!$A$1:$B$64)</f>
        <v>RA</v>
      </c>
      <c r="I72" s="18" t="str">
        <f>LOOKUP(CONCATENATE(I2,"PA",I3),MATRIZ!$A$1:$B$64)</f>
        <v>RA</v>
      </c>
      <c r="J72" s="18" t="str">
        <f>LOOKUP(CONCATENATE(J2,"PA",J3),MATRIZ!$A$1:$B$64)</f>
        <v>RA</v>
      </c>
      <c r="K72" s="18" t="str">
        <f>LOOKUP(CONCATENATE(K2,"PA",K3),MATRIZ!$A$1:$B$64)</f>
        <v>RA</v>
      </c>
      <c r="L72" s="18" t="str">
        <f>LOOKUP(CONCATENATE(L2,"PA",L3),MATRIZ!$A$1:$B$64)</f>
        <v>RA</v>
      </c>
      <c r="M72" s="18" t="str">
        <f>LOOKUP(CONCATENATE(M2,"PA",M3),MATRIZ!$A$1:$B$64)</f>
        <v>RA</v>
      </c>
      <c r="N72" s="18" t="str">
        <f>LOOKUP(CONCATENATE(N2,"PA",N3),MATRIZ!$A$1:$B$64)</f>
        <v>RA</v>
      </c>
      <c r="O72" s="18" t="str">
        <f>LOOKUP(CONCATENATE(O2,"PA",O3),MATRIZ!$A$1:$B$64)</f>
        <v>RA</v>
      </c>
      <c r="P72" s="18" t="str">
        <f>LOOKUP(CONCATENATE(P2,"PA",P3),MATRIZ!$A$1:$B$64)</f>
        <v>RA</v>
      </c>
      <c r="Q72" s="18" t="str">
        <f>LOOKUP(CONCATENATE(Q2,"PA",Q3),MATRIZ!$A$1:$B$64)</f>
        <v>RA</v>
      </c>
      <c r="R72" s="18" t="str">
        <f>LOOKUP(CONCATENATE(R2,"PA",R3),MATRIZ!$A$1:$B$64)</f>
        <v>RMA</v>
      </c>
      <c r="S72" s="18" t="str">
        <f>LOOKUP(CONCATENATE(S2,"PA",S3),MATRIZ!$A$1:$B$64)</f>
        <v>RA</v>
      </c>
      <c r="T72" s="18" t="str">
        <f>LOOKUP(CONCATENATE(T2,"PA",T3),MATRIZ!$A$1:$B$64)</f>
        <v>RA</v>
      </c>
      <c r="U72" s="18" t="str">
        <f>LOOKUP(CONCATENATE(U2,"PA",U3),MATRIZ!$A$1:$B$64)</f>
        <v>RA</v>
      </c>
      <c r="V72" s="18" t="str">
        <f>LOOKUP(CONCATENATE(V2,"PA",V3),MATRIZ!$A$1:$B$64)</f>
        <v>RA</v>
      </c>
      <c r="W72" s="18" t="str">
        <f>LOOKUP(CONCATENATE(W2,"PA",W3),MATRIZ!$A$1:$B$64)</f>
        <v>RM</v>
      </c>
      <c r="X72" s="18" t="str">
        <f>LOOKUP(CONCATENATE(X2,"PA",X3),MATRIZ!$A$1:$B$64)</f>
        <v>RA</v>
      </c>
      <c r="Y72" s="18" t="str">
        <f>LOOKUP(CONCATENATE(Y2,"PA",Y3),MATRIZ!$A$1:$B$64)</f>
        <v>RM</v>
      </c>
      <c r="Z72" s="18" t="str">
        <f>LOOKUP(CONCATENATE(Z2,"PA",Z3),MATRIZ!$A$1:$B$64)</f>
        <v>RA</v>
      </c>
      <c r="AA72" s="18" t="str">
        <f>LOOKUP(CONCATENATE(AA2,"PA",AA3),MATRIZ!$A$1:$B$64)</f>
        <v>RA</v>
      </c>
      <c r="AB72" s="18" t="str">
        <f>LOOKUP(CONCATENATE(AB2,"PA",AB3),MATRIZ!$A$1:$B$64)</f>
        <v>RA</v>
      </c>
      <c r="AC72" s="18" t="str">
        <f>LOOKUP(CONCATENATE(AC2,"PA",AC3),MATRIZ!$A$1:$B$64)</f>
        <v>RA</v>
      </c>
      <c r="AD72" s="18" t="str">
        <f>LOOKUP(CONCATENATE(AD2,"PA",AD3),MATRIZ!$A$1:$B$64)</f>
        <v>RA</v>
      </c>
      <c r="AE72" s="18" t="str">
        <f>LOOKUP(CONCATENATE(AE2,"PA",AE3),MATRIZ!$A$1:$B$64)</f>
        <v>RA</v>
      </c>
      <c r="AF72" s="18" t="str">
        <f>LOOKUP(CONCATENATE(AF2,"PA",AF3),MATRIZ!$A$1:$B$64)</f>
        <v>RA</v>
      </c>
      <c r="AG72" s="18" t="str">
        <f>LOOKUP(CONCATENATE(AG2,"PA",AG3),MATRIZ!$A$1:$B$64)</f>
        <v>RA</v>
      </c>
      <c r="AH72" s="18" t="str">
        <f>LOOKUP(CONCATENATE(AH2,"PA",AH3),MATRIZ!$A$1:$B$64)</f>
        <v>RA</v>
      </c>
      <c r="AI72" s="18" t="str">
        <f>LOOKUP(CONCATENATE(AI2,"PA",AI3),MATRIZ!$A$1:$B$64)</f>
        <v>RA</v>
      </c>
      <c r="AJ72" s="18" t="str">
        <f>LOOKUP(CONCATENATE(AJ2,"PA",AJ3),MATRIZ!$A$1:$B$64)</f>
        <v>RA</v>
      </c>
      <c r="AK72" s="18" t="str">
        <f>LOOKUP(CONCATENATE(AK2,"PA",AK3),MATRIZ!$A$1:$B$64)</f>
        <v>RA</v>
      </c>
      <c r="AL72" s="18" t="str">
        <f>LOOKUP(CONCATENATE(AL2,"PA",AL3),MATRIZ!$A$1:$B$64)</f>
        <v>RA</v>
      </c>
      <c r="AM72" s="18" t="str">
        <f>LOOKUP(CONCATENATE(AM2,"PA",AM3),MATRIZ!$A$1:$B$64)</f>
        <v>RA</v>
      </c>
      <c r="AN72" s="18" t="str">
        <f>LOOKUP(CONCATENATE(AN2,"PA",AN3),MATRIZ!$A$1:$B$64)</f>
        <v>RA</v>
      </c>
      <c r="AO72" s="18" t="str">
        <f>LOOKUP(CONCATENATE(AO2,"PA",AO3),MATRIZ!$A$1:$B$64)</f>
        <v>RA</v>
      </c>
      <c r="AP72" s="18" t="str">
        <f>LOOKUP(CONCATENATE(AP2,"PA",AP3),MATRIZ!$A$1:$B$64)</f>
        <v>RA</v>
      </c>
      <c r="AQ72" s="18" t="str">
        <f>LOOKUP(CONCATENATE(AQ2,"PA",AQ3),MATRIZ!$A$1:$B$64)</f>
        <v>RM</v>
      </c>
      <c r="AR72" s="18" t="str">
        <f>LOOKUP(CONCATENATE(AR2,"PA",AR3),MATRIZ!$A$1:$B$64)</f>
        <v>RA</v>
      </c>
      <c r="AS72" s="18" t="str">
        <f>LOOKUP(CONCATENATE(AS2,"PA",AS3),MATRIZ!$A$1:$B$64)</f>
        <v>RA</v>
      </c>
      <c r="AT72" s="18" t="str">
        <f>LOOKUP(CONCATENATE(AT2,"PA",AT3),MATRIZ!$A$1:$B$64)</f>
        <v>RA</v>
      </c>
      <c r="AU72" s="18" t="str">
        <f>LOOKUP(CONCATENATE(AU2,"PA",AU3),MATRIZ!$A$1:$B$64)</f>
        <v>RA</v>
      </c>
      <c r="AV72" s="18" t="str">
        <f>LOOKUP(CONCATENATE(AV2,"PA",AV3),MATRIZ!$A$1:$B$64)</f>
        <v>RA</v>
      </c>
      <c r="AW72" s="18" t="str">
        <f>LOOKUP(CONCATENATE(AW2,"PA",AW3),MATRIZ!$A$1:$B$64)</f>
        <v>RA</v>
      </c>
      <c r="AX72" s="18" t="str">
        <f>LOOKUP(CONCATENATE(AX2,"PA",AX3),MATRIZ!$A$1:$B$64)</f>
        <v>RA</v>
      </c>
      <c r="AY72" s="18" t="str">
        <f>LOOKUP(CONCATENATE(AY2,"PA",AY3),MATRIZ!$A$1:$B$64)</f>
        <v>RA</v>
      </c>
      <c r="AZ72" s="18" t="str">
        <f>LOOKUP(CONCATENATE(AZ2,"PA",AZ3),MATRIZ!$A$1:$B$64)</f>
        <v>RA</v>
      </c>
      <c r="BA72" s="18" t="str">
        <f>LOOKUP(CONCATENATE(BA2,"PA",BA3),MATRIZ!$A$1:$B$64)</f>
        <v>RA</v>
      </c>
      <c r="BB72" s="18" t="str">
        <f>LOOKUP(CONCATENATE(BB2,"PA",BB3),MATRIZ!$A$1:$B$64)</f>
        <v>RA</v>
      </c>
      <c r="BC72" s="18" t="str">
        <f>LOOKUP(CONCATENATE(BC2,"PA",BC3),MATRIZ!$A$1:$B$64)</f>
        <v>RA</v>
      </c>
      <c r="BD72" s="18" t="str">
        <f>LOOKUP(CONCATENATE(BD2,"PA",BD3),MATRIZ!$A$1:$B$64)</f>
        <v>RA</v>
      </c>
      <c r="BE72" s="18" t="str">
        <f>LOOKUP(CONCATENATE(BE2,"PA",BE3),MATRIZ!$A$1:$B$64)</f>
        <v>RA</v>
      </c>
      <c r="BF72" s="18" t="str">
        <f>LOOKUP(CONCATENATE(BF2,"PA",BF3),MATRIZ!$A$1:$B$64)</f>
        <v>RA</v>
      </c>
      <c r="BG72" s="18" t="str">
        <f>LOOKUP(CONCATENATE(BG2,"PA",BG3),MATRIZ!$A$1:$B$64)</f>
        <v>RA</v>
      </c>
      <c r="BH72" s="18" t="str">
        <f>LOOKUP(CONCATENATE(BH2,"PA",BH3),MATRIZ!$A$1:$B$64)</f>
        <v>RA</v>
      </c>
      <c r="BI72" s="18" t="str">
        <f>LOOKUP(CONCATENATE(BI2,"PA",BI3),MATRIZ!$A$1:$B$64)</f>
        <v>RA</v>
      </c>
      <c r="BJ72" s="18" t="str">
        <f>LOOKUP(CONCATENATE(BJ2,"PA",BJ3),MATRIZ!$A$1:$B$64)</f>
        <v>RA</v>
      </c>
      <c r="BK72" s="18" t="str">
        <f>LOOKUP(CONCATENATE(BK2,"PA",BK3),MATRIZ!$A$1:$B$64)</f>
        <v>RA</v>
      </c>
      <c r="BL72" s="18" t="str">
        <f>LOOKUP(CONCATENATE(BL2,"PA",BL3),MATRIZ!$A$1:$B$64)</f>
        <v>RA</v>
      </c>
      <c r="BM72" s="18" t="str">
        <f>LOOKUP(CONCATENATE(BM2,"PA",BM3),MATRIZ!$A$1:$B$64)</f>
        <v>RA</v>
      </c>
      <c r="BN72" s="18" t="str">
        <f>LOOKUP(CONCATENATE(BN2,"PA",BN3),MATRIZ!$A$1:$B$64)</f>
        <v>RA</v>
      </c>
      <c r="BO72" s="18" t="str">
        <f>LOOKUP(CONCATENATE(BO2,"PA",BO3),MATRIZ!$A$1:$B$64)</f>
        <v>RA</v>
      </c>
      <c r="BP72" s="18" t="str">
        <f>LOOKUP(CONCATENATE(BP2,"PA",BP3),MATRIZ!$A$1:$B$64)</f>
        <v>RA</v>
      </c>
      <c r="BQ72" s="18" t="str">
        <f>LOOKUP(CONCATENATE(BQ2,"PA",BQ3),MATRIZ!$A$1:$B$64)</f>
        <v>RA</v>
      </c>
      <c r="BR72" s="18" t="str">
        <f>LOOKUP(CONCATENATE(BR2,"PA",BR3),MATRIZ!$A$1:$B$64)</f>
        <v>RA</v>
      </c>
      <c r="BS72" s="18" t="str">
        <f>LOOKUP(CONCATENATE(BS2,"PA",BS3),MATRIZ!$A$1:$B$64)</f>
        <v>RA</v>
      </c>
      <c r="BT72" s="18" t="str">
        <f>LOOKUP(CONCATENATE(BT2,"PA",BT3),MATRIZ!$A$1:$B$64)</f>
        <v>RA</v>
      </c>
      <c r="BU72" s="18" t="str">
        <f>LOOKUP(CONCATENATE(BU2,"PA",BU3),MATRIZ!$A$1:$B$64)</f>
        <v>RA</v>
      </c>
      <c r="BV72" s="18" t="str">
        <f>LOOKUP(CONCATENATE(BV2,"PA",BV3),MATRIZ!$A$1:$B$64)</f>
        <v>RA</v>
      </c>
      <c r="BW72" s="18" t="str">
        <f>LOOKUP(CONCATENATE(BW2,"PA",BW3),MATRIZ!$A$1:$B$64)</f>
        <v>RA</v>
      </c>
      <c r="BX72" s="18" t="str">
        <f>LOOKUP(CONCATENATE(BX2,"PA",BX3),MATRIZ!$A$1:$B$64)</f>
        <v>RA</v>
      </c>
      <c r="BY72" s="18" t="str">
        <f>LOOKUP(CONCATENATE(BY2,"PA",BY3),MATRIZ!$A$1:$B$64)</f>
        <v>RA</v>
      </c>
      <c r="BZ72" s="18" t="str">
        <f>LOOKUP(CONCATENATE(BZ2,"PA",BZ3),MATRIZ!$A$1:$B$64)</f>
        <v>RA</v>
      </c>
      <c r="CA72" s="18" t="str">
        <f>LOOKUP(CONCATENATE(CA2,"PA",CA3),MATRIZ!$A$1:$B$64)</f>
        <v>RA</v>
      </c>
      <c r="CB72" s="18" t="str">
        <f>LOOKUP(CONCATENATE(CB2,"PA",CB3),MATRIZ!$A$1:$B$64)</f>
        <v>RA</v>
      </c>
      <c r="CC72" s="18" t="str">
        <f>LOOKUP(CONCATENATE(CC2,"PA",CC3),MATRIZ!$A$1:$B$64)</f>
        <v>RA</v>
      </c>
      <c r="CD72" s="18" t="str">
        <f>LOOKUP(CONCATENATE(CD2,"PA",CD3),MATRIZ!$A$1:$B$64)</f>
        <v>RA</v>
      </c>
      <c r="CE72" s="18" t="str">
        <f>LOOKUP(CONCATENATE(CE2,"PA",CE3),MATRIZ!$A$1:$B$64)</f>
        <v>RA</v>
      </c>
      <c r="CF72" s="18" t="str">
        <f>LOOKUP(CONCATENATE(CF2,"PA",CF3),MATRIZ!$A$1:$B$64)</f>
        <v>RA</v>
      </c>
      <c r="CG72" s="18" t="str">
        <f>LOOKUP(CONCATENATE(CG2,"PA",CG3),MATRIZ!$A$1:$B$64)</f>
        <v>RMA</v>
      </c>
      <c r="CH72" s="18" t="str">
        <f>LOOKUP(CONCATENATE(CH2,"PA",CH3),MATRIZ!$A$1:$B$64)</f>
        <v>RMA</v>
      </c>
      <c r="CI72" s="18" t="str">
        <f>LOOKUP(CONCATENATE(CI2,"PA",CI3),MATRIZ!$A$1:$B$64)</f>
        <v>RMA</v>
      </c>
      <c r="CJ72" s="18" t="str">
        <f>LOOKUP(CONCATENATE(CJ2,"PA",CJ3),MATRIZ!$A$1:$B$64)</f>
        <v>RA</v>
      </c>
      <c r="CK72" s="18" t="str">
        <f>LOOKUP(CONCATENATE(CK2,"PA",CK3),MATRIZ!$A$1:$B$64)</f>
        <v>RA</v>
      </c>
      <c r="CL72" s="18" t="str">
        <f>LOOKUP(CONCATENATE(CL2,"PA",CL3),MATRIZ!$A$1:$B$64)</f>
        <v>RA</v>
      </c>
      <c r="CM72" s="18" t="str">
        <f>LOOKUP(CONCATENATE(CM2,"PA",CM3),MATRIZ!$A$1:$B$64)</f>
        <v>RMA</v>
      </c>
      <c r="CN72" s="18" t="str">
        <f>LOOKUP(CONCATENATE(CN2,"PA",CN3),MATRIZ!$A$1:$B$64)</f>
        <v>RM</v>
      </c>
      <c r="CO72" s="18" t="str">
        <f>LOOKUP(CONCATENATE(CO2,"PA",CO3),MATRIZ!$A$1:$B$64)</f>
        <v>RA</v>
      </c>
      <c r="CP72" s="18" t="str">
        <f>LOOKUP(CONCATENATE(CP2,"PA",CP3),MATRIZ!$A$1:$B$64)</f>
        <v>RM</v>
      </c>
      <c r="CQ72" s="18" t="str">
        <f>LOOKUP(CONCATENATE(CQ2,"PA",CQ3),MATRIZ!$A$1:$B$64)</f>
        <v>RA</v>
      </c>
      <c r="CR72" s="18" t="str">
        <f>LOOKUP(CONCATENATE(CR2,"PA",CR3),MATRIZ!$A$1:$B$64)</f>
        <v>RA</v>
      </c>
      <c r="CS72" s="18" t="str">
        <f>LOOKUP(CONCATENATE(CS2,"PA",CS3),MATRIZ!$A$1:$B$64)</f>
        <v>RA</v>
      </c>
      <c r="CT72" s="18" t="str">
        <f>LOOKUP(CONCATENATE(CT2,"PA",CT3),MATRIZ!$A$1:$B$64)</f>
        <v>RA</v>
      </c>
      <c r="CU72" s="18" t="str">
        <f>LOOKUP(CONCATENATE(CU2,"PA",CU3),MATRIZ!$A$1:$B$64)</f>
        <v>RA</v>
      </c>
      <c r="CV72" s="18" t="str">
        <f>LOOKUP(CONCATENATE(CV2,"PA",CV3),MATRIZ!$A$1:$B$64)</f>
        <v>RA</v>
      </c>
      <c r="CW72" s="18" t="str">
        <f>LOOKUP(CONCATENATE(CW2,"PA",CW3),MATRIZ!$A$1:$B$64)</f>
        <v>RA</v>
      </c>
      <c r="CX72" s="18" t="str">
        <f>LOOKUP(CONCATENATE(CX2,"PA",CX3),MATRIZ!$A$1:$B$64)</f>
        <v>RA</v>
      </c>
      <c r="CY72" s="18" t="str">
        <f>LOOKUP(CONCATENATE(CY2,"PA",CY3),MATRIZ!$A$1:$B$64)</f>
        <v>RA</v>
      </c>
      <c r="CZ72" s="18" t="str">
        <f>LOOKUP(CONCATENATE(CZ2,"PA",CZ3),MATRIZ!$A$1:$B$64)</f>
        <v>RA</v>
      </c>
      <c r="DA72" s="18" t="str">
        <f>LOOKUP(CONCATENATE(DA2,"PA",DA3),MATRIZ!$A$1:$B$64)</f>
        <v>RA</v>
      </c>
      <c r="DB72" s="18" t="str">
        <f>LOOKUP(CONCATENATE(DB2,"PA",DB3),MATRIZ!$A$1:$B$64)</f>
        <v>RA</v>
      </c>
      <c r="DC72" s="18" t="str">
        <f>LOOKUP(CONCATENATE(DC2,"PA",DC3),MATRIZ!$A$1:$B$64)</f>
        <v>RA</v>
      </c>
      <c r="DD72" s="18" t="str">
        <f>LOOKUP(CONCATENATE(DD2,"PA",DD3),MATRIZ!$A$1:$B$64)</f>
        <v>RA</v>
      </c>
      <c r="DE72" s="18" t="str">
        <f>LOOKUP(CONCATENATE(DE2,"PA",DE3),MATRIZ!$A$1:$B$64)</f>
        <v>RA</v>
      </c>
      <c r="DF72" s="18" t="str">
        <f>LOOKUP(CONCATENATE(DF2,"PA",DF3),MATRIZ!$A$1:$B$64)</f>
        <v>RM</v>
      </c>
      <c r="DG72" s="18" t="str">
        <f>LOOKUP(CONCATENATE(DG2,"PA",DG3),MATRIZ!$A$1:$B$64)</f>
        <v>RA</v>
      </c>
      <c r="DH72" s="18" t="str">
        <f>LOOKUP(CONCATENATE(DH2,"PA",DH3),MATRIZ!$A$1:$B$64)</f>
        <v>RA</v>
      </c>
      <c r="DI72" s="18"/>
      <c r="DJ72" s="18"/>
      <c r="DK72" s="18"/>
      <c r="DL72" s="18"/>
      <c r="DM72" s="18"/>
      <c r="DN72" s="18"/>
      <c r="DO72" s="18"/>
      <c r="DP72" s="18"/>
      <c r="DQ72" s="18"/>
      <c r="DR72" s="18"/>
      <c r="DS72" s="18"/>
      <c r="DT72" s="18"/>
      <c r="DU72" s="18"/>
      <c r="DV72" s="18"/>
      <c r="DW72" s="18"/>
      <c r="DX72" s="9"/>
      <c r="DY72" s="1"/>
    </row>
    <row r="73" spans="1:129" x14ac:dyDescent="0.25">
      <c r="A73" s="6"/>
      <c r="B73" s="46"/>
      <c r="C73" s="6"/>
      <c r="BM73" s="9"/>
      <c r="DJ73" s="9"/>
      <c r="DK73" s="9"/>
      <c r="DM73" s="9"/>
      <c r="DN73" s="9"/>
      <c r="DO73" s="9"/>
      <c r="DP73" s="9"/>
      <c r="DQ73" s="9"/>
      <c r="DR73" s="9"/>
      <c r="DS73" s="9"/>
      <c r="DT73" s="9"/>
      <c r="DU73" s="9"/>
      <c r="DV73" s="9"/>
      <c r="DW73" s="9"/>
      <c r="DX73" s="9"/>
      <c r="DY73" s="1"/>
    </row>
    <row r="74" spans="1:129" x14ac:dyDescent="0.25">
      <c r="A74" s="6"/>
      <c r="B74" s="46"/>
      <c r="C74" s="6"/>
      <c r="BM74" s="9"/>
      <c r="DJ74" s="9"/>
      <c r="DK74" s="9"/>
      <c r="DM74" s="9"/>
      <c r="DN74" s="9"/>
      <c r="DO74" s="9"/>
      <c r="DP74" s="9"/>
      <c r="DQ74" s="9"/>
      <c r="DR74" s="9"/>
      <c r="DS74" s="9"/>
      <c r="DT74" s="9"/>
      <c r="DU74" s="9"/>
      <c r="DV74" s="9"/>
      <c r="DW74" s="9"/>
      <c r="DX74" s="9"/>
      <c r="DY74" s="1"/>
    </row>
    <row r="75" spans="1:129" ht="42.75" customHeight="1" x14ac:dyDescent="0.25">
      <c r="A75" s="6"/>
      <c r="B75" s="5" t="s">
        <v>244</v>
      </c>
      <c r="C75" s="41" t="str">
        <f t="shared" ref="C75:AH75" si="6">IF(C7&lt;1,"PA",IF(C7&lt;3,"PM",IF(C7&lt;4,"PB","PMB")))</f>
        <v>PMB</v>
      </c>
      <c r="D75" s="41" t="str">
        <f t="shared" si="6"/>
        <v>PMB</v>
      </c>
      <c r="E75" s="41" t="str">
        <f t="shared" si="6"/>
        <v>PMB</v>
      </c>
      <c r="F75" s="41" t="str">
        <f t="shared" si="6"/>
        <v>PMB</v>
      </c>
      <c r="G75" s="41" t="str">
        <f t="shared" si="6"/>
        <v>PMB</v>
      </c>
      <c r="H75" s="41" t="str">
        <f t="shared" si="6"/>
        <v>PMB</v>
      </c>
      <c r="I75" s="41" t="str">
        <f t="shared" si="6"/>
        <v>PMB</v>
      </c>
      <c r="J75" s="41" t="str">
        <f t="shared" si="6"/>
        <v>PMB</v>
      </c>
      <c r="K75" s="41" t="str">
        <f t="shared" si="6"/>
        <v>PMB</v>
      </c>
      <c r="L75" s="41" t="str">
        <f t="shared" si="6"/>
        <v>PMB</v>
      </c>
      <c r="M75" s="41" t="str">
        <f t="shared" si="6"/>
        <v>PMB</v>
      </c>
      <c r="N75" s="41" t="str">
        <f t="shared" si="6"/>
        <v>PMB</v>
      </c>
      <c r="O75" s="41" t="str">
        <f t="shared" si="6"/>
        <v>PMB</v>
      </c>
      <c r="P75" s="41" t="str">
        <f t="shared" si="6"/>
        <v>PMB</v>
      </c>
      <c r="Q75" s="41" t="str">
        <f t="shared" si="6"/>
        <v>PMB</v>
      </c>
      <c r="R75" s="41" t="str">
        <f t="shared" si="6"/>
        <v>PMB</v>
      </c>
      <c r="S75" s="41" t="str">
        <f t="shared" si="6"/>
        <v>PMB</v>
      </c>
      <c r="T75" s="41" t="str">
        <f t="shared" si="6"/>
        <v>PMB</v>
      </c>
      <c r="U75" s="41" t="str">
        <f t="shared" si="6"/>
        <v>PMB</v>
      </c>
      <c r="V75" s="41" t="str">
        <f t="shared" si="6"/>
        <v>PMB</v>
      </c>
      <c r="W75" s="41" t="str">
        <f t="shared" si="6"/>
        <v>PMB</v>
      </c>
      <c r="X75" s="41" t="str">
        <f t="shared" si="6"/>
        <v>PMB</v>
      </c>
      <c r="Y75" s="41" t="str">
        <f t="shared" si="6"/>
        <v>PMB</v>
      </c>
      <c r="Z75" s="41" t="str">
        <f t="shared" si="6"/>
        <v>PMB</v>
      </c>
      <c r="AA75" s="41" t="str">
        <f t="shared" si="6"/>
        <v>PMB</v>
      </c>
      <c r="AB75" s="41" t="str">
        <f t="shared" si="6"/>
        <v>PMB</v>
      </c>
      <c r="AC75" s="41" t="str">
        <f t="shared" si="6"/>
        <v>PMB</v>
      </c>
      <c r="AD75" s="41" t="str">
        <f t="shared" si="6"/>
        <v>PMB</v>
      </c>
      <c r="AE75" s="41" t="str">
        <f t="shared" si="6"/>
        <v>PMB</v>
      </c>
      <c r="AF75" s="41" t="str">
        <f t="shared" si="6"/>
        <v>PMB</v>
      </c>
      <c r="AG75" s="41" t="str">
        <f t="shared" si="6"/>
        <v>PMB</v>
      </c>
      <c r="AH75" s="41" t="str">
        <f t="shared" si="6"/>
        <v>PMB</v>
      </c>
      <c r="AI75" s="41" t="str">
        <f t="shared" ref="AI75:BN75" si="7">IF(AI7&lt;1,"PA",IF(AI7&lt;3,"PM",IF(AI7&lt;4,"PB","PMB")))</f>
        <v>PMB</v>
      </c>
      <c r="AJ75" s="41" t="str">
        <f t="shared" si="7"/>
        <v>PMB</v>
      </c>
      <c r="AK75" s="41" t="str">
        <f t="shared" si="7"/>
        <v>PB</v>
      </c>
      <c r="AL75" s="41" t="str">
        <f t="shared" si="7"/>
        <v>PMB</v>
      </c>
      <c r="AM75" s="41" t="str">
        <f t="shared" si="7"/>
        <v>PMB</v>
      </c>
      <c r="AN75" s="41" t="str">
        <f t="shared" si="7"/>
        <v>PMB</v>
      </c>
      <c r="AO75" s="41" t="str">
        <f t="shared" si="7"/>
        <v>PMB</v>
      </c>
      <c r="AP75" s="41" t="str">
        <f t="shared" si="7"/>
        <v>PMB</v>
      </c>
      <c r="AQ75" s="41" t="str">
        <f t="shared" si="7"/>
        <v>PMB</v>
      </c>
      <c r="AR75" s="41" t="str">
        <f t="shared" si="7"/>
        <v>PMB</v>
      </c>
      <c r="AS75" s="41" t="str">
        <f t="shared" si="7"/>
        <v>PB</v>
      </c>
      <c r="AT75" s="41" t="str">
        <f t="shared" si="7"/>
        <v>PB</v>
      </c>
      <c r="AU75" s="41" t="str">
        <f t="shared" si="7"/>
        <v>PB</v>
      </c>
      <c r="AV75" s="41" t="str">
        <f t="shared" si="7"/>
        <v>PB</v>
      </c>
      <c r="AW75" s="41" t="str">
        <f t="shared" si="7"/>
        <v>PMB</v>
      </c>
      <c r="AX75" s="41" t="str">
        <f t="shared" si="7"/>
        <v>PM</v>
      </c>
      <c r="AY75" s="41" t="str">
        <f t="shared" si="7"/>
        <v>PMB</v>
      </c>
      <c r="AZ75" s="41" t="str">
        <f t="shared" si="7"/>
        <v>PMB</v>
      </c>
      <c r="BA75" s="41" t="str">
        <f t="shared" si="7"/>
        <v>PB</v>
      </c>
      <c r="BB75" s="41" t="str">
        <f t="shared" si="7"/>
        <v>PB</v>
      </c>
      <c r="BC75" s="41" t="str">
        <f t="shared" si="7"/>
        <v>PMB</v>
      </c>
      <c r="BD75" s="41" t="str">
        <f t="shared" si="7"/>
        <v>PB</v>
      </c>
      <c r="BE75" s="41" t="str">
        <f t="shared" si="7"/>
        <v>PM</v>
      </c>
      <c r="BF75" s="41" t="str">
        <f t="shared" si="7"/>
        <v>PMB</v>
      </c>
      <c r="BG75" s="41" t="str">
        <f t="shared" si="7"/>
        <v>PB</v>
      </c>
      <c r="BH75" s="41" t="str">
        <f t="shared" si="7"/>
        <v>PMB</v>
      </c>
      <c r="BI75" s="41" t="str">
        <f t="shared" si="7"/>
        <v>PMB</v>
      </c>
      <c r="BJ75" s="41" t="str">
        <f t="shared" si="7"/>
        <v>PM</v>
      </c>
      <c r="BK75" s="41" t="str">
        <f t="shared" si="7"/>
        <v>PMB</v>
      </c>
      <c r="BL75" s="41" t="str">
        <f t="shared" si="7"/>
        <v>PB</v>
      </c>
      <c r="BM75" s="41" t="str">
        <f t="shared" si="7"/>
        <v>PM</v>
      </c>
      <c r="BN75" s="41" t="str">
        <f t="shared" si="7"/>
        <v>PMB</v>
      </c>
      <c r="BO75" s="41" t="str">
        <f t="shared" ref="BO75:CT75" si="8">IF(BO7&lt;1,"PA",IF(BO7&lt;3,"PM",IF(BO7&lt;4,"PB","PMB")))</f>
        <v>PMB</v>
      </c>
      <c r="BP75" s="41" t="str">
        <f t="shared" si="8"/>
        <v>PMB</v>
      </c>
      <c r="BQ75" s="41" t="str">
        <f t="shared" si="8"/>
        <v>PMB</v>
      </c>
      <c r="BR75" s="41" t="str">
        <f t="shared" si="8"/>
        <v>PB</v>
      </c>
      <c r="BS75" s="41" t="str">
        <f t="shared" si="8"/>
        <v>PMB</v>
      </c>
      <c r="BT75" s="41" t="str">
        <f t="shared" si="8"/>
        <v>PMB</v>
      </c>
      <c r="BU75" s="41" t="str">
        <f t="shared" si="8"/>
        <v>PM</v>
      </c>
      <c r="BV75" s="41" t="str">
        <f t="shared" si="8"/>
        <v>PMB</v>
      </c>
      <c r="BW75" s="41" t="str">
        <f t="shared" si="8"/>
        <v>PB</v>
      </c>
      <c r="BX75" s="41" t="str">
        <f t="shared" si="8"/>
        <v>PMB</v>
      </c>
      <c r="BY75" s="41" t="str">
        <f t="shared" si="8"/>
        <v>PM</v>
      </c>
      <c r="BZ75" s="41" t="str">
        <f t="shared" si="8"/>
        <v>PMB</v>
      </c>
      <c r="CA75" s="41" t="str">
        <f t="shared" si="8"/>
        <v>PB</v>
      </c>
      <c r="CB75" s="41" t="str">
        <f t="shared" si="8"/>
        <v>PB</v>
      </c>
      <c r="CC75" s="41" t="str">
        <f t="shared" si="8"/>
        <v>PMB</v>
      </c>
      <c r="CD75" s="41" t="str">
        <f t="shared" si="8"/>
        <v>PB</v>
      </c>
      <c r="CE75" s="41" t="str">
        <f t="shared" si="8"/>
        <v>PM</v>
      </c>
      <c r="CF75" s="41" t="str">
        <f t="shared" si="8"/>
        <v>PMB</v>
      </c>
      <c r="CG75" s="41" t="str">
        <f t="shared" si="8"/>
        <v>PMB</v>
      </c>
      <c r="CH75" s="41" t="str">
        <f t="shared" si="8"/>
        <v>PMB</v>
      </c>
      <c r="CI75" s="41" t="str">
        <f t="shared" si="8"/>
        <v>PMB</v>
      </c>
      <c r="CJ75" s="41" t="str">
        <f t="shared" si="8"/>
        <v>PMB</v>
      </c>
      <c r="CK75" s="41" t="str">
        <f t="shared" si="8"/>
        <v>PMB</v>
      </c>
      <c r="CL75" s="41" t="str">
        <f t="shared" si="8"/>
        <v>PMB</v>
      </c>
      <c r="CM75" s="41" t="str">
        <f t="shared" si="8"/>
        <v>PMB</v>
      </c>
      <c r="CN75" s="41" t="str">
        <f t="shared" si="8"/>
        <v>PM</v>
      </c>
      <c r="CO75" s="41" t="str">
        <f t="shared" si="8"/>
        <v>PB</v>
      </c>
      <c r="CP75" s="41" t="str">
        <f t="shared" si="8"/>
        <v>PM</v>
      </c>
      <c r="CQ75" s="41" t="str">
        <f t="shared" si="8"/>
        <v>PB</v>
      </c>
      <c r="CR75" s="41" t="str">
        <f t="shared" si="8"/>
        <v>PMB</v>
      </c>
      <c r="CS75" s="41" t="str">
        <f t="shared" si="8"/>
        <v>PMB</v>
      </c>
      <c r="CT75" s="41" t="str">
        <f t="shared" si="8"/>
        <v>PM</v>
      </c>
      <c r="CU75" s="41" t="str">
        <f t="shared" ref="CU75:DH75" si="9">IF(CU7&lt;1,"PA",IF(CU7&lt;3,"PM",IF(CU7&lt;4,"PB","PMB")))</f>
        <v>PB</v>
      </c>
      <c r="CV75" s="41" t="str">
        <f t="shared" si="9"/>
        <v>PB</v>
      </c>
      <c r="CW75" s="41" t="str">
        <f t="shared" si="9"/>
        <v>PB</v>
      </c>
      <c r="CX75" s="41" t="str">
        <f t="shared" si="9"/>
        <v>PM</v>
      </c>
      <c r="CY75" s="41" t="str">
        <f t="shared" si="9"/>
        <v>PB</v>
      </c>
      <c r="CZ75" s="41" t="str">
        <f t="shared" si="9"/>
        <v>PB</v>
      </c>
      <c r="DA75" s="41" t="str">
        <f t="shared" si="9"/>
        <v>PB</v>
      </c>
      <c r="DB75" s="41" t="str">
        <f t="shared" si="9"/>
        <v>PMB</v>
      </c>
      <c r="DC75" s="41" t="str">
        <f t="shared" si="9"/>
        <v>PMB</v>
      </c>
      <c r="DD75" s="41" t="str">
        <f t="shared" si="9"/>
        <v>PM</v>
      </c>
      <c r="DE75" s="41" t="str">
        <f t="shared" si="9"/>
        <v>PB</v>
      </c>
      <c r="DF75" s="41" t="str">
        <f t="shared" si="9"/>
        <v>PM</v>
      </c>
      <c r="DG75" s="41" t="str">
        <f t="shared" si="9"/>
        <v>PM</v>
      </c>
      <c r="DH75" s="41" t="str">
        <f t="shared" si="9"/>
        <v>PM</v>
      </c>
      <c r="DI75" s="41"/>
      <c r="DJ75" s="41"/>
      <c r="DK75" s="41"/>
      <c r="DL75" s="41"/>
      <c r="DM75" s="41"/>
      <c r="DN75" s="41"/>
      <c r="DO75" s="41"/>
      <c r="DP75" s="41"/>
      <c r="DQ75" s="41"/>
      <c r="DR75" s="41"/>
      <c r="DS75" s="41"/>
      <c r="DT75" s="41"/>
      <c r="DU75" s="41"/>
      <c r="DV75" s="41"/>
      <c r="DW75" s="41"/>
      <c r="DX75" s="9"/>
      <c r="DY75" s="1"/>
    </row>
    <row r="76" spans="1:129" x14ac:dyDescent="0.25">
      <c r="A76" s="6"/>
      <c r="B76" s="46"/>
      <c r="C76" s="6"/>
      <c r="BM76" s="9"/>
      <c r="DJ76" s="9"/>
      <c r="DK76" s="9"/>
      <c r="DM76" s="9"/>
      <c r="DN76" s="9"/>
      <c r="DO76" s="9"/>
      <c r="DP76" s="9"/>
      <c r="DQ76" s="9"/>
      <c r="DR76" s="9"/>
      <c r="DS76" s="9"/>
      <c r="DT76" s="9"/>
      <c r="DU76" s="9"/>
      <c r="DV76" s="9"/>
      <c r="DW76" s="9"/>
      <c r="DX76" s="9"/>
      <c r="DY76" s="1"/>
    </row>
    <row r="77" spans="1:129" x14ac:dyDescent="0.25">
      <c r="A77" s="6"/>
      <c r="B77" s="46"/>
      <c r="C77" s="6"/>
      <c r="BM77" s="9"/>
      <c r="DJ77" s="9"/>
      <c r="DK77" s="9"/>
      <c r="DM77" s="9"/>
      <c r="DN77" s="9"/>
      <c r="DO77" s="9"/>
      <c r="DP77" s="9"/>
      <c r="DQ77" s="9"/>
      <c r="DR77" s="9"/>
      <c r="DS77" s="9"/>
      <c r="DT77" s="9"/>
      <c r="DU77" s="9"/>
      <c r="DV77" s="9"/>
      <c r="DW77" s="9"/>
      <c r="DX77" s="9"/>
      <c r="DY77" s="1"/>
    </row>
    <row r="78" spans="1:129" ht="30" x14ac:dyDescent="0.25">
      <c r="A78" s="6"/>
      <c r="B78" s="5" t="s">
        <v>178</v>
      </c>
      <c r="C78" s="18" t="str">
        <f>LOOKUP(CONCATENATE(C2,C75,C3),MATRIZ!$A$1:$B$64)</f>
        <v>RB</v>
      </c>
      <c r="D78" s="18" t="str">
        <f>LOOKUP(CONCATENATE(D2,D75,D3),MATRIZ!$A$1:$B$64)</f>
        <v>RM</v>
      </c>
      <c r="E78" s="18" t="str">
        <f>LOOKUP(CONCATENATE(E2,E75,E3),MATRIZ!$A$1:$B$64)</f>
        <v>RM</v>
      </c>
      <c r="F78" s="18" t="str">
        <f>LOOKUP(CONCATENATE(F2,F75,F3),MATRIZ!$A$1:$B$64)</f>
        <v>RM</v>
      </c>
      <c r="G78" s="18" t="str">
        <f>LOOKUP(CONCATENATE(G2,G75,G3),MATRIZ!$A$1:$B$64)</f>
        <v>RB</v>
      </c>
      <c r="H78" s="18" t="str">
        <f>LOOKUP(CONCATENATE(H2,H75,H3),MATRIZ!$A$1:$B$64)</f>
        <v>RM</v>
      </c>
      <c r="I78" s="18" t="str">
        <f>LOOKUP(CONCATENATE(I2,I75,I3),MATRIZ!$A$1:$B$64)</f>
        <v>RM</v>
      </c>
      <c r="J78" s="18" t="str">
        <f>LOOKUP(CONCATENATE(J2,J75,J3),MATRIZ!$A$1:$B$64)</f>
        <v>RB</v>
      </c>
      <c r="K78" s="18" t="str">
        <f>LOOKUP(CONCATENATE(K2,K75,K3),MATRIZ!$A$1:$B$64)</f>
        <v>RB</v>
      </c>
      <c r="L78" s="18" t="str">
        <f>LOOKUP(CONCATENATE(L2,L75,L3),MATRIZ!$A$1:$B$64)</f>
        <v>RM</v>
      </c>
      <c r="M78" s="18" t="str">
        <f>LOOKUP(CONCATENATE(M2,M75,M3),MATRIZ!$A$1:$B$64)</f>
        <v>RM</v>
      </c>
      <c r="N78" s="18" t="str">
        <f>LOOKUP(CONCATENATE(N2,N75,N3),MATRIZ!$A$1:$B$64)</f>
        <v>RM</v>
      </c>
      <c r="O78" s="18" t="str">
        <f>LOOKUP(CONCATENATE(O2,O75,O3),MATRIZ!$A$1:$B$64)</f>
        <v>RM</v>
      </c>
      <c r="P78" s="18" t="str">
        <f>LOOKUP(CONCATENATE(P2,P75,P3),MATRIZ!$A$1:$B$64)</f>
        <v>RM</v>
      </c>
      <c r="Q78" s="18" t="str">
        <f>LOOKUP(CONCATENATE(Q2,Q75,Q3),MATRIZ!$A$1:$B$64)</f>
        <v>RM</v>
      </c>
      <c r="R78" s="18" t="str">
        <f>LOOKUP(CONCATENATE(R2,R75,R3),MATRIZ!$A$1:$B$64)</f>
        <v>RM</v>
      </c>
      <c r="S78" s="18" t="str">
        <f>LOOKUP(CONCATENATE(S2,S75,S3),MATRIZ!$A$1:$B$64)</f>
        <v>RM</v>
      </c>
      <c r="T78" s="18" t="str">
        <f>LOOKUP(CONCATENATE(T2,T75,T3),MATRIZ!$A$1:$B$64)</f>
        <v>RM</v>
      </c>
      <c r="U78" s="18" t="str">
        <f>LOOKUP(CONCATENATE(U2,U75,U3),MATRIZ!$A$1:$B$64)</f>
        <v>RB</v>
      </c>
      <c r="V78" s="18" t="str">
        <f>LOOKUP(CONCATENATE(V2,V75,V3),MATRIZ!$A$1:$B$64)</f>
        <v>RB</v>
      </c>
      <c r="W78" s="18" t="str">
        <f>LOOKUP(CONCATENATE(W2,W75,W3),MATRIZ!$A$1:$B$64)</f>
        <v>RB</v>
      </c>
      <c r="X78" s="18" t="str">
        <f>LOOKUP(CONCATENATE(X2,X75,X3),MATRIZ!$A$1:$B$64)</f>
        <v>RB</v>
      </c>
      <c r="Y78" s="18" t="str">
        <f>LOOKUP(CONCATENATE(Y2,Y75,Y3),MATRIZ!$A$1:$B$64)</f>
        <v>RB</v>
      </c>
      <c r="Z78" s="18" t="str">
        <f>LOOKUP(CONCATENATE(Z2,Z75,Z3),MATRIZ!$A$1:$B$64)</f>
        <v>RM</v>
      </c>
      <c r="AA78" s="18" t="str">
        <f>LOOKUP(CONCATENATE(AA2,AA75,AA3),MATRIZ!$A$1:$B$64)</f>
        <v>RB</v>
      </c>
      <c r="AB78" s="18" t="str">
        <f>LOOKUP(CONCATENATE(AB2,AB75,AB3),MATRIZ!$A$1:$B$64)</f>
        <v>RM</v>
      </c>
      <c r="AC78" s="18" t="str">
        <f>LOOKUP(CONCATENATE(AC2,AC75,AC3),MATRIZ!$A$1:$B$64)</f>
        <v>RM</v>
      </c>
      <c r="AD78" s="18" t="str">
        <f>LOOKUP(CONCATENATE(AD2,AD75,AD3),MATRIZ!$A$1:$B$64)</f>
        <v>RB</v>
      </c>
      <c r="AE78" s="18" t="str">
        <f>LOOKUP(CONCATENATE(AE2,AE75,AE3),MATRIZ!$A$1:$B$64)</f>
        <v>RB</v>
      </c>
      <c r="AF78" s="18" t="str">
        <f>LOOKUP(CONCATENATE(AF2,AF75,AF3),MATRIZ!$A$1:$B$64)</f>
        <v>RB</v>
      </c>
      <c r="AG78" s="18" t="str">
        <f>LOOKUP(CONCATENATE(AG2,AG75,AG3),MATRIZ!$A$1:$B$64)</f>
        <v>RB</v>
      </c>
      <c r="AH78" s="18" t="str">
        <f>LOOKUP(CONCATENATE(AH2,AH75,AH3),MATRIZ!$A$1:$B$64)</f>
        <v>RM</v>
      </c>
      <c r="AI78" s="18" t="str">
        <f>LOOKUP(CONCATENATE(AI2,AI75,AI3),MATRIZ!$A$1:$B$64)</f>
        <v>RM</v>
      </c>
      <c r="AJ78" s="18" t="str">
        <f>LOOKUP(CONCATENATE(AJ2,AJ75,AJ3),MATRIZ!$A$1:$B$64)</f>
        <v>RB</v>
      </c>
      <c r="AK78" s="18" t="str">
        <f>LOOKUP(CONCATENATE(AK2,AK75,AK3),MATRIZ!$A$1:$B$64)</f>
        <v>RA</v>
      </c>
      <c r="AL78" s="18" t="str">
        <f>LOOKUP(CONCATENATE(AL2,AL75,AL3),MATRIZ!$A$1:$B$64)</f>
        <v>RM</v>
      </c>
      <c r="AM78" s="18" t="str">
        <f>LOOKUP(CONCATENATE(AM2,AM75,AM3),MATRIZ!$A$1:$B$64)</f>
        <v>RM</v>
      </c>
      <c r="AN78" s="18" t="str">
        <f>LOOKUP(CONCATENATE(AN2,AN75,AN3),MATRIZ!$A$1:$B$64)</f>
        <v>RB</v>
      </c>
      <c r="AO78" s="18" t="str">
        <f>LOOKUP(CONCATENATE(AO2,AO75,AO3),MATRIZ!$A$1:$B$64)</f>
        <v>RM</v>
      </c>
      <c r="AP78" s="18" t="str">
        <f>LOOKUP(CONCATENATE(AP2,AP75,AP3),MATRIZ!$A$1:$B$64)</f>
        <v>RM</v>
      </c>
      <c r="AQ78" s="18" t="str">
        <f>LOOKUP(CONCATENATE(AQ2,AQ75,AQ3),MATRIZ!$A$1:$B$64)</f>
        <v>RB</v>
      </c>
      <c r="AR78" s="18" t="str">
        <f>LOOKUP(CONCATENATE(AR2,AR75,AR3),MATRIZ!$A$1:$B$64)</f>
        <v>RM</v>
      </c>
      <c r="AS78" s="18" t="str">
        <f>LOOKUP(CONCATENATE(AS2,AS75,AS3),MATRIZ!$A$1:$B$64)</f>
        <v>RM</v>
      </c>
      <c r="AT78" s="18" t="str">
        <f>LOOKUP(CONCATENATE(AT2,AT75,AT3),MATRIZ!$A$1:$B$64)</f>
        <v>RM</v>
      </c>
      <c r="AU78" s="18" t="str">
        <f>LOOKUP(CONCATENATE(AU2,AU75,AU3),MATRIZ!$A$1:$B$64)</f>
        <v>RM</v>
      </c>
      <c r="AV78" s="18" t="str">
        <f>LOOKUP(CONCATENATE(AV2,AV75,AV3),MATRIZ!$A$1:$B$64)</f>
        <v>RA</v>
      </c>
      <c r="AW78" s="18" t="str">
        <f>LOOKUP(CONCATENATE(AW2,AW75,AW3),MATRIZ!$A$1:$B$64)</f>
        <v>RM</v>
      </c>
      <c r="AX78" s="18" t="str">
        <f>LOOKUP(CONCATENATE(AX2,AX75,AX3),MATRIZ!$A$1:$B$64)</f>
        <v>RA</v>
      </c>
      <c r="AY78" s="18" t="str">
        <f>LOOKUP(CONCATENATE(AY2,AY75,AY3),MATRIZ!$A$1:$B$64)</f>
        <v>RM</v>
      </c>
      <c r="AZ78" s="18" t="str">
        <f>LOOKUP(CONCATENATE(AZ2,AZ75,AZ3),MATRIZ!$A$1:$B$64)</f>
        <v>RB</v>
      </c>
      <c r="BA78" s="18" t="str">
        <f>LOOKUP(CONCATENATE(BA2,BA75,BA3),MATRIZ!$A$1:$B$64)</f>
        <v>RA</v>
      </c>
      <c r="BB78" s="18" t="str">
        <f>LOOKUP(CONCATENATE(BB2,BB75,BB3),MATRIZ!$A$1:$B$64)</f>
        <v>RM</v>
      </c>
      <c r="BC78" s="18" t="str">
        <f>LOOKUP(CONCATENATE(BC2,BC75,BC3),MATRIZ!$A$1:$B$64)</f>
        <v>RM</v>
      </c>
      <c r="BD78" s="18" t="str">
        <f>LOOKUP(CONCATENATE(BD2,BD75,BD3),MATRIZ!$A$1:$B$64)</f>
        <v>RM</v>
      </c>
      <c r="BE78" s="18" t="str">
        <f>LOOKUP(CONCATENATE(BE2,BE75,BE3),MATRIZ!$A$1:$B$64)</f>
        <v>RA</v>
      </c>
      <c r="BF78" s="18" t="str">
        <f>LOOKUP(CONCATENATE(BF2,BF75,BF3),MATRIZ!$A$1:$B$64)</f>
        <v>RB</v>
      </c>
      <c r="BG78" s="18" t="str">
        <f>LOOKUP(CONCATENATE(BG2,BG75,BG3),MATRIZ!$A$1:$B$64)</f>
        <v>RA</v>
      </c>
      <c r="BH78" s="18" t="str">
        <f>LOOKUP(CONCATENATE(BH2,BH75,BH3),MATRIZ!$A$1:$B$64)</f>
        <v>RM</v>
      </c>
      <c r="BI78" s="18" t="str">
        <f>LOOKUP(CONCATENATE(BI2,BI75,BI3),MATRIZ!$A$1:$B$64)</f>
        <v>RB</v>
      </c>
      <c r="BJ78" s="18" t="str">
        <f>LOOKUP(CONCATENATE(BJ2,BJ75,BJ3),MATRIZ!$A$1:$B$64)</f>
        <v>RA</v>
      </c>
      <c r="BK78" s="18" t="str">
        <f>LOOKUP(CONCATENATE(BK2,BK75,BK3),MATRIZ!$A$1:$B$64)</f>
        <v>RB</v>
      </c>
      <c r="BL78" s="18" t="str">
        <f>LOOKUP(CONCATENATE(BL2,BL75,BL3),MATRIZ!$A$1:$B$64)</f>
        <v>RA</v>
      </c>
      <c r="BM78" s="18" t="str">
        <f>LOOKUP(CONCATENATE(BM2,BM75,BM3),MATRIZ!$A$1:$B$64)</f>
        <v>RA</v>
      </c>
      <c r="BN78" s="18" t="str">
        <f>LOOKUP(CONCATENATE(BN2,BN75,BN3),MATRIZ!$A$1:$B$64)</f>
        <v>RM</v>
      </c>
      <c r="BO78" s="18" t="str">
        <f>LOOKUP(CONCATENATE(BO2,BO75,BO3),MATRIZ!$A$1:$B$64)</f>
        <v>RB</v>
      </c>
      <c r="BP78" s="18" t="str">
        <f>LOOKUP(CONCATENATE(BP2,BP75,BP3),MATRIZ!$A$1:$B$64)</f>
        <v>RM</v>
      </c>
      <c r="BQ78" s="18" t="str">
        <f>LOOKUP(CONCATENATE(BQ2,BQ75,BQ3),MATRIZ!$A$1:$B$64)</f>
        <v>RM</v>
      </c>
      <c r="BR78" s="18" t="str">
        <f>LOOKUP(CONCATENATE(BR2,BR75,BR3),MATRIZ!$A$1:$B$64)</f>
        <v>RM</v>
      </c>
      <c r="BS78" s="18" t="str">
        <f>LOOKUP(CONCATENATE(BS2,BS75,BS3),MATRIZ!$A$1:$B$64)</f>
        <v>RM</v>
      </c>
      <c r="BT78" s="18" t="str">
        <f>LOOKUP(CONCATENATE(BT2,BT75,BT3),MATRIZ!$A$1:$B$64)</f>
        <v>RM</v>
      </c>
      <c r="BU78" s="18" t="str">
        <f>LOOKUP(CONCATENATE(BU2,BU75,BU3),MATRIZ!$A$1:$B$64)</f>
        <v>RA</v>
      </c>
      <c r="BV78" s="18" t="str">
        <f>LOOKUP(CONCATENATE(BV2,BV75,BV3),MATRIZ!$A$1:$B$64)</f>
        <v>RM</v>
      </c>
      <c r="BW78" s="18" t="str">
        <f>LOOKUP(CONCATENATE(BW2,BW75,BW3),MATRIZ!$A$1:$B$64)</f>
        <v>RM</v>
      </c>
      <c r="BX78" s="18" t="str">
        <f>LOOKUP(CONCATENATE(BX2,BX75,BX3),MATRIZ!$A$1:$B$64)</f>
        <v>RB</v>
      </c>
      <c r="BY78" s="18" t="str">
        <f>LOOKUP(CONCATENATE(BY2,BY75,BY3),MATRIZ!$A$1:$B$64)</f>
        <v>RM</v>
      </c>
      <c r="BZ78" s="18" t="str">
        <f>LOOKUP(CONCATENATE(BZ2,BZ75,BZ3),MATRIZ!$A$1:$B$64)</f>
        <v>RM</v>
      </c>
      <c r="CA78" s="18" t="str">
        <f>LOOKUP(CONCATENATE(CA2,CA75,CA3),MATRIZ!$A$1:$B$64)</f>
        <v>RA</v>
      </c>
      <c r="CB78" s="18" t="str">
        <f>LOOKUP(CONCATENATE(CB2,CB75,CB3),MATRIZ!$A$1:$B$64)</f>
        <v>RM</v>
      </c>
      <c r="CC78" s="18" t="str">
        <f>LOOKUP(CONCATENATE(CC2,CC75,CC3),MATRIZ!$A$1:$B$64)</f>
        <v>RB</v>
      </c>
      <c r="CD78" s="18" t="str">
        <f>LOOKUP(CONCATENATE(CD2,CD75,CD3),MATRIZ!$A$1:$B$64)</f>
        <v>RM</v>
      </c>
      <c r="CE78" s="18" t="str">
        <f>LOOKUP(CONCATENATE(CE2,CE75,CE3),MATRIZ!$A$1:$B$64)</f>
        <v>RA</v>
      </c>
      <c r="CF78" s="18" t="str">
        <f>LOOKUP(CONCATENATE(CF2,CF75,CF3),MATRIZ!$A$1:$B$64)</f>
        <v>RM</v>
      </c>
      <c r="CG78" s="18" t="str">
        <f>LOOKUP(CONCATENATE(CG2,CG75,CG3),MATRIZ!$A$1:$B$64)</f>
        <v>RM</v>
      </c>
      <c r="CH78" s="18" t="str">
        <f>LOOKUP(CONCATENATE(CH2,CH75,CH3),MATRIZ!$A$1:$B$64)</f>
        <v>RM</v>
      </c>
      <c r="CI78" s="18" t="str">
        <f>LOOKUP(CONCATENATE(CI2,CI75,CI3),MATRIZ!$A$1:$B$64)</f>
        <v>RM</v>
      </c>
      <c r="CJ78" s="18" t="str">
        <f>LOOKUP(CONCATENATE(CJ2,CJ75,CJ3),MATRIZ!$A$1:$B$64)</f>
        <v>RM</v>
      </c>
      <c r="CK78" s="18" t="str">
        <f>LOOKUP(CONCATENATE(CK2,CK75,CK3),MATRIZ!$A$1:$B$64)</f>
        <v>RM</v>
      </c>
      <c r="CL78" s="18" t="str">
        <f>LOOKUP(CONCATENATE(CL2,CL75,CL3),MATRIZ!$A$1:$B$64)</f>
        <v>RM</v>
      </c>
      <c r="CM78" s="18" t="str">
        <f>LOOKUP(CONCATENATE(CM2,CM75,CM3),MATRIZ!$A$1:$B$64)</f>
        <v>RM</v>
      </c>
      <c r="CN78" s="18" t="str">
        <f>LOOKUP(CONCATENATE(CN2,CN75,CN3),MATRIZ!$A$1:$B$64)</f>
        <v>RM</v>
      </c>
      <c r="CO78" s="18" t="str">
        <f>LOOKUP(CONCATENATE(CO2,CO75,CO3),MATRIZ!$A$1:$B$64)</f>
        <v>RM</v>
      </c>
      <c r="CP78" s="18" t="str">
        <f>LOOKUP(CONCATENATE(CP2,CP75,CP3),MATRIZ!$A$1:$B$64)</f>
        <v>RM</v>
      </c>
      <c r="CQ78" s="18" t="str">
        <f>LOOKUP(CONCATENATE(CQ2,CQ75,CQ3),MATRIZ!$A$1:$B$64)</f>
        <v>RM</v>
      </c>
      <c r="CR78" s="18" t="str">
        <f>LOOKUP(CONCATENATE(CR2,CR75,CR3),MATRIZ!$A$1:$B$64)</f>
        <v>RM</v>
      </c>
      <c r="CS78" s="18" t="str">
        <f>LOOKUP(CONCATENATE(CS2,CS75,CS3),MATRIZ!$A$1:$B$64)</f>
        <v>RB</v>
      </c>
      <c r="CT78" s="18" t="str">
        <f>LOOKUP(CONCATENATE(CT2,CT75,CT3),MATRIZ!$A$1:$B$64)</f>
        <v>RM</v>
      </c>
      <c r="CU78" s="18" t="str">
        <f>LOOKUP(CONCATENATE(CU2,CU75,CU3),MATRIZ!$A$1:$B$64)</f>
        <v>RM</v>
      </c>
      <c r="CV78" s="18" t="str">
        <f>LOOKUP(CONCATENATE(CV2,CV75,CV3),MATRIZ!$A$1:$B$64)</f>
        <v>RA</v>
      </c>
      <c r="CW78" s="18" t="str">
        <f>LOOKUP(CONCATENATE(CW2,CW75,CW3),MATRIZ!$A$1:$B$64)</f>
        <v>RM</v>
      </c>
      <c r="CX78" s="18" t="str">
        <f>LOOKUP(CONCATENATE(CX2,CX75,CX3),MATRIZ!$A$1:$B$64)</f>
        <v>RA</v>
      </c>
      <c r="CY78" s="18" t="str">
        <f>LOOKUP(CONCATENATE(CY2,CY75,CY3),MATRIZ!$A$1:$B$64)</f>
        <v>RM</v>
      </c>
      <c r="CZ78" s="18" t="str">
        <f>LOOKUP(CONCATENATE(CZ2,CZ75,CZ3),MATRIZ!$A$1:$B$64)</f>
        <v>RA</v>
      </c>
      <c r="DA78" s="18" t="str">
        <f>LOOKUP(CONCATENATE(DA2,DA75,DA3),MATRIZ!$A$1:$B$64)</f>
        <v>RA</v>
      </c>
      <c r="DB78" s="18" t="str">
        <f>LOOKUP(CONCATENATE(DB2,DB75,DB3),MATRIZ!$A$1:$B$64)</f>
        <v>RM</v>
      </c>
      <c r="DC78" s="18" t="str">
        <f>LOOKUP(CONCATENATE(DC2,DC75,DC3),MATRIZ!$A$1:$B$64)</f>
        <v>RM</v>
      </c>
      <c r="DD78" s="18" t="str">
        <f>LOOKUP(CONCATENATE(DD2,DD75,DD3),MATRIZ!$A$1:$B$64)</f>
        <v>RM</v>
      </c>
      <c r="DE78" s="18" t="str">
        <f>LOOKUP(CONCATENATE(DE2,DE75,DE3),MATRIZ!$A$1:$B$64)</f>
        <v>RA</v>
      </c>
      <c r="DF78" s="18" t="str">
        <f>LOOKUP(CONCATENATE(DF2,DF75,DF3),MATRIZ!$A$1:$B$64)</f>
        <v>RM</v>
      </c>
      <c r="DG78" s="18" t="str">
        <f>LOOKUP(CONCATENATE(DG2,DG75,DG3),MATRIZ!$A$1:$B$64)</f>
        <v>RM</v>
      </c>
      <c r="DH78" s="18" t="str">
        <f>LOOKUP(CONCATENATE(DH2,DH75,DH3),MATRIZ!$A$1:$B$64)</f>
        <v>RA</v>
      </c>
      <c r="DI78" s="18"/>
      <c r="DJ78" s="18"/>
      <c r="DK78" s="18"/>
      <c r="DL78" s="18"/>
      <c r="DM78" s="18"/>
      <c r="DN78" s="18"/>
      <c r="DO78" s="18"/>
      <c r="DP78" s="18"/>
      <c r="DQ78" s="18"/>
      <c r="DR78" s="18"/>
      <c r="DS78" s="18"/>
      <c r="DT78" s="18"/>
      <c r="DU78" s="18"/>
      <c r="DV78" s="18"/>
      <c r="DW78" s="18"/>
      <c r="DX78" s="9"/>
      <c r="DY78" s="1"/>
    </row>
    <row r="79" spans="1:129" x14ac:dyDescent="0.25">
      <c r="A79" s="6"/>
      <c r="B79" s="46"/>
      <c r="C79" s="6"/>
      <c r="BM79" s="9"/>
      <c r="DJ79" s="9"/>
      <c r="DK79" s="9"/>
      <c r="DM79" s="9"/>
      <c r="DN79" s="9"/>
      <c r="DO79" s="9"/>
      <c r="DP79" s="9"/>
      <c r="DQ79" s="9"/>
      <c r="DR79" s="9"/>
      <c r="DS79" s="9"/>
      <c r="DT79" s="9"/>
      <c r="DU79" s="9"/>
      <c r="DV79" s="9"/>
      <c r="DW79" s="9"/>
      <c r="DX79" s="9"/>
      <c r="DY79" s="1"/>
    </row>
    <row r="80" spans="1:129" x14ac:dyDescent="0.25">
      <c r="A80" s="6"/>
      <c r="B80" s="46"/>
      <c r="C80" s="6"/>
      <c r="BM80" s="9"/>
      <c r="DJ80" s="9"/>
      <c r="DK80" s="9"/>
      <c r="DM80" s="9"/>
      <c r="DN80" s="9"/>
      <c r="DO80" s="9"/>
      <c r="DP80" s="9"/>
      <c r="DQ80" s="9"/>
      <c r="DR80" s="9"/>
      <c r="DS80" s="9"/>
      <c r="DT80" s="9"/>
      <c r="DU80" s="9"/>
      <c r="DV80" s="9"/>
      <c r="DW80" s="9"/>
      <c r="DX80" s="9"/>
      <c r="DY80" s="1"/>
    </row>
    <row r="81" spans="1:129" x14ac:dyDescent="0.25">
      <c r="A81" s="6"/>
      <c r="B81" s="46"/>
      <c r="C81" s="9">
        <f t="shared" ref="C81:AH81" si="10">PRODUCT(C201:C260)</f>
        <v>8192</v>
      </c>
      <c r="D81" s="9">
        <f t="shared" si="10"/>
        <v>262144</v>
      </c>
      <c r="E81" s="9">
        <f t="shared" si="10"/>
        <v>262144</v>
      </c>
      <c r="F81" s="9">
        <f t="shared" si="10"/>
        <v>262144</v>
      </c>
      <c r="G81" s="9">
        <f t="shared" si="10"/>
        <v>8192</v>
      </c>
      <c r="H81" s="9">
        <f t="shared" si="10"/>
        <v>2048</v>
      </c>
      <c r="I81" s="9">
        <f t="shared" si="10"/>
        <v>32768</v>
      </c>
      <c r="J81" s="9">
        <f t="shared" si="10"/>
        <v>8192</v>
      </c>
      <c r="K81" s="9">
        <f t="shared" si="10"/>
        <v>134217728</v>
      </c>
      <c r="L81" s="9">
        <f t="shared" si="10"/>
        <v>2097152</v>
      </c>
      <c r="M81" s="9">
        <f t="shared" si="10"/>
        <v>4194304</v>
      </c>
      <c r="N81" s="9">
        <f t="shared" si="10"/>
        <v>1048576</v>
      </c>
      <c r="O81" s="9">
        <f t="shared" si="10"/>
        <v>4194304</v>
      </c>
      <c r="P81" s="9">
        <f t="shared" si="10"/>
        <v>2097152</v>
      </c>
      <c r="Q81" s="9">
        <f t="shared" si="10"/>
        <v>2097152</v>
      </c>
      <c r="R81" s="9">
        <f t="shared" si="10"/>
        <v>8192</v>
      </c>
      <c r="S81" s="9">
        <f t="shared" si="10"/>
        <v>16384</v>
      </c>
      <c r="T81" s="9">
        <f t="shared" si="10"/>
        <v>262144</v>
      </c>
      <c r="U81" s="9">
        <f t="shared" si="10"/>
        <v>16384</v>
      </c>
      <c r="V81" s="9">
        <f t="shared" si="10"/>
        <v>8192</v>
      </c>
      <c r="W81" s="9">
        <f t="shared" si="10"/>
        <v>16384</v>
      </c>
      <c r="X81" s="9">
        <f t="shared" si="10"/>
        <v>2048</v>
      </c>
      <c r="Y81" s="9">
        <f t="shared" si="10"/>
        <v>32768</v>
      </c>
      <c r="Z81" s="9">
        <f t="shared" si="10"/>
        <v>2048</v>
      </c>
      <c r="AA81" s="9">
        <f t="shared" si="10"/>
        <v>8192</v>
      </c>
      <c r="AB81" s="9">
        <f t="shared" si="10"/>
        <v>65536</v>
      </c>
      <c r="AC81" s="9">
        <f t="shared" si="10"/>
        <v>2048</v>
      </c>
      <c r="AD81" s="9">
        <f t="shared" si="10"/>
        <v>16384</v>
      </c>
      <c r="AE81" s="9">
        <f t="shared" si="10"/>
        <v>4096</v>
      </c>
      <c r="AF81" s="9">
        <f t="shared" si="10"/>
        <v>262144</v>
      </c>
      <c r="AG81" s="9">
        <f t="shared" si="10"/>
        <v>2048</v>
      </c>
      <c r="AH81" s="9">
        <f t="shared" si="10"/>
        <v>262144</v>
      </c>
      <c r="AI81" s="9">
        <f t="shared" ref="AI81:BN81" si="11">PRODUCT(AI201:AI260)</f>
        <v>65536</v>
      </c>
      <c r="AJ81" s="9">
        <f t="shared" si="11"/>
        <v>8192</v>
      </c>
      <c r="AK81" s="9">
        <f t="shared" si="11"/>
        <v>1024</v>
      </c>
      <c r="AL81" s="9">
        <f t="shared" si="11"/>
        <v>4096</v>
      </c>
      <c r="AM81" s="9">
        <f t="shared" si="11"/>
        <v>2048</v>
      </c>
      <c r="AN81" s="9">
        <f t="shared" si="11"/>
        <v>32768</v>
      </c>
      <c r="AO81" s="9">
        <f t="shared" si="11"/>
        <v>8192</v>
      </c>
      <c r="AP81" s="9">
        <f t="shared" si="11"/>
        <v>65536</v>
      </c>
      <c r="AQ81" s="9">
        <f t="shared" si="11"/>
        <v>65536</v>
      </c>
      <c r="AR81" s="9">
        <f t="shared" si="11"/>
        <v>524288</v>
      </c>
      <c r="AS81" s="9">
        <f t="shared" si="11"/>
        <v>256</v>
      </c>
      <c r="AT81" s="9">
        <f t="shared" si="11"/>
        <v>256</v>
      </c>
      <c r="AU81" s="9">
        <f t="shared" si="11"/>
        <v>256</v>
      </c>
      <c r="AV81" s="9">
        <f t="shared" si="11"/>
        <v>1024</v>
      </c>
      <c r="AW81" s="9">
        <f t="shared" si="11"/>
        <v>16384</v>
      </c>
      <c r="AX81" s="9">
        <f t="shared" si="11"/>
        <v>32</v>
      </c>
      <c r="AY81" s="9">
        <f t="shared" si="11"/>
        <v>32768</v>
      </c>
      <c r="AZ81" s="9">
        <f t="shared" si="11"/>
        <v>65536</v>
      </c>
      <c r="BA81" s="9">
        <f t="shared" si="11"/>
        <v>512</v>
      </c>
      <c r="BB81" s="9">
        <f t="shared" si="11"/>
        <v>512</v>
      </c>
      <c r="BC81" s="9">
        <f t="shared" si="11"/>
        <v>2048</v>
      </c>
      <c r="BD81" s="9">
        <f t="shared" si="11"/>
        <v>512</v>
      </c>
      <c r="BE81" s="9">
        <f t="shared" si="11"/>
        <v>32</v>
      </c>
      <c r="BF81" s="9">
        <f t="shared" si="11"/>
        <v>4096</v>
      </c>
      <c r="BG81" s="9">
        <f t="shared" si="11"/>
        <v>128</v>
      </c>
      <c r="BH81" s="9">
        <f t="shared" si="11"/>
        <v>8192</v>
      </c>
      <c r="BI81" s="9">
        <f t="shared" si="11"/>
        <v>4096</v>
      </c>
      <c r="BJ81" s="9">
        <f t="shared" si="11"/>
        <v>64</v>
      </c>
      <c r="BK81" s="9">
        <f t="shared" si="11"/>
        <v>4096</v>
      </c>
      <c r="BL81" s="9">
        <f t="shared" si="11"/>
        <v>2048</v>
      </c>
      <c r="BM81" s="9">
        <f t="shared" si="11"/>
        <v>512</v>
      </c>
      <c r="BN81" s="9">
        <f t="shared" si="11"/>
        <v>4194304</v>
      </c>
      <c r="BO81" s="9">
        <f t="shared" ref="BO81:CT81" si="12">PRODUCT(BO201:BO260)</f>
        <v>16777216</v>
      </c>
      <c r="BP81" s="9">
        <f t="shared" si="12"/>
        <v>1048576</v>
      </c>
      <c r="BQ81" s="9">
        <f t="shared" si="12"/>
        <v>131072</v>
      </c>
      <c r="BR81" s="9">
        <f t="shared" si="12"/>
        <v>256</v>
      </c>
      <c r="BS81" s="9">
        <f t="shared" si="12"/>
        <v>262144</v>
      </c>
      <c r="BT81" s="9">
        <f t="shared" si="12"/>
        <v>8192</v>
      </c>
      <c r="BU81" s="9">
        <f t="shared" si="12"/>
        <v>64</v>
      </c>
      <c r="BV81" s="9">
        <f t="shared" si="12"/>
        <v>65536</v>
      </c>
      <c r="BW81" s="9">
        <f t="shared" si="12"/>
        <v>512</v>
      </c>
      <c r="BX81" s="9">
        <f t="shared" si="12"/>
        <v>524288</v>
      </c>
      <c r="BY81" s="9">
        <f t="shared" si="12"/>
        <v>512</v>
      </c>
      <c r="BZ81" s="9">
        <f t="shared" si="12"/>
        <v>4096</v>
      </c>
      <c r="CA81" s="9">
        <f t="shared" si="12"/>
        <v>2048</v>
      </c>
      <c r="CB81" s="9">
        <f t="shared" si="12"/>
        <v>2048</v>
      </c>
      <c r="CC81" s="9">
        <f t="shared" si="12"/>
        <v>16384</v>
      </c>
      <c r="CD81" s="9">
        <f t="shared" si="12"/>
        <v>256</v>
      </c>
      <c r="CE81" s="9">
        <f t="shared" si="12"/>
        <v>128</v>
      </c>
      <c r="CF81" s="9">
        <f t="shared" si="12"/>
        <v>32768</v>
      </c>
      <c r="CG81" s="9">
        <f t="shared" si="12"/>
        <v>4194304</v>
      </c>
      <c r="CH81" s="9">
        <f t="shared" si="12"/>
        <v>1048576</v>
      </c>
      <c r="CI81" s="9">
        <f t="shared" si="12"/>
        <v>65536</v>
      </c>
      <c r="CJ81" s="9">
        <f t="shared" si="12"/>
        <v>32768</v>
      </c>
      <c r="CK81" s="9">
        <f t="shared" si="12"/>
        <v>2048</v>
      </c>
      <c r="CL81" s="9">
        <f t="shared" si="12"/>
        <v>65536</v>
      </c>
      <c r="CM81" s="9">
        <f t="shared" si="12"/>
        <v>65536</v>
      </c>
      <c r="CN81" s="9">
        <f t="shared" si="12"/>
        <v>64</v>
      </c>
      <c r="CO81" s="9">
        <f t="shared" si="12"/>
        <v>512</v>
      </c>
      <c r="CP81" s="9">
        <f t="shared" si="12"/>
        <v>128</v>
      </c>
      <c r="CQ81" s="9">
        <f t="shared" si="12"/>
        <v>128</v>
      </c>
      <c r="CR81" s="9">
        <f t="shared" si="12"/>
        <v>2048</v>
      </c>
      <c r="CS81" s="9">
        <f t="shared" si="12"/>
        <v>524288</v>
      </c>
      <c r="CT81" s="9">
        <f t="shared" si="12"/>
        <v>512</v>
      </c>
      <c r="CU81" s="9">
        <f t="shared" ref="CU81:DH81" si="13">PRODUCT(CU201:CU260)</f>
        <v>512</v>
      </c>
      <c r="CV81" s="9">
        <f t="shared" si="13"/>
        <v>2048</v>
      </c>
      <c r="CW81" s="9">
        <f t="shared" si="13"/>
        <v>2048</v>
      </c>
      <c r="CX81" s="9">
        <f t="shared" si="13"/>
        <v>1024</v>
      </c>
      <c r="CY81" s="9">
        <f t="shared" si="13"/>
        <v>512</v>
      </c>
      <c r="CZ81" s="9">
        <f t="shared" si="13"/>
        <v>4096</v>
      </c>
      <c r="DA81" s="9">
        <f t="shared" si="13"/>
        <v>2048</v>
      </c>
      <c r="DB81" s="9">
        <f t="shared" si="13"/>
        <v>1024</v>
      </c>
      <c r="DC81" s="9">
        <f t="shared" si="13"/>
        <v>1024</v>
      </c>
      <c r="DD81" s="9">
        <f t="shared" si="13"/>
        <v>64</v>
      </c>
      <c r="DE81" s="9">
        <f t="shared" si="13"/>
        <v>512</v>
      </c>
      <c r="DF81" s="9">
        <f t="shared" si="13"/>
        <v>32</v>
      </c>
      <c r="DG81" s="9">
        <f t="shared" si="13"/>
        <v>32</v>
      </c>
      <c r="DH81" s="9">
        <f t="shared" si="13"/>
        <v>16</v>
      </c>
      <c r="DJ81" s="9"/>
      <c r="DK81" s="9"/>
      <c r="DM81" s="9"/>
      <c r="DN81" s="9"/>
      <c r="DO81" s="9"/>
      <c r="DP81" s="9"/>
      <c r="DQ81" s="9"/>
      <c r="DR81" s="9"/>
      <c r="DS81" s="9"/>
      <c r="DT81" s="9"/>
      <c r="DU81" s="9"/>
      <c r="DV81" s="9"/>
      <c r="DW81" s="9"/>
      <c r="DX81" s="9"/>
      <c r="DY81" s="1"/>
    </row>
    <row r="82" spans="1:129" x14ac:dyDescent="0.25">
      <c r="A82" s="6"/>
      <c r="B82" s="46"/>
      <c r="C82" s="6"/>
      <c r="BM82" s="9"/>
      <c r="DJ82" s="9"/>
      <c r="DK82" s="9"/>
      <c r="DM82" s="9"/>
      <c r="DN82" s="9"/>
      <c r="DO82" s="9"/>
      <c r="DP82" s="9"/>
      <c r="DQ82" s="9"/>
      <c r="DR82" s="9"/>
      <c r="DS82" s="9"/>
      <c r="DT82" s="9"/>
      <c r="DU82" s="9"/>
      <c r="DV82" s="9"/>
      <c r="DW82" s="9"/>
      <c r="DX82" s="9"/>
      <c r="DY82" s="1"/>
    </row>
    <row r="83" spans="1:129" ht="28.5" customHeight="1" x14ac:dyDescent="0.25">
      <c r="A83" s="6"/>
      <c r="B83" s="5" t="s">
        <v>889</v>
      </c>
      <c r="C83" s="41" t="str">
        <f t="shared" ref="C83:AH83" si="14">IF(C7&gt;3,"PMB",IF(C7&gt;2,IF(C81&gt;64,"PMB","PB"),IF(C7&gt;0,IF(C81&gt;64,"PMB",IF(C81&gt;=32,"PB","PM")),"PA")))</f>
        <v>PMB</v>
      </c>
      <c r="D83" s="41" t="str">
        <f t="shared" si="14"/>
        <v>PMB</v>
      </c>
      <c r="E83" s="41" t="str">
        <f t="shared" si="14"/>
        <v>PMB</v>
      </c>
      <c r="F83" s="41" t="str">
        <f t="shared" si="14"/>
        <v>PMB</v>
      </c>
      <c r="G83" s="41" t="str">
        <f t="shared" si="14"/>
        <v>PMB</v>
      </c>
      <c r="H83" s="41" t="str">
        <f t="shared" si="14"/>
        <v>PMB</v>
      </c>
      <c r="I83" s="41" t="str">
        <f t="shared" si="14"/>
        <v>PMB</v>
      </c>
      <c r="J83" s="41" t="str">
        <f t="shared" si="14"/>
        <v>PMB</v>
      </c>
      <c r="K83" s="41" t="str">
        <f t="shared" si="14"/>
        <v>PMB</v>
      </c>
      <c r="L83" s="41" t="str">
        <f t="shared" si="14"/>
        <v>PMB</v>
      </c>
      <c r="M83" s="41" t="str">
        <f t="shared" si="14"/>
        <v>PMB</v>
      </c>
      <c r="N83" s="41" t="str">
        <f t="shared" si="14"/>
        <v>PMB</v>
      </c>
      <c r="O83" s="41" t="str">
        <f t="shared" si="14"/>
        <v>PMB</v>
      </c>
      <c r="P83" s="41" t="str">
        <f t="shared" si="14"/>
        <v>PMB</v>
      </c>
      <c r="Q83" s="41" t="str">
        <f t="shared" si="14"/>
        <v>PMB</v>
      </c>
      <c r="R83" s="41" t="str">
        <f t="shared" si="14"/>
        <v>PMB</v>
      </c>
      <c r="S83" s="41" t="str">
        <f t="shared" si="14"/>
        <v>PMB</v>
      </c>
      <c r="T83" s="41" t="str">
        <f t="shared" si="14"/>
        <v>PMB</v>
      </c>
      <c r="U83" s="41" t="str">
        <f t="shared" si="14"/>
        <v>PMB</v>
      </c>
      <c r="V83" s="41" t="str">
        <f t="shared" si="14"/>
        <v>PMB</v>
      </c>
      <c r="W83" s="41" t="str">
        <f t="shared" si="14"/>
        <v>PMB</v>
      </c>
      <c r="X83" s="41" t="str">
        <f t="shared" si="14"/>
        <v>PMB</v>
      </c>
      <c r="Y83" s="41" t="str">
        <f t="shared" si="14"/>
        <v>PMB</v>
      </c>
      <c r="Z83" s="41" t="str">
        <f t="shared" si="14"/>
        <v>PMB</v>
      </c>
      <c r="AA83" s="41" t="str">
        <f t="shared" si="14"/>
        <v>PMB</v>
      </c>
      <c r="AB83" s="41" t="str">
        <f t="shared" si="14"/>
        <v>PMB</v>
      </c>
      <c r="AC83" s="41" t="str">
        <f t="shared" si="14"/>
        <v>PMB</v>
      </c>
      <c r="AD83" s="41" t="str">
        <f t="shared" si="14"/>
        <v>PMB</v>
      </c>
      <c r="AE83" s="41" t="str">
        <f t="shared" si="14"/>
        <v>PMB</v>
      </c>
      <c r="AF83" s="41" t="str">
        <f t="shared" si="14"/>
        <v>PMB</v>
      </c>
      <c r="AG83" s="41" t="str">
        <f t="shared" si="14"/>
        <v>PMB</v>
      </c>
      <c r="AH83" s="41" t="str">
        <f t="shared" si="14"/>
        <v>PMB</v>
      </c>
      <c r="AI83" s="41" t="str">
        <f t="shared" ref="AI83:BN83" si="15">IF(AI7&gt;3,"PMB",IF(AI7&gt;2,IF(AI81&gt;64,"PMB","PB"),IF(AI7&gt;0,IF(AI81&gt;64,"PMB",IF(AI81&gt;=32,"PB","PM")),"PA")))</f>
        <v>PMB</v>
      </c>
      <c r="AJ83" s="41" t="str">
        <f t="shared" si="15"/>
        <v>PMB</v>
      </c>
      <c r="AK83" s="41" t="str">
        <f t="shared" si="15"/>
        <v>PMB</v>
      </c>
      <c r="AL83" s="41" t="str">
        <f t="shared" si="15"/>
        <v>PMB</v>
      </c>
      <c r="AM83" s="41" t="str">
        <f t="shared" si="15"/>
        <v>PMB</v>
      </c>
      <c r="AN83" s="41" t="str">
        <f t="shared" si="15"/>
        <v>PMB</v>
      </c>
      <c r="AO83" s="41" t="str">
        <f t="shared" si="15"/>
        <v>PMB</v>
      </c>
      <c r="AP83" s="41" t="str">
        <f t="shared" si="15"/>
        <v>PMB</v>
      </c>
      <c r="AQ83" s="41" t="str">
        <f t="shared" si="15"/>
        <v>PMB</v>
      </c>
      <c r="AR83" s="41" t="str">
        <f t="shared" si="15"/>
        <v>PMB</v>
      </c>
      <c r="AS83" s="41" t="str">
        <f t="shared" si="15"/>
        <v>PMB</v>
      </c>
      <c r="AT83" s="41" t="str">
        <f t="shared" si="15"/>
        <v>PMB</v>
      </c>
      <c r="AU83" s="41" t="str">
        <f t="shared" si="15"/>
        <v>PMB</v>
      </c>
      <c r="AV83" s="41" t="str">
        <f t="shared" si="15"/>
        <v>PMB</v>
      </c>
      <c r="AW83" s="41" t="str">
        <f t="shared" si="15"/>
        <v>PMB</v>
      </c>
      <c r="AX83" s="41" t="str">
        <f t="shared" si="15"/>
        <v>PB</v>
      </c>
      <c r="AY83" s="41" t="str">
        <f t="shared" si="15"/>
        <v>PMB</v>
      </c>
      <c r="AZ83" s="41" t="str">
        <f t="shared" si="15"/>
        <v>PMB</v>
      </c>
      <c r="BA83" s="41" t="str">
        <f t="shared" si="15"/>
        <v>PMB</v>
      </c>
      <c r="BB83" s="41" t="str">
        <f t="shared" si="15"/>
        <v>PMB</v>
      </c>
      <c r="BC83" s="41" t="str">
        <f t="shared" si="15"/>
        <v>PMB</v>
      </c>
      <c r="BD83" s="41" t="str">
        <f t="shared" si="15"/>
        <v>PMB</v>
      </c>
      <c r="BE83" s="41" t="str">
        <f t="shared" si="15"/>
        <v>PB</v>
      </c>
      <c r="BF83" s="41" t="str">
        <f t="shared" si="15"/>
        <v>PMB</v>
      </c>
      <c r="BG83" s="41" t="str">
        <f t="shared" si="15"/>
        <v>PMB</v>
      </c>
      <c r="BH83" s="41" t="str">
        <f t="shared" si="15"/>
        <v>PMB</v>
      </c>
      <c r="BI83" s="41" t="str">
        <f t="shared" si="15"/>
        <v>PMB</v>
      </c>
      <c r="BJ83" s="41" t="str">
        <f t="shared" si="15"/>
        <v>PB</v>
      </c>
      <c r="BK83" s="41" t="str">
        <f t="shared" si="15"/>
        <v>PMB</v>
      </c>
      <c r="BL83" s="41" t="str">
        <f t="shared" si="15"/>
        <v>PMB</v>
      </c>
      <c r="BM83" s="41" t="str">
        <f t="shared" si="15"/>
        <v>PMB</v>
      </c>
      <c r="BN83" s="41" t="str">
        <f t="shared" si="15"/>
        <v>PMB</v>
      </c>
      <c r="BO83" s="41" t="str">
        <f t="shared" ref="BO83:CT83" si="16">IF(BO7&gt;3,"PMB",IF(BO7&gt;2,IF(BO81&gt;64,"PMB","PB"),IF(BO7&gt;0,IF(BO81&gt;64,"PMB",IF(BO81&gt;=32,"PB","PM")),"PA")))</f>
        <v>PMB</v>
      </c>
      <c r="BP83" s="41" t="str">
        <f t="shared" si="16"/>
        <v>PMB</v>
      </c>
      <c r="BQ83" s="41" t="str">
        <f t="shared" si="16"/>
        <v>PMB</v>
      </c>
      <c r="BR83" s="41" t="str">
        <f t="shared" si="16"/>
        <v>PMB</v>
      </c>
      <c r="BS83" s="41" t="str">
        <f t="shared" si="16"/>
        <v>PMB</v>
      </c>
      <c r="BT83" s="41" t="str">
        <f t="shared" si="16"/>
        <v>PMB</v>
      </c>
      <c r="BU83" s="41" t="str">
        <f t="shared" si="16"/>
        <v>PB</v>
      </c>
      <c r="BV83" s="41" t="str">
        <f t="shared" si="16"/>
        <v>PMB</v>
      </c>
      <c r="BW83" s="41" t="str">
        <f t="shared" si="16"/>
        <v>PMB</v>
      </c>
      <c r="BX83" s="41" t="str">
        <f t="shared" si="16"/>
        <v>PMB</v>
      </c>
      <c r="BY83" s="41" t="str">
        <f t="shared" si="16"/>
        <v>PMB</v>
      </c>
      <c r="BZ83" s="41" t="str">
        <f t="shared" si="16"/>
        <v>PMB</v>
      </c>
      <c r="CA83" s="41" t="str">
        <f t="shared" si="16"/>
        <v>PMB</v>
      </c>
      <c r="CB83" s="41" t="str">
        <f t="shared" si="16"/>
        <v>PMB</v>
      </c>
      <c r="CC83" s="41" t="str">
        <f t="shared" si="16"/>
        <v>PMB</v>
      </c>
      <c r="CD83" s="41" t="str">
        <f t="shared" si="16"/>
        <v>PMB</v>
      </c>
      <c r="CE83" s="41" t="str">
        <f t="shared" si="16"/>
        <v>PMB</v>
      </c>
      <c r="CF83" s="41" t="str">
        <f t="shared" si="16"/>
        <v>PMB</v>
      </c>
      <c r="CG83" s="41" t="str">
        <f t="shared" si="16"/>
        <v>PMB</v>
      </c>
      <c r="CH83" s="41" t="str">
        <f t="shared" si="16"/>
        <v>PMB</v>
      </c>
      <c r="CI83" s="41" t="str">
        <f t="shared" si="16"/>
        <v>PMB</v>
      </c>
      <c r="CJ83" s="41" t="str">
        <f t="shared" si="16"/>
        <v>PMB</v>
      </c>
      <c r="CK83" s="41" t="str">
        <f t="shared" si="16"/>
        <v>PMB</v>
      </c>
      <c r="CL83" s="41" t="str">
        <f t="shared" si="16"/>
        <v>PMB</v>
      </c>
      <c r="CM83" s="41" t="str">
        <f t="shared" si="16"/>
        <v>PMB</v>
      </c>
      <c r="CN83" s="41" t="str">
        <f t="shared" si="16"/>
        <v>PB</v>
      </c>
      <c r="CO83" s="41" t="str">
        <f t="shared" si="16"/>
        <v>PMB</v>
      </c>
      <c r="CP83" s="41" t="str">
        <f t="shared" si="16"/>
        <v>PMB</v>
      </c>
      <c r="CQ83" s="41" t="str">
        <f t="shared" si="16"/>
        <v>PMB</v>
      </c>
      <c r="CR83" s="41" t="str">
        <f t="shared" si="16"/>
        <v>PMB</v>
      </c>
      <c r="CS83" s="41" t="str">
        <f t="shared" si="16"/>
        <v>PMB</v>
      </c>
      <c r="CT83" s="41" t="str">
        <f t="shared" si="16"/>
        <v>PMB</v>
      </c>
      <c r="CU83" s="41" t="str">
        <f t="shared" ref="CU83:DH83" si="17">IF(CU7&gt;3,"PMB",IF(CU7&gt;2,IF(CU81&gt;64,"PMB","PB"),IF(CU7&gt;0,IF(CU81&gt;64,"PMB",IF(CU81&gt;=32,"PB","PM")),"PA")))</f>
        <v>PMB</v>
      </c>
      <c r="CV83" s="41" t="str">
        <f t="shared" si="17"/>
        <v>PMB</v>
      </c>
      <c r="CW83" s="41" t="str">
        <f t="shared" si="17"/>
        <v>PMB</v>
      </c>
      <c r="CX83" s="41" t="str">
        <f t="shared" si="17"/>
        <v>PMB</v>
      </c>
      <c r="CY83" s="41" t="str">
        <f t="shared" si="17"/>
        <v>PMB</v>
      </c>
      <c r="CZ83" s="41" t="str">
        <f t="shared" si="17"/>
        <v>PMB</v>
      </c>
      <c r="DA83" s="41" t="str">
        <f t="shared" si="17"/>
        <v>PMB</v>
      </c>
      <c r="DB83" s="41" t="str">
        <f t="shared" si="17"/>
        <v>PMB</v>
      </c>
      <c r="DC83" s="41" t="str">
        <f t="shared" si="17"/>
        <v>PMB</v>
      </c>
      <c r="DD83" s="41" t="str">
        <f t="shared" si="17"/>
        <v>PB</v>
      </c>
      <c r="DE83" s="41" t="str">
        <f t="shared" si="17"/>
        <v>PMB</v>
      </c>
      <c r="DF83" s="41" t="str">
        <f t="shared" si="17"/>
        <v>PB</v>
      </c>
      <c r="DG83" s="41" t="str">
        <f t="shared" si="17"/>
        <v>PB</v>
      </c>
      <c r="DH83" s="41" t="str">
        <f t="shared" si="17"/>
        <v>PM</v>
      </c>
      <c r="DI83" s="41"/>
      <c r="DJ83" s="41"/>
      <c r="DK83" s="41"/>
      <c r="DL83" s="41"/>
      <c r="DM83" s="41"/>
      <c r="DN83" s="41"/>
      <c r="DO83" s="41"/>
      <c r="DP83" s="41"/>
      <c r="DQ83" s="41"/>
      <c r="DR83" s="41"/>
      <c r="DS83" s="41"/>
      <c r="DT83" s="41"/>
      <c r="DU83" s="41"/>
      <c r="DV83" s="41"/>
      <c r="DW83" s="41"/>
      <c r="DX83" s="9"/>
      <c r="DY83" s="1"/>
    </row>
    <row r="84" spans="1:129" x14ac:dyDescent="0.25">
      <c r="A84" s="6"/>
      <c r="B84" s="46"/>
      <c r="C84" s="6"/>
      <c r="BM84" s="9"/>
      <c r="DJ84" s="9"/>
      <c r="DK84" s="9"/>
      <c r="DM84" s="9"/>
      <c r="DN84" s="9"/>
      <c r="DO84" s="9"/>
      <c r="DP84" s="9"/>
      <c r="DQ84" s="9"/>
      <c r="DR84" s="9"/>
      <c r="DS84" s="9"/>
      <c r="DT84" s="9"/>
      <c r="DU84" s="9"/>
      <c r="DV84" s="9"/>
      <c r="DW84" s="9"/>
      <c r="DX84" s="9"/>
      <c r="DY84" s="1"/>
    </row>
    <row r="85" spans="1:129" x14ac:dyDescent="0.25">
      <c r="A85" s="6"/>
      <c r="B85" s="46"/>
      <c r="C85" s="6"/>
      <c r="BM85" s="9"/>
      <c r="DJ85" s="9"/>
      <c r="DK85" s="9"/>
      <c r="DM85" s="9"/>
      <c r="DN85" s="9"/>
      <c r="DO85" s="9"/>
      <c r="DP85" s="9"/>
      <c r="DQ85" s="9"/>
      <c r="DR85" s="9"/>
      <c r="DS85" s="9"/>
      <c r="DT85" s="9"/>
      <c r="DU85" s="9"/>
      <c r="DV85" s="9"/>
      <c r="DW85" s="9"/>
      <c r="DX85" s="9"/>
      <c r="DY85" s="1"/>
    </row>
    <row r="86" spans="1:129" ht="30" x14ac:dyDescent="0.25">
      <c r="A86" s="6"/>
      <c r="B86" s="5" t="s">
        <v>267</v>
      </c>
      <c r="C86" s="18" t="str">
        <f>LOOKUP(CONCATENATE(C2,C83,C3),MATRIZ!$A$1:$B$64)</f>
        <v>RB</v>
      </c>
      <c r="D86" s="18" t="str">
        <f>LOOKUP(CONCATENATE(D2,D83,D3),MATRIZ!$A$1:$B$64)</f>
        <v>RM</v>
      </c>
      <c r="E86" s="18" t="str">
        <f>LOOKUP(CONCATENATE(E2,E83,E3),MATRIZ!$A$1:$B$64)</f>
        <v>RM</v>
      </c>
      <c r="F86" s="18" t="str">
        <f>LOOKUP(CONCATENATE(F2,F83,F3),MATRIZ!$A$1:$B$64)</f>
        <v>RM</v>
      </c>
      <c r="G86" s="18" t="str">
        <f>LOOKUP(CONCATENATE(G2,G83,G3),MATRIZ!$A$1:$B$64)</f>
        <v>RB</v>
      </c>
      <c r="H86" s="18" t="str">
        <f>LOOKUP(CONCATENATE(H2,H83,H3),MATRIZ!$A$1:$B$64)</f>
        <v>RM</v>
      </c>
      <c r="I86" s="18" t="str">
        <f>LOOKUP(CONCATENATE(I2,I83,I3),MATRIZ!$A$1:$B$64)</f>
        <v>RM</v>
      </c>
      <c r="J86" s="18" t="str">
        <f>LOOKUP(CONCATENATE(J2,J83,J3),MATRIZ!$A$1:$B$64)</f>
        <v>RB</v>
      </c>
      <c r="K86" s="18" t="str">
        <f>LOOKUP(CONCATENATE(K2,K83,K3),MATRIZ!$A$1:$B$64)</f>
        <v>RB</v>
      </c>
      <c r="L86" s="18" t="str">
        <f>LOOKUP(CONCATENATE(L2,L83,L3),MATRIZ!$A$1:$B$64)</f>
        <v>RM</v>
      </c>
      <c r="M86" s="18" t="str">
        <f>LOOKUP(CONCATENATE(M2,M83,M3),MATRIZ!$A$1:$B$64)</f>
        <v>RM</v>
      </c>
      <c r="N86" s="18" t="str">
        <f>LOOKUP(CONCATENATE(N2,N83,N3),MATRIZ!$A$1:$B$64)</f>
        <v>RM</v>
      </c>
      <c r="O86" s="18" t="str">
        <f>LOOKUP(CONCATENATE(O2,O83,O3),MATRIZ!$A$1:$B$64)</f>
        <v>RM</v>
      </c>
      <c r="P86" s="18" t="str">
        <f>LOOKUP(CONCATENATE(P2,P83,P3),MATRIZ!$A$1:$B$64)</f>
        <v>RM</v>
      </c>
      <c r="Q86" s="18" t="str">
        <f>LOOKUP(CONCATENATE(Q2,Q83,Q3),MATRIZ!$A$1:$B$64)</f>
        <v>RM</v>
      </c>
      <c r="R86" s="18" t="str">
        <f>LOOKUP(CONCATENATE(R2,R83,R3),MATRIZ!$A$1:$B$64)</f>
        <v>RM</v>
      </c>
      <c r="S86" s="18" t="str">
        <f>LOOKUP(CONCATENATE(S2,S83,S3),MATRIZ!$A$1:$B$64)</f>
        <v>RM</v>
      </c>
      <c r="T86" s="18" t="str">
        <f>LOOKUP(CONCATENATE(T2,T83,T3),MATRIZ!$A$1:$B$64)</f>
        <v>RM</v>
      </c>
      <c r="U86" s="18" t="str">
        <f>LOOKUP(CONCATENATE(U2,U83,U3),MATRIZ!$A$1:$B$64)</f>
        <v>RB</v>
      </c>
      <c r="V86" s="18" t="str">
        <f>LOOKUP(CONCATENATE(V2,V83,V3),MATRIZ!$A$1:$B$64)</f>
        <v>RB</v>
      </c>
      <c r="W86" s="18" t="str">
        <f>LOOKUP(CONCATENATE(W2,W83,W3),MATRIZ!$A$1:$B$64)</f>
        <v>RB</v>
      </c>
      <c r="X86" s="18" t="str">
        <f>LOOKUP(CONCATENATE(X2,X83,X3),MATRIZ!$A$1:$B$64)</f>
        <v>RB</v>
      </c>
      <c r="Y86" s="18" t="str">
        <f>LOOKUP(CONCATENATE(Y2,Y83,Y3),MATRIZ!$A$1:$B$64)</f>
        <v>RB</v>
      </c>
      <c r="Z86" s="18" t="str">
        <f>LOOKUP(CONCATENATE(Z2,Z83,Z3),MATRIZ!$A$1:$B$64)</f>
        <v>RM</v>
      </c>
      <c r="AA86" s="18" t="str">
        <f>LOOKUP(CONCATENATE(AA2,AA83,AA3),MATRIZ!$A$1:$B$64)</f>
        <v>RB</v>
      </c>
      <c r="AB86" s="18" t="str">
        <f>LOOKUP(CONCATENATE(AB2,AB83,AB3),MATRIZ!$A$1:$B$64)</f>
        <v>RM</v>
      </c>
      <c r="AC86" s="18" t="str">
        <f>LOOKUP(CONCATENATE(AC2,AC83,AC3),MATRIZ!$A$1:$B$64)</f>
        <v>RM</v>
      </c>
      <c r="AD86" s="18" t="str">
        <f>LOOKUP(CONCATENATE(AD2,AD83,AD3),MATRIZ!$A$1:$B$64)</f>
        <v>RB</v>
      </c>
      <c r="AE86" s="18" t="str">
        <f>LOOKUP(CONCATENATE(AE2,AE83,AE3),MATRIZ!$A$1:$B$64)</f>
        <v>RB</v>
      </c>
      <c r="AF86" s="18" t="str">
        <f>LOOKUP(CONCATENATE(AF2,AF83,AF3),MATRIZ!$A$1:$B$64)</f>
        <v>RB</v>
      </c>
      <c r="AG86" s="18" t="str">
        <f>LOOKUP(CONCATENATE(AG2,AG83,AG3),MATRIZ!$A$1:$B$64)</f>
        <v>RB</v>
      </c>
      <c r="AH86" s="18" t="str">
        <f>LOOKUP(CONCATENATE(AH2,AH83,AH3),MATRIZ!$A$1:$B$64)</f>
        <v>RM</v>
      </c>
      <c r="AI86" s="18" t="str">
        <f>LOOKUP(CONCATENATE(AI2,AI83,AI3),MATRIZ!$A$1:$B$64)</f>
        <v>RM</v>
      </c>
      <c r="AJ86" s="18" t="str">
        <f>LOOKUP(CONCATENATE(AJ2,AJ83,AJ3),MATRIZ!$A$1:$B$64)</f>
        <v>RB</v>
      </c>
      <c r="AK86" s="18" t="str">
        <f>LOOKUP(CONCATENATE(AK2,AK83,AK3),MATRIZ!$A$1:$B$64)</f>
        <v>RM</v>
      </c>
      <c r="AL86" s="18" t="str">
        <f>LOOKUP(CONCATENATE(AL2,AL83,AL3),MATRIZ!$A$1:$B$64)</f>
        <v>RM</v>
      </c>
      <c r="AM86" s="18" t="str">
        <f>LOOKUP(CONCATENATE(AM2,AM83,AM3),MATRIZ!$A$1:$B$64)</f>
        <v>RM</v>
      </c>
      <c r="AN86" s="18" t="str">
        <f>LOOKUP(CONCATENATE(AN2,AN83,AN3),MATRIZ!$A$1:$B$64)</f>
        <v>RB</v>
      </c>
      <c r="AO86" s="18" t="str">
        <f>LOOKUP(CONCATENATE(AO2,AO83,AO3),MATRIZ!$A$1:$B$64)</f>
        <v>RM</v>
      </c>
      <c r="AP86" s="18" t="str">
        <f>LOOKUP(CONCATENATE(AP2,AP83,AP3),MATRIZ!$A$1:$B$64)</f>
        <v>RM</v>
      </c>
      <c r="AQ86" s="18" t="str">
        <f>LOOKUP(CONCATENATE(AQ2,AQ83,AQ3),MATRIZ!$A$1:$B$64)</f>
        <v>RB</v>
      </c>
      <c r="AR86" s="18" t="str">
        <f>LOOKUP(CONCATENATE(AR2,AR83,AR3),MATRIZ!$A$1:$B$64)</f>
        <v>RM</v>
      </c>
      <c r="AS86" s="18" t="str">
        <f>LOOKUP(CONCATENATE(AS2,AS83,AS3),MATRIZ!$A$1:$B$64)</f>
        <v>RM</v>
      </c>
      <c r="AT86" s="18" t="str">
        <f>LOOKUP(CONCATENATE(AT2,AT83,AT3),MATRIZ!$A$1:$B$64)</f>
        <v>RM</v>
      </c>
      <c r="AU86" s="18" t="str">
        <f>LOOKUP(CONCATENATE(AU2,AU83,AU3),MATRIZ!$A$1:$B$64)</f>
        <v>RM</v>
      </c>
      <c r="AV86" s="18" t="str">
        <f>LOOKUP(CONCATENATE(AV2,AV83,AV3),MATRIZ!$A$1:$B$64)</f>
        <v>RM</v>
      </c>
      <c r="AW86" s="18" t="str">
        <f>LOOKUP(CONCATENATE(AW2,AW83,AW3),MATRIZ!$A$1:$B$64)</f>
        <v>RM</v>
      </c>
      <c r="AX86" s="18" t="str">
        <f>LOOKUP(CONCATENATE(AX2,AX83,AX3),MATRIZ!$A$1:$B$64)</f>
        <v>RA</v>
      </c>
      <c r="AY86" s="18" t="str">
        <f>LOOKUP(CONCATENATE(AY2,AY83,AY3),MATRIZ!$A$1:$B$64)</f>
        <v>RM</v>
      </c>
      <c r="AZ86" s="18" t="str">
        <f>LOOKUP(CONCATENATE(AZ2,AZ83,AZ3),MATRIZ!$A$1:$B$64)</f>
        <v>RB</v>
      </c>
      <c r="BA86" s="18" t="str">
        <f>LOOKUP(CONCATENATE(BA2,BA83,BA3),MATRIZ!$A$1:$B$64)</f>
        <v>RM</v>
      </c>
      <c r="BB86" s="18" t="str">
        <f>LOOKUP(CONCATENATE(BB2,BB83,BB3),MATRIZ!$A$1:$B$64)</f>
        <v>RB</v>
      </c>
      <c r="BC86" s="18" t="str">
        <f>LOOKUP(CONCATENATE(BC2,BC83,BC3),MATRIZ!$A$1:$B$64)</f>
        <v>RM</v>
      </c>
      <c r="BD86" s="18" t="str">
        <f>LOOKUP(CONCATENATE(BD2,BD83,BD3),MATRIZ!$A$1:$B$64)</f>
        <v>RB</v>
      </c>
      <c r="BE86" s="18" t="str">
        <f>LOOKUP(CONCATENATE(BE2,BE83,BE3),MATRIZ!$A$1:$B$64)</f>
        <v>RA</v>
      </c>
      <c r="BF86" s="18" t="str">
        <f>LOOKUP(CONCATENATE(BF2,BF83,BF3),MATRIZ!$A$1:$B$64)</f>
        <v>RB</v>
      </c>
      <c r="BG86" s="18" t="str">
        <f>LOOKUP(CONCATENATE(BG2,BG83,BG3),MATRIZ!$A$1:$B$64)</f>
        <v>RM</v>
      </c>
      <c r="BH86" s="18" t="str">
        <f>LOOKUP(CONCATENATE(BH2,BH83,BH3),MATRIZ!$A$1:$B$64)</f>
        <v>RM</v>
      </c>
      <c r="BI86" s="18" t="str">
        <f>LOOKUP(CONCATENATE(BI2,BI83,BI3),MATRIZ!$A$1:$B$64)</f>
        <v>RB</v>
      </c>
      <c r="BJ86" s="18" t="str">
        <f>LOOKUP(CONCATENATE(BJ2,BJ83,BJ3),MATRIZ!$A$1:$B$64)</f>
        <v>RA</v>
      </c>
      <c r="BK86" s="18" t="str">
        <f>LOOKUP(CONCATENATE(BK2,BK83,BK3),MATRIZ!$A$1:$B$64)</f>
        <v>RB</v>
      </c>
      <c r="BL86" s="18" t="str">
        <f>LOOKUP(CONCATENATE(BL2,BL83,BL3),MATRIZ!$A$1:$B$64)</f>
        <v>RM</v>
      </c>
      <c r="BM86" s="18" t="str">
        <f>LOOKUP(CONCATENATE(BM2,BM83,BM3),MATRIZ!$A$1:$B$64)</f>
        <v>RM</v>
      </c>
      <c r="BN86" s="18" t="str">
        <f>LOOKUP(CONCATENATE(BN2,BN83,BN3),MATRIZ!$A$1:$B$64)</f>
        <v>RM</v>
      </c>
      <c r="BO86" s="18" t="str">
        <f>LOOKUP(CONCATENATE(BO2,BO83,BO3),MATRIZ!$A$1:$B$64)</f>
        <v>RB</v>
      </c>
      <c r="BP86" s="18" t="str">
        <f>LOOKUP(CONCATENATE(BP2,BP83,BP3),MATRIZ!$A$1:$B$64)</f>
        <v>RM</v>
      </c>
      <c r="BQ86" s="18" t="str">
        <f>LOOKUP(CONCATENATE(BQ2,BQ83,BQ3),MATRIZ!$A$1:$B$64)</f>
        <v>RM</v>
      </c>
      <c r="BR86" s="18" t="str">
        <f>LOOKUP(CONCATENATE(BR2,BR83,BR3),MATRIZ!$A$1:$B$64)</f>
        <v>RM</v>
      </c>
      <c r="BS86" s="18" t="str">
        <f>LOOKUP(CONCATENATE(BS2,BS83,BS3),MATRIZ!$A$1:$B$64)</f>
        <v>RM</v>
      </c>
      <c r="BT86" s="18" t="str">
        <f>LOOKUP(CONCATENATE(BT2,BT83,BT3),MATRIZ!$A$1:$B$64)</f>
        <v>RM</v>
      </c>
      <c r="BU86" s="18" t="str">
        <f>LOOKUP(CONCATENATE(BU2,BU83,BU3),MATRIZ!$A$1:$B$64)</f>
        <v>RM</v>
      </c>
      <c r="BV86" s="18" t="str">
        <f>LOOKUP(CONCATENATE(BV2,BV83,BV3),MATRIZ!$A$1:$B$64)</f>
        <v>RM</v>
      </c>
      <c r="BW86" s="18" t="str">
        <f>LOOKUP(CONCATENATE(BW2,BW83,BW3),MATRIZ!$A$1:$B$64)</f>
        <v>RB</v>
      </c>
      <c r="BX86" s="18" t="str">
        <f>LOOKUP(CONCATENATE(BX2,BX83,BX3),MATRIZ!$A$1:$B$64)</f>
        <v>RB</v>
      </c>
      <c r="BY86" s="18" t="str">
        <f>LOOKUP(CONCATENATE(BY2,BY83,BY3),MATRIZ!$A$1:$B$64)</f>
        <v>RB</v>
      </c>
      <c r="BZ86" s="18" t="str">
        <f>LOOKUP(CONCATENATE(BZ2,BZ83,BZ3),MATRIZ!$A$1:$B$64)</f>
        <v>RM</v>
      </c>
      <c r="CA86" s="18" t="str">
        <f>LOOKUP(CONCATENATE(CA2,CA83,CA3),MATRIZ!$A$1:$B$64)</f>
        <v>RM</v>
      </c>
      <c r="CB86" s="18" t="str">
        <f>LOOKUP(CONCATENATE(CB2,CB83,CB3),MATRIZ!$A$1:$B$64)</f>
        <v>RB</v>
      </c>
      <c r="CC86" s="18" t="str">
        <f>LOOKUP(CONCATENATE(CC2,CC83,CC3),MATRIZ!$A$1:$B$64)</f>
        <v>RB</v>
      </c>
      <c r="CD86" s="18" t="str">
        <f>LOOKUP(CONCATENATE(CD2,CD83,CD3),MATRIZ!$A$1:$B$64)</f>
        <v>RB</v>
      </c>
      <c r="CE86" s="18" t="str">
        <f>LOOKUP(CONCATENATE(CE2,CE83,CE3),MATRIZ!$A$1:$B$64)</f>
        <v>RM</v>
      </c>
      <c r="CF86" s="18" t="str">
        <f>LOOKUP(CONCATENATE(CF2,CF83,CF3),MATRIZ!$A$1:$B$64)</f>
        <v>RM</v>
      </c>
      <c r="CG86" s="18" t="str">
        <f>LOOKUP(CONCATENATE(CG2,CG83,CG3),MATRIZ!$A$1:$B$64)</f>
        <v>RM</v>
      </c>
      <c r="CH86" s="18" t="str">
        <f>LOOKUP(CONCATENATE(CH2,CH83,CH3),MATRIZ!$A$1:$B$64)</f>
        <v>RM</v>
      </c>
      <c r="CI86" s="18" t="str">
        <f>LOOKUP(CONCATENATE(CI2,CI83,CI3),MATRIZ!$A$1:$B$64)</f>
        <v>RM</v>
      </c>
      <c r="CJ86" s="18" t="str">
        <f>LOOKUP(CONCATENATE(CJ2,CJ83,CJ3),MATRIZ!$A$1:$B$64)</f>
        <v>RM</v>
      </c>
      <c r="CK86" s="18" t="str">
        <f>LOOKUP(CONCATENATE(CK2,CK83,CK3),MATRIZ!$A$1:$B$64)</f>
        <v>RM</v>
      </c>
      <c r="CL86" s="18" t="str">
        <f>LOOKUP(CONCATENATE(CL2,CL83,CL3),MATRIZ!$A$1:$B$64)</f>
        <v>RM</v>
      </c>
      <c r="CM86" s="18" t="str">
        <f>LOOKUP(CONCATENATE(CM2,CM83,CM3),MATRIZ!$A$1:$B$64)</f>
        <v>RM</v>
      </c>
      <c r="CN86" s="18" t="str">
        <f>LOOKUP(CONCATENATE(CN2,CN83,CN3),MATRIZ!$A$1:$B$64)</f>
        <v>RM</v>
      </c>
      <c r="CO86" s="18" t="str">
        <f>LOOKUP(CONCATENATE(CO2,CO83,CO3),MATRIZ!$A$1:$B$64)</f>
        <v>RM</v>
      </c>
      <c r="CP86" s="18" t="str">
        <f>LOOKUP(CONCATENATE(CP2,CP83,CP3),MATRIZ!$A$1:$B$64)</f>
        <v>RB</v>
      </c>
      <c r="CQ86" s="18" t="str">
        <f>LOOKUP(CONCATENATE(CQ2,CQ83,CQ3),MATRIZ!$A$1:$B$64)</f>
        <v>RM</v>
      </c>
      <c r="CR86" s="18" t="str">
        <f>LOOKUP(CONCATENATE(CR2,CR83,CR3),MATRIZ!$A$1:$B$64)</f>
        <v>RM</v>
      </c>
      <c r="CS86" s="18" t="str">
        <f>LOOKUP(CONCATENATE(CS2,CS83,CS3),MATRIZ!$A$1:$B$64)</f>
        <v>RB</v>
      </c>
      <c r="CT86" s="18" t="str">
        <f>LOOKUP(CONCATENATE(CT2,CT83,CT3),MATRIZ!$A$1:$B$64)</f>
        <v>RB</v>
      </c>
      <c r="CU86" s="18" t="str">
        <f>LOOKUP(CONCATENATE(CU2,CU83,CU3),MATRIZ!$A$1:$B$64)</f>
        <v>RM</v>
      </c>
      <c r="CV86" s="18" t="str">
        <f>LOOKUP(CONCATENATE(CV2,CV83,CV3),MATRIZ!$A$1:$B$64)</f>
        <v>RM</v>
      </c>
      <c r="CW86" s="18" t="str">
        <f>LOOKUP(CONCATENATE(CW2,CW83,CW3),MATRIZ!$A$1:$B$64)</f>
        <v>RM</v>
      </c>
      <c r="CX86" s="18" t="str">
        <f>LOOKUP(CONCATENATE(CX2,CX83,CX3),MATRIZ!$A$1:$B$64)</f>
        <v>RM</v>
      </c>
      <c r="CY86" s="18" t="str">
        <f>LOOKUP(CONCATENATE(CY2,CY83,CY3),MATRIZ!$A$1:$B$64)</f>
        <v>RM</v>
      </c>
      <c r="CZ86" s="18" t="str">
        <f>LOOKUP(CONCATENATE(CZ2,CZ83,CZ3),MATRIZ!$A$1:$B$64)</f>
        <v>RM</v>
      </c>
      <c r="DA86" s="18" t="str">
        <f>LOOKUP(CONCATENATE(DA2,DA83,DA3),MATRIZ!$A$1:$B$64)</f>
        <v>RM</v>
      </c>
      <c r="DB86" s="18" t="str">
        <f>LOOKUP(CONCATENATE(DB2,DB83,DB3),MATRIZ!$A$1:$B$64)</f>
        <v>RM</v>
      </c>
      <c r="DC86" s="18" t="str">
        <f>LOOKUP(CONCATENATE(DC2,DC83,DC3),MATRIZ!$A$1:$B$64)</f>
        <v>RM</v>
      </c>
      <c r="DD86" s="18" t="str">
        <f>LOOKUP(CONCATENATE(DD2,DD83,DD3),MATRIZ!$A$1:$B$64)</f>
        <v>RM</v>
      </c>
      <c r="DE86" s="18" t="str">
        <f>LOOKUP(CONCATENATE(DE2,DE83,DE3),MATRIZ!$A$1:$B$64)</f>
        <v>RM</v>
      </c>
      <c r="DF86" s="18" t="str">
        <f>LOOKUP(CONCATENATE(DF2,DF83,DF3),MATRIZ!$A$1:$B$64)</f>
        <v>RM</v>
      </c>
      <c r="DG86" s="18" t="str">
        <f>LOOKUP(CONCATENATE(DG2,DG83,DG3),MATRIZ!$A$1:$B$64)</f>
        <v>RM</v>
      </c>
      <c r="DH86" s="18" t="str">
        <f>LOOKUP(CONCATENATE(DH2,DH83,DH3),MATRIZ!$A$1:$B$64)</f>
        <v>RA</v>
      </c>
      <c r="DI86" s="18"/>
      <c r="DJ86" s="18"/>
      <c r="DK86" s="18"/>
      <c r="DL86" s="18"/>
      <c r="DM86" s="18"/>
      <c r="DN86" s="18"/>
      <c r="DO86" s="18"/>
      <c r="DP86" s="18"/>
      <c r="DQ86" s="18"/>
      <c r="DR86" s="18"/>
      <c r="DS86" s="18"/>
      <c r="DT86" s="18"/>
      <c r="DU86" s="18"/>
      <c r="DV86" s="18"/>
      <c r="DW86" s="18"/>
      <c r="DX86" s="9"/>
      <c r="DY86" s="1"/>
    </row>
    <row r="87" spans="1:129" x14ac:dyDescent="0.25">
      <c r="A87" s="6"/>
      <c r="B87" s="46"/>
      <c r="C87" s="6"/>
      <c r="BM87" s="9"/>
      <c r="DJ87" s="9"/>
      <c r="DK87" s="9"/>
      <c r="DM87" s="9"/>
      <c r="DN87" s="9"/>
      <c r="DO87" s="9"/>
      <c r="DP87" s="9"/>
      <c r="DQ87" s="9"/>
      <c r="DR87" s="9"/>
      <c r="DS87" s="9"/>
      <c r="DT87" s="9"/>
      <c r="DU87" s="9"/>
      <c r="DV87" s="9"/>
      <c r="DW87" s="9"/>
      <c r="DX87" s="9"/>
      <c r="DY87" s="1"/>
    </row>
    <row r="88" spans="1:129" x14ac:dyDescent="0.25">
      <c r="A88" s="6"/>
      <c r="B88" s="46"/>
      <c r="C88" s="6"/>
      <c r="BM88" s="9"/>
      <c r="DJ88" s="9"/>
      <c r="DK88" s="9"/>
      <c r="DM88" s="9"/>
      <c r="DN88" s="9"/>
      <c r="DO88" s="9"/>
      <c r="DP88" s="9"/>
      <c r="DQ88" s="9"/>
      <c r="DR88" s="9"/>
      <c r="DS88" s="9"/>
      <c r="DT88" s="9"/>
      <c r="DU88" s="9"/>
      <c r="DV88" s="9"/>
      <c r="DW88" s="9"/>
      <c r="DX88" s="9"/>
      <c r="DY88" s="1"/>
    </row>
    <row r="89" spans="1:129" x14ac:dyDescent="0.25">
      <c r="A89" s="6"/>
      <c r="B89" s="46"/>
      <c r="C89" s="6"/>
      <c r="BM89" s="9"/>
      <c r="DJ89" s="9"/>
      <c r="DK89" s="9"/>
      <c r="DM89" s="9"/>
      <c r="DN89" s="9"/>
      <c r="DO89" s="9"/>
      <c r="DP89" s="9"/>
      <c r="DQ89" s="9"/>
      <c r="DR89" s="9"/>
      <c r="DS89" s="9"/>
      <c r="DT89" s="9"/>
      <c r="DU89" s="9"/>
      <c r="DV89" s="9"/>
      <c r="DW89" s="9"/>
      <c r="DX89" s="9"/>
      <c r="DY89" s="1"/>
    </row>
    <row r="90" spans="1:129" x14ac:dyDescent="0.25">
      <c r="A90" s="6"/>
      <c r="B90" s="46"/>
      <c r="C90" s="6"/>
      <c r="BM90" s="9"/>
      <c r="DJ90" s="9"/>
      <c r="DK90" s="9"/>
      <c r="DM90" s="9"/>
      <c r="DN90" s="9"/>
      <c r="DO90" s="9"/>
      <c r="DP90" s="9"/>
      <c r="DQ90" s="9"/>
      <c r="DR90" s="9"/>
      <c r="DS90" s="9"/>
      <c r="DT90" s="9"/>
      <c r="DU90" s="9"/>
      <c r="DV90" s="9"/>
      <c r="DW90" s="9"/>
      <c r="DX90" s="9"/>
      <c r="DY90" s="1"/>
    </row>
    <row r="91" spans="1:129" ht="27.75" customHeight="1" x14ac:dyDescent="0.25">
      <c r="A91" s="6"/>
      <c r="B91" s="5" t="s">
        <v>177</v>
      </c>
      <c r="C91" s="18" t="str">
        <f>LOOKUP(CONCATENATE(C2,"PA",C3),MATRIZ!$A$1:$B$64)</f>
        <v>RA</v>
      </c>
      <c r="D91" s="18" t="str">
        <f>LOOKUP(CONCATENATE(D2,"PA",D3),MATRIZ!$A$1:$B$64)</f>
        <v>RA</v>
      </c>
      <c r="E91" s="18" t="str">
        <f>LOOKUP(CONCATENATE(E2,"PA",E3),MATRIZ!$A$1:$B$64)</f>
        <v>RA</v>
      </c>
      <c r="F91" s="18" t="str">
        <f>LOOKUP(CONCATENATE(F2,"PA",F3),MATRIZ!$A$1:$B$64)</f>
        <v>RA</v>
      </c>
      <c r="G91" s="18" t="str">
        <f>LOOKUP(CONCATENATE(G2,"PA",G3),MATRIZ!$A$1:$B$64)</f>
        <v>RA</v>
      </c>
      <c r="H91" s="18" t="str">
        <f>LOOKUP(CONCATENATE(H2,"PA",H3),MATRIZ!$A$1:$B$64)</f>
        <v>RA</v>
      </c>
      <c r="I91" s="18" t="str">
        <f>LOOKUP(CONCATENATE(I2,"PA",I3),MATRIZ!$A$1:$B$64)</f>
        <v>RA</v>
      </c>
      <c r="J91" s="18" t="str">
        <f>LOOKUP(CONCATENATE(J2,"PA",J3),MATRIZ!$A$1:$B$64)</f>
        <v>RA</v>
      </c>
      <c r="K91" s="18" t="str">
        <f>LOOKUP(CONCATENATE(K2,"PA",K3),MATRIZ!$A$1:$B$64)</f>
        <v>RA</v>
      </c>
      <c r="L91" s="18" t="str">
        <f>LOOKUP(CONCATENATE(L2,"PA",L3),MATRIZ!$A$1:$B$64)</f>
        <v>RA</v>
      </c>
      <c r="M91" s="18" t="str">
        <f>LOOKUP(CONCATENATE(M2,"PA",M3),MATRIZ!$A$1:$B$64)</f>
        <v>RA</v>
      </c>
      <c r="N91" s="18" t="str">
        <f>LOOKUP(CONCATENATE(N2,"PA",N3),MATRIZ!$A$1:$B$64)</f>
        <v>RA</v>
      </c>
      <c r="O91" s="18" t="str">
        <f>LOOKUP(CONCATENATE(O2,"PA",O3),MATRIZ!$A$1:$B$64)</f>
        <v>RA</v>
      </c>
      <c r="P91" s="18" t="str">
        <f>LOOKUP(CONCATENATE(P2,"PA",P3),MATRIZ!$A$1:$B$64)</f>
        <v>RA</v>
      </c>
      <c r="Q91" s="18" t="str">
        <f>LOOKUP(CONCATENATE(Q2,"PA",Q3),MATRIZ!$A$1:$B$64)</f>
        <v>RA</v>
      </c>
      <c r="R91" s="18" t="str">
        <f>LOOKUP(CONCATENATE(R2,"PA",R3),MATRIZ!$A$1:$B$64)</f>
        <v>RMA</v>
      </c>
      <c r="S91" s="18" t="str">
        <f>LOOKUP(CONCATENATE(S2,"PA",S3),MATRIZ!$A$1:$B$64)</f>
        <v>RA</v>
      </c>
      <c r="T91" s="18" t="str">
        <f>LOOKUP(CONCATENATE(T2,"PA",T3),MATRIZ!$A$1:$B$64)</f>
        <v>RA</v>
      </c>
      <c r="U91" s="18" t="str">
        <f>LOOKUP(CONCATENATE(U2,"PA",U3),MATRIZ!$A$1:$B$64)</f>
        <v>RA</v>
      </c>
      <c r="V91" s="18" t="str">
        <f>LOOKUP(CONCATENATE(V2,"PA",V3),MATRIZ!$A$1:$B$64)</f>
        <v>RA</v>
      </c>
      <c r="W91" s="18" t="str">
        <f>LOOKUP(CONCATENATE(W2,"PA",W3),MATRIZ!$A$1:$B$64)</f>
        <v>RM</v>
      </c>
      <c r="X91" s="18" t="str">
        <f>LOOKUP(CONCATENATE(X2,"PA",X3),MATRIZ!$A$1:$B$64)</f>
        <v>RA</v>
      </c>
      <c r="Y91" s="18" t="str">
        <f>LOOKUP(CONCATENATE(Y2,"PA",Y3),MATRIZ!$A$1:$B$64)</f>
        <v>RM</v>
      </c>
      <c r="Z91" s="18" t="str">
        <f>LOOKUP(CONCATENATE(Z2,"PA",Z3),MATRIZ!$A$1:$B$64)</f>
        <v>RA</v>
      </c>
      <c r="AA91" s="18" t="str">
        <f>LOOKUP(CONCATENATE(AA2,"PA",AA3),MATRIZ!$A$1:$B$64)</f>
        <v>RA</v>
      </c>
      <c r="AB91" s="18" t="str">
        <f>LOOKUP(CONCATENATE(AB2,"PA",AB3),MATRIZ!$A$1:$B$64)</f>
        <v>RA</v>
      </c>
      <c r="AC91" s="18" t="str">
        <f>LOOKUP(CONCATENATE(AC2,"PA",AC3),MATRIZ!$A$1:$B$64)</f>
        <v>RA</v>
      </c>
      <c r="AD91" s="18" t="str">
        <f>LOOKUP(CONCATENATE(AD2,"PA",AD3),MATRIZ!$A$1:$B$64)</f>
        <v>RA</v>
      </c>
      <c r="AE91" s="18" t="str">
        <f>LOOKUP(CONCATENATE(AE2,"PA",AE3),MATRIZ!$A$1:$B$64)</f>
        <v>RA</v>
      </c>
      <c r="AF91" s="18" t="str">
        <f>LOOKUP(CONCATENATE(AF2,"PA",AF3),MATRIZ!$A$1:$B$64)</f>
        <v>RA</v>
      </c>
      <c r="AG91" s="18" t="str">
        <f>LOOKUP(CONCATENATE(AG2,"PA",AG3),MATRIZ!$A$1:$B$64)</f>
        <v>RA</v>
      </c>
      <c r="AH91" s="18" t="str">
        <f>LOOKUP(CONCATENATE(AH2,"PA",AH3),MATRIZ!$A$1:$B$64)</f>
        <v>RA</v>
      </c>
      <c r="AI91" s="18" t="str">
        <f>LOOKUP(CONCATENATE(AI2,"PA",AI3),MATRIZ!$A$1:$B$64)</f>
        <v>RA</v>
      </c>
      <c r="AJ91" s="18" t="str">
        <f>LOOKUP(CONCATENATE(AJ2,"PA",AJ3),MATRIZ!$A$1:$B$64)</f>
        <v>RA</v>
      </c>
      <c r="AK91" s="18" t="str">
        <f>LOOKUP(CONCATENATE(AK2,"PA",AK3),MATRIZ!$A$1:$B$64)</f>
        <v>RA</v>
      </c>
      <c r="AL91" s="18" t="str">
        <f>LOOKUP(CONCATENATE(AL2,"PA",AL3),MATRIZ!$A$1:$B$64)</f>
        <v>RA</v>
      </c>
      <c r="AM91" s="18" t="str">
        <f>LOOKUP(CONCATENATE(AM2,"PA",AM3),MATRIZ!$A$1:$B$64)</f>
        <v>RA</v>
      </c>
      <c r="AN91" s="18" t="str">
        <f>LOOKUP(CONCATENATE(AN2,"PA",AN3),MATRIZ!$A$1:$B$64)</f>
        <v>RA</v>
      </c>
      <c r="AO91" s="18" t="str">
        <f>LOOKUP(CONCATENATE(AO2,"PA",AO3),MATRIZ!$A$1:$B$64)</f>
        <v>RA</v>
      </c>
      <c r="AP91" s="18" t="str">
        <f>LOOKUP(CONCATENATE(AP2,"PA",AP3),MATRIZ!$A$1:$B$64)</f>
        <v>RA</v>
      </c>
      <c r="AQ91" s="18" t="str">
        <f>LOOKUP(CONCATENATE(AQ2,"PA",AQ3),MATRIZ!$A$1:$B$64)</f>
        <v>RM</v>
      </c>
      <c r="AR91" s="18" t="str">
        <f>LOOKUP(CONCATENATE(AR2,"PA",AR3),MATRIZ!$A$1:$B$64)</f>
        <v>RA</v>
      </c>
      <c r="AS91" s="18" t="str">
        <f>LOOKUP(CONCATENATE(AS2,"PA",AS3),MATRIZ!$A$1:$B$64)</f>
        <v>RA</v>
      </c>
      <c r="AT91" s="18" t="str">
        <f>LOOKUP(CONCATENATE(AT2,"PA",AT3),MATRIZ!$A$1:$B$64)</f>
        <v>RA</v>
      </c>
      <c r="AU91" s="18" t="str">
        <f>LOOKUP(CONCATENATE(AU2,"PA",AU3),MATRIZ!$A$1:$B$64)</f>
        <v>RA</v>
      </c>
      <c r="AV91" s="18" t="str">
        <f>LOOKUP(CONCATENATE(AV2,"PA",AV3),MATRIZ!$A$1:$B$64)</f>
        <v>RA</v>
      </c>
      <c r="AW91" s="18" t="str">
        <f>LOOKUP(CONCATENATE(AW2,"PA",AW3),MATRIZ!$A$1:$B$64)</f>
        <v>RA</v>
      </c>
      <c r="AX91" s="18" t="str">
        <f>LOOKUP(CONCATENATE(AX2,"PA",AX3),MATRIZ!$A$1:$B$64)</f>
        <v>RA</v>
      </c>
      <c r="AY91" s="18" t="str">
        <f>LOOKUP(CONCATENATE(AY2,"PA",AY3),MATRIZ!$A$1:$B$64)</f>
        <v>RA</v>
      </c>
      <c r="AZ91" s="18" t="str">
        <f>LOOKUP(CONCATENATE(AZ2,"PA",AZ3),MATRIZ!$A$1:$B$64)</f>
        <v>RA</v>
      </c>
      <c r="BA91" s="18" t="str">
        <f>LOOKUP(CONCATENATE(BA2,"PA",BA3),MATRIZ!$A$1:$B$64)</f>
        <v>RA</v>
      </c>
      <c r="BB91" s="18" t="str">
        <f>LOOKUP(CONCATENATE(BB2,"PA",BB3),MATRIZ!$A$1:$B$64)</f>
        <v>RA</v>
      </c>
      <c r="BC91" s="18" t="str">
        <f>LOOKUP(CONCATENATE(BC2,"PA",BC3),MATRIZ!$A$1:$B$64)</f>
        <v>RA</v>
      </c>
      <c r="BD91" s="18" t="str">
        <f>LOOKUP(CONCATENATE(BD2,"PA",BD3),MATRIZ!$A$1:$B$64)</f>
        <v>RA</v>
      </c>
      <c r="BE91" s="18" t="str">
        <f>LOOKUP(CONCATENATE(BE2,"PA",BE3),MATRIZ!$A$1:$B$64)</f>
        <v>RA</v>
      </c>
      <c r="BF91" s="18" t="str">
        <f>LOOKUP(CONCATENATE(BF2,"PA",BF3),MATRIZ!$A$1:$B$64)</f>
        <v>RA</v>
      </c>
      <c r="BG91" s="18" t="str">
        <f>LOOKUP(CONCATENATE(BG2,"PA",BG3),MATRIZ!$A$1:$B$64)</f>
        <v>RA</v>
      </c>
      <c r="BH91" s="18" t="str">
        <f>LOOKUP(CONCATENATE(BH2,"PA",BH3),MATRIZ!$A$1:$B$64)</f>
        <v>RA</v>
      </c>
      <c r="BI91" s="18" t="str">
        <f>LOOKUP(CONCATENATE(BI2,"PA",BI3),MATRIZ!$A$1:$B$64)</f>
        <v>RA</v>
      </c>
      <c r="BJ91" s="18" t="str">
        <f>LOOKUP(CONCATENATE(BJ2,"PA",BJ3),MATRIZ!$A$1:$B$64)</f>
        <v>RA</v>
      </c>
      <c r="BK91" s="18" t="str">
        <f>LOOKUP(CONCATENATE(BK2,"PA",BK3),MATRIZ!$A$1:$B$64)</f>
        <v>RA</v>
      </c>
      <c r="BL91" s="18" t="str">
        <f>LOOKUP(CONCATENATE(BL2,"PA",BL3),MATRIZ!$A$1:$B$64)</f>
        <v>RA</v>
      </c>
      <c r="BM91" s="18" t="str">
        <f>LOOKUP(CONCATENATE(BM2,"PA",BM3),MATRIZ!$A$1:$B$64)</f>
        <v>RA</v>
      </c>
      <c r="BN91" s="18" t="str">
        <f>LOOKUP(CONCATENATE(BN2,"PA",BN3),MATRIZ!$A$1:$B$64)</f>
        <v>RA</v>
      </c>
      <c r="BO91" s="18" t="str">
        <f>LOOKUP(CONCATENATE(BO2,"PA",BO3),MATRIZ!$A$1:$B$64)</f>
        <v>RA</v>
      </c>
      <c r="BP91" s="18" t="str">
        <f>LOOKUP(CONCATENATE(BP2,"PA",BP3),MATRIZ!$A$1:$B$64)</f>
        <v>RA</v>
      </c>
      <c r="BQ91" s="18" t="str">
        <f>LOOKUP(CONCATENATE(BQ2,"PA",BQ3),MATRIZ!$A$1:$B$64)</f>
        <v>RA</v>
      </c>
      <c r="BR91" s="18" t="str">
        <f>LOOKUP(CONCATENATE(BR2,"PA",BR3),MATRIZ!$A$1:$B$64)</f>
        <v>RA</v>
      </c>
      <c r="BS91" s="18" t="str">
        <f>LOOKUP(CONCATENATE(BS2,"PA",BS3),MATRIZ!$A$1:$B$64)</f>
        <v>RA</v>
      </c>
      <c r="BT91" s="18" t="str">
        <f>LOOKUP(CONCATENATE(BT2,"PA",BT3),MATRIZ!$A$1:$B$64)</f>
        <v>RA</v>
      </c>
      <c r="BU91" s="18" t="str">
        <f>LOOKUP(CONCATENATE(BU2,"PA",BU3),MATRIZ!$A$1:$B$64)</f>
        <v>RA</v>
      </c>
      <c r="BV91" s="18" t="str">
        <f>LOOKUP(CONCATENATE(BV2,"PA",BV3),MATRIZ!$A$1:$B$64)</f>
        <v>RA</v>
      </c>
      <c r="BW91" s="18" t="str">
        <f>LOOKUP(CONCATENATE(BW2,"PA",BW3),MATRIZ!$A$1:$B$64)</f>
        <v>RA</v>
      </c>
      <c r="BX91" s="18" t="str">
        <f>LOOKUP(CONCATENATE(BX2,"PA",BX3),MATRIZ!$A$1:$B$64)</f>
        <v>RA</v>
      </c>
      <c r="BY91" s="18" t="str">
        <f>LOOKUP(CONCATENATE(BY2,"PA",BY3),MATRIZ!$A$1:$B$64)</f>
        <v>RA</v>
      </c>
      <c r="BZ91" s="18" t="str">
        <f>LOOKUP(CONCATENATE(BZ2,"PA",BZ3),MATRIZ!$A$1:$B$64)</f>
        <v>RA</v>
      </c>
      <c r="CA91" s="18" t="str">
        <f>LOOKUP(CONCATENATE(CA2,"PA",CA3),MATRIZ!$A$1:$B$64)</f>
        <v>RA</v>
      </c>
      <c r="CB91" s="18" t="str">
        <f>LOOKUP(CONCATENATE(CB2,"PA",CB3),MATRIZ!$A$1:$B$64)</f>
        <v>RA</v>
      </c>
      <c r="CC91" s="18" t="str">
        <f>LOOKUP(CONCATENATE(CC2,"PA",CC3),MATRIZ!$A$1:$B$64)</f>
        <v>RA</v>
      </c>
      <c r="CD91" s="18" t="str">
        <f>LOOKUP(CONCATENATE(CD2,"PA",CD3),MATRIZ!$A$1:$B$64)</f>
        <v>RA</v>
      </c>
      <c r="CE91" s="18" t="str">
        <f>LOOKUP(CONCATENATE(CE2,"PA",CE3),MATRIZ!$A$1:$B$64)</f>
        <v>RA</v>
      </c>
      <c r="CF91" s="18" t="str">
        <f>LOOKUP(CONCATENATE(CF2,"PA",CF3),MATRIZ!$A$1:$B$64)</f>
        <v>RA</v>
      </c>
      <c r="CG91" s="18" t="str">
        <f>LOOKUP(CONCATENATE(CG2,"PA",CG3),MATRIZ!$A$1:$B$64)</f>
        <v>RMA</v>
      </c>
      <c r="CH91" s="18" t="str">
        <f>LOOKUP(CONCATENATE(CH2,"PA",CH3),MATRIZ!$A$1:$B$64)</f>
        <v>RMA</v>
      </c>
      <c r="CI91" s="18" t="str">
        <f>LOOKUP(CONCATENATE(CI2,"PA",CI3),MATRIZ!$A$1:$B$64)</f>
        <v>RMA</v>
      </c>
      <c r="CJ91" s="18" t="str">
        <f>LOOKUP(CONCATENATE(CJ2,"PA",CJ3),MATRIZ!$A$1:$B$64)</f>
        <v>RA</v>
      </c>
      <c r="CK91" s="18" t="str">
        <f>LOOKUP(CONCATENATE(CK2,"PA",CK3),MATRIZ!$A$1:$B$64)</f>
        <v>RA</v>
      </c>
      <c r="CL91" s="18" t="str">
        <f>LOOKUP(CONCATENATE(CL2,"PA",CL3),MATRIZ!$A$1:$B$64)</f>
        <v>RA</v>
      </c>
      <c r="CM91" s="18" t="str">
        <f>LOOKUP(CONCATENATE(CM2,"PA",CM3),MATRIZ!$A$1:$B$64)</f>
        <v>RMA</v>
      </c>
      <c r="CN91" s="18" t="str">
        <f>LOOKUP(CONCATENATE(CN2,"PA",CN3),MATRIZ!$A$1:$B$64)</f>
        <v>RM</v>
      </c>
      <c r="CO91" s="18" t="str">
        <f>LOOKUP(CONCATENATE(CO2,"PA",CO3),MATRIZ!$A$1:$B$64)</f>
        <v>RA</v>
      </c>
      <c r="CP91" s="18" t="str">
        <f>LOOKUP(CONCATENATE(CP2,"PA",CP3),MATRIZ!$A$1:$B$64)</f>
        <v>RM</v>
      </c>
      <c r="CQ91" s="18" t="str">
        <f>LOOKUP(CONCATENATE(CQ2,"PA",CQ3),MATRIZ!$A$1:$B$64)</f>
        <v>RA</v>
      </c>
      <c r="CR91" s="18" t="str">
        <f>LOOKUP(CONCATENATE(CR2,"PA",CR3),MATRIZ!$A$1:$B$64)</f>
        <v>RA</v>
      </c>
      <c r="CS91" s="18" t="str">
        <f>LOOKUP(CONCATENATE(CS2,"PA",CS3),MATRIZ!$A$1:$B$64)</f>
        <v>RA</v>
      </c>
      <c r="CT91" s="18" t="str">
        <f>LOOKUP(CONCATENATE(CT2,"PA",CT3),MATRIZ!$A$1:$B$64)</f>
        <v>RA</v>
      </c>
      <c r="CU91" s="18" t="str">
        <f>LOOKUP(CONCATENATE(CU2,"PA",CU3),MATRIZ!$A$1:$B$64)</f>
        <v>RA</v>
      </c>
      <c r="CV91" s="18" t="str">
        <f>LOOKUP(CONCATENATE(CV2,"PA",CV3),MATRIZ!$A$1:$B$64)</f>
        <v>RA</v>
      </c>
      <c r="CW91" s="18" t="str">
        <f>LOOKUP(CONCATENATE(CW2,"PA",CW3),MATRIZ!$A$1:$B$64)</f>
        <v>RA</v>
      </c>
      <c r="CX91" s="18" t="str">
        <f>LOOKUP(CONCATENATE(CX2,"PA",CX3),MATRIZ!$A$1:$B$64)</f>
        <v>RA</v>
      </c>
      <c r="CY91" s="18" t="str">
        <f>LOOKUP(CONCATENATE(CY2,"PA",CY3),MATRIZ!$A$1:$B$64)</f>
        <v>RA</v>
      </c>
      <c r="CZ91" s="18" t="str">
        <f>LOOKUP(CONCATENATE(CZ2,"PA",CZ3),MATRIZ!$A$1:$B$64)</f>
        <v>RA</v>
      </c>
      <c r="DA91" s="18" t="str">
        <f>LOOKUP(CONCATENATE(DA2,"PA",DA3),MATRIZ!$A$1:$B$64)</f>
        <v>RA</v>
      </c>
      <c r="DB91" s="18" t="str">
        <f>LOOKUP(CONCATENATE(DB2,"PA",DB3),MATRIZ!$A$1:$B$64)</f>
        <v>RA</v>
      </c>
      <c r="DC91" s="18" t="str">
        <f>LOOKUP(CONCATENATE(DC2,"PA",DC3),MATRIZ!$A$1:$B$64)</f>
        <v>RA</v>
      </c>
      <c r="DD91" s="18" t="str">
        <f>LOOKUP(CONCATENATE(DD2,"PA",DD3),MATRIZ!$A$1:$B$64)</f>
        <v>RA</v>
      </c>
      <c r="DE91" s="18" t="str">
        <f>LOOKUP(CONCATENATE(DE2,"PA",DE3),MATRIZ!$A$1:$B$64)</f>
        <v>RA</v>
      </c>
      <c r="DF91" s="18" t="str">
        <f>LOOKUP(CONCATENATE(DF2,"PA",DF3),MATRIZ!$A$1:$B$64)</f>
        <v>RM</v>
      </c>
      <c r="DG91" s="18" t="str">
        <f>LOOKUP(CONCATENATE(DG2,"PA",DG3),MATRIZ!$A$1:$B$64)</f>
        <v>RA</v>
      </c>
      <c r="DH91" s="18" t="str">
        <f>LOOKUP(CONCATENATE(DH2,"PA",DH3),MATRIZ!$A$1:$B$64)</f>
        <v>RA</v>
      </c>
      <c r="DI91" s="18"/>
      <c r="DJ91" s="18"/>
      <c r="DK91" s="18"/>
      <c r="DL91" s="18"/>
      <c r="DM91" s="18"/>
      <c r="DN91" s="18"/>
      <c r="DO91" s="18"/>
      <c r="DP91" s="18"/>
      <c r="DQ91" s="18"/>
      <c r="DR91" s="18"/>
      <c r="DS91" s="18"/>
      <c r="DT91" s="18"/>
      <c r="DU91" s="18"/>
      <c r="DV91" s="18"/>
      <c r="DW91" s="18"/>
      <c r="DX91" s="9"/>
      <c r="DY91" s="1"/>
    </row>
    <row r="92" spans="1:129" ht="30" x14ac:dyDescent="0.25">
      <c r="A92" s="6"/>
      <c r="B92" s="5" t="s">
        <v>178</v>
      </c>
      <c r="C92" s="18" t="str">
        <f>LOOKUP(CONCATENATE(C2,C75,C3),MATRIZ!$A$1:$B$64)</f>
        <v>RB</v>
      </c>
      <c r="D92" s="18" t="str">
        <f>LOOKUP(CONCATENATE(D2,D75,D3),MATRIZ!$A$1:$B$64)</f>
        <v>RM</v>
      </c>
      <c r="E92" s="18" t="str">
        <f>LOOKUP(CONCATENATE(E2,E75,E3),MATRIZ!$A$1:$B$64)</f>
        <v>RM</v>
      </c>
      <c r="F92" s="18" t="str">
        <f>LOOKUP(CONCATENATE(F2,F75,F3),MATRIZ!$A$1:$B$64)</f>
        <v>RM</v>
      </c>
      <c r="G92" s="18" t="str">
        <f>LOOKUP(CONCATENATE(G2,G75,G3),MATRIZ!$A$1:$B$64)</f>
        <v>RB</v>
      </c>
      <c r="H92" s="18" t="str">
        <f>LOOKUP(CONCATENATE(H2,H75,H3),MATRIZ!$A$1:$B$64)</f>
        <v>RM</v>
      </c>
      <c r="I92" s="18" t="str">
        <f>LOOKUP(CONCATENATE(I2,I75,I3),MATRIZ!$A$1:$B$64)</f>
        <v>RM</v>
      </c>
      <c r="J92" s="18" t="str">
        <f>LOOKUP(CONCATENATE(J2,J75,J3),MATRIZ!$A$1:$B$64)</f>
        <v>RB</v>
      </c>
      <c r="K92" s="18" t="str">
        <f>LOOKUP(CONCATENATE(K2,K75,K3),MATRIZ!$A$1:$B$64)</f>
        <v>RB</v>
      </c>
      <c r="L92" s="18" t="str">
        <f>LOOKUP(CONCATENATE(L2,L75,L3),MATRIZ!$A$1:$B$64)</f>
        <v>RM</v>
      </c>
      <c r="M92" s="18" t="str">
        <f>LOOKUP(CONCATENATE(M2,M75,M3),MATRIZ!$A$1:$B$64)</f>
        <v>RM</v>
      </c>
      <c r="N92" s="18" t="str">
        <f>LOOKUP(CONCATENATE(N2,N75,N3),MATRIZ!$A$1:$B$64)</f>
        <v>RM</v>
      </c>
      <c r="O92" s="18" t="str">
        <f>LOOKUP(CONCATENATE(O2,O75,O3),MATRIZ!$A$1:$B$64)</f>
        <v>RM</v>
      </c>
      <c r="P92" s="18" t="str">
        <f>LOOKUP(CONCATENATE(P2,P75,P3),MATRIZ!$A$1:$B$64)</f>
        <v>RM</v>
      </c>
      <c r="Q92" s="18" t="str">
        <f>LOOKUP(CONCATENATE(Q2,Q75,Q3),MATRIZ!$A$1:$B$64)</f>
        <v>RM</v>
      </c>
      <c r="R92" s="18" t="str">
        <f>LOOKUP(CONCATENATE(R2,R75,R3),MATRIZ!$A$1:$B$64)</f>
        <v>RM</v>
      </c>
      <c r="S92" s="18" t="str">
        <f>LOOKUP(CONCATENATE(S2,S75,S3),MATRIZ!$A$1:$B$64)</f>
        <v>RM</v>
      </c>
      <c r="T92" s="18" t="str">
        <f>LOOKUP(CONCATENATE(T2,T75,T3),MATRIZ!$A$1:$B$64)</f>
        <v>RM</v>
      </c>
      <c r="U92" s="18" t="str">
        <f>LOOKUP(CONCATENATE(U2,U75,U3),MATRIZ!$A$1:$B$64)</f>
        <v>RB</v>
      </c>
      <c r="V92" s="18" t="str">
        <f>LOOKUP(CONCATENATE(V2,V75,V3),MATRIZ!$A$1:$B$64)</f>
        <v>RB</v>
      </c>
      <c r="W92" s="18" t="str">
        <f>LOOKUP(CONCATENATE(W2,W75,W3),MATRIZ!$A$1:$B$64)</f>
        <v>RB</v>
      </c>
      <c r="X92" s="18" t="str">
        <f>LOOKUP(CONCATENATE(X2,X75,X3),MATRIZ!$A$1:$B$64)</f>
        <v>RB</v>
      </c>
      <c r="Y92" s="18" t="str">
        <f>LOOKUP(CONCATENATE(Y2,Y75,Y3),MATRIZ!$A$1:$B$64)</f>
        <v>RB</v>
      </c>
      <c r="Z92" s="18" t="str">
        <f>LOOKUP(CONCATENATE(Z2,Z75,Z3),MATRIZ!$A$1:$B$64)</f>
        <v>RM</v>
      </c>
      <c r="AA92" s="18" t="str">
        <f>LOOKUP(CONCATENATE(AA2,AA75,AA3),MATRIZ!$A$1:$B$64)</f>
        <v>RB</v>
      </c>
      <c r="AB92" s="18" t="str">
        <f>LOOKUP(CONCATENATE(AB2,AB75,AB3),MATRIZ!$A$1:$B$64)</f>
        <v>RM</v>
      </c>
      <c r="AC92" s="18" t="str">
        <f>LOOKUP(CONCATENATE(AC2,AC75,AC3),MATRIZ!$A$1:$B$64)</f>
        <v>RM</v>
      </c>
      <c r="AD92" s="18" t="str">
        <f>LOOKUP(CONCATENATE(AD2,AD75,AD3),MATRIZ!$A$1:$B$64)</f>
        <v>RB</v>
      </c>
      <c r="AE92" s="18" t="str">
        <f>LOOKUP(CONCATENATE(AE2,AE75,AE3),MATRIZ!$A$1:$B$64)</f>
        <v>RB</v>
      </c>
      <c r="AF92" s="18" t="str">
        <f>LOOKUP(CONCATENATE(AF2,AF75,AF3),MATRIZ!$A$1:$B$64)</f>
        <v>RB</v>
      </c>
      <c r="AG92" s="18" t="str">
        <f>LOOKUP(CONCATENATE(AG2,AG75,AG3),MATRIZ!$A$1:$B$64)</f>
        <v>RB</v>
      </c>
      <c r="AH92" s="18" t="str">
        <f>LOOKUP(CONCATENATE(AH2,AH75,AH3),MATRIZ!$A$1:$B$64)</f>
        <v>RM</v>
      </c>
      <c r="AI92" s="18" t="str">
        <f>LOOKUP(CONCATENATE(AI2,AI75,AI3),MATRIZ!$A$1:$B$64)</f>
        <v>RM</v>
      </c>
      <c r="AJ92" s="18" t="str">
        <f>LOOKUP(CONCATENATE(AJ2,AJ75,AJ3),MATRIZ!$A$1:$B$64)</f>
        <v>RB</v>
      </c>
      <c r="AK92" s="18" t="str">
        <f>LOOKUP(CONCATENATE(AK2,AK75,AK3),MATRIZ!$A$1:$B$64)</f>
        <v>RA</v>
      </c>
      <c r="AL92" s="18" t="str">
        <f>LOOKUP(CONCATENATE(AL2,AL75,AL3),MATRIZ!$A$1:$B$64)</f>
        <v>RM</v>
      </c>
      <c r="AM92" s="18" t="str">
        <f>LOOKUP(CONCATENATE(AM2,AM75,AM3),MATRIZ!$A$1:$B$64)</f>
        <v>RM</v>
      </c>
      <c r="AN92" s="18" t="str">
        <f>LOOKUP(CONCATENATE(AN2,AN75,AN3),MATRIZ!$A$1:$B$64)</f>
        <v>RB</v>
      </c>
      <c r="AO92" s="18" t="str">
        <f>LOOKUP(CONCATENATE(AO2,AO75,AO3),MATRIZ!$A$1:$B$64)</f>
        <v>RM</v>
      </c>
      <c r="AP92" s="18" t="str">
        <f>LOOKUP(CONCATENATE(AP2,AP75,AP3),MATRIZ!$A$1:$B$64)</f>
        <v>RM</v>
      </c>
      <c r="AQ92" s="18" t="str">
        <f>LOOKUP(CONCATENATE(AQ2,AQ75,AQ3),MATRIZ!$A$1:$B$64)</f>
        <v>RB</v>
      </c>
      <c r="AR92" s="18" t="str">
        <f>LOOKUP(CONCATENATE(AR2,AR75,AR3),MATRIZ!$A$1:$B$64)</f>
        <v>RM</v>
      </c>
      <c r="AS92" s="18" t="str">
        <f>LOOKUP(CONCATENATE(AS2,AS75,AS3),MATRIZ!$A$1:$B$64)</f>
        <v>RM</v>
      </c>
      <c r="AT92" s="18" t="str">
        <f>LOOKUP(CONCATENATE(AT2,AT75,AT3),MATRIZ!$A$1:$B$64)</f>
        <v>RM</v>
      </c>
      <c r="AU92" s="18" t="str">
        <f>LOOKUP(CONCATENATE(AU2,AU75,AU3),MATRIZ!$A$1:$B$64)</f>
        <v>RM</v>
      </c>
      <c r="AV92" s="18" t="str">
        <f>LOOKUP(CONCATENATE(AV2,AV75,AV3),MATRIZ!$A$1:$B$64)</f>
        <v>RA</v>
      </c>
      <c r="AW92" s="18" t="str">
        <f>LOOKUP(CONCATENATE(AW2,AW75,AW3),MATRIZ!$A$1:$B$64)</f>
        <v>RM</v>
      </c>
      <c r="AX92" s="18" t="str">
        <f>LOOKUP(CONCATENATE(AX2,AX75,AX3),MATRIZ!$A$1:$B$64)</f>
        <v>RA</v>
      </c>
      <c r="AY92" s="18" t="str">
        <f>LOOKUP(CONCATENATE(AY2,AY75,AY3),MATRIZ!$A$1:$B$64)</f>
        <v>RM</v>
      </c>
      <c r="AZ92" s="18" t="str">
        <f>LOOKUP(CONCATENATE(AZ2,AZ75,AZ3),MATRIZ!$A$1:$B$64)</f>
        <v>RB</v>
      </c>
      <c r="BA92" s="18" t="str">
        <f>LOOKUP(CONCATENATE(BA2,BA75,BA3),MATRIZ!$A$1:$B$64)</f>
        <v>RA</v>
      </c>
      <c r="BB92" s="18" t="str">
        <f>LOOKUP(CONCATENATE(BB2,BB75,BB3),MATRIZ!$A$1:$B$64)</f>
        <v>RM</v>
      </c>
      <c r="BC92" s="18" t="str">
        <f>LOOKUP(CONCATENATE(BC2,BC75,BC3),MATRIZ!$A$1:$B$64)</f>
        <v>RM</v>
      </c>
      <c r="BD92" s="18" t="str">
        <f>LOOKUP(CONCATENATE(BD2,BD75,BD3),MATRIZ!$A$1:$B$64)</f>
        <v>RM</v>
      </c>
      <c r="BE92" s="18" t="str">
        <f>LOOKUP(CONCATENATE(BE2,BE75,BE3),MATRIZ!$A$1:$B$64)</f>
        <v>RA</v>
      </c>
      <c r="BF92" s="18" t="str">
        <f>LOOKUP(CONCATENATE(BF2,BF75,BF3),MATRIZ!$A$1:$B$64)</f>
        <v>RB</v>
      </c>
      <c r="BG92" s="18" t="str">
        <f>LOOKUP(CONCATENATE(BG2,BG75,BG3),MATRIZ!$A$1:$B$64)</f>
        <v>RA</v>
      </c>
      <c r="BH92" s="18" t="str">
        <f>LOOKUP(CONCATENATE(BH2,BH75,BH3),MATRIZ!$A$1:$B$64)</f>
        <v>RM</v>
      </c>
      <c r="BI92" s="18" t="str">
        <f>LOOKUP(CONCATENATE(BI2,BI75,BI3),MATRIZ!$A$1:$B$64)</f>
        <v>RB</v>
      </c>
      <c r="BJ92" s="18" t="str">
        <f>LOOKUP(CONCATENATE(BJ2,BJ75,BJ3),MATRIZ!$A$1:$B$64)</f>
        <v>RA</v>
      </c>
      <c r="BK92" s="18" t="str">
        <f>LOOKUP(CONCATENATE(BK2,BK75,BK3),MATRIZ!$A$1:$B$64)</f>
        <v>RB</v>
      </c>
      <c r="BL92" s="18" t="str">
        <f>LOOKUP(CONCATENATE(BL2,BL75,BL3),MATRIZ!$A$1:$B$64)</f>
        <v>RA</v>
      </c>
      <c r="BM92" s="18" t="str">
        <f>LOOKUP(CONCATENATE(BM2,BM75,BM3),MATRIZ!$A$1:$B$64)</f>
        <v>RA</v>
      </c>
      <c r="BN92" s="18" t="str">
        <f>LOOKUP(CONCATENATE(BN2,BN75,BN3),MATRIZ!$A$1:$B$64)</f>
        <v>RM</v>
      </c>
      <c r="BO92" s="18" t="str">
        <f>LOOKUP(CONCATENATE(BO2,BO75,BO3),MATRIZ!$A$1:$B$64)</f>
        <v>RB</v>
      </c>
      <c r="BP92" s="18" t="str">
        <f>LOOKUP(CONCATENATE(BP2,BP75,BP3),MATRIZ!$A$1:$B$64)</f>
        <v>RM</v>
      </c>
      <c r="BQ92" s="18" t="str">
        <f>LOOKUP(CONCATENATE(BQ2,BQ75,BQ3),MATRIZ!$A$1:$B$64)</f>
        <v>RM</v>
      </c>
      <c r="BR92" s="18" t="str">
        <f>LOOKUP(CONCATENATE(BR2,BR75,BR3),MATRIZ!$A$1:$B$64)</f>
        <v>RM</v>
      </c>
      <c r="BS92" s="18" t="str">
        <f>LOOKUP(CONCATENATE(BS2,BS75,BS3),MATRIZ!$A$1:$B$64)</f>
        <v>RM</v>
      </c>
      <c r="BT92" s="18" t="str">
        <f>LOOKUP(CONCATENATE(BT2,BT75,BT3),MATRIZ!$A$1:$B$64)</f>
        <v>RM</v>
      </c>
      <c r="BU92" s="18" t="str">
        <f>LOOKUP(CONCATENATE(BU2,BU75,BU3),MATRIZ!$A$1:$B$64)</f>
        <v>RA</v>
      </c>
      <c r="BV92" s="18" t="str">
        <f>LOOKUP(CONCATENATE(BV2,BV75,BV3),MATRIZ!$A$1:$B$64)</f>
        <v>RM</v>
      </c>
      <c r="BW92" s="18" t="str">
        <f>LOOKUP(CONCATENATE(BW2,BW75,BW3),MATRIZ!$A$1:$B$64)</f>
        <v>RM</v>
      </c>
      <c r="BX92" s="18" t="str">
        <f>LOOKUP(CONCATENATE(BX2,BX75,BX3),MATRIZ!$A$1:$B$64)</f>
        <v>RB</v>
      </c>
      <c r="BY92" s="18" t="str">
        <f>LOOKUP(CONCATENATE(BY2,BY75,BY3),MATRIZ!$A$1:$B$64)</f>
        <v>RM</v>
      </c>
      <c r="BZ92" s="18" t="str">
        <f>LOOKUP(CONCATENATE(BZ2,BZ75,BZ3),MATRIZ!$A$1:$B$64)</f>
        <v>RM</v>
      </c>
      <c r="CA92" s="18" t="str">
        <f>LOOKUP(CONCATENATE(CA2,CA75,CA3),MATRIZ!$A$1:$B$64)</f>
        <v>RA</v>
      </c>
      <c r="CB92" s="18" t="str">
        <f>LOOKUP(CONCATENATE(CB2,CB75,CB3),MATRIZ!$A$1:$B$64)</f>
        <v>RM</v>
      </c>
      <c r="CC92" s="18" t="str">
        <f>LOOKUP(CONCATENATE(CC2,CC75,CC3),MATRIZ!$A$1:$B$64)</f>
        <v>RB</v>
      </c>
      <c r="CD92" s="18" t="str">
        <f>LOOKUP(CONCATENATE(CD2,CD75,CD3),MATRIZ!$A$1:$B$64)</f>
        <v>RM</v>
      </c>
      <c r="CE92" s="18" t="str">
        <f>LOOKUP(CONCATENATE(CE2,CE75,CE3),MATRIZ!$A$1:$B$64)</f>
        <v>RA</v>
      </c>
      <c r="CF92" s="18" t="str">
        <f>LOOKUP(CONCATENATE(CF2,CF75,CF3),MATRIZ!$A$1:$B$64)</f>
        <v>RM</v>
      </c>
      <c r="CG92" s="18" t="str">
        <f>LOOKUP(CONCATENATE(CG2,CG75,CG3),MATRIZ!$A$1:$B$64)</f>
        <v>RM</v>
      </c>
      <c r="CH92" s="18" t="str">
        <f>LOOKUP(CONCATENATE(CH2,CH75,CH3),MATRIZ!$A$1:$B$64)</f>
        <v>RM</v>
      </c>
      <c r="CI92" s="18" t="str">
        <f>LOOKUP(CONCATENATE(CI2,CI75,CI3),MATRIZ!$A$1:$B$64)</f>
        <v>RM</v>
      </c>
      <c r="CJ92" s="18" t="str">
        <f>LOOKUP(CONCATENATE(CJ2,CJ75,CJ3),MATRIZ!$A$1:$B$64)</f>
        <v>RM</v>
      </c>
      <c r="CK92" s="18" t="str">
        <f>LOOKUP(CONCATENATE(CK2,CK75,CK3),MATRIZ!$A$1:$B$64)</f>
        <v>RM</v>
      </c>
      <c r="CL92" s="18" t="str">
        <f>LOOKUP(CONCATENATE(CL2,CL75,CL3),MATRIZ!$A$1:$B$64)</f>
        <v>RM</v>
      </c>
      <c r="CM92" s="18" t="str">
        <f>LOOKUP(CONCATENATE(CM2,CM75,CM3),MATRIZ!$A$1:$B$64)</f>
        <v>RM</v>
      </c>
      <c r="CN92" s="18" t="str">
        <f>LOOKUP(CONCATENATE(CN2,CN75,CN3),MATRIZ!$A$1:$B$64)</f>
        <v>RM</v>
      </c>
      <c r="CO92" s="18" t="str">
        <f>LOOKUP(CONCATENATE(CO2,CO75,CO3),MATRIZ!$A$1:$B$64)</f>
        <v>RM</v>
      </c>
      <c r="CP92" s="18" t="str">
        <f>LOOKUP(CONCATENATE(CP2,CP75,CP3),MATRIZ!$A$1:$B$64)</f>
        <v>RM</v>
      </c>
      <c r="CQ92" s="18" t="str">
        <f>LOOKUP(CONCATENATE(CQ2,CQ75,CQ3),MATRIZ!$A$1:$B$64)</f>
        <v>RM</v>
      </c>
      <c r="CR92" s="18" t="str">
        <f>LOOKUP(CONCATENATE(CR2,CR75,CR3),MATRIZ!$A$1:$B$64)</f>
        <v>RM</v>
      </c>
      <c r="CS92" s="18" t="str">
        <f>LOOKUP(CONCATENATE(CS2,CS75,CS3),MATRIZ!$A$1:$B$64)</f>
        <v>RB</v>
      </c>
      <c r="CT92" s="18" t="str">
        <f>LOOKUP(CONCATENATE(CT2,CT75,CT3),MATRIZ!$A$1:$B$64)</f>
        <v>RM</v>
      </c>
      <c r="CU92" s="18" t="str">
        <f>LOOKUP(CONCATENATE(CU2,CU75,CU3),MATRIZ!$A$1:$B$64)</f>
        <v>RM</v>
      </c>
      <c r="CV92" s="18" t="str">
        <f>LOOKUP(CONCATENATE(CV2,CV75,CV3),MATRIZ!$A$1:$B$64)</f>
        <v>RA</v>
      </c>
      <c r="CW92" s="18" t="str">
        <f>LOOKUP(CONCATENATE(CW2,CW75,CW3),MATRIZ!$A$1:$B$64)</f>
        <v>RM</v>
      </c>
      <c r="CX92" s="18" t="str">
        <f>LOOKUP(CONCATENATE(CX2,CX75,CX3),MATRIZ!$A$1:$B$64)</f>
        <v>RA</v>
      </c>
      <c r="CY92" s="18" t="str">
        <f>LOOKUP(CONCATENATE(CY2,CY75,CY3),MATRIZ!$A$1:$B$64)</f>
        <v>RM</v>
      </c>
      <c r="CZ92" s="18" t="str">
        <f>LOOKUP(CONCATENATE(CZ2,CZ75,CZ3),MATRIZ!$A$1:$B$64)</f>
        <v>RA</v>
      </c>
      <c r="DA92" s="18" t="str">
        <f>LOOKUP(CONCATENATE(DA2,DA75,DA3),MATRIZ!$A$1:$B$64)</f>
        <v>RA</v>
      </c>
      <c r="DB92" s="18" t="str">
        <f>LOOKUP(CONCATENATE(DB2,DB75,DB3),MATRIZ!$A$1:$B$64)</f>
        <v>RM</v>
      </c>
      <c r="DC92" s="18" t="str">
        <f>LOOKUP(CONCATENATE(DC2,DC75,DC3),MATRIZ!$A$1:$B$64)</f>
        <v>RM</v>
      </c>
      <c r="DD92" s="18" t="str">
        <f>LOOKUP(CONCATENATE(DD2,DD75,DD3),MATRIZ!$A$1:$B$64)</f>
        <v>RM</v>
      </c>
      <c r="DE92" s="18" t="str">
        <f>LOOKUP(CONCATENATE(DE2,DE75,DE3),MATRIZ!$A$1:$B$64)</f>
        <v>RA</v>
      </c>
      <c r="DF92" s="18" t="str">
        <f>LOOKUP(CONCATENATE(DF2,DF75,DF3),MATRIZ!$A$1:$B$64)</f>
        <v>RM</v>
      </c>
      <c r="DG92" s="18" t="str">
        <f>LOOKUP(CONCATENATE(DG2,DG75,DG3),MATRIZ!$A$1:$B$64)</f>
        <v>RM</v>
      </c>
      <c r="DH92" s="18" t="str">
        <f>LOOKUP(CONCATENATE(DH2,DH75,DH3),MATRIZ!$A$1:$B$64)</f>
        <v>RA</v>
      </c>
      <c r="DI92" s="18"/>
      <c r="DJ92" s="18"/>
      <c r="DK92" s="18"/>
      <c r="DL92" s="18"/>
      <c r="DM92" s="18"/>
      <c r="DN92" s="18"/>
      <c r="DO92" s="18"/>
      <c r="DP92" s="18"/>
      <c r="DQ92" s="18"/>
      <c r="DR92" s="18"/>
      <c r="DS92" s="18"/>
      <c r="DT92" s="18"/>
      <c r="DU92" s="18"/>
      <c r="DV92" s="18"/>
      <c r="DW92" s="18"/>
      <c r="DX92" s="9"/>
      <c r="DY92" s="1"/>
    </row>
    <row r="93" spans="1:129" ht="30" x14ac:dyDescent="0.25">
      <c r="A93" s="6"/>
      <c r="B93" s="5" t="s">
        <v>267</v>
      </c>
      <c r="C93" s="18" t="str">
        <f>LOOKUP(CONCATENATE(C2,C83,C3),MATRIZ!$A$1:$B$64)</f>
        <v>RB</v>
      </c>
      <c r="D93" s="18" t="str">
        <f>LOOKUP(CONCATENATE(D2,D83,D3),MATRIZ!$A$1:$B$64)</f>
        <v>RM</v>
      </c>
      <c r="E93" s="18" t="str">
        <f>LOOKUP(CONCATENATE(E2,E83,E3),MATRIZ!$A$1:$B$64)</f>
        <v>RM</v>
      </c>
      <c r="F93" s="18" t="str">
        <f>LOOKUP(CONCATENATE(F2,F83,F3),MATRIZ!$A$1:$B$64)</f>
        <v>RM</v>
      </c>
      <c r="G93" s="18" t="str">
        <f>LOOKUP(CONCATENATE(G2,G83,G3),MATRIZ!$A$1:$B$64)</f>
        <v>RB</v>
      </c>
      <c r="H93" s="18" t="str">
        <f>LOOKUP(CONCATENATE(H2,H83,H3),MATRIZ!$A$1:$B$64)</f>
        <v>RM</v>
      </c>
      <c r="I93" s="18" t="str">
        <f>LOOKUP(CONCATENATE(I2,I83,I3),MATRIZ!$A$1:$B$64)</f>
        <v>RM</v>
      </c>
      <c r="J93" s="18" t="str">
        <f>LOOKUP(CONCATENATE(J2,J83,J3),MATRIZ!$A$1:$B$64)</f>
        <v>RB</v>
      </c>
      <c r="K93" s="18" t="str">
        <f>LOOKUP(CONCATENATE(K2,K83,K3),MATRIZ!$A$1:$B$64)</f>
        <v>RB</v>
      </c>
      <c r="L93" s="18" t="str">
        <f>LOOKUP(CONCATENATE(L2,L83,L3),MATRIZ!$A$1:$B$64)</f>
        <v>RM</v>
      </c>
      <c r="M93" s="18" t="str">
        <f>LOOKUP(CONCATENATE(M2,M83,M3),MATRIZ!$A$1:$B$64)</f>
        <v>RM</v>
      </c>
      <c r="N93" s="18" t="str">
        <f>LOOKUP(CONCATENATE(N2,N83,N3),MATRIZ!$A$1:$B$64)</f>
        <v>RM</v>
      </c>
      <c r="O93" s="18" t="str">
        <f>LOOKUP(CONCATENATE(O2,O83,O3),MATRIZ!$A$1:$B$64)</f>
        <v>RM</v>
      </c>
      <c r="P93" s="18" t="str">
        <f>LOOKUP(CONCATENATE(P2,P83,P3),MATRIZ!$A$1:$B$64)</f>
        <v>RM</v>
      </c>
      <c r="Q93" s="18" t="str">
        <f>LOOKUP(CONCATENATE(Q2,Q83,Q3),MATRIZ!$A$1:$B$64)</f>
        <v>RM</v>
      </c>
      <c r="R93" s="18" t="str">
        <f>LOOKUP(CONCATENATE(R2,R83,R3),MATRIZ!$A$1:$B$64)</f>
        <v>RM</v>
      </c>
      <c r="S93" s="18" t="str">
        <f>LOOKUP(CONCATENATE(S2,S83,S3),MATRIZ!$A$1:$B$64)</f>
        <v>RM</v>
      </c>
      <c r="T93" s="18" t="str">
        <f>LOOKUP(CONCATENATE(T2,T83,T3),MATRIZ!$A$1:$B$64)</f>
        <v>RM</v>
      </c>
      <c r="U93" s="18" t="str">
        <f>LOOKUP(CONCATENATE(U2,U83,U3),MATRIZ!$A$1:$B$64)</f>
        <v>RB</v>
      </c>
      <c r="V93" s="18" t="str">
        <f>LOOKUP(CONCATENATE(V2,V83,V3),MATRIZ!$A$1:$B$64)</f>
        <v>RB</v>
      </c>
      <c r="W93" s="18" t="str">
        <f>LOOKUP(CONCATENATE(W2,W83,W3),MATRIZ!$A$1:$B$64)</f>
        <v>RB</v>
      </c>
      <c r="X93" s="18" t="str">
        <f>LOOKUP(CONCATENATE(X2,X83,X3),MATRIZ!$A$1:$B$64)</f>
        <v>RB</v>
      </c>
      <c r="Y93" s="18" t="str">
        <f>LOOKUP(CONCATENATE(Y2,Y83,Y3),MATRIZ!$A$1:$B$64)</f>
        <v>RB</v>
      </c>
      <c r="Z93" s="18" t="str">
        <f>LOOKUP(CONCATENATE(Z2,Z83,Z3),MATRIZ!$A$1:$B$64)</f>
        <v>RM</v>
      </c>
      <c r="AA93" s="18" t="str">
        <f>LOOKUP(CONCATENATE(AA2,AA83,AA3),MATRIZ!$A$1:$B$64)</f>
        <v>RB</v>
      </c>
      <c r="AB93" s="18" t="str">
        <f>LOOKUP(CONCATENATE(AB2,AB83,AB3),MATRIZ!$A$1:$B$64)</f>
        <v>RM</v>
      </c>
      <c r="AC93" s="18" t="str">
        <f>LOOKUP(CONCATENATE(AC2,AC83,AC3),MATRIZ!$A$1:$B$64)</f>
        <v>RM</v>
      </c>
      <c r="AD93" s="18" t="str">
        <f>LOOKUP(CONCATENATE(AD2,AD83,AD3),MATRIZ!$A$1:$B$64)</f>
        <v>RB</v>
      </c>
      <c r="AE93" s="18" t="str">
        <f>LOOKUP(CONCATENATE(AE2,AE83,AE3),MATRIZ!$A$1:$B$64)</f>
        <v>RB</v>
      </c>
      <c r="AF93" s="18" t="str">
        <f>LOOKUP(CONCATENATE(AF2,AF83,AF3),MATRIZ!$A$1:$B$64)</f>
        <v>RB</v>
      </c>
      <c r="AG93" s="18" t="str">
        <f>LOOKUP(CONCATENATE(AG2,AG83,AG3),MATRIZ!$A$1:$B$64)</f>
        <v>RB</v>
      </c>
      <c r="AH93" s="18" t="str">
        <f>LOOKUP(CONCATENATE(AH2,AH83,AH3),MATRIZ!$A$1:$B$64)</f>
        <v>RM</v>
      </c>
      <c r="AI93" s="18" t="str">
        <f>LOOKUP(CONCATENATE(AI2,AI83,AI3),MATRIZ!$A$1:$B$64)</f>
        <v>RM</v>
      </c>
      <c r="AJ93" s="18" t="str">
        <f>LOOKUP(CONCATENATE(AJ2,AJ83,AJ3),MATRIZ!$A$1:$B$64)</f>
        <v>RB</v>
      </c>
      <c r="AK93" s="18" t="str">
        <f>LOOKUP(CONCATENATE(AK2,AK83,AK3),MATRIZ!$A$1:$B$64)</f>
        <v>RM</v>
      </c>
      <c r="AL93" s="18" t="str">
        <f>LOOKUP(CONCATENATE(AL2,AL83,AL3),MATRIZ!$A$1:$B$64)</f>
        <v>RM</v>
      </c>
      <c r="AM93" s="18" t="str">
        <f>LOOKUP(CONCATENATE(AM2,AM83,AM3),MATRIZ!$A$1:$B$64)</f>
        <v>RM</v>
      </c>
      <c r="AN93" s="18" t="str">
        <f>LOOKUP(CONCATENATE(AN2,AN83,AN3),MATRIZ!$A$1:$B$64)</f>
        <v>RB</v>
      </c>
      <c r="AO93" s="18" t="str">
        <f>LOOKUP(CONCATENATE(AO2,AO83,AO3),MATRIZ!$A$1:$B$64)</f>
        <v>RM</v>
      </c>
      <c r="AP93" s="18" t="str">
        <f>LOOKUP(CONCATENATE(AP2,AP83,AP3),MATRIZ!$A$1:$B$64)</f>
        <v>RM</v>
      </c>
      <c r="AQ93" s="18" t="str">
        <f>LOOKUP(CONCATENATE(AQ2,AQ83,AQ3),MATRIZ!$A$1:$B$64)</f>
        <v>RB</v>
      </c>
      <c r="AR93" s="18" t="str">
        <f>LOOKUP(CONCATENATE(AR2,AR83,AR3),MATRIZ!$A$1:$B$64)</f>
        <v>RM</v>
      </c>
      <c r="AS93" s="18" t="str">
        <f>LOOKUP(CONCATENATE(AS2,AS83,AS3),MATRIZ!$A$1:$B$64)</f>
        <v>RM</v>
      </c>
      <c r="AT93" s="18" t="str">
        <f>LOOKUP(CONCATENATE(AT2,AT83,AT3),MATRIZ!$A$1:$B$64)</f>
        <v>RM</v>
      </c>
      <c r="AU93" s="18" t="str">
        <f>LOOKUP(CONCATENATE(AU2,AU83,AU3),MATRIZ!$A$1:$B$64)</f>
        <v>RM</v>
      </c>
      <c r="AV93" s="18" t="str">
        <f>LOOKUP(CONCATENATE(AV2,AV83,AV3),MATRIZ!$A$1:$B$64)</f>
        <v>RM</v>
      </c>
      <c r="AW93" s="18" t="str">
        <f>LOOKUP(CONCATENATE(AW2,AW83,AW3),MATRIZ!$A$1:$B$64)</f>
        <v>RM</v>
      </c>
      <c r="AX93" s="18" t="str">
        <f>LOOKUP(CONCATENATE(AX2,AX83,AX3),MATRIZ!$A$1:$B$64)</f>
        <v>RA</v>
      </c>
      <c r="AY93" s="18" t="str">
        <f>LOOKUP(CONCATENATE(AY2,AY83,AY3),MATRIZ!$A$1:$B$64)</f>
        <v>RM</v>
      </c>
      <c r="AZ93" s="18" t="str">
        <f>LOOKUP(CONCATENATE(AZ2,AZ83,AZ3),MATRIZ!$A$1:$B$64)</f>
        <v>RB</v>
      </c>
      <c r="BA93" s="18" t="str">
        <f>LOOKUP(CONCATENATE(BA2,BA83,BA3),MATRIZ!$A$1:$B$64)</f>
        <v>RM</v>
      </c>
      <c r="BB93" s="18" t="str">
        <f>LOOKUP(CONCATENATE(BB2,BB83,BB3),MATRIZ!$A$1:$B$64)</f>
        <v>RB</v>
      </c>
      <c r="BC93" s="18" t="str">
        <f>LOOKUP(CONCATENATE(BC2,BC83,BC3),MATRIZ!$A$1:$B$64)</f>
        <v>RM</v>
      </c>
      <c r="BD93" s="18" t="str">
        <f>LOOKUP(CONCATENATE(BD2,BD83,BD3),MATRIZ!$A$1:$B$64)</f>
        <v>RB</v>
      </c>
      <c r="BE93" s="18" t="str">
        <f>LOOKUP(CONCATENATE(BE2,BE83,BE3),MATRIZ!$A$1:$B$64)</f>
        <v>RA</v>
      </c>
      <c r="BF93" s="18" t="str">
        <f>LOOKUP(CONCATENATE(BF2,BF83,BF3),MATRIZ!$A$1:$B$64)</f>
        <v>RB</v>
      </c>
      <c r="BG93" s="18" t="str">
        <f>LOOKUP(CONCATENATE(BG2,BG83,BG3),MATRIZ!$A$1:$B$64)</f>
        <v>RM</v>
      </c>
      <c r="BH93" s="18" t="str">
        <f>LOOKUP(CONCATENATE(BH2,BH83,BH3),MATRIZ!$A$1:$B$64)</f>
        <v>RM</v>
      </c>
      <c r="BI93" s="18" t="str">
        <f>LOOKUP(CONCATENATE(BI2,BI83,BI3),MATRIZ!$A$1:$B$64)</f>
        <v>RB</v>
      </c>
      <c r="BJ93" s="18" t="str">
        <f>LOOKUP(CONCATENATE(BJ2,BJ83,BJ3),MATRIZ!$A$1:$B$64)</f>
        <v>RA</v>
      </c>
      <c r="BK93" s="18" t="str">
        <f>LOOKUP(CONCATENATE(BK2,BK83,BK3),MATRIZ!$A$1:$B$64)</f>
        <v>RB</v>
      </c>
      <c r="BL93" s="18" t="str">
        <f>LOOKUP(CONCATENATE(BL2,BL83,BL3),MATRIZ!$A$1:$B$64)</f>
        <v>RM</v>
      </c>
      <c r="BM93" s="18" t="str">
        <f>LOOKUP(CONCATENATE(BM2,BM83,BM3),MATRIZ!$A$1:$B$64)</f>
        <v>RM</v>
      </c>
      <c r="BN93" s="18" t="str">
        <f>LOOKUP(CONCATENATE(BN2,BN83,BN3),MATRIZ!$A$1:$B$64)</f>
        <v>RM</v>
      </c>
      <c r="BO93" s="18" t="str">
        <f>LOOKUP(CONCATENATE(BO2,BO83,BO3),MATRIZ!$A$1:$B$64)</f>
        <v>RB</v>
      </c>
      <c r="BP93" s="18" t="str">
        <f>LOOKUP(CONCATENATE(BP2,BP83,BP3),MATRIZ!$A$1:$B$64)</f>
        <v>RM</v>
      </c>
      <c r="BQ93" s="18" t="str">
        <f>LOOKUP(CONCATENATE(BQ2,BQ83,BQ3),MATRIZ!$A$1:$B$64)</f>
        <v>RM</v>
      </c>
      <c r="BR93" s="18" t="str">
        <f>LOOKUP(CONCATENATE(BR2,BR83,BR3),MATRIZ!$A$1:$B$64)</f>
        <v>RM</v>
      </c>
      <c r="BS93" s="18" t="str">
        <f>LOOKUP(CONCATENATE(BS2,BS83,BS3),MATRIZ!$A$1:$B$64)</f>
        <v>RM</v>
      </c>
      <c r="BT93" s="18" t="str">
        <f>LOOKUP(CONCATENATE(BT2,BT83,BT3),MATRIZ!$A$1:$B$64)</f>
        <v>RM</v>
      </c>
      <c r="BU93" s="18" t="str">
        <f>LOOKUP(CONCATENATE(BU2,BU83,BU3),MATRIZ!$A$1:$B$64)</f>
        <v>RM</v>
      </c>
      <c r="BV93" s="18" t="str">
        <f>LOOKUP(CONCATENATE(BV2,BV83,BV3),MATRIZ!$A$1:$B$64)</f>
        <v>RM</v>
      </c>
      <c r="BW93" s="18" t="str">
        <f>LOOKUP(CONCATENATE(BW2,BW83,BW3),MATRIZ!$A$1:$B$64)</f>
        <v>RB</v>
      </c>
      <c r="BX93" s="18" t="str">
        <f>LOOKUP(CONCATENATE(BX2,BX83,BX3),MATRIZ!$A$1:$B$64)</f>
        <v>RB</v>
      </c>
      <c r="BY93" s="18" t="str">
        <f>LOOKUP(CONCATENATE(BY2,BY83,BY3),MATRIZ!$A$1:$B$64)</f>
        <v>RB</v>
      </c>
      <c r="BZ93" s="18" t="str">
        <f>LOOKUP(CONCATENATE(BZ2,BZ83,BZ3),MATRIZ!$A$1:$B$64)</f>
        <v>RM</v>
      </c>
      <c r="CA93" s="18" t="str">
        <f>LOOKUP(CONCATENATE(CA2,CA83,CA3),MATRIZ!$A$1:$B$64)</f>
        <v>RM</v>
      </c>
      <c r="CB93" s="18" t="str">
        <f>LOOKUP(CONCATENATE(CB2,CB83,CB3),MATRIZ!$A$1:$B$64)</f>
        <v>RB</v>
      </c>
      <c r="CC93" s="18" t="str">
        <f>LOOKUP(CONCATENATE(CC2,CC83,CC3),MATRIZ!$A$1:$B$64)</f>
        <v>RB</v>
      </c>
      <c r="CD93" s="18" t="str">
        <f>LOOKUP(CONCATENATE(CD2,CD83,CD3),MATRIZ!$A$1:$B$64)</f>
        <v>RB</v>
      </c>
      <c r="CE93" s="18" t="str">
        <f>LOOKUP(CONCATENATE(CE2,CE83,CE3),MATRIZ!$A$1:$B$64)</f>
        <v>RM</v>
      </c>
      <c r="CF93" s="18" t="str">
        <f>LOOKUP(CONCATENATE(CF2,CF83,CF3),MATRIZ!$A$1:$B$64)</f>
        <v>RM</v>
      </c>
      <c r="CG93" s="18" t="str">
        <f>LOOKUP(CONCATENATE(CG2,CG83,CG3),MATRIZ!$A$1:$B$64)</f>
        <v>RM</v>
      </c>
      <c r="CH93" s="18" t="str">
        <f>LOOKUP(CONCATENATE(CH2,CH83,CH3),MATRIZ!$A$1:$B$64)</f>
        <v>RM</v>
      </c>
      <c r="CI93" s="18" t="str">
        <f>LOOKUP(CONCATENATE(CI2,CI83,CI3),MATRIZ!$A$1:$B$64)</f>
        <v>RM</v>
      </c>
      <c r="CJ93" s="18" t="str">
        <f>LOOKUP(CONCATENATE(CJ2,CJ83,CJ3),MATRIZ!$A$1:$B$64)</f>
        <v>RM</v>
      </c>
      <c r="CK93" s="18" t="str">
        <f>LOOKUP(CONCATENATE(CK2,CK83,CK3),MATRIZ!$A$1:$B$64)</f>
        <v>RM</v>
      </c>
      <c r="CL93" s="18" t="str">
        <f>LOOKUP(CONCATENATE(CL2,CL83,CL3),MATRIZ!$A$1:$B$64)</f>
        <v>RM</v>
      </c>
      <c r="CM93" s="18" t="str">
        <f>LOOKUP(CONCATENATE(CM2,CM83,CM3),MATRIZ!$A$1:$B$64)</f>
        <v>RM</v>
      </c>
      <c r="CN93" s="18" t="str">
        <f>LOOKUP(CONCATENATE(CN2,CN83,CN3),MATRIZ!$A$1:$B$64)</f>
        <v>RM</v>
      </c>
      <c r="CO93" s="18" t="str">
        <f>LOOKUP(CONCATENATE(CO2,CO83,CO3),MATRIZ!$A$1:$B$64)</f>
        <v>RM</v>
      </c>
      <c r="CP93" s="18" t="str">
        <f>LOOKUP(CONCATENATE(CP2,CP83,CP3),MATRIZ!$A$1:$B$64)</f>
        <v>RB</v>
      </c>
      <c r="CQ93" s="18" t="str">
        <f>LOOKUP(CONCATENATE(CQ2,CQ83,CQ3),MATRIZ!$A$1:$B$64)</f>
        <v>RM</v>
      </c>
      <c r="CR93" s="18" t="str">
        <f>LOOKUP(CONCATENATE(CR2,CR83,CR3),MATRIZ!$A$1:$B$64)</f>
        <v>RM</v>
      </c>
      <c r="CS93" s="18" t="str">
        <f>LOOKUP(CONCATENATE(CS2,CS83,CS3),MATRIZ!$A$1:$B$64)</f>
        <v>RB</v>
      </c>
      <c r="CT93" s="18" t="str">
        <f>LOOKUP(CONCATENATE(CT2,CT83,CT3),MATRIZ!$A$1:$B$64)</f>
        <v>RB</v>
      </c>
      <c r="CU93" s="18" t="str">
        <f>LOOKUP(CONCATENATE(CU2,CU83,CU3),MATRIZ!$A$1:$B$64)</f>
        <v>RM</v>
      </c>
      <c r="CV93" s="18" t="str">
        <f>LOOKUP(CONCATENATE(CV2,CV83,CV3),MATRIZ!$A$1:$B$64)</f>
        <v>RM</v>
      </c>
      <c r="CW93" s="18" t="str">
        <f>LOOKUP(CONCATENATE(CW2,CW83,CW3),MATRIZ!$A$1:$B$64)</f>
        <v>RM</v>
      </c>
      <c r="CX93" s="18" t="str">
        <f>LOOKUP(CONCATENATE(CX2,CX83,CX3),MATRIZ!$A$1:$B$64)</f>
        <v>RM</v>
      </c>
      <c r="CY93" s="18" t="str">
        <f>LOOKUP(CONCATENATE(CY2,CY83,CY3),MATRIZ!$A$1:$B$64)</f>
        <v>RM</v>
      </c>
      <c r="CZ93" s="18" t="str">
        <f>LOOKUP(CONCATENATE(CZ2,CZ83,CZ3),MATRIZ!$A$1:$B$64)</f>
        <v>RM</v>
      </c>
      <c r="DA93" s="18" t="str">
        <f>LOOKUP(CONCATENATE(DA2,DA83,DA3),MATRIZ!$A$1:$B$64)</f>
        <v>RM</v>
      </c>
      <c r="DB93" s="18" t="str">
        <f>LOOKUP(CONCATENATE(DB2,DB83,DB3),MATRIZ!$A$1:$B$64)</f>
        <v>RM</v>
      </c>
      <c r="DC93" s="18" t="str">
        <f>LOOKUP(CONCATENATE(DC2,DC83,DC3),MATRIZ!$A$1:$B$64)</f>
        <v>RM</v>
      </c>
      <c r="DD93" s="18" t="str">
        <f>LOOKUP(CONCATENATE(DD2,DD83,DD3),MATRIZ!$A$1:$B$64)</f>
        <v>RM</v>
      </c>
      <c r="DE93" s="18" t="str">
        <f>LOOKUP(CONCATENATE(DE2,DE83,DE3),MATRIZ!$A$1:$B$64)</f>
        <v>RM</v>
      </c>
      <c r="DF93" s="18" t="str">
        <f>LOOKUP(CONCATENATE(DF2,DF83,DF3),MATRIZ!$A$1:$B$64)</f>
        <v>RM</v>
      </c>
      <c r="DG93" s="18" t="str">
        <f>LOOKUP(CONCATENATE(DG2,DG83,DG3),MATRIZ!$A$1:$B$64)</f>
        <v>RM</v>
      </c>
      <c r="DH93" s="18" t="str">
        <f>LOOKUP(CONCATENATE(DH2,DH83,DH3),MATRIZ!$A$1:$B$64)</f>
        <v>RA</v>
      </c>
      <c r="DI93" s="18"/>
      <c r="DJ93" s="18"/>
      <c r="DK93" s="18"/>
      <c r="DL93" s="18"/>
      <c r="DM93" s="18"/>
      <c r="DN93" s="18"/>
      <c r="DO93" s="18"/>
      <c r="DP93" s="18"/>
      <c r="DQ93" s="18"/>
      <c r="DR93" s="18"/>
      <c r="DS93" s="18"/>
      <c r="DT93" s="18"/>
      <c r="DU93" s="18"/>
      <c r="DV93" s="18"/>
      <c r="DW93" s="18"/>
      <c r="DX93" s="9"/>
      <c r="DY93" s="1"/>
    </row>
    <row r="94" spans="1:129" ht="48" customHeight="1" x14ac:dyDescent="0.25">
      <c r="A94" s="6"/>
      <c r="B94" s="110" t="s">
        <v>269</v>
      </c>
      <c r="C94" s="18" t="str">
        <f>LOOKUP(CONCATENATE(RF!C65,C83,'RC'!C31),MATRIZ!$A$1:$B$64)</f>
        <v>RB</v>
      </c>
      <c r="D94" s="18" t="str">
        <f>LOOKUP(CONCATENATE(RF!D65,D83,'RC'!D31),MATRIZ!$A$1:$B$64)</f>
        <v>RB</v>
      </c>
      <c r="E94" s="18" t="str">
        <f>LOOKUP(CONCATENATE(RF!E65,E83,'RC'!E31),MATRIZ!$A$1:$B$64)</f>
        <v>RB</v>
      </c>
      <c r="F94" s="18" t="str">
        <f>LOOKUP(CONCATENATE(RF!F65,F83,'RC'!F31),MATRIZ!$A$1:$B$64)</f>
        <v>RB</v>
      </c>
      <c r="G94" s="18" t="str">
        <f>LOOKUP(CONCATENATE(RF!G65,G83,'RC'!G31),MATRIZ!$A$1:$B$64)</f>
        <v>RB</v>
      </c>
      <c r="H94" s="18" t="str">
        <f>LOOKUP(CONCATENATE(RF!H65,H83,'RC'!H31),MATRIZ!$A$1:$B$64)</f>
        <v>RB</v>
      </c>
      <c r="I94" s="18" t="str">
        <f>LOOKUP(CONCATENATE(RF!I65,I83,'RC'!I31),MATRIZ!$A$1:$B$64)</f>
        <v>RB</v>
      </c>
      <c r="J94" s="18" t="str">
        <f>LOOKUP(CONCATENATE(RF!J65,J83,'RC'!J31),MATRIZ!$A$1:$B$64)</f>
        <v>RB</v>
      </c>
      <c r="K94" s="18" t="str">
        <f>LOOKUP(CONCATENATE(RF!K65,K83,'RC'!K31),MATRIZ!$A$1:$B$64)</f>
        <v>RB</v>
      </c>
      <c r="L94" s="18" t="str">
        <f>LOOKUP(CONCATENATE(RF!L65,L83,'RC'!L31),MATRIZ!$A$1:$B$64)</f>
        <v>RB</v>
      </c>
      <c r="M94" s="18" t="str">
        <f>LOOKUP(CONCATENATE(RF!M65,M83,'RC'!M31),MATRIZ!$A$1:$B$64)</f>
        <v>RB</v>
      </c>
      <c r="N94" s="18" t="str">
        <f>LOOKUP(CONCATENATE(RF!N65,N83,'RC'!N31),MATRIZ!$A$1:$B$64)</f>
        <v>RB</v>
      </c>
      <c r="O94" s="18" t="str">
        <f>LOOKUP(CONCATENATE(RF!O65,O83,'RC'!O31),MATRIZ!$A$1:$B$64)</f>
        <v>RB</v>
      </c>
      <c r="P94" s="18" t="str">
        <f>LOOKUP(CONCATENATE(RF!P65,P83,'RC'!P31),MATRIZ!$A$1:$B$64)</f>
        <v>RB</v>
      </c>
      <c r="Q94" s="18" t="str">
        <f>LOOKUP(CONCATENATE(RF!Q65,Q83,'RC'!Q31),MATRIZ!$A$1:$B$64)</f>
        <v>RB</v>
      </c>
      <c r="R94" s="18" t="str">
        <f>LOOKUP(CONCATENATE(RF!R65,R83,'RC'!R31),MATRIZ!$A$1:$B$64)</f>
        <v>RB</v>
      </c>
      <c r="S94" s="18" t="str">
        <f>LOOKUP(CONCATENATE(RF!S65,S83,'RC'!S31),MATRIZ!$A$1:$B$64)</f>
        <v>RB</v>
      </c>
      <c r="T94" s="18" t="str">
        <f>LOOKUP(CONCATENATE(RF!T65,T83,'RC'!T31),MATRIZ!$A$1:$B$64)</f>
        <v>RM</v>
      </c>
      <c r="U94" s="18" t="str">
        <f>LOOKUP(CONCATENATE(RF!U65,U83,'RC'!U31),MATRIZ!$A$1:$B$64)</f>
        <v>RB</v>
      </c>
      <c r="V94" s="18" t="str">
        <f>LOOKUP(CONCATENATE(RF!V65,V83,'RC'!V31),MATRIZ!$A$1:$B$64)</f>
        <v>RB</v>
      </c>
      <c r="W94" s="18" t="str">
        <f>LOOKUP(CONCATENATE(RF!W65,W83,'RC'!W31),MATRIZ!$A$1:$B$64)</f>
        <v>RB</v>
      </c>
      <c r="X94" s="18" t="str">
        <f>LOOKUP(CONCATENATE(RF!X65,X83,'RC'!X31),MATRIZ!$A$1:$B$64)</f>
        <v>RB</v>
      </c>
      <c r="Y94" s="18" t="str">
        <f>LOOKUP(CONCATENATE(RF!Y65,Y83,'RC'!Y31),MATRIZ!$A$1:$B$64)</f>
        <v>RB</v>
      </c>
      <c r="Z94" s="18" t="str">
        <f>LOOKUP(CONCATENATE(RF!Z65,Z83,'RC'!Z31),MATRIZ!$A$1:$B$64)</f>
        <v>RB</v>
      </c>
      <c r="AA94" s="18" t="str">
        <f>LOOKUP(CONCATENATE(RF!AA65,AA83,'RC'!AA31),MATRIZ!$A$1:$B$64)</f>
        <v>RB</v>
      </c>
      <c r="AB94" s="18" t="str">
        <f>LOOKUP(CONCATENATE(RF!AB65,AB83,'RC'!AB31),MATRIZ!$A$1:$B$64)</f>
        <v>RB</v>
      </c>
      <c r="AC94" s="18" t="str">
        <f>LOOKUP(CONCATENATE(RF!AC65,AC83,'RC'!AC31),MATRIZ!$A$1:$B$64)</f>
        <v>RB</v>
      </c>
      <c r="AD94" s="18" t="str">
        <f>LOOKUP(CONCATENATE(RF!AD65,AD83,'RC'!AD31),MATRIZ!$A$1:$B$64)</f>
        <v>RB</v>
      </c>
      <c r="AE94" s="18" t="str">
        <f>LOOKUP(CONCATENATE(RF!AE65,AE83,'RC'!AE31),MATRIZ!$A$1:$B$64)</f>
        <v>RB</v>
      </c>
      <c r="AF94" s="18" t="str">
        <f>LOOKUP(CONCATENATE(RF!AF65,AF83,'RC'!AF31),MATRIZ!$A$1:$B$64)</f>
        <v>RB</v>
      </c>
      <c r="AG94" s="18" t="str">
        <f>LOOKUP(CONCATENATE(RF!AG65,AG83,'RC'!AG31),MATRIZ!$A$1:$B$64)</f>
        <v>RB</v>
      </c>
      <c r="AH94" s="18" t="str">
        <f>LOOKUP(CONCATENATE(RF!AH65,AH83,'RC'!AH31),MATRIZ!$A$1:$B$64)</f>
        <v>RB</v>
      </c>
      <c r="AI94" s="18" t="str">
        <f>LOOKUP(CONCATENATE(RF!AI65,AI83,'RC'!AI31),MATRIZ!$A$1:$B$64)</f>
        <v>RB</v>
      </c>
      <c r="AJ94" s="18" t="str">
        <f>LOOKUP(CONCATENATE(RF!AJ65,AJ83,'RC'!AJ31),MATRIZ!$A$1:$B$64)</f>
        <v>RB</v>
      </c>
      <c r="AK94" s="18" t="str">
        <f>LOOKUP(CONCATENATE(RF!AK65,AK83,'RC'!AK31),MATRIZ!$A$1:$B$64)</f>
        <v>RB</v>
      </c>
      <c r="AL94" s="18" t="str">
        <f>LOOKUP(CONCATENATE(RF!AL65,AL83,'RC'!AL31),MATRIZ!$A$1:$B$64)</f>
        <v>RB</v>
      </c>
      <c r="AM94" s="18" t="str">
        <f>LOOKUP(CONCATENATE(RF!AM65,AM83,'RC'!AM31),MATRIZ!$A$1:$B$64)</f>
        <v>RB</v>
      </c>
      <c r="AN94" s="18" t="str">
        <f>LOOKUP(CONCATENATE(RF!AN65,AN83,'RC'!AN31),MATRIZ!$A$1:$B$64)</f>
        <v>RB</v>
      </c>
      <c r="AO94" s="18" t="str">
        <f>LOOKUP(CONCATENATE(RF!AO65,AO83,'RC'!AO31),MATRIZ!$A$1:$B$64)</f>
        <v>RB</v>
      </c>
      <c r="AP94" s="18" t="str">
        <f>LOOKUP(CONCATENATE(RF!AP65,AP83,'RC'!AP31),MATRIZ!$A$1:$B$64)</f>
        <v>RB</v>
      </c>
      <c r="AQ94" s="18" t="str">
        <f>LOOKUP(CONCATENATE(RF!AQ65,AQ83,'RC'!AQ31),MATRIZ!$A$1:$B$64)</f>
        <v>RB</v>
      </c>
      <c r="AR94" s="18" t="str">
        <f>LOOKUP(CONCATENATE(RF!AR65,AR83,'RC'!AR31),MATRIZ!$A$1:$B$64)</f>
        <v>RB</v>
      </c>
      <c r="AS94" s="18" t="str">
        <f>LOOKUP(CONCATENATE(RF!AS65,AS83,'RC'!AS31),MATRIZ!$A$1:$B$64)</f>
        <v>RB</v>
      </c>
      <c r="AT94" s="18" t="str">
        <f>LOOKUP(CONCATENATE(RF!AT65,AT83,'RC'!AT31),MATRIZ!$A$1:$B$64)</f>
        <v>RB</v>
      </c>
      <c r="AU94" s="18" t="str">
        <f>LOOKUP(CONCATENATE(RF!AU65,AU83,'RC'!AU31),MATRIZ!$A$1:$B$64)</f>
        <v>RB</v>
      </c>
      <c r="AV94" s="18" t="str">
        <f>LOOKUP(CONCATENATE(RF!AV65,AV83,'RC'!AV31),MATRIZ!$A$1:$B$64)</f>
        <v>RB</v>
      </c>
      <c r="AW94" s="18" t="str">
        <f>LOOKUP(CONCATENATE(RF!AW65,AW83,'RC'!AW31),MATRIZ!$A$1:$B$64)</f>
        <v>RB</v>
      </c>
      <c r="AX94" s="18" t="str">
        <f>LOOKUP(CONCATENATE(RF!AX65,AX83,'RC'!AX31),MATRIZ!$A$1:$B$64)</f>
        <v>RM</v>
      </c>
      <c r="AY94" s="18" t="str">
        <f>LOOKUP(CONCATENATE(RF!AY65,AY83,'RC'!AY31),MATRIZ!$A$1:$B$64)</f>
        <v>RB</v>
      </c>
      <c r="AZ94" s="18" t="str">
        <f>LOOKUP(CONCATENATE(RF!AZ65,AZ83,'RC'!AZ31),MATRIZ!$A$1:$B$64)</f>
        <v>RB</v>
      </c>
      <c r="BA94" s="18" t="str">
        <f>LOOKUP(CONCATENATE(RF!BA65,BA83,'RC'!BA31),MATRIZ!$A$1:$B$64)</f>
        <v>RB</v>
      </c>
      <c r="BB94" s="18" t="str">
        <f>LOOKUP(CONCATENATE(RF!BB65,BB83,'RC'!BB31),MATRIZ!$A$1:$B$64)</f>
        <v>RB</v>
      </c>
      <c r="BC94" s="18" t="str">
        <f>LOOKUP(CONCATENATE(RF!BC65,BC83,'RC'!BC31),MATRIZ!$A$1:$B$64)</f>
        <v>RB</v>
      </c>
      <c r="BD94" s="18" t="str">
        <f>LOOKUP(CONCATENATE(RF!BD65,BD83,'RC'!BD31),MATRIZ!$A$1:$B$64)</f>
        <v>RB</v>
      </c>
      <c r="BE94" s="18" t="str">
        <f>LOOKUP(CONCATENATE(RF!BE65,BE83,'RC'!BE31),MATRIZ!$A$1:$B$64)</f>
        <v>RM</v>
      </c>
      <c r="BF94" s="18" t="str">
        <f>LOOKUP(CONCATENATE(RF!BF65,BF83,'RC'!BF31),MATRIZ!$A$1:$B$64)</f>
        <v>RB</v>
      </c>
      <c r="BG94" s="18" t="str">
        <f>LOOKUP(CONCATENATE(RF!BG65,BG83,'RC'!BG31),MATRIZ!$A$1:$B$64)</f>
        <v>RB</v>
      </c>
      <c r="BH94" s="18" t="str">
        <f>LOOKUP(CONCATENATE(RF!BH65,BH83,'RC'!BH31),MATRIZ!$A$1:$B$64)</f>
        <v>RB</v>
      </c>
      <c r="BI94" s="18" t="str">
        <f>LOOKUP(CONCATENATE(RF!BI65,BI83,'RC'!BI31),MATRIZ!$A$1:$B$64)</f>
        <v>RB</v>
      </c>
      <c r="BJ94" s="18" t="str">
        <f>LOOKUP(CONCATENATE(RF!BJ65,BJ83,'RC'!BJ31),MATRIZ!$A$1:$B$64)</f>
        <v>RM</v>
      </c>
      <c r="BK94" s="18" t="str">
        <f>LOOKUP(CONCATENATE(RF!BK65,BK83,'RC'!BK31),MATRIZ!$A$1:$B$64)</f>
        <v>RB</v>
      </c>
      <c r="BL94" s="18" t="str">
        <f>LOOKUP(CONCATENATE(RF!BL65,BL83,'RC'!BL31),MATRIZ!$A$1:$B$64)</f>
        <v>RB</v>
      </c>
      <c r="BM94" s="18" t="str">
        <f>LOOKUP(CONCATENATE(RF!BM65,BM83,'RC'!BM31),MATRIZ!$A$1:$B$64)</f>
        <v>RB</v>
      </c>
      <c r="BN94" s="18" t="str">
        <f>LOOKUP(CONCATENATE(RF!BN65,BN83,'RC'!BN31),MATRIZ!$A$1:$B$64)</f>
        <v>RB</v>
      </c>
      <c r="BO94" s="18" t="str">
        <f>LOOKUP(CONCATENATE(RF!BO65,BO83,'RC'!BO31),MATRIZ!$A$1:$B$64)</f>
        <v>RB</v>
      </c>
      <c r="BP94" s="18" t="str">
        <f>LOOKUP(CONCATENATE(RF!BP65,BP83,'RC'!BP31),MATRIZ!$A$1:$B$64)</f>
        <v>RB</v>
      </c>
      <c r="BQ94" s="18" t="str">
        <f>LOOKUP(CONCATENATE(RF!BQ65,BQ83,'RC'!BQ31),MATRIZ!$A$1:$B$64)</f>
        <v>RB</v>
      </c>
      <c r="BR94" s="18" t="str">
        <f>LOOKUP(CONCATENATE(RF!BR65,BR83,'RC'!BR31),MATRIZ!$A$1:$B$64)</f>
        <v>RB</v>
      </c>
      <c r="BS94" s="18" t="str">
        <f>LOOKUP(CONCATENATE(RF!BS65,BS83,'RC'!BS31),MATRIZ!$A$1:$B$64)</f>
        <v>RB</v>
      </c>
      <c r="BT94" s="18" t="str">
        <f>LOOKUP(CONCATENATE(RF!BT65,BT83,'RC'!BT31),MATRIZ!$A$1:$B$64)</f>
        <v>RB</v>
      </c>
      <c r="BU94" s="18" t="str">
        <f>LOOKUP(CONCATENATE(RF!BU65,BU83,'RC'!BU31),MATRIZ!$A$1:$B$64)</f>
        <v>RM</v>
      </c>
      <c r="BV94" s="18" t="str">
        <f>LOOKUP(CONCATENATE(RF!BV65,BV83,'RC'!BV31),MATRIZ!$A$1:$B$64)</f>
        <v>RB</v>
      </c>
      <c r="BW94" s="18" t="str">
        <f>LOOKUP(CONCATENATE(RF!BW65,BW83,'RC'!BW31),MATRIZ!$A$1:$B$64)</f>
        <v>RB</v>
      </c>
      <c r="BX94" s="18" t="str">
        <f>LOOKUP(CONCATENATE(RF!BX65,BX83,'RC'!BX31),MATRIZ!$A$1:$B$64)</f>
        <v>RB</v>
      </c>
      <c r="BY94" s="18" t="str">
        <f>LOOKUP(CONCATENATE(RF!BY65,BY83,'RC'!BY31),MATRIZ!$A$1:$B$64)</f>
        <v>RB</v>
      </c>
      <c r="BZ94" s="18" t="str">
        <f>LOOKUP(CONCATENATE(RF!BZ65,BZ83,'RC'!BZ31),MATRIZ!$A$1:$B$64)</f>
        <v>RB</v>
      </c>
      <c r="CA94" s="18" t="str">
        <f>LOOKUP(CONCATENATE(RF!CA65,CA83,'RC'!CA31),MATRIZ!$A$1:$B$64)</f>
        <v>RB</v>
      </c>
      <c r="CB94" s="18" t="str">
        <f>LOOKUP(CONCATENATE(RF!CB65,CB83,'RC'!CB31),MATRIZ!$A$1:$B$64)</f>
        <v>RB</v>
      </c>
      <c r="CC94" s="18" t="str">
        <f>LOOKUP(CONCATENATE(RF!CC65,CC83,'RC'!CC31),MATRIZ!$A$1:$B$64)</f>
        <v>RB</v>
      </c>
      <c r="CD94" s="18" t="str">
        <f>LOOKUP(CONCATENATE(RF!CD65,CD83,'RC'!CD31),MATRIZ!$A$1:$B$64)</f>
        <v>RB</v>
      </c>
      <c r="CE94" s="18" t="str">
        <f>LOOKUP(CONCATENATE(RF!CE65,CE83,'RC'!CE31),MATRIZ!$A$1:$B$64)</f>
        <v>RM</v>
      </c>
      <c r="CF94" s="18" t="str">
        <f>LOOKUP(CONCATENATE(RF!CF65,CF83,'RC'!CF31),MATRIZ!$A$1:$B$64)</f>
        <v>RM</v>
      </c>
      <c r="CG94" s="18" t="str">
        <f>LOOKUP(CONCATENATE(RF!CG65,CG83,'RC'!CG31),MATRIZ!$A$1:$B$64)</f>
        <v>RB</v>
      </c>
      <c r="CH94" s="18" t="str">
        <f>LOOKUP(CONCATENATE(RF!CH65,CH83,'RC'!CH31),MATRIZ!$A$1:$B$64)</f>
        <v>RB</v>
      </c>
      <c r="CI94" s="18" t="str">
        <f>LOOKUP(CONCATENATE(RF!CI65,CI83,'RC'!CI31),MATRIZ!$A$1:$B$64)</f>
        <v>RB</v>
      </c>
      <c r="CJ94" s="18" t="str">
        <f>LOOKUP(CONCATENATE(RF!CJ65,CJ83,'RC'!CJ31),MATRIZ!$A$1:$B$64)</f>
        <v>RB</v>
      </c>
      <c r="CK94" s="18" t="str">
        <f>LOOKUP(CONCATENATE(RF!CK65,CK83,'RC'!CK31),MATRIZ!$A$1:$B$64)</f>
        <v>RB</v>
      </c>
      <c r="CL94" s="18" t="str">
        <f>LOOKUP(CONCATENATE(RF!CL65,CL83,'RC'!CL31),MATRIZ!$A$1:$B$64)</f>
        <v>RB</v>
      </c>
      <c r="CM94" s="18" t="str">
        <f>LOOKUP(CONCATENATE(RF!CM65,CM83,'RC'!CM31),MATRIZ!$A$1:$B$64)</f>
        <v>RB</v>
      </c>
      <c r="CN94" s="18" t="str">
        <f>LOOKUP(CONCATENATE(RF!CN65,CN83,'RC'!CN31),MATRIZ!$A$1:$B$64)</f>
        <v>RM</v>
      </c>
      <c r="CO94" s="18" t="str">
        <f>LOOKUP(CONCATENATE(RF!CO65,CO83,'RC'!CO31),MATRIZ!$A$1:$B$64)</f>
        <v>RB</v>
      </c>
      <c r="CP94" s="18" t="str">
        <f>LOOKUP(CONCATENATE(RF!CP65,CP83,'RC'!CP31),MATRIZ!$A$1:$B$64)</f>
        <v>RB</v>
      </c>
      <c r="CQ94" s="18" t="str">
        <f>LOOKUP(CONCATENATE(RF!CQ65,CQ83,'RC'!CQ31),MATRIZ!$A$1:$B$64)</f>
        <v>RB</v>
      </c>
      <c r="CR94" s="18" t="str">
        <f>LOOKUP(CONCATENATE(RF!CR65,CR83,'RC'!CR31),MATRIZ!$A$1:$B$64)</f>
        <v>RB</v>
      </c>
      <c r="CS94" s="18" t="str">
        <f>LOOKUP(CONCATENATE(RF!CS65,CS83,'RC'!CS31),MATRIZ!$A$1:$B$64)</f>
        <v>RB</v>
      </c>
      <c r="CT94" s="18" t="str">
        <f>LOOKUP(CONCATENATE(RF!CT65,CT83,'RC'!CT31),MATRIZ!$A$1:$B$64)</f>
        <v>RB</v>
      </c>
      <c r="CU94" s="18" t="str">
        <f>LOOKUP(CONCATENATE(RF!CU65,CU83,'RC'!CU31),MATRIZ!$A$1:$B$64)</f>
        <v>RB</v>
      </c>
      <c r="CV94" s="18" t="str">
        <f>LOOKUP(CONCATENATE(RF!CV65,CV83,'RC'!CV31),MATRIZ!$A$1:$B$64)</f>
        <v>RB</v>
      </c>
      <c r="CW94" s="18" t="str">
        <f>LOOKUP(CONCATENATE(RF!CW65,CW83,'RC'!CW31),MATRIZ!$A$1:$B$64)</f>
        <v>RM</v>
      </c>
      <c r="CX94" s="18" t="str">
        <f>LOOKUP(CONCATENATE(RF!CX65,CX83,'RC'!CX31),MATRIZ!$A$1:$B$64)</f>
        <v>RB</v>
      </c>
      <c r="CY94" s="18" t="str">
        <f>LOOKUP(CONCATENATE(RF!CY65,CY83,'RC'!CY31),MATRIZ!$A$1:$B$64)</f>
        <v>RB</v>
      </c>
      <c r="CZ94" s="18" t="str">
        <f>LOOKUP(CONCATENATE(RF!CZ65,CZ83,'RC'!CZ31),MATRIZ!$A$1:$B$64)</f>
        <v>RB</v>
      </c>
      <c r="DA94" s="18" t="str">
        <f>LOOKUP(CONCATENATE(RF!DA65,DA83,'RC'!DA31),MATRIZ!$A$1:$B$64)</f>
        <v>RB</v>
      </c>
      <c r="DB94" s="18" t="str">
        <f>LOOKUP(CONCATENATE(RF!DB65,DB83,'RC'!DB31),MATRIZ!$A$1:$B$64)</f>
        <v>RB</v>
      </c>
      <c r="DC94" s="18" t="str">
        <f>LOOKUP(CONCATENATE(RF!DC65,DC83,'RC'!DC31),MATRIZ!$A$1:$B$64)</f>
        <v>RB</v>
      </c>
      <c r="DD94" s="18" t="str">
        <f>LOOKUP(CONCATENATE(RF!DD65,DD83,'RC'!DD31),MATRIZ!$A$1:$B$64)</f>
        <v>RM</v>
      </c>
      <c r="DE94" s="18" t="str">
        <f>LOOKUP(CONCATENATE(RF!DE65,DE83,'RC'!DE31),MATRIZ!$A$1:$B$64)</f>
        <v>RB</v>
      </c>
      <c r="DF94" s="18" t="str">
        <f>LOOKUP(CONCATENATE(RF!DF65,DF83,'RC'!DF31),MATRIZ!$A$1:$B$64)</f>
        <v>RM</v>
      </c>
      <c r="DG94" s="18" t="str">
        <f>LOOKUP(CONCATENATE(RF!DG65,DG83,'RC'!DG31),MATRIZ!$A$1:$B$64)</f>
        <v>RM</v>
      </c>
      <c r="DH94" s="18" t="str">
        <f>LOOKUP(CONCATENATE(RF!DH65,DH83,'RC'!DH31),MATRIZ!$A$1:$B$64)</f>
        <v>RM</v>
      </c>
      <c r="DI94" s="18"/>
      <c r="DJ94" s="18"/>
      <c r="DK94" s="18"/>
      <c r="DL94" s="18"/>
      <c r="DM94" s="18"/>
      <c r="DN94" s="18"/>
      <c r="DO94" s="18"/>
      <c r="DP94" s="18"/>
      <c r="DQ94" s="18"/>
      <c r="DR94" s="18"/>
      <c r="DS94" s="18"/>
      <c r="DT94" s="18"/>
      <c r="DU94" s="18"/>
      <c r="DV94" s="18"/>
      <c r="DW94" s="18"/>
      <c r="DX94" s="9"/>
      <c r="DY94" s="1"/>
    </row>
    <row r="200" spans="1:128" s="47" customFormat="1" x14ac:dyDescent="0.25">
      <c r="A200" s="48"/>
      <c r="C200" s="48"/>
      <c r="D200" s="48"/>
      <c r="E200" s="48"/>
      <c r="F200" s="48"/>
      <c r="G200" s="48"/>
      <c r="H200" s="48"/>
      <c r="I200" s="48"/>
      <c r="J200" s="48"/>
      <c r="K200" s="48"/>
      <c r="L200" s="48"/>
      <c r="M200" s="48"/>
      <c r="N200" s="48"/>
      <c r="O200" s="48"/>
      <c r="P200" s="48"/>
      <c r="Q200" s="48"/>
      <c r="R200" s="48"/>
      <c r="S200" s="48"/>
      <c r="T200" s="49"/>
      <c r="U200" s="49"/>
      <c r="V200" s="49"/>
      <c r="W200" s="49"/>
      <c r="X200" s="49"/>
      <c r="Y200" s="49"/>
      <c r="Z200" s="49"/>
      <c r="AA200" s="49"/>
      <c r="AB200" s="49"/>
      <c r="AC200" s="49"/>
      <c r="AD200" s="49"/>
      <c r="AE200" s="49"/>
      <c r="AF200" s="49"/>
      <c r="AG200" s="49"/>
      <c r="AH200" s="49"/>
      <c r="AI200" s="49"/>
      <c r="AJ200" s="49"/>
      <c r="AK200" s="49"/>
      <c r="AL200" s="49"/>
      <c r="AM200" s="49"/>
      <c r="AN200" s="49"/>
      <c r="AO200" s="49"/>
      <c r="AP200" s="49"/>
      <c r="AQ200" s="49"/>
      <c r="AR200" s="49"/>
      <c r="AS200" s="49"/>
      <c r="AT200" s="49"/>
      <c r="AU200" s="49"/>
      <c r="AV200" s="49"/>
      <c r="AW200" s="49"/>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c r="CD200" s="49"/>
      <c r="CE200" s="49"/>
      <c r="CF200" s="49"/>
      <c r="CG200" s="49"/>
      <c r="CH200" s="49"/>
      <c r="CI200" s="49"/>
      <c r="CJ200" s="49"/>
      <c r="CK200" s="49"/>
      <c r="CL200" s="49"/>
      <c r="CM200" s="49"/>
      <c r="CN200" s="49"/>
      <c r="CO200" s="49"/>
      <c r="CP200" s="49"/>
      <c r="CQ200" s="49"/>
      <c r="CR200" s="49"/>
      <c r="CS200" s="49"/>
      <c r="CT200" s="49"/>
      <c r="CU200" s="49"/>
      <c r="CV200" s="49"/>
      <c r="CW200" s="49"/>
      <c r="CX200" s="49"/>
      <c r="CY200" s="49"/>
      <c r="CZ200" s="49"/>
      <c r="DA200" s="49"/>
      <c r="DB200" s="49"/>
      <c r="DC200" s="49"/>
      <c r="DD200" s="49"/>
      <c r="DE200" s="49"/>
      <c r="DF200" s="49"/>
      <c r="DG200" s="49"/>
      <c r="DH200" s="49"/>
      <c r="DI200" s="49"/>
      <c r="DJ200" s="49"/>
      <c r="DK200" s="49"/>
      <c r="DL200" s="49"/>
      <c r="DM200" s="49"/>
      <c r="DN200" s="49"/>
      <c r="DO200" s="49"/>
      <c r="DP200" s="49"/>
      <c r="DQ200" s="49"/>
      <c r="DR200" s="49"/>
      <c r="DS200" s="49"/>
      <c r="DT200" s="49"/>
      <c r="DU200" s="49"/>
      <c r="DV200" s="49"/>
      <c r="DW200" s="49"/>
      <c r="DX200" s="50"/>
    </row>
    <row r="201" spans="1:128" x14ac:dyDescent="0.25">
      <c r="A201" s="46"/>
      <c r="B201" s="46" t="str">
        <f>IF(B10="X",$DZ10,"")</f>
        <v/>
      </c>
      <c r="C201" s="46">
        <f t="shared" ref="C201:AH201" si="18">IF(C8="X",$DK8,"")</f>
        <v>8</v>
      </c>
      <c r="D201" s="46" t="str">
        <f t="shared" si="18"/>
        <v/>
      </c>
      <c r="E201" s="46" t="str">
        <f t="shared" si="18"/>
        <v/>
      </c>
      <c r="F201" s="46" t="str">
        <f t="shared" si="18"/>
        <v/>
      </c>
      <c r="G201" s="46" t="str">
        <f t="shared" si="18"/>
        <v/>
      </c>
      <c r="H201" s="46">
        <f t="shared" si="18"/>
        <v>8</v>
      </c>
      <c r="I201" s="46">
        <f t="shared" si="18"/>
        <v>8</v>
      </c>
      <c r="J201" s="46">
        <f t="shared" si="18"/>
        <v>8</v>
      </c>
      <c r="K201" s="46" t="str">
        <f t="shared" si="18"/>
        <v/>
      </c>
      <c r="L201" s="46" t="str">
        <f t="shared" si="18"/>
        <v/>
      </c>
      <c r="M201" s="46" t="str">
        <f t="shared" si="18"/>
        <v/>
      </c>
      <c r="N201" s="46" t="str">
        <f t="shared" si="18"/>
        <v/>
      </c>
      <c r="O201" s="46" t="str">
        <f t="shared" si="18"/>
        <v/>
      </c>
      <c r="P201" s="46" t="str">
        <f t="shared" si="18"/>
        <v/>
      </c>
      <c r="Q201" s="46" t="str">
        <f t="shared" si="18"/>
        <v/>
      </c>
      <c r="R201" s="46" t="str">
        <f t="shared" si="18"/>
        <v/>
      </c>
      <c r="S201" s="46" t="str">
        <f t="shared" si="18"/>
        <v/>
      </c>
      <c r="T201" s="46" t="str">
        <f t="shared" si="18"/>
        <v/>
      </c>
      <c r="U201" s="46" t="str">
        <f t="shared" si="18"/>
        <v/>
      </c>
      <c r="V201" s="46" t="str">
        <f t="shared" si="18"/>
        <v/>
      </c>
      <c r="W201" s="46" t="str">
        <f t="shared" si="18"/>
        <v/>
      </c>
      <c r="X201" s="46" t="str">
        <f t="shared" si="18"/>
        <v/>
      </c>
      <c r="Y201" s="46" t="str">
        <f t="shared" si="18"/>
        <v/>
      </c>
      <c r="Z201" s="46" t="str">
        <f t="shared" si="18"/>
        <v/>
      </c>
      <c r="AA201" s="46" t="str">
        <f t="shared" si="18"/>
        <v/>
      </c>
      <c r="AB201" s="46" t="str">
        <f t="shared" si="18"/>
        <v/>
      </c>
      <c r="AC201" s="46" t="str">
        <f t="shared" si="18"/>
        <v/>
      </c>
      <c r="AD201" s="46" t="str">
        <f t="shared" si="18"/>
        <v/>
      </c>
      <c r="AE201" s="46" t="str">
        <f t="shared" si="18"/>
        <v/>
      </c>
      <c r="AF201" s="46" t="str">
        <f t="shared" si="18"/>
        <v/>
      </c>
      <c r="AG201" s="46" t="str">
        <f t="shared" si="18"/>
        <v/>
      </c>
      <c r="AH201" s="46" t="str">
        <f t="shared" si="18"/>
        <v/>
      </c>
      <c r="AI201" s="46" t="str">
        <f t="shared" ref="AI201:BN201" si="19">IF(AI8="X",$DK8,"")</f>
        <v/>
      </c>
      <c r="AJ201" s="46" t="str">
        <f t="shared" si="19"/>
        <v/>
      </c>
      <c r="AK201" s="46" t="str">
        <f t="shared" si="19"/>
        <v/>
      </c>
      <c r="AL201" s="46" t="str">
        <f t="shared" si="19"/>
        <v/>
      </c>
      <c r="AM201" s="46" t="str">
        <f t="shared" si="19"/>
        <v/>
      </c>
      <c r="AN201" s="46" t="str">
        <f t="shared" si="19"/>
        <v/>
      </c>
      <c r="AO201" s="46" t="str">
        <f t="shared" si="19"/>
        <v/>
      </c>
      <c r="AP201" s="46">
        <f t="shared" si="19"/>
        <v>8</v>
      </c>
      <c r="AQ201" s="46" t="str">
        <f t="shared" si="19"/>
        <v/>
      </c>
      <c r="AR201" s="46" t="str">
        <f t="shared" si="19"/>
        <v/>
      </c>
      <c r="AS201" s="46" t="str">
        <f t="shared" si="19"/>
        <v/>
      </c>
      <c r="AT201" s="46" t="str">
        <f t="shared" si="19"/>
        <v/>
      </c>
      <c r="AU201" s="46" t="str">
        <f t="shared" si="19"/>
        <v/>
      </c>
      <c r="AV201" s="46" t="str">
        <f t="shared" si="19"/>
        <v/>
      </c>
      <c r="AW201" s="46" t="str">
        <f t="shared" si="19"/>
        <v/>
      </c>
      <c r="AX201" s="46" t="str">
        <f t="shared" si="19"/>
        <v/>
      </c>
      <c r="AY201" s="46" t="str">
        <f t="shared" si="19"/>
        <v/>
      </c>
      <c r="AZ201" s="46" t="str">
        <f t="shared" si="19"/>
        <v/>
      </c>
      <c r="BA201" s="46" t="str">
        <f t="shared" si="19"/>
        <v/>
      </c>
      <c r="BB201" s="46" t="str">
        <f t="shared" si="19"/>
        <v/>
      </c>
      <c r="BC201" s="46" t="str">
        <f t="shared" si="19"/>
        <v/>
      </c>
      <c r="BD201" s="46" t="str">
        <f t="shared" si="19"/>
        <v/>
      </c>
      <c r="BE201" s="46" t="str">
        <f t="shared" si="19"/>
        <v/>
      </c>
      <c r="BF201" s="46" t="str">
        <f t="shared" si="19"/>
        <v/>
      </c>
      <c r="BG201" s="46" t="str">
        <f t="shared" si="19"/>
        <v/>
      </c>
      <c r="BH201" s="46" t="str">
        <f t="shared" si="19"/>
        <v/>
      </c>
      <c r="BI201" s="46" t="str">
        <f t="shared" si="19"/>
        <v/>
      </c>
      <c r="BJ201" s="46" t="str">
        <f t="shared" si="19"/>
        <v/>
      </c>
      <c r="BK201" s="46" t="str">
        <f t="shared" si="19"/>
        <v/>
      </c>
      <c r="BL201" s="46" t="str">
        <f t="shared" si="19"/>
        <v/>
      </c>
      <c r="BM201" s="46" t="str">
        <f t="shared" si="19"/>
        <v/>
      </c>
      <c r="BN201" s="46" t="str">
        <f t="shared" si="19"/>
        <v/>
      </c>
      <c r="BO201" s="46" t="str">
        <f t="shared" ref="BO201:CT201" si="20">IF(BO8="X",$DK8,"")</f>
        <v/>
      </c>
      <c r="BP201" s="46" t="str">
        <f t="shared" si="20"/>
        <v/>
      </c>
      <c r="BQ201" s="46" t="str">
        <f t="shared" si="20"/>
        <v/>
      </c>
      <c r="BR201" s="46" t="str">
        <f t="shared" si="20"/>
        <v/>
      </c>
      <c r="BS201" s="46" t="str">
        <f t="shared" si="20"/>
        <v/>
      </c>
      <c r="BT201" s="46" t="str">
        <f t="shared" si="20"/>
        <v/>
      </c>
      <c r="BU201" s="46" t="str">
        <f t="shared" si="20"/>
        <v/>
      </c>
      <c r="BV201" s="46" t="str">
        <f t="shared" si="20"/>
        <v/>
      </c>
      <c r="BW201" s="46" t="str">
        <f t="shared" si="20"/>
        <v/>
      </c>
      <c r="BX201" s="46" t="str">
        <f t="shared" si="20"/>
        <v/>
      </c>
      <c r="BY201" s="46" t="str">
        <f t="shared" si="20"/>
        <v/>
      </c>
      <c r="BZ201" s="46" t="str">
        <f t="shared" si="20"/>
        <v/>
      </c>
      <c r="CA201" s="46" t="str">
        <f t="shared" si="20"/>
        <v/>
      </c>
      <c r="CB201" s="46" t="str">
        <f t="shared" si="20"/>
        <v/>
      </c>
      <c r="CC201" s="46" t="str">
        <f t="shared" si="20"/>
        <v/>
      </c>
      <c r="CD201" s="46" t="str">
        <f t="shared" si="20"/>
        <v/>
      </c>
      <c r="CE201" s="46" t="str">
        <f t="shared" si="20"/>
        <v/>
      </c>
      <c r="CF201" s="46" t="str">
        <f t="shared" si="20"/>
        <v/>
      </c>
      <c r="CG201" s="46" t="str">
        <f t="shared" si="20"/>
        <v/>
      </c>
      <c r="CH201" s="46" t="str">
        <f t="shared" si="20"/>
        <v/>
      </c>
      <c r="CI201" s="46" t="str">
        <f t="shared" si="20"/>
        <v/>
      </c>
      <c r="CJ201" s="46" t="str">
        <f t="shared" si="20"/>
        <v/>
      </c>
      <c r="CK201" s="46" t="str">
        <f t="shared" si="20"/>
        <v/>
      </c>
      <c r="CL201" s="46" t="str">
        <f t="shared" si="20"/>
        <v/>
      </c>
      <c r="CM201" s="46" t="str">
        <f t="shared" si="20"/>
        <v/>
      </c>
      <c r="CN201" s="46" t="str">
        <f t="shared" si="20"/>
        <v/>
      </c>
      <c r="CO201" s="46" t="str">
        <f t="shared" si="20"/>
        <v/>
      </c>
      <c r="CP201" s="46" t="str">
        <f t="shared" si="20"/>
        <v/>
      </c>
      <c r="CQ201" s="46" t="str">
        <f t="shared" si="20"/>
        <v/>
      </c>
      <c r="CR201" s="46" t="str">
        <f t="shared" si="20"/>
        <v/>
      </c>
      <c r="CS201" s="46" t="str">
        <f t="shared" si="20"/>
        <v/>
      </c>
      <c r="CT201" s="46" t="str">
        <f t="shared" si="20"/>
        <v/>
      </c>
      <c r="CU201" s="46" t="str">
        <f t="shared" ref="CU201:DH201" si="21">IF(CU8="X",$DK8,"")</f>
        <v/>
      </c>
      <c r="CV201" s="46" t="str">
        <f t="shared" si="21"/>
        <v/>
      </c>
      <c r="CW201" s="46" t="str">
        <f t="shared" si="21"/>
        <v/>
      </c>
      <c r="CX201" s="46" t="str">
        <f t="shared" si="21"/>
        <v/>
      </c>
      <c r="CY201" s="46" t="str">
        <f t="shared" si="21"/>
        <v/>
      </c>
      <c r="CZ201" s="46" t="str">
        <f t="shared" si="21"/>
        <v/>
      </c>
      <c r="DA201" s="46" t="str">
        <f t="shared" si="21"/>
        <v/>
      </c>
      <c r="DB201" s="46" t="str">
        <f t="shared" si="21"/>
        <v/>
      </c>
      <c r="DC201" s="46" t="str">
        <f t="shared" si="21"/>
        <v/>
      </c>
      <c r="DD201" s="46" t="str">
        <f t="shared" si="21"/>
        <v/>
      </c>
      <c r="DE201" s="46" t="str">
        <f t="shared" si="21"/>
        <v/>
      </c>
      <c r="DF201" s="46" t="str">
        <f t="shared" si="21"/>
        <v/>
      </c>
      <c r="DG201" s="46" t="str">
        <f t="shared" si="21"/>
        <v/>
      </c>
      <c r="DH201" s="46" t="str">
        <f t="shared" si="21"/>
        <v/>
      </c>
      <c r="DI201" s="46"/>
      <c r="DJ201" s="46"/>
      <c r="DK201" s="46"/>
      <c r="DL201" s="46"/>
      <c r="DM201" s="46"/>
      <c r="DN201" s="46"/>
      <c r="DO201" s="46"/>
      <c r="DP201" s="46"/>
      <c r="DQ201" s="46"/>
      <c r="DR201" s="46"/>
      <c r="DS201" s="46"/>
      <c r="DT201" s="46"/>
      <c r="DU201" s="46"/>
      <c r="DV201" s="46"/>
      <c r="DW201" s="9"/>
      <c r="DX201" s="1"/>
    </row>
    <row r="202" spans="1:128" x14ac:dyDescent="0.25">
      <c r="A202" s="46"/>
      <c r="B202" s="46" t="str">
        <f t="shared" ref="B202:B260" si="22">IF(B11="X",$DZ11,"")</f>
        <v/>
      </c>
      <c r="C202" s="46" t="str">
        <f t="shared" ref="C202:AH202" si="23">IF(C9="X",$DK9,"")</f>
        <v/>
      </c>
      <c r="D202" s="46">
        <f t="shared" si="23"/>
        <v>16</v>
      </c>
      <c r="E202" s="46">
        <f t="shared" si="23"/>
        <v>16</v>
      </c>
      <c r="F202" s="46">
        <f t="shared" si="23"/>
        <v>16</v>
      </c>
      <c r="G202" s="46">
        <f t="shared" si="23"/>
        <v>16</v>
      </c>
      <c r="H202" s="46" t="str">
        <f t="shared" si="23"/>
        <v/>
      </c>
      <c r="I202" s="46">
        <f t="shared" si="23"/>
        <v>16</v>
      </c>
      <c r="J202" s="46" t="str">
        <f t="shared" si="23"/>
        <v/>
      </c>
      <c r="K202" s="46" t="str">
        <f t="shared" si="23"/>
        <v/>
      </c>
      <c r="L202" s="46" t="str">
        <f t="shared" si="23"/>
        <v/>
      </c>
      <c r="M202" s="46" t="str">
        <f t="shared" si="23"/>
        <v/>
      </c>
      <c r="N202" s="46" t="str">
        <f t="shared" si="23"/>
        <v/>
      </c>
      <c r="O202" s="46" t="str">
        <f t="shared" si="23"/>
        <v/>
      </c>
      <c r="P202" s="46" t="str">
        <f t="shared" si="23"/>
        <v/>
      </c>
      <c r="Q202" s="46" t="str">
        <f t="shared" si="23"/>
        <v/>
      </c>
      <c r="R202" s="46" t="str">
        <f t="shared" si="23"/>
        <v/>
      </c>
      <c r="S202" s="46" t="str">
        <f t="shared" si="23"/>
        <v/>
      </c>
      <c r="T202" s="46" t="str">
        <f t="shared" si="23"/>
        <v/>
      </c>
      <c r="U202" s="46" t="str">
        <f t="shared" si="23"/>
        <v/>
      </c>
      <c r="V202" s="46" t="str">
        <f t="shared" si="23"/>
        <v/>
      </c>
      <c r="W202" s="46" t="str">
        <f t="shared" si="23"/>
        <v/>
      </c>
      <c r="X202" s="46" t="str">
        <f t="shared" si="23"/>
        <v/>
      </c>
      <c r="Y202" s="46" t="str">
        <f t="shared" si="23"/>
        <v/>
      </c>
      <c r="Z202" s="46" t="str">
        <f t="shared" si="23"/>
        <v/>
      </c>
      <c r="AA202" s="46" t="str">
        <f t="shared" si="23"/>
        <v/>
      </c>
      <c r="AB202" s="46" t="str">
        <f t="shared" si="23"/>
        <v/>
      </c>
      <c r="AC202" s="46" t="str">
        <f t="shared" si="23"/>
        <v/>
      </c>
      <c r="AD202" s="46" t="str">
        <f t="shared" si="23"/>
        <v/>
      </c>
      <c r="AE202" s="46" t="str">
        <f t="shared" si="23"/>
        <v/>
      </c>
      <c r="AF202" s="46" t="str">
        <f t="shared" si="23"/>
        <v/>
      </c>
      <c r="AG202" s="46" t="str">
        <f t="shared" si="23"/>
        <v/>
      </c>
      <c r="AH202" s="46">
        <f t="shared" si="23"/>
        <v>16</v>
      </c>
      <c r="AI202" s="46" t="str">
        <f t="shared" ref="AI202:BN202" si="24">IF(AI9="X",$DK9,"")</f>
        <v/>
      </c>
      <c r="AJ202" s="46" t="str">
        <f t="shared" si="24"/>
        <v/>
      </c>
      <c r="AK202" s="46">
        <f t="shared" si="24"/>
        <v>16</v>
      </c>
      <c r="AL202" s="46" t="str">
        <f t="shared" si="24"/>
        <v/>
      </c>
      <c r="AM202" s="46" t="str">
        <f t="shared" si="24"/>
        <v/>
      </c>
      <c r="AN202" s="46" t="str">
        <f t="shared" si="24"/>
        <v/>
      </c>
      <c r="AO202" s="46" t="str">
        <f t="shared" si="24"/>
        <v/>
      </c>
      <c r="AP202" s="46">
        <f t="shared" si="24"/>
        <v>16</v>
      </c>
      <c r="AQ202" s="46" t="str">
        <f t="shared" si="24"/>
        <v/>
      </c>
      <c r="AR202" s="46" t="str">
        <f t="shared" si="24"/>
        <v/>
      </c>
      <c r="AS202" s="46" t="str">
        <f t="shared" si="24"/>
        <v/>
      </c>
      <c r="AT202" s="46" t="str">
        <f t="shared" si="24"/>
        <v/>
      </c>
      <c r="AU202" s="46" t="str">
        <f t="shared" si="24"/>
        <v/>
      </c>
      <c r="AV202" s="46" t="str">
        <f t="shared" si="24"/>
        <v/>
      </c>
      <c r="AW202" s="46" t="str">
        <f t="shared" si="24"/>
        <v/>
      </c>
      <c r="AX202" s="46" t="str">
        <f t="shared" si="24"/>
        <v/>
      </c>
      <c r="AY202" s="46" t="str">
        <f t="shared" si="24"/>
        <v/>
      </c>
      <c r="AZ202" s="46" t="str">
        <f t="shared" si="24"/>
        <v/>
      </c>
      <c r="BA202" s="46" t="str">
        <f t="shared" si="24"/>
        <v/>
      </c>
      <c r="BB202" s="46" t="str">
        <f t="shared" si="24"/>
        <v/>
      </c>
      <c r="BC202" s="46" t="str">
        <f t="shared" si="24"/>
        <v/>
      </c>
      <c r="BD202" s="46" t="str">
        <f t="shared" si="24"/>
        <v/>
      </c>
      <c r="BE202" s="46" t="str">
        <f t="shared" si="24"/>
        <v/>
      </c>
      <c r="BF202" s="46" t="str">
        <f t="shared" si="24"/>
        <v/>
      </c>
      <c r="BG202" s="46" t="str">
        <f t="shared" si="24"/>
        <v/>
      </c>
      <c r="BH202" s="46" t="str">
        <f t="shared" si="24"/>
        <v/>
      </c>
      <c r="BI202" s="46" t="str">
        <f t="shared" si="24"/>
        <v/>
      </c>
      <c r="BJ202" s="46" t="str">
        <f t="shared" si="24"/>
        <v/>
      </c>
      <c r="BK202" s="46" t="str">
        <f t="shared" si="24"/>
        <v/>
      </c>
      <c r="BL202" s="46" t="str">
        <f t="shared" si="24"/>
        <v/>
      </c>
      <c r="BM202" s="46" t="str">
        <f t="shared" si="24"/>
        <v/>
      </c>
      <c r="BN202" s="46" t="str">
        <f t="shared" si="24"/>
        <v/>
      </c>
      <c r="BO202" s="46" t="str">
        <f t="shared" ref="BO202:CT202" si="25">IF(BO9="X",$DK9,"")</f>
        <v/>
      </c>
      <c r="BP202" s="46" t="str">
        <f t="shared" si="25"/>
        <v/>
      </c>
      <c r="BQ202" s="46" t="str">
        <f t="shared" si="25"/>
        <v/>
      </c>
      <c r="BR202" s="46" t="str">
        <f t="shared" si="25"/>
        <v/>
      </c>
      <c r="BS202" s="46" t="str">
        <f t="shared" si="25"/>
        <v/>
      </c>
      <c r="BT202" s="46" t="str">
        <f t="shared" si="25"/>
        <v/>
      </c>
      <c r="BU202" s="46" t="str">
        <f t="shared" si="25"/>
        <v/>
      </c>
      <c r="BV202" s="46" t="str">
        <f t="shared" si="25"/>
        <v/>
      </c>
      <c r="BW202" s="46" t="str">
        <f t="shared" si="25"/>
        <v/>
      </c>
      <c r="BX202" s="46" t="str">
        <f t="shared" si="25"/>
        <v/>
      </c>
      <c r="BY202" s="46" t="str">
        <f t="shared" si="25"/>
        <v/>
      </c>
      <c r="BZ202" s="46" t="str">
        <f t="shared" si="25"/>
        <v/>
      </c>
      <c r="CA202" s="46" t="str">
        <f t="shared" si="25"/>
        <v/>
      </c>
      <c r="CB202" s="46" t="str">
        <f t="shared" si="25"/>
        <v/>
      </c>
      <c r="CC202" s="46" t="str">
        <f t="shared" si="25"/>
        <v/>
      </c>
      <c r="CD202" s="46" t="str">
        <f t="shared" si="25"/>
        <v/>
      </c>
      <c r="CE202" s="46" t="str">
        <f t="shared" si="25"/>
        <v/>
      </c>
      <c r="CF202" s="46" t="str">
        <f t="shared" si="25"/>
        <v/>
      </c>
      <c r="CG202" s="46" t="str">
        <f t="shared" si="25"/>
        <v/>
      </c>
      <c r="CH202" s="46" t="str">
        <f t="shared" si="25"/>
        <v/>
      </c>
      <c r="CI202" s="46" t="str">
        <f t="shared" si="25"/>
        <v/>
      </c>
      <c r="CJ202" s="46" t="str">
        <f t="shared" si="25"/>
        <v/>
      </c>
      <c r="CK202" s="46" t="str">
        <f t="shared" si="25"/>
        <v/>
      </c>
      <c r="CL202" s="46" t="str">
        <f t="shared" si="25"/>
        <v/>
      </c>
      <c r="CM202" s="46" t="str">
        <f t="shared" si="25"/>
        <v/>
      </c>
      <c r="CN202" s="46" t="str">
        <f t="shared" si="25"/>
        <v/>
      </c>
      <c r="CO202" s="46" t="str">
        <f t="shared" si="25"/>
        <v/>
      </c>
      <c r="CP202" s="46" t="str">
        <f t="shared" si="25"/>
        <v/>
      </c>
      <c r="CQ202" s="46" t="str">
        <f t="shared" si="25"/>
        <v/>
      </c>
      <c r="CR202" s="46" t="str">
        <f t="shared" si="25"/>
        <v/>
      </c>
      <c r="CS202" s="46" t="str">
        <f t="shared" si="25"/>
        <v/>
      </c>
      <c r="CT202" s="46" t="str">
        <f t="shared" si="25"/>
        <v/>
      </c>
      <c r="CU202" s="46" t="str">
        <f t="shared" ref="CU202:DH202" si="26">IF(CU9="X",$DK9,"")</f>
        <v/>
      </c>
      <c r="CV202" s="46" t="str">
        <f t="shared" si="26"/>
        <v/>
      </c>
      <c r="CW202" s="46" t="str">
        <f t="shared" si="26"/>
        <v/>
      </c>
      <c r="CX202" s="46" t="str">
        <f t="shared" si="26"/>
        <v/>
      </c>
      <c r="CY202" s="46" t="str">
        <f t="shared" si="26"/>
        <v/>
      </c>
      <c r="CZ202" s="46" t="str">
        <f t="shared" si="26"/>
        <v/>
      </c>
      <c r="DA202" s="46" t="str">
        <f t="shared" si="26"/>
        <v/>
      </c>
      <c r="DB202" s="46" t="str">
        <f t="shared" si="26"/>
        <v/>
      </c>
      <c r="DC202" s="46" t="str">
        <f t="shared" si="26"/>
        <v/>
      </c>
      <c r="DD202" s="46" t="str">
        <f t="shared" si="26"/>
        <v/>
      </c>
      <c r="DE202" s="46" t="str">
        <f t="shared" si="26"/>
        <v/>
      </c>
      <c r="DF202" s="46" t="str">
        <f t="shared" si="26"/>
        <v/>
      </c>
      <c r="DG202" s="46" t="str">
        <f t="shared" si="26"/>
        <v/>
      </c>
      <c r="DH202" s="46" t="str">
        <f t="shared" si="26"/>
        <v/>
      </c>
      <c r="DI202" s="46"/>
      <c r="DJ202" s="46"/>
      <c r="DK202" s="46"/>
      <c r="DL202" s="46"/>
      <c r="DM202" s="46"/>
      <c r="DN202" s="46"/>
      <c r="DO202" s="46"/>
      <c r="DP202" s="46"/>
      <c r="DQ202" s="46"/>
      <c r="DR202" s="46"/>
      <c r="DS202" s="46"/>
      <c r="DT202" s="46"/>
      <c r="DU202" s="46"/>
      <c r="DV202" s="46"/>
      <c r="DW202" s="9"/>
      <c r="DX202" s="1"/>
    </row>
    <row r="203" spans="1:128" x14ac:dyDescent="0.25">
      <c r="A203" s="46"/>
      <c r="B203" s="46" t="str">
        <f t="shared" si="22"/>
        <v/>
      </c>
      <c r="C203" s="46">
        <f t="shared" ref="C203:AH203" si="27">IF(C10="X",$DK10,"")</f>
        <v>32</v>
      </c>
      <c r="D203" s="46" t="str">
        <f t="shared" si="27"/>
        <v/>
      </c>
      <c r="E203" s="46" t="str">
        <f t="shared" si="27"/>
        <v/>
      </c>
      <c r="F203" s="46" t="str">
        <f t="shared" si="27"/>
        <v/>
      </c>
      <c r="G203" s="46" t="str">
        <f t="shared" si="27"/>
        <v/>
      </c>
      <c r="H203" s="46" t="str">
        <f t="shared" si="27"/>
        <v/>
      </c>
      <c r="I203" s="46" t="str">
        <f t="shared" si="27"/>
        <v/>
      </c>
      <c r="J203" s="46" t="str">
        <f t="shared" si="27"/>
        <v/>
      </c>
      <c r="K203" s="46" t="str">
        <f t="shared" si="27"/>
        <v/>
      </c>
      <c r="L203" s="46" t="str">
        <f t="shared" si="27"/>
        <v/>
      </c>
      <c r="M203" s="46" t="str">
        <f t="shared" si="27"/>
        <v/>
      </c>
      <c r="N203" s="46" t="str">
        <f t="shared" si="27"/>
        <v/>
      </c>
      <c r="O203" s="46" t="str">
        <f t="shared" si="27"/>
        <v/>
      </c>
      <c r="P203" s="46" t="str">
        <f t="shared" si="27"/>
        <v/>
      </c>
      <c r="Q203" s="46" t="str">
        <f t="shared" si="27"/>
        <v/>
      </c>
      <c r="R203" s="46" t="str">
        <f t="shared" si="27"/>
        <v/>
      </c>
      <c r="S203" s="46" t="str">
        <f t="shared" si="27"/>
        <v/>
      </c>
      <c r="T203" s="46" t="str">
        <f t="shared" si="27"/>
        <v/>
      </c>
      <c r="U203" s="46" t="str">
        <f t="shared" si="27"/>
        <v/>
      </c>
      <c r="V203" s="46" t="str">
        <f t="shared" si="27"/>
        <v/>
      </c>
      <c r="W203" s="46" t="str">
        <f t="shared" si="27"/>
        <v/>
      </c>
      <c r="X203" s="46" t="str">
        <f t="shared" si="27"/>
        <v/>
      </c>
      <c r="Y203" s="46" t="str">
        <f t="shared" si="27"/>
        <v/>
      </c>
      <c r="Z203" s="46" t="str">
        <f t="shared" si="27"/>
        <v/>
      </c>
      <c r="AA203" s="46" t="str">
        <f t="shared" si="27"/>
        <v/>
      </c>
      <c r="AB203" s="46" t="str">
        <f t="shared" si="27"/>
        <v/>
      </c>
      <c r="AC203" s="46" t="str">
        <f t="shared" si="27"/>
        <v/>
      </c>
      <c r="AD203" s="46" t="str">
        <f t="shared" si="27"/>
        <v/>
      </c>
      <c r="AE203" s="46" t="str">
        <f t="shared" si="27"/>
        <v/>
      </c>
      <c r="AF203" s="46" t="str">
        <f t="shared" si="27"/>
        <v/>
      </c>
      <c r="AG203" s="46" t="str">
        <f t="shared" si="27"/>
        <v/>
      </c>
      <c r="AH203" s="46" t="str">
        <f t="shared" si="27"/>
        <v/>
      </c>
      <c r="AI203" s="46" t="str">
        <f t="shared" ref="AI203:BN203" si="28">IF(AI10="X",$DK10,"")</f>
        <v/>
      </c>
      <c r="AJ203" s="46" t="str">
        <f t="shared" si="28"/>
        <v/>
      </c>
      <c r="AK203" s="46" t="str">
        <f t="shared" si="28"/>
        <v/>
      </c>
      <c r="AL203" s="46" t="str">
        <f t="shared" si="28"/>
        <v/>
      </c>
      <c r="AM203" s="46" t="str">
        <f t="shared" si="28"/>
        <v/>
      </c>
      <c r="AN203" s="46" t="str">
        <f t="shared" si="28"/>
        <v/>
      </c>
      <c r="AO203" s="46" t="str">
        <f t="shared" si="28"/>
        <v/>
      </c>
      <c r="AP203" s="46" t="str">
        <f t="shared" si="28"/>
        <v/>
      </c>
      <c r="AQ203" s="46" t="str">
        <f t="shared" si="28"/>
        <v/>
      </c>
      <c r="AR203" s="46" t="str">
        <f t="shared" si="28"/>
        <v/>
      </c>
      <c r="AS203" s="46" t="str">
        <f t="shared" si="28"/>
        <v/>
      </c>
      <c r="AT203" s="46" t="str">
        <f t="shared" si="28"/>
        <v/>
      </c>
      <c r="AU203" s="46" t="str">
        <f t="shared" si="28"/>
        <v/>
      </c>
      <c r="AV203" s="46" t="str">
        <f t="shared" si="28"/>
        <v/>
      </c>
      <c r="AW203" s="46" t="str">
        <f t="shared" si="28"/>
        <v/>
      </c>
      <c r="AX203" s="46" t="str">
        <f t="shared" si="28"/>
        <v/>
      </c>
      <c r="AY203" s="46" t="str">
        <f t="shared" si="28"/>
        <v/>
      </c>
      <c r="AZ203" s="46" t="str">
        <f t="shared" si="28"/>
        <v/>
      </c>
      <c r="BA203" s="46" t="str">
        <f t="shared" si="28"/>
        <v/>
      </c>
      <c r="BB203" s="46" t="str">
        <f t="shared" si="28"/>
        <v/>
      </c>
      <c r="BC203" s="46" t="str">
        <f t="shared" si="28"/>
        <v/>
      </c>
      <c r="BD203" s="46" t="str">
        <f t="shared" si="28"/>
        <v/>
      </c>
      <c r="BE203" s="46" t="str">
        <f t="shared" si="28"/>
        <v/>
      </c>
      <c r="BF203" s="46" t="str">
        <f t="shared" si="28"/>
        <v/>
      </c>
      <c r="BG203" s="46" t="str">
        <f t="shared" si="28"/>
        <v/>
      </c>
      <c r="BH203" s="46" t="str">
        <f t="shared" si="28"/>
        <v/>
      </c>
      <c r="BI203" s="46" t="str">
        <f t="shared" si="28"/>
        <v/>
      </c>
      <c r="BJ203" s="46" t="str">
        <f t="shared" si="28"/>
        <v/>
      </c>
      <c r="BK203" s="46" t="str">
        <f t="shared" si="28"/>
        <v/>
      </c>
      <c r="BL203" s="46" t="str">
        <f t="shared" si="28"/>
        <v/>
      </c>
      <c r="BM203" s="46" t="str">
        <f t="shared" si="28"/>
        <v/>
      </c>
      <c r="BN203" s="46" t="str">
        <f t="shared" si="28"/>
        <v/>
      </c>
      <c r="BO203" s="46" t="str">
        <f t="shared" ref="BO203:CT203" si="29">IF(BO10="X",$DK10,"")</f>
        <v/>
      </c>
      <c r="BP203" s="46" t="str">
        <f t="shared" si="29"/>
        <v/>
      </c>
      <c r="BQ203" s="46" t="str">
        <f t="shared" si="29"/>
        <v/>
      </c>
      <c r="BR203" s="46" t="str">
        <f t="shared" si="29"/>
        <v/>
      </c>
      <c r="BS203" s="46" t="str">
        <f t="shared" si="29"/>
        <v/>
      </c>
      <c r="BT203" s="46" t="str">
        <f t="shared" si="29"/>
        <v/>
      </c>
      <c r="BU203" s="46" t="str">
        <f t="shared" si="29"/>
        <v/>
      </c>
      <c r="BV203" s="46" t="str">
        <f t="shared" si="29"/>
        <v/>
      </c>
      <c r="BW203" s="46" t="str">
        <f t="shared" si="29"/>
        <v/>
      </c>
      <c r="BX203" s="46">
        <f t="shared" si="29"/>
        <v>32</v>
      </c>
      <c r="BY203" s="46" t="str">
        <f t="shared" si="29"/>
        <v/>
      </c>
      <c r="BZ203" s="46" t="str">
        <f t="shared" si="29"/>
        <v/>
      </c>
      <c r="CA203" s="46" t="str">
        <f t="shared" si="29"/>
        <v/>
      </c>
      <c r="CB203" s="46" t="str">
        <f t="shared" si="29"/>
        <v/>
      </c>
      <c r="CC203" s="46" t="str">
        <f t="shared" si="29"/>
        <v/>
      </c>
      <c r="CD203" s="46" t="str">
        <f t="shared" si="29"/>
        <v/>
      </c>
      <c r="CE203" s="46" t="str">
        <f t="shared" si="29"/>
        <v/>
      </c>
      <c r="CF203" s="46" t="str">
        <f t="shared" si="29"/>
        <v/>
      </c>
      <c r="CG203" s="46" t="str">
        <f t="shared" si="29"/>
        <v/>
      </c>
      <c r="CH203" s="46" t="str">
        <f t="shared" si="29"/>
        <v/>
      </c>
      <c r="CI203" s="46" t="str">
        <f t="shared" si="29"/>
        <v/>
      </c>
      <c r="CJ203" s="46" t="str">
        <f t="shared" si="29"/>
        <v/>
      </c>
      <c r="CK203" s="46" t="str">
        <f t="shared" si="29"/>
        <v/>
      </c>
      <c r="CL203" s="46" t="str">
        <f t="shared" si="29"/>
        <v/>
      </c>
      <c r="CM203" s="46" t="str">
        <f t="shared" si="29"/>
        <v/>
      </c>
      <c r="CN203" s="46" t="str">
        <f t="shared" si="29"/>
        <v/>
      </c>
      <c r="CO203" s="46" t="str">
        <f t="shared" si="29"/>
        <v/>
      </c>
      <c r="CP203" s="46" t="str">
        <f t="shared" si="29"/>
        <v/>
      </c>
      <c r="CQ203" s="46" t="str">
        <f t="shared" si="29"/>
        <v/>
      </c>
      <c r="CR203" s="46" t="str">
        <f t="shared" si="29"/>
        <v/>
      </c>
      <c r="CS203" s="46">
        <f t="shared" si="29"/>
        <v>32</v>
      </c>
      <c r="CT203" s="46" t="str">
        <f t="shared" si="29"/>
        <v/>
      </c>
      <c r="CU203" s="46" t="str">
        <f t="shared" ref="CU203:DH203" si="30">IF(CU10="X",$DK10,"")</f>
        <v/>
      </c>
      <c r="CV203" s="46" t="str">
        <f t="shared" si="30"/>
        <v/>
      </c>
      <c r="CW203" s="46" t="str">
        <f t="shared" si="30"/>
        <v/>
      </c>
      <c r="CX203" s="46" t="str">
        <f t="shared" si="30"/>
        <v/>
      </c>
      <c r="CY203" s="46" t="str">
        <f t="shared" si="30"/>
        <v/>
      </c>
      <c r="CZ203" s="46" t="str">
        <f t="shared" si="30"/>
        <v/>
      </c>
      <c r="DA203" s="46" t="str">
        <f t="shared" si="30"/>
        <v/>
      </c>
      <c r="DB203" s="46" t="str">
        <f t="shared" si="30"/>
        <v/>
      </c>
      <c r="DC203" s="46" t="str">
        <f t="shared" si="30"/>
        <v/>
      </c>
      <c r="DD203" s="46" t="str">
        <f t="shared" si="30"/>
        <v/>
      </c>
      <c r="DE203" s="46" t="str">
        <f t="shared" si="30"/>
        <v/>
      </c>
      <c r="DF203" s="46" t="str">
        <f t="shared" si="30"/>
        <v/>
      </c>
      <c r="DG203" s="46" t="str">
        <f t="shared" si="30"/>
        <v/>
      </c>
      <c r="DH203" s="46" t="str">
        <f t="shared" si="30"/>
        <v/>
      </c>
      <c r="DI203" s="46"/>
      <c r="DJ203" s="46"/>
      <c r="DK203" s="46"/>
      <c r="DL203" s="46"/>
      <c r="DM203" s="46"/>
      <c r="DN203" s="46"/>
      <c r="DO203" s="46"/>
      <c r="DP203" s="46"/>
      <c r="DQ203" s="46"/>
      <c r="DR203" s="46"/>
      <c r="DS203" s="46"/>
      <c r="DT203" s="46"/>
      <c r="DU203" s="46"/>
      <c r="DV203" s="46"/>
      <c r="DW203" s="9"/>
      <c r="DX203" s="1"/>
    </row>
    <row r="204" spans="1:128" x14ac:dyDescent="0.25">
      <c r="A204" s="46"/>
      <c r="B204" s="46" t="str">
        <f t="shared" si="22"/>
        <v/>
      </c>
      <c r="C204" s="46" t="str">
        <f t="shared" ref="C204:AH204" si="31">IF(C11="X",$DK11,"")</f>
        <v/>
      </c>
      <c r="D204" s="46" t="str">
        <f t="shared" si="31"/>
        <v/>
      </c>
      <c r="E204" s="46" t="str">
        <f t="shared" si="31"/>
        <v/>
      </c>
      <c r="F204" s="46" t="str">
        <f t="shared" si="31"/>
        <v/>
      </c>
      <c r="G204" s="46" t="str">
        <f t="shared" si="31"/>
        <v/>
      </c>
      <c r="H204" s="46" t="str">
        <f t="shared" si="31"/>
        <v/>
      </c>
      <c r="I204" s="46" t="str">
        <f t="shared" si="31"/>
        <v/>
      </c>
      <c r="J204" s="46" t="str">
        <f t="shared" si="31"/>
        <v/>
      </c>
      <c r="K204" s="46" t="str">
        <f t="shared" si="31"/>
        <v/>
      </c>
      <c r="L204" s="46" t="str">
        <f t="shared" si="31"/>
        <v/>
      </c>
      <c r="M204" s="46" t="str">
        <f t="shared" si="31"/>
        <v/>
      </c>
      <c r="N204" s="46" t="str">
        <f t="shared" si="31"/>
        <v/>
      </c>
      <c r="O204" s="46" t="str">
        <f t="shared" si="31"/>
        <v/>
      </c>
      <c r="P204" s="46" t="str">
        <f t="shared" si="31"/>
        <v/>
      </c>
      <c r="Q204" s="46" t="str">
        <f t="shared" si="31"/>
        <v/>
      </c>
      <c r="R204" s="46" t="str">
        <f t="shared" si="31"/>
        <v/>
      </c>
      <c r="S204" s="46" t="str">
        <f t="shared" si="31"/>
        <v/>
      </c>
      <c r="T204" s="46" t="str">
        <f t="shared" si="31"/>
        <v/>
      </c>
      <c r="U204" s="46" t="str">
        <f t="shared" si="31"/>
        <v/>
      </c>
      <c r="V204" s="46" t="str">
        <f t="shared" si="31"/>
        <v/>
      </c>
      <c r="W204" s="46" t="str">
        <f t="shared" si="31"/>
        <v/>
      </c>
      <c r="X204" s="46" t="str">
        <f t="shared" si="31"/>
        <v/>
      </c>
      <c r="Y204" s="46" t="str">
        <f t="shared" si="31"/>
        <v/>
      </c>
      <c r="Z204" s="46" t="str">
        <f t="shared" si="31"/>
        <v/>
      </c>
      <c r="AA204" s="46" t="str">
        <f t="shared" si="31"/>
        <v/>
      </c>
      <c r="AB204" s="46" t="str">
        <f t="shared" si="31"/>
        <v/>
      </c>
      <c r="AC204" s="46" t="str">
        <f t="shared" si="31"/>
        <v/>
      </c>
      <c r="AD204" s="46" t="str">
        <f t="shared" si="31"/>
        <v/>
      </c>
      <c r="AE204" s="46" t="str">
        <f t="shared" si="31"/>
        <v/>
      </c>
      <c r="AF204" s="46" t="str">
        <f t="shared" si="31"/>
        <v/>
      </c>
      <c r="AG204" s="46" t="str">
        <f t="shared" si="31"/>
        <v/>
      </c>
      <c r="AH204" s="46" t="str">
        <f t="shared" si="31"/>
        <v/>
      </c>
      <c r="AI204" s="46" t="str">
        <f t="shared" ref="AI204:BN204" si="32">IF(AI11="X",$DK11,"")</f>
        <v/>
      </c>
      <c r="AJ204" s="46" t="str">
        <f t="shared" si="32"/>
        <v/>
      </c>
      <c r="AK204" s="46" t="str">
        <f t="shared" si="32"/>
        <v/>
      </c>
      <c r="AL204" s="46" t="str">
        <f t="shared" si="32"/>
        <v/>
      </c>
      <c r="AM204" s="46" t="str">
        <f t="shared" si="32"/>
        <v/>
      </c>
      <c r="AN204" s="46" t="str">
        <f t="shared" si="32"/>
        <v/>
      </c>
      <c r="AO204" s="46" t="str">
        <f t="shared" si="32"/>
        <v/>
      </c>
      <c r="AP204" s="46" t="str">
        <f t="shared" si="32"/>
        <v/>
      </c>
      <c r="AQ204" s="46" t="str">
        <f t="shared" si="32"/>
        <v/>
      </c>
      <c r="AR204" s="46" t="str">
        <f t="shared" si="32"/>
        <v/>
      </c>
      <c r="AS204" s="46" t="str">
        <f t="shared" si="32"/>
        <v/>
      </c>
      <c r="AT204" s="46" t="str">
        <f t="shared" si="32"/>
        <v/>
      </c>
      <c r="AU204" s="46" t="str">
        <f t="shared" si="32"/>
        <v/>
      </c>
      <c r="AV204" s="46" t="str">
        <f t="shared" si="32"/>
        <v/>
      </c>
      <c r="AW204" s="46" t="str">
        <f t="shared" si="32"/>
        <v/>
      </c>
      <c r="AX204" s="46" t="str">
        <f t="shared" si="32"/>
        <v/>
      </c>
      <c r="AY204" s="46" t="str">
        <f t="shared" si="32"/>
        <v/>
      </c>
      <c r="AZ204" s="46" t="str">
        <f t="shared" si="32"/>
        <v/>
      </c>
      <c r="BA204" s="46" t="str">
        <f t="shared" si="32"/>
        <v/>
      </c>
      <c r="BB204" s="46" t="str">
        <f t="shared" si="32"/>
        <v/>
      </c>
      <c r="BC204" s="46" t="str">
        <f t="shared" si="32"/>
        <v/>
      </c>
      <c r="BD204" s="46" t="str">
        <f t="shared" si="32"/>
        <v/>
      </c>
      <c r="BE204" s="46" t="str">
        <f t="shared" si="32"/>
        <v/>
      </c>
      <c r="BF204" s="46" t="str">
        <f t="shared" si="32"/>
        <v/>
      </c>
      <c r="BG204" s="46" t="str">
        <f t="shared" si="32"/>
        <v/>
      </c>
      <c r="BH204" s="46" t="str">
        <f t="shared" si="32"/>
        <v/>
      </c>
      <c r="BI204" s="46" t="str">
        <f t="shared" si="32"/>
        <v/>
      </c>
      <c r="BJ204" s="46" t="str">
        <f t="shared" si="32"/>
        <v/>
      </c>
      <c r="BK204" s="46" t="str">
        <f t="shared" si="32"/>
        <v/>
      </c>
      <c r="BL204" s="46" t="str">
        <f t="shared" si="32"/>
        <v/>
      </c>
      <c r="BM204" s="46" t="str">
        <f t="shared" si="32"/>
        <v/>
      </c>
      <c r="BN204" s="46" t="str">
        <f t="shared" si="32"/>
        <v/>
      </c>
      <c r="BO204" s="46" t="str">
        <f t="shared" ref="BO204:CT204" si="33">IF(BO11="X",$DK11,"")</f>
        <v/>
      </c>
      <c r="BP204" s="46" t="str">
        <f t="shared" si="33"/>
        <v/>
      </c>
      <c r="BQ204" s="46" t="str">
        <f t="shared" si="33"/>
        <v/>
      </c>
      <c r="BR204" s="46" t="str">
        <f t="shared" si="33"/>
        <v/>
      </c>
      <c r="BS204" s="46" t="str">
        <f t="shared" si="33"/>
        <v/>
      </c>
      <c r="BT204" s="46" t="str">
        <f t="shared" si="33"/>
        <v/>
      </c>
      <c r="BU204" s="46" t="str">
        <f t="shared" si="33"/>
        <v/>
      </c>
      <c r="BV204" s="46" t="str">
        <f t="shared" si="33"/>
        <v/>
      </c>
      <c r="BW204" s="46" t="str">
        <f t="shared" si="33"/>
        <v/>
      </c>
      <c r="BX204" s="46" t="str">
        <f t="shared" si="33"/>
        <v/>
      </c>
      <c r="BY204" s="46" t="str">
        <f t="shared" si="33"/>
        <v/>
      </c>
      <c r="BZ204" s="46" t="str">
        <f t="shared" si="33"/>
        <v/>
      </c>
      <c r="CA204" s="46" t="str">
        <f t="shared" si="33"/>
        <v/>
      </c>
      <c r="CB204" s="46" t="str">
        <f t="shared" si="33"/>
        <v/>
      </c>
      <c r="CC204" s="46" t="str">
        <f t="shared" si="33"/>
        <v/>
      </c>
      <c r="CD204" s="46" t="str">
        <f t="shared" si="33"/>
        <v/>
      </c>
      <c r="CE204" s="46" t="str">
        <f t="shared" si="33"/>
        <v/>
      </c>
      <c r="CF204" s="46" t="str">
        <f t="shared" si="33"/>
        <v/>
      </c>
      <c r="CG204" s="46" t="str">
        <f t="shared" si="33"/>
        <v/>
      </c>
      <c r="CH204" s="46" t="str">
        <f t="shared" si="33"/>
        <v/>
      </c>
      <c r="CI204" s="46" t="str">
        <f t="shared" si="33"/>
        <v/>
      </c>
      <c r="CJ204" s="46" t="str">
        <f t="shared" si="33"/>
        <v/>
      </c>
      <c r="CK204" s="46" t="str">
        <f t="shared" si="33"/>
        <v/>
      </c>
      <c r="CL204" s="46" t="str">
        <f t="shared" si="33"/>
        <v/>
      </c>
      <c r="CM204" s="46" t="str">
        <f t="shared" si="33"/>
        <v/>
      </c>
      <c r="CN204" s="46" t="str">
        <f t="shared" si="33"/>
        <v/>
      </c>
      <c r="CO204" s="46" t="str">
        <f t="shared" si="33"/>
        <v/>
      </c>
      <c r="CP204" s="46" t="str">
        <f t="shared" si="33"/>
        <v/>
      </c>
      <c r="CQ204" s="46" t="str">
        <f t="shared" si="33"/>
        <v/>
      </c>
      <c r="CR204" s="46" t="str">
        <f t="shared" si="33"/>
        <v/>
      </c>
      <c r="CS204" s="46" t="str">
        <f t="shared" si="33"/>
        <v/>
      </c>
      <c r="CT204" s="46" t="str">
        <f t="shared" si="33"/>
        <v/>
      </c>
      <c r="CU204" s="46" t="str">
        <f t="shared" ref="CU204:DH204" si="34">IF(CU11="X",$DK11,"")</f>
        <v/>
      </c>
      <c r="CV204" s="46" t="str">
        <f t="shared" si="34"/>
        <v/>
      </c>
      <c r="CW204" s="46" t="str">
        <f t="shared" si="34"/>
        <v/>
      </c>
      <c r="CX204" s="46" t="str">
        <f t="shared" si="34"/>
        <v/>
      </c>
      <c r="CY204" s="46" t="str">
        <f t="shared" si="34"/>
        <v/>
      </c>
      <c r="CZ204" s="46" t="str">
        <f t="shared" si="34"/>
        <v/>
      </c>
      <c r="DA204" s="46" t="str">
        <f t="shared" si="34"/>
        <v/>
      </c>
      <c r="DB204" s="46" t="str">
        <f t="shared" si="34"/>
        <v/>
      </c>
      <c r="DC204" s="46" t="str">
        <f t="shared" si="34"/>
        <v/>
      </c>
      <c r="DD204" s="46" t="str">
        <f t="shared" si="34"/>
        <v/>
      </c>
      <c r="DE204" s="46">
        <f t="shared" si="34"/>
        <v>32</v>
      </c>
      <c r="DF204" s="46">
        <f t="shared" si="34"/>
        <v>32</v>
      </c>
      <c r="DG204" s="46">
        <f t="shared" si="34"/>
        <v>32</v>
      </c>
      <c r="DH204" s="46" t="str">
        <f t="shared" si="34"/>
        <v/>
      </c>
      <c r="DI204" s="46"/>
      <c r="DJ204" s="46"/>
      <c r="DK204" s="46"/>
      <c r="DL204" s="46"/>
      <c r="DM204" s="46"/>
      <c r="DN204" s="46"/>
      <c r="DO204" s="46"/>
      <c r="DP204" s="46"/>
      <c r="DQ204" s="46"/>
      <c r="DR204" s="46"/>
      <c r="DS204" s="46"/>
      <c r="DT204" s="46"/>
      <c r="DU204" s="46"/>
      <c r="DV204" s="46"/>
      <c r="DW204" s="9"/>
      <c r="DX204" s="1"/>
    </row>
    <row r="205" spans="1:128" x14ac:dyDescent="0.25">
      <c r="A205" s="46"/>
      <c r="B205" s="46" t="str">
        <f t="shared" si="22"/>
        <v/>
      </c>
      <c r="C205" s="46" t="str">
        <f t="shared" ref="C205:BN205" si="35">IF(C12="X",$DK12,"")</f>
        <v/>
      </c>
      <c r="D205" s="46" t="str">
        <f t="shared" si="35"/>
        <v/>
      </c>
      <c r="E205" s="46" t="str">
        <f t="shared" si="35"/>
        <v/>
      </c>
      <c r="F205" s="46" t="str">
        <f t="shared" si="35"/>
        <v/>
      </c>
      <c r="G205" s="46" t="str">
        <f t="shared" si="35"/>
        <v/>
      </c>
      <c r="H205" s="46" t="str">
        <f t="shared" si="35"/>
        <v/>
      </c>
      <c r="I205" s="46" t="str">
        <f t="shared" si="35"/>
        <v/>
      </c>
      <c r="J205" s="46" t="str">
        <f t="shared" si="35"/>
        <v/>
      </c>
      <c r="K205" s="46" t="str">
        <f t="shared" si="35"/>
        <v/>
      </c>
      <c r="L205" s="46" t="str">
        <f t="shared" si="35"/>
        <v/>
      </c>
      <c r="M205" s="46" t="str">
        <f t="shared" si="35"/>
        <v/>
      </c>
      <c r="N205" s="46" t="str">
        <f t="shared" si="35"/>
        <v/>
      </c>
      <c r="O205" s="46" t="str">
        <f t="shared" si="35"/>
        <v/>
      </c>
      <c r="P205" s="46" t="str">
        <f t="shared" si="35"/>
        <v/>
      </c>
      <c r="Q205" s="46" t="str">
        <f t="shared" si="35"/>
        <v/>
      </c>
      <c r="R205" s="46" t="str">
        <f t="shared" si="35"/>
        <v/>
      </c>
      <c r="S205" s="46" t="str">
        <f t="shared" si="35"/>
        <v/>
      </c>
      <c r="T205" s="46" t="str">
        <f t="shared" si="35"/>
        <v/>
      </c>
      <c r="U205" s="46" t="str">
        <f t="shared" si="35"/>
        <v/>
      </c>
      <c r="V205" s="46" t="str">
        <f t="shared" si="35"/>
        <v/>
      </c>
      <c r="W205" s="46" t="str">
        <f t="shared" si="35"/>
        <v/>
      </c>
      <c r="X205" s="46" t="str">
        <f t="shared" si="35"/>
        <v/>
      </c>
      <c r="Y205" s="46" t="str">
        <f t="shared" si="35"/>
        <v/>
      </c>
      <c r="Z205" s="46" t="str">
        <f t="shared" si="35"/>
        <v/>
      </c>
      <c r="AA205" s="46" t="str">
        <f t="shared" si="35"/>
        <v/>
      </c>
      <c r="AB205" s="46" t="str">
        <f t="shared" si="35"/>
        <v/>
      </c>
      <c r="AC205" s="46" t="str">
        <f t="shared" si="35"/>
        <v/>
      </c>
      <c r="AD205" s="46" t="str">
        <f t="shared" si="35"/>
        <v/>
      </c>
      <c r="AE205" s="46" t="str">
        <f t="shared" si="35"/>
        <v/>
      </c>
      <c r="AF205" s="46" t="str">
        <f t="shared" si="35"/>
        <v/>
      </c>
      <c r="AG205" s="46" t="str">
        <f t="shared" si="35"/>
        <v/>
      </c>
      <c r="AH205" s="46" t="str">
        <f t="shared" si="35"/>
        <v/>
      </c>
      <c r="AI205" s="46" t="str">
        <f t="shared" si="35"/>
        <v/>
      </c>
      <c r="AJ205" s="46" t="str">
        <f t="shared" si="35"/>
        <v/>
      </c>
      <c r="AK205" s="46" t="str">
        <f t="shared" si="35"/>
        <v/>
      </c>
      <c r="AL205" s="46" t="str">
        <f t="shared" si="35"/>
        <v/>
      </c>
      <c r="AM205" s="46" t="str">
        <f t="shared" si="35"/>
        <v/>
      </c>
      <c r="AN205" s="46" t="str">
        <f t="shared" si="35"/>
        <v/>
      </c>
      <c r="AO205" s="46" t="str">
        <f t="shared" si="35"/>
        <v/>
      </c>
      <c r="AP205" s="46" t="str">
        <f t="shared" si="35"/>
        <v/>
      </c>
      <c r="AQ205" s="46" t="str">
        <f t="shared" si="35"/>
        <v/>
      </c>
      <c r="AR205" s="46" t="str">
        <f t="shared" si="35"/>
        <v/>
      </c>
      <c r="AS205" s="46" t="str">
        <f t="shared" si="35"/>
        <v/>
      </c>
      <c r="AT205" s="46" t="str">
        <f t="shared" si="35"/>
        <v/>
      </c>
      <c r="AU205" s="46" t="str">
        <f t="shared" si="35"/>
        <v/>
      </c>
      <c r="AV205" s="46" t="str">
        <f t="shared" si="35"/>
        <v/>
      </c>
      <c r="AW205" s="46" t="str">
        <f t="shared" si="35"/>
        <v/>
      </c>
      <c r="AX205" s="46" t="str">
        <f t="shared" si="35"/>
        <v/>
      </c>
      <c r="AY205" s="46" t="str">
        <f t="shared" si="35"/>
        <v/>
      </c>
      <c r="AZ205" s="46" t="str">
        <f t="shared" si="35"/>
        <v/>
      </c>
      <c r="BA205" s="46" t="str">
        <f t="shared" si="35"/>
        <v/>
      </c>
      <c r="BB205" s="46" t="str">
        <f t="shared" si="35"/>
        <v/>
      </c>
      <c r="BC205" s="46" t="str">
        <f t="shared" si="35"/>
        <v/>
      </c>
      <c r="BD205" s="46" t="str">
        <f t="shared" si="35"/>
        <v/>
      </c>
      <c r="BE205" s="46" t="str">
        <f t="shared" si="35"/>
        <v/>
      </c>
      <c r="BF205" s="46" t="str">
        <f t="shared" si="35"/>
        <v/>
      </c>
      <c r="BG205" s="46" t="str">
        <f t="shared" si="35"/>
        <v/>
      </c>
      <c r="BH205" s="46" t="str">
        <f t="shared" si="35"/>
        <v/>
      </c>
      <c r="BI205" s="46" t="str">
        <f t="shared" si="35"/>
        <v/>
      </c>
      <c r="BJ205" s="46" t="str">
        <f t="shared" si="35"/>
        <v/>
      </c>
      <c r="BK205" s="46" t="str">
        <f t="shared" si="35"/>
        <v/>
      </c>
      <c r="BL205" s="46" t="str">
        <f t="shared" si="35"/>
        <v/>
      </c>
      <c r="BM205" s="46" t="str">
        <f t="shared" si="35"/>
        <v/>
      </c>
      <c r="BN205" s="46" t="str">
        <f t="shared" si="35"/>
        <v/>
      </c>
      <c r="BO205" s="46" t="str">
        <f t="shared" ref="BO205:DH205" si="36">IF(BO12="X",$DK12,"")</f>
        <v/>
      </c>
      <c r="BP205" s="46" t="str">
        <f t="shared" si="36"/>
        <v/>
      </c>
      <c r="BQ205" s="46" t="str">
        <f t="shared" si="36"/>
        <v/>
      </c>
      <c r="BR205" s="46" t="str">
        <f t="shared" si="36"/>
        <v/>
      </c>
      <c r="BS205" s="46" t="str">
        <f t="shared" si="36"/>
        <v/>
      </c>
      <c r="BT205" s="46" t="str">
        <f t="shared" si="36"/>
        <v/>
      </c>
      <c r="BU205" s="46" t="str">
        <f t="shared" si="36"/>
        <v/>
      </c>
      <c r="BV205" s="46" t="str">
        <f t="shared" si="36"/>
        <v/>
      </c>
      <c r="BW205" s="46" t="str">
        <f t="shared" si="36"/>
        <v/>
      </c>
      <c r="BX205" s="46" t="str">
        <f t="shared" si="36"/>
        <v/>
      </c>
      <c r="BY205" s="46" t="str">
        <f t="shared" si="36"/>
        <v/>
      </c>
      <c r="BZ205" s="46" t="str">
        <f t="shared" si="36"/>
        <v/>
      </c>
      <c r="CA205" s="46" t="str">
        <f t="shared" si="36"/>
        <v/>
      </c>
      <c r="CB205" s="46" t="str">
        <f t="shared" si="36"/>
        <v/>
      </c>
      <c r="CC205" s="46" t="str">
        <f t="shared" si="36"/>
        <v/>
      </c>
      <c r="CD205" s="46" t="str">
        <f t="shared" si="36"/>
        <v/>
      </c>
      <c r="CE205" s="46" t="str">
        <f t="shared" si="36"/>
        <v/>
      </c>
      <c r="CF205" s="46" t="str">
        <f t="shared" si="36"/>
        <v/>
      </c>
      <c r="CG205" s="46" t="str">
        <f t="shared" si="36"/>
        <v/>
      </c>
      <c r="CH205" s="46" t="str">
        <f t="shared" si="36"/>
        <v/>
      </c>
      <c r="CI205" s="46" t="str">
        <f t="shared" si="36"/>
        <v/>
      </c>
      <c r="CJ205" s="46" t="str">
        <f t="shared" si="36"/>
        <v/>
      </c>
      <c r="CK205" s="46" t="str">
        <f t="shared" si="36"/>
        <v/>
      </c>
      <c r="CL205" s="46" t="str">
        <f t="shared" si="36"/>
        <v/>
      </c>
      <c r="CM205" s="46" t="str">
        <f t="shared" si="36"/>
        <v/>
      </c>
      <c r="CN205" s="46" t="str">
        <f t="shared" si="36"/>
        <v/>
      </c>
      <c r="CO205" s="46" t="str">
        <f t="shared" si="36"/>
        <v/>
      </c>
      <c r="CP205" s="46" t="str">
        <f t="shared" si="36"/>
        <v/>
      </c>
      <c r="CQ205" s="46" t="str">
        <f t="shared" si="36"/>
        <v/>
      </c>
      <c r="CR205" s="46" t="str">
        <f t="shared" si="36"/>
        <v/>
      </c>
      <c r="CS205" s="46" t="str">
        <f t="shared" si="36"/>
        <v/>
      </c>
      <c r="CT205" s="46" t="str">
        <f t="shared" si="36"/>
        <v/>
      </c>
      <c r="CU205" s="46" t="str">
        <f t="shared" si="36"/>
        <v/>
      </c>
      <c r="CV205" s="46" t="str">
        <f t="shared" si="36"/>
        <v/>
      </c>
      <c r="CW205" s="46" t="str">
        <f t="shared" si="36"/>
        <v/>
      </c>
      <c r="CX205" s="46" t="str">
        <f t="shared" si="36"/>
        <v/>
      </c>
      <c r="CY205" s="46" t="str">
        <f t="shared" si="36"/>
        <v/>
      </c>
      <c r="CZ205" s="46" t="str">
        <f t="shared" si="36"/>
        <v/>
      </c>
      <c r="DA205" s="46" t="str">
        <f t="shared" si="36"/>
        <v/>
      </c>
      <c r="DB205" s="46">
        <f t="shared" si="36"/>
        <v>16</v>
      </c>
      <c r="DC205" s="46">
        <f t="shared" si="36"/>
        <v>16</v>
      </c>
      <c r="DD205" s="46">
        <f t="shared" si="36"/>
        <v>16</v>
      </c>
      <c r="DE205" s="46" t="str">
        <f t="shared" si="36"/>
        <v/>
      </c>
      <c r="DF205" s="46" t="str">
        <f t="shared" si="36"/>
        <v/>
      </c>
      <c r="DG205" s="46" t="str">
        <f t="shared" si="36"/>
        <v/>
      </c>
      <c r="DH205" s="46" t="str">
        <f t="shared" si="36"/>
        <v/>
      </c>
      <c r="DI205" s="46"/>
      <c r="DJ205" s="46"/>
      <c r="DK205" s="46"/>
      <c r="DL205" s="46"/>
      <c r="DM205" s="46"/>
      <c r="DN205" s="46"/>
      <c r="DO205" s="46"/>
      <c r="DP205" s="46"/>
      <c r="DQ205" s="46"/>
      <c r="DR205" s="46"/>
      <c r="DS205" s="46"/>
      <c r="DT205" s="46"/>
      <c r="DU205" s="46"/>
      <c r="DV205" s="46"/>
      <c r="DW205" s="9"/>
      <c r="DX205" s="1"/>
    </row>
    <row r="206" spans="1:128" x14ac:dyDescent="0.25">
      <c r="A206" s="46"/>
      <c r="B206" s="46" t="str">
        <f t="shared" si="22"/>
        <v/>
      </c>
      <c r="C206" s="46" t="str">
        <f t="shared" ref="C206:BN206" si="37">IF(C13="X",$DK13,"")</f>
        <v/>
      </c>
      <c r="D206" s="46" t="str">
        <f t="shared" si="37"/>
        <v/>
      </c>
      <c r="E206" s="46" t="str">
        <f t="shared" si="37"/>
        <v/>
      </c>
      <c r="F206" s="46" t="str">
        <f t="shared" si="37"/>
        <v/>
      </c>
      <c r="G206" s="46" t="str">
        <f t="shared" si="37"/>
        <v/>
      </c>
      <c r="H206" s="46" t="str">
        <f t="shared" si="37"/>
        <v/>
      </c>
      <c r="I206" s="46" t="str">
        <f t="shared" si="37"/>
        <v/>
      </c>
      <c r="J206" s="46" t="str">
        <f t="shared" si="37"/>
        <v/>
      </c>
      <c r="K206" s="46" t="str">
        <f t="shared" si="37"/>
        <v/>
      </c>
      <c r="L206" s="46" t="str">
        <f t="shared" si="37"/>
        <v/>
      </c>
      <c r="M206" s="46" t="str">
        <f t="shared" si="37"/>
        <v/>
      </c>
      <c r="N206" s="46" t="str">
        <f t="shared" si="37"/>
        <v/>
      </c>
      <c r="O206" s="46" t="str">
        <f t="shared" si="37"/>
        <v/>
      </c>
      <c r="P206" s="46" t="str">
        <f t="shared" si="37"/>
        <v/>
      </c>
      <c r="Q206" s="46" t="str">
        <f t="shared" si="37"/>
        <v/>
      </c>
      <c r="R206" s="46" t="str">
        <f t="shared" si="37"/>
        <v/>
      </c>
      <c r="S206" s="46" t="str">
        <f t="shared" si="37"/>
        <v/>
      </c>
      <c r="T206" s="46" t="str">
        <f t="shared" si="37"/>
        <v/>
      </c>
      <c r="U206" s="46" t="str">
        <f t="shared" si="37"/>
        <v/>
      </c>
      <c r="V206" s="46" t="str">
        <f t="shared" si="37"/>
        <v/>
      </c>
      <c r="W206" s="46" t="str">
        <f t="shared" si="37"/>
        <v/>
      </c>
      <c r="X206" s="46" t="str">
        <f t="shared" si="37"/>
        <v/>
      </c>
      <c r="Y206" s="46" t="str">
        <f t="shared" si="37"/>
        <v/>
      </c>
      <c r="Z206" s="46" t="str">
        <f t="shared" si="37"/>
        <v/>
      </c>
      <c r="AA206" s="46" t="str">
        <f t="shared" si="37"/>
        <v/>
      </c>
      <c r="AB206" s="46" t="str">
        <f t="shared" si="37"/>
        <v/>
      </c>
      <c r="AC206" s="46" t="str">
        <f t="shared" si="37"/>
        <v/>
      </c>
      <c r="AD206" s="46" t="str">
        <f t="shared" si="37"/>
        <v/>
      </c>
      <c r="AE206" s="46" t="str">
        <f t="shared" si="37"/>
        <v/>
      </c>
      <c r="AF206" s="46" t="str">
        <f t="shared" si="37"/>
        <v/>
      </c>
      <c r="AG206" s="46" t="str">
        <f t="shared" si="37"/>
        <v/>
      </c>
      <c r="AH206" s="46" t="str">
        <f t="shared" si="37"/>
        <v/>
      </c>
      <c r="AI206" s="46" t="str">
        <f t="shared" si="37"/>
        <v/>
      </c>
      <c r="AJ206" s="46" t="str">
        <f t="shared" si="37"/>
        <v/>
      </c>
      <c r="AK206" s="46" t="str">
        <f t="shared" si="37"/>
        <v/>
      </c>
      <c r="AL206" s="46" t="str">
        <f t="shared" si="37"/>
        <v/>
      </c>
      <c r="AM206" s="46" t="str">
        <f t="shared" si="37"/>
        <v/>
      </c>
      <c r="AN206" s="46" t="str">
        <f t="shared" si="37"/>
        <v/>
      </c>
      <c r="AO206" s="46" t="str">
        <f t="shared" si="37"/>
        <v/>
      </c>
      <c r="AP206" s="46" t="str">
        <f t="shared" si="37"/>
        <v/>
      </c>
      <c r="AQ206" s="46" t="str">
        <f t="shared" si="37"/>
        <v/>
      </c>
      <c r="AR206" s="46" t="str">
        <f t="shared" si="37"/>
        <v/>
      </c>
      <c r="AS206" s="46" t="str">
        <f t="shared" si="37"/>
        <v/>
      </c>
      <c r="AT206" s="46" t="str">
        <f t="shared" si="37"/>
        <v/>
      </c>
      <c r="AU206" s="46" t="str">
        <f t="shared" si="37"/>
        <v/>
      </c>
      <c r="AV206" s="46" t="str">
        <f t="shared" si="37"/>
        <v/>
      </c>
      <c r="AW206" s="46" t="str">
        <f t="shared" si="37"/>
        <v/>
      </c>
      <c r="AX206" s="46" t="str">
        <f t="shared" si="37"/>
        <v/>
      </c>
      <c r="AY206" s="46" t="str">
        <f t="shared" si="37"/>
        <v/>
      </c>
      <c r="AZ206" s="46" t="str">
        <f t="shared" si="37"/>
        <v/>
      </c>
      <c r="BA206" s="46" t="str">
        <f t="shared" si="37"/>
        <v/>
      </c>
      <c r="BB206" s="46" t="str">
        <f t="shared" si="37"/>
        <v/>
      </c>
      <c r="BC206" s="46" t="str">
        <f t="shared" si="37"/>
        <v/>
      </c>
      <c r="BD206" s="46" t="str">
        <f t="shared" si="37"/>
        <v/>
      </c>
      <c r="BE206" s="46" t="str">
        <f t="shared" si="37"/>
        <v/>
      </c>
      <c r="BF206" s="46" t="str">
        <f t="shared" si="37"/>
        <v/>
      </c>
      <c r="BG206" s="46" t="str">
        <f t="shared" si="37"/>
        <v/>
      </c>
      <c r="BH206" s="46" t="str">
        <f t="shared" si="37"/>
        <v/>
      </c>
      <c r="BI206" s="46" t="str">
        <f t="shared" si="37"/>
        <v/>
      </c>
      <c r="BJ206" s="46" t="str">
        <f t="shared" si="37"/>
        <v/>
      </c>
      <c r="BK206" s="46" t="str">
        <f t="shared" si="37"/>
        <v/>
      </c>
      <c r="BL206" s="46" t="str">
        <f t="shared" si="37"/>
        <v/>
      </c>
      <c r="BM206" s="46" t="str">
        <f t="shared" si="37"/>
        <v/>
      </c>
      <c r="BN206" s="46" t="str">
        <f t="shared" si="37"/>
        <v/>
      </c>
      <c r="BO206" s="46" t="str">
        <f t="shared" ref="BO206:DH206" si="38">IF(BO13="X",$DK13,"")</f>
        <v/>
      </c>
      <c r="BP206" s="46" t="str">
        <f t="shared" si="38"/>
        <v/>
      </c>
      <c r="BQ206" s="46" t="str">
        <f t="shared" si="38"/>
        <v/>
      </c>
      <c r="BR206" s="46" t="str">
        <f t="shared" si="38"/>
        <v/>
      </c>
      <c r="BS206" s="46" t="str">
        <f t="shared" si="38"/>
        <v/>
      </c>
      <c r="BT206" s="46" t="str">
        <f t="shared" si="38"/>
        <v/>
      </c>
      <c r="BU206" s="46" t="str">
        <f t="shared" si="38"/>
        <v/>
      </c>
      <c r="BV206" s="46" t="str">
        <f t="shared" si="38"/>
        <v/>
      </c>
      <c r="BW206" s="46" t="str">
        <f t="shared" si="38"/>
        <v/>
      </c>
      <c r="BX206" s="46" t="str">
        <f t="shared" si="38"/>
        <v/>
      </c>
      <c r="BY206" s="46" t="str">
        <f t="shared" si="38"/>
        <v/>
      </c>
      <c r="BZ206" s="46" t="str">
        <f t="shared" si="38"/>
        <v/>
      </c>
      <c r="CA206" s="46" t="str">
        <f t="shared" si="38"/>
        <v/>
      </c>
      <c r="CB206" s="46" t="str">
        <f t="shared" si="38"/>
        <v/>
      </c>
      <c r="CC206" s="46">
        <f t="shared" si="38"/>
        <v>32</v>
      </c>
      <c r="CD206" s="46" t="str">
        <f t="shared" si="38"/>
        <v/>
      </c>
      <c r="CE206" s="46" t="str">
        <f t="shared" si="38"/>
        <v/>
      </c>
      <c r="CF206" s="46" t="str">
        <f t="shared" si="38"/>
        <v/>
      </c>
      <c r="CG206" s="46" t="str">
        <f t="shared" si="38"/>
        <v/>
      </c>
      <c r="CH206" s="46" t="str">
        <f t="shared" si="38"/>
        <v/>
      </c>
      <c r="CI206" s="46" t="str">
        <f t="shared" si="38"/>
        <v/>
      </c>
      <c r="CJ206" s="46" t="str">
        <f t="shared" si="38"/>
        <v/>
      </c>
      <c r="CK206" s="46" t="str">
        <f t="shared" si="38"/>
        <v/>
      </c>
      <c r="CL206" s="46" t="str">
        <f t="shared" si="38"/>
        <v/>
      </c>
      <c r="CM206" s="46" t="str">
        <f t="shared" si="38"/>
        <v/>
      </c>
      <c r="CN206" s="46" t="str">
        <f t="shared" si="38"/>
        <v/>
      </c>
      <c r="CO206" s="46" t="str">
        <f t="shared" si="38"/>
        <v/>
      </c>
      <c r="CP206" s="46" t="str">
        <f t="shared" si="38"/>
        <v/>
      </c>
      <c r="CQ206" s="46" t="str">
        <f t="shared" si="38"/>
        <v/>
      </c>
      <c r="CR206" s="46" t="str">
        <f t="shared" si="38"/>
        <v/>
      </c>
      <c r="CS206" s="46" t="str">
        <f t="shared" si="38"/>
        <v/>
      </c>
      <c r="CT206" s="46" t="str">
        <f t="shared" si="38"/>
        <v/>
      </c>
      <c r="CU206" s="46" t="str">
        <f t="shared" si="38"/>
        <v/>
      </c>
      <c r="CV206" s="46" t="str">
        <f t="shared" si="38"/>
        <v/>
      </c>
      <c r="CW206" s="46" t="str">
        <f t="shared" si="38"/>
        <v/>
      </c>
      <c r="CX206" s="46" t="str">
        <f t="shared" si="38"/>
        <v/>
      </c>
      <c r="CY206" s="46" t="str">
        <f t="shared" si="38"/>
        <v/>
      </c>
      <c r="CZ206" s="46" t="str">
        <f t="shared" si="38"/>
        <v/>
      </c>
      <c r="DA206" s="46">
        <f t="shared" si="38"/>
        <v>32</v>
      </c>
      <c r="DB206" s="46" t="str">
        <f t="shared" si="38"/>
        <v/>
      </c>
      <c r="DC206" s="46" t="str">
        <f t="shared" si="38"/>
        <v/>
      </c>
      <c r="DD206" s="46" t="str">
        <f t="shared" si="38"/>
        <v/>
      </c>
      <c r="DE206" s="46" t="str">
        <f t="shared" si="38"/>
        <v/>
      </c>
      <c r="DF206" s="46" t="str">
        <f t="shared" si="38"/>
        <v/>
      </c>
      <c r="DG206" s="46" t="str">
        <f t="shared" si="38"/>
        <v/>
      </c>
      <c r="DH206" s="46" t="str">
        <f t="shared" si="38"/>
        <v/>
      </c>
      <c r="DI206" s="46"/>
      <c r="DJ206" s="46"/>
      <c r="DK206" s="46"/>
      <c r="DL206" s="46"/>
      <c r="DM206" s="46"/>
      <c r="DN206" s="46"/>
      <c r="DO206" s="46"/>
      <c r="DP206" s="46"/>
      <c r="DQ206" s="46"/>
      <c r="DR206" s="46"/>
      <c r="DS206" s="46"/>
      <c r="DT206" s="46"/>
      <c r="DU206" s="46"/>
      <c r="DV206" s="46"/>
      <c r="DW206" s="9"/>
      <c r="DX206" s="1"/>
    </row>
    <row r="207" spans="1:128" x14ac:dyDescent="0.25">
      <c r="A207" s="46"/>
      <c r="B207" s="46" t="str">
        <f t="shared" si="22"/>
        <v/>
      </c>
      <c r="C207" s="46" t="str">
        <f t="shared" ref="C207:BN207" si="39">IF(C14="X",$DK14,"")</f>
        <v/>
      </c>
      <c r="D207" s="46" t="str">
        <f t="shared" si="39"/>
        <v/>
      </c>
      <c r="E207" s="46" t="str">
        <f t="shared" si="39"/>
        <v/>
      </c>
      <c r="F207" s="46" t="str">
        <f t="shared" si="39"/>
        <v/>
      </c>
      <c r="G207" s="46" t="str">
        <f t="shared" si="39"/>
        <v/>
      </c>
      <c r="H207" s="46" t="str">
        <f t="shared" si="39"/>
        <v/>
      </c>
      <c r="I207" s="46" t="str">
        <f t="shared" si="39"/>
        <v/>
      </c>
      <c r="J207" s="46" t="str">
        <f t="shared" si="39"/>
        <v/>
      </c>
      <c r="K207" s="46" t="str">
        <f t="shared" si="39"/>
        <v/>
      </c>
      <c r="L207" s="46" t="str">
        <f t="shared" si="39"/>
        <v/>
      </c>
      <c r="M207" s="46" t="str">
        <f t="shared" si="39"/>
        <v/>
      </c>
      <c r="N207" s="46" t="str">
        <f t="shared" si="39"/>
        <v/>
      </c>
      <c r="O207" s="46" t="str">
        <f t="shared" si="39"/>
        <v/>
      </c>
      <c r="P207" s="46" t="str">
        <f t="shared" si="39"/>
        <v/>
      </c>
      <c r="Q207" s="46" t="str">
        <f t="shared" si="39"/>
        <v/>
      </c>
      <c r="R207" s="46" t="str">
        <f t="shared" si="39"/>
        <v/>
      </c>
      <c r="S207" s="46" t="str">
        <f t="shared" si="39"/>
        <v/>
      </c>
      <c r="T207" s="46" t="str">
        <f t="shared" si="39"/>
        <v/>
      </c>
      <c r="U207" s="46" t="str">
        <f t="shared" si="39"/>
        <v/>
      </c>
      <c r="V207" s="46" t="str">
        <f t="shared" si="39"/>
        <v/>
      </c>
      <c r="W207" s="46" t="str">
        <f t="shared" si="39"/>
        <v/>
      </c>
      <c r="X207" s="46" t="str">
        <f t="shared" si="39"/>
        <v/>
      </c>
      <c r="Y207" s="46" t="str">
        <f t="shared" si="39"/>
        <v/>
      </c>
      <c r="Z207" s="46" t="str">
        <f t="shared" si="39"/>
        <v/>
      </c>
      <c r="AA207" s="46" t="str">
        <f t="shared" si="39"/>
        <v/>
      </c>
      <c r="AB207" s="46" t="str">
        <f t="shared" si="39"/>
        <v/>
      </c>
      <c r="AC207" s="46" t="str">
        <f t="shared" si="39"/>
        <v/>
      </c>
      <c r="AD207" s="46" t="str">
        <f t="shared" si="39"/>
        <v/>
      </c>
      <c r="AE207" s="46" t="str">
        <f t="shared" si="39"/>
        <v/>
      </c>
      <c r="AF207" s="46" t="str">
        <f t="shared" si="39"/>
        <v/>
      </c>
      <c r="AG207" s="46" t="str">
        <f t="shared" si="39"/>
        <v/>
      </c>
      <c r="AH207" s="46" t="str">
        <f t="shared" si="39"/>
        <v/>
      </c>
      <c r="AI207" s="46" t="str">
        <f t="shared" si="39"/>
        <v/>
      </c>
      <c r="AJ207" s="46" t="str">
        <f t="shared" si="39"/>
        <v/>
      </c>
      <c r="AK207" s="46" t="str">
        <f t="shared" si="39"/>
        <v/>
      </c>
      <c r="AL207" s="46" t="str">
        <f t="shared" si="39"/>
        <v/>
      </c>
      <c r="AM207" s="46" t="str">
        <f t="shared" si="39"/>
        <v/>
      </c>
      <c r="AN207" s="46" t="str">
        <f t="shared" si="39"/>
        <v/>
      </c>
      <c r="AO207" s="46" t="str">
        <f t="shared" si="39"/>
        <v/>
      </c>
      <c r="AP207" s="46" t="str">
        <f t="shared" si="39"/>
        <v/>
      </c>
      <c r="AQ207" s="46" t="str">
        <f t="shared" si="39"/>
        <v/>
      </c>
      <c r="AR207" s="46" t="str">
        <f t="shared" si="39"/>
        <v/>
      </c>
      <c r="AS207" s="46" t="str">
        <f t="shared" si="39"/>
        <v/>
      </c>
      <c r="AT207" s="46" t="str">
        <f t="shared" si="39"/>
        <v/>
      </c>
      <c r="AU207" s="46" t="str">
        <f t="shared" si="39"/>
        <v/>
      </c>
      <c r="AV207" s="46" t="str">
        <f t="shared" si="39"/>
        <v/>
      </c>
      <c r="AW207" s="46" t="str">
        <f t="shared" si="39"/>
        <v/>
      </c>
      <c r="AX207" s="46" t="str">
        <f t="shared" si="39"/>
        <v/>
      </c>
      <c r="AY207" s="46" t="str">
        <f t="shared" si="39"/>
        <v/>
      </c>
      <c r="AZ207" s="46" t="str">
        <f t="shared" si="39"/>
        <v/>
      </c>
      <c r="BA207" s="46" t="str">
        <f t="shared" si="39"/>
        <v/>
      </c>
      <c r="BB207" s="46" t="str">
        <f t="shared" si="39"/>
        <v/>
      </c>
      <c r="BC207" s="46" t="str">
        <f t="shared" si="39"/>
        <v/>
      </c>
      <c r="BD207" s="46" t="str">
        <f t="shared" si="39"/>
        <v/>
      </c>
      <c r="BE207" s="46" t="str">
        <f t="shared" si="39"/>
        <v/>
      </c>
      <c r="BF207" s="46" t="str">
        <f t="shared" si="39"/>
        <v/>
      </c>
      <c r="BG207" s="46" t="str">
        <f t="shared" si="39"/>
        <v/>
      </c>
      <c r="BH207" s="46" t="str">
        <f t="shared" si="39"/>
        <v/>
      </c>
      <c r="BI207" s="46" t="str">
        <f t="shared" si="39"/>
        <v/>
      </c>
      <c r="BJ207" s="46" t="str">
        <f t="shared" si="39"/>
        <v/>
      </c>
      <c r="BK207" s="46" t="str">
        <f t="shared" si="39"/>
        <v/>
      </c>
      <c r="BL207" s="46" t="str">
        <f t="shared" si="39"/>
        <v/>
      </c>
      <c r="BM207" s="46" t="str">
        <f t="shared" si="39"/>
        <v/>
      </c>
      <c r="BN207" s="46">
        <f t="shared" si="39"/>
        <v>32</v>
      </c>
      <c r="BO207" s="46">
        <f t="shared" ref="BO207:DH207" si="40">IF(BO14="X",$DK14,"")</f>
        <v>32</v>
      </c>
      <c r="BP207" s="46">
        <f t="shared" si="40"/>
        <v>32</v>
      </c>
      <c r="BQ207" s="46" t="str">
        <f t="shared" si="40"/>
        <v/>
      </c>
      <c r="BR207" s="46" t="str">
        <f t="shared" si="40"/>
        <v/>
      </c>
      <c r="BS207" s="46">
        <f t="shared" si="40"/>
        <v>32</v>
      </c>
      <c r="BT207" s="46">
        <f t="shared" si="40"/>
        <v>32</v>
      </c>
      <c r="BU207" s="46" t="str">
        <f t="shared" si="40"/>
        <v/>
      </c>
      <c r="BV207" s="46">
        <f t="shared" si="40"/>
        <v>32</v>
      </c>
      <c r="BW207" s="46" t="str">
        <f t="shared" si="40"/>
        <v/>
      </c>
      <c r="BX207" s="46" t="str">
        <f t="shared" si="40"/>
        <v/>
      </c>
      <c r="BY207" s="46">
        <f t="shared" si="40"/>
        <v>32</v>
      </c>
      <c r="BZ207" s="46" t="str">
        <f t="shared" si="40"/>
        <v/>
      </c>
      <c r="CA207" s="46">
        <f t="shared" si="40"/>
        <v>32</v>
      </c>
      <c r="CB207" s="46">
        <f t="shared" si="40"/>
        <v>32</v>
      </c>
      <c r="CC207" s="46" t="str">
        <f t="shared" si="40"/>
        <v/>
      </c>
      <c r="CD207" s="46" t="str">
        <f t="shared" si="40"/>
        <v/>
      </c>
      <c r="CE207" s="46" t="str">
        <f t="shared" si="40"/>
        <v/>
      </c>
      <c r="CF207" s="46" t="str">
        <f t="shared" si="40"/>
        <v/>
      </c>
      <c r="CG207" s="46">
        <f t="shared" si="40"/>
        <v>32</v>
      </c>
      <c r="CH207" s="46">
        <f t="shared" si="40"/>
        <v>32</v>
      </c>
      <c r="CI207" s="46">
        <f t="shared" si="40"/>
        <v>32</v>
      </c>
      <c r="CJ207" s="46" t="str">
        <f t="shared" si="40"/>
        <v/>
      </c>
      <c r="CK207" s="46" t="str">
        <f t="shared" si="40"/>
        <v/>
      </c>
      <c r="CL207" s="46">
        <f t="shared" si="40"/>
        <v>32</v>
      </c>
      <c r="CM207" s="46">
        <f t="shared" si="40"/>
        <v>32</v>
      </c>
      <c r="CN207" s="46" t="str">
        <f t="shared" si="40"/>
        <v/>
      </c>
      <c r="CO207" s="46" t="str">
        <f t="shared" si="40"/>
        <v/>
      </c>
      <c r="CP207" s="46" t="str">
        <f t="shared" si="40"/>
        <v/>
      </c>
      <c r="CQ207" s="46" t="str">
        <f t="shared" si="40"/>
        <v/>
      </c>
      <c r="CR207" s="46" t="str">
        <f t="shared" si="40"/>
        <v/>
      </c>
      <c r="CS207" s="46" t="str">
        <f t="shared" si="40"/>
        <v/>
      </c>
      <c r="CT207" s="46">
        <f t="shared" si="40"/>
        <v>32</v>
      </c>
      <c r="CU207" s="46" t="str">
        <f t="shared" si="40"/>
        <v/>
      </c>
      <c r="CV207" s="46">
        <f t="shared" si="40"/>
        <v>32</v>
      </c>
      <c r="CW207" s="46">
        <f t="shared" si="40"/>
        <v>32</v>
      </c>
      <c r="CX207" s="46" t="str">
        <f t="shared" si="40"/>
        <v/>
      </c>
      <c r="CY207" s="46" t="str">
        <f t="shared" si="40"/>
        <v/>
      </c>
      <c r="CZ207" s="46">
        <f t="shared" si="40"/>
        <v>32</v>
      </c>
      <c r="DA207" s="46" t="str">
        <f t="shared" si="40"/>
        <v/>
      </c>
      <c r="DB207" s="46" t="str">
        <f t="shared" si="40"/>
        <v/>
      </c>
      <c r="DC207" s="46" t="str">
        <f t="shared" si="40"/>
        <v/>
      </c>
      <c r="DD207" s="46" t="str">
        <f t="shared" si="40"/>
        <v/>
      </c>
      <c r="DE207" s="46" t="str">
        <f t="shared" si="40"/>
        <v/>
      </c>
      <c r="DF207" s="46" t="str">
        <f t="shared" si="40"/>
        <v/>
      </c>
      <c r="DG207" s="46" t="str">
        <f t="shared" si="40"/>
        <v/>
      </c>
      <c r="DH207" s="46" t="str">
        <f t="shared" si="40"/>
        <v/>
      </c>
      <c r="DI207" s="46"/>
      <c r="DJ207" s="46"/>
      <c r="DK207" s="46"/>
      <c r="DL207" s="46"/>
      <c r="DM207" s="46"/>
      <c r="DN207" s="46"/>
      <c r="DO207" s="46"/>
      <c r="DP207" s="46"/>
      <c r="DQ207" s="46"/>
      <c r="DR207" s="46"/>
      <c r="DS207" s="46"/>
      <c r="DT207" s="46"/>
      <c r="DU207" s="46"/>
      <c r="DV207" s="46"/>
      <c r="DW207" s="9"/>
      <c r="DX207" s="1"/>
    </row>
    <row r="208" spans="1:128" x14ac:dyDescent="0.25">
      <c r="A208" s="46"/>
      <c r="B208" s="46" t="str">
        <f t="shared" si="22"/>
        <v/>
      </c>
      <c r="C208" s="46" t="str">
        <f t="shared" ref="C208:BN208" si="41">IF(C15="X",$DK15,"")</f>
        <v/>
      </c>
      <c r="D208" s="46" t="str">
        <f t="shared" si="41"/>
        <v/>
      </c>
      <c r="E208" s="46" t="str">
        <f t="shared" si="41"/>
        <v/>
      </c>
      <c r="F208" s="46" t="str">
        <f t="shared" si="41"/>
        <v/>
      </c>
      <c r="G208" s="46" t="str">
        <f t="shared" si="41"/>
        <v/>
      </c>
      <c r="H208" s="46" t="str">
        <f t="shared" si="41"/>
        <v/>
      </c>
      <c r="I208" s="46" t="str">
        <f t="shared" si="41"/>
        <v/>
      </c>
      <c r="J208" s="46" t="str">
        <f t="shared" si="41"/>
        <v/>
      </c>
      <c r="K208" s="46" t="str">
        <f t="shared" si="41"/>
        <v/>
      </c>
      <c r="L208" s="46" t="str">
        <f t="shared" si="41"/>
        <v/>
      </c>
      <c r="M208" s="46" t="str">
        <f t="shared" si="41"/>
        <v/>
      </c>
      <c r="N208" s="46" t="str">
        <f t="shared" si="41"/>
        <v/>
      </c>
      <c r="O208" s="46" t="str">
        <f t="shared" si="41"/>
        <v/>
      </c>
      <c r="P208" s="46" t="str">
        <f t="shared" si="41"/>
        <v/>
      </c>
      <c r="Q208" s="46" t="str">
        <f t="shared" si="41"/>
        <v/>
      </c>
      <c r="R208" s="46" t="str">
        <f t="shared" si="41"/>
        <v/>
      </c>
      <c r="S208" s="46" t="str">
        <f t="shared" si="41"/>
        <v/>
      </c>
      <c r="T208" s="46" t="str">
        <f t="shared" si="41"/>
        <v/>
      </c>
      <c r="U208" s="46" t="str">
        <f t="shared" si="41"/>
        <v/>
      </c>
      <c r="V208" s="46" t="str">
        <f t="shared" si="41"/>
        <v/>
      </c>
      <c r="W208" s="46" t="str">
        <f t="shared" si="41"/>
        <v/>
      </c>
      <c r="X208" s="46" t="str">
        <f t="shared" si="41"/>
        <v/>
      </c>
      <c r="Y208" s="46" t="str">
        <f t="shared" si="41"/>
        <v/>
      </c>
      <c r="Z208" s="46" t="str">
        <f t="shared" si="41"/>
        <v/>
      </c>
      <c r="AA208" s="46" t="str">
        <f t="shared" si="41"/>
        <v/>
      </c>
      <c r="AB208" s="46" t="str">
        <f t="shared" si="41"/>
        <v/>
      </c>
      <c r="AC208" s="46" t="str">
        <f t="shared" si="41"/>
        <v/>
      </c>
      <c r="AD208" s="46">
        <f t="shared" si="41"/>
        <v>16</v>
      </c>
      <c r="AE208" s="46" t="str">
        <f t="shared" si="41"/>
        <v/>
      </c>
      <c r="AF208" s="46" t="str">
        <f t="shared" si="41"/>
        <v/>
      </c>
      <c r="AG208" s="46" t="str">
        <f t="shared" si="41"/>
        <v/>
      </c>
      <c r="AH208" s="46" t="str">
        <f t="shared" si="41"/>
        <v/>
      </c>
      <c r="AI208" s="46" t="str">
        <f t="shared" si="41"/>
        <v/>
      </c>
      <c r="AJ208" s="46" t="str">
        <f t="shared" si="41"/>
        <v/>
      </c>
      <c r="AK208" s="46" t="str">
        <f t="shared" si="41"/>
        <v/>
      </c>
      <c r="AL208" s="46" t="str">
        <f t="shared" si="41"/>
        <v/>
      </c>
      <c r="AM208" s="46" t="str">
        <f t="shared" si="41"/>
        <v/>
      </c>
      <c r="AN208" s="46" t="str">
        <f t="shared" si="41"/>
        <v/>
      </c>
      <c r="AO208" s="46" t="str">
        <f t="shared" si="41"/>
        <v/>
      </c>
      <c r="AP208" s="46" t="str">
        <f t="shared" si="41"/>
        <v/>
      </c>
      <c r="AQ208" s="46" t="str">
        <f t="shared" si="41"/>
        <v/>
      </c>
      <c r="AR208" s="46" t="str">
        <f t="shared" si="41"/>
        <v/>
      </c>
      <c r="AS208" s="46" t="str">
        <f t="shared" si="41"/>
        <v/>
      </c>
      <c r="AT208" s="46" t="str">
        <f t="shared" si="41"/>
        <v/>
      </c>
      <c r="AU208" s="46" t="str">
        <f t="shared" si="41"/>
        <v/>
      </c>
      <c r="AV208" s="46" t="str">
        <f t="shared" si="41"/>
        <v/>
      </c>
      <c r="AW208" s="46" t="str">
        <f t="shared" si="41"/>
        <v/>
      </c>
      <c r="AX208" s="46" t="str">
        <f t="shared" si="41"/>
        <v/>
      </c>
      <c r="AY208" s="46" t="str">
        <f t="shared" si="41"/>
        <v/>
      </c>
      <c r="AZ208" s="46" t="str">
        <f t="shared" si="41"/>
        <v/>
      </c>
      <c r="BA208" s="46" t="str">
        <f t="shared" si="41"/>
        <v/>
      </c>
      <c r="BB208" s="46" t="str">
        <f t="shared" si="41"/>
        <v/>
      </c>
      <c r="BC208" s="46" t="str">
        <f t="shared" si="41"/>
        <v/>
      </c>
      <c r="BD208" s="46" t="str">
        <f t="shared" si="41"/>
        <v/>
      </c>
      <c r="BE208" s="46" t="str">
        <f t="shared" si="41"/>
        <v/>
      </c>
      <c r="BF208" s="46">
        <f t="shared" si="41"/>
        <v>16</v>
      </c>
      <c r="BG208" s="46" t="str">
        <f t="shared" si="41"/>
        <v/>
      </c>
      <c r="BH208" s="46" t="str">
        <f t="shared" si="41"/>
        <v/>
      </c>
      <c r="BI208" s="46" t="str">
        <f t="shared" si="41"/>
        <v/>
      </c>
      <c r="BJ208" s="46" t="str">
        <f t="shared" si="41"/>
        <v/>
      </c>
      <c r="BK208" s="46" t="str">
        <f t="shared" si="41"/>
        <v/>
      </c>
      <c r="BL208" s="46" t="str">
        <f t="shared" si="41"/>
        <v/>
      </c>
      <c r="BM208" s="46" t="str">
        <f t="shared" si="41"/>
        <v/>
      </c>
      <c r="BN208" s="46" t="str">
        <f t="shared" si="41"/>
        <v/>
      </c>
      <c r="BO208" s="46" t="str">
        <f t="shared" ref="BO208:DH208" si="42">IF(BO15="X",$DK15,"")</f>
        <v/>
      </c>
      <c r="BP208" s="46" t="str">
        <f t="shared" si="42"/>
        <v/>
      </c>
      <c r="BQ208" s="46" t="str">
        <f t="shared" si="42"/>
        <v/>
      </c>
      <c r="BR208" s="46" t="str">
        <f t="shared" si="42"/>
        <v/>
      </c>
      <c r="BS208" s="46" t="str">
        <f t="shared" si="42"/>
        <v/>
      </c>
      <c r="BT208" s="46" t="str">
        <f t="shared" si="42"/>
        <v/>
      </c>
      <c r="BU208" s="46" t="str">
        <f t="shared" si="42"/>
        <v/>
      </c>
      <c r="BV208" s="46" t="str">
        <f t="shared" si="42"/>
        <v/>
      </c>
      <c r="BW208" s="46" t="str">
        <f t="shared" si="42"/>
        <v/>
      </c>
      <c r="BX208" s="46" t="str">
        <f t="shared" si="42"/>
        <v/>
      </c>
      <c r="BY208" s="46" t="str">
        <f t="shared" si="42"/>
        <v/>
      </c>
      <c r="BZ208" s="46" t="str">
        <f t="shared" si="42"/>
        <v/>
      </c>
      <c r="CA208" s="46" t="str">
        <f t="shared" si="42"/>
        <v/>
      </c>
      <c r="CB208" s="46" t="str">
        <f t="shared" si="42"/>
        <v/>
      </c>
      <c r="CC208" s="46" t="str">
        <f t="shared" si="42"/>
        <v/>
      </c>
      <c r="CD208" s="46" t="str">
        <f t="shared" si="42"/>
        <v/>
      </c>
      <c r="CE208" s="46" t="str">
        <f t="shared" si="42"/>
        <v/>
      </c>
      <c r="CF208" s="46" t="str">
        <f t="shared" si="42"/>
        <v/>
      </c>
      <c r="CG208" s="46" t="str">
        <f t="shared" si="42"/>
        <v/>
      </c>
      <c r="CH208" s="46" t="str">
        <f t="shared" si="42"/>
        <v/>
      </c>
      <c r="CI208" s="46" t="str">
        <f t="shared" si="42"/>
        <v/>
      </c>
      <c r="CJ208" s="46" t="str">
        <f t="shared" si="42"/>
        <v/>
      </c>
      <c r="CK208" s="46" t="str">
        <f t="shared" si="42"/>
        <v/>
      </c>
      <c r="CL208" s="46" t="str">
        <f t="shared" si="42"/>
        <v/>
      </c>
      <c r="CM208" s="46" t="str">
        <f t="shared" si="42"/>
        <v/>
      </c>
      <c r="CN208" s="46" t="str">
        <f t="shared" si="42"/>
        <v/>
      </c>
      <c r="CO208" s="46" t="str">
        <f t="shared" si="42"/>
        <v/>
      </c>
      <c r="CP208" s="46" t="str">
        <f t="shared" si="42"/>
        <v/>
      </c>
      <c r="CQ208" s="46" t="str">
        <f t="shared" si="42"/>
        <v/>
      </c>
      <c r="CR208" s="46" t="str">
        <f t="shared" si="42"/>
        <v/>
      </c>
      <c r="CS208" s="46" t="str">
        <f t="shared" si="42"/>
        <v/>
      </c>
      <c r="CT208" s="46" t="str">
        <f t="shared" si="42"/>
        <v/>
      </c>
      <c r="CU208" s="46" t="str">
        <f t="shared" si="42"/>
        <v/>
      </c>
      <c r="CV208" s="46" t="str">
        <f t="shared" si="42"/>
        <v/>
      </c>
      <c r="CW208" s="46" t="str">
        <f t="shared" si="42"/>
        <v/>
      </c>
      <c r="CX208" s="46" t="str">
        <f t="shared" si="42"/>
        <v/>
      </c>
      <c r="CY208" s="46" t="str">
        <f t="shared" si="42"/>
        <v/>
      </c>
      <c r="CZ208" s="46" t="str">
        <f t="shared" si="42"/>
        <v/>
      </c>
      <c r="DA208" s="46" t="str">
        <f t="shared" si="42"/>
        <v/>
      </c>
      <c r="DB208" s="46" t="str">
        <f t="shared" si="42"/>
        <v/>
      </c>
      <c r="DC208" s="46" t="str">
        <f t="shared" si="42"/>
        <v/>
      </c>
      <c r="DD208" s="46" t="str">
        <f t="shared" si="42"/>
        <v/>
      </c>
      <c r="DE208" s="46" t="str">
        <f t="shared" si="42"/>
        <v/>
      </c>
      <c r="DF208" s="46" t="str">
        <f t="shared" si="42"/>
        <v/>
      </c>
      <c r="DG208" s="46" t="str">
        <f t="shared" si="42"/>
        <v/>
      </c>
      <c r="DH208" s="46" t="str">
        <f t="shared" si="42"/>
        <v/>
      </c>
      <c r="DI208" s="46"/>
      <c r="DJ208" s="46"/>
      <c r="DK208" s="46"/>
      <c r="DL208" s="46"/>
      <c r="DM208" s="46"/>
      <c r="DN208" s="46"/>
      <c r="DO208" s="46"/>
      <c r="DP208" s="46"/>
      <c r="DQ208" s="46"/>
      <c r="DR208" s="46"/>
      <c r="DS208" s="46"/>
      <c r="DT208" s="46"/>
      <c r="DU208" s="46"/>
      <c r="DV208" s="46"/>
      <c r="DW208" s="9"/>
      <c r="DX208" s="1"/>
    </row>
    <row r="209" spans="1:128" x14ac:dyDescent="0.25">
      <c r="A209" s="46"/>
      <c r="B209" s="46" t="str">
        <f t="shared" si="22"/>
        <v/>
      </c>
      <c r="C209" s="46" t="str">
        <f t="shared" ref="C209:BN209" si="43">IF(C16="X",$DK16,"")</f>
        <v/>
      </c>
      <c r="D209" s="46" t="str">
        <f t="shared" si="43"/>
        <v/>
      </c>
      <c r="E209" s="46" t="str">
        <f t="shared" si="43"/>
        <v/>
      </c>
      <c r="F209" s="46" t="str">
        <f t="shared" si="43"/>
        <v/>
      </c>
      <c r="G209" s="46" t="str">
        <f t="shared" si="43"/>
        <v/>
      </c>
      <c r="H209" s="46" t="str">
        <f t="shared" si="43"/>
        <v/>
      </c>
      <c r="I209" s="46" t="str">
        <f t="shared" si="43"/>
        <v/>
      </c>
      <c r="J209" s="46" t="str">
        <f t="shared" si="43"/>
        <v/>
      </c>
      <c r="K209" s="46" t="str">
        <f t="shared" si="43"/>
        <v/>
      </c>
      <c r="L209" s="46" t="str">
        <f t="shared" si="43"/>
        <v/>
      </c>
      <c r="M209" s="46" t="str">
        <f t="shared" si="43"/>
        <v/>
      </c>
      <c r="N209" s="46" t="str">
        <f t="shared" si="43"/>
        <v/>
      </c>
      <c r="O209" s="46" t="str">
        <f t="shared" si="43"/>
        <v/>
      </c>
      <c r="P209" s="46" t="str">
        <f t="shared" si="43"/>
        <v/>
      </c>
      <c r="Q209" s="46" t="str">
        <f t="shared" si="43"/>
        <v/>
      </c>
      <c r="R209" s="46" t="str">
        <f t="shared" si="43"/>
        <v/>
      </c>
      <c r="S209" s="46" t="str">
        <f t="shared" si="43"/>
        <v/>
      </c>
      <c r="T209" s="46" t="str">
        <f t="shared" si="43"/>
        <v/>
      </c>
      <c r="U209" s="46" t="str">
        <f t="shared" si="43"/>
        <v/>
      </c>
      <c r="V209" s="46" t="str">
        <f t="shared" si="43"/>
        <v/>
      </c>
      <c r="W209" s="46" t="str">
        <f t="shared" si="43"/>
        <v/>
      </c>
      <c r="X209" s="46" t="str">
        <f t="shared" si="43"/>
        <v/>
      </c>
      <c r="Y209" s="46" t="str">
        <f t="shared" si="43"/>
        <v/>
      </c>
      <c r="Z209" s="46" t="str">
        <f t="shared" si="43"/>
        <v/>
      </c>
      <c r="AA209" s="46" t="str">
        <f t="shared" si="43"/>
        <v/>
      </c>
      <c r="AB209" s="46" t="str">
        <f t="shared" si="43"/>
        <v/>
      </c>
      <c r="AC209" s="46" t="str">
        <f t="shared" si="43"/>
        <v/>
      </c>
      <c r="AD209" s="46" t="str">
        <f t="shared" si="43"/>
        <v/>
      </c>
      <c r="AE209" s="46" t="str">
        <f t="shared" si="43"/>
        <v/>
      </c>
      <c r="AF209" s="46" t="str">
        <f t="shared" si="43"/>
        <v/>
      </c>
      <c r="AG209" s="46" t="str">
        <f t="shared" si="43"/>
        <v/>
      </c>
      <c r="AH209" s="46" t="str">
        <f t="shared" si="43"/>
        <v/>
      </c>
      <c r="AI209" s="46" t="str">
        <f t="shared" si="43"/>
        <v/>
      </c>
      <c r="AJ209" s="46" t="str">
        <f t="shared" si="43"/>
        <v/>
      </c>
      <c r="AK209" s="46" t="str">
        <f t="shared" si="43"/>
        <v/>
      </c>
      <c r="AL209" s="46" t="str">
        <f t="shared" si="43"/>
        <v/>
      </c>
      <c r="AM209" s="46" t="str">
        <f t="shared" si="43"/>
        <v/>
      </c>
      <c r="AN209" s="46" t="str">
        <f t="shared" si="43"/>
        <v/>
      </c>
      <c r="AO209" s="46" t="str">
        <f t="shared" si="43"/>
        <v/>
      </c>
      <c r="AP209" s="46" t="str">
        <f t="shared" si="43"/>
        <v/>
      </c>
      <c r="AQ209" s="46" t="str">
        <f t="shared" si="43"/>
        <v/>
      </c>
      <c r="AR209" s="46" t="str">
        <f t="shared" si="43"/>
        <v/>
      </c>
      <c r="AS209" s="46" t="str">
        <f t="shared" si="43"/>
        <v/>
      </c>
      <c r="AT209" s="46" t="str">
        <f t="shared" si="43"/>
        <v/>
      </c>
      <c r="AU209" s="46" t="str">
        <f t="shared" si="43"/>
        <v/>
      </c>
      <c r="AV209" s="46" t="str">
        <f t="shared" si="43"/>
        <v/>
      </c>
      <c r="AW209" s="46" t="str">
        <f t="shared" si="43"/>
        <v/>
      </c>
      <c r="AX209" s="46" t="str">
        <f t="shared" si="43"/>
        <v/>
      </c>
      <c r="AY209" s="46" t="str">
        <f t="shared" si="43"/>
        <v/>
      </c>
      <c r="AZ209" s="46" t="str">
        <f t="shared" si="43"/>
        <v/>
      </c>
      <c r="BA209" s="46" t="str">
        <f t="shared" si="43"/>
        <v/>
      </c>
      <c r="BB209" s="46" t="str">
        <f t="shared" si="43"/>
        <v/>
      </c>
      <c r="BC209" s="46" t="str">
        <f t="shared" si="43"/>
        <v/>
      </c>
      <c r="BD209" s="46" t="str">
        <f t="shared" si="43"/>
        <v/>
      </c>
      <c r="BE209" s="46" t="str">
        <f t="shared" si="43"/>
        <v/>
      </c>
      <c r="BF209" s="46" t="str">
        <f t="shared" si="43"/>
        <v/>
      </c>
      <c r="BG209" s="46" t="str">
        <f t="shared" si="43"/>
        <v/>
      </c>
      <c r="BH209" s="46" t="str">
        <f t="shared" si="43"/>
        <v/>
      </c>
      <c r="BI209" s="46" t="str">
        <f t="shared" si="43"/>
        <v/>
      </c>
      <c r="BJ209" s="46">
        <f t="shared" si="43"/>
        <v>16</v>
      </c>
      <c r="BK209" s="46" t="str">
        <f t="shared" si="43"/>
        <v/>
      </c>
      <c r="BL209" s="46" t="str">
        <f t="shared" si="43"/>
        <v/>
      </c>
      <c r="BM209" s="46" t="str">
        <f t="shared" si="43"/>
        <v/>
      </c>
      <c r="BN209" s="46" t="str">
        <f t="shared" si="43"/>
        <v/>
      </c>
      <c r="BO209" s="46" t="str">
        <f t="shared" ref="BO209:DH209" si="44">IF(BO16="X",$DK16,"")</f>
        <v/>
      </c>
      <c r="BP209" s="46" t="str">
        <f t="shared" si="44"/>
        <v/>
      </c>
      <c r="BQ209" s="46" t="str">
        <f t="shared" si="44"/>
        <v/>
      </c>
      <c r="BR209" s="46" t="str">
        <f t="shared" si="44"/>
        <v/>
      </c>
      <c r="BS209" s="46" t="str">
        <f t="shared" si="44"/>
        <v/>
      </c>
      <c r="BT209" s="46" t="str">
        <f t="shared" si="44"/>
        <v/>
      </c>
      <c r="BU209" s="46" t="str">
        <f t="shared" si="44"/>
        <v/>
      </c>
      <c r="BV209" s="46" t="str">
        <f t="shared" si="44"/>
        <v/>
      </c>
      <c r="BW209" s="46" t="str">
        <f t="shared" si="44"/>
        <v/>
      </c>
      <c r="BX209" s="46" t="str">
        <f t="shared" si="44"/>
        <v/>
      </c>
      <c r="BY209" s="46" t="str">
        <f t="shared" si="44"/>
        <v/>
      </c>
      <c r="BZ209" s="46" t="str">
        <f t="shared" si="44"/>
        <v/>
      </c>
      <c r="CA209" s="46" t="str">
        <f t="shared" si="44"/>
        <v/>
      </c>
      <c r="CB209" s="46" t="str">
        <f t="shared" si="44"/>
        <v/>
      </c>
      <c r="CC209" s="46" t="str">
        <f t="shared" si="44"/>
        <v/>
      </c>
      <c r="CD209" s="46" t="str">
        <f t="shared" si="44"/>
        <v/>
      </c>
      <c r="CE209" s="46" t="str">
        <f t="shared" si="44"/>
        <v/>
      </c>
      <c r="CF209" s="46" t="str">
        <f t="shared" si="44"/>
        <v/>
      </c>
      <c r="CG209" s="46" t="str">
        <f t="shared" si="44"/>
        <v/>
      </c>
      <c r="CH209" s="46" t="str">
        <f t="shared" si="44"/>
        <v/>
      </c>
      <c r="CI209" s="46" t="str">
        <f t="shared" si="44"/>
        <v/>
      </c>
      <c r="CJ209" s="46" t="str">
        <f t="shared" si="44"/>
        <v/>
      </c>
      <c r="CK209" s="46" t="str">
        <f t="shared" si="44"/>
        <v/>
      </c>
      <c r="CL209" s="46" t="str">
        <f t="shared" si="44"/>
        <v/>
      </c>
      <c r="CM209" s="46" t="str">
        <f t="shared" si="44"/>
        <v/>
      </c>
      <c r="CN209" s="46" t="str">
        <f t="shared" si="44"/>
        <v/>
      </c>
      <c r="CO209" s="46" t="str">
        <f t="shared" si="44"/>
        <v/>
      </c>
      <c r="CP209" s="46" t="str">
        <f t="shared" si="44"/>
        <v/>
      </c>
      <c r="CQ209" s="46" t="str">
        <f t="shared" si="44"/>
        <v/>
      </c>
      <c r="CR209" s="46" t="str">
        <f t="shared" si="44"/>
        <v/>
      </c>
      <c r="CS209" s="46" t="str">
        <f t="shared" si="44"/>
        <v/>
      </c>
      <c r="CT209" s="46" t="str">
        <f t="shared" si="44"/>
        <v/>
      </c>
      <c r="CU209" s="46" t="str">
        <f t="shared" si="44"/>
        <v/>
      </c>
      <c r="CV209" s="46" t="str">
        <f t="shared" si="44"/>
        <v/>
      </c>
      <c r="CW209" s="46" t="str">
        <f t="shared" si="44"/>
        <v/>
      </c>
      <c r="CX209" s="46" t="str">
        <f t="shared" si="44"/>
        <v/>
      </c>
      <c r="CY209" s="46" t="str">
        <f t="shared" si="44"/>
        <v/>
      </c>
      <c r="CZ209" s="46" t="str">
        <f t="shared" si="44"/>
        <v/>
      </c>
      <c r="DA209" s="46" t="str">
        <f t="shared" si="44"/>
        <v/>
      </c>
      <c r="DB209" s="46" t="str">
        <f t="shared" si="44"/>
        <v/>
      </c>
      <c r="DC209" s="46" t="str">
        <f t="shared" si="44"/>
        <v/>
      </c>
      <c r="DD209" s="46" t="str">
        <f t="shared" si="44"/>
        <v/>
      </c>
      <c r="DE209" s="46" t="str">
        <f t="shared" si="44"/>
        <v/>
      </c>
      <c r="DF209" s="46" t="str">
        <f t="shared" si="44"/>
        <v/>
      </c>
      <c r="DG209" s="46" t="str">
        <f t="shared" si="44"/>
        <v/>
      </c>
      <c r="DH209" s="46" t="str">
        <f t="shared" si="44"/>
        <v/>
      </c>
      <c r="DI209" s="46"/>
      <c r="DJ209" s="46"/>
      <c r="DK209" s="46"/>
      <c r="DL209" s="46"/>
      <c r="DM209" s="46"/>
      <c r="DN209" s="46"/>
      <c r="DO209" s="46"/>
      <c r="DP209" s="46"/>
      <c r="DQ209" s="46"/>
      <c r="DR209" s="46"/>
      <c r="DS209" s="46"/>
      <c r="DT209" s="46"/>
      <c r="DU209" s="46"/>
      <c r="DV209" s="46"/>
      <c r="DW209" s="9"/>
      <c r="DX209" s="1"/>
    </row>
    <row r="210" spans="1:128" x14ac:dyDescent="0.25">
      <c r="A210" s="46"/>
      <c r="B210" s="46" t="str">
        <f t="shared" si="22"/>
        <v/>
      </c>
      <c r="C210" s="46" t="str">
        <f t="shared" ref="C210:BN210" si="45">IF(C17="X",$DK17,"")</f>
        <v/>
      </c>
      <c r="D210" s="46" t="str">
        <f t="shared" si="45"/>
        <v/>
      </c>
      <c r="E210" s="46" t="str">
        <f t="shared" si="45"/>
        <v/>
      </c>
      <c r="F210" s="46" t="str">
        <f t="shared" si="45"/>
        <v/>
      </c>
      <c r="G210" s="46" t="str">
        <f t="shared" si="45"/>
        <v/>
      </c>
      <c r="H210" s="46" t="str">
        <f t="shared" si="45"/>
        <v/>
      </c>
      <c r="I210" s="46" t="str">
        <f t="shared" si="45"/>
        <v/>
      </c>
      <c r="J210" s="46" t="str">
        <f t="shared" si="45"/>
        <v/>
      </c>
      <c r="K210" s="46" t="str">
        <f t="shared" si="45"/>
        <v/>
      </c>
      <c r="L210" s="46" t="str">
        <f t="shared" si="45"/>
        <v/>
      </c>
      <c r="M210" s="46" t="str">
        <f t="shared" si="45"/>
        <v/>
      </c>
      <c r="N210" s="46" t="str">
        <f t="shared" si="45"/>
        <v/>
      </c>
      <c r="O210" s="46" t="str">
        <f t="shared" si="45"/>
        <v/>
      </c>
      <c r="P210" s="46" t="str">
        <f t="shared" si="45"/>
        <v/>
      </c>
      <c r="Q210" s="46" t="str">
        <f t="shared" si="45"/>
        <v/>
      </c>
      <c r="R210" s="46" t="str">
        <f t="shared" si="45"/>
        <v/>
      </c>
      <c r="S210" s="46" t="str">
        <f t="shared" si="45"/>
        <v/>
      </c>
      <c r="T210" s="46" t="str">
        <f t="shared" si="45"/>
        <v/>
      </c>
      <c r="U210" s="46" t="str">
        <f t="shared" si="45"/>
        <v/>
      </c>
      <c r="V210" s="46" t="str">
        <f t="shared" si="45"/>
        <v/>
      </c>
      <c r="W210" s="46" t="str">
        <f t="shared" si="45"/>
        <v/>
      </c>
      <c r="X210" s="46" t="str">
        <f t="shared" si="45"/>
        <v/>
      </c>
      <c r="Y210" s="46" t="str">
        <f t="shared" si="45"/>
        <v/>
      </c>
      <c r="Z210" s="46" t="str">
        <f t="shared" si="45"/>
        <v/>
      </c>
      <c r="AA210" s="46" t="str">
        <f t="shared" si="45"/>
        <v/>
      </c>
      <c r="AB210" s="46" t="str">
        <f t="shared" si="45"/>
        <v/>
      </c>
      <c r="AC210" s="46" t="str">
        <f t="shared" si="45"/>
        <v/>
      </c>
      <c r="AD210" s="46" t="str">
        <f t="shared" si="45"/>
        <v/>
      </c>
      <c r="AE210" s="46" t="str">
        <f t="shared" si="45"/>
        <v/>
      </c>
      <c r="AF210" s="46" t="str">
        <f t="shared" si="45"/>
        <v/>
      </c>
      <c r="AG210" s="46" t="str">
        <f t="shared" si="45"/>
        <v/>
      </c>
      <c r="AH210" s="46" t="str">
        <f t="shared" si="45"/>
        <v/>
      </c>
      <c r="AI210" s="46" t="str">
        <f t="shared" si="45"/>
        <v/>
      </c>
      <c r="AJ210" s="46" t="str">
        <f t="shared" si="45"/>
        <v/>
      </c>
      <c r="AK210" s="46" t="str">
        <f t="shared" si="45"/>
        <v/>
      </c>
      <c r="AL210" s="46" t="str">
        <f t="shared" si="45"/>
        <v/>
      </c>
      <c r="AM210" s="46" t="str">
        <f t="shared" si="45"/>
        <v/>
      </c>
      <c r="AN210" s="46" t="str">
        <f t="shared" si="45"/>
        <v/>
      </c>
      <c r="AO210" s="46" t="str">
        <f t="shared" si="45"/>
        <v/>
      </c>
      <c r="AP210" s="46" t="str">
        <f t="shared" si="45"/>
        <v/>
      </c>
      <c r="AQ210" s="46" t="str">
        <f t="shared" si="45"/>
        <v/>
      </c>
      <c r="AR210" s="46" t="str">
        <f t="shared" si="45"/>
        <v/>
      </c>
      <c r="AS210" s="46" t="str">
        <f t="shared" si="45"/>
        <v/>
      </c>
      <c r="AT210" s="46" t="str">
        <f t="shared" si="45"/>
        <v/>
      </c>
      <c r="AU210" s="46" t="str">
        <f t="shared" si="45"/>
        <v/>
      </c>
      <c r="AV210" s="46" t="str">
        <f t="shared" si="45"/>
        <v/>
      </c>
      <c r="AW210" s="46" t="str">
        <f t="shared" si="45"/>
        <v/>
      </c>
      <c r="AX210" s="46" t="str">
        <f t="shared" si="45"/>
        <v/>
      </c>
      <c r="AY210" s="46" t="str">
        <f t="shared" si="45"/>
        <v/>
      </c>
      <c r="AZ210" s="46" t="str">
        <f t="shared" si="45"/>
        <v/>
      </c>
      <c r="BA210" s="46" t="str">
        <f t="shared" si="45"/>
        <v/>
      </c>
      <c r="BB210" s="46" t="str">
        <f t="shared" si="45"/>
        <v/>
      </c>
      <c r="BC210" s="46" t="str">
        <f t="shared" si="45"/>
        <v/>
      </c>
      <c r="BD210" s="46" t="str">
        <f t="shared" si="45"/>
        <v/>
      </c>
      <c r="BE210" s="46" t="str">
        <f t="shared" si="45"/>
        <v/>
      </c>
      <c r="BF210" s="46" t="str">
        <f t="shared" si="45"/>
        <v/>
      </c>
      <c r="BG210" s="46" t="str">
        <f t="shared" si="45"/>
        <v/>
      </c>
      <c r="BH210" s="46" t="str">
        <f t="shared" si="45"/>
        <v/>
      </c>
      <c r="BI210" s="46" t="str">
        <f t="shared" si="45"/>
        <v/>
      </c>
      <c r="BJ210" s="46" t="str">
        <f t="shared" si="45"/>
        <v/>
      </c>
      <c r="BK210" s="46" t="str">
        <f t="shared" si="45"/>
        <v/>
      </c>
      <c r="BL210" s="46" t="str">
        <f t="shared" si="45"/>
        <v/>
      </c>
      <c r="BM210" s="46" t="str">
        <f t="shared" si="45"/>
        <v/>
      </c>
      <c r="BN210" s="46" t="str">
        <f t="shared" si="45"/>
        <v/>
      </c>
      <c r="BO210" s="46" t="str">
        <f t="shared" ref="BO210:DH210" si="46">IF(BO17="X",$DK17,"")</f>
        <v/>
      </c>
      <c r="BP210" s="46" t="str">
        <f t="shared" si="46"/>
        <v/>
      </c>
      <c r="BQ210" s="46" t="str">
        <f t="shared" si="46"/>
        <v/>
      </c>
      <c r="BR210" s="46" t="str">
        <f t="shared" si="46"/>
        <v/>
      </c>
      <c r="BS210" s="46" t="str">
        <f t="shared" si="46"/>
        <v/>
      </c>
      <c r="BT210" s="46" t="str">
        <f t="shared" si="46"/>
        <v/>
      </c>
      <c r="BU210" s="46" t="str">
        <f t="shared" si="46"/>
        <v/>
      </c>
      <c r="BV210" s="46" t="str">
        <f t="shared" si="46"/>
        <v/>
      </c>
      <c r="BW210" s="46" t="str">
        <f t="shared" si="46"/>
        <v/>
      </c>
      <c r="BX210" s="46">
        <f t="shared" si="46"/>
        <v>32</v>
      </c>
      <c r="BY210" s="46" t="str">
        <f t="shared" si="46"/>
        <v/>
      </c>
      <c r="BZ210" s="46" t="str">
        <f t="shared" si="46"/>
        <v/>
      </c>
      <c r="CA210" s="46" t="str">
        <f t="shared" si="46"/>
        <v/>
      </c>
      <c r="CB210" s="46" t="str">
        <f t="shared" si="46"/>
        <v/>
      </c>
      <c r="CC210" s="46" t="str">
        <f t="shared" si="46"/>
        <v/>
      </c>
      <c r="CD210" s="46" t="str">
        <f t="shared" si="46"/>
        <v/>
      </c>
      <c r="CE210" s="46" t="str">
        <f t="shared" si="46"/>
        <v/>
      </c>
      <c r="CF210" s="46" t="str">
        <f t="shared" si="46"/>
        <v/>
      </c>
      <c r="CG210" s="46" t="str">
        <f t="shared" si="46"/>
        <v/>
      </c>
      <c r="CH210" s="46" t="str">
        <f t="shared" si="46"/>
        <v/>
      </c>
      <c r="CI210" s="46" t="str">
        <f t="shared" si="46"/>
        <v/>
      </c>
      <c r="CJ210" s="46" t="str">
        <f t="shared" si="46"/>
        <v/>
      </c>
      <c r="CK210" s="46" t="str">
        <f t="shared" si="46"/>
        <v/>
      </c>
      <c r="CL210" s="46" t="str">
        <f t="shared" si="46"/>
        <v/>
      </c>
      <c r="CM210" s="46" t="str">
        <f t="shared" si="46"/>
        <v/>
      </c>
      <c r="CN210" s="46" t="str">
        <f t="shared" si="46"/>
        <v/>
      </c>
      <c r="CO210" s="46" t="str">
        <f t="shared" si="46"/>
        <v/>
      </c>
      <c r="CP210" s="46" t="str">
        <f t="shared" si="46"/>
        <v/>
      </c>
      <c r="CQ210" s="46" t="str">
        <f t="shared" si="46"/>
        <v/>
      </c>
      <c r="CR210" s="46" t="str">
        <f t="shared" si="46"/>
        <v/>
      </c>
      <c r="CS210" s="46">
        <f t="shared" si="46"/>
        <v>32</v>
      </c>
      <c r="CT210" s="46" t="str">
        <f t="shared" si="46"/>
        <v/>
      </c>
      <c r="CU210" s="46" t="str">
        <f t="shared" si="46"/>
        <v/>
      </c>
      <c r="CV210" s="46" t="str">
        <f t="shared" si="46"/>
        <v/>
      </c>
      <c r="CW210" s="46" t="str">
        <f t="shared" si="46"/>
        <v/>
      </c>
      <c r="CX210" s="46" t="str">
        <f t="shared" si="46"/>
        <v/>
      </c>
      <c r="CY210" s="46" t="str">
        <f t="shared" si="46"/>
        <v/>
      </c>
      <c r="CZ210" s="46" t="str">
        <f t="shared" si="46"/>
        <v/>
      </c>
      <c r="DA210" s="46" t="str">
        <f t="shared" si="46"/>
        <v/>
      </c>
      <c r="DB210" s="46" t="str">
        <f t="shared" si="46"/>
        <v/>
      </c>
      <c r="DC210" s="46" t="str">
        <f t="shared" si="46"/>
        <v/>
      </c>
      <c r="DD210" s="46" t="str">
        <f t="shared" si="46"/>
        <v/>
      </c>
      <c r="DE210" s="46" t="str">
        <f t="shared" si="46"/>
        <v/>
      </c>
      <c r="DF210" s="46" t="str">
        <f t="shared" si="46"/>
        <v/>
      </c>
      <c r="DG210" s="46" t="str">
        <f t="shared" si="46"/>
        <v/>
      </c>
      <c r="DH210" s="46" t="str">
        <f t="shared" si="46"/>
        <v/>
      </c>
      <c r="DI210" s="46"/>
      <c r="DJ210" s="46"/>
      <c r="DK210" s="46"/>
      <c r="DL210" s="46"/>
      <c r="DM210" s="46"/>
      <c r="DN210" s="46"/>
      <c r="DO210" s="46"/>
      <c r="DP210" s="46"/>
      <c r="DQ210" s="46"/>
      <c r="DR210" s="46"/>
      <c r="DS210" s="46"/>
      <c r="DT210" s="46"/>
      <c r="DU210" s="46"/>
      <c r="DV210" s="46"/>
      <c r="DW210" s="9"/>
      <c r="DX210" s="1"/>
    </row>
    <row r="211" spans="1:128" x14ac:dyDescent="0.25">
      <c r="A211" s="46"/>
      <c r="B211" s="46" t="str">
        <f t="shared" si="22"/>
        <v/>
      </c>
      <c r="C211" s="46" t="str">
        <f t="shared" ref="C211:BN211" si="47">IF(C18="X",$DK18,"")</f>
        <v/>
      </c>
      <c r="D211" s="46" t="str">
        <f t="shared" si="47"/>
        <v/>
      </c>
      <c r="E211" s="46" t="str">
        <f t="shared" si="47"/>
        <v/>
      </c>
      <c r="F211" s="46" t="str">
        <f t="shared" si="47"/>
        <v/>
      </c>
      <c r="G211" s="46" t="str">
        <f t="shared" si="47"/>
        <v/>
      </c>
      <c r="H211" s="46" t="str">
        <f t="shared" si="47"/>
        <v/>
      </c>
      <c r="I211" s="46" t="str">
        <f t="shared" si="47"/>
        <v/>
      </c>
      <c r="J211" s="46" t="str">
        <f t="shared" si="47"/>
        <v/>
      </c>
      <c r="K211" s="46" t="str">
        <f t="shared" si="47"/>
        <v/>
      </c>
      <c r="L211" s="46" t="str">
        <f t="shared" si="47"/>
        <v/>
      </c>
      <c r="M211" s="46" t="str">
        <f t="shared" si="47"/>
        <v/>
      </c>
      <c r="N211" s="46" t="str">
        <f t="shared" si="47"/>
        <v/>
      </c>
      <c r="O211" s="46" t="str">
        <f t="shared" si="47"/>
        <v/>
      </c>
      <c r="P211" s="46" t="str">
        <f t="shared" si="47"/>
        <v/>
      </c>
      <c r="Q211" s="46" t="str">
        <f t="shared" si="47"/>
        <v/>
      </c>
      <c r="R211" s="46" t="str">
        <f t="shared" si="47"/>
        <v/>
      </c>
      <c r="S211" s="46" t="str">
        <f t="shared" si="47"/>
        <v/>
      </c>
      <c r="T211" s="46" t="str">
        <f t="shared" si="47"/>
        <v/>
      </c>
      <c r="U211" s="46" t="str">
        <f t="shared" si="47"/>
        <v/>
      </c>
      <c r="V211" s="46" t="str">
        <f t="shared" si="47"/>
        <v/>
      </c>
      <c r="W211" s="46" t="str">
        <f t="shared" si="47"/>
        <v/>
      </c>
      <c r="X211" s="46" t="str">
        <f t="shared" si="47"/>
        <v/>
      </c>
      <c r="Y211" s="46" t="str">
        <f t="shared" si="47"/>
        <v/>
      </c>
      <c r="Z211" s="46" t="str">
        <f t="shared" si="47"/>
        <v/>
      </c>
      <c r="AA211" s="46" t="str">
        <f t="shared" si="47"/>
        <v/>
      </c>
      <c r="AB211" s="46" t="str">
        <f t="shared" si="47"/>
        <v/>
      </c>
      <c r="AC211" s="46" t="str">
        <f t="shared" si="47"/>
        <v/>
      </c>
      <c r="AD211" s="46" t="str">
        <f t="shared" si="47"/>
        <v/>
      </c>
      <c r="AE211" s="46" t="str">
        <f t="shared" si="47"/>
        <v/>
      </c>
      <c r="AF211" s="46" t="str">
        <f t="shared" si="47"/>
        <v/>
      </c>
      <c r="AG211" s="46" t="str">
        <f t="shared" si="47"/>
        <v/>
      </c>
      <c r="AH211" s="46" t="str">
        <f t="shared" si="47"/>
        <v/>
      </c>
      <c r="AI211" s="46" t="str">
        <f t="shared" si="47"/>
        <v/>
      </c>
      <c r="AJ211" s="46" t="str">
        <f t="shared" si="47"/>
        <v/>
      </c>
      <c r="AK211" s="46" t="str">
        <f t="shared" si="47"/>
        <v/>
      </c>
      <c r="AL211" s="46" t="str">
        <f t="shared" si="47"/>
        <v/>
      </c>
      <c r="AM211" s="46" t="str">
        <f t="shared" si="47"/>
        <v/>
      </c>
      <c r="AN211" s="46" t="str">
        <f t="shared" si="47"/>
        <v/>
      </c>
      <c r="AO211" s="46" t="str">
        <f t="shared" si="47"/>
        <v/>
      </c>
      <c r="AP211" s="46" t="str">
        <f t="shared" si="47"/>
        <v/>
      </c>
      <c r="AQ211" s="46" t="str">
        <f t="shared" si="47"/>
        <v/>
      </c>
      <c r="AR211" s="46" t="str">
        <f t="shared" si="47"/>
        <v/>
      </c>
      <c r="AS211" s="46" t="str">
        <f t="shared" si="47"/>
        <v/>
      </c>
      <c r="AT211" s="46" t="str">
        <f t="shared" si="47"/>
        <v/>
      </c>
      <c r="AU211" s="46" t="str">
        <f t="shared" si="47"/>
        <v/>
      </c>
      <c r="AV211" s="46" t="str">
        <f t="shared" si="47"/>
        <v/>
      </c>
      <c r="AW211" s="46" t="str">
        <f t="shared" si="47"/>
        <v/>
      </c>
      <c r="AX211" s="46" t="str">
        <f t="shared" si="47"/>
        <v/>
      </c>
      <c r="AY211" s="46" t="str">
        <f t="shared" si="47"/>
        <v/>
      </c>
      <c r="AZ211" s="46" t="str">
        <f t="shared" si="47"/>
        <v/>
      </c>
      <c r="BA211" s="46" t="str">
        <f t="shared" si="47"/>
        <v/>
      </c>
      <c r="BB211" s="46" t="str">
        <f t="shared" si="47"/>
        <v/>
      </c>
      <c r="BC211" s="46" t="str">
        <f t="shared" si="47"/>
        <v/>
      </c>
      <c r="BD211" s="46" t="str">
        <f t="shared" si="47"/>
        <v/>
      </c>
      <c r="BE211" s="46" t="str">
        <f t="shared" si="47"/>
        <v/>
      </c>
      <c r="BF211" s="46" t="str">
        <f t="shared" si="47"/>
        <v/>
      </c>
      <c r="BG211" s="46" t="str">
        <f t="shared" si="47"/>
        <v/>
      </c>
      <c r="BH211" s="46" t="str">
        <f t="shared" si="47"/>
        <v/>
      </c>
      <c r="BI211" s="46" t="str">
        <f t="shared" si="47"/>
        <v/>
      </c>
      <c r="BJ211" s="46" t="str">
        <f t="shared" si="47"/>
        <v/>
      </c>
      <c r="BK211" s="46" t="str">
        <f t="shared" si="47"/>
        <v/>
      </c>
      <c r="BL211" s="46" t="str">
        <f t="shared" si="47"/>
        <v/>
      </c>
      <c r="BM211" s="46" t="str">
        <f t="shared" si="47"/>
        <v/>
      </c>
      <c r="BN211" s="46" t="str">
        <f t="shared" si="47"/>
        <v/>
      </c>
      <c r="BO211" s="46" t="str">
        <f t="shared" ref="BO211:DH211" si="48">IF(BO18="X",$DK18,"")</f>
        <v/>
      </c>
      <c r="BP211" s="46" t="str">
        <f t="shared" si="48"/>
        <v/>
      </c>
      <c r="BQ211" s="46" t="str">
        <f t="shared" si="48"/>
        <v/>
      </c>
      <c r="BR211" s="46" t="str">
        <f t="shared" si="48"/>
        <v/>
      </c>
      <c r="BS211" s="46" t="str">
        <f t="shared" si="48"/>
        <v/>
      </c>
      <c r="BT211" s="46" t="str">
        <f t="shared" si="48"/>
        <v/>
      </c>
      <c r="BU211" s="46" t="str">
        <f t="shared" si="48"/>
        <v/>
      </c>
      <c r="BV211" s="46" t="str">
        <f t="shared" si="48"/>
        <v/>
      </c>
      <c r="BW211" s="46" t="str">
        <f t="shared" si="48"/>
        <v/>
      </c>
      <c r="BX211" s="46">
        <f t="shared" si="48"/>
        <v>32</v>
      </c>
      <c r="BY211" s="46" t="str">
        <f t="shared" si="48"/>
        <v/>
      </c>
      <c r="BZ211" s="46" t="str">
        <f t="shared" si="48"/>
        <v/>
      </c>
      <c r="CA211" s="46" t="str">
        <f t="shared" si="48"/>
        <v/>
      </c>
      <c r="CB211" s="46" t="str">
        <f t="shared" si="48"/>
        <v/>
      </c>
      <c r="CC211" s="46" t="str">
        <f t="shared" si="48"/>
        <v/>
      </c>
      <c r="CD211" s="46" t="str">
        <f t="shared" si="48"/>
        <v/>
      </c>
      <c r="CE211" s="46" t="str">
        <f t="shared" si="48"/>
        <v/>
      </c>
      <c r="CF211" s="46" t="str">
        <f t="shared" si="48"/>
        <v/>
      </c>
      <c r="CG211" s="46" t="str">
        <f t="shared" si="48"/>
        <v/>
      </c>
      <c r="CH211" s="46" t="str">
        <f t="shared" si="48"/>
        <v/>
      </c>
      <c r="CI211" s="46" t="str">
        <f t="shared" si="48"/>
        <v/>
      </c>
      <c r="CJ211" s="46" t="str">
        <f t="shared" si="48"/>
        <v/>
      </c>
      <c r="CK211" s="46" t="str">
        <f t="shared" si="48"/>
        <v/>
      </c>
      <c r="CL211" s="46" t="str">
        <f t="shared" si="48"/>
        <v/>
      </c>
      <c r="CM211" s="46" t="str">
        <f t="shared" si="48"/>
        <v/>
      </c>
      <c r="CN211" s="46" t="str">
        <f t="shared" si="48"/>
        <v/>
      </c>
      <c r="CO211" s="46" t="str">
        <f t="shared" si="48"/>
        <v/>
      </c>
      <c r="CP211" s="46" t="str">
        <f t="shared" si="48"/>
        <v/>
      </c>
      <c r="CQ211" s="46" t="str">
        <f t="shared" si="48"/>
        <v/>
      </c>
      <c r="CR211" s="46" t="str">
        <f t="shared" si="48"/>
        <v/>
      </c>
      <c r="CS211" s="46">
        <f t="shared" si="48"/>
        <v>32</v>
      </c>
      <c r="CT211" s="46" t="str">
        <f t="shared" si="48"/>
        <v/>
      </c>
      <c r="CU211" s="46" t="str">
        <f t="shared" si="48"/>
        <v/>
      </c>
      <c r="CV211" s="46" t="str">
        <f t="shared" si="48"/>
        <v/>
      </c>
      <c r="CW211" s="46" t="str">
        <f t="shared" si="48"/>
        <v/>
      </c>
      <c r="CX211" s="46">
        <f t="shared" si="48"/>
        <v>32</v>
      </c>
      <c r="CY211" s="46" t="str">
        <f t="shared" si="48"/>
        <v/>
      </c>
      <c r="CZ211" s="46" t="str">
        <f t="shared" si="48"/>
        <v/>
      </c>
      <c r="DA211" s="46" t="str">
        <f t="shared" si="48"/>
        <v/>
      </c>
      <c r="DB211" s="46" t="str">
        <f t="shared" si="48"/>
        <v/>
      </c>
      <c r="DC211" s="46" t="str">
        <f t="shared" si="48"/>
        <v/>
      </c>
      <c r="DD211" s="46" t="str">
        <f t="shared" si="48"/>
        <v/>
      </c>
      <c r="DE211" s="46" t="str">
        <f t="shared" si="48"/>
        <v/>
      </c>
      <c r="DF211" s="46" t="str">
        <f t="shared" si="48"/>
        <v/>
      </c>
      <c r="DG211" s="46" t="str">
        <f t="shared" si="48"/>
        <v/>
      </c>
      <c r="DH211" s="46" t="str">
        <f t="shared" si="48"/>
        <v/>
      </c>
      <c r="DI211" s="46"/>
      <c r="DJ211" s="46"/>
      <c r="DK211" s="46"/>
      <c r="DL211" s="46"/>
      <c r="DM211" s="46"/>
      <c r="DN211" s="46"/>
      <c r="DO211" s="46"/>
      <c r="DP211" s="46"/>
      <c r="DQ211" s="46"/>
      <c r="DR211" s="46"/>
      <c r="DS211" s="46"/>
      <c r="DT211" s="46"/>
      <c r="DU211" s="46"/>
      <c r="DV211" s="46"/>
      <c r="DW211" s="9"/>
      <c r="DX211" s="1"/>
    </row>
    <row r="212" spans="1:128" x14ac:dyDescent="0.25">
      <c r="A212" s="46"/>
      <c r="B212" s="46" t="str">
        <f t="shared" si="22"/>
        <v/>
      </c>
      <c r="C212" s="46" t="str">
        <f t="shared" ref="C212:BN212" si="49">IF(C19="X",$DK19,"")</f>
        <v/>
      </c>
      <c r="D212" s="46" t="str">
        <f t="shared" si="49"/>
        <v/>
      </c>
      <c r="E212" s="46" t="str">
        <f t="shared" si="49"/>
        <v/>
      </c>
      <c r="F212" s="46" t="str">
        <f t="shared" si="49"/>
        <v/>
      </c>
      <c r="G212" s="46" t="str">
        <f t="shared" si="49"/>
        <v/>
      </c>
      <c r="H212" s="46" t="str">
        <f t="shared" si="49"/>
        <v/>
      </c>
      <c r="I212" s="46" t="str">
        <f t="shared" si="49"/>
        <v/>
      </c>
      <c r="J212" s="46" t="str">
        <f t="shared" si="49"/>
        <v/>
      </c>
      <c r="K212" s="46" t="str">
        <f t="shared" si="49"/>
        <v/>
      </c>
      <c r="L212" s="46" t="str">
        <f t="shared" si="49"/>
        <v/>
      </c>
      <c r="M212" s="46" t="str">
        <f t="shared" si="49"/>
        <v/>
      </c>
      <c r="N212" s="46" t="str">
        <f t="shared" si="49"/>
        <v/>
      </c>
      <c r="O212" s="46" t="str">
        <f t="shared" si="49"/>
        <v/>
      </c>
      <c r="P212" s="46" t="str">
        <f t="shared" si="49"/>
        <v/>
      </c>
      <c r="Q212" s="46" t="str">
        <f t="shared" si="49"/>
        <v/>
      </c>
      <c r="R212" s="46" t="str">
        <f t="shared" si="49"/>
        <v/>
      </c>
      <c r="S212" s="46" t="str">
        <f t="shared" si="49"/>
        <v/>
      </c>
      <c r="T212" s="46" t="str">
        <f t="shared" si="49"/>
        <v/>
      </c>
      <c r="U212" s="46" t="str">
        <f t="shared" si="49"/>
        <v/>
      </c>
      <c r="V212" s="46" t="str">
        <f t="shared" si="49"/>
        <v/>
      </c>
      <c r="W212" s="46" t="str">
        <f t="shared" si="49"/>
        <v/>
      </c>
      <c r="X212" s="46" t="str">
        <f t="shared" si="49"/>
        <v/>
      </c>
      <c r="Y212" s="46" t="str">
        <f t="shared" si="49"/>
        <v/>
      </c>
      <c r="Z212" s="46" t="str">
        <f t="shared" si="49"/>
        <v/>
      </c>
      <c r="AA212" s="46" t="str">
        <f t="shared" si="49"/>
        <v/>
      </c>
      <c r="AB212" s="46" t="str">
        <f t="shared" si="49"/>
        <v/>
      </c>
      <c r="AC212" s="46" t="str">
        <f t="shared" si="49"/>
        <v/>
      </c>
      <c r="AD212" s="46" t="str">
        <f t="shared" si="49"/>
        <v/>
      </c>
      <c r="AE212" s="46" t="str">
        <f t="shared" si="49"/>
        <v/>
      </c>
      <c r="AF212" s="46" t="str">
        <f t="shared" si="49"/>
        <v/>
      </c>
      <c r="AG212" s="46" t="str">
        <f t="shared" si="49"/>
        <v/>
      </c>
      <c r="AH212" s="46" t="str">
        <f t="shared" si="49"/>
        <v/>
      </c>
      <c r="AI212" s="46" t="str">
        <f t="shared" si="49"/>
        <v/>
      </c>
      <c r="AJ212" s="46" t="str">
        <f t="shared" si="49"/>
        <v/>
      </c>
      <c r="AK212" s="46" t="str">
        <f t="shared" si="49"/>
        <v/>
      </c>
      <c r="AL212" s="46" t="str">
        <f t="shared" si="49"/>
        <v/>
      </c>
      <c r="AM212" s="46" t="str">
        <f t="shared" si="49"/>
        <v/>
      </c>
      <c r="AN212" s="46" t="str">
        <f t="shared" si="49"/>
        <v/>
      </c>
      <c r="AO212" s="46" t="str">
        <f t="shared" si="49"/>
        <v/>
      </c>
      <c r="AP212" s="46" t="str">
        <f t="shared" si="49"/>
        <v/>
      </c>
      <c r="AQ212" s="46" t="str">
        <f t="shared" si="49"/>
        <v/>
      </c>
      <c r="AR212" s="46" t="str">
        <f t="shared" si="49"/>
        <v/>
      </c>
      <c r="AS212" s="46" t="str">
        <f t="shared" si="49"/>
        <v/>
      </c>
      <c r="AT212" s="46" t="str">
        <f t="shared" si="49"/>
        <v/>
      </c>
      <c r="AU212" s="46" t="str">
        <f t="shared" si="49"/>
        <v/>
      </c>
      <c r="AV212" s="46" t="str">
        <f t="shared" si="49"/>
        <v/>
      </c>
      <c r="AW212" s="46" t="str">
        <f t="shared" si="49"/>
        <v/>
      </c>
      <c r="AX212" s="46" t="str">
        <f t="shared" si="49"/>
        <v/>
      </c>
      <c r="AY212" s="46" t="str">
        <f t="shared" si="49"/>
        <v/>
      </c>
      <c r="AZ212" s="46" t="str">
        <f t="shared" si="49"/>
        <v/>
      </c>
      <c r="BA212" s="46" t="str">
        <f t="shared" si="49"/>
        <v/>
      </c>
      <c r="BB212" s="46" t="str">
        <f t="shared" si="49"/>
        <v/>
      </c>
      <c r="BC212" s="46" t="str">
        <f t="shared" si="49"/>
        <v/>
      </c>
      <c r="BD212" s="46" t="str">
        <f t="shared" si="49"/>
        <v/>
      </c>
      <c r="BE212" s="46" t="str">
        <f t="shared" si="49"/>
        <v/>
      </c>
      <c r="BF212" s="46" t="str">
        <f t="shared" si="49"/>
        <v/>
      </c>
      <c r="BG212" s="46" t="str">
        <f t="shared" si="49"/>
        <v/>
      </c>
      <c r="BH212" s="46" t="str">
        <f t="shared" si="49"/>
        <v/>
      </c>
      <c r="BI212" s="46" t="str">
        <f t="shared" si="49"/>
        <v/>
      </c>
      <c r="BJ212" s="46" t="str">
        <f t="shared" si="49"/>
        <v/>
      </c>
      <c r="BK212" s="46" t="str">
        <f t="shared" si="49"/>
        <v/>
      </c>
      <c r="BL212" s="46" t="str">
        <f t="shared" si="49"/>
        <v/>
      </c>
      <c r="BM212" s="46" t="str">
        <f t="shared" si="49"/>
        <v/>
      </c>
      <c r="BN212" s="46" t="str">
        <f t="shared" si="49"/>
        <v/>
      </c>
      <c r="BO212" s="46" t="str">
        <f t="shared" ref="BO212:DH212" si="50">IF(BO19="X",$DK19,"")</f>
        <v/>
      </c>
      <c r="BP212" s="46" t="str">
        <f t="shared" si="50"/>
        <v/>
      </c>
      <c r="BQ212" s="46" t="str">
        <f t="shared" si="50"/>
        <v/>
      </c>
      <c r="BR212" s="46" t="str">
        <f t="shared" si="50"/>
        <v/>
      </c>
      <c r="BS212" s="46" t="str">
        <f t="shared" si="50"/>
        <v/>
      </c>
      <c r="BT212" s="46" t="str">
        <f t="shared" si="50"/>
        <v/>
      </c>
      <c r="BU212" s="46" t="str">
        <f t="shared" si="50"/>
        <v/>
      </c>
      <c r="BV212" s="46" t="str">
        <f t="shared" si="50"/>
        <v/>
      </c>
      <c r="BW212" s="46" t="str">
        <f t="shared" si="50"/>
        <v/>
      </c>
      <c r="BX212" s="46" t="str">
        <f t="shared" si="50"/>
        <v/>
      </c>
      <c r="BY212" s="46" t="str">
        <f t="shared" si="50"/>
        <v/>
      </c>
      <c r="BZ212" s="46" t="str">
        <f t="shared" si="50"/>
        <v/>
      </c>
      <c r="CA212" s="46" t="str">
        <f t="shared" si="50"/>
        <v/>
      </c>
      <c r="CB212" s="46" t="str">
        <f t="shared" si="50"/>
        <v/>
      </c>
      <c r="CC212" s="46" t="str">
        <f t="shared" si="50"/>
        <v/>
      </c>
      <c r="CD212" s="46" t="str">
        <f t="shared" si="50"/>
        <v/>
      </c>
      <c r="CE212" s="46" t="str">
        <f t="shared" si="50"/>
        <v/>
      </c>
      <c r="CF212" s="46" t="str">
        <f t="shared" si="50"/>
        <v/>
      </c>
      <c r="CG212" s="46" t="str">
        <f t="shared" si="50"/>
        <v/>
      </c>
      <c r="CH212" s="46" t="str">
        <f t="shared" si="50"/>
        <v/>
      </c>
      <c r="CI212" s="46" t="str">
        <f t="shared" si="50"/>
        <v/>
      </c>
      <c r="CJ212" s="46" t="str">
        <f t="shared" si="50"/>
        <v/>
      </c>
      <c r="CK212" s="46" t="str">
        <f t="shared" si="50"/>
        <v/>
      </c>
      <c r="CL212" s="46" t="str">
        <f t="shared" si="50"/>
        <v/>
      </c>
      <c r="CM212" s="46" t="str">
        <f t="shared" si="50"/>
        <v/>
      </c>
      <c r="CN212" s="46" t="str">
        <f t="shared" si="50"/>
        <v/>
      </c>
      <c r="CO212" s="46" t="str">
        <f t="shared" si="50"/>
        <v/>
      </c>
      <c r="CP212" s="46" t="str">
        <f t="shared" si="50"/>
        <v/>
      </c>
      <c r="CQ212" s="46" t="str">
        <f t="shared" si="50"/>
        <v/>
      </c>
      <c r="CR212" s="46" t="str">
        <f t="shared" si="50"/>
        <v/>
      </c>
      <c r="CS212" s="46" t="str">
        <f t="shared" si="50"/>
        <v/>
      </c>
      <c r="CT212" s="46" t="str">
        <f t="shared" si="50"/>
        <v/>
      </c>
      <c r="CU212" s="46" t="str">
        <f t="shared" si="50"/>
        <v/>
      </c>
      <c r="CV212" s="46" t="str">
        <f t="shared" si="50"/>
        <v/>
      </c>
      <c r="CW212" s="46" t="str">
        <f t="shared" si="50"/>
        <v/>
      </c>
      <c r="CX212" s="46">
        <f t="shared" si="50"/>
        <v>32</v>
      </c>
      <c r="CY212" s="46" t="str">
        <f t="shared" si="50"/>
        <v/>
      </c>
      <c r="CZ212" s="46" t="str">
        <f t="shared" si="50"/>
        <v/>
      </c>
      <c r="DA212" s="46" t="str">
        <f t="shared" si="50"/>
        <v/>
      </c>
      <c r="DB212" s="46" t="str">
        <f t="shared" si="50"/>
        <v/>
      </c>
      <c r="DC212" s="46" t="str">
        <f t="shared" si="50"/>
        <v/>
      </c>
      <c r="DD212" s="46" t="str">
        <f t="shared" si="50"/>
        <v/>
      </c>
      <c r="DE212" s="46" t="str">
        <f t="shared" si="50"/>
        <v/>
      </c>
      <c r="DF212" s="46" t="str">
        <f t="shared" si="50"/>
        <v/>
      </c>
      <c r="DG212" s="46" t="str">
        <f t="shared" si="50"/>
        <v/>
      </c>
      <c r="DH212" s="46" t="str">
        <f t="shared" si="50"/>
        <v/>
      </c>
      <c r="DI212" s="46"/>
      <c r="DJ212" s="46"/>
      <c r="DK212" s="46"/>
      <c r="DL212" s="46"/>
      <c r="DM212" s="46"/>
      <c r="DN212" s="46"/>
      <c r="DO212" s="46"/>
      <c r="DP212" s="46"/>
      <c r="DQ212" s="46"/>
      <c r="DR212" s="46"/>
      <c r="DS212" s="46"/>
      <c r="DT212" s="46"/>
      <c r="DU212" s="46"/>
      <c r="DV212" s="46"/>
      <c r="DW212" s="9"/>
      <c r="DX212" s="1"/>
    </row>
    <row r="213" spans="1:128" x14ac:dyDescent="0.25">
      <c r="A213" s="46"/>
      <c r="B213" s="46" t="str">
        <f t="shared" si="22"/>
        <v/>
      </c>
      <c r="C213" s="46" t="str">
        <f t="shared" ref="C213:BN213" si="51">IF(C20="X",$DK20,"")</f>
        <v/>
      </c>
      <c r="D213" s="46">
        <f t="shared" si="51"/>
        <v>4</v>
      </c>
      <c r="E213" s="46" t="str">
        <f t="shared" si="51"/>
        <v/>
      </c>
      <c r="F213" s="46">
        <f t="shared" si="51"/>
        <v>4</v>
      </c>
      <c r="G213" s="46" t="str">
        <f t="shared" si="51"/>
        <v/>
      </c>
      <c r="H213" s="46" t="str">
        <f t="shared" si="51"/>
        <v/>
      </c>
      <c r="I213" s="46">
        <f t="shared" si="51"/>
        <v>4</v>
      </c>
      <c r="J213" s="46" t="str">
        <f t="shared" si="51"/>
        <v/>
      </c>
      <c r="K213" s="46">
        <f t="shared" si="51"/>
        <v>4</v>
      </c>
      <c r="L213" s="46">
        <f t="shared" si="51"/>
        <v>4</v>
      </c>
      <c r="M213" s="46">
        <f t="shared" si="51"/>
        <v>4</v>
      </c>
      <c r="N213" s="46">
        <f t="shared" si="51"/>
        <v>4</v>
      </c>
      <c r="O213" s="46" t="str">
        <f t="shared" si="51"/>
        <v/>
      </c>
      <c r="P213" s="46" t="str">
        <f t="shared" si="51"/>
        <v/>
      </c>
      <c r="Q213" s="46">
        <f t="shared" si="51"/>
        <v>4</v>
      </c>
      <c r="R213" s="46" t="str">
        <f t="shared" si="51"/>
        <v/>
      </c>
      <c r="S213" s="46">
        <f t="shared" si="51"/>
        <v>4</v>
      </c>
      <c r="T213" s="46">
        <f t="shared" si="51"/>
        <v>4</v>
      </c>
      <c r="U213" s="46" t="str">
        <f t="shared" si="51"/>
        <v/>
      </c>
      <c r="V213" s="46">
        <f t="shared" si="51"/>
        <v>4</v>
      </c>
      <c r="W213" s="46">
        <f t="shared" si="51"/>
        <v>4</v>
      </c>
      <c r="X213" s="46">
        <f t="shared" si="51"/>
        <v>4</v>
      </c>
      <c r="Y213" s="46">
        <f t="shared" si="51"/>
        <v>4</v>
      </c>
      <c r="Z213" s="46" t="str">
        <f t="shared" si="51"/>
        <v/>
      </c>
      <c r="AA213" s="46" t="str">
        <f t="shared" si="51"/>
        <v/>
      </c>
      <c r="AB213" s="46">
        <f t="shared" si="51"/>
        <v>4</v>
      </c>
      <c r="AC213" s="46" t="str">
        <f t="shared" si="51"/>
        <v/>
      </c>
      <c r="AD213" s="46">
        <f t="shared" si="51"/>
        <v>4</v>
      </c>
      <c r="AE213" s="46" t="str">
        <f t="shared" si="51"/>
        <v/>
      </c>
      <c r="AF213" s="46">
        <f t="shared" si="51"/>
        <v>4</v>
      </c>
      <c r="AG213" s="46" t="str">
        <f t="shared" si="51"/>
        <v/>
      </c>
      <c r="AH213" s="46" t="str">
        <f t="shared" si="51"/>
        <v/>
      </c>
      <c r="AI213" s="46" t="str">
        <f t="shared" si="51"/>
        <v/>
      </c>
      <c r="AJ213" s="46" t="str">
        <f t="shared" si="51"/>
        <v/>
      </c>
      <c r="AK213" s="46" t="str">
        <f t="shared" si="51"/>
        <v/>
      </c>
      <c r="AL213" s="46" t="str">
        <f t="shared" si="51"/>
        <v/>
      </c>
      <c r="AM213" s="46" t="str">
        <f t="shared" si="51"/>
        <v/>
      </c>
      <c r="AN213" s="46" t="str">
        <f t="shared" si="51"/>
        <v/>
      </c>
      <c r="AO213" s="46" t="str">
        <f t="shared" si="51"/>
        <v/>
      </c>
      <c r="AP213" s="46" t="str">
        <f t="shared" si="51"/>
        <v/>
      </c>
      <c r="AQ213" s="46" t="str">
        <f t="shared" si="51"/>
        <v/>
      </c>
      <c r="AR213" s="46" t="str">
        <f t="shared" si="51"/>
        <v/>
      </c>
      <c r="AS213" s="46" t="str">
        <f t="shared" si="51"/>
        <v/>
      </c>
      <c r="AT213" s="46" t="str">
        <f t="shared" si="51"/>
        <v/>
      </c>
      <c r="AU213" s="46" t="str">
        <f t="shared" si="51"/>
        <v/>
      </c>
      <c r="AV213" s="46" t="str">
        <f t="shared" si="51"/>
        <v/>
      </c>
      <c r="AW213" s="46" t="str">
        <f t="shared" si="51"/>
        <v/>
      </c>
      <c r="AX213" s="46" t="str">
        <f t="shared" si="51"/>
        <v/>
      </c>
      <c r="AY213" s="46" t="str">
        <f t="shared" si="51"/>
        <v/>
      </c>
      <c r="AZ213" s="46" t="str">
        <f t="shared" si="51"/>
        <v/>
      </c>
      <c r="BA213" s="46" t="str">
        <f t="shared" si="51"/>
        <v/>
      </c>
      <c r="BB213" s="46" t="str">
        <f t="shared" si="51"/>
        <v/>
      </c>
      <c r="BC213" s="46" t="str">
        <f t="shared" si="51"/>
        <v/>
      </c>
      <c r="BD213" s="46" t="str">
        <f t="shared" si="51"/>
        <v/>
      </c>
      <c r="BE213" s="46" t="str">
        <f t="shared" si="51"/>
        <v/>
      </c>
      <c r="BF213" s="46" t="str">
        <f t="shared" si="51"/>
        <v/>
      </c>
      <c r="BG213" s="46" t="str">
        <f t="shared" si="51"/>
        <v/>
      </c>
      <c r="BH213" s="46" t="str">
        <f t="shared" si="51"/>
        <v/>
      </c>
      <c r="BI213" s="46" t="str">
        <f t="shared" si="51"/>
        <v/>
      </c>
      <c r="BJ213" s="46" t="str">
        <f t="shared" si="51"/>
        <v/>
      </c>
      <c r="BK213" s="46" t="str">
        <f t="shared" si="51"/>
        <v/>
      </c>
      <c r="BL213" s="46" t="str">
        <f t="shared" si="51"/>
        <v/>
      </c>
      <c r="BM213" s="46" t="str">
        <f t="shared" si="51"/>
        <v/>
      </c>
      <c r="BN213" s="46" t="str">
        <f t="shared" si="51"/>
        <v/>
      </c>
      <c r="BO213" s="46" t="str">
        <f t="shared" ref="BO213:DH213" si="52">IF(BO20="X",$DK20,"")</f>
        <v/>
      </c>
      <c r="BP213" s="46" t="str">
        <f t="shared" si="52"/>
        <v/>
      </c>
      <c r="BQ213" s="46" t="str">
        <f t="shared" si="52"/>
        <v/>
      </c>
      <c r="BR213" s="46" t="str">
        <f t="shared" si="52"/>
        <v/>
      </c>
      <c r="BS213" s="46" t="str">
        <f t="shared" si="52"/>
        <v/>
      </c>
      <c r="BT213" s="46" t="str">
        <f t="shared" si="52"/>
        <v/>
      </c>
      <c r="BU213" s="46" t="str">
        <f t="shared" si="52"/>
        <v/>
      </c>
      <c r="BV213" s="46" t="str">
        <f t="shared" si="52"/>
        <v/>
      </c>
      <c r="BW213" s="46" t="str">
        <f t="shared" si="52"/>
        <v/>
      </c>
      <c r="BX213" s="46" t="str">
        <f t="shared" si="52"/>
        <v/>
      </c>
      <c r="BY213" s="46" t="str">
        <f t="shared" si="52"/>
        <v/>
      </c>
      <c r="BZ213" s="46" t="str">
        <f t="shared" si="52"/>
        <v/>
      </c>
      <c r="CA213" s="46" t="str">
        <f t="shared" si="52"/>
        <v/>
      </c>
      <c r="CB213" s="46" t="str">
        <f t="shared" si="52"/>
        <v/>
      </c>
      <c r="CC213" s="46" t="str">
        <f t="shared" si="52"/>
        <v/>
      </c>
      <c r="CD213" s="46" t="str">
        <f t="shared" si="52"/>
        <v/>
      </c>
      <c r="CE213" s="46" t="str">
        <f t="shared" si="52"/>
        <v/>
      </c>
      <c r="CF213" s="46" t="str">
        <f t="shared" si="52"/>
        <v/>
      </c>
      <c r="CG213" s="46" t="str">
        <f t="shared" si="52"/>
        <v/>
      </c>
      <c r="CH213" s="46" t="str">
        <f t="shared" si="52"/>
        <v/>
      </c>
      <c r="CI213" s="46" t="str">
        <f t="shared" si="52"/>
        <v/>
      </c>
      <c r="CJ213" s="46" t="str">
        <f t="shared" si="52"/>
        <v/>
      </c>
      <c r="CK213" s="46" t="str">
        <f t="shared" si="52"/>
        <v/>
      </c>
      <c r="CL213" s="46" t="str">
        <f t="shared" si="52"/>
        <v/>
      </c>
      <c r="CM213" s="46" t="str">
        <f t="shared" si="52"/>
        <v/>
      </c>
      <c r="CN213" s="46" t="str">
        <f t="shared" si="52"/>
        <v/>
      </c>
      <c r="CO213" s="46" t="str">
        <f t="shared" si="52"/>
        <v/>
      </c>
      <c r="CP213" s="46" t="str">
        <f t="shared" si="52"/>
        <v/>
      </c>
      <c r="CQ213" s="46" t="str">
        <f t="shared" si="52"/>
        <v/>
      </c>
      <c r="CR213" s="46" t="str">
        <f t="shared" si="52"/>
        <v/>
      </c>
      <c r="CS213" s="46" t="str">
        <f t="shared" si="52"/>
        <v/>
      </c>
      <c r="CT213" s="46" t="str">
        <f t="shared" si="52"/>
        <v/>
      </c>
      <c r="CU213" s="46" t="str">
        <f t="shared" si="52"/>
        <v/>
      </c>
      <c r="CV213" s="46" t="str">
        <f t="shared" si="52"/>
        <v/>
      </c>
      <c r="CW213" s="46" t="str">
        <f t="shared" si="52"/>
        <v/>
      </c>
      <c r="CX213" s="46" t="str">
        <f t="shared" si="52"/>
        <v/>
      </c>
      <c r="CY213" s="46" t="str">
        <f t="shared" si="52"/>
        <v/>
      </c>
      <c r="CZ213" s="46" t="str">
        <f t="shared" si="52"/>
        <v/>
      </c>
      <c r="DA213" s="46" t="str">
        <f t="shared" si="52"/>
        <v/>
      </c>
      <c r="DB213" s="46" t="str">
        <f t="shared" si="52"/>
        <v/>
      </c>
      <c r="DC213" s="46" t="str">
        <f t="shared" si="52"/>
        <v/>
      </c>
      <c r="DD213" s="46" t="str">
        <f t="shared" si="52"/>
        <v/>
      </c>
      <c r="DE213" s="46" t="str">
        <f t="shared" si="52"/>
        <v/>
      </c>
      <c r="DF213" s="46" t="str">
        <f t="shared" si="52"/>
        <v/>
      </c>
      <c r="DG213" s="46" t="str">
        <f t="shared" si="52"/>
        <v/>
      </c>
      <c r="DH213" s="46" t="str">
        <f t="shared" si="52"/>
        <v/>
      </c>
      <c r="DI213" s="46"/>
      <c r="DJ213" s="46"/>
      <c r="DK213" s="46"/>
      <c r="DL213" s="46"/>
      <c r="DM213" s="46"/>
      <c r="DN213" s="46"/>
      <c r="DO213" s="46"/>
      <c r="DP213" s="46"/>
      <c r="DQ213" s="46"/>
      <c r="DR213" s="46"/>
      <c r="DS213" s="46"/>
      <c r="DT213" s="46"/>
      <c r="DU213" s="46"/>
      <c r="DV213" s="46"/>
      <c r="DW213" s="9"/>
      <c r="DX213" s="1"/>
    </row>
    <row r="214" spans="1:128" x14ac:dyDescent="0.25">
      <c r="A214" s="46"/>
      <c r="B214" s="46" t="str">
        <f t="shared" si="22"/>
        <v/>
      </c>
      <c r="C214" s="46" t="str">
        <f t="shared" ref="C214:BN214" si="53">IF(C21="X",$DK21,"")</f>
        <v/>
      </c>
      <c r="D214" s="46" t="str">
        <f t="shared" si="53"/>
        <v/>
      </c>
      <c r="E214" s="46" t="str">
        <f t="shared" si="53"/>
        <v/>
      </c>
      <c r="F214" s="46" t="str">
        <f t="shared" si="53"/>
        <v/>
      </c>
      <c r="G214" s="46" t="str">
        <f t="shared" si="53"/>
        <v/>
      </c>
      <c r="H214" s="46" t="str">
        <f t="shared" si="53"/>
        <v/>
      </c>
      <c r="I214" s="46" t="str">
        <f t="shared" si="53"/>
        <v/>
      </c>
      <c r="J214" s="46" t="str">
        <f t="shared" si="53"/>
        <v/>
      </c>
      <c r="K214" s="46" t="str">
        <f t="shared" si="53"/>
        <v/>
      </c>
      <c r="L214" s="46">
        <f t="shared" si="53"/>
        <v>8</v>
      </c>
      <c r="M214" s="46" t="str">
        <f t="shared" si="53"/>
        <v/>
      </c>
      <c r="N214" s="46" t="str">
        <f t="shared" si="53"/>
        <v/>
      </c>
      <c r="O214" s="46" t="str">
        <f t="shared" si="53"/>
        <v/>
      </c>
      <c r="P214" s="46" t="str">
        <f t="shared" si="53"/>
        <v/>
      </c>
      <c r="Q214" s="46" t="str">
        <f t="shared" si="53"/>
        <v/>
      </c>
      <c r="R214" s="46" t="str">
        <f t="shared" si="53"/>
        <v/>
      </c>
      <c r="S214" s="46" t="str">
        <f t="shared" si="53"/>
        <v/>
      </c>
      <c r="T214" s="46" t="str">
        <f t="shared" si="53"/>
        <v/>
      </c>
      <c r="U214" s="46" t="str">
        <f t="shared" si="53"/>
        <v/>
      </c>
      <c r="V214" s="46" t="str">
        <f t="shared" si="53"/>
        <v/>
      </c>
      <c r="W214" s="46" t="str">
        <f t="shared" si="53"/>
        <v/>
      </c>
      <c r="X214" s="46" t="str">
        <f t="shared" si="53"/>
        <v/>
      </c>
      <c r="Y214" s="46" t="str">
        <f t="shared" si="53"/>
        <v/>
      </c>
      <c r="Z214" s="46" t="str">
        <f t="shared" si="53"/>
        <v/>
      </c>
      <c r="AA214" s="46" t="str">
        <f t="shared" si="53"/>
        <v/>
      </c>
      <c r="AB214" s="46" t="str">
        <f t="shared" si="53"/>
        <v/>
      </c>
      <c r="AC214" s="46" t="str">
        <f t="shared" si="53"/>
        <v/>
      </c>
      <c r="AD214" s="46" t="str">
        <f t="shared" si="53"/>
        <v/>
      </c>
      <c r="AE214" s="46" t="str">
        <f t="shared" si="53"/>
        <v/>
      </c>
      <c r="AF214" s="46" t="str">
        <f t="shared" si="53"/>
        <v/>
      </c>
      <c r="AG214" s="46" t="str">
        <f t="shared" si="53"/>
        <v/>
      </c>
      <c r="AH214" s="46">
        <f t="shared" si="53"/>
        <v>8</v>
      </c>
      <c r="AI214" s="46">
        <f t="shared" si="53"/>
        <v>8</v>
      </c>
      <c r="AJ214" s="46" t="str">
        <f t="shared" si="53"/>
        <v/>
      </c>
      <c r="AK214" s="46" t="str">
        <f t="shared" si="53"/>
        <v/>
      </c>
      <c r="AL214" s="46" t="str">
        <f t="shared" si="53"/>
        <v/>
      </c>
      <c r="AM214" s="46" t="str">
        <f t="shared" si="53"/>
        <v/>
      </c>
      <c r="AN214" s="46" t="str">
        <f t="shared" si="53"/>
        <v/>
      </c>
      <c r="AO214" s="46" t="str">
        <f t="shared" si="53"/>
        <v/>
      </c>
      <c r="AP214" s="46" t="str">
        <f t="shared" si="53"/>
        <v/>
      </c>
      <c r="AQ214" s="46" t="str">
        <f t="shared" si="53"/>
        <v/>
      </c>
      <c r="AR214" s="46" t="str">
        <f t="shared" si="53"/>
        <v/>
      </c>
      <c r="AS214" s="46" t="str">
        <f t="shared" si="53"/>
        <v/>
      </c>
      <c r="AT214" s="46" t="str">
        <f t="shared" si="53"/>
        <v/>
      </c>
      <c r="AU214" s="46" t="str">
        <f t="shared" si="53"/>
        <v/>
      </c>
      <c r="AV214" s="46" t="str">
        <f t="shared" si="53"/>
        <v/>
      </c>
      <c r="AW214" s="46" t="str">
        <f t="shared" si="53"/>
        <v/>
      </c>
      <c r="AX214" s="46" t="str">
        <f t="shared" si="53"/>
        <v/>
      </c>
      <c r="AY214" s="46" t="str">
        <f t="shared" si="53"/>
        <v/>
      </c>
      <c r="AZ214" s="46" t="str">
        <f t="shared" si="53"/>
        <v/>
      </c>
      <c r="BA214" s="46" t="str">
        <f t="shared" si="53"/>
        <v/>
      </c>
      <c r="BB214" s="46" t="str">
        <f t="shared" si="53"/>
        <v/>
      </c>
      <c r="BC214" s="46" t="str">
        <f t="shared" si="53"/>
        <v/>
      </c>
      <c r="BD214" s="46" t="str">
        <f t="shared" si="53"/>
        <v/>
      </c>
      <c r="BE214" s="46" t="str">
        <f t="shared" si="53"/>
        <v/>
      </c>
      <c r="BF214" s="46" t="str">
        <f t="shared" si="53"/>
        <v/>
      </c>
      <c r="BG214" s="46" t="str">
        <f t="shared" si="53"/>
        <v/>
      </c>
      <c r="BH214" s="46" t="str">
        <f t="shared" si="53"/>
        <v/>
      </c>
      <c r="BI214" s="46" t="str">
        <f t="shared" si="53"/>
        <v/>
      </c>
      <c r="BJ214" s="46" t="str">
        <f t="shared" si="53"/>
        <v/>
      </c>
      <c r="BK214" s="46" t="str">
        <f t="shared" si="53"/>
        <v/>
      </c>
      <c r="BL214" s="46" t="str">
        <f t="shared" si="53"/>
        <v/>
      </c>
      <c r="BM214" s="46" t="str">
        <f t="shared" si="53"/>
        <v/>
      </c>
      <c r="BN214" s="46" t="str">
        <f t="shared" si="53"/>
        <v/>
      </c>
      <c r="BO214" s="46" t="str">
        <f t="shared" ref="BO214:DH214" si="54">IF(BO21="X",$DK21,"")</f>
        <v/>
      </c>
      <c r="BP214" s="46" t="str">
        <f t="shared" si="54"/>
        <v/>
      </c>
      <c r="BQ214" s="46" t="str">
        <f t="shared" si="54"/>
        <v/>
      </c>
      <c r="BR214" s="46" t="str">
        <f t="shared" si="54"/>
        <v/>
      </c>
      <c r="BS214" s="46" t="str">
        <f t="shared" si="54"/>
        <v/>
      </c>
      <c r="BT214" s="46" t="str">
        <f t="shared" si="54"/>
        <v/>
      </c>
      <c r="BU214" s="46" t="str">
        <f t="shared" si="54"/>
        <v/>
      </c>
      <c r="BV214" s="46" t="str">
        <f t="shared" si="54"/>
        <v/>
      </c>
      <c r="BW214" s="46" t="str">
        <f t="shared" si="54"/>
        <v/>
      </c>
      <c r="BX214" s="46" t="str">
        <f t="shared" si="54"/>
        <v/>
      </c>
      <c r="BY214" s="46" t="str">
        <f t="shared" si="54"/>
        <v/>
      </c>
      <c r="BZ214" s="46" t="str">
        <f t="shared" si="54"/>
        <v/>
      </c>
      <c r="CA214" s="46" t="str">
        <f t="shared" si="54"/>
        <v/>
      </c>
      <c r="CB214" s="46" t="str">
        <f t="shared" si="54"/>
        <v/>
      </c>
      <c r="CC214" s="46" t="str">
        <f t="shared" si="54"/>
        <v/>
      </c>
      <c r="CD214" s="46" t="str">
        <f t="shared" si="54"/>
        <v/>
      </c>
      <c r="CE214" s="46" t="str">
        <f t="shared" si="54"/>
        <v/>
      </c>
      <c r="CF214" s="46" t="str">
        <f t="shared" si="54"/>
        <v/>
      </c>
      <c r="CG214" s="46" t="str">
        <f t="shared" si="54"/>
        <v/>
      </c>
      <c r="CH214" s="46" t="str">
        <f t="shared" si="54"/>
        <v/>
      </c>
      <c r="CI214" s="46" t="str">
        <f t="shared" si="54"/>
        <v/>
      </c>
      <c r="CJ214" s="46" t="str">
        <f t="shared" si="54"/>
        <v/>
      </c>
      <c r="CK214" s="46" t="str">
        <f t="shared" si="54"/>
        <v/>
      </c>
      <c r="CL214" s="46" t="str">
        <f t="shared" si="54"/>
        <v/>
      </c>
      <c r="CM214" s="46" t="str">
        <f t="shared" si="54"/>
        <v/>
      </c>
      <c r="CN214" s="46" t="str">
        <f t="shared" si="54"/>
        <v/>
      </c>
      <c r="CO214" s="46" t="str">
        <f t="shared" si="54"/>
        <v/>
      </c>
      <c r="CP214" s="46" t="str">
        <f t="shared" si="54"/>
        <v/>
      </c>
      <c r="CQ214" s="46" t="str">
        <f t="shared" si="54"/>
        <v/>
      </c>
      <c r="CR214" s="46" t="str">
        <f t="shared" si="54"/>
        <v/>
      </c>
      <c r="CS214" s="46" t="str">
        <f t="shared" si="54"/>
        <v/>
      </c>
      <c r="CT214" s="46" t="str">
        <f t="shared" si="54"/>
        <v/>
      </c>
      <c r="CU214" s="46" t="str">
        <f t="shared" si="54"/>
        <v/>
      </c>
      <c r="CV214" s="46" t="str">
        <f t="shared" si="54"/>
        <v/>
      </c>
      <c r="CW214" s="46" t="str">
        <f t="shared" si="54"/>
        <v/>
      </c>
      <c r="CX214" s="46" t="str">
        <f t="shared" si="54"/>
        <v/>
      </c>
      <c r="CY214" s="46" t="str">
        <f t="shared" si="54"/>
        <v/>
      </c>
      <c r="CZ214" s="46" t="str">
        <f t="shared" si="54"/>
        <v/>
      </c>
      <c r="DA214" s="46" t="str">
        <f t="shared" si="54"/>
        <v/>
      </c>
      <c r="DB214" s="46" t="str">
        <f t="shared" si="54"/>
        <v/>
      </c>
      <c r="DC214" s="46" t="str">
        <f t="shared" si="54"/>
        <v/>
      </c>
      <c r="DD214" s="46" t="str">
        <f t="shared" si="54"/>
        <v/>
      </c>
      <c r="DE214" s="46" t="str">
        <f t="shared" si="54"/>
        <v/>
      </c>
      <c r="DF214" s="46" t="str">
        <f t="shared" si="54"/>
        <v/>
      </c>
      <c r="DG214" s="46" t="str">
        <f t="shared" si="54"/>
        <v/>
      </c>
      <c r="DH214" s="46" t="str">
        <f t="shared" si="54"/>
        <v/>
      </c>
      <c r="DI214" s="46"/>
      <c r="DJ214" s="46"/>
      <c r="DK214" s="46"/>
      <c r="DL214" s="46"/>
      <c r="DM214" s="46"/>
      <c r="DN214" s="46"/>
      <c r="DO214" s="46"/>
      <c r="DP214" s="46"/>
      <c r="DQ214" s="46"/>
      <c r="DR214" s="46"/>
      <c r="DS214" s="46"/>
      <c r="DT214" s="46"/>
      <c r="DU214" s="46"/>
      <c r="DV214" s="46"/>
      <c r="DW214" s="9"/>
      <c r="DX214" s="1"/>
    </row>
    <row r="215" spans="1:128" x14ac:dyDescent="0.25">
      <c r="A215" s="46"/>
      <c r="B215" s="46" t="str">
        <f t="shared" si="22"/>
        <v/>
      </c>
      <c r="C215" s="46" t="str">
        <f t="shared" ref="C215:BN215" si="55">IF(C22="X",$DK22,"")</f>
        <v/>
      </c>
      <c r="D215" s="46" t="str">
        <f t="shared" si="55"/>
        <v/>
      </c>
      <c r="E215" s="46" t="str">
        <f t="shared" si="55"/>
        <v/>
      </c>
      <c r="F215" s="46" t="str">
        <f t="shared" si="55"/>
        <v/>
      </c>
      <c r="G215" s="46" t="str">
        <f t="shared" si="55"/>
        <v/>
      </c>
      <c r="H215" s="46" t="str">
        <f t="shared" si="55"/>
        <v/>
      </c>
      <c r="I215" s="46" t="str">
        <f t="shared" si="55"/>
        <v/>
      </c>
      <c r="J215" s="46">
        <f t="shared" si="55"/>
        <v>4</v>
      </c>
      <c r="K215" s="46" t="str">
        <f t="shared" si="55"/>
        <v/>
      </c>
      <c r="L215" s="46">
        <f t="shared" si="55"/>
        <v>4</v>
      </c>
      <c r="M215" s="46" t="str">
        <f t="shared" si="55"/>
        <v/>
      </c>
      <c r="N215" s="46">
        <f t="shared" si="55"/>
        <v>4</v>
      </c>
      <c r="O215" s="46">
        <f t="shared" si="55"/>
        <v>4</v>
      </c>
      <c r="P215" s="46">
        <f t="shared" si="55"/>
        <v>4</v>
      </c>
      <c r="Q215" s="46">
        <f t="shared" si="55"/>
        <v>4</v>
      </c>
      <c r="R215" s="46" t="str">
        <f t="shared" si="55"/>
        <v/>
      </c>
      <c r="S215" s="46" t="str">
        <f t="shared" si="55"/>
        <v/>
      </c>
      <c r="T215" s="46" t="str">
        <f t="shared" si="55"/>
        <v/>
      </c>
      <c r="U215" s="46" t="str">
        <f t="shared" si="55"/>
        <v/>
      </c>
      <c r="V215" s="46" t="str">
        <f t="shared" si="55"/>
        <v/>
      </c>
      <c r="W215" s="46" t="str">
        <f t="shared" si="55"/>
        <v/>
      </c>
      <c r="X215" s="46" t="str">
        <f t="shared" si="55"/>
        <v/>
      </c>
      <c r="Y215" s="46">
        <f t="shared" si="55"/>
        <v>4</v>
      </c>
      <c r="Z215" s="46" t="str">
        <f t="shared" si="55"/>
        <v/>
      </c>
      <c r="AA215" s="46" t="str">
        <f t="shared" si="55"/>
        <v/>
      </c>
      <c r="AB215" s="46" t="str">
        <f t="shared" si="55"/>
        <v/>
      </c>
      <c r="AC215" s="46" t="str">
        <f t="shared" si="55"/>
        <v/>
      </c>
      <c r="AD215" s="46" t="str">
        <f t="shared" si="55"/>
        <v/>
      </c>
      <c r="AE215" s="46">
        <f t="shared" si="55"/>
        <v>4</v>
      </c>
      <c r="AF215" s="46" t="str">
        <f t="shared" si="55"/>
        <v/>
      </c>
      <c r="AG215" s="46" t="str">
        <f t="shared" si="55"/>
        <v/>
      </c>
      <c r="AH215" s="46" t="str">
        <f t="shared" si="55"/>
        <v/>
      </c>
      <c r="AI215" s="46">
        <f t="shared" si="55"/>
        <v>4</v>
      </c>
      <c r="AJ215" s="46" t="str">
        <f t="shared" si="55"/>
        <v/>
      </c>
      <c r="AK215" s="46" t="str">
        <f t="shared" si="55"/>
        <v/>
      </c>
      <c r="AL215" s="46" t="str">
        <f t="shared" si="55"/>
        <v/>
      </c>
      <c r="AM215" s="46" t="str">
        <f t="shared" si="55"/>
        <v/>
      </c>
      <c r="AN215" s="46" t="str">
        <f t="shared" si="55"/>
        <v/>
      </c>
      <c r="AO215" s="46">
        <f t="shared" si="55"/>
        <v>4</v>
      </c>
      <c r="AP215" s="46" t="str">
        <f t="shared" si="55"/>
        <v/>
      </c>
      <c r="AQ215" s="46">
        <f t="shared" si="55"/>
        <v>4</v>
      </c>
      <c r="AR215" s="46">
        <f t="shared" si="55"/>
        <v>4</v>
      </c>
      <c r="AS215" s="46">
        <f t="shared" si="55"/>
        <v>4</v>
      </c>
      <c r="AT215" s="46">
        <f t="shared" si="55"/>
        <v>4</v>
      </c>
      <c r="AU215" s="46">
        <f t="shared" si="55"/>
        <v>4</v>
      </c>
      <c r="AV215" s="46">
        <f t="shared" si="55"/>
        <v>4</v>
      </c>
      <c r="AW215" s="46">
        <f t="shared" si="55"/>
        <v>4</v>
      </c>
      <c r="AX215" s="46">
        <f t="shared" si="55"/>
        <v>4</v>
      </c>
      <c r="AY215" s="46" t="str">
        <f t="shared" si="55"/>
        <v/>
      </c>
      <c r="AZ215" s="46">
        <f t="shared" si="55"/>
        <v>4</v>
      </c>
      <c r="BA215" s="46" t="str">
        <f t="shared" si="55"/>
        <v/>
      </c>
      <c r="BB215" s="46" t="str">
        <f t="shared" si="55"/>
        <v/>
      </c>
      <c r="BC215" s="46" t="str">
        <f t="shared" si="55"/>
        <v/>
      </c>
      <c r="BD215" s="46" t="str">
        <f t="shared" si="55"/>
        <v/>
      </c>
      <c r="BE215" s="46" t="str">
        <f t="shared" si="55"/>
        <v/>
      </c>
      <c r="BF215" s="46" t="str">
        <f t="shared" si="55"/>
        <v/>
      </c>
      <c r="BG215" s="46" t="str">
        <f t="shared" si="55"/>
        <v/>
      </c>
      <c r="BH215" s="46" t="str">
        <f t="shared" si="55"/>
        <v/>
      </c>
      <c r="BI215" s="46" t="str">
        <f t="shared" si="55"/>
        <v/>
      </c>
      <c r="BJ215" s="46" t="str">
        <f t="shared" si="55"/>
        <v/>
      </c>
      <c r="BK215" s="46" t="str">
        <f t="shared" si="55"/>
        <v/>
      </c>
      <c r="BL215" s="46" t="str">
        <f t="shared" si="55"/>
        <v/>
      </c>
      <c r="BM215" s="46" t="str">
        <f t="shared" si="55"/>
        <v/>
      </c>
      <c r="BN215" s="46" t="str">
        <f t="shared" si="55"/>
        <v/>
      </c>
      <c r="BO215" s="46" t="str">
        <f t="shared" ref="BO215:DH215" si="56">IF(BO22="X",$DK22,"")</f>
        <v/>
      </c>
      <c r="BP215" s="46" t="str">
        <f t="shared" si="56"/>
        <v/>
      </c>
      <c r="BQ215" s="46" t="str">
        <f t="shared" si="56"/>
        <v/>
      </c>
      <c r="BR215" s="46" t="str">
        <f t="shared" si="56"/>
        <v/>
      </c>
      <c r="BS215" s="46" t="str">
        <f t="shared" si="56"/>
        <v/>
      </c>
      <c r="BT215" s="46" t="str">
        <f t="shared" si="56"/>
        <v/>
      </c>
      <c r="BU215" s="46" t="str">
        <f t="shared" si="56"/>
        <v/>
      </c>
      <c r="BV215" s="46" t="str">
        <f t="shared" si="56"/>
        <v/>
      </c>
      <c r="BW215" s="46">
        <f t="shared" si="56"/>
        <v>4</v>
      </c>
      <c r="BX215" s="46" t="str">
        <f t="shared" si="56"/>
        <v/>
      </c>
      <c r="BY215" s="46" t="str">
        <f t="shared" si="56"/>
        <v/>
      </c>
      <c r="BZ215" s="46" t="str">
        <f t="shared" si="56"/>
        <v/>
      </c>
      <c r="CA215" s="46" t="str">
        <f t="shared" si="56"/>
        <v/>
      </c>
      <c r="CB215" s="46" t="str">
        <f t="shared" si="56"/>
        <v/>
      </c>
      <c r="CC215" s="46">
        <f t="shared" si="56"/>
        <v>4</v>
      </c>
      <c r="CD215" s="46" t="str">
        <f t="shared" si="56"/>
        <v/>
      </c>
      <c r="CE215" s="46" t="str">
        <f t="shared" si="56"/>
        <v/>
      </c>
      <c r="CF215" s="46" t="str">
        <f t="shared" si="56"/>
        <v/>
      </c>
      <c r="CG215" s="46" t="str">
        <f t="shared" si="56"/>
        <v/>
      </c>
      <c r="CH215" s="46" t="str">
        <f t="shared" si="56"/>
        <v/>
      </c>
      <c r="CI215" s="46" t="str">
        <f t="shared" si="56"/>
        <v/>
      </c>
      <c r="CJ215" s="46" t="str">
        <f t="shared" si="56"/>
        <v/>
      </c>
      <c r="CK215" s="46" t="str">
        <f t="shared" si="56"/>
        <v/>
      </c>
      <c r="CL215" s="46" t="str">
        <f t="shared" si="56"/>
        <v/>
      </c>
      <c r="CM215" s="46">
        <f t="shared" si="56"/>
        <v>4</v>
      </c>
      <c r="CN215" s="46">
        <f t="shared" si="56"/>
        <v>4</v>
      </c>
      <c r="CO215" s="46" t="str">
        <f t="shared" si="56"/>
        <v/>
      </c>
      <c r="CP215" s="46" t="str">
        <f t="shared" si="56"/>
        <v/>
      </c>
      <c r="CQ215" s="46" t="str">
        <f t="shared" si="56"/>
        <v/>
      </c>
      <c r="CR215" s="46">
        <f t="shared" si="56"/>
        <v>4</v>
      </c>
      <c r="CS215" s="46" t="str">
        <f t="shared" si="56"/>
        <v/>
      </c>
      <c r="CT215" s="46" t="str">
        <f t="shared" si="56"/>
        <v/>
      </c>
      <c r="CU215" s="46" t="str">
        <f t="shared" si="56"/>
        <v/>
      </c>
      <c r="CV215" s="46" t="str">
        <f t="shared" si="56"/>
        <v/>
      </c>
      <c r="CW215" s="46" t="str">
        <f t="shared" si="56"/>
        <v/>
      </c>
      <c r="CX215" s="46" t="str">
        <f t="shared" si="56"/>
        <v/>
      </c>
      <c r="CY215" s="46" t="str">
        <f t="shared" si="56"/>
        <v/>
      </c>
      <c r="CZ215" s="46" t="str">
        <f t="shared" si="56"/>
        <v/>
      </c>
      <c r="DA215" s="46">
        <f t="shared" si="56"/>
        <v>4</v>
      </c>
      <c r="DB215" s="46" t="str">
        <f t="shared" si="56"/>
        <v/>
      </c>
      <c r="DC215" s="46" t="str">
        <f t="shared" si="56"/>
        <v/>
      </c>
      <c r="DD215" s="46" t="str">
        <f t="shared" si="56"/>
        <v/>
      </c>
      <c r="DE215" s="46" t="str">
        <f t="shared" si="56"/>
        <v/>
      </c>
      <c r="DF215" s="46" t="str">
        <f t="shared" si="56"/>
        <v/>
      </c>
      <c r="DG215" s="46" t="str">
        <f t="shared" si="56"/>
        <v/>
      </c>
      <c r="DH215" s="46" t="str">
        <f t="shared" si="56"/>
        <v/>
      </c>
      <c r="DI215" s="46"/>
      <c r="DJ215" s="46"/>
      <c r="DK215" s="46"/>
      <c r="DL215" s="46"/>
      <c r="DM215" s="46"/>
      <c r="DN215" s="46"/>
      <c r="DO215" s="46"/>
      <c r="DP215" s="46"/>
      <c r="DQ215" s="46"/>
      <c r="DR215" s="46"/>
      <c r="DS215" s="46"/>
      <c r="DT215" s="46"/>
      <c r="DU215" s="46"/>
      <c r="DV215" s="46"/>
      <c r="DW215" s="9"/>
      <c r="DX215" s="1"/>
    </row>
    <row r="216" spans="1:128" x14ac:dyDescent="0.25">
      <c r="A216" s="46"/>
      <c r="B216" s="46" t="str">
        <f t="shared" si="22"/>
        <v/>
      </c>
      <c r="C216" s="46" t="str">
        <f t="shared" ref="C216:BN216" si="57">IF(C23="X",$DK23,"")</f>
        <v/>
      </c>
      <c r="D216" s="46" t="str">
        <f t="shared" si="57"/>
        <v/>
      </c>
      <c r="E216" s="46" t="str">
        <f t="shared" si="57"/>
        <v/>
      </c>
      <c r="F216" s="46" t="str">
        <f t="shared" si="57"/>
        <v/>
      </c>
      <c r="G216" s="46" t="str">
        <f t="shared" si="57"/>
        <v/>
      </c>
      <c r="H216" s="46" t="str">
        <f t="shared" si="57"/>
        <v/>
      </c>
      <c r="I216" s="46" t="str">
        <f t="shared" si="57"/>
        <v/>
      </c>
      <c r="J216" s="46" t="str">
        <f t="shared" si="57"/>
        <v/>
      </c>
      <c r="K216" s="46" t="str">
        <f t="shared" si="57"/>
        <v/>
      </c>
      <c r="L216" s="46" t="str">
        <f t="shared" si="57"/>
        <v/>
      </c>
      <c r="M216" s="46" t="str">
        <f t="shared" si="57"/>
        <v/>
      </c>
      <c r="N216" s="46" t="str">
        <f t="shared" si="57"/>
        <v/>
      </c>
      <c r="O216" s="46" t="str">
        <f t="shared" si="57"/>
        <v/>
      </c>
      <c r="P216" s="46" t="str">
        <f t="shared" si="57"/>
        <v/>
      </c>
      <c r="Q216" s="46" t="str">
        <f t="shared" si="57"/>
        <v/>
      </c>
      <c r="R216" s="46" t="str">
        <f t="shared" si="57"/>
        <v/>
      </c>
      <c r="S216" s="46" t="str">
        <f t="shared" si="57"/>
        <v/>
      </c>
      <c r="T216" s="46" t="str">
        <f t="shared" si="57"/>
        <v/>
      </c>
      <c r="U216" s="46" t="str">
        <f t="shared" si="57"/>
        <v/>
      </c>
      <c r="V216" s="46" t="str">
        <f t="shared" si="57"/>
        <v/>
      </c>
      <c r="W216" s="46" t="str">
        <f t="shared" si="57"/>
        <v/>
      </c>
      <c r="X216" s="46" t="str">
        <f t="shared" si="57"/>
        <v/>
      </c>
      <c r="Y216" s="46" t="str">
        <f t="shared" si="57"/>
        <v/>
      </c>
      <c r="Z216" s="46" t="str">
        <f t="shared" si="57"/>
        <v/>
      </c>
      <c r="AA216" s="46" t="str">
        <f t="shared" si="57"/>
        <v/>
      </c>
      <c r="AB216" s="46" t="str">
        <f t="shared" si="57"/>
        <v/>
      </c>
      <c r="AC216" s="46" t="str">
        <f t="shared" si="57"/>
        <v/>
      </c>
      <c r="AD216" s="46" t="str">
        <f t="shared" si="57"/>
        <v/>
      </c>
      <c r="AE216" s="46" t="str">
        <f t="shared" si="57"/>
        <v/>
      </c>
      <c r="AF216" s="46" t="str">
        <f t="shared" si="57"/>
        <v/>
      </c>
      <c r="AG216" s="46" t="str">
        <f t="shared" si="57"/>
        <v/>
      </c>
      <c r="AH216" s="46" t="str">
        <f t="shared" si="57"/>
        <v/>
      </c>
      <c r="AI216" s="46" t="str">
        <f t="shared" si="57"/>
        <v/>
      </c>
      <c r="AJ216" s="46" t="str">
        <f t="shared" si="57"/>
        <v/>
      </c>
      <c r="AK216" s="46" t="str">
        <f t="shared" si="57"/>
        <v/>
      </c>
      <c r="AL216" s="46" t="str">
        <f t="shared" si="57"/>
        <v/>
      </c>
      <c r="AM216" s="46" t="str">
        <f t="shared" si="57"/>
        <v/>
      </c>
      <c r="AN216" s="46" t="str">
        <f t="shared" si="57"/>
        <v/>
      </c>
      <c r="AO216" s="46" t="str">
        <f t="shared" si="57"/>
        <v/>
      </c>
      <c r="AP216" s="46" t="str">
        <f t="shared" si="57"/>
        <v/>
      </c>
      <c r="AQ216" s="46" t="str">
        <f t="shared" si="57"/>
        <v/>
      </c>
      <c r="AR216" s="46" t="str">
        <f t="shared" si="57"/>
        <v/>
      </c>
      <c r="AS216" s="46" t="str">
        <f t="shared" si="57"/>
        <v/>
      </c>
      <c r="AT216" s="46" t="str">
        <f t="shared" si="57"/>
        <v/>
      </c>
      <c r="AU216" s="46" t="str">
        <f t="shared" si="57"/>
        <v/>
      </c>
      <c r="AV216" s="46" t="str">
        <f t="shared" si="57"/>
        <v/>
      </c>
      <c r="AW216" s="46" t="str">
        <f t="shared" si="57"/>
        <v/>
      </c>
      <c r="AX216" s="46" t="str">
        <f t="shared" si="57"/>
        <v/>
      </c>
      <c r="AY216" s="46" t="str">
        <f t="shared" si="57"/>
        <v/>
      </c>
      <c r="AZ216" s="46" t="str">
        <f t="shared" si="57"/>
        <v/>
      </c>
      <c r="BA216" s="46" t="str">
        <f t="shared" si="57"/>
        <v/>
      </c>
      <c r="BB216" s="46" t="str">
        <f t="shared" si="57"/>
        <v/>
      </c>
      <c r="BC216" s="46" t="str">
        <f t="shared" si="57"/>
        <v/>
      </c>
      <c r="BD216" s="46" t="str">
        <f t="shared" si="57"/>
        <v/>
      </c>
      <c r="BE216" s="46" t="str">
        <f t="shared" si="57"/>
        <v/>
      </c>
      <c r="BF216" s="46" t="str">
        <f t="shared" si="57"/>
        <v/>
      </c>
      <c r="BG216" s="46" t="str">
        <f t="shared" si="57"/>
        <v/>
      </c>
      <c r="BH216" s="46">
        <f t="shared" si="57"/>
        <v>4</v>
      </c>
      <c r="BI216" s="46" t="str">
        <f t="shared" si="57"/>
        <v/>
      </c>
      <c r="BJ216" s="46" t="str">
        <f t="shared" si="57"/>
        <v/>
      </c>
      <c r="BK216" s="46" t="str">
        <f t="shared" si="57"/>
        <v/>
      </c>
      <c r="BL216" s="46" t="str">
        <f t="shared" si="57"/>
        <v/>
      </c>
      <c r="BM216" s="46" t="str">
        <f t="shared" si="57"/>
        <v/>
      </c>
      <c r="BN216" s="46" t="str">
        <f t="shared" si="57"/>
        <v/>
      </c>
      <c r="BO216" s="46" t="str">
        <f t="shared" ref="BO216:DH216" si="58">IF(BO23="X",$DK23,"")</f>
        <v/>
      </c>
      <c r="BP216" s="46" t="str">
        <f t="shared" si="58"/>
        <v/>
      </c>
      <c r="BQ216" s="46" t="str">
        <f t="shared" si="58"/>
        <v/>
      </c>
      <c r="BR216" s="46" t="str">
        <f t="shared" si="58"/>
        <v/>
      </c>
      <c r="BS216" s="46" t="str">
        <f t="shared" si="58"/>
        <v/>
      </c>
      <c r="BT216" s="46" t="str">
        <f t="shared" si="58"/>
        <v/>
      </c>
      <c r="BU216" s="46" t="str">
        <f t="shared" si="58"/>
        <v/>
      </c>
      <c r="BV216" s="46" t="str">
        <f t="shared" si="58"/>
        <v/>
      </c>
      <c r="BW216" s="46" t="str">
        <f t="shared" si="58"/>
        <v/>
      </c>
      <c r="BX216" s="46" t="str">
        <f t="shared" si="58"/>
        <v/>
      </c>
      <c r="BY216" s="46" t="str">
        <f t="shared" si="58"/>
        <v/>
      </c>
      <c r="BZ216" s="46" t="str">
        <f t="shared" si="58"/>
        <v/>
      </c>
      <c r="CA216" s="46" t="str">
        <f t="shared" si="58"/>
        <v/>
      </c>
      <c r="CB216" s="46" t="str">
        <f t="shared" si="58"/>
        <v/>
      </c>
      <c r="CC216" s="46" t="str">
        <f t="shared" si="58"/>
        <v/>
      </c>
      <c r="CD216" s="46" t="str">
        <f t="shared" si="58"/>
        <v/>
      </c>
      <c r="CE216" s="46" t="str">
        <f t="shared" si="58"/>
        <v/>
      </c>
      <c r="CF216" s="46" t="str">
        <f t="shared" si="58"/>
        <v/>
      </c>
      <c r="CG216" s="46" t="str">
        <f t="shared" si="58"/>
        <v/>
      </c>
      <c r="CH216" s="46" t="str">
        <f t="shared" si="58"/>
        <v/>
      </c>
      <c r="CI216" s="46" t="str">
        <f t="shared" si="58"/>
        <v/>
      </c>
      <c r="CJ216" s="46" t="str">
        <f t="shared" si="58"/>
        <v/>
      </c>
      <c r="CK216" s="46" t="str">
        <f t="shared" si="58"/>
        <v/>
      </c>
      <c r="CL216" s="46" t="str">
        <f t="shared" si="58"/>
        <v/>
      </c>
      <c r="CM216" s="46" t="str">
        <f t="shared" si="58"/>
        <v/>
      </c>
      <c r="CN216" s="46" t="str">
        <f t="shared" si="58"/>
        <v/>
      </c>
      <c r="CO216" s="46" t="str">
        <f t="shared" si="58"/>
        <v/>
      </c>
      <c r="CP216" s="46" t="str">
        <f t="shared" si="58"/>
        <v/>
      </c>
      <c r="CQ216" s="46" t="str">
        <f t="shared" si="58"/>
        <v/>
      </c>
      <c r="CR216" s="46" t="str">
        <f t="shared" si="58"/>
        <v/>
      </c>
      <c r="CS216" s="46" t="str">
        <f t="shared" si="58"/>
        <v/>
      </c>
      <c r="CT216" s="46" t="str">
        <f t="shared" si="58"/>
        <v/>
      </c>
      <c r="CU216" s="46" t="str">
        <f t="shared" si="58"/>
        <v/>
      </c>
      <c r="CV216" s="46" t="str">
        <f t="shared" si="58"/>
        <v/>
      </c>
      <c r="CW216" s="46" t="str">
        <f t="shared" si="58"/>
        <v/>
      </c>
      <c r="CX216" s="46" t="str">
        <f t="shared" si="58"/>
        <v/>
      </c>
      <c r="CY216" s="46" t="str">
        <f t="shared" si="58"/>
        <v/>
      </c>
      <c r="CZ216" s="46" t="str">
        <f t="shared" si="58"/>
        <v/>
      </c>
      <c r="DA216" s="46" t="str">
        <f t="shared" si="58"/>
        <v/>
      </c>
      <c r="DB216" s="46">
        <f t="shared" si="58"/>
        <v>4</v>
      </c>
      <c r="DC216" s="46">
        <f t="shared" si="58"/>
        <v>4</v>
      </c>
      <c r="DD216" s="46" t="str">
        <f t="shared" si="58"/>
        <v/>
      </c>
      <c r="DE216" s="46" t="str">
        <f t="shared" si="58"/>
        <v/>
      </c>
      <c r="DF216" s="46" t="str">
        <f t="shared" si="58"/>
        <v/>
      </c>
      <c r="DG216" s="46" t="str">
        <f t="shared" si="58"/>
        <v/>
      </c>
      <c r="DH216" s="46" t="str">
        <f t="shared" si="58"/>
        <v/>
      </c>
      <c r="DI216" s="46"/>
      <c r="DJ216" s="46"/>
      <c r="DK216" s="46"/>
      <c r="DL216" s="46"/>
      <c r="DM216" s="46"/>
      <c r="DN216" s="46"/>
      <c r="DO216" s="46"/>
      <c r="DP216" s="46"/>
      <c r="DQ216" s="46"/>
      <c r="DR216" s="46"/>
      <c r="DS216" s="46"/>
      <c r="DT216" s="46"/>
      <c r="DU216" s="46"/>
      <c r="DV216" s="46"/>
      <c r="DW216" s="9"/>
      <c r="DX216" s="1"/>
    </row>
    <row r="217" spans="1:128" x14ac:dyDescent="0.25">
      <c r="A217" s="46"/>
      <c r="B217" s="46" t="str">
        <f t="shared" si="22"/>
        <v/>
      </c>
      <c r="C217" s="46" t="str">
        <f t="shared" ref="C217:BN217" si="59">IF(C24="X",$DK24,"")</f>
        <v/>
      </c>
      <c r="D217" s="46" t="str">
        <f t="shared" si="59"/>
        <v/>
      </c>
      <c r="E217" s="46" t="str">
        <f t="shared" si="59"/>
        <v/>
      </c>
      <c r="F217" s="46" t="str">
        <f t="shared" si="59"/>
        <v/>
      </c>
      <c r="G217" s="46" t="str">
        <f t="shared" si="59"/>
        <v/>
      </c>
      <c r="H217" s="46" t="str">
        <f t="shared" si="59"/>
        <v/>
      </c>
      <c r="I217" s="46" t="str">
        <f t="shared" si="59"/>
        <v/>
      </c>
      <c r="J217" s="46">
        <f t="shared" si="59"/>
        <v>4</v>
      </c>
      <c r="K217" s="46" t="str">
        <f t="shared" si="59"/>
        <v/>
      </c>
      <c r="L217" s="46" t="str">
        <f t="shared" si="59"/>
        <v/>
      </c>
      <c r="M217" s="46">
        <f t="shared" si="59"/>
        <v>4</v>
      </c>
      <c r="N217" s="46" t="str">
        <f t="shared" si="59"/>
        <v/>
      </c>
      <c r="O217" s="46" t="str">
        <f t="shared" si="59"/>
        <v/>
      </c>
      <c r="P217" s="46" t="str">
        <f t="shared" si="59"/>
        <v/>
      </c>
      <c r="Q217" s="46" t="str">
        <f t="shared" si="59"/>
        <v/>
      </c>
      <c r="R217" s="46" t="str">
        <f t="shared" si="59"/>
        <v/>
      </c>
      <c r="S217" s="46" t="str">
        <f t="shared" si="59"/>
        <v/>
      </c>
      <c r="T217" s="46" t="str">
        <f t="shared" si="59"/>
        <v/>
      </c>
      <c r="U217" s="46" t="str">
        <f t="shared" si="59"/>
        <v/>
      </c>
      <c r="V217" s="46" t="str">
        <f t="shared" si="59"/>
        <v/>
      </c>
      <c r="W217" s="46" t="str">
        <f t="shared" si="59"/>
        <v/>
      </c>
      <c r="X217" s="46" t="str">
        <f t="shared" si="59"/>
        <v/>
      </c>
      <c r="Y217" s="46" t="str">
        <f t="shared" si="59"/>
        <v/>
      </c>
      <c r="Z217" s="46" t="str">
        <f t="shared" si="59"/>
        <v/>
      </c>
      <c r="AA217" s="46" t="str">
        <f t="shared" si="59"/>
        <v/>
      </c>
      <c r="AB217" s="46" t="str">
        <f t="shared" si="59"/>
        <v/>
      </c>
      <c r="AC217" s="46" t="str">
        <f t="shared" si="59"/>
        <v/>
      </c>
      <c r="AD217" s="46" t="str">
        <f t="shared" si="59"/>
        <v/>
      </c>
      <c r="AE217" s="46" t="str">
        <f t="shared" si="59"/>
        <v/>
      </c>
      <c r="AF217" s="46" t="str">
        <f t="shared" si="59"/>
        <v/>
      </c>
      <c r="AG217" s="46" t="str">
        <f t="shared" si="59"/>
        <v/>
      </c>
      <c r="AH217" s="46" t="str">
        <f t="shared" si="59"/>
        <v/>
      </c>
      <c r="AI217" s="46" t="str">
        <f t="shared" si="59"/>
        <v/>
      </c>
      <c r="AJ217" s="46" t="str">
        <f t="shared" si="59"/>
        <v/>
      </c>
      <c r="AK217" s="46" t="str">
        <f t="shared" si="59"/>
        <v/>
      </c>
      <c r="AL217" s="46" t="str">
        <f t="shared" si="59"/>
        <v/>
      </c>
      <c r="AM217" s="46" t="str">
        <f t="shared" si="59"/>
        <v/>
      </c>
      <c r="AN217" s="46" t="str">
        <f t="shared" si="59"/>
        <v/>
      </c>
      <c r="AO217" s="46" t="str">
        <f t="shared" si="59"/>
        <v/>
      </c>
      <c r="AP217" s="46" t="str">
        <f t="shared" si="59"/>
        <v/>
      </c>
      <c r="AQ217" s="46" t="str">
        <f t="shared" si="59"/>
        <v/>
      </c>
      <c r="AR217" s="46" t="str">
        <f t="shared" si="59"/>
        <v/>
      </c>
      <c r="AS217" s="46" t="str">
        <f t="shared" si="59"/>
        <v/>
      </c>
      <c r="AT217" s="46" t="str">
        <f t="shared" si="59"/>
        <v/>
      </c>
      <c r="AU217" s="46" t="str">
        <f t="shared" si="59"/>
        <v/>
      </c>
      <c r="AV217" s="46" t="str">
        <f t="shared" si="59"/>
        <v/>
      </c>
      <c r="AW217" s="46" t="str">
        <f t="shared" si="59"/>
        <v/>
      </c>
      <c r="AX217" s="46" t="str">
        <f t="shared" si="59"/>
        <v/>
      </c>
      <c r="AY217" s="46" t="str">
        <f t="shared" si="59"/>
        <v/>
      </c>
      <c r="AZ217" s="46" t="str">
        <f t="shared" si="59"/>
        <v/>
      </c>
      <c r="BA217" s="46" t="str">
        <f t="shared" si="59"/>
        <v/>
      </c>
      <c r="BB217" s="46" t="str">
        <f t="shared" si="59"/>
        <v/>
      </c>
      <c r="BC217" s="46" t="str">
        <f t="shared" si="59"/>
        <v/>
      </c>
      <c r="BD217" s="46" t="str">
        <f t="shared" si="59"/>
        <v/>
      </c>
      <c r="BE217" s="46" t="str">
        <f t="shared" si="59"/>
        <v/>
      </c>
      <c r="BF217" s="46" t="str">
        <f t="shared" si="59"/>
        <v/>
      </c>
      <c r="BG217" s="46">
        <f t="shared" si="59"/>
        <v>4</v>
      </c>
      <c r="BH217" s="46" t="str">
        <f t="shared" si="59"/>
        <v/>
      </c>
      <c r="BI217" s="46" t="str">
        <f t="shared" si="59"/>
        <v/>
      </c>
      <c r="BJ217" s="46" t="str">
        <f t="shared" si="59"/>
        <v/>
      </c>
      <c r="BK217" s="46" t="str">
        <f t="shared" si="59"/>
        <v/>
      </c>
      <c r="BL217" s="46" t="str">
        <f t="shared" si="59"/>
        <v/>
      </c>
      <c r="BM217" s="46" t="str">
        <f t="shared" si="59"/>
        <v/>
      </c>
      <c r="BN217" s="46" t="str">
        <f t="shared" si="59"/>
        <v/>
      </c>
      <c r="BO217" s="46" t="str">
        <f t="shared" ref="BO217:DH217" si="60">IF(BO24="X",$DK24,"")</f>
        <v/>
      </c>
      <c r="BP217" s="46" t="str">
        <f t="shared" si="60"/>
        <v/>
      </c>
      <c r="BQ217" s="46" t="str">
        <f t="shared" si="60"/>
        <v/>
      </c>
      <c r="BR217" s="46" t="str">
        <f t="shared" si="60"/>
        <v/>
      </c>
      <c r="BS217" s="46" t="str">
        <f t="shared" si="60"/>
        <v/>
      </c>
      <c r="BT217" s="46" t="str">
        <f t="shared" si="60"/>
        <v/>
      </c>
      <c r="BU217" s="46" t="str">
        <f t="shared" si="60"/>
        <v/>
      </c>
      <c r="BV217" s="46" t="str">
        <f t="shared" si="60"/>
        <v/>
      </c>
      <c r="BW217" s="46" t="str">
        <f t="shared" si="60"/>
        <v/>
      </c>
      <c r="BX217" s="46" t="str">
        <f t="shared" si="60"/>
        <v/>
      </c>
      <c r="BY217" s="46" t="str">
        <f t="shared" si="60"/>
        <v/>
      </c>
      <c r="BZ217" s="46" t="str">
        <f t="shared" si="60"/>
        <v/>
      </c>
      <c r="CA217" s="46" t="str">
        <f t="shared" si="60"/>
        <v/>
      </c>
      <c r="CB217" s="46" t="str">
        <f t="shared" si="60"/>
        <v/>
      </c>
      <c r="CC217" s="46" t="str">
        <f t="shared" si="60"/>
        <v/>
      </c>
      <c r="CD217" s="46" t="str">
        <f t="shared" si="60"/>
        <v/>
      </c>
      <c r="CE217" s="46" t="str">
        <f t="shared" si="60"/>
        <v/>
      </c>
      <c r="CF217" s="46" t="str">
        <f t="shared" si="60"/>
        <v/>
      </c>
      <c r="CG217" s="46" t="str">
        <f t="shared" si="60"/>
        <v/>
      </c>
      <c r="CH217" s="46" t="str">
        <f t="shared" si="60"/>
        <v/>
      </c>
      <c r="CI217" s="46" t="str">
        <f t="shared" si="60"/>
        <v/>
      </c>
      <c r="CJ217" s="46" t="str">
        <f t="shared" si="60"/>
        <v/>
      </c>
      <c r="CK217" s="46" t="str">
        <f t="shared" si="60"/>
        <v/>
      </c>
      <c r="CL217" s="46" t="str">
        <f t="shared" si="60"/>
        <v/>
      </c>
      <c r="CM217" s="46" t="str">
        <f t="shared" si="60"/>
        <v/>
      </c>
      <c r="CN217" s="46" t="str">
        <f t="shared" si="60"/>
        <v/>
      </c>
      <c r="CO217" s="46" t="str">
        <f t="shared" si="60"/>
        <v/>
      </c>
      <c r="CP217" s="46" t="str">
        <f t="shared" si="60"/>
        <v/>
      </c>
      <c r="CQ217" s="46" t="str">
        <f t="shared" si="60"/>
        <v/>
      </c>
      <c r="CR217" s="46" t="str">
        <f t="shared" si="60"/>
        <v/>
      </c>
      <c r="CS217" s="46" t="str">
        <f t="shared" si="60"/>
        <v/>
      </c>
      <c r="CT217" s="46" t="str">
        <f t="shared" si="60"/>
        <v/>
      </c>
      <c r="CU217" s="46" t="str">
        <f t="shared" si="60"/>
        <v/>
      </c>
      <c r="CV217" s="46" t="str">
        <f t="shared" si="60"/>
        <v/>
      </c>
      <c r="CW217" s="46" t="str">
        <f t="shared" si="60"/>
        <v/>
      </c>
      <c r="CX217" s="46" t="str">
        <f t="shared" si="60"/>
        <v/>
      </c>
      <c r="CY217" s="46" t="str">
        <f t="shared" si="60"/>
        <v/>
      </c>
      <c r="CZ217" s="46" t="str">
        <f t="shared" si="60"/>
        <v/>
      </c>
      <c r="DA217" s="46" t="str">
        <f t="shared" si="60"/>
        <v/>
      </c>
      <c r="DB217" s="46">
        <f t="shared" si="60"/>
        <v>4</v>
      </c>
      <c r="DC217" s="46">
        <f t="shared" si="60"/>
        <v>4</v>
      </c>
      <c r="DD217" s="46" t="str">
        <f t="shared" si="60"/>
        <v/>
      </c>
      <c r="DE217" s="46">
        <f t="shared" si="60"/>
        <v>4</v>
      </c>
      <c r="DF217" s="46" t="str">
        <f t="shared" si="60"/>
        <v/>
      </c>
      <c r="DG217" s="46" t="str">
        <f t="shared" si="60"/>
        <v/>
      </c>
      <c r="DH217" s="46" t="str">
        <f t="shared" si="60"/>
        <v/>
      </c>
      <c r="DI217" s="46"/>
      <c r="DJ217" s="46"/>
      <c r="DK217" s="46"/>
      <c r="DL217" s="46"/>
      <c r="DM217" s="46"/>
      <c r="DN217" s="46"/>
      <c r="DO217" s="46"/>
      <c r="DP217" s="46"/>
      <c r="DQ217" s="46"/>
      <c r="DR217" s="46"/>
      <c r="DS217" s="46"/>
      <c r="DT217" s="46"/>
      <c r="DU217" s="46"/>
      <c r="DV217" s="46"/>
      <c r="DW217" s="9"/>
      <c r="DX217" s="1"/>
    </row>
    <row r="218" spans="1:128" x14ac:dyDescent="0.25">
      <c r="A218" s="46"/>
      <c r="B218" s="46" t="str">
        <f t="shared" si="22"/>
        <v/>
      </c>
      <c r="C218" s="46" t="str">
        <f t="shared" ref="C218:BN218" si="61">IF(C25="X",$DK25,"")</f>
        <v/>
      </c>
      <c r="D218" s="46" t="str">
        <f t="shared" si="61"/>
        <v/>
      </c>
      <c r="E218" s="46" t="str">
        <f t="shared" si="61"/>
        <v/>
      </c>
      <c r="F218" s="46" t="str">
        <f t="shared" si="61"/>
        <v/>
      </c>
      <c r="G218" s="46" t="str">
        <f t="shared" si="61"/>
        <v/>
      </c>
      <c r="H218" s="46" t="str">
        <f t="shared" si="61"/>
        <v/>
      </c>
      <c r="I218" s="46" t="str">
        <f t="shared" si="61"/>
        <v/>
      </c>
      <c r="J218" s="46" t="str">
        <f t="shared" si="61"/>
        <v/>
      </c>
      <c r="K218" s="46" t="str">
        <f t="shared" si="61"/>
        <v/>
      </c>
      <c r="L218" s="46" t="str">
        <f t="shared" si="61"/>
        <v/>
      </c>
      <c r="M218" s="46" t="str">
        <f t="shared" si="61"/>
        <v/>
      </c>
      <c r="N218" s="46" t="str">
        <f t="shared" si="61"/>
        <v/>
      </c>
      <c r="O218" s="46" t="str">
        <f t="shared" si="61"/>
        <v/>
      </c>
      <c r="P218" s="46" t="str">
        <f t="shared" si="61"/>
        <v/>
      </c>
      <c r="Q218" s="46" t="str">
        <f t="shared" si="61"/>
        <v/>
      </c>
      <c r="R218" s="46" t="str">
        <f t="shared" si="61"/>
        <v/>
      </c>
      <c r="S218" s="46" t="str">
        <f t="shared" si="61"/>
        <v/>
      </c>
      <c r="T218" s="46" t="str">
        <f t="shared" si="61"/>
        <v/>
      </c>
      <c r="U218" s="46" t="str">
        <f t="shared" si="61"/>
        <v/>
      </c>
      <c r="V218" s="46" t="str">
        <f t="shared" si="61"/>
        <v/>
      </c>
      <c r="W218" s="46" t="str">
        <f t="shared" si="61"/>
        <v/>
      </c>
      <c r="X218" s="46" t="str">
        <f t="shared" si="61"/>
        <v/>
      </c>
      <c r="Y218" s="46" t="str">
        <f t="shared" si="61"/>
        <v/>
      </c>
      <c r="Z218" s="46" t="str">
        <f t="shared" si="61"/>
        <v/>
      </c>
      <c r="AA218" s="46" t="str">
        <f t="shared" si="61"/>
        <v/>
      </c>
      <c r="AB218" s="46" t="str">
        <f t="shared" si="61"/>
        <v/>
      </c>
      <c r="AC218" s="46" t="str">
        <f t="shared" si="61"/>
        <v/>
      </c>
      <c r="AD218" s="46" t="str">
        <f t="shared" si="61"/>
        <v/>
      </c>
      <c r="AE218" s="46" t="str">
        <f t="shared" si="61"/>
        <v/>
      </c>
      <c r="AF218" s="46" t="str">
        <f t="shared" si="61"/>
        <v/>
      </c>
      <c r="AG218" s="46" t="str">
        <f t="shared" si="61"/>
        <v/>
      </c>
      <c r="AH218" s="46" t="str">
        <f t="shared" si="61"/>
        <v/>
      </c>
      <c r="AI218" s="46" t="str">
        <f t="shared" si="61"/>
        <v/>
      </c>
      <c r="AJ218" s="46" t="str">
        <f t="shared" si="61"/>
        <v/>
      </c>
      <c r="AK218" s="46" t="str">
        <f t="shared" si="61"/>
        <v/>
      </c>
      <c r="AL218" s="46" t="str">
        <f t="shared" si="61"/>
        <v/>
      </c>
      <c r="AM218" s="46" t="str">
        <f t="shared" si="61"/>
        <v/>
      </c>
      <c r="AN218" s="46" t="str">
        <f t="shared" si="61"/>
        <v/>
      </c>
      <c r="AO218" s="46" t="str">
        <f t="shared" si="61"/>
        <v/>
      </c>
      <c r="AP218" s="46" t="str">
        <f t="shared" si="61"/>
        <v/>
      </c>
      <c r="AQ218" s="46" t="str">
        <f t="shared" si="61"/>
        <v/>
      </c>
      <c r="AR218" s="46" t="str">
        <f t="shared" si="61"/>
        <v/>
      </c>
      <c r="AS218" s="46" t="str">
        <f t="shared" si="61"/>
        <v/>
      </c>
      <c r="AT218" s="46" t="str">
        <f t="shared" si="61"/>
        <v/>
      </c>
      <c r="AU218" s="46" t="str">
        <f t="shared" si="61"/>
        <v/>
      </c>
      <c r="AV218" s="46" t="str">
        <f t="shared" si="61"/>
        <v/>
      </c>
      <c r="AW218" s="46" t="str">
        <f t="shared" si="61"/>
        <v/>
      </c>
      <c r="AX218" s="46" t="str">
        <f t="shared" si="61"/>
        <v/>
      </c>
      <c r="AY218" s="46" t="str">
        <f t="shared" si="61"/>
        <v/>
      </c>
      <c r="AZ218" s="46" t="str">
        <f t="shared" si="61"/>
        <v/>
      </c>
      <c r="BA218" s="46" t="str">
        <f t="shared" si="61"/>
        <v/>
      </c>
      <c r="BB218" s="46" t="str">
        <f t="shared" si="61"/>
        <v/>
      </c>
      <c r="BC218" s="46">
        <f t="shared" si="61"/>
        <v>4</v>
      </c>
      <c r="BD218" s="46" t="str">
        <f t="shared" si="61"/>
        <v/>
      </c>
      <c r="BE218" s="46" t="str">
        <f t="shared" si="61"/>
        <v/>
      </c>
      <c r="BF218" s="46" t="str">
        <f t="shared" si="61"/>
        <v/>
      </c>
      <c r="BG218" s="46" t="str">
        <f t="shared" si="61"/>
        <v/>
      </c>
      <c r="BH218" s="46" t="str">
        <f t="shared" si="61"/>
        <v/>
      </c>
      <c r="BI218" s="46" t="str">
        <f t="shared" si="61"/>
        <v/>
      </c>
      <c r="BJ218" s="46" t="str">
        <f t="shared" si="61"/>
        <v/>
      </c>
      <c r="BK218" s="46" t="str">
        <f t="shared" si="61"/>
        <v/>
      </c>
      <c r="BL218" s="46" t="str">
        <f t="shared" si="61"/>
        <v/>
      </c>
      <c r="BM218" s="46" t="str">
        <f t="shared" si="61"/>
        <v/>
      </c>
      <c r="BN218" s="46" t="str">
        <f t="shared" si="61"/>
        <v/>
      </c>
      <c r="BO218" s="46" t="str">
        <f t="shared" ref="BO218:DH218" si="62">IF(BO25="X",$DK25,"")</f>
        <v/>
      </c>
      <c r="BP218" s="46" t="str">
        <f t="shared" si="62"/>
        <v/>
      </c>
      <c r="BQ218" s="46" t="str">
        <f t="shared" si="62"/>
        <v/>
      </c>
      <c r="BR218" s="46" t="str">
        <f t="shared" si="62"/>
        <v/>
      </c>
      <c r="BS218" s="46" t="str">
        <f t="shared" si="62"/>
        <v/>
      </c>
      <c r="BT218" s="46" t="str">
        <f t="shared" si="62"/>
        <v/>
      </c>
      <c r="BU218" s="46" t="str">
        <f t="shared" si="62"/>
        <v/>
      </c>
      <c r="BV218" s="46" t="str">
        <f t="shared" si="62"/>
        <v/>
      </c>
      <c r="BW218" s="46" t="str">
        <f t="shared" si="62"/>
        <v/>
      </c>
      <c r="BX218" s="46" t="str">
        <f t="shared" si="62"/>
        <v/>
      </c>
      <c r="BY218" s="46" t="str">
        <f t="shared" si="62"/>
        <v/>
      </c>
      <c r="BZ218" s="46" t="str">
        <f t="shared" si="62"/>
        <v/>
      </c>
      <c r="CA218" s="46" t="str">
        <f t="shared" si="62"/>
        <v/>
      </c>
      <c r="CB218" s="46" t="str">
        <f t="shared" si="62"/>
        <v/>
      </c>
      <c r="CC218" s="46" t="str">
        <f t="shared" si="62"/>
        <v/>
      </c>
      <c r="CD218" s="46" t="str">
        <f t="shared" si="62"/>
        <v/>
      </c>
      <c r="CE218" s="46" t="str">
        <f t="shared" si="62"/>
        <v/>
      </c>
      <c r="CF218" s="46" t="str">
        <f t="shared" si="62"/>
        <v/>
      </c>
      <c r="CG218" s="46" t="str">
        <f t="shared" si="62"/>
        <v/>
      </c>
      <c r="CH218" s="46" t="str">
        <f t="shared" si="62"/>
        <v/>
      </c>
      <c r="CI218" s="46" t="str">
        <f t="shared" si="62"/>
        <v/>
      </c>
      <c r="CJ218" s="46" t="str">
        <f t="shared" si="62"/>
        <v/>
      </c>
      <c r="CK218" s="46" t="str">
        <f t="shared" si="62"/>
        <v/>
      </c>
      <c r="CL218" s="46" t="str">
        <f t="shared" si="62"/>
        <v/>
      </c>
      <c r="CM218" s="46" t="str">
        <f t="shared" si="62"/>
        <v/>
      </c>
      <c r="CN218" s="46" t="str">
        <f t="shared" si="62"/>
        <v/>
      </c>
      <c r="CO218" s="46" t="str">
        <f t="shared" si="62"/>
        <v/>
      </c>
      <c r="CP218" s="46" t="str">
        <f t="shared" si="62"/>
        <v/>
      </c>
      <c r="CQ218" s="46" t="str">
        <f t="shared" si="62"/>
        <v/>
      </c>
      <c r="CR218" s="46" t="str">
        <f t="shared" si="62"/>
        <v/>
      </c>
      <c r="CS218" s="46" t="str">
        <f t="shared" si="62"/>
        <v/>
      </c>
      <c r="CT218" s="46" t="str">
        <f t="shared" si="62"/>
        <v/>
      </c>
      <c r="CU218" s="46" t="str">
        <f t="shared" si="62"/>
        <v/>
      </c>
      <c r="CV218" s="46" t="str">
        <f t="shared" si="62"/>
        <v/>
      </c>
      <c r="CW218" s="46" t="str">
        <f t="shared" si="62"/>
        <v/>
      </c>
      <c r="CX218" s="46" t="str">
        <f t="shared" si="62"/>
        <v/>
      </c>
      <c r="CY218" s="46" t="str">
        <f t="shared" si="62"/>
        <v/>
      </c>
      <c r="CZ218" s="46" t="str">
        <f t="shared" si="62"/>
        <v/>
      </c>
      <c r="DA218" s="46" t="str">
        <f t="shared" si="62"/>
        <v/>
      </c>
      <c r="DB218" s="46" t="str">
        <f t="shared" si="62"/>
        <v/>
      </c>
      <c r="DC218" s="46" t="str">
        <f t="shared" si="62"/>
        <v/>
      </c>
      <c r="DD218" s="46" t="str">
        <f t="shared" si="62"/>
        <v/>
      </c>
      <c r="DE218" s="46" t="str">
        <f t="shared" si="62"/>
        <v/>
      </c>
      <c r="DF218" s="46" t="str">
        <f t="shared" si="62"/>
        <v/>
      </c>
      <c r="DG218" s="46" t="str">
        <f t="shared" si="62"/>
        <v/>
      </c>
      <c r="DH218" s="46" t="str">
        <f t="shared" si="62"/>
        <v/>
      </c>
      <c r="DI218" s="46"/>
      <c r="DJ218" s="46"/>
      <c r="DK218" s="46"/>
      <c r="DL218" s="46"/>
      <c r="DM218" s="46"/>
      <c r="DN218" s="46"/>
      <c r="DO218" s="46"/>
      <c r="DP218" s="46"/>
      <c r="DQ218" s="46"/>
      <c r="DR218" s="46"/>
      <c r="DS218" s="46"/>
      <c r="DT218" s="46"/>
      <c r="DU218" s="46"/>
      <c r="DV218" s="46"/>
      <c r="DW218" s="9"/>
      <c r="DX218" s="1"/>
    </row>
    <row r="219" spans="1:128" x14ac:dyDescent="0.25">
      <c r="A219" s="46"/>
      <c r="B219" s="46" t="str">
        <f t="shared" si="22"/>
        <v/>
      </c>
      <c r="C219" s="46" t="str">
        <f t="shared" ref="C219:BN219" si="63">IF(C26="X",$DK26,"")</f>
        <v/>
      </c>
      <c r="D219" s="46">
        <f t="shared" si="63"/>
        <v>8</v>
      </c>
      <c r="E219" s="46">
        <f t="shared" si="63"/>
        <v>8</v>
      </c>
      <c r="F219" s="46">
        <f t="shared" si="63"/>
        <v>8</v>
      </c>
      <c r="G219" s="46">
        <f t="shared" si="63"/>
        <v>8</v>
      </c>
      <c r="H219" s="46">
        <f t="shared" si="63"/>
        <v>8</v>
      </c>
      <c r="I219" s="46">
        <f t="shared" si="63"/>
        <v>8</v>
      </c>
      <c r="J219" s="46">
        <f t="shared" si="63"/>
        <v>8</v>
      </c>
      <c r="K219" s="46" t="str">
        <f t="shared" si="63"/>
        <v/>
      </c>
      <c r="L219" s="46">
        <f t="shared" si="63"/>
        <v>8</v>
      </c>
      <c r="M219" s="46">
        <f t="shared" si="63"/>
        <v>8</v>
      </c>
      <c r="N219" s="46">
        <f t="shared" si="63"/>
        <v>8</v>
      </c>
      <c r="O219" s="46" t="str">
        <f t="shared" si="63"/>
        <v/>
      </c>
      <c r="P219" s="46" t="str">
        <f t="shared" si="63"/>
        <v/>
      </c>
      <c r="Q219" s="46" t="str">
        <f t="shared" si="63"/>
        <v/>
      </c>
      <c r="R219" s="46" t="str">
        <f t="shared" si="63"/>
        <v/>
      </c>
      <c r="S219" s="46">
        <f t="shared" si="63"/>
        <v>8</v>
      </c>
      <c r="T219" s="46">
        <f t="shared" si="63"/>
        <v>8</v>
      </c>
      <c r="U219" s="46" t="str">
        <f t="shared" si="63"/>
        <v/>
      </c>
      <c r="V219" s="46" t="str">
        <f t="shared" si="63"/>
        <v/>
      </c>
      <c r="W219" s="46" t="str">
        <f t="shared" si="63"/>
        <v/>
      </c>
      <c r="X219" s="46">
        <f t="shared" si="63"/>
        <v>8</v>
      </c>
      <c r="Y219" s="46">
        <f t="shared" si="63"/>
        <v>8</v>
      </c>
      <c r="Z219" s="46" t="str">
        <f t="shared" si="63"/>
        <v/>
      </c>
      <c r="AA219" s="46" t="str">
        <f t="shared" si="63"/>
        <v/>
      </c>
      <c r="AB219" s="46" t="str">
        <f t="shared" si="63"/>
        <v/>
      </c>
      <c r="AC219" s="46" t="str">
        <f t="shared" si="63"/>
        <v/>
      </c>
      <c r="AD219" s="46">
        <f t="shared" si="63"/>
        <v>8</v>
      </c>
      <c r="AE219" s="46" t="str">
        <f t="shared" si="63"/>
        <v/>
      </c>
      <c r="AF219" s="46">
        <f t="shared" si="63"/>
        <v>8</v>
      </c>
      <c r="AG219" s="46">
        <f t="shared" si="63"/>
        <v>8</v>
      </c>
      <c r="AH219" s="46">
        <f t="shared" si="63"/>
        <v>8</v>
      </c>
      <c r="AI219" s="46">
        <f t="shared" si="63"/>
        <v>8</v>
      </c>
      <c r="AJ219" s="46">
        <f t="shared" si="63"/>
        <v>8</v>
      </c>
      <c r="AK219" s="46" t="str">
        <f t="shared" si="63"/>
        <v/>
      </c>
      <c r="AL219" s="46">
        <f t="shared" si="63"/>
        <v>8</v>
      </c>
      <c r="AM219" s="46">
        <f t="shared" si="63"/>
        <v>8</v>
      </c>
      <c r="AN219" s="46" t="str">
        <f t="shared" si="63"/>
        <v/>
      </c>
      <c r="AO219" s="46">
        <f t="shared" si="63"/>
        <v>8</v>
      </c>
      <c r="AP219" s="46">
        <f t="shared" si="63"/>
        <v>8</v>
      </c>
      <c r="AQ219" s="46" t="str">
        <f t="shared" si="63"/>
        <v/>
      </c>
      <c r="AR219" s="46" t="str">
        <f t="shared" si="63"/>
        <v/>
      </c>
      <c r="AS219" s="46" t="str">
        <f t="shared" si="63"/>
        <v/>
      </c>
      <c r="AT219" s="46" t="str">
        <f t="shared" si="63"/>
        <v/>
      </c>
      <c r="AU219" s="46" t="str">
        <f t="shared" si="63"/>
        <v/>
      </c>
      <c r="AV219" s="46" t="str">
        <f t="shared" si="63"/>
        <v/>
      </c>
      <c r="AW219" s="46">
        <f t="shared" si="63"/>
        <v>8</v>
      </c>
      <c r="AX219" s="46" t="str">
        <f t="shared" si="63"/>
        <v/>
      </c>
      <c r="AY219" s="46" t="str">
        <f t="shared" si="63"/>
        <v/>
      </c>
      <c r="AZ219" s="46">
        <f t="shared" si="63"/>
        <v>8</v>
      </c>
      <c r="BA219" s="46">
        <f t="shared" si="63"/>
        <v>8</v>
      </c>
      <c r="BB219" s="46">
        <f t="shared" si="63"/>
        <v>8</v>
      </c>
      <c r="BC219" s="46" t="str">
        <f t="shared" si="63"/>
        <v/>
      </c>
      <c r="BD219" s="46">
        <f t="shared" si="63"/>
        <v>8</v>
      </c>
      <c r="BE219" s="46">
        <f t="shared" si="63"/>
        <v>8</v>
      </c>
      <c r="BF219" s="46" t="str">
        <f t="shared" si="63"/>
        <v/>
      </c>
      <c r="BG219" s="46" t="str">
        <f t="shared" si="63"/>
        <v/>
      </c>
      <c r="BH219" s="46" t="str">
        <f t="shared" si="63"/>
        <v/>
      </c>
      <c r="BI219" s="46">
        <f t="shared" si="63"/>
        <v>8</v>
      </c>
      <c r="BJ219" s="46" t="str">
        <f t="shared" si="63"/>
        <v/>
      </c>
      <c r="BK219" s="46" t="str">
        <f t="shared" si="63"/>
        <v/>
      </c>
      <c r="BL219" s="46" t="str">
        <f t="shared" si="63"/>
        <v/>
      </c>
      <c r="BM219" s="46" t="str">
        <f t="shared" si="63"/>
        <v/>
      </c>
      <c r="BN219" s="46" t="str">
        <f t="shared" si="63"/>
        <v/>
      </c>
      <c r="BO219" s="46" t="str">
        <f t="shared" ref="BO219:DH219" si="64">IF(BO26="X",$DK26,"")</f>
        <v/>
      </c>
      <c r="BP219" s="46" t="str">
        <f t="shared" si="64"/>
        <v/>
      </c>
      <c r="BQ219" s="46" t="str">
        <f t="shared" si="64"/>
        <v/>
      </c>
      <c r="BR219" s="46" t="str">
        <f t="shared" si="64"/>
        <v/>
      </c>
      <c r="BS219" s="46" t="str">
        <f t="shared" si="64"/>
        <v/>
      </c>
      <c r="BT219" s="46" t="str">
        <f t="shared" si="64"/>
        <v/>
      </c>
      <c r="BU219" s="46" t="str">
        <f t="shared" si="64"/>
        <v/>
      </c>
      <c r="BV219" s="46" t="str">
        <f t="shared" si="64"/>
        <v/>
      </c>
      <c r="BW219" s="46" t="str">
        <f t="shared" si="64"/>
        <v/>
      </c>
      <c r="BX219" s="46" t="str">
        <f t="shared" si="64"/>
        <v/>
      </c>
      <c r="BY219" s="46" t="str">
        <f t="shared" si="64"/>
        <v/>
      </c>
      <c r="BZ219" s="46" t="str">
        <f t="shared" si="64"/>
        <v/>
      </c>
      <c r="CA219" s="46" t="str">
        <f t="shared" si="64"/>
        <v/>
      </c>
      <c r="CB219" s="46" t="str">
        <f t="shared" si="64"/>
        <v/>
      </c>
      <c r="CC219" s="46" t="str">
        <f t="shared" si="64"/>
        <v/>
      </c>
      <c r="CD219" s="46" t="str">
        <f t="shared" si="64"/>
        <v/>
      </c>
      <c r="CE219" s="46" t="str">
        <f t="shared" si="64"/>
        <v/>
      </c>
      <c r="CF219" s="46">
        <f t="shared" si="64"/>
        <v>8</v>
      </c>
      <c r="CG219" s="46" t="str">
        <f t="shared" si="64"/>
        <v/>
      </c>
      <c r="CH219" s="46" t="str">
        <f t="shared" si="64"/>
        <v/>
      </c>
      <c r="CI219" s="46" t="str">
        <f t="shared" si="64"/>
        <v/>
      </c>
      <c r="CJ219" s="46" t="str">
        <f t="shared" si="64"/>
        <v/>
      </c>
      <c r="CK219" s="46" t="str">
        <f t="shared" si="64"/>
        <v/>
      </c>
      <c r="CL219" s="46" t="str">
        <f t="shared" si="64"/>
        <v/>
      </c>
      <c r="CM219" s="46" t="str">
        <f t="shared" si="64"/>
        <v/>
      </c>
      <c r="CN219" s="46" t="str">
        <f t="shared" si="64"/>
        <v/>
      </c>
      <c r="CO219" s="46" t="str">
        <f t="shared" si="64"/>
        <v/>
      </c>
      <c r="CP219" s="46" t="str">
        <f t="shared" si="64"/>
        <v/>
      </c>
      <c r="CQ219" s="46" t="str">
        <f t="shared" si="64"/>
        <v/>
      </c>
      <c r="CR219" s="46" t="str">
        <f t="shared" si="64"/>
        <v/>
      </c>
      <c r="CS219" s="46" t="str">
        <f t="shared" si="64"/>
        <v/>
      </c>
      <c r="CT219" s="46" t="str">
        <f t="shared" si="64"/>
        <v/>
      </c>
      <c r="CU219" s="46" t="str">
        <f t="shared" si="64"/>
        <v/>
      </c>
      <c r="CV219" s="46" t="str">
        <f t="shared" si="64"/>
        <v/>
      </c>
      <c r="CW219" s="46" t="str">
        <f t="shared" si="64"/>
        <v/>
      </c>
      <c r="CX219" s="46" t="str">
        <f t="shared" si="64"/>
        <v/>
      </c>
      <c r="CY219" s="46" t="str">
        <f t="shared" si="64"/>
        <v/>
      </c>
      <c r="CZ219" s="46" t="str">
        <f t="shared" si="64"/>
        <v/>
      </c>
      <c r="DA219" s="46" t="str">
        <f t="shared" si="64"/>
        <v/>
      </c>
      <c r="DB219" s="46" t="str">
        <f t="shared" si="64"/>
        <v/>
      </c>
      <c r="DC219" s="46" t="str">
        <f t="shared" si="64"/>
        <v/>
      </c>
      <c r="DD219" s="46" t="str">
        <f t="shared" si="64"/>
        <v/>
      </c>
      <c r="DE219" s="46" t="str">
        <f t="shared" si="64"/>
        <v/>
      </c>
      <c r="DF219" s="46" t="str">
        <f t="shared" si="64"/>
        <v/>
      </c>
      <c r="DG219" s="46" t="str">
        <f t="shared" si="64"/>
        <v/>
      </c>
      <c r="DH219" s="46" t="str">
        <f t="shared" si="64"/>
        <v/>
      </c>
      <c r="DI219" s="46"/>
      <c r="DJ219" s="46"/>
      <c r="DK219" s="46"/>
      <c r="DL219" s="46"/>
      <c r="DM219" s="46"/>
      <c r="DN219" s="46"/>
      <c r="DO219" s="46"/>
      <c r="DP219" s="46"/>
      <c r="DQ219" s="46"/>
      <c r="DR219" s="46"/>
      <c r="DS219" s="46"/>
      <c r="DT219" s="46"/>
      <c r="DU219" s="46"/>
      <c r="DV219" s="46"/>
      <c r="DW219" s="9"/>
      <c r="DX219" s="1"/>
    </row>
    <row r="220" spans="1:128" x14ac:dyDescent="0.25">
      <c r="A220" s="46"/>
      <c r="B220" s="46" t="str">
        <f t="shared" si="22"/>
        <v/>
      </c>
      <c r="C220" s="46" t="str">
        <f t="shared" ref="C220:BN220" si="65">IF(C27="X",$DK27,"")</f>
        <v/>
      </c>
      <c r="D220" s="46" t="str">
        <f t="shared" si="65"/>
        <v/>
      </c>
      <c r="E220" s="46" t="str">
        <f t="shared" si="65"/>
        <v/>
      </c>
      <c r="F220" s="46" t="str">
        <f t="shared" si="65"/>
        <v/>
      </c>
      <c r="G220" s="46" t="str">
        <f t="shared" si="65"/>
        <v/>
      </c>
      <c r="H220" s="46" t="str">
        <f t="shared" si="65"/>
        <v/>
      </c>
      <c r="I220" s="46" t="str">
        <f t="shared" si="65"/>
        <v/>
      </c>
      <c r="J220" s="46" t="str">
        <f t="shared" si="65"/>
        <v/>
      </c>
      <c r="K220" s="46" t="str">
        <f t="shared" si="65"/>
        <v/>
      </c>
      <c r="L220" s="46" t="str">
        <f t="shared" si="65"/>
        <v/>
      </c>
      <c r="M220" s="46" t="str">
        <f t="shared" si="65"/>
        <v/>
      </c>
      <c r="N220" s="46" t="str">
        <f t="shared" si="65"/>
        <v/>
      </c>
      <c r="O220" s="46" t="str">
        <f t="shared" si="65"/>
        <v/>
      </c>
      <c r="P220" s="46" t="str">
        <f t="shared" si="65"/>
        <v/>
      </c>
      <c r="Q220" s="46" t="str">
        <f t="shared" si="65"/>
        <v/>
      </c>
      <c r="R220" s="46" t="str">
        <f t="shared" si="65"/>
        <v/>
      </c>
      <c r="S220" s="46" t="str">
        <f t="shared" si="65"/>
        <v/>
      </c>
      <c r="T220" s="46" t="str">
        <f t="shared" si="65"/>
        <v/>
      </c>
      <c r="U220" s="46" t="str">
        <f t="shared" si="65"/>
        <v/>
      </c>
      <c r="V220" s="46" t="str">
        <f t="shared" si="65"/>
        <v/>
      </c>
      <c r="W220" s="46" t="str">
        <f t="shared" si="65"/>
        <v/>
      </c>
      <c r="X220" s="46" t="str">
        <f t="shared" si="65"/>
        <v/>
      </c>
      <c r="Y220" s="46" t="str">
        <f t="shared" si="65"/>
        <v/>
      </c>
      <c r="Z220" s="46" t="str">
        <f t="shared" si="65"/>
        <v/>
      </c>
      <c r="AA220" s="46" t="str">
        <f t="shared" si="65"/>
        <v/>
      </c>
      <c r="AB220" s="46" t="str">
        <f t="shared" si="65"/>
        <v/>
      </c>
      <c r="AC220" s="46" t="str">
        <f t="shared" si="65"/>
        <v/>
      </c>
      <c r="AD220" s="46" t="str">
        <f t="shared" si="65"/>
        <v/>
      </c>
      <c r="AE220" s="46" t="str">
        <f t="shared" si="65"/>
        <v/>
      </c>
      <c r="AF220" s="46" t="str">
        <f t="shared" si="65"/>
        <v/>
      </c>
      <c r="AG220" s="46" t="str">
        <f t="shared" si="65"/>
        <v/>
      </c>
      <c r="AH220" s="46" t="str">
        <f t="shared" si="65"/>
        <v/>
      </c>
      <c r="AI220" s="46" t="str">
        <f t="shared" si="65"/>
        <v/>
      </c>
      <c r="AJ220" s="46" t="str">
        <f t="shared" si="65"/>
        <v/>
      </c>
      <c r="AK220" s="46" t="str">
        <f t="shared" si="65"/>
        <v/>
      </c>
      <c r="AL220" s="46" t="str">
        <f t="shared" si="65"/>
        <v/>
      </c>
      <c r="AM220" s="46" t="str">
        <f t="shared" si="65"/>
        <v/>
      </c>
      <c r="AN220" s="46" t="str">
        <f t="shared" si="65"/>
        <v/>
      </c>
      <c r="AO220" s="46" t="str">
        <f t="shared" si="65"/>
        <v/>
      </c>
      <c r="AP220" s="46" t="str">
        <f t="shared" si="65"/>
        <v/>
      </c>
      <c r="AQ220" s="46" t="str">
        <f t="shared" si="65"/>
        <v/>
      </c>
      <c r="AR220" s="46" t="str">
        <f t="shared" si="65"/>
        <v/>
      </c>
      <c r="AS220" s="46" t="str">
        <f t="shared" si="65"/>
        <v/>
      </c>
      <c r="AT220" s="46" t="str">
        <f t="shared" si="65"/>
        <v/>
      </c>
      <c r="AU220" s="46" t="str">
        <f t="shared" si="65"/>
        <v/>
      </c>
      <c r="AV220" s="46" t="str">
        <f t="shared" si="65"/>
        <v/>
      </c>
      <c r="AW220" s="46" t="str">
        <f t="shared" si="65"/>
        <v/>
      </c>
      <c r="AX220" s="46" t="str">
        <f t="shared" si="65"/>
        <v/>
      </c>
      <c r="AY220" s="46" t="str">
        <f t="shared" si="65"/>
        <v/>
      </c>
      <c r="AZ220" s="46" t="str">
        <f t="shared" si="65"/>
        <v/>
      </c>
      <c r="BA220" s="46" t="str">
        <f t="shared" si="65"/>
        <v/>
      </c>
      <c r="BB220" s="46" t="str">
        <f t="shared" si="65"/>
        <v/>
      </c>
      <c r="BC220" s="46" t="str">
        <f t="shared" si="65"/>
        <v/>
      </c>
      <c r="BD220" s="46" t="str">
        <f t="shared" si="65"/>
        <v/>
      </c>
      <c r="BE220" s="46" t="str">
        <f t="shared" si="65"/>
        <v/>
      </c>
      <c r="BF220" s="46" t="str">
        <f t="shared" si="65"/>
        <v/>
      </c>
      <c r="BG220" s="46" t="str">
        <f t="shared" si="65"/>
        <v/>
      </c>
      <c r="BH220" s="46" t="str">
        <f t="shared" si="65"/>
        <v/>
      </c>
      <c r="BI220" s="46" t="str">
        <f t="shared" si="65"/>
        <v/>
      </c>
      <c r="BJ220" s="46">
        <f t="shared" si="65"/>
        <v>4</v>
      </c>
      <c r="BK220" s="46" t="str">
        <f t="shared" si="65"/>
        <v/>
      </c>
      <c r="BL220" s="46" t="str">
        <f t="shared" si="65"/>
        <v/>
      </c>
      <c r="BM220" s="46" t="str">
        <f t="shared" si="65"/>
        <v/>
      </c>
      <c r="BN220" s="46" t="str">
        <f t="shared" si="65"/>
        <v/>
      </c>
      <c r="BO220" s="46" t="str">
        <f t="shared" ref="BO220:DH220" si="66">IF(BO27="X",$DK27,"")</f>
        <v/>
      </c>
      <c r="BP220" s="46" t="str">
        <f t="shared" si="66"/>
        <v/>
      </c>
      <c r="BQ220" s="46" t="str">
        <f t="shared" si="66"/>
        <v/>
      </c>
      <c r="BR220" s="46" t="str">
        <f t="shared" si="66"/>
        <v/>
      </c>
      <c r="BS220" s="46" t="str">
        <f t="shared" si="66"/>
        <v/>
      </c>
      <c r="BT220" s="46" t="str">
        <f t="shared" si="66"/>
        <v/>
      </c>
      <c r="BU220" s="46" t="str">
        <f t="shared" si="66"/>
        <v/>
      </c>
      <c r="BV220" s="46" t="str">
        <f t="shared" si="66"/>
        <v/>
      </c>
      <c r="BW220" s="46" t="str">
        <f t="shared" si="66"/>
        <v/>
      </c>
      <c r="BX220" s="46" t="str">
        <f t="shared" si="66"/>
        <v/>
      </c>
      <c r="BY220" s="46" t="str">
        <f t="shared" si="66"/>
        <v/>
      </c>
      <c r="BZ220" s="46" t="str">
        <f t="shared" si="66"/>
        <v/>
      </c>
      <c r="CA220" s="46" t="str">
        <f t="shared" si="66"/>
        <v/>
      </c>
      <c r="CB220" s="46" t="str">
        <f t="shared" si="66"/>
        <v/>
      </c>
      <c r="CC220" s="46" t="str">
        <f t="shared" si="66"/>
        <v/>
      </c>
      <c r="CD220" s="46" t="str">
        <f t="shared" si="66"/>
        <v/>
      </c>
      <c r="CE220" s="46" t="str">
        <f t="shared" si="66"/>
        <v/>
      </c>
      <c r="CF220" s="46" t="str">
        <f t="shared" si="66"/>
        <v/>
      </c>
      <c r="CG220" s="46" t="str">
        <f t="shared" si="66"/>
        <v/>
      </c>
      <c r="CH220" s="46" t="str">
        <f t="shared" si="66"/>
        <v/>
      </c>
      <c r="CI220" s="46" t="str">
        <f t="shared" si="66"/>
        <v/>
      </c>
      <c r="CJ220" s="46" t="str">
        <f t="shared" si="66"/>
        <v/>
      </c>
      <c r="CK220" s="46" t="str">
        <f t="shared" si="66"/>
        <v/>
      </c>
      <c r="CL220" s="46" t="str">
        <f t="shared" si="66"/>
        <v/>
      </c>
      <c r="CM220" s="46" t="str">
        <f t="shared" si="66"/>
        <v/>
      </c>
      <c r="CN220" s="46" t="str">
        <f t="shared" si="66"/>
        <v/>
      </c>
      <c r="CO220" s="46" t="str">
        <f t="shared" si="66"/>
        <v/>
      </c>
      <c r="CP220" s="46" t="str">
        <f t="shared" si="66"/>
        <v/>
      </c>
      <c r="CQ220" s="46" t="str">
        <f t="shared" si="66"/>
        <v/>
      </c>
      <c r="CR220" s="46" t="str">
        <f t="shared" si="66"/>
        <v/>
      </c>
      <c r="CS220" s="46" t="str">
        <f t="shared" si="66"/>
        <v/>
      </c>
      <c r="CT220" s="46" t="str">
        <f t="shared" si="66"/>
        <v/>
      </c>
      <c r="CU220" s="46" t="str">
        <f t="shared" si="66"/>
        <v/>
      </c>
      <c r="CV220" s="46" t="str">
        <f t="shared" si="66"/>
        <v/>
      </c>
      <c r="CW220" s="46" t="str">
        <f t="shared" si="66"/>
        <v/>
      </c>
      <c r="CX220" s="46" t="str">
        <f t="shared" si="66"/>
        <v/>
      </c>
      <c r="CY220" s="46" t="str">
        <f t="shared" si="66"/>
        <v/>
      </c>
      <c r="CZ220" s="46" t="str">
        <f t="shared" si="66"/>
        <v/>
      </c>
      <c r="DA220" s="46" t="str">
        <f t="shared" si="66"/>
        <v/>
      </c>
      <c r="DB220" s="46" t="str">
        <f t="shared" si="66"/>
        <v/>
      </c>
      <c r="DC220" s="46" t="str">
        <f t="shared" si="66"/>
        <v/>
      </c>
      <c r="DD220" s="46" t="str">
        <f t="shared" si="66"/>
        <v/>
      </c>
      <c r="DE220" s="46" t="str">
        <f t="shared" si="66"/>
        <v/>
      </c>
      <c r="DF220" s="46" t="str">
        <f t="shared" si="66"/>
        <v/>
      </c>
      <c r="DG220" s="46" t="str">
        <f t="shared" si="66"/>
        <v/>
      </c>
      <c r="DH220" s="46" t="str">
        <f t="shared" si="66"/>
        <v/>
      </c>
      <c r="DI220" s="46"/>
      <c r="DJ220" s="46"/>
      <c r="DK220" s="46"/>
      <c r="DL220" s="46"/>
      <c r="DM220" s="46"/>
      <c r="DN220" s="46"/>
      <c r="DO220" s="46"/>
      <c r="DP220" s="46"/>
      <c r="DQ220" s="46"/>
      <c r="DR220" s="46"/>
      <c r="DS220" s="46"/>
      <c r="DT220" s="46"/>
      <c r="DU220" s="46"/>
      <c r="DV220" s="46"/>
      <c r="DW220" s="9"/>
      <c r="DX220" s="1"/>
    </row>
    <row r="221" spans="1:128" x14ac:dyDescent="0.25">
      <c r="A221" s="46"/>
      <c r="B221" s="46" t="str">
        <f t="shared" si="22"/>
        <v/>
      </c>
      <c r="C221" s="46" t="str">
        <f t="shared" ref="C221:BN221" si="67">IF(C28="X",$DK28,"")</f>
        <v/>
      </c>
      <c r="D221" s="46" t="str">
        <f t="shared" si="67"/>
        <v/>
      </c>
      <c r="E221" s="46" t="str">
        <f t="shared" si="67"/>
        <v/>
      </c>
      <c r="F221" s="46" t="str">
        <f t="shared" si="67"/>
        <v/>
      </c>
      <c r="G221" s="46" t="str">
        <f t="shared" si="67"/>
        <v/>
      </c>
      <c r="H221" s="46" t="str">
        <f t="shared" si="67"/>
        <v/>
      </c>
      <c r="I221" s="46" t="str">
        <f t="shared" si="67"/>
        <v/>
      </c>
      <c r="J221" s="46" t="str">
        <f t="shared" si="67"/>
        <v/>
      </c>
      <c r="K221" s="46">
        <f t="shared" si="67"/>
        <v>4</v>
      </c>
      <c r="L221" s="46" t="str">
        <f t="shared" si="67"/>
        <v/>
      </c>
      <c r="M221" s="46" t="str">
        <f t="shared" si="67"/>
        <v/>
      </c>
      <c r="N221" s="46" t="str">
        <f t="shared" si="67"/>
        <v/>
      </c>
      <c r="O221" s="46" t="str">
        <f t="shared" si="67"/>
        <v/>
      </c>
      <c r="P221" s="46" t="str">
        <f t="shared" si="67"/>
        <v/>
      </c>
      <c r="Q221" s="46" t="str">
        <f t="shared" si="67"/>
        <v/>
      </c>
      <c r="R221" s="46" t="str">
        <f t="shared" si="67"/>
        <v/>
      </c>
      <c r="S221" s="46" t="str">
        <f t="shared" si="67"/>
        <v/>
      </c>
      <c r="T221" s="46" t="str">
        <f t="shared" si="67"/>
        <v/>
      </c>
      <c r="U221" s="46" t="str">
        <f t="shared" si="67"/>
        <v/>
      </c>
      <c r="V221" s="46">
        <f t="shared" si="67"/>
        <v>4</v>
      </c>
      <c r="W221" s="46" t="str">
        <f t="shared" si="67"/>
        <v/>
      </c>
      <c r="X221" s="46" t="str">
        <f t="shared" si="67"/>
        <v/>
      </c>
      <c r="Y221" s="46" t="str">
        <f t="shared" si="67"/>
        <v/>
      </c>
      <c r="Z221" s="46" t="str">
        <f t="shared" si="67"/>
        <v/>
      </c>
      <c r="AA221" s="46" t="str">
        <f t="shared" si="67"/>
        <v/>
      </c>
      <c r="AB221" s="46" t="str">
        <f t="shared" si="67"/>
        <v/>
      </c>
      <c r="AC221" s="46" t="str">
        <f t="shared" si="67"/>
        <v/>
      </c>
      <c r="AD221" s="46" t="str">
        <f t="shared" si="67"/>
        <v/>
      </c>
      <c r="AE221" s="46" t="str">
        <f t="shared" si="67"/>
        <v/>
      </c>
      <c r="AF221" s="46" t="str">
        <f t="shared" si="67"/>
        <v/>
      </c>
      <c r="AG221" s="46" t="str">
        <f t="shared" si="67"/>
        <v/>
      </c>
      <c r="AH221" s="46" t="str">
        <f t="shared" si="67"/>
        <v/>
      </c>
      <c r="AI221" s="46" t="str">
        <f t="shared" si="67"/>
        <v/>
      </c>
      <c r="AJ221" s="46">
        <f t="shared" si="67"/>
        <v>4</v>
      </c>
      <c r="AK221" s="46" t="str">
        <f t="shared" si="67"/>
        <v/>
      </c>
      <c r="AL221" s="46" t="str">
        <f t="shared" si="67"/>
        <v/>
      </c>
      <c r="AM221" s="46" t="str">
        <f t="shared" si="67"/>
        <v/>
      </c>
      <c r="AN221" s="46" t="str">
        <f t="shared" si="67"/>
        <v/>
      </c>
      <c r="AO221" s="46" t="str">
        <f t="shared" si="67"/>
        <v/>
      </c>
      <c r="AP221" s="46" t="str">
        <f t="shared" si="67"/>
        <v/>
      </c>
      <c r="AQ221" s="46" t="str">
        <f t="shared" si="67"/>
        <v/>
      </c>
      <c r="AR221" s="46" t="str">
        <f t="shared" si="67"/>
        <v/>
      </c>
      <c r="AS221" s="46" t="str">
        <f t="shared" si="67"/>
        <v/>
      </c>
      <c r="AT221" s="46" t="str">
        <f t="shared" si="67"/>
        <v/>
      </c>
      <c r="AU221" s="46" t="str">
        <f t="shared" si="67"/>
        <v/>
      </c>
      <c r="AV221" s="46" t="str">
        <f t="shared" si="67"/>
        <v/>
      </c>
      <c r="AW221" s="46" t="str">
        <f t="shared" si="67"/>
        <v/>
      </c>
      <c r="AX221" s="46" t="str">
        <f t="shared" si="67"/>
        <v/>
      </c>
      <c r="AY221" s="46" t="str">
        <f t="shared" si="67"/>
        <v/>
      </c>
      <c r="AZ221" s="46" t="str">
        <f t="shared" si="67"/>
        <v/>
      </c>
      <c r="BA221" s="46" t="str">
        <f t="shared" si="67"/>
        <v/>
      </c>
      <c r="BB221" s="46" t="str">
        <f t="shared" si="67"/>
        <v/>
      </c>
      <c r="BC221" s="46" t="str">
        <f t="shared" si="67"/>
        <v/>
      </c>
      <c r="BD221" s="46" t="str">
        <f t="shared" si="67"/>
        <v/>
      </c>
      <c r="BE221" s="46" t="str">
        <f t="shared" si="67"/>
        <v/>
      </c>
      <c r="BF221" s="46" t="str">
        <f t="shared" si="67"/>
        <v/>
      </c>
      <c r="BG221" s="46" t="str">
        <f t="shared" si="67"/>
        <v/>
      </c>
      <c r="BH221" s="46" t="str">
        <f t="shared" si="67"/>
        <v/>
      </c>
      <c r="BI221" s="46" t="str">
        <f t="shared" si="67"/>
        <v/>
      </c>
      <c r="BJ221" s="46" t="str">
        <f t="shared" si="67"/>
        <v/>
      </c>
      <c r="BK221" s="46" t="str">
        <f t="shared" si="67"/>
        <v/>
      </c>
      <c r="BL221" s="46" t="str">
        <f t="shared" si="67"/>
        <v/>
      </c>
      <c r="BM221" s="46" t="str">
        <f t="shared" si="67"/>
        <v/>
      </c>
      <c r="BN221" s="46" t="str">
        <f t="shared" si="67"/>
        <v/>
      </c>
      <c r="BO221" s="46">
        <f t="shared" ref="BO221:DH221" si="68">IF(BO28="X",$DK28,"")</f>
        <v>4</v>
      </c>
      <c r="BP221" s="46" t="str">
        <f t="shared" si="68"/>
        <v/>
      </c>
      <c r="BQ221" s="46" t="str">
        <f t="shared" si="68"/>
        <v/>
      </c>
      <c r="BR221" s="46" t="str">
        <f t="shared" si="68"/>
        <v/>
      </c>
      <c r="BS221" s="46" t="str">
        <f t="shared" si="68"/>
        <v/>
      </c>
      <c r="BT221" s="46" t="str">
        <f t="shared" si="68"/>
        <v/>
      </c>
      <c r="BU221" s="46" t="str">
        <f t="shared" si="68"/>
        <v/>
      </c>
      <c r="BV221" s="46" t="str">
        <f t="shared" si="68"/>
        <v/>
      </c>
      <c r="BW221" s="46" t="str">
        <f t="shared" si="68"/>
        <v/>
      </c>
      <c r="BX221" s="46" t="str">
        <f t="shared" si="68"/>
        <v/>
      </c>
      <c r="BY221" s="46" t="str">
        <f t="shared" si="68"/>
        <v/>
      </c>
      <c r="BZ221" s="46" t="str">
        <f t="shared" si="68"/>
        <v/>
      </c>
      <c r="CA221" s="46" t="str">
        <f t="shared" si="68"/>
        <v/>
      </c>
      <c r="CB221" s="46" t="str">
        <f t="shared" si="68"/>
        <v/>
      </c>
      <c r="CC221" s="46" t="str">
        <f t="shared" si="68"/>
        <v/>
      </c>
      <c r="CD221" s="46" t="str">
        <f t="shared" si="68"/>
        <v/>
      </c>
      <c r="CE221" s="46" t="str">
        <f t="shared" si="68"/>
        <v/>
      </c>
      <c r="CF221" s="46" t="str">
        <f t="shared" si="68"/>
        <v/>
      </c>
      <c r="CG221" s="46" t="str">
        <f t="shared" si="68"/>
        <v/>
      </c>
      <c r="CH221" s="46" t="str">
        <f t="shared" si="68"/>
        <v/>
      </c>
      <c r="CI221" s="46" t="str">
        <f t="shared" si="68"/>
        <v/>
      </c>
      <c r="CJ221" s="46" t="str">
        <f t="shared" si="68"/>
        <v/>
      </c>
      <c r="CK221" s="46" t="str">
        <f t="shared" si="68"/>
        <v/>
      </c>
      <c r="CL221" s="46" t="str">
        <f t="shared" si="68"/>
        <v/>
      </c>
      <c r="CM221" s="46" t="str">
        <f t="shared" si="68"/>
        <v/>
      </c>
      <c r="CN221" s="46" t="str">
        <f t="shared" si="68"/>
        <v/>
      </c>
      <c r="CO221" s="46" t="str">
        <f t="shared" si="68"/>
        <v/>
      </c>
      <c r="CP221" s="46" t="str">
        <f t="shared" si="68"/>
        <v/>
      </c>
      <c r="CQ221" s="46" t="str">
        <f t="shared" si="68"/>
        <v/>
      </c>
      <c r="CR221" s="46" t="str">
        <f t="shared" si="68"/>
        <v/>
      </c>
      <c r="CS221" s="46" t="str">
        <f t="shared" si="68"/>
        <v/>
      </c>
      <c r="CT221" s="46" t="str">
        <f t="shared" si="68"/>
        <v/>
      </c>
      <c r="CU221" s="46" t="str">
        <f t="shared" si="68"/>
        <v/>
      </c>
      <c r="CV221" s="46" t="str">
        <f t="shared" si="68"/>
        <v/>
      </c>
      <c r="CW221" s="46" t="str">
        <f t="shared" si="68"/>
        <v/>
      </c>
      <c r="CX221" s="46" t="str">
        <f t="shared" si="68"/>
        <v/>
      </c>
      <c r="CY221" s="46" t="str">
        <f t="shared" si="68"/>
        <v/>
      </c>
      <c r="CZ221" s="46" t="str">
        <f t="shared" si="68"/>
        <v/>
      </c>
      <c r="DA221" s="46" t="str">
        <f t="shared" si="68"/>
        <v/>
      </c>
      <c r="DB221" s="46" t="str">
        <f t="shared" si="68"/>
        <v/>
      </c>
      <c r="DC221" s="46" t="str">
        <f t="shared" si="68"/>
        <v/>
      </c>
      <c r="DD221" s="46" t="str">
        <f t="shared" si="68"/>
        <v/>
      </c>
      <c r="DE221" s="46" t="str">
        <f t="shared" si="68"/>
        <v/>
      </c>
      <c r="DF221" s="46" t="str">
        <f t="shared" si="68"/>
        <v/>
      </c>
      <c r="DG221" s="46" t="str">
        <f t="shared" si="68"/>
        <v/>
      </c>
      <c r="DH221" s="46" t="str">
        <f t="shared" si="68"/>
        <v/>
      </c>
      <c r="DI221" s="46"/>
      <c r="DJ221" s="46"/>
      <c r="DK221" s="46"/>
      <c r="DL221" s="46"/>
      <c r="DM221" s="46"/>
      <c r="DN221" s="46"/>
      <c r="DO221" s="46"/>
      <c r="DP221" s="46"/>
      <c r="DQ221" s="46"/>
      <c r="DR221" s="46"/>
      <c r="DS221" s="46"/>
      <c r="DT221" s="46"/>
      <c r="DU221" s="46"/>
      <c r="DV221" s="46"/>
      <c r="DW221" s="9"/>
      <c r="DX221" s="1"/>
    </row>
    <row r="222" spans="1:128" x14ac:dyDescent="0.25">
      <c r="A222" s="46"/>
      <c r="B222" s="46" t="str">
        <f t="shared" si="22"/>
        <v/>
      </c>
      <c r="C222" s="46">
        <f t="shared" ref="C222:BN222" si="69">IF(C29="X",$DK29,"")</f>
        <v>4</v>
      </c>
      <c r="D222" s="46" t="str">
        <f t="shared" si="69"/>
        <v/>
      </c>
      <c r="E222" s="46" t="str">
        <f t="shared" si="69"/>
        <v/>
      </c>
      <c r="F222" s="46" t="str">
        <f t="shared" si="69"/>
        <v/>
      </c>
      <c r="G222" s="46" t="str">
        <f t="shared" si="69"/>
        <v/>
      </c>
      <c r="H222" s="46" t="str">
        <f t="shared" si="69"/>
        <v/>
      </c>
      <c r="I222" s="46" t="str">
        <f t="shared" si="69"/>
        <v/>
      </c>
      <c r="J222" s="46" t="str">
        <f t="shared" si="69"/>
        <v/>
      </c>
      <c r="K222" s="46">
        <f t="shared" si="69"/>
        <v>4</v>
      </c>
      <c r="L222" s="46" t="str">
        <f t="shared" si="69"/>
        <v/>
      </c>
      <c r="M222" s="46" t="str">
        <f t="shared" si="69"/>
        <v/>
      </c>
      <c r="N222" s="46" t="str">
        <f t="shared" si="69"/>
        <v/>
      </c>
      <c r="O222" s="46" t="str">
        <f t="shared" si="69"/>
        <v/>
      </c>
      <c r="P222" s="46" t="str">
        <f t="shared" si="69"/>
        <v/>
      </c>
      <c r="Q222" s="46" t="str">
        <f t="shared" si="69"/>
        <v/>
      </c>
      <c r="R222" s="46" t="str">
        <f t="shared" si="69"/>
        <v/>
      </c>
      <c r="S222" s="46" t="str">
        <f t="shared" si="69"/>
        <v/>
      </c>
      <c r="T222" s="46" t="str">
        <f t="shared" si="69"/>
        <v/>
      </c>
      <c r="U222" s="46" t="str">
        <f t="shared" si="69"/>
        <v/>
      </c>
      <c r="V222" s="46">
        <f t="shared" si="69"/>
        <v>4</v>
      </c>
      <c r="W222" s="46" t="str">
        <f t="shared" si="69"/>
        <v/>
      </c>
      <c r="X222" s="46" t="str">
        <f t="shared" si="69"/>
        <v/>
      </c>
      <c r="Y222" s="46" t="str">
        <f t="shared" si="69"/>
        <v/>
      </c>
      <c r="Z222" s="46" t="str">
        <f t="shared" si="69"/>
        <v/>
      </c>
      <c r="AA222" s="46" t="str">
        <f t="shared" si="69"/>
        <v/>
      </c>
      <c r="AB222" s="46" t="str">
        <f t="shared" si="69"/>
        <v/>
      </c>
      <c r="AC222" s="46" t="str">
        <f t="shared" si="69"/>
        <v/>
      </c>
      <c r="AD222" s="46" t="str">
        <f t="shared" si="69"/>
        <v/>
      </c>
      <c r="AE222" s="46" t="str">
        <f t="shared" si="69"/>
        <v/>
      </c>
      <c r="AF222" s="46" t="str">
        <f t="shared" si="69"/>
        <v/>
      </c>
      <c r="AG222" s="46" t="str">
        <f t="shared" si="69"/>
        <v/>
      </c>
      <c r="AH222" s="46" t="str">
        <f t="shared" si="69"/>
        <v/>
      </c>
      <c r="AI222" s="46" t="str">
        <f t="shared" si="69"/>
        <v/>
      </c>
      <c r="AJ222" s="46" t="str">
        <f t="shared" si="69"/>
        <v/>
      </c>
      <c r="AK222" s="46" t="str">
        <f t="shared" si="69"/>
        <v/>
      </c>
      <c r="AL222" s="46" t="str">
        <f t="shared" si="69"/>
        <v/>
      </c>
      <c r="AM222" s="46" t="str">
        <f t="shared" si="69"/>
        <v/>
      </c>
      <c r="AN222" s="46" t="str">
        <f t="shared" si="69"/>
        <v/>
      </c>
      <c r="AO222" s="46" t="str">
        <f t="shared" si="69"/>
        <v/>
      </c>
      <c r="AP222" s="46" t="str">
        <f t="shared" si="69"/>
        <v/>
      </c>
      <c r="AQ222" s="46" t="str">
        <f t="shared" si="69"/>
        <v/>
      </c>
      <c r="AR222" s="46" t="str">
        <f t="shared" si="69"/>
        <v/>
      </c>
      <c r="AS222" s="46" t="str">
        <f t="shared" si="69"/>
        <v/>
      </c>
      <c r="AT222" s="46" t="str">
        <f t="shared" si="69"/>
        <v/>
      </c>
      <c r="AU222" s="46" t="str">
        <f t="shared" si="69"/>
        <v/>
      </c>
      <c r="AV222" s="46" t="str">
        <f t="shared" si="69"/>
        <v/>
      </c>
      <c r="AW222" s="46" t="str">
        <f t="shared" si="69"/>
        <v/>
      </c>
      <c r="AX222" s="46" t="str">
        <f t="shared" si="69"/>
        <v/>
      </c>
      <c r="AY222" s="46" t="str">
        <f t="shared" si="69"/>
        <v/>
      </c>
      <c r="AZ222" s="46" t="str">
        <f t="shared" si="69"/>
        <v/>
      </c>
      <c r="BA222" s="46" t="str">
        <f t="shared" si="69"/>
        <v/>
      </c>
      <c r="BB222" s="46" t="str">
        <f t="shared" si="69"/>
        <v/>
      </c>
      <c r="BC222" s="46" t="str">
        <f t="shared" si="69"/>
        <v/>
      </c>
      <c r="BD222" s="46" t="str">
        <f t="shared" si="69"/>
        <v/>
      </c>
      <c r="BE222" s="46" t="str">
        <f t="shared" si="69"/>
        <v/>
      </c>
      <c r="BF222" s="46" t="str">
        <f t="shared" si="69"/>
        <v/>
      </c>
      <c r="BG222" s="46" t="str">
        <f t="shared" si="69"/>
        <v/>
      </c>
      <c r="BH222" s="46" t="str">
        <f t="shared" si="69"/>
        <v/>
      </c>
      <c r="BI222" s="46" t="str">
        <f t="shared" si="69"/>
        <v/>
      </c>
      <c r="BJ222" s="46" t="str">
        <f t="shared" si="69"/>
        <v/>
      </c>
      <c r="BK222" s="46" t="str">
        <f t="shared" si="69"/>
        <v/>
      </c>
      <c r="BL222" s="46" t="str">
        <f t="shared" si="69"/>
        <v/>
      </c>
      <c r="BM222" s="46" t="str">
        <f t="shared" si="69"/>
        <v/>
      </c>
      <c r="BN222" s="46">
        <f t="shared" si="69"/>
        <v>4</v>
      </c>
      <c r="BO222" s="46">
        <f t="shared" ref="BO222:DH222" si="70">IF(BO29="X",$DK29,"")</f>
        <v>4</v>
      </c>
      <c r="BP222" s="46" t="str">
        <f t="shared" si="70"/>
        <v/>
      </c>
      <c r="BQ222" s="46" t="str">
        <f t="shared" si="70"/>
        <v/>
      </c>
      <c r="BR222" s="46" t="str">
        <f t="shared" si="70"/>
        <v/>
      </c>
      <c r="BS222" s="46" t="str">
        <f t="shared" si="70"/>
        <v/>
      </c>
      <c r="BT222" s="46" t="str">
        <f t="shared" si="70"/>
        <v/>
      </c>
      <c r="BU222" s="46" t="str">
        <f t="shared" si="70"/>
        <v/>
      </c>
      <c r="BV222" s="46" t="str">
        <f t="shared" si="70"/>
        <v/>
      </c>
      <c r="BW222" s="46" t="str">
        <f t="shared" si="70"/>
        <v/>
      </c>
      <c r="BX222" s="46" t="str">
        <f t="shared" si="70"/>
        <v/>
      </c>
      <c r="BY222" s="46" t="str">
        <f t="shared" si="70"/>
        <v/>
      </c>
      <c r="BZ222" s="46" t="str">
        <f t="shared" si="70"/>
        <v/>
      </c>
      <c r="CA222" s="46" t="str">
        <f t="shared" si="70"/>
        <v/>
      </c>
      <c r="CB222" s="46" t="str">
        <f t="shared" si="70"/>
        <v/>
      </c>
      <c r="CC222" s="46" t="str">
        <f t="shared" si="70"/>
        <v/>
      </c>
      <c r="CD222" s="46" t="str">
        <f t="shared" si="70"/>
        <v/>
      </c>
      <c r="CE222" s="46" t="str">
        <f t="shared" si="70"/>
        <v/>
      </c>
      <c r="CF222" s="46" t="str">
        <f t="shared" si="70"/>
        <v/>
      </c>
      <c r="CG222" s="46">
        <f t="shared" si="70"/>
        <v>4</v>
      </c>
      <c r="CH222" s="46">
        <f t="shared" si="70"/>
        <v>4</v>
      </c>
      <c r="CI222" s="46" t="str">
        <f t="shared" si="70"/>
        <v/>
      </c>
      <c r="CJ222" s="46" t="str">
        <f t="shared" si="70"/>
        <v/>
      </c>
      <c r="CK222" s="46" t="str">
        <f t="shared" si="70"/>
        <v/>
      </c>
      <c r="CL222" s="46" t="str">
        <f t="shared" si="70"/>
        <v/>
      </c>
      <c r="CM222" s="46" t="str">
        <f t="shared" si="70"/>
        <v/>
      </c>
      <c r="CN222" s="46" t="str">
        <f t="shared" si="70"/>
        <v/>
      </c>
      <c r="CO222" s="46" t="str">
        <f t="shared" si="70"/>
        <v/>
      </c>
      <c r="CP222" s="46" t="str">
        <f t="shared" si="70"/>
        <v/>
      </c>
      <c r="CQ222" s="46" t="str">
        <f t="shared" si="70"/>
        <v/>
      </c>
      <c r="CR222" s="46" t="str">
        <f t="shared" si="70"/>
        <v/>
      </c>
      <c r="CS222" s="46" t="str">
        <f t="shared" si="70"/>
        <v/>
      </c>
      <c r="CT222" s="46" t="str">
        <f t="shared" si="70"/>
        <v/>
      </c>
      <c r="CU222" s="46" t="str">
        <f t="shared" si="70"/>
        <v/>
      </c>
      <c r="CV222" s="46" t="str">
        <f t="shared" si="70"/>
        <v/>
      </c>
      <c r="CW222" s="46" t="str">
        <f t="shared" si="70"/>
        <v/>
      </c>
      <c r="CX222" s="46" t="str">
        <f t="shared" si="70"/>
        <v/>
      </c>
      <c r="CY222" s="46" t="str">
        <f t="shared" si="70"/>
        <v/>
      </c>
      <c r="CZ222" s="46" t="str">
        <f t="shared" si="70"/>
        <v/>
      </c>
      <c r="DA222" s="46" t="str">
        <f t="shared" si="70"/>
        <v/>
      </c>
      <c r="DB222" s="46" t="str">
        <f t="shared" si="70"/>
        <v/>
      </c>
      <c r="DC222" s="46" t="str">
        <f t="shared" si="70"/>
        <v/>
      </c>
      <c r="DD222" s="46" t="str">
        <f t="shared" si="70"/>
        <v/>
      </c>
      <c r="DE222" s="46" t="str">
        <f t="shared" si="70"/>
        <v/>
      </c>
      <c r="DF222" s="46" t="str">
        <f t="shared" si="70"/>
        <v/>
      </c>
      <c r="DG222" s="46" t="str">
        <f t="shared" si="70"/>
        <v/>
      </c>
      <c r="DH222" s="46" t="str">
        <f t="shared" si="70"/>
        <v/>
      </c>
      <c r="DI222" s="46"/>
      <c r="DJ222" s="46"/>
      <c r="DK222" s="46"/>
      <c r="DL222" s="46"/>
      <c r="DM222" s="46"/>
      <c r="DN222" s="46"/>
      <c r="DO222" s="46"/>
      <c r="DP222" s="46"/>
      <c r="DQ222" s="46"/>
      <c r="DR222" s="46"/>
      <c r="DS222" s="46"/>
      <c r="DT222" s="46"/>
      <c r="DU222" s="46"/>
      <c r="DV222" s="46"/>
      <c r="DW222" s="9"/>
      <c r="DX222" s="1"/>
    </row>
    <row r="223" spans="1:128" x14ac:dyDescent="0.25">
      <c r="A223" s="46"/>
      <c r="B223" s="46" t="str">
        <f t="shared" si="22"/>
        <v/>
      </c>
      <c r="C223" s="46" t="str">
        <f t="shared" ref="C223:BN223" si="71">IF(C30="X",$DK30,"")</f>
        <v/>
      </c>
      <c r="D223" s="46" t="str">
        <f t="shared" si="71"/>
        <v/>
      </c>
      <c r="E223" s="46" t="str">
        <f t="shared" si="71"/>
        <v/>
      </c>
      <c r="F223" s="46" t="str">
        <f t="shared" si="71"/>
        <v/>
      </c>
      <c r="G223" s="46" t="str">
        <f t="shared" si="71"/>
        <v/>
      </c>
      <c r="H223" s="46" t="str">
        <f t="shared" si="71"/>
        <v/>
      </c>
      <c r="I223" s="46" t="str">
        <f t="shared" si="71"/>
        <v/>
      </c>
      <c r="J223" s="46" t="str">
        <f t="shared" si="71"/>
        <v/>
      </c>
      <c r="K223" s="46">
        <f t="shared" si="71"/>
        <v>16</v>
      </c>
      <c r="L223" s="46" t="str">
        <f t="shared" si="71"/>
        <v/>
      </c>
      <c r="M223" s="46" t="str">
        <f t="shared" si="71"/>
        <v/>
      </c>
      <c r="N223" s="46" t="str">
        <f t="shared" si="71"/>
        <v/>
      </c>
      <c r="O223" s="46" t="str">
        <f t="shared" si="71"/>
        <v/>
      </c>
      <c r="P223" s="46" t="str">
        <f t="shared" si="71"/>
        <v/>
      </c>
      <c r="Q223" s="46" t="str">
        <f t="shared" si="71"/>
        <v/>
      </c>
      <c r="R223" s="46" t="str">
        <f t="shared" si="71"/>
        <v/>
      </c>
      <c r="S223" s="46" t="str">
        <f t="shared" si="71"/>
        <v/>
      </c>
      <c r="T223" s="46" t="str">
        <f t="shared" si="71"/>
        <v/>
      </c>
      <c r="U223" s="46" t="str">
        <f t="shared" si="71"/>
        <v/>
      </c>
      <c r="V223" s="46">
        <f t="shared" si="71"/>
        <v>16</v>
      </c>
      <c r="W223" s="46" t="str">
        <f t="shared" si="71"/>
        <v/>
      </c>
      <c r="X223" s="46" t="str">
        <f t="shared" si="71"/>
        <v/>
      </c>
      <c r="Y223" s="46" t="str">
        <f t="shared" si="71"/>
        <v/>
      </c>
      <c r="Z223" s="46" t="str">
        <f t="shared" si="71"/>
        <v/>
      </c>
      <c r="AA223" s="46" t="str">
        <f t="shared" si="71"/>
        <v/>
      </c>
      <c r="AB223" s="46" t="str">
        <f t="shared" si="71"/>
        <v/>
      </c>
      <c r="AC223" s="46" t="str">
        <f t="shared" si="71"/>
        <v/>
      </c>
      <c r="AD223" s="46" t="str">
        <f t="shared" si="71"/>
        <v/>
      </c>
      <c r="AE223" s="46" t="str">
        <f t="shared" si="71"/>
        <v/>
      </c>
      <c r="AF223" s="46" t="str">
        <f t="shared" si="71"/>
        <v/>
      </c>
      <c r="AG223" s="46" t="str">
        <f t="shared" si="71"/>
        <v/>
      </c>
      <c r="AH223" s="46" t="str">
        <f t="shared" si="71"/>
        <v/>
      </c>
      <c r="AI223" s="46" t="str">
        <f t="shared" si="71"/>
        <v/>
      </c>
      <c r="AJ223" s="46" t="str">
        <f t="shared" si="71"/>
        <v/>
      </c>
      <c r="AK223" s="46" t="str">
        <f t="shared" si="71"/>
        <v/>
      </c>
      <c r="AL223" s="46" t="str">
        <f t="shared" si="71"/>
        <v/>
      </c>
      <c r="AM223" s="46" t="str">
        <f t="shared" si="71"/>
        <v/>
      </c>
      <c r="AN223" s="46" t="str">
        <f t="shared" si="71"/>
        <v/>
      </c>
      <c r="AO223" s="46" t="str">
        <f t="shared" si="71"/>
        <v/>
      </c>
      <c r="AP223" s="46" t="str">
        <f t="shared" si="71"/>
        <v/>
      </c>
      <c r="AQ223" s="46" t="str">
        <f t="shared" si="71"/>
        <v/>
      </c>
      <c r="AR223" s="46" t="str">
        <f t="shared" si="71"/>
        <v/>
      </c>
      <c r="AS223" s="46" t="str">
        <f t="shared" si="71"/>
        <v/>
      </c>
      <c r="AT223" s="46" t="str">
        <f t="shared" si="71"/>
        <v/>
      </c>
      <c r="AU223" s="46" t="str">
        <f t="shared" si="71"/>
        <v/>
      </c>
      <c r="AV223" s="46" t="str">
        <f t="shared" si="71"/>
        <v/>
      </c>
      <c r="AW223" s="46" t="str">
        <f t="shared" si="71"/>
        <v/>
      </c>
      <c r="AX223" s="46" t="str">
        <f t="shared" si="71"/>
        <v/>
      </c>
      <c r="AY223" s="46" t="str">
        <f t="shared" si="71"/>
        <v/>
      </c>
      <c r="AZ223" s="46" t="str">
        <f t="shared" si="71"/>
        <v/>
      </c>
      <c r="BA223" s="46" t="str">
        <f t="shared" si="71"/>
        <v/>
      </c>
      <c r="BB223" s="46" t="str">
        <f t="shared" si="71"/>
        <v/>
      </c>
      <c r="BC223" s="46" t="str">
        <f t="shared" si="71"/>
        <v/>
      </c>
      <c r="BD223" s="46" t="str">
        <f t="shared" si="71"/>
        <v/>
      </c>
      <c r="BE223" s="46" t="str">
        <f t="shared" si="71"/>
        <v/>
      </c>
      <c r="BF223" s="46" t="str">
        <f t="shared" si="71"/>
        <v/>
      </c>
      <c r="BG223" s="46" t="str">
        <f t="shared" si="71"/>
        <v/>
      </c>
      <c r="BH223" s="46" t="str">
        <f t="shared" si="71"/>
        <v/>
      </c>
      <c r="BI223" s="46" t="str">
        <f t="shared" si="71"/>
        <v/>
      </c>
      <c r="BJ223" s="46" t="str">
        <f t="shared" si="71"/>
        <v/>
      </c>
      <c r="BK223" s="46" t="str">
        <f t="shared" si="71"/>
        <v/>
      </c>
      <c r="BL223" s="46" t="str">
        <f t="shared" si="71"/>
        <v/>
      </c>
      <c r="BM223" s="46" t="str">
        <f t="shared" si="71"/>
        <v/>
      </c>
      <c r="BN223" s="46">
        <f t="shared" si="71"/>
        <v>16</v>
      </c>
      <c r="BO223" s="46">
        <f t="shared" ref="BO223:DH223" si="72">IF(BO30="X",$DK30,"")</f>
        <v>16</v>
      </c>
      <c r="BP223" s="46" t="str">
        <f t="shared" si="72"/>
        <v/>
      </c>
      <c r="BQ223" s="46" t="str">
        <f t="shared" si="72"/>
        <v/>
      </c>
      <c r="BR223" s="46" t="str">
        <f t="shared" si="72"/>
        <v/>
      </c>
      <c r="BS223" s="46" t="str">
        <f t="shared" si="72"/>
        <v/>
      </c>
      <c r="BT223" s="46" t="str">
        <f t="shared" si="72"/>
        <v/>
      </c>
      <c r="BU223" s="46" t="str">
        <f t="shared" si="72"/>
        <v/>
      </c>
      <c r="BV223" s="46" t="str">
        <f t="shared" si="72"/>
        <v/>
      </c>
      <c r="BW223" s="46" t="str">
        <f t="shared" si="72"/>
        <v/>
      </c>
      <c r="BX223" s="46" t="str">
        <f t="shared" si="72"/>
        <v/>
      </c>
      <c r="BY223" s="46" t="str">
        <f t="shared" si="72"/>
        <v/>
      </c>
      <c r="BZ223" s="46" t="str">
        <f t="shared" si="72"/>
        <v/>
      </c>
      <c r="CA223" s="46" t="str">
        <f t="shared" si="72"/>
        <v/>
      </c>
      <c r="CB223" s="46" t="str">
        <f t="shared" si="72"/>
        <v/>
      </c>
      <c r="CC223" s="46" t="str">
        <f t="shared" si="72"/>
        <v/>
      </c>
      <c r="CD223" s="46" t="str">
        <f t="shared" si="72"/>
        <v/>
      </c>
      <c r="CE223" s="46" t="str">
        <f t="shared" si="72"/>
        <v/>
      </c>
      <c r="CF223" s="46" t="str">
        <f t="shared" si="72"/>
        <v/>
      </c>
      <c r="CG223" s="46">
        <f t="shared" si="72"/>
        <v>16</v>
      </c>
      <c r="CH223" s="46">
        <f t="shared" si="72"/>
        <v>16</v>
      </c>
      <c r="CI223" s="46" t="str">
        <f t="shared" si="72"/>
        <v/>
      </c>
      <c r="CJ223" s="46" t="str">
        <f t="shared" si="72"/>
        <v/>
      </c>
      <c r="CK223" s="46" t="str">
        <f t="shared" si="72"/>
        <v/>
      </c>
      <c r="CL223" s="46" t="str">
        <f t="shared" si="72"/>
        <v/>
      </c>
      <c r="CM223" s="46" t="str">
        <f t="shared" si="72"/>
        <v/>
      </c>
      <c r="CN223" s="46" t="str">
        <f t="shared" si="72"/>
        <v/>
      </c>
      <c r="CO223" s="46" t="str">
        <f t="shared" si="72"/>
        <v/>
      </c>
      <c r="CP223" s="46" t="str">
        <f t="shared" si="72"/>
        <v/>
      </c>
      <c r="CQ223" s="46" t="str">
        <f t="shared" si="72"/>
        <v/>
      </c>
      <c r="CR223" s="46" t="str">
        <f t="shared" si="72"/>
        <v/>
      </c>
      <c r="CS223" s="46" t="str">
        <f t="shared" si="72"/>
        <v/>
      </c>
      <c r="CT223" s="46" t="str">
        <f t="shared" si="72"/>
        <v/>
      </c>
      <c r="CU223" s="46" t="str">
        <f t="shared" si="72"/>
        <v/>
      </c>
      <c r="CV223" s="46" t="str">
        <f t="shared" si="72"/>
        <v/>
      </c>
      <c r="CW223" s="46" t="str">
        <f t="shared" si="72"/>
        <v/>
      </c>
      <c r="CX223" s="46" t="str">
        <f t="shared" si="72"/>
        <v/>
      </c>
      <c r="CY223" s="46" t="str">
        <f t="shared" si="72"/>
        <v/>
      </c>
      <c r="CZ223" s="46" t="str">
        <f t="shared" si="72"/>
        <v/>
      </c>
      <c r="DA223" s="46" t="str">
        <f t="shared" si="72"/>
        <v/>
      </c>
      <c r="DB223" s="46" t="str">
        <f t="shared" si="72"/>
        <v/>
      </c>
      <c r="DC223" s="46" t="str">
        <f t="shared" si="72"/>
        <v/>
      </c>
      <c r="DD223" s="46" t="str">
        <f t="shared" si="72"/>
        <v/>
      </c>
      <c r="DE223" s="46" t="str">
        <f t="shared" si="72"/>
        <v/>
      </c>
      <c r="DF223" s="46" t="str">
        <f t="shared" si="72"/>
        <v/>
      </c>
      <c r="DG223" s="46" t="str">
        <f t="shared" si="72"/>
        <v/>
      </c>
      <c r="DH223" s="46" t="str">
        <f t="shared" si="72"/>
        <v/>
      </c>
      <c r="DI223" s="46"/>
      <c r="DJ223" s="46"/>
      <c r="DK223" s="46"/>
      <c r="DL223" s="46"/>
      <c r="DM223" s="46"/>
      <c r="DN223" s="46"/>
      <c r="DO223" s="46"/>
      <c r="DP223" s="46"/>
      <c r="DQ223" s="46"/>
      <c r="DR223" s="46"/>
      <c r="DS223" s="46"/>
      <c r="DT223" s="46"/>
      <c r="DU223" s="46"/>
      <c r="DV223" s="46"/>
      <c r="DW223" s="9"/>
      <c r="DX223" s="1"/>
    </row>
    <row r="224" spans="1:128" x14ac:dyDescent="0.25">
      <c r="A224" s="46"/>
      <c r="B224" s="46" t="str">
        <f t="shared" si="22"/>
        <v/>
      </c>
      <c r="C224" s="46" t="str">
        <f t="shared" ref="C224:BN224" si="73">IF(C31="X",$DK31,"")</f>
        <v/>
      </c>
      <c r="D224" s="46" t="str">
        <f t="shared" si="73"/>
        <v/>
      </c>
      <c r="E224" s="46" t="str">
        <f t="shared" si="73"/>
        <v/>
      </c>
      <c r="F224" s="46" t="str">
        <f t="shared" si="73"/>
        <v/>
      </c>
      <c r="G224" s="46" t="str">
        <f t="shared" si="73"/>
        <v/>
      </c>
      <c r="H224" s="46" t="str">
        <f t="shared" si="73"/>
        <v/>
      </c>
      <c r="I224" s="46" t="str">
        <f t="shared" si="73"/>
        <v/>
      </c>
      <c r="J224" s="46" t="str">
        <f t="shared" si="73"/>
        <v/>
      </c>
      <c r="K224" s="46">
        <f t="shared" si="73"/>
        <v>8</v>
      </c>
      <c r="L224" s="46" t="str">
        <f t="shared" si="73"/>
        <v/>
      </c>
      <c r="M224" s="46" t="str">
        <f t="shared" si="73"/>
        <v/>
      </c>
      <c r="N224" s="46" t="str">
        <f t="shared" si="73"/>
        <v/>
      </c>
      <c r="O224" s="46">
        <f t="shared" si="73"/>
        <v>8</v>
      </c>
      <c r="P224" s="46">
        <f t="shared" si="73"/>
        <v>8</v>
      </c>
      <c r="Q224" s="46">
        <f t="shared" si="73"/>
        <v>8</v>
      </c>
      <c r="R224" s="46">
        <f t="shared" si="73"/>
        <v>8</v>
      </c>
      <c r="S224" s="46" t="str">
        <f t="shared" si="73"/>
        <v/>
      </c>
      <c r="T224" s="46" t="str">
        <f t="shared" si="73"/>
        <v/>
      </c>
      <c r="U224" s="46">
        <f t="shared" si="73"/>
        <v>8</v>
      </c>
      <c r="V224" s="46" t="str">
        <f t="shared" si="73"/>
        <v/>
      </c>
      <c r="W224" s="46">
        <f t="shared" si="73"/>
        <v>8</v>
      </c>
      <c r="X224" s="46" t="str">
        <f t="shared" si="73"/>
        <v/>
      </c>
      <c r="Y224" s="46" t="str">
        <f t="shared" si="73"/>
        <v/>
      </c>
      <c r="Z224" s="46">
        <f t="shared" si="73"/>
        <v>8</v>
      </c>
      <c r="AA224" s="46">
        <f t="shared" si="73"/>
        <v>8</v>
      </c>
      <c r="AB224" s="46">
        <f t="shared" si="73"/>
        <v>8</v>
      </c>
      <c r="AC224" s="46">
        <f t="shared" si="73"/>
        <v>8</v>
      </c>
      <c r="AD224" s="46" t="str">
        <f t="shared" si="73"/>
        <v/>
      </c>
      <c r="AE224" s="46" t="str">
        <f t="shared" si="73"/>
        <v/>
      </c>
      <c r="AF224" s="46" t="str">
        <f t="shared" si="73"/>
        <v/>
      </c>
      <c r="AG224" s="46" t="str">
        <f t="shared" si="73"/>
        <v/>
      </c>
      <c r="AH224" s="46" t="str">
        <f t="shared" si="73"/>
        <v/>
      </c>
      <c r="AI224" s="46" t="str">
        <f t="shared" si="73"/>
        <v/>
      </c>
      <c r="AJ224" s="46" t="str">
        <f t="shared" si="73"/>
        <v/>
      </c>
      <c r="AK224" s="46" t="str">
        <f t="shared" si="73"/>
        <v/>
      </c>
      <c r="AL224" s="46" t="str">
        <f t="shared" si="73"/>
        <v/>
      </c>
      <c r="AM224" s="46" t="str">
        <f t="shared" si="73"/>
        <v/>
      </c>
      <c r="AN224" s="46" t="str">
        <f t="shared" si="73"/>
        <v/>
      </c>
      <c r="AO224" s="46" t="str">
        <f t="shared" si="73"/>
        <v/>
      </c>
      <c r="AP224" s="46" t="str">
        <f t="shared" si="73"/>
        <v/>
      </c>
      <c r="AQ224" s="46" t="str">
        <f t="shared" si="73"/>
        <v/>
      </c>
      <c r="AR224" s="46" t="str">
        <f t="shared" si="73"/>
        <v/>
      </c>
      <c r="AS224" s="46" t="str">
        <f t="shared" si="73"/>
        <v/>
      </c>
      <c r="AT224" s="46" t="str">
        <f t="shared" si="73"/>
        <v/>
      </c>
      <c r="AU224" s="46" t="str">
        <f t="shared" si="73"/>
        <v/>
      </c>
      <c r="AV224" s="46" t="str">
        <f t="shared" si="73"/>
        <v/>
      </c>
      <c r="AW224" s="46" t="str">
        <f t="shared" si="73"/>
        <v/>
      </c>
      <c r="AX224" s="46" t="str">
        <f t="shared" si="73"/>
        <v/>
      </c>
      <c r="AY224" s="46" t="str">
        <f t="shared" si="73"/>
        <v/>
      </c>
      <c r="AZ224" s="46" t="str">
        <f t="shared" si="73"/>
        <v/>
      </c>
      <c r="BA224" s="46" t="str">
        <f t="shared" si="73"/>
        <v/>
      </c>
      <c r="BB224" s="46" t="str">
        <f t="shared" si="73"/>
        <v/>
      </c>
      <c r="BC224" s="46" t="str">
        <f t="shared" si="73"/>
        <v/>
      </c>
      <c r="BD224" s="46" t="str">
        <f t="shared" si="73"/>
        <v/>
      </c>
      <c r="BE224" s="46" t="str">
        <f t="shared" si="73"/>
        <v/>
      </c>
      <c r="BF224" s="46" t="str">
        <f t="shared" si="73"/>
        <v/>
      </c>
      <c r="BG224" s="46" t="str">
        <f t="shared" si="73"/>
        <v/>
      </c>
      <c r="BH224" s="46" t="str">
        <f t="shared" si="73"/>
        <v/>
      </c>
      <c r="BI224" s="46" t="str">
        <f t="shared" si="73"/>
        <v/>
      </c>
      <c r="BJ224" s="46" t="str">
        <f t="shared" si="73"/>
        <v/>
      </c>
      <c r="BK224" s="46" t="str">
        <f t="shared" si="73"/>
        <v/>
      </c>
      <c r="BL224" s="46" t="str">
        <f t="shared" si="73"/>
        <v/>
      </c>
      <c r="BM224" s="46" t="str">
        <f t="shared" si="73"/>
        <v/>
      </c>
      <c r="BN224" s="46" t="str">
        <f t="shared" si="73"/>
        <v/>
      </c>
      <c r="BO224" s="46" t="str">
        <f t="shared" ref="BO224:DH224" si="74">IF(BO31="X",$DK31,"")</f>
        <v/>
      </c>
      <c r="BP224" s="46" t="str">
        <f t="shared" si="74"/>
        <v/>
      </c>
      <c r="BQ224" s="46" t="str">
        <f t="shared" si="74"/>
        <v/>
      </c>
      <c r="BR224" s="46" t="str">
        <f t="shared" si="74"/>
        <v/>
      </c>
      <c r="BS224" s="46" t="str">
        <f t="shared" si="74"/>
        <v/>
      </c>
      <c r="BT224" s="46" t="str">
        <f t="shared" si="74"/>
        <v/>
      </c>
      <c r="BU224" s="46" t="str">
        <f t="shared" si="74"/>
        <v/>
      </c>
      <c r="BV224" s="46" t="str">
        <f t="shared" si="74"/>
        <v/>
      </c>
      <c r="BW224" s="46" t="str">
        <f t="shared" si="74"/>
        <v/>
      </c>
      <c r="BX224" s="46" t="str">
        <f t="shared" si="74"/>
        <v/>
      </c>
      <c r="BY224" s="46" t="str">
        <f t="shared" si="74"/>
        <v/>
      </c>
      <c r="BZ224" s="46" t="str">
        <f t="shared" si="74"/>
        <v/>
      </c>
      <c r="CA224" s="46" t="str">
        <f t="shared" si="74"/>
        <v/>
      </c>
      <c r="CB224" s="46" t="str">
        <f t="shared" si="74"/>
        <v/>
      </c>
      <c r="CC224" s="46" t="str">
        <f t="shared" si="74"/>
        <v/>
      </c>
      <c r="CD224" s="46" t="str">
        <f t="shared" si="74"/>
        <v/>
      </c>
      <c r="CE224" s="46" t="str">
        <f t="shared" si="74"/>
        <v/>
      </c>
      <c r="CF224" s="46" t="str">
        <f t="shared" si="74"/>
        <v/>
      </c>
      <c r="CG224" s="46" t="str">
        <f t="shared" si="74"/>
        <v/>
      </c>
      <c r="CH224" s="46" t="str">
        <f t="shared" si="74"/>
        <v/>
      </c>
      <c r="CI224" s="46" t="str">
        <f t="shared" si="74"/>
        <v/>
      </c>
      <c r="CJ224" s="46" t="str">
        <f t="shared" si="74"/>
        <v/>
      </c>
      <c r="CK224" s="46" t="str">
        <f t="shared" si="74"/>
        <v/>
      </c>
      <c r="CL224" s="46" t="str">
        <f t="shared" si="74"/>
        <v/>
      </c>
      <c r="CM224" s="46" t="str">
        <f t="shared" si="74"/>
        <v/>
      </c>
      <c r="CN224" s="46" t="str">
        <f t="shared" si="74"/>
        <v/>
      </c>
      <c r="CO224" s="46" t="str">
        <f t="shared" si="74"/>
        <v/>
      </c>
      <c r="CP224" s="46" t="str">
        <f t="shared" si="74"/>
        <v/>
      </c>
      <c r="CQ224" s="46" t="str">
        <f t="shared" si="74"/>
        <v/>
      </c>
      <c r="CR224" s="46" t="str">
        <f t="shared" si="74"/>
        <v/>
      </c>
      <c r="CS224" s="46" t="str">
        <f t="shared" si="74"/>
        <v/>
      </c>
      <c r="CT224" s="46" t="str">
        <f t="shared" si="74"/>
        <v/>
      </c>
      <c r="CU224" s="46" t="str">
        <f t="shared" si="74"/>
        <v/>
      </c>
      <c r="CV224" s="46" t="str">
        <f t="shared" si="74"/>
        <v/>
      </c>
      <c r="CW224" s="46" t="str">
        <f t="shared" si="74"/>
        <v/>
      </c>
      <c r="CX224" s="46" t="str">
        <f t="shared" si="74"/>
        <v/>
      </c>
      <c r="CY224" s="46" t="str">
        <f t="shared" si="74"/>
        <v/>
      </c>
      <c r="CZ224" s="46" t="str">
        <f t="shared" si="74"/>
        <v/>
      </c>
      <c r="DA224" s="46" t="str">
        <f t="shared" si="74"/>
        <v/>
      </c>
      <c r="DB224" s="46" t="str">
        <f t="shared" si="74"/>
        <v/>
      </c>
      <c r="DC224" s="46" t="str">
        <f t="shared" si="74"/>
        <v/>
      </c>
      <c r="DD224" s="46" t="str">
        <f t="shared" si="74"/>
        <v/>
      </c>
      <c r="DE224" s="46" t="str">
        <f t="shared" si="74"/>
        <v/>
      </c>
      <c r="DF224" s="46" t="str">
        <f t="shared" si="74"/>
        <v/>
      </c>
      <c r="DG224" s="46" t="str">
        <f t="shared" si="74"/>
        <v/>
      </c>
      <c r="DH224" s="46" t="str">
        <f t="shared" si="74"/>
        <v/>
      </c>
      <c r="DI224" s="46"/>
      <c r="DJ224" s="46"/>
      <c r="DK224" s="46"/>
      <c r="DL224" s="46"/>
      <c r="DM224" s="46"/>
      <c r="DN224" s="46"/>
      <c r="DO224" s="46"/>
      <c r="DP224" s="46"/>
      <c r="DQ224" s="46"/>
      <c r="DR224" s="46"/>
      <c r="DS224" s="46"/>
      <c r="DT224" s="46"/>
      <c r="DU224" s="46"/>
      <c r="DV224" s="46"/>
      <c r="DW224" s="9"/>
      <c r="DX224" s="1"/>
    </row>
    <row r="225" spans="1:128" x14ac:dyDescent="0.25">
      <c r="A225" s="46"/>
      <c r="B225" s="46" t="str">
        <f t="shared" si="22"/>
        <v/>
      </c>
      <c r="C225" s="46" t="str">
        <f t="shared" ref="C225:BN225" si="75">IF(C32="X",$DK32,"")</f>
        <v/>
      </c>
      <c r="D225" s="46" t="str">
        <f t="shared" si="75"/>
        <v/>
      </c>
      <c r="E225" s="46" t="str">
        <f t="shared" si="75"/>
        <v/>
      </c>
      <c r="F225" s="46" t="str">
        <f t="shared" si="75"/>
        <v/>
      </c>
      <c r="G225" s="46" t="str">
        <f t="shared" si="75"/>
        <v/>
      </c>
      <c r="H225" s="46" t="str">
        <f t="shared" si="75"/>
        <v/>
      </c>
      <c r="I225" s="46" t="str">
        <f t="shared" si="75"/>
        <v/>
      </c>
      <c r="J225" s="46" t="str">
        <f t="shared" si="75"/>
        <v/>
      </c>
      <c r="K225" s="46" t="str">
        <f t="shared" si="75"/>
        <v/>
      </c>
      <c r="L225" s="46" t="str">
        <f t="shared" si="75"/>
        <v/>
      </c>
      <c r="M225" s="46">
        <f t="shared" si="75"/>
        <v>4</v>
      </c>
      <c r="N225" s="46" t="str">
        <f t="shared" si="75"/>
        <v/>
      </c>
      <c r="O225" s="46" t="str">
        <f t="shared" si="75"/>
        <v/>
      </c>
      <c r="P225" s="46" t="str">
        <f t="shared" si="75"/>
        <v/>
      </c>
      <c r="Q225" s="46" t="str">
        <f t="shared" si="75"/>
        <v/>
      </c>
      <c r="R225" s="46" t="str">
        <f t="shared" si="75"/>
        <v/>
      </c>
      <c r="S225" s="46" t="str">
        <f t="shared" si="75"/>
        <v/>
      </c>
      <c r="T225" s="46" t="str">
        <f t="shared" si="75"/>
        <v/>
      </c>
      <c r="U225" s="46" t="str">
        <f t="shared" si="75"/>
        <v/>
      </c>
      <c r="V225" s="46" t="str">
        <f t="shared" si="75"/>
        <v/>
      </c>
      <c r="W225" s="46" t="str">
        <f t="shared" si="75"/>
        <v/>
      </c>
      <c r="X225" s="46" t="str">
        <f t="shared" si="75"/>
        <v/>
      </c>
      <c r="Y225" s="46" t="str">
        <f t="shared" si="75"/>
        <v/>
      </c>
      <c r="Z225" s="46" t="str">
        <f t="shared" si="75"/>
        <v/>
      </c>
      <c r="AA225" s="46" t="str">
        <f t="shared" si="75"/>
        <v/>
      </c>
      <c r="AB225" s="46" t="str">
        <f t="shared" si="75"/>
        <v/>
      </c>
      <c r="AC225" s="46" t="str">
        <f t="shared" si="75"/>
        <v/>
      </c>
      <c r="AD225" s="46" t="str">
        <f t="shared" si="75"/>
        <v/>
      </c>
      <c r="AE225" s="46" t="str">
        <f t="shared" si="75"/>
        <v/>
      </c>
      <c r="AF225" s="46" t="str">
        <f t="shared" si="75"/>
        <v/>
      </c>
      <c r="AG225" s="46" t="str">
        <f t="shared" si="75"/>
        <v/>
      </c>
      <c r="AH225" s="46" t="str">
        <f t="shared" si="75"/>
        <v/>
      </c>
      <c r="AI225" s="46" t="str">
        <f t="shared" si="75"/>
        <v/>
      </c>
      <c r="AJ225" s="46" t="str">
        <f t="shared" si="75"/>
        <v/>
      </c>
      <c r="AK225" s="46" t="str">
        <f t="shared" si="75"/>
        <v/>
      </c>
      <c r="AL225" s="46" t="str">
        <f t="shared" si="75"/>
        <v/>
      </c>
      <c r="AM225" s="46" t="str">
        <f t="shared" si="75"/>
        <v/>
      </c>
      <c r="AN225" s="46" t="str">
        <f t="shared" si="75"/>
        <v/>
      </c>
      <c r="AO225" s="46" t="str">
        <f t="shared" si="75"/>
        <v/>
      </c>
      <c r="AP225" s="46" t="str">
        <f t="shared" si="75"/>
        <v/>
      </c>
      <c r="AQ225" s="46">
        <f t="shared" si="75"/>
        <v>4</v>
      </c>
      <c r="AR225" s="46" t="str">
        <f t="shared" si="75"/>
        <v/>
      </c>
      <c r="AS225" s="46" t="str">
        <f t="shared" si="75"/>
        <v/>
      </c>
      <c r="AT225" s="46" t="str">
        <f t="shared" si="75"/>
        <v/>
      </c>
      <c r="AU225" s="46" t="str">
        <f t="shared" si="75"/>
        <v/>
      </c>
      <c r="AV225" s="46" t="str">
        <f t="shared" si="75"/>
        <v/>
      </c>
      <c r="AW225" s="46" t="str">
        <f t="shared" si="75"/>
        <v/>
      </c>
      <c r="AX225" s="46" t="str">
        <f t="shared" si="75"/>
        <v/>
      </c>
      <c r="AY225" s="46" t="str">
        <f t="shared" si="75"/>
        <v/>
      </c>
      <c r="AZ225" s="46" t="str">
        <f t="shared" si="75"/>
        <v/>
      </c>
      <c r="BA225" s="46" t="str">
        <f t="shared" si="75"/>
        <v/>
      </c>
      <c r="BB225" s="46" t="str">
        <f t="shared" si="75"/>
        <v/>
      </c>
      <c r="BC225" s="46" t="str">
        <f t="shared" si="75"/>
        <v/>
      </c>
      <c r="BD225" s="46" t="str">
        <f t="shared" si="75"/>
        <v/>
      </c>
      <c r="BE225" s="46" t="str">
        <f t="shared" si="75"/>
        <v/>
      </c>
      <c r="BF225" s="46" t="str">
        <f t="shared" si="75"/>
        <v/>
      </c>
      <c r="BG225" s="46" t="str">
        <f t="shared" si="75"/>
        <v/>
      </c>
      <c r="BH225" s="46" t="str">
        <f t="shared" si="75"/>
        <v/>
      </c>
      <c r="BI225" s="46" t="str">
        <f t="shared" si="75"/>
        <v/>
      </c>
      <c r="BJ225" s="46" t="str">
        <f t="shared" si="75"/>
        <v/>
      </c>
      <c r="BK225" s="46" t="str">
        <f t="shared" si="75"/>
        <v/>
      </c>
      <c r="BL225" s="46" t="str">
        <f t="shared" si="75"/>
        <v/>
      </c>
      <c r="BM225" s="46" t="str">
        <f t="shared" si="75"/>
        <v/>
      </c>
      <c r="BN225" s="46" t="str">
        <f t="shared" si="75"/>
        <v/>
      </c>
      <c r="BO225" s="46" t="str">
        <f t="shared" ref="BO225:DH225" si="76">IF(BO32="X",$DK32,"")</f>
        <v/>
      </c>
      <c r="BP225" s="46" t="str">
        <f t="shared" si="76"/>
        <v/>
      </c>
      <c r="BQ225" s="46" t="str">
        <f t="shared" si="76"/>
        <v/>
      </c>
      <c r="BR225" s="46" t="str">
        <f t="shared" si="76"/>
        <v/>
      </c>
      <c r="BS225" s="46" t="str">
        <f t="shared" si="76"/>
        <v/>
      </c>
      <c r="BT225" s="46" t="str">
        <f t="shared" si="76"/>
        <v/>
      </c>
      <c r="BU225" s="46" t="str">
        <f t="shared" si="76"/>
        <v/>
      </c>
      <c r="BV225" s="46" t="str">
        <f t="shared" si="76"/>
        <v/>
      </c>
      <c r="BW225" s="46" t="str">
        <f t="shared" si="76"/>
        <v/>
      </c>
      <c r="BX225" s="46" t="str">
        <f t="shared" si="76"/>
        <v/>
      </c>
      <c r="BY225" s="46" t="str">
        <f t="shared" si="76"/>
        <v/>
      </c>
      <c r="BZ225" s="46" t="str">
        <f t="shared" si="76"/>
        <v/>
      </c>
      <c r="CA225" s="46" t="str">
        <f t="shared" si="76"/>
        <v/>
      </c>
      <c r="CB225" s="46" t="str">
        <f t="shared" si="76"/>
        <v/>
      </c>
      <c r="CC225" s="46" t="str">
        <f t="shared" si="76"/>
        <v/>
      </c>
      <c r="CD225" s="46" t="str">
        <f t="shared" si="76"/>
        <v/>
      </c>
      <c r="CE225" s="46" t="str">
        <f t="shared" si="76"/>
        <v/>
      </c>
      <c r="CF225" s="46" t="str">
        <f t="shared" si="76"/>
        <v/>
      </c>
      <c r="CG225" s="46" t="str">
        <f t="shared" si="76"/>
        <v/>
      </c>
      <c r="CH225" s="46" t="str">
        <f t="shared" si="76"/>
        <v/>
      </c>
      <c r="CI225" s="46" t="str">
        <f t="shared" si="76"/>
        <v/>
      </c>
      <c r="CJ225" s="46" t="str">
        <f t="shared" si="76"/>
        <v/>
      </c>
      <c r="CK225" s="46" t="str">
        <f t="shared" si="76"/>
        <v/>
      </c>
      <c r="CL225" s="46" t="str">
        <f t="shared" si="76"/>
        <v/>
      </c>
      <c r="CM225" s="46" t="str">
        <f t="shared" si="76"/>
        <v/>
      </c>
      <c r="CN225" s="46" t="str">
        <f t="shared" si="76"/>
        <v/>
      </c>
      <c r="CO225" s="46" t="str">
        <f t="shared" si="76"/>
        <v/>
      </c>
      <c r="CP225" s="46" t="str">
        <f t="shared" si="76"/>
        <v/>
      </c>
      <c r="CQ225" s="46">
        <f t="shared" si="76"/>
        <v>4</v>
      </c>
      <c r="CR225" s="46" t="str">
        <f t="shared" si="76"/>
        <v/>
      </c>
      <c r="CS225" s="46" t="str">
        <f t="shared" si="76"/>
        <v/>
      </c>
      <c r="CT225" s="46" t="str">
        <f t="shared" si="76"/>
        <v/>
      </c>
      <c r="CU225" s="46" t="str">
        <f t="shared" si="76"/>
        <v/>
      </c>
      <c r="CV225" s="46" t="str">
        <f t="shared" si="76"/>
        <v/>
      </c>
      <c r="CW225" s="46" t="str">
        <f t="shared" si="76"/>
        <v/>
      </c>
      <c r="CX225" s="46" t="str">
        <f t="shared" si="76"/>
        <v/>
      </c>
      <c r="CY225" s="46" t="str">
        <f t="shared" si="76"/>
        <v/>
      </c>
      <c r="CZ225" s="46" t="str">
        <f t="shared" si="76"/>
        <v/>
      </c>
      <c r="DA225" s="46" t="str">
        <f t="shared" si="76"/>
        <v/>
      </c>
      <c r="DB225" s="46" t="str">
        <f t="shared" si="76"/>
        <v/>
      </c>
      <c r="DC225" s="46" t="str">
        <f t="shared" si="76"/>
        <v/>
      </c>
      <c r="DD225" s="46" t="str">
        <f t="shared" si="76"/>
        <v/>
      </c>
      <c r="DE225" s="46" t="str">
        <f t="shared" si="76"/>
        <v/>
      </c>
      <c r="DF225" s="46" t="str">
        <f t="shared" si="76"/>
        <v/>
      </c>
      <c r="DG225" s="46" t="str">
        <f t="shared" si="76"/>
        <v/>
      </c>
      <c r="DH225" s="46" t="str">
        <f t="shared" si="76"/>
        <v/>
      </c>
      <c r="DI225" s="46"/>
      <c r="DJ225" s="46"/>
      <c r="DK225" s="46"/>
      <c r="DL225" s="46"/>
      <c r="DM225" s="46"/>
      <c r="DN225" s="46"/>
      <c r="DO225" s="46"/>
      <c r="DP225" s="46"/>
      <c r="DQ225" s="46"/>
      <c r="DR225" s="46"/>
      <c r="DS225" s="46"/>
      <c r="DT225" s="46"/>
      <c r="DU225" s="46"/>
      <c r="DV225" s="46"/>
      <c r="DW225" s="9"/>
      <c r="DX225" s="1"/>
    </row>
    <row r="226" spans="1:128" x14ac:dyDescent="0.25">
      <c r="A226" s="46"/>
      <c r="B226" s="46" t="str">
        <f t="shared" si="22"/>
        <v/>
      </c>
      <c r="C226" s="46" t="str">
        <f t="shared" ref="C226:BN226" si="77">IF(C33="X",$DK33,"")</f>
        <v/>
      </c>
      <c r="D226" s="46" t="str">
        <f t="shared" si="77"/>
        <v/>
      </c>
      <c r="E226" s="46" t="str">
        <f t="shared" si="77"/>
        <v/>
      </c>
      <c r="F226" s="46" t="str">
        <f t="shared" si="77"/>
        <v/>
      </c>
      <c r="G226" s="46" t="str">
        <f t="shared" si="77"/>
        <v/>
      </c>
      <c r="H226" s="46" t="str">
        <f t="shared" si="77"/>
        <v/>
      </c>
      <c r="I226" s="46" t="str">
        <f t="shared" si="77"/>
        <v/>
      </c>
      <c r="J226" s="46" t="str">
        <f t="shared" si="77"/>
        <v/>
      </c>
      <c r="K226" s="46" t="str">
        <f t="shared" si="77"/>
        <v/>
      </c>
      <c r="L226" s="46" t="str">
        <f t="shared" si="77"/>
        <v/>
      </c>
      <c r="M226" s="46" t="str">
        <f t="shared" si="77"/>
        <v/>
      </c>
      <c r="N226" s="46" t="str">
        <f t="shared" si="77"/>
        <v/>
      </c>
      <c r="O226" s="46" t="str">
        <f t="shared" si="77"/>
        <v/>
      </c>
      <c r="P226" s="46" t="str">
        <f t="shared" si="77"/>
        <v/>
      </c>
      <c r="Q226" s="46" t="str">
        <f t="shared" si="77"/>
        <v/>
      </c>
      <c r="R226" s="46" t="str">
        <f t="shared" si="77"/>
        <v/>
      </c>
      <c r="S226" s="46" t="str">
        <f t="shared" si="77"/>
        <v/>
      </c>
      <c r="T226" s="46" t="str">
        <f t="shared" si="77"/>
        <v/>
      </c>
      <c r="U226" s="46" t="str">
        <f t="shared" si="77"/>
        <v/>
      </c>
      <c r="V226" s="46" t="str">
        <f t="shared" si="77"/>
        <v/>
      </c>
      <c r="W226" s="46" t="str">
        <f t="shared" si="77"/>
        <v/>
      </c>
      <c r="X226" s="46" t="str">
        <f t="shared" si="77"/>
        <v/>
      </c>
      <c r="Y226" s="46" t="str">
        <f t="shared" si="77"/>
        <v/>
      </c>
      <c r="Z226" s="46" t="str">
        <f t="shared" si="77"/>
        <v/>
      </c>
      <c r="AA226" s="46" t="str">
        <f t="shared" si="77"/>
        <v/>
      </c>
      <c r="AB226" s="46" t="str">
        <f t="shared" si="77"/>
        <v/>
      </c>
      <c r="AC226" s="46" t="str">
        <f t="shared" si="77"/>
        <v/>
      </c>
      <c r="AD226" s="46" t="str">
        <f t="shared" si="77"/>
        <v/>
      </c>
      <c r="AE226" s="46">
        <f t="shared" si="77"/>
        <v>32</v>
      </c>
      <c r="AF226" s="46">
        <f t="shared" si="77"/>
        <v>32</v>
      </c>
      <c r="AG226" s="46" t="str">
        <f t="shared" si="77"/>
        <v/>
      </c>
      <c r="AH226" s="46" t="str">
        <f t="shared" si="77"/>
        <v/>
      </c>
      <c r="AI226" s="46" t="str">
        <f t="shared" si="77"/>
        <v/>
      </c>
      <c r="AJ226" s="46" t="str">
        <f t="shared" si="77"/>
        <v/>
      </c>
      <c r="AK226" s="46" t="str">
        <f t="shared" si="77"/>
        <v/>
      </c>
      <c r="AL226" s="46" t="str">
        <f t="shared" si="77"/>
        <v/>
      </c>
      <c r="AM226" s="46" t="str">
        <f t="shared" si="77"/>
        <v/>
      </c>
      <c r="AN226" s="46" t="str">
        <f t="shared" si="77"/>
        <v/>
      </c>
      <c r="AO226" s="46" t="str">
        <f t="shared" si="77"/>
        <v/>
      </c>
      <c r="AP226" s="46" t="str">
        <f t="shared" si="77"/>
        <v/>
      </c>
      <c r="AQ226" s="46" t="str">
        <f t="shared" si="77"/>
        <v/>
      </c>
      <c r="AR226" s="46" t="str">
        <f t="shared" si="77"/>
        <v/>
      </c>
      <c r="AS226" s="46" t="str">
        <f t="shared" si="77"/>
        <v/>
      </c>
      <c r="AT226" s="46" t="str">
        <f t="shared" si="77"/>
        <v/>
      </c>
      <c r="AU226" s="46" t="str">
        <f t="shared" si="77"/>
        <v/>
      </c>
      <c r="AV226" s="46" t="str">
        <f t="shared" si="77"/>
        <v/>
      </c>
      <c r="AW226" s="46" t="str">
        <f t="shared" si="77"/>
        <v/>
      </c>
      <c r="AX226" s="46" t="str">
        <f t="shared" si="77"/>
        <v/>
      </c>
      <c r="AY226" s="46" t="str">
        <f t="shared" si="77"/>
        <v/>
      </c>
      <c r="AZ226" s="46" t="str">
        <f t="shared" si="77"/>
        <v/>
      </c>
      <c r="BA226" s="46" t="str">
        <f t="shared" si="77"/>
        <v/>
      </c>
      <c r="BB226" s="46" t="str">
        <f t="shared" si="77"/>
        <v/>
      </c>
      <c r="BC226" s="46" t="str">
        <f t="shared" si="77"/>
        <v/>
      </c>
      <c r="BD226" s="46" t="str">
        <f t="shared" si="77"/>
        <v/>
      </c>
      <c r="BE226" s="46" t="str">
        <f t="shared" si="77"/>
        <v/>
      </c>
      <c r="BF226" s="46" t="str">
        <f t="shared" si="77"/>
        <v/>
      </c>
      <c r="BG226" s="46" t="str">
        <f t="shared" si="77"/>
        <v/>
      </c>
      <c r="BH226" s="46" t="str">
        <f t="shared" si="77"/>
        <v/>
      </c>
      <c r="BI226" s="46" t="str">
        <f t="shared" si="77"/>
        <v/>
      </c>
      <c r="BJ226" s="46" t="str">
        <f t="shared" si="77"/>
        <v/>
      </c>
      <c r="BK226" s="46" t="str">
        <f t="shared" si="77"/>
        <v/>
      </c>
      <c r="BL226" s="46" t="str">
        <f t="shared" si="77"/>
        <v/>
      </c>
      <c r="BM226" s="46" t="str">
        <f t="shared" si="77"/>
        <v/>
      </c>
      <c r="BN226" s="46" t="str">
        <f t="shared" si="77"/>
        <v/>
      </c>
      <c r="BO226" s="46" t="str">
        <f t="shared" ref="BO226:DH226" si="78">IF(BO33="X",$DK33,"")</f>
        <v/>
      </c>
      <c r="BP226" s="46" t="str">
        <f t="shared" si="78"/>
        <v/>
      </c>
      <c r="BQ226" s="46" t="str">
        <f t="shared" si="78"/>
        <v/>
      </c>
      <c r="BR226" s="46" t="str">
        <f t="shared" si="78"/>
        <v/>
      </c>
      <c r="BS226" s="46" t="str">
        <f t="shared" si="78"/>
        <v/>
      </c>
      <c r="BT226" s="46" t="str">
        <f t="shared" si="78"/>
        <v/>
      </c>
      <c r="BU226" s="46" t="str">
        <f t="shared" si="78"/>
        <v/>
      </c>
      <c r="BV226" s="46" t="str">
        <f t="shared" si="78"/>
        <v/>
      </c>
      <c r="BW226" s="46" t="str">
        <f t="shared" si="78"/>
        <v/>
      </c>
      <c r="BX226" s="46" t="str">
        <f t="shared" si="78"/>
        <v/>
      </c>
      <c r="BY226" s="46" t="str">
        <f t="shared" si="78"/>
        <v/>
      </c>
      <c r="BZ226" s="46" t="str">
        <f t="shared" si="78"/>
        <v/>
      </c>
      <c r="CA226" s="46" t="str">
        <f t="shared" si="78"/>
        <v/>
      </c>
      <c r="CB226" s="46" t="str">
        <f t="shared" si="78"/>
        <v/>
      </c>
      <c r="CC226" s="46" t="str">
        <f t="shared" si="78"/>
        <v/>
      </c>
      <c r="CD226" s="46" t="str">
        <f t="shared" si="78"/>
        <v/>
      </c>
      <c r="CE226" s="46" t="str">
        <f t="shared" si="78"/>
        <v/>
      </c>
      <c r="CF226" s="46" t="str">
        <f t="shared" si="78"/>
        <v/>
      </c>
      <c r="CG226" s="46" t="str">
        <f t="shared" si="78"/>
        <v/>
      </c>
      <c r="CH226" s="46" t="str">
        <f t="shared" si="78"/>
        <v/>
      </c>
      <c r="CI226" s="46" t="str">
        <f t="shared" si="78"/>
        <v/>
      </c>
      <c r="CJ226" s="46" t="str">
        <f t="shared" si="78"/>
        <v/>
      </c>
      <c r="CK226" s="46" t="str">
        <f t="shared" si="78"/>
        <v/>
      </c>
      <c r="CL226" s="46" t="str">
        <f t="shared" si="78"/>
        <v/>
      </c>
      <c r="CM226" s="46" t="str">
        <f t="shared" si="78"/>
        <v/>
      </c>
      <c r="CN226" s="46" t="str">
        <f t="shared" si="78"/>
        <v/>
      </c>
      <c r="CO226" s="46" t="str">
        <f t="shared" si="78"/>
        <v/>
      </c>
      <c r="CP226" s="46" t="str">
        <f t="shared" si="78"/>
        <v/>
      </c>
      <c r="CQ226" s="46" t="str">
        <f t="shared" si="78"/>
        <v/>
      </c>
      <c r="CR226" s="46" t="str">
        <f t="shared" si="78"/>
        <v/>
      </c>
      <c r="CS226" s="46" t="str">
        <f t="shared" si="78"/>
        <v/>
      </c>
      <c r="CT226" s="46" t="str">
        <f t="shared" si="78"/>
        <v/>
      </c>
      <c r="CU226" s="46" t="str">
        <f t="shared" si="78"/>
        <v/>
      </c>
      <c r="CV226" s="46" t="str">
        <f t="shared" si="78"/>
        <v/>
      </c>
      <c r="CW226" s="46" t="str">
        <f t="shared" si="78"/>
        <v/>
      </c>
      <c r="CX226" s="46" t="str">
        <f t="shared" si="78"/>
        <v/>
      </c>
      <c r="CY226" s="46" t="str">
        <f t="shared" si="78"/>
        <v/>
      </c>
      <c r="CZ226" s="46" t="str">
        <f t="shared" si="78"/>
        <v/>
      </c>
      <c r="DA226" s="46" t="str">
        <f t="shared" si="78"/>
        <v/>
      </c>
      <c r="DB226" s="46" t="str">
        <f t="shared" si="78"/>
        <v/>
      </c>
      <c r="DC226" s="46" t="str">
        <f t="shared" si="78"/>
        <v/>
      </c>
      <c r="DD226" s="46" t="str">
        <f t="shared" si="78"/>
        <v/>
      </c>
      <c r="DE226" s="46" t="str">
        <f t="shared" si="78"/>
        <v/>
      </c>
      <c r="DF226" s="46" t="str">
        <f t="shared" si="78"/>
        <v/>
      </c>
      <c r="DG226" s="46" t="str">
        <f t="shared" si="78"/>
        <v/>
      </c>
      <c r="DH226" s="46" t="str">
        <f t="shared" si="78"/>
        <v/>
      </c>
      <c r="DI226" s="46"/>
      <c r="DJ226" s="46"/>
      <c r="DK226" s="46"/>
      <c r="DL226" s="46"/>
      <c r="DM226" s="46"/>
      <c r="DN226" s="46"/>
      <c r="DO226" s="46"/>
      <c r="DP226" s="46"/>
      <c r="DQ226" s="46"/>
      <c r="DR226" s="46"/>
      <c r="DS226" s="46"/>
      <c r="DT226" s="46"/>
      <c r="DU226" s="46"/>
      <c r="DV226" s="46"/>
      <c r="DW226" s="9"/>
      <c r="DX226" s="1"/>
    </row>
    <row r="227" spans="1:128" x14ac:dyDescent="0.25">
      <c r="A227" s="46"/>
      <c r="B227" s="46" t="str">
        <f t="shared" si="22"/>
        <v/>
      </c>
      <c r="C227" s="46" t="str">
        <f t="shared" ref="C227:BN227" si="79">IF(C34="X",$DK34,"")</f>
        <v/>
      </c>
      <c r="D227" s="46" t="str">
        <f t="shared" si="79"/>
        <v/>
      </c>
      <c r="E227" s="46" t="str">
        <f t="shared" si="79"/>
        <v/>
      </c>
      <c r="F227" s="46" t="str">
        <f t="shared" si="79"/>
        <v/>
      </c>
      <c r="G227" s="46" t="str">
        <f t="shared" si="79"/>
        <v/>
      </c>
      <c r="H227" s="46" t="str">
        <f t="shared" si="79"/>
        <v/>
      </c>
      <c r="I227" s="46" t="str">
        <f t="shared" si="79"/>
        <v/>
      </c>
      <c r="J227" s="46" t="str">
        <f t="shared" si="79"/>
        <v/>
      </c>
      <c r="K227" s="46">
        <f t="shared" si="79"/>
        <v>16</v>
      </c>
      <c r="L227" s="46" t="str">
        <f t="shared" si="79"/>
        <v/>
      </c>
      <c r="M227" s="46" t="str">
        <f t="shared" si="79"/>
        <v/>
      </c>
      <c r="N227" s="46" t="str">
        <f t="shared" si="79"/>
        <v/>
      </c>
      <c r="O227" s="46">
        <f t="shared" si="79"/>
        <v>16</v>
      </c>
      <c r="P227" s="46">
        <f t="shared" si="79"/>
        <v>16</v>
      </c>
      <c r="Q227" s="46" t="str">
        <f t="shared" si="79"/>
        <v/>
      </c>
      <c r="R227" s="46" t="str">
        <f t="shared" si="79"/>
        <v/>
      </c>
      <c r="S227" s="46" t="str">
        <f t="shared" si="79"/>
        <v/>
      </c>
      <c r="T227" s="46" t="str">
        <f t="shared" si="79"/>
        <v/>
      </c>
      <c r="U227" s="46" t="str">
        <f t="shared" si="79"/>
        <v/>
      </c>
      <c r="V227" s="46" t="str">
        <f t="shared" si="79"/>
        <v/>
      </c>
      <c r="W227" s="46" t="str">
        <f t="shared" si="79"/>
        <v/>
      </c>
      <c r="X227" s="46" t="str">
        <f t="shared" si="79"/>
        <v/>
      </c>
      <c r="Y227" s="46" t="str">
        <f t="shared" si="79"/>
        <v/>
      </c>
      <c r="Z227" s="46">
        <f t="shared" si="79"/>
        <v>16</v>
      </c>
      <c r="AA227" s="46">
        <f t="shared" si="79"/>
        <v>16</v>
      </c>
      <c r="AB227" s="46">
        <f t="shared" si="79"/>
        <v>16</v>
      </c>
      <c r="AC227" s="46">
        <f t="shared" si="79"/>
        <v>16</v>
      </c>
      <c r="AD227" s="46" t="str">
        <f t="shared" si="79"/>
        <v/>
      </c>
      <c r="AE227" s="46" t="str">
        <f t="shared" si="79"/>
        <v/>
      </c>
      <c r="AF227" s="46" t="str">
        <f t="shared" si="79"/>
        <v/>
      </c>
      <c r="AG227" s="46" t="str">
        <f t="shared" si="79"/>
        <v/>
      </c>
      <c r="AH227" s="46" t="str">
        <f t="shared" si="79"/>
        <v/>
      </c>
      <c r="AI227" s="46" t="str">
        <f t="shared" si="79"/>
        <v/>
      </c>
      <c r="AJ227" s="46" t="str">
        <f t="shared" si="79"/>
        <v/>
      </c>
      <c r="AK227" s="46" t="str">
        <f t="shared" si="79"/>
        <v/>
      </c>
      <c r="AL227" s="46" t="str">
        <f t="shared" si="79"/>
        <v/>
      </c>
      <c r="AM227" s="46" t="str">
        <f t="shared" si="79"/>
        <v/>
      </c>
      <c r="AN227" s="46">
        <f t="shared" si="79"/>
        <v>16</v>
      </c>
      <c r="AO227" s="46" t="str">
        <f t="shared" si="79"/>
        <v/>
      </c>
      <c r="AP227" s="46" t="str">
        <f t="shared" si="79"/>
        <v/>
      </c>
      <c r="AQ227" s="46">
        <f t="shared" si="79"/>
        <v>16</v>
      </c>
      <c r="AR227" s="46">
        <f t="shared" si="79"/>
        <v>16</v>
      </c>
      <c r="AS227" s="46" t="str">
        <f t="shared" si="79"/>
        <v/>
      </c>
      <c r="AT227" s="46" t="str">
        <f t="shared" si="79"/>
        <v/>
      </c>
      <c r="AU227" s="46" t="str">
        <f t="shared" si="79"/>
        <v/>
      </c>
      <c r="AV227" s="46" t="str">
        <f t="shared" si="79"/>
        <v/>
      </c>
      <c r="AW227" s="46" t="str">
        <f t="shared" si="79"/>
        <v/>
      </c>
      <c r="AX227" s="46" t="str">
        <f t="shared" si="79"/>
        <v/>
      </c>
      <c r="AY227" s="46" t="str">
        <f t="shared" si="79"/>
        <v/>
      </c>
      <c r="AZ227" s="46" t="str">
        <f t="shared" si="79"/>
        <v/>
      </c>
      <c r="BA227" s="46" t="str">
        <f t="shared" si="79"/>
        <v/>
      </c>
      <c r="BB227" s="46" t="str">
        <f t="shared" si="79"/>
        <v/>
      </c>
      <c r="BC227" s="46" t="str">
        <f t="shared" si="79"/>
        <v/>
      </c>
      <c r="BD227" s="46" t="str">
        <f t="shared" si="79"/>
        <v/>
      </c>
      <c r="BE227" s="46" t="str">
        <f t="shared" si="79"/>
        <v/>
      </c>
      <c r="BF227" s="46" t="str">
        <f t="shared" si="79"/>
        <v/>
      </c>
      <c r="BG227" s="46" t="str">
        <f t="shared" si="79"/>
        <v/>
      </c>
      <c r="BH227" s="46" t="str">
        <f t="shared" si="79"/>
        <v/>
      </c>
      <c r="BI227" s="46" t="str">
        <f t="shared" si="79"/>
        <v/>
      </c>
      <c r="BJ227" s="46" t="str">
        <f t="shared" si="79"/>
        <v/>
      </c>
      <c r="BK227" s="46">
        <f t="shared" si="79"/>
        <v>16</v>
      </c>
      <c r="BL227" s="46" t="str">
        <f t="shared" si="79"/>
        <v/>
      </c>
      <c r="BM227" s="46" t="str">
        <f t="shared" si="79"/>
        <v/>
      </c>
      <c r="BN227" s="46">
        <f t="shared" si="79"/>
        <v>16</v>
      </c>
      <c r="BO227" s="46">
        <f t="shared" ref="BO227:DH227" si="80">IF(BO34="X",$DK34,"")</f>
        <v>16</v>
      </c>
      <c r="BP227" s="46">
        <f t="shared" si="80"/>
        <v>16</v>
      </c>
      <c r="BQ227" s="46">
        <f t="shared" si="80"/>
        <v>16</v>
      </c>
      <c r="BR227" s="46">
        <f t="shared" si="80"/>
        <v>16</v>
      </c>
      <c r="BS227" s="46">
        <f t="shared" si="80"/>
        <v>16</v>
      </c>
      <c r="BT227" s="46">
        <f t="shared" si="80"/>
        <v>16</v>
      </c>
      <c r="BU227" s="46">
        <f t="shared" si="80"/>
        <v>16</v>
      </c>
      <c r="BV227" s="46">
        <f t="shared" si="80"/>
        <v>16</v>
      </c>
      <c r="BW227" s="46">
        <f t="shared" si="80"/>
        <v>16</v>
      </c>
      <c r="BX227" s="46">
        <f t="shared" si="80"/>
        <v>16</v>
      </c>
      <c r="BY227" s="46">
        <f t="shared" si="80"/>
        <v>16</v>
      </c>
      <c r="BZ227" s="46">
        <f t="shared" si="80"/>
        <v>16</v>
      </c>
      <c r="CA227" s="46">
        <f t="shared" si="80"/>
        <v>16</v>
      </c>
      <c r="CB227" s="46">
        <f t="shared" si="80"/>
        <v>16</v>
      </c>
      <c r="CC227" s="46">
        <f t="shared" si="80"/>
        <v>16</v>
      </c>
      <c r="CD227" s="46">
        <f t="shared" si="80"/>
        <v>16</v>
      </c>
      <c r="CE227" s="46" t="str">
        <f t="shared" si="80"/>
        <v/>
      </c>
      <c r="CF227" s="46" t="str">
        <f t="shared" si="80"/>
        <v/>
      </c>
      <c r="CG227" s="46">
        <f t="shared" si="80"/>
        <v>16</v>
      </c>
      <c r="CH227" s="46">
        <f t="shared" si="80"/>
        <v>16</v>
      </c>
      <c r="CI227" s="46">
        <f t="shared" si="80"/>
        <v>16</v>
      </c>
      <c r="CJ227" s="46">
        <f t="shared" si="80"/>
        <v>16</v>
      </c>
      <c r="CK227" s="46">
        <f t="shared" si="80"/>
        <v>16</v>
      </c>
      <c r="CL227" s="46">
        <f t="shared" si="80"/>
        <v>16</v>
      </c>
      <c r="CM227" s="46">
        <f t="shared" si="80"/>
        <v>16</v>
      </c>
      <c r="CN227" s="46">
        <f t="shared" si="80"/>
        <v>16</v>
      </c>
      <c r="CO227" s="46">
        <f t="shared" si="80"/>
        <v>16</v>
      </c>
      <c r="CP227" s="46">
        <f t="shared" si="80"/>
        <v>16</v>
      </c>
      <c r="CQ227" s="46" t="str">
        <f t="shared" si="80"/>
        <v/>
      </c>
      <c r="CR227" s="46">
        <f t="shared" si="80"/>
        <v>16</v>
      </c>
      <c r="CS227" s="46">
        <f t="shared" si="80"/>
        <v>16</v>
      </c>
      <c r="CT227" s="46">
        <f t="shared" si="80"/>
        <v>16</v>
      </c>
      <c r="CU227" s="46">
        <f t="shared" si="80"/>
        <v>16</v>
      </c>
      <c r="CV227" s="46">
        <f t="shared" si="80"/>
        <v>16</v>
      </c>
      <c r="CW227" s="46">
        <f t="shared" si="80"/>
        <v>16</v>
      </c>
      <c r="CX227" s="46" t="str">
        <f t="shared" si="80"/>
        <v/>
      </c>
      <c r="CY227" s="46">
        <f t="shared" si="80"/>
        <v>16</v>
      </c>
      <c r="CZ227" s="46">
        <f t="shared" si="80"/>
        <v>16</v>
      </c>
      <c r="DA227" s="46">
        <f t="shared" si="80"/>
        <v>16</v>
      </c>
      <c r="DB227" s="46" t="str">
        <f t="shared" si="80"/>
        <v/>
      </c>
      <c r="DC227" s="46" t="str">
        <f t="shared" si="80"/>
        <v/>
      </c>
      <c r="DD227" s="46" t="str">
        <f t="shared" si="80"/>
        <v/>
      </c>
      <c r="DE227" s="46" t="str">
        <f t="shared" si="80"/>
        <v/>
      </c>
      <c r="DF227" s="46" t="str">
        <f t="shared" si="80"/>
        <v/>
      </c>
      <c r="DG227" s="46" t="str">
        <f t="shared" si="80"/>
        <v/>
      </c>
      <c r="DH227" s="46">
        <f t="shared" si="80"/>
        <v>16</v>
      </c>
      <c r="DI227" s="46"/>
      <c r="DJ227" s="46"/>
      <c r="DK227" s="46"/>
      <c r="DL227" s="46"/>
      <c r="DM227" s="46"/>
      <c r="DN227" s="46"/>
      <c r="DO227" s="46"/>
      <c r="DP227" s="46"/>
      <c r="DQ227" s="46"/>
      <c r="DR227" s="46"/>
      <c r="DS227" s="46"/>
      <c r="DT227" s="46"/>
      <c r="DU227" s="46"/>
      <c r="DV227" s="46"/>
      <c r="DW227" s="9"/>
      <c r="DX227" s="1"/>
    </row>
    <row r="228" spans="1:128" x14ac:dyDescent="0.25">
      <c r="A228" s="46"/>
      <c r="B228" s="46" t="str">
        <f t="shared" si="22"/>
        <v/>
      </c>
      <c r="C228" s="46" t="str">
        <f t="shared" ref="C228:BN228" si="81">IF(C35="X",$DK35,"")</f>
        <v/>
      </c>
      <c r="D228" s="46" t="str">
        <f t="shared" si="81"/>
        <v/>
      </c>
      <c r="E228" s="46" t="str">
        <f t="shared" si="81"/>
        <v/>
      </c>
      <c r="F228" s="46" t="str">
        <f t="shared" si="81"/>
        <v/>
      </c>
      <c r="G228" s="46" t="str">
        <f t="shared" si="81"/>
        <v/>
      </c>
      <c r="H228" s="46" t="str">
        <f t="shared" si="81"/>
        <v/>
      </c>
      <c r="I228" s="46" t="str">
        <f t="shared" si="81"/>
        <v/>
      </c>
      <c r="J228" s="46" t="str">
        <f t="shared" si="81"/>
        <v/>
      </c>
      <c r="K228" s="46" t="str">
        <f t="shared" si="81"/>
        <v/>
      </c>
      <c r="L228" s="46">
        <f t="shared" si="81"/>
        <v>8</v>
      </c>
      <c r="M228" s="46" t="str">
        <f t="shared" si="81"/>
        <v/>
      </c>
      <c r="N228" s="46" t="str">
        <f t="shared" si="81"/>
        <v/>
      </c>
      <c r="O228" s="46" t="str">
        <f t="shared" si="81"/>
        <v/>
      </c>
      <c r="P228" s="46" t="str">
        <f t="shared" si="81"/>
        <v/>
      </c>
      <c r="Q228" s="46" t="str">
        <f t="shared" si="81"/>
        <v/>
      </c>
      <c r="R228" s="46" t="str">
        <f t="shared" si="81"/>
        <v/>
      </c>
      <c r="S228" s="46" t="str">
        <f t="shared" si="81"/>
        <v/>
      </c>
      <c r="T228" s="46" t="str">
        <f t="shared" si="81"/>
        <v/>
      </c>
      <c r="U228" s="46" t="str">
        <f t="shared" si="81"/>
        <v/>
      </c>
      <c r="V228" s="46" t="str">
        <f t="shared" si="81"/>
        <v/>
      </c>
      <c r="W228" s="46" t="str">
        <f t="shared" si="81"/>
        <v/>
      </c>
      <c r="X228" s="46" t="str">
        <f t="shared" si="81"/>
        <v/>
      </c>
      <c r="Y228" s="46" t="str">
        <f t="shared" si="81"/>
        <v/>
      </c>
      <c r="Z228" s="46" t="str">
        <f t="shared" si="81"/>
        <v/>
      </c>
      <c r="AA228" s="46" t="str">
        <f t="shared" si="81"/>
        <v/>
      </c>
      <c r="AB228" s="46" t="str">
        <f t="shared" si="81"/>
        <v/>
      </c>
      <c r="AC228" s="46" t="str">
        <f t="shared" si="81"/>
        <v/>
      </c>
      <c r="AD228" s="46" t="str">
        <f t="shared" si="81"/>
        <v/>
      </c>
      <c r="AE228" s="46" t="str">
        <f t="shared" si="81"/>
        <v/>
      </c>
      <c r="AF228" s="46" t="str">
        <f t="shared" si="81"/>
        <v/>
      </c>
      <c r="AG228" s="46" t="str">
        <f t="shared" si="81"/>
        <v/>
      </c>
      <c r="AH228" s="46" t="str">
        <f t="shared" si="81"/>
        <v/>
      </c>
      <c r="AI228" s="46" t="str">
        <f t="shared" si="81"/>
        <v/>
      </c>
      <c r="AJ228" s="46" t="str">
        <f t="shared" si="81"/>
        <v/>
      </c>
      <c r="AK228" s="46" t="str">
        <f t="shared" si="81"/>
        <v/>
      </c>
      <c r="AL228" s="46" t="str">
        <f t="shared" si="81"/>
        <v/>
      </c>
      <c r="AM228" s="46" t="str">
        <f t="shared" si="81"/>
        <v/>
      </c>
      <c r="AN228" s="46" t="str">
        <f t="shared" si="81"/>
        <v/>
      </c>
      <c r="AO228" s="46" t="str">
        <f t="shared" si="81"/>
        <v/>
      </c>
      <c r="AP228" s="46" t="str">
        <f t="shared" si="81"/>
        <v/>
      </c>
      <c r="AQ228" s="46" t="str">
        <f t="shared" si="81"/>
        <v/>
      </c>
      <c r="AR228" s="46" t="str">
        <f t="shared" si="81"/>
        <v/>
      </c>
      <c r="AS228" s="46" t="str">
        <f t="shared" si="81"/>
        <v/>
      </c>
      <c r="AT228" s="46" t="str">
        <f t="shared" si="81"/>
        <v/>
      </c>
      <c r="AU228" s="46" t="str">
        <f t="shared" si="81"/>
        <v/>
      </c>
      <c r="AV228" s="46" t="str">
        <f t="shared" si="81"/>
        <v/>
      </c>
      <c r="AW228" s="46" t="str">
        <f t="shared" si="81"/>
        <v/>
      </c>
      <c r="AX228" s="46" t="str">
        <f t="shared" si="81"/>
        <v/>
      </c>
      <c r="AY228" s="46" t="str">
        <f t="shared" si="81"/>
        <v/>
      </c>
      <c r="AZ228" s="46" t="str">
        <f t="shared" si="81"/>
        <v/>
      </c>
      <c r="BA228" s="46" t="str">
        <f t="shared" si="81"/>
        <v/>
      </c>
      <c r="BB228" s="46" t="str">
        <f t="shared" si="81"/>
        <v/>
      </c>
      <c r="BC228" s="46" t="str">
        <f t="shared" si="81"/>
        <v/>
      </c>
      <c r="BD228" s="46" t="str">
        <f t="shared" si="81"/>
        <v/>
      </c>
      <c r="BE228" s="46" t="str">
        <f t="shared" si="81"/>
        <v/>
      </c>
      <c r="BF228" s="46" t="str">
        <f t="shared" si="81"/>
        <v/>
      </c>
      <c r="BG228" s="46" t="str">
        <f t="shared" si="81"/>
        <v/>
      </c>
      <c r="BH228" s="46" t="str">
        <f t="shared" si="81"/>
        <v/>
      </c>
      <c r="BI228" s="46" t="str">
        <f t="shared" si="81"/>
        <v/>
      </c>
      <c r="BJ228" s="46" t="str">
        <f t="shared" si="81"/>
        <v/>
      </c>
      <c r="BK228" s="46" t="str">
        <f t="shared" si="81"/>
        <v/>
      </c>
      <c r="BL228" s="46" t="str">
        <f t="shared" si="81"/>
        <v/>
      </c>
      <c r="BM228" s="46" t="str">
        <f t="shared" si="81"/>
        <v/>
      </c>
      <c r="BN228" s="46" t="str">
        <f t="shared" si="81"/>
        <v/>
      </c>
      <c r="BO228" s="46" t="str">
        <f t="shared" ref="BO228:DH228" si="82">IF(BO35="X",$DK35,"")</f>
        <v/>
      </c>
      <c r="BP228" s="46" t="str">
        <f t="shared" si="82"/>
        <v/>
      </c>
      <c r="BQ228" s="46" t="str">
        <f t="shared" si="82"/>
        <v/>
      </c>
      <c r="BR228" s="46" t="str">
        <f t="shared" si="82"/>
        <v/>
      </c>
      <c r="BS228" s="46" t="str">
        <f t="shared" si="82"/>
        <v/>
      </c>
      <c r="BT228" s="46" t="str">
        <f t="shared" si="82"/>
        <v/>
      </c>
      <c r="BU228" s="46" t="str">
        <f t="shared" si="82"/>
        <v/>
      </c>
      <c r="BV228" s="46" t="str">
        <f t="shared" si="82"/>
        <v/>
      </c>
      <c r="BW228" s="46" t="str">
        <f t="shared" si="82"/>
        <v/>
      </c>
      <c r="BX228" s="46" t="str">
        <f t="shared" si="82"/>
        <v/>
      </c>
      <c r="BY228" s="46" t="str">
        <f t="shared" si="82"/>
        <v/>
      </c>
      <c r="BZ228" s="46" t="str">
        <f t="shared" si="82"/>
        <v/>
      </c>
      <c r="CA228" s="46" t="str">
        <f t="shared" si="82"/>
        <v/>
      </c>
      <c r="CB228" s="46" t="str">
        <f t="shared" si="82"/>
        <v/>
      </c>
      <c r="CC228" s="46" t="str">
        <f t="shared" si="82"/>
        <v/>
      </c>
      <c r="CD228" s="46" t="str">
        <f t="shared" si="82"/>
        <v/>
      </c>
      <c r="CE228" s="46" t="str">
        <f t="shared" si="82"/>
        <v/>
      </c>
      <c r="CF228" s="46" t="str">
        <f t="shared" si="82"/>
        <v/>
      </c>
      <c r="CG228" s="46" t="str">
        <f t="shared" si="82"/>
        <v/>
      </c>
      <c r="CH228" s="46" t="str">
        <f t="shared" si="82"/>
        <v/>
      </c>
      <c r="CI228" s="46" t="str">
        <f t="shared" si="82"/>
        <v/>
      </c>
      <c r="CJ228" s="46" t="str">
        <f t="shared" si="82"/>
        <v/>
      </c>
      <c r="CK228" s="46" t="str">
        <f t="shared" si="82"/>
        <v/>
      </c>
      <c r="CL228" s="46" t="str">
        <f t="shared" si="82"/>
        <v/>
      </c>
      <c r="CM228" s="46" t="str">
        <f t="shared" si="82"/>
        <v/>
      </c>
      <c r="CN228" s="46" t="str">
        <f t="shared" si="82"/>
        <v/>
      </c>
      <c r="CO228" s="46" t="str">
        <f t="shared" si="82"/>
        <v/>
      </c>
      <c r="CP228" s="46" t="str">
        <f t="shared" si="82"/>
        <v/>
      </c>
      <c r="CQ228" s="46" t="str">
        <f t="shared" si="82"/>
        <v/>
      </c>
      <c r="CR228" s="46" t="str">
        <f t="shared" si="82"/>
        <v/>
      </c>
      <c r="CS228" s="46" t="str">
        <f t="shared" si="82"/>
        <v/>
      </c>
      <c r="CT228" s="46" t="str">
        <f t="shared" si="82"/>
        <v/>
      </c>
      <c r="CU228" s="46" t="str">
        <f t="shared" si="82"/>
        <v/>
      </c>
      <c r="CV228" s="46" t="str">
        <f t="shared" si="82"/>
        <v/>
      </c>
      <c r="CW228" s="46" t="str">
        <f t="shared" si="82"/>
        <v/>
      </c>
      <c r="CX228" s="46" t="str">
        <f t="shared" si="82"/>
        <v/>
      </c>
      <c r="CY228" s="46" t="str">
        <f t="shared" si="82"/>
        <v/>
      </c>
      <c r="CZ228" s="46" t="str">
        <f t="shared" si="82"/>
        <v/>
      </c>
      <c r="DA228" s="46" t="str">
        <f t="shared" si="82"/>
        <v/>
      </c>
      <c r="DB228" s="46" t="str">
        <f t="shared" si="82"/>
        <v/>
      </c>
      <c r="DC228" s="46" t="str">
        <f t="shared" si="82"/>
        <v/>
      </c>
      <c r="DD228" s="46" t="str">
        <f t="shared" si="82"/>
        <v/>
      </c>
      <c r="DE228" s="46" t="str">
        <f t="shared" si="82"/>
        <v/>
      </c>
      <c r="DF228" s="46" t="str">
        <f t="shared" si="82"/>
        <v/>
      </c>
      <c r="DG228" s="46" t="str">
        <f t="shared" si="82"/>
        <v/>
      </c>
      <c r="DH228" s="46" t="str">
        <f t="shared" si="82"/>
        <v/>
      </c>
      <c r="DI228" s="46"/>
      <c r="DJ228" s="46"/>
      <c r="DK228" s="46"/>
      <c r="DL228" s="46"/>
      <c r="DM228" s="46"/>
      <c r="DN228" s="46"/>
      <c r="DO228" s="46"/>
      <c r="DP228" s="46"/>
      <c r="DQ228" s="46"/>
      <c r="DR228" s="46"/>
      <c r="DS228" s="46"/>
      <c r="DT228" s="46"/>
      <c r="DU228" s="46"/>
      <c r="DV228" s="46"/>
      <c r="DW228" s="9"/>
      <c r="DX228" s="1"/>
    </row>
    <row r="229" spans="1:128" x14ac:dyDescent="0.25">
      <c r="A229" s="46"/>
      <c r="B229" s="46" t="str">
        <f t="shared" si="22"/>
        <v/>
      </c>
      <c r="C229" s="46" t="str">
        <f t="shared" ref="C229:BN229" si="83">IF(C36="X",$DK36,"")</f>
        <v/>
      </c>
      <c r="D229" s="46" t="str">
        <f t="shared" si="83"/>
        <v/>
      </c>
      <c r="E229" s="46" t="str">
        <f t="shared" si="83"/>
        <v/>
      </c>
      <c r="F229" s="46" t="str">
        <f t="shared" si="83"/>
        <v/>
      </c>
      <c r="G229" s="46" t="str">
        <f t="shared" si="83"/>
        <v/>
      </c>
      <c r="H229" s="46" t="str">
        <f t="shared" si="83"/>
        <v/>
      </c>
      <c r="I229" s="46" t="str">
        <f t="shared" si="83"/>
        <v/>
      </c>
      <c r="J229" s="46" t="str">
        <f t="shared" si="83"/>
        <v/>
      </c>
      <c r="K229" s="46">
        <f t="shared" si="83"/>
        <v>8</v>
      </c>
      <c r="L229" s="46">
        <f t="shared" si="83"/>
        <v>8</v>
      </c>
      <c r="M229" s="46">
        <f t="shared" si="83"/>
        <v>8</v>
      </c>
      <c r="N229" s="46">
        <f t="shared" si="83"/>
        <v>8</v>
      </c>
      <c r="O229" s="46">
        <f t="shared" si="83"/>
        <v>8</v>
      </c>
      <c r="P229" s="46">
        <f t="shared" si="83"/>
        <v>8</v>
      </c>
      <c r="Q229" s="46">
        <f t="shared" si="83"/>
        <v>8</v>
      </c>
      <c r="R229" s="46">
        <f t="shared" si="83"/>
        <v>8</v>
      </c>
      <c r="S229" s="46">
        <f t="shared" si="83"/>
        <v>8</v>
      </c>
      <c r="T229" s="46">
        <f t="shared" si="83"/>
        <v>8</v>
      </c>
      <c r="U229" s="46">
        <f t="shared" si="83"/>
        <v>8</v>
      </c>
      <c r="V229" s="46" t="str">
        <f t="shared" si="83"/>
        <v/>
      </c>
      <c r="W229" s="46">
        <f t="shared" si="83"/>
        <v>8</v>
      </c>
      <c r="X229" s="46">
        <f t="shared" si="83"/>
        <v>8</v>
      </c>
      <c r="Y229" s="46">
        <f t="shared" si="83"/>
        <v>8</v>
      </c>
      <c r="Z229" s="46" t="str">
        <f t="shared" si="83"/>
        <v/>
      </c>
      <c r="AA229" s="46" t="str">
        <f t="shared" si="83"/>
        <v/>
      </c>
      <c r="AB229" s="46" t="str">
        <f t="shared" si="83"/>
        <v/>
      </c>
      <c r="AC229" s="46" t="str">
        <f t="shared" si="83"/>
        <v/>
      </c>
      <c r="AD229" s="46" t="str">
        <f t="shared" si="83"/>
        <v/>
      </c>
      <c r="AE229" s="46" t="str">
        <f t="shared" si="83"/>
        <v/>
      </c>
      <c r="AF229" s="46" t="str">
        <f t="shared" si="83"/>
        <v/>
      </c>
      <c r="AG229" s="46" t="str">
        <f t="shared" si="83"/>
        <v/>
      </c>
      <c r="AH229" s="46" t="str">
        <f t="shared" si="83"/>
        <v/>
      </c>
      <c r="AI229" s="46" t="str">
        <f t="shared" si="83"/>
        <v/>
      </c>
      <c r="AJ229" s="46" t="str">
        <f t="shared" si="83"/>
        <v/>
      </c>
      <c r="AK229" s="46" t="str">
        <f t="shared" si="83"/>
        <v/>
      </c>
      <c r="AL229" s="46" t="str">
        <f t="shared" si="83"/>
        <v/>
      </c>
      <c r="AM229" s="46" t="str">
        <f t="shared" si="83"/>
        <v/>
      </c>
      <c r="AN229" s="46" t="str">
        <f t="shared" si="83"/>
        <v/>
      </c>
      <c r="AO229" s="46" t="str">
        <f t="shared" si="83"/>
        <v/>
      </c>
      <c r="AP229" s="46" t="str">
        <f t="shared" si="83"/>
        <v/>
      </c>
      <c r="AQ229" s="46" t="str">
        <f t="shared" si="83"/>
        <v/>
      </c>
      <c r="AR229" s="46" t="str">
        <f t="shared" si="83"/>
        <v/>
      </c>
      <c r="AS229" s="46" t="str">
        <f t="shared" si="83"/>
        <v/>
      </c>
      <c r="AT229" s="46" t="str">
        <f t="shared" si="83"/>
        <v/>
      </c>
      <c r="AU229" s="46" t="str">
        <f t="shared" si="83"/>
        <v/>
      </c>
      <c r="AV229" s="46" t="str">
        <f t="shared" si="83"/>
        <v/>
      </c>
      <c r="AW229" s="46" t="str">
        <f t="shared" si="83"/>
        <v/>
      </c>
      <c r="AX229" s="46" t="str">
        <f t="shared" si="83"/>
        <v/>
      </c>
      <c r="AY229" s="46" t="str">
        <f t="shared" si="83"/>
        <v/>
      </c>
      <c r="AZ229" s="46" t="str">
        <f t="shared" si="83"/>
        <v/>
      </c>
      <c r="BA229" s="46" t="str">
        <f t="shared" si="83"/>
        <v/>
      </c>
      <c r="BB229" s="46" t="str">
        <f t="shared" si="83"/>
        <v/>
      </c>
      <c r="BC229" s="46" t="str">
        <f t="shared" si="83"/>
        <v/>
      </c>
      <c r="BD229" s="46" t="str">
        <f t="shared" si="83"/>
        <v/>
      </c>
      <c r="BE229" s="46" t="str">
        <f t="shared" si="83"/>
        <v/>
      </c>
      <c r="BF229" s="46" t="str">
        <f t="shared" si="83"/>
        <v/>
      </c>
      <c r="BG229" s="46" t="str">
        <f t="shared" si="83"/>
        <v/>
      </c>
      <c r="BH229" s="46" t="str">
        <f t="shared" si="83"/>
        <v/>
      </c>
      <c r="BI229" s="46" t="str">
        <f t="shared" si="83"/>
        <v/>
      </c>
      <c r="BJ229" s="46" t="str">
        <f t="shared" si="83"/>
        <v/>
      </c>
      <c r="BK229" s="46" t="str">
        <f t="shared" si="83"/>
        <v/>
      </c>
      <c r="BL229" s="46" t="str">
        <f t="shared" si="83"/>
        <v/>
      </c>
      <c r="BM229" s="46" t="str">
        <f t="shared" si="83"/>
        <v/>
      </c>
      <c r="BN229" s="46" t="str">
        <f t="shared" si="83"/>
        <v/>
      </c>
      <c r="BO229" s="46" t="str">
        <f t="shared" ref="BO229:DH229" si="84">IF(BO36="X",$DK36,"")</f>
        <v/>
      </c>
      <c r="BP229" s="46" t="str">
        <f t="shared" si="84"/>
        <v/>
      </c>
      <c r="BQ229" s="46" t="str">
        <f t="shared" si="84"/>
        <v/>
      </c>
      <c r="BR229" s="46" t="str">
        <f t="shared" si="84"/>
        <v/>
      </c>
      <c r="BS229" s="46" t="str">
        <f t="shared" si="84"/>
        <v/>
      </c>
      <c r="BT229" s="46" t="str">
        <f t="shared" si="84"/>
        <v/>
      </c>
      <c r="BU229" s="46" t="str">
        <f t="shared" si="84"/>
        <v/>
      </c>
      <c r="BV229" s="46" t="str">
        <f t="shared" si="84"/>
        <v/>
      </c>
      <c r="BW229" s="46" t="str">
        <f t="shared" si="84"/>
        <v/>
      </c>
      <c r="BX229" s="46" t="str">
        <f t="shared" si="84"/>
        <v/>
      </c>
      <c r="BY229" s="46" t="str">
        <f t="shared" si="84"/>
        <v/>
      </c>
      <c r="BZ229" s="46" t="str">
        <f t="shared" si="84"/>
        <v/>
      </c>
      <c r="CA229" s="46" t="str">
        <f t="shared" si="84"/>
        <v/>
      </c>
      <c r="CB229" s="46" t="str">
        <f t="shared" si="84"/>
        <v/>
      </c>
      <c r="CC229" s="46" t="str">
        <f t="shared" si="84"/>
        <v/>
      </c>
      <c r="CD229" s="46" t="str">
        <f t="shared" si="84"/>
        <v/>
      </c>
      <c r="CE229" s="46" t="str">
        <f t="shared" si="84"/>
        <v/>
      </c>
      <c r="CF229" s="46" t="str">
        <f t="shared" si="84"/>
        <v/>
      </c>
      <c r="CG229" s="46" t="str">
        <f t="shared" si="84"/>
        <v/>
      </c>
      <c r="CH229" s="46" t="str">
        <f t="shared" si="84"/>
        <v/>
      </c>
      <c r="CI229" s="46" t="str">
        <f t="shared" si="84"/>
        <v/>
      </c>
      <c r="CJ229" s="46" t="str">
        <f t="shared" si="84"/>
        <v/>
      </c>
      <c r="CK229" s="46" t="str">
        <f t="shared" si="84"/>
        <v/>
      </c>
      <c r="CL229" s="46" t="str">
        <f t="shared" si="84"/>
        <v/>
      </c>
      <c r="CM229" s="46" t="str">
        <f t="shared" si="84"/>
        <v/>
      </c>
      <c r="CN229" s="46" t="str">
        <f t="shared" si="84"/>
        <v/>
      </c>
      <c r="CO229" s="46" t="str">
        <f t="shared" si="84"/>
        <v/>
      </c>
      <c r="CP229" s="46" t="str">
        <f t="shared" si="84"/>
        <v/>
      </c>
      <c r="CQ229" s="46" t="str">
        <f t="shared" si="84"/>
        <v/>
      </c>
      <c r="CR229" s="46" t="str">
        <f t="shared" si="84"/>
        <v/>
      </c>
      <c r="CS229" s="46" t="str">
        <f t="shared" si="84"/>
        <v/>
      </c>
      <c r="CT229" s="46" t="str">
        <f t="shared" si="84"/>
        <v/>
      </c>
      <c r="CU229" s="46" t="str">
        <f t="shared" si="84"/>
        <v/>
      </c>
      <c r="CV229" s="46" t="str">
        <f t="shared" si="84"/>
        <v/>
      </c>
      <c r="CW229" s="46" t="str">
        <f t="shared" si="84"/>
        <v/>
      </c>
      <c r="CX229" s="46" t="str">
        <f t="shared" si="84"/>
        <v/>
      </c>
      <c r="CY229" s="46" t="str">
        <f t="shared" si="84"/>
        <v/>
      </c>
      <c r="CZ229" s="46" t="str">
        <f t="shared" si="84"/>
        <v/>
      </c>
      <c r="DA229" s="46" t="str">
        <f t="shared" si="84"/>
        <v/>
      </c>
      <c r="DB229" s="46" t="str">
        <f t="shared" si="84"/>
        <v/>
      </c>
      <c r="DC229" s="46" t="str">
        <f t="shared" si="84"/>
        <v/>
      </c>
      <c r="DD229" s="46" t="str">
        <f t="shared" si="84"/>
        <v/>
      </c>
      <c r="DE229" s="46" t="str">
        <f t="shared" si="84"/>
        <v/>
      </c>
      <c r="DF229" s="46" t="str">
        <f t="shared" si="84"/>
        <v/>
      </c>
      <c r="DG229" s="46" t="str">
        <f t="shared" si="84"/>
        <v/>
      </c>
      <c r="DH229" s="46" t="str">
        <f t="shared" si="84"/>
        <v/>
      </c>
      <c r="DI229" s="46"/>
      <c r="DJ229" s="46"/>
      <c r="DK229" s="46"/>
      <c r="DL229" s="46"/>
      <c r="DM229" s="46"/>
      <c r="DN229" s="46"/>
      <c r="DO229" s="46"/>
      <c r="DP229" s="46"/>
      <c r="DQ229" s="46"/>
      <c r="DR229" s="46"/>
      <c r="DS229" s="46"/>
      <c r="DT229" s="46"/>
      <c r="DU229" s="46"/>
      <c r="DV229" s="46"/>
      <c r="DW229" s="9"/>
      <c r="DX229" s="1"/>
    </row>
    <row r="230" spans="1:128" x14ac:dyDescent="0.25">
      <c r="A230" s="46"/>
      <c r="B230" s="46" t="str">
        <f t="shared" si="22"/>
        <v/>
      </c>
      <c r="C230" s="46" t="str">
        <f t="shared" ref="C230:BN230" si="85">IF(C37="X",$DK37,"")</f>
        <v/>
      </c>
      <c r="D230" s="46" t="str">
        <f t="shared" si="85"/>
        <v/>
      </c>
      <c r="E230" s="46" t="str">
        <f t="shared" si="85"/>
        <v/>
      </c>
      <c r="F230" s="46" t="str">
        <f t="shared" si="85"/>
        <v/>
      </c>
      <c r="G230" s="46" t="str">
        <f t="shared" si="85"/>
        <v/>
      </c>
      <c r="H230" s="46" t="str">
        <f t="shared" si="85"/>
        <v/>
      </c>
      <c r="I230" s="46" t="str">
        <f t="shared" si="85"/>
        <v/>
      </c>
      <c r="J230" s="46" t="str">
        <f t="shared" si="85"/>
        <v/>
      </c>
      <c r="K230" s="46" t="str">
        <f t="shared" si="85"/>
        <v/>
      </c>
      <c r="L230" s="46" t="str">
        <f t="shared" si="85"/>
        <v/>
      </c>
      <c r="M230" s="46" t="str">
        <f t="shared" si="85"/>
        <v/>
      </c>
      <c r="N230" s="46" t="str">
        <f t="shared" si="85"/>
        <v/>
      </c>
      <c r="O230" s="46" t="str">
        <f t="shared" si="85"/>
        <v/>
      </c>
      <c r="P230" s="46" t="str">
        <f t="shared" si="85"/>
        <v/>
      </c>
      <c r="Q230" s="46" t="str">
        <f t="shared" si="85"/>
        <v/>
      </c>
      <c r="R230" s="46" t="str">
        <f t="shared" si="85"/>
        <v/>
      </c>
      <c r="S230" s="46" t="str">
        <f t="shared" si="85"/>
        <v/>
      </c>
      <c r="T230" s="46" t="str">
        <f t="shared" si="85"/>
        <v/>
      </c>
      <c r="U230" s="46" t="str">
        <f t="shared" si="85"/>
        <v/>
      </c>
      <c r="V230" s="46" t="str">
        <f t="shared" si="85"/>
        <v/>
      </c>
      <c r="W230" s="46" t="str">
        <f t="shared" si="85"/>
        <v/>
      </c>
      <c r="X230" s="46" t="str">
        <f t="shared" si="85"/>
        <v/>
      </c>
      <c r="Y230" s="46" t="str">
        <f t="shared" si="85"/>
        <v/>
      </c>
      <c r="Z230" s="46" t="str">
        <f t="shared" si="85"/>
        <v/>
      </c>
      <c r="AA230" s="46" t="str">
        <f t="shared" si="85"/>
        <v/>
      </c>
      <c r="AB230" s="46" t="str">
        <f t="shared" si="85"/>
        <v/>
      </c>
      <c r="AC230" s="46" t="str">
        <f t="shared" si="85"/>
        <v/>
      </c>
      <c r="AD230" s="46" t="str">
        <f t="shared" si="85"/>
        <v/>
      </c>
      <c r="AE230" s="46" t="str">
        <f t="shared" si="85"/>
        <v/>
      </c>
      <c r="AF230" s="46" t="str">
        <f t="shared" si="85"/>
        <v/>
      </c>
      <c r="AG230" s="46" t="str">
        <f t="shared" si="85"/>
        <v/>
      </c>
      <c r="AH230" s="46" t="str">
        <f t="shared" si="85"/>
        <v/>
      </c>
      <c r="AI230" s="46" t="str">
        <f t="shared" si="85"/>
        <v/>
      </c>
      <c r="AJ230" s="46" t="str">
        <f t="shared" si="85"/>
        <v/>
      </c>
      <c r="AK230" s="46" t="str">
        <f t="shared" si="85"/>
        <v/>
      </c>
      <c r="AL230" s="46" t="str">
        <f t="shared" si="85"/>
        <v/>
      </c>
      <c r="AM230" s="46" t="str">
        <f t="shared" si="85"/>
        <v/>
      </c>
      <c r="AN230" s="46" t="str">
        <f t="shared" si="85"/>
        <v/>
      </c>
      <c r="AO230" s="46" t="str">
        <f t="shared" si="85"/>
        <v/>
      </c>
      <c r="AP230" s="46" t="str">
        <f t="shared" si="85"/>
        <v/>
      </c>
      <c r="AQ230" s="46" t="str">
        <f t="shared" si="85"/>
        <v/>
      </c>
      <c r="AR230" s="46" t="str">
        <f t="shared" si="85"/>
        <v/>
      </c>
      <c r="AS230" s="46" t="str">
        <f t="shared" si="85"/>
        <v/>
      </c>
      <c r="AT230" s="46" t="str">
        <f t="shared" si="85"/>
        <v/>
      </c>
      <c r="AU230" s="46" t="str">
        <f t="shared" si="85"/>
        <v/>
      </c>
      <c r="AV230" s="46" t="str">
        <f t="shared" si="85"/>
        <v/>
      </c>
      <c r="AW230" s="46" t="str">
        <f t="shared" si="85"/>
        <v/>
      </c>
      <c r="AX230" s="46" t="str">
        <f t="shared" si="85"/>
        <v/>
      </c>
      <c r="AY230" s="46" t="str">
        <f t="shared" si="85"/>
        <v/>
      </c>
      <c r="AZ230" s="46" t="str">
        <f t="shared" si="85"/>
        <v/>
      </c>
      <c r="BA230" s="46" t="str">
        <f t="shared" si="85"/>
        <v/>
      </c>
      <c r="BB230" s="46" t="str">
        <f t="shared" si="85"/>
        <v/>
      </c>
      <c r="BC230" s="46" t="str">
        <f t="shared" si="85"/>
        <v/>
      </c>
      <c r="BD230" s="46" t="str">
        <f t="shared" si="85"/>
        <v/>
      </c>
      <c r="BE230" s="46" t="str">
        <f t="shared" si="85"/>
        <v/>
      </c>
      <c r="BF230" s="46" t="str">
        <f t="shared" si="85"/>
        <v/>
      </c>
      <c r="BG230" s="46" t="str">
        <f t="shared" si="85"/>
        <v/>
      </c>
      <c r="BH230" s="46" t="str">
        <f t="shared" si="85"/>
        <v/>
      </c>
      <c r="BI230" s="46" t="str">
        <f t="shared" si="85"/>
        <v/>
      </c>
      <c r="BJ230" s="46" t="str">
        <f t="shared" si="85"/>
        <v/>
      </c>
      <c r="BK230" s="46" t="str">
        <f t="shared" si="85"/>
        <v/>
      </c>
      <c r="BL230" s="46" t="str">
        <f t="shared" si="85"/>
        <v/>
      </c>
      <c r="BM230" s="46" t="str">
        <f t="shared" si="85"/>
        <v/>
      </c>
      <c r="BN230" s="46" t="str">
        <f t="shared" si="85"/>
        <v/>
      </c>
      <c r="BO230" s="46" t="str">
        <f t="shared" ref="BO230:DH230" si="86">IF(BO37="X",$DK37,"")</f>
        <v/>
      </c>
      <c r="BP230" s="46" t="str">
        <f t="shared" si="86"/>
        <v/>
      </c>
      <c r="BQ230" s="46">
        <f t="shared" si="86"/>
        <v>16</v>
      </c>
      <c r="BR230" s="46" t="str">
        <f t="shared" si="86"/>
        <v/>
      </c>
      <c r="BS230" s="46" t="str">
        <f t="shared" si="86"/>
        <v/>
      </c>
      <c r="BT230" s="46" t="str">
        <f t="shared" si="86"/>
        <v/>
      </c>
      <c r="BU230" s="46" t="str">
        <f t="shared" si="86"/>
        <v/>
      </c>
      <c r="BV230" s="46" t="str">
        <f t="shared" si="86"/>
        <v/>
      </c>
      <c r="BW230" s="46" t="str">
        <f t="shared" si="86"/>
        <v/>
      </c>
      <c r="BX230" s="46" t="str">
        <f t="shared" si="86"/>
        <v/>
      </c>
      <c r="BY230" s="46" t="str">
        <f t="shared" si="86"/>
        <v/>
      </c>
      <c r="BZ230" s="46" t="str">
        <f t="shared" si="86"/>
        <v/>
      </c>
      <c r="CA230" s="46" t="str">
        <f t="shared" si="86"/>
        <v/>
      </c>
      <c r="CB230" s="46" t="str">
        <f t="shared" si="86"/>
        <v/>
      </c>
      <c r="CC230" s="46" t="str">
        <f t="shared" si="86"/>
        <v/>
      </c>
      <c r="CD230" s="46" t="str">
        <f t="shared" si="86"/>
        <v/>
      </c>
      <c r="CE230" s="46" t="str">
        <f t="shared" si="86"/>
        <v/>
      </c>
      <c r="CF230" s="46" t="str">
        <f t="shared" si="86"/>
        <v/>
      </c>
      <c r="CG230" s="46" t="str">
        <f t="shared" si="86"/>
        <v/>
      </c>
      <c r="CH230" s="46" t="str">
        <f t="shared" si="86"/>
        <v/>
      </c>
      <c r="CI230" s="46" t="str">
        <f t="shared" si="86"/>
        <v/>
      </c>
      <c r="CJ230" s="46">
        <f t="shared" si="86"/>
        <v>16</v>
      </c>
      <c r="CK230" s="46" t="str">
        <f t="shared" si="86"/>
        <v/>
      </c>
      <c r="CL230" s="46" t="str">
        <f t="shared" si="86"/>
        <v/>
      </c>
      <c r="CM230" s="46" t="str">
        <f t="shared" si="86"/>
        <v/>
      </c>
      <c r="CN230" s="46" t="str">
        <f t="shared" si="86"/>
        <v/>
      </c>
      <c r="CO230" s="46" t="str">
        <f t="shared" si="86"/>
        <v/>
      </c>
      <c r="CP230" s="46" t="str">
        <f t="shared" si="86"/>
        <v/>
      </c>
      <c r="CQ230" s="46" t="str">
        <f t="shared" si="86"/>
        <v/>
      </c>
      <c r="CR230" s="46" t="str">
        <f t="shared" si="86"/>
        <v/>
      </c>
      <c r="CS230" s="46" t="str">
        <f t="shared" si="86"/>
        <v/>
      </c>
      <c r="CT230" s="46" t="str">
        <f t="shared" si="86"/>
        <v/>
      </c>
      <c r="CU230" s="46" t="str">
        <f t="shared" si="86"/>
        <v/>
      </c>
      <c r="CV230" s="46" t="str">
        <f t="shared" si="86"/>
        <v/>
      </c>
      <c r="CW230" s="46" t="str">
        <f t="shared" si="86"/>
        <v/>
      </c>
      <c r="CX230" s="46" t="str">
        <f t="shared" si="86"/>
        <v/>
      </c>
      <c r="CY230" s="46" t="str">
        <f t="shared" si="86"/>
        <v/>
      </c>
      <c r="CZ230" s="46" t="str">
        <f t="shared" si="86"/>
        <v/>
      </c>
      <c r="DA230" s="46" t="str">
        <f t="shared" si="86"/>
        <v/>
      </c>
      <c r="DB230" s="46" t="str">
        <f t="shared" si="86"/>
        <v/>
      </c>
      <c r="DC230" s="46" t="str">
        <f t="shared" si="86"/>
        <v/>
      </c>
      <c r="DD230" s="46" t="str">
        <f t="shared" si="86"/>
        <v/>
      </c>
      <c r="DE230" s="46" t="str">
        <f t="shared" si="86"/>
        <v/>
      </c>
      <c r="DF230" s="46" t="str">
        <f t="shared" si="86"/>
        <v/>
      </c>
      <c r="DG230" s="46" t="str">
        <f t="shared" si="86"/>
        <v/>
      </c>
      <c r="DH230" s="46" t="str">
        <f t="shared" si="86"/>
        <v/>
      </c>
      <c r="DI230" s="46"/>
      <c r="DJ230" s="46"/>
      <c r="DK230" s="46"/>
      <c r="DL230" s="46"/>
      <c r="DM230" s="46"/>
      <c r="DN230" s="46"/>
      <c r="DO230" s="46"/>
      <c r="DP230" s="46"/>
      <c r="DQ230" s="46"/>
      <c r="DR230" s="46"/>
      <c r="DS230" s="46"/>
      <c r="DT230" s="46"/>
      <c r="DU230" s="46"/>
      <c r="DV230" s="46"/>
      <c r="DW230" s="9"/>
      <c r="DX230" s="1"/>
    </row>
    <row r="231" spans="1:128" x14ac:dyDescent="0.25">
      <c r="A231" s="46"/>
      <c r="B231" s="46" t="str">
        <f t="shared" si="22"/>
        <v/>
      </c>
      <c r="C231" s="46" t="str">
        <f t="shared" ref="C231:BN231" si="87">IF(C38="X",$DK38,"")</f>
        <v/>
      </c>
      <c r="D231" s="46" t="str">
        <f t="shared" si="87"/>
        <v/>
      </c>
      <c r="E231" s="46" t="str">
        <f t="shared" si="87"/>
        <v/>
      </c>
      <c r="F231" s="46" t="str">
        <f t="shared" si="87"/>
        <v/>
      </c>
      <c r="G231" s="46" t="str">
        <f t="shared" si="87"/>
        <v/>
      </c>
      <c r="H231" s="46" t="str">
        <f t="shared" si="87"/>
        <v/>
      </c>
      <c r="I231" s="46" t="str">
        <f t="shared" si="87"/>
        <v/>
      </c>
      <c r="J231" s="46" t="str">
        <f t="shared" si="87"/>
        <v/>
      </c>
      <c r="K231" s="46" t="str">
        <f t="shared" si="87"/>
        <v/>
      </c>
      <c r="L231" s="46" t="str">
        <f t="shared" si="87"/>
        <v/>
      </c>
      <c r="M231" s="46">
        <f t="shared" si="87"/>
        <v>4</v>
      </c>
      <c r="N231" s="46">
        <f t="shared" si="87"/>
        <v>4</v>
      </c>
      <c r="O231" s="46" t="str">
        <f t="shared" si="87"/>
        <v/>
      </c>
      <c r="P231" s="46">
        <f t="shared" si="87"/>
        <v>4</v>
      </c>
      <c r="Q231" s="46" t="str">
        <f t="shared" si="87"/>
        <v/>
      </c>
      <c r="R231" s="46" t="str">
        <f t="shared" si="87"/>
        <v/>
      </c>
      <c r="S231" s="46" t="str">
        <f t="shared" si="87"/>
        <v/>
      </c>
      <c r="T231" s="46">
        <f t="shared" si="87"/>
        <v>4</v>
      </c>
      <c r="U231" s="46" t="str">
        <f t="shared" si="87"/>
        <v/>
      </c>
      <c r="V231" s="46" t="str">
        <f t="shared" si="87"/>
        <v/>
      </c>
      <c r="W231" s="46" t="str">
        <f t="shared" si="87"/>
        <v/>
      </c>
      <c r="X231" s="46" t="str">
        <f t="shared" si="87"/>
        <v/>
      </c>
      <c r="Y231" s="46" t="str">
        <f t="shared" si="87"/>
        <v/>
      </c>
      <c r="Z231" s="46" t="str">
        <f t="shared" si="87"/>
        <v/>
      </c>
      <c r="AA231" s="46" t="str">
        <f t="shared" si="87"/>
        <v/>
      </c>
      <c r="AB231" s="46" t="str">
        <f t="shared" si="87"/>
        <v/>
      </c>
      <c r="AC231" s="46" t="str">
        <f t="shared" si="87"/>
        <v/>
      </c>
      <c r="AD231" s="46" t="str">
        <f t="shared" si="87"/>
        <v/>
      </c>
      <c r="AE231" s="46" t="str">
        <f t="shared" si="87"/>
        <v/>
      </c>
      <c r="AF231" s="46" t="str">
        <f t="shared" si="87"/>
        <v/>
      </c>
      <c r="AG231" s="46" t="str">
        <f t="shared" si="87"/>
        <v/>
      </c>
      <c r="AH231" s="46" t="str">
        <f t="shared" si="87"/>
        <v/>
      </c>
      <c r="AI231" s="46" t="str">
        <f t="shared" si="87"/>
        <v/>
      </c>
      <c r="AJ231" s="46" t="str">
        <f t="shared" si="87"/>
        <v/>
      </c>
      <c r="AK231" s="46" t="str">
        <f t="shared" si="87"/>
        <v/>
      </c>
      <c r="AL231" s="46" t="str">
        <f t="shared" si="87"/>
        <v/>
      </c>
      <c r="AM231" s="46" t="str">
        <f t="shared" si="87"/>
        <v/>
      </c>
      <c r="AN231" s="46" t="str">
        <f t="shared" si="87"/>
        <v/>
      </c>
      <c r="AO231" s="46" t="str">
        <f t="shared" si="87"/>
        <v/>
      </c>
      <c r="AP231" s="46" t="str">
        <f t="shared" si="87"/>
        <v/>
      </c>
      <c r="AQ231" s="46" t="str">
        <f t="shared" si="87"/>
        <v/>
      </c>
      <c r="AR231" s="46" t="str">
        <f t="shared" si="87"/>
        <v/>
      </c>
      <c r="AS231" s="46" t="str">
        <f t="shared" si="87"/>
        <v/>
      </c>
      <c r="AT231" s="46" t="str">
        <f t="shared" si="87"/>
        <v/>
      </c>
      <c r="AU231" s="46" t="str">
        <f t="shared" si="87"/>
        <v/>
      </c>
      <c r="AV231" s="46" t="str">
        <f t="shared" si="87"/>
        <v/>
      </c>
      <c r="AW231" s="46" t="str">
        <f t="shared" si="87"/>
        <v/>
      </c>
      <c r="AX231" s="46" t="str">
        <f t="shared" si="87"/>
        <v/>
      </c>
      <c r="AY231" s="46" t="str">
        <f t="shared" si="87"/>
        <v/>
      </c>
      <c r="AZ231" s="46" t="str">
        <f t="shared" si="87"/>
        <v/>
      </c>
      <c r="BA231" s="46" t="str">
        <f t="shared" si="87"/>
        <v/>
      </c>
      <c r="BB231" s="46" t="str">
        <f t="shared" si="87"/>
        <v/>
      </c>
      <c r="BC231" s="46" t="str">
        <f t="shared" si="87"/>
        <v/>
      </c>
      <c r="BD231" s="46" t="str">
        <f t="shared" si="87"/>
        <v/>
      </c>
      <c r="BE231" s="46" t="str">
        <f t="shared" si="87"/>
        <v/>
      </c>
      <c r="BF231" s="46" t="str">
        <f t="shared" si="87"/>
        <v/>
      </c>
      <c r="BG231" s="46" t="str">
        <f t="shared" si="87"/>
        <v/>
      </c>
      <c r="BH231" s="46" t="str">
        <f t="shared" si="87"/>
        <v/>
      </c>
      <c r="BI231" s="46" t="str">
        <f t="shared" si="87"/>
        <v/>
      </c>
      <c r="BJ231" s="46" t="str">
        <f t="shared" si="87"/>
        <v/>
      </c>
      <c r="BK231" s="46" t="str">
        <f t="shared" si="87"/>
        <v/>
      </c>
      <c r="BL231" s="46" t="str">
        <f t="shared" si="87"/>
        <v/>
      </c>
      <c r="BM231" s="46" t="str">
        <f t="shared" si="87"/>
        <v/>
      </c>
      <c r="BN231" s="46" t="str">
        <f t="shared" si="87"/>
        <v/>
      </c>
      <c r="BO231" s="46" t="str">
        <f t="shared" ref="BO231:DH231" si="88">IF(BO38="X",$DK38,"")</f>
        <v/>
      </c>
      <c r="BP231" s="46" t="str">
        <f t="shared" si="88"/>
        <v/>
      </c>
      <c r="BQ231" s="46" t="str">
        <f t="shared" si="88"/>
        <v/>
      </c>
      <c r="BR231" s="46" t="str">
        <f t="shared" si="88"/>
        <v/>
      </c>
      <c r="BS231" s="46" t="str">
        <f t="shared" si="88"/>
        <v/>
      </c>
      <c r="BT231" s="46" t="str">
        <f t="shared" si="88"/>
        <v/>
      </c>
      <c r="BU231" s="46" t="str">
        <f t="shared" si="88"/>
        <v/>
      </c>
      <c r="BV231" s="46" t="str">
        <f t="shared" si="88"/>
        <v/>
      </c>
      <c r="BW231" s="46" t="str">
        <f t="shared" si="88"/>
        <v/>
      </c>
      <c r="BX231" s="46" t="str">
        <f t="shared" si="88"/>
        <v/>
      </c>
      <c r="BY231" s="46" t="str">
        <f t="shared" si="88"/>
        <v/>
      </c>
      <c r="BZ231" s="46" t="str">
        <f t="shared" si="88"/>
        <v/>
      </c>
      <c r="CA231" s="46" t="str">
        <f t="shared" si="88"/>
        <v/>
      </c>
      <c r="CB231" s="46" t="str">
        <f t="shared" si="88"/>
        <v/>
      </c>
      <c r="CC231" s="46" t="str">
        <f t="shared" si="88"/>
        <v/>
      </c>
      <c r="CD231" s="46" t="str">
        <f t="shared" si="88"/>
        <v/>
      </c>
      <c r="CE231" s="46" t="str">
        <f t="shared" si="88"/>
        <v/>
      </c>
      <c r="CF231" s="46" t="str">
        <f t="shared" si="88"/>
        <v/>
      </c>
      <c r="CG231" s="46" t="str">
        <f t="shared" si="88"/>
        <v/>
      </c>
      <c r="CH231" s="46" t="str">
        <f t="shared" si="88"/>
        <v/>
      </c>
      <c r="CI231" s="46" t="str">
        <f t="shared" si="88"/>
        <v/>
      </c>
      <c r="CJ231" s="46" t="str">
        <f t="shared" si="88"/>
        <v/>
      </c>
      <c r="CK231" s="46" t="str">
        <f t="shared" si="88"/>
        <v/>
      </c>
      <c r="CL231" s="46" t="str">
        <f t="shared" si="88"/>
        <v/>
      </c>
      <c r="CM231" s="46" t="str">
        <f t="shared" si="88"/>
        <v/>
      </c>
      <c r="CN231" s="46" t="str">
        <f t="shared" si="88"/>
        <v/>
      </c>
      <c r="CO231" s="46" t="str">
        <f t="shared" si="88"/>
        <v/>
      </c>
      <c r="CP231" s="46" t="str">
        <f t="shared" si="88"/>
        <v/>
      </c>
      <c r="CQ231" s="46" t="str">
        <f t="shared" si="88"/>
        <v/>
      </c>
      <c r="CR231" s="46" t="str">
        <f t="shared" si="88"/>
        <v/>
      </c>
      <c r="CS231" s="46" t="str">
        <f t="shared" si="88"/>
        <v/>
      </c>
      <c r="CT231" s="46" t="str">
        <f t="shared" si="88"/>
        <v/>
      </c>
      <c r="CU231" s="46" t="str">
        <f t="shared" si="88"/>
        <v/>
      </c>
      <c r="CV231" s="46" t="str">
        <f t="shared" si="88"/>
        <v/>
      </c>
      <c r="CW231" s="46" t="str">
        <f t="shared" si="88"/>
        <v/>
      </c>
      <c r="CX231" s="46" t="str">
        <f t="shared" si="88"/>
        <v/>
      </c>
      <c r="CY231" s="46" t="str">
        <f t="shared" si="88"/>
        <v/>
      </c>
      <c r="CZ231" s="46" t="str">
        <f t="shared" si="88"/>
        <v/>
      </c>
      <c r="DA231" s="46" t="str">
        <f t="shared" si="88"/>
        <v/>
      </c>
      <c r="DB231" s="46" t="str">
        <f t="shared" si="88"/>
        <v/>
      </c>
      <c r="DC231" s="46" t="str">
        <f t="shared" si="88"/>
        <v/>
      </c>
      <c r="DD231" s="46" t="str">
        <f t="shared" si="88"/>
        <v/>
      </c>
      <c r="DE231" s="46" t="str">
        <f t="shared" si="88"/>
        <v/>
      </c>
      <c r="DF231" s="46" t="str">
        <f t="shared" si="88"/>
        <v/>
      </c>
      <c r="DG231" s="46" t="str">
        <f t="shared" si="88"/>
        <v/>
      </c>
      <c r="DH231" s="46" t="str">
        <f t="shared" si="88"/>
        <v/>
      </c>
      <c r="DI231" s="46"/>
      <c r="DJ231" s="46"/>
      <c r="DK231" s="46"/>
      <c r="DL231" s="46"/>
      <c r="DM231" s="46"/>
      <c r="DN231" s="46"/>
      <c r="DO231" s="46"/>
      <c r="DP231" s="46"/>
      <c r="DQ231" s="46"/>
      <c r="DR231" s="46"/>
      <c r="DS231" s="46"/>
      <c r="DT231" s="46"/>
      <c r="DU231" s="46"/>
      <c r="DV231" s="46"/>
      <c r="DW231" s="9"/>
      <c r="DX231" s="1"/>
    </row>
    <row r="232" spans="1:128" x14ac:dyDescent="0.25">
      <c r="A232" s="46"/>
      <c r="B232" s="46" t="str">
        <f t="shared" si="22"/>
        <v/>
      </c>
      <c r="C232" s="46" t="str">
        <f t="shared" ref="C232:BN232" si="89">IF(C39="X",$DK39,"")</f>
        <v/>
      </c>
      <c r="D232" s="46" t="str">
        <f t="shared" si="89"/>
        <v/>
      </c>
      <c r="E232" s="46" t="str">
        <f t="shared" si="89"/>
        <v/>
      </c>
      <c r="F232" s="46" t="str">
        <f t="shared" si="89"/>
        <v/>
      </c>
      <c r="G232" s="46" t="str">
        <f t="shared" si="89"/>
        <v/>
      </c>
      <c r="H232" s="46" t="str">
        <f t="shared" si="89"/>
        <v/>
      </c>
      <c r="I232" s="46" t="str">
        <f t="shared" si="89"/>
        <v/>
      </c>
      <c r="J232" s="46" t="str">
        <f t="shared" si="89"/>
        <v/>
      </c>
      <c r="K232" s="46" t="str">
        <f t="shared" si="89"/>
        <v/>
      </c>
      <c r="L232" s="46" t="str">
        <f t="shared" si="89"/>
        <v/>
      </c>
      <c r="M232" s="46" t="str">
        <f t="shared" si="89"/>
        <v/>
      </c>
      <c r="N232" s="46" t="str">
        <f t="shared" si="89"/>
        <v/>
      </c>
      <c r="O232" s="46" t="str">
        <f t="shared" si="89"/>
        <v/>
      </c>
      <c r="P232" s="46" t="str">
        <f t="shared" si="89"/>
        <v/>
      </c>
      <c r="Q232" s="46" t="str">
        <f t="shared" si="89"/>
        <v/>
      </c>
      <c r="R232" s="46" t="str">
        <f t="shared" si="89"/>
        <v/>
      </c>
      <c r="S232" s="46" t="str">
        <f t="shared" si="89"/>
        <v/>
      </c>
      <c r="T232" s="46" t="str">
        <f t="shared" si="89"/>
        <v/>
      </c>
      <c r="U232" s="46" t="str">
        <f t="shared" si="89"/>
        <v/>
      </c>
      <c r="V232" s="46" t="str">
        <f t="shared" si="89"/>
        <v/>
      </c>
      <c r="W232" s="46" t="str">
        <f t="shared" si="89"/>
        <v/>
      </c>
      <c r="X232" s="46" t="str">
        <f t="shared" si="89"/>
        <v/>
      </c>
      <c r="Y232" s="46">
        <f t="shared" si="89"/>
        <v>4</v>
      </c>
      <c r="Z232" s="46" t="str">
        <f t="shared" si="89"/>
        <v/>
      </c>
      <c r="AA232" s="46" t="str">
        <f t="shared" si="89"/>
        <v/>
      </c>
      <c r="AB232" s="46" t="str">
        <f t="shared" si="89"/>
        <v/>
      </c>
      <c r="AC232" s="46" t="str">
        <f t="shared" si="89"/>
        <v/>
      </c>
      <c r="AD232" s="46" t="str">
        <f t="shared" si="89"/>
        <v/>
      </c>
      <c r="AE232" s="46" t="str">
        <f t="shared" si="89"/>
        <v/>
      </c>
      <c r="AF232" s="46" t="str">
        <f t="shared" si="89"/>
        <v/>
      </c>
      <c r="AG232" s="46" t="str">
        <f t="shared" si="89"/>
        <v/>
      </c>
      <c r="AH232" s="46" t="str">
        <f t="shared" si="89"/>
        <v/>
      </c>
      <c r="AI232" s="46" t="str">
        <f t="shared" si="89"/>
        <v/>
      </c>
      <c r="AJ232" s="46" t="str">
        <f t="shared" si="89"/>
        <v/>
      </c>
      <c r="AK232" s="46" t="str">
        <f t="shared" si="89"/>
        <v/>
      </c>
      <c r="AL232" s="46" t="str">
        <f t="shared" si="89"/>
        <v/>
      </c>
      <c r="AM232" s="46" t="str">
        <f t="shared" si="89"/>
        <v/>
      </c>
      <c r="AN232" s="46" t="str">
        <f t="shared" si="89"/>
        <v/>
      </c>
      <c r="AO232" s="46" t="str">
        <f t="shared" si="89"/>
        <v/>
      </c>
      <c r="AP232" s="46" t="str">
        <f t="shared" si="89"/>
        <v/>
      </c>
      <c r="AQ232" s="46" t="str">
        <f t="shared" si="89"/>
        <v/>
      </c>
      <c r="AR232" s="46" t="str">
        <f t="shared" si="89"/>
        <v/>
      </c>
      <c r="AS232" s="46" t="str">
        <f t="shared" si="89"/>
        <v/>
      </c>
      <c r="AT232" s="46" t="str">
        <f t="shared" si="89"/>
        <v/>
      </c>
      <c r="AU232" s="46" t="str">
        <f t="shared" si="89"/>
        <v/>
      </c>
      <c r="AV232" s="46" t="str">
        <f t="shared" si="89"/>
        <v/>
      </c>
      <c r="AW232" s="46" t="str">
        <f t="shared" si="89"/>
        <v/>
      </c>
      <c r="AX232" s="46" t="str">
        <f t="shared" si="89"/>
        <v/>
      </c>
      <c r="AY232" s="46" t="str">
        <f t="shared" si="89"/>
        <v/>
      </c>
      <c r="AZ232" s="46" t="str">
        <f t="shared" si="89"/>
        <v/>
      </c>
      <c r="BA232" s="46" t="str">
        <f t="shared" si="89"/>
        <v/>
      </c>
      <c r="BB232" s="46" t="str">
        <f t="shared" si="89"/>
        <v/>
      </c>
      <c r="BC232" s="46" t="str">
        <f t="shared" si="89"/>
        <v/>
      </c>
      <c r="BD232" s="46" t="str">
        <f t="shared" si="89"/>
        <v/>
      </c>
      <c r="BE232" s="46" t="str">
        <f t="shared" si="89"/>
        <v/>
      </c>
      <c r="BF232" s="46" t="str">
        <f t="shared" si="89"/>
        <v/>
      </c>
      <c r="BG232" s="46" t="str">
        <f t="shared" si="89"/>
        <v/>
      </c>
      <c r="BH232" s="46" t="str">
        <f t="shared" si="89"/>
        <v/>
      </c>
      <c r="BI232" s="46" t="str">
        <f t="shared" si="89"/>
        <v/>
      </c>
      <c r="BJ232" s="46" t="str">
        <f t="shared" si="89"/>
        <v/>
      </c>
      <c r="BK232" s="46" t="str">
        <f t="shared" si="89"/>
        <v/>
      </c>
      <c r="BL232" s="46" t="str">
        <f t="shared" si="89"/>
        <v/>
      </c>
      <c r="BM232" s="46" t="str">
        <f t="shared" si="89"/>
        <v/>
      </c>
      <c r="BN232" s="46" t="str">
        <f t="shared" si="89"/>
        <v/>
      </c>
      <c r="BO232" s="46" t="str">
        <f t="shared" ref="BO232:DH232" si="90">IF(BO39="X",$DK39,"")</f>
        <v/>
      </c>
      <c r="BP232" s="46" t="str">
        <f t="shared" si="90"/>
        <v/>
      </c>
      <c r="BQ232" s="46" t="str">
        <f t="shared" si="90"/>
        <v/>
      </c>
      <c r="BR232" s="46" t="str">
        <f t="shared" si="90"/>
        <v/>
      </c>
      <c r="BS232" s="46" t="str">
        <f t="shared" si="90"/>
        <v/>
      </c>
      <c r="BT232" s="46" t="str">
        <f t="shared" si="90"/>
        <v/>
      </c>
      <c r="BU232" s="46" t="str">
        <f t="shared" si="90"/>
        <v/>
      </c>
      <c r="BV232" s="46" t="str">
        <f t="shared" si="90"/>
        <v/>
      </c>
      <c r="BW232" s="46" t="str">
        <f t="shared" si="90"/>
        <v/>
      </c>
      <c r="BX232" s="46" t="str">
        <f t="shared" si="90"/>
        <v/>
      </c>
      <c r="BY232" s="46" t="str">
        <f t="shared" si="90"/>
        <v/>
      </c>
      <c r="BZ232" s="46" t="str">
        <f t="shared" si="90"/>
        <v/>
      </c>
      <c r="CA232" s="46" t="str">
        <f t="shared" si="90"/>
        <v/>
      </c>
      <c r="CB232" s="46" t="str">
        <f t="shared" si="90"/>
        <v/>
      </c>
      <c r="CC232" s="46" t="str">
        <f t="shared" si="90"/>
        <v/>
      </c>
      <c r="CD232" s="46" t="str">
        <f t="shared" si="90"/>
        <v/>
      </c>
      <c r="CE232" s="46" t="str">
        <f t="shared" si="90"/>
        <v/>
      </c>
      <c r="CF232" s="46" t="str">
        <f t="shared" si="90"/>
        <v/>
      </c>
      <c r="CG232" s="46" t="str">
        <f t="shared" si="90"/>
        <v/>
      </c>
      <c r="CH232" s="46" t="str">
        <f t="shared" si="90"/>
        <v/>
      </c>
      <c r="CI232" s="46" t="str">
        <f t="shared" si="90"/>
        <v/>
      </c>
      <c r="CJ232" s="46" t="str">
        <f t="shared" si="90"/>
        <v/>
      </c>
      <c r="CK232" s="46" t="str">
        <f t="shared" si="90"/>
        <v/>
      </c>
      <c r="CL232" s="46" t="str">
        <f t="shared" si="90"/>
        <v/>
      </c>
      <c r="CM232" s="46" t="str">
        <f t="shared" si="90"/>
        <v/>
      </c>
      <c r="CN232" s="46" t="str">
        <f t="shared" si="90"/>
        <v/>
      </c>
      <c r="CO232" s="46" t="str">
        <f t="shared" si="90"/>
        <v/>
      </c>
      <c r="CP232" s="46" t="str">
        <f t="shared" si="90"/>
        <v/>
      </c>
      <c r="CQ232" s="46" t="str">
        <f t="shared" si="90"/>
        <v/>
      </c>
      <c r="CR232" s="46" t="str">
        <f t="shared" si="90"/>
        <v/>
      </c>
      <c r="CS232" s="46" t="str">
        <f t="shared" si="90"/>
        <v/>
      </c>
      <c r="CT232" s="46" t="str">
        <f t="shared" si="90"/>
        <v/>
      </c>
      <c r="CU232" s="46" t="str">
        <f t="shared" si="90"/>
        <v/>
      </c>
      <c r="CV232" s="46" t="str">
        <f t="shared" si="90"/>
        <v/>
      </c>
      <c r="CW232" s="46" t="str">
        <f t="shared" si="90"/>
        <v/>
      </c>
      <c r="CX232" s="46" t="str">
        <f t="shared" si="90"/>
        <v/>
      </c>
      <c r="CY232" s="46" t="str">
        <f t="shared" si="90"/>
        <v/>
      </c>
      <c r="CZ232" s="46" t="str">
        <f t="shared" si="90"/>
        <v/>
      </c>
      <c r="DA232" s="46" t="str">
        <f t="shared" si="90"/>
        <v/>
      </c>
      <c r="DB232" s="46" t="str">
        <f t="shared" si="90"/>
        <v/>
      </c>
      <c r="DC232" s="46" t="str">
        <f t="shared" si="90"/>
        <v/>
      </c>
      <c r="DD232" s="46" t="str">
        <f t="shared" si="90"/>
        <v/>
      </c>
      <c r="DE232" s="46" t="str">
        <f t="shared" si="90"/>
        <v/>
      </c>
      <c r="DF232" s="46" t="str">
        <f t="shared" si="90"/>
        <v/>
      </c>
      <c r="DG232" s="46" t="str">
        <f t="shared" si="90"/>
        <v/>
      </c>
      <c r="DH232" s="46" t="str">
        <f t="shared" si="90"/>
        <v/>
      </c>
      <c r="DI232" s="46"/>
      <c r="DJ232" s="46"/>
      <c r="DK232" s="46"/>
      <c r="DL232" s="46"/>
      <c r="DM232" s="46"/>
      <c r="DN232" s="46"/>
      <c r="DO232" s="46"/>
      <c r="DP232" s="46"/>
      <c r="DQ232" s="46"/>
      <c r="DR232" s="46"/>
      <c r="DS232" s="46"/>
      <c r="DT232" s="46"/>
      <c r="DU232" s="46"/>
      <c r="DV232" s="46"/>
      <c r="DW232" s="9"/>
      <c r="DX232" s="1"/>
    </row>
    <row r="233" spans="1:128" x14ac:dyDescent="0.25">
      <c r="A233" s="46"/>
      <c r="B233" s="46" t="str">
        <f t="shared" si="22"/>
        <v/>
      </c>
      <c r="C233" s="46" t="str">
        <f t="shared" ref="C233:BN233" si="91">IF(C40="X",$DK40,"")</f>
        <v/>
      </c>
      <c r="D233" s="46" t="str">
        <f t="shared" si="91"/>
        <v/>
      </c>
      <c r="E233" s="46" t="str">
        <f t="shared" si="91"/>
        <v/>
      </c>
      <c r="F233" s="46" t="str">
        <f t="shared" si="91"/>
        <v/>
      </c>
      <c r="G233" s="46" t="str">
        <f t="shared" si="91"/>
        <v/>
      </c>
      <c r="H233" s="46" t="str">
        <f t="shared" si="91"/>
        <v/>
      </c>
      <c r="I233" s="46" t="str">
        <f t="shared" si="91"/>
        <v/>
      </c>
      <c r="J233" s="46" t="str">
        <f t="shared" si="91"/>
        <v/>
      </c>
      <c r="K233" s="46" t="str">
        <f t="shared" si="91"/>
        <v/>
      </c>
      <c r="L233" s="46" t="str">
        <f t="shared" si="91"/>
        <v/>
      </c>
      <c r="M233" s="46" t="str">
        <f t="shared" si="91"/>
        <v/>
      </c>
      <c r="N233" s="46" t="str">
        <f t="shared" si="91"/>
        <v/>
      </c>
      <c r="O233" s="46" t="str">
        <f t="shared" si="91"/>
        <v/>
      </c>
      <c r="P233" s="46" t="str">
        <f t="shared" si="91"/>
        <v/>
      </c>
      <c r="Q233" s="46" t="str">
        <f t="shared" si="91"/>
        <v/>
      </c>
      <c r="R233" s="46" t="str">
        <f t="shared" si="91"/>
        <v/>
      </c>
      <c r="S233" s="46" t="str">
        <f t="shared" si="91"/>
        <v/>
      </c>
      <c r="T233" s="46" t="str">
        <f t="shared" si="91"/>
        <v/>
      </c>
      <c r="U233" s="46" t="str">
        <f t="shared" si="91"/>
        <v/>
      </c>
      <c r="V233" s="46" t="str">
        <f t="shared" si="91"/>
        <v/>
      </c>
      <c r="W233" s="46" t="str">
        <f t="shared" si="91"/>
        <v/>
      </c>
      <c r="X233" s="46" t="str">
        <f t="shared" si="91"/>
        <v/>
      </c>
      <c r="Y233" s="46" t="str">
        <f t="shared" si="91"/>
        <v/>
      </c>
      <c r="Z233" s="46" t="str">
        <f t="shared" si="91"/>
        <v/>
      </c>
      <c r="AA233" s="46" t="str">
        <f t="shared" si="91"/>
        <v/>
      </c>
      <c r="AB233" s="46" t="str">
        <f t="shared" si="91"/>
        <v/>
      </c>
      <c r="AC233" s="46" t="str">
        <f t="shared" si="91"/>
        <v/>
      </c>
      <c r="AD233" s="46" t="str">
        <f t="shared" si="91"/>
        <v/>
      </c>
      <c r="AE233" s="46" t="str">
        <f t="shared" si="91"/>
        <v/>
      </c>
      <c r="AF233" s="46" t="str">
        <f t="shared" si="91"/>
        <v/>
      </c>
      <c r="AG233" s="46" t="str">
        <f t="shared" si="91"/>
        <v/>
      </c>
      <c r="AH233" s="46" t="str">
        <f t="shared" si="91"/>
        <v/>
      </c>
      <c r="AI233" s="46" t="str">
        <f t="shared" si="91"/>
        <v/>
      </c>
      <c r="AJ233" s="46" t="str">
        <f t="shared" si="91"/>
        <v/>
      </c>
      <c r="AK233" s="46" t="str">
        <f t="shared" si="91"/>
        <v/>
      </c>
      <c r="AL233" s="46" t="str">
        <f t="shared" si="91"/>
        <v/>
      </c>
      <c r="AM233" s="46" t="str">
        <f t="shared" si="91"/>
        <v/>
      </c>
      <c r="AN233" s="46" t="str">
        <f t="shared" si="91"/>
        <v/>
      </c>
      <c r="AO233" s="46" t="str">
        <f t="shared" si="91"/>
        <v/>
      </c>
      <c r="AP233" s="46" t="str">
        <f t="shared" si="91"/>
        <v/>
      </c>
      <c r="AQ233" s="46" t="str">
        <f t="shared" si="91"/>
        <v/>
      </c>
      <c r="AR233" s="46" t="str">
        <f t="shared" si="91"/>
        <v/>
      </c>
      <c r="AS233" s="46" t="str">
        <f t="shared" si="91"/>
        <v/>
      </c>
      <c r="AT233" s="46" t="str">
        <f t="shared" si="91"/>
        <v/>
      </c>
      <c r="AU233" s="46" t="str">
        <f t="shared" si="91"/>
        <v/>
      </c>
      <c r="AV233" s="46" t="str">
        <f t="shared" si="91"/>
        <v/>
      </c>
      <c r="AW233" s="46" t="str">
        <f t="shared" si="91"/>
        <v/>
      </c>
      <c r="AX233" s="46" t="str">
        <f t="shared" si="91"/>
        <v/>
      </c>
      <c r="AY233" s="46">
        <f t="shared" si="91"/>
        <v>8</v>
      </c>
      <c r="AZ233" s="46" t="str">
        <f t="shared" si="91"/>
        <v/>
      </c>
      <c r="BA233" s="46" t="str">
        <f t="shared" si="91"/>
        <v/>
      </c>
      <c r="BB233" s="46" t="str">
        <f t="shared" si="91"/>
        <v/>
      </c>
      <c r="BC233" s="46" t="str">
        <f t="shared" si="91"/>
        <v/>
      </c>
      <c r="BD233" s="46" t="str">
        <f t="shared" si="91"/>
        <v/>
      </c>
      <c r="BE233" s="46" t="str">
        <f t="shared" si="91"/>
        <v/>
      </c>
      <c r="BF233" s="46" t="str">
        <f t="shared" si="91"/>
        <v/>
      </c>
      <c r="BG233" s="46" t="str">
        <f t="shared" si="91"/>
        <v/>
      </c>
      <c r="BH233" s="46" t="str">
        <f t="shared" si="91"/>
        <v/>
      </c>
      <c r="BI233" s="46" t="str">
        <f t="shared" si="91"/>
        <v/>
      </c>
      <c r="BJ233" s="46" t="str">
        <f t="shared" si="91"/>
        <v/>
      </c>
      <c r="BK233" s="46" t="str">
        <f t="shared" si="91"/>
        <v/>
      </c>
      <c r="BL233" s="46" t="str">
        <f t="shared" si="91"/>
        <v/>
      </c>
      <c r="BM233" s="46" t="str">
        <f t="shared" si="91"/>
        <v/>
      </c>
      <c r="BN233" s="46" t="str">
        <f t="shared" si="91"/>
        <v/>
      </c>
      <c r="BO233" s="46" t="str">
        <f t="shared" ref="BO233:DH233" si="92">IF(BO40="X",$DK40,"")</f>
        <v/>
      </c>
      <c r="BP233" s="46" t="str">
        <f t="shared" si="92"/>
        <v/>
      </c>
      <c r="BQ233" s="46" t="str">
        <f t="shared" si="92"/>
        <v/>
      </c>
      <c r="BR233" s="46" t="str">
        <f t="shared" si="92"/>
        <v/>
      </c>
      <c r="BS233" s="46" t="str">
        <f t="shared" si="92"/>
        <v/>
      </c>
      <c r="BT233" s="46" t="str">
        <f t="shared" si="92"/>
        <v/>
      </c>
      <c r="BU233" s="46" t="str">
        <f t="shared" si="92"/>
        <v/>
      </c>
      <c r="BV233" s="46" t="str">
        <f t="shared" si="92"/>
        <v/>
      </c>
      <c r="BW233" s="46" t="str">
        <f t="shared" si="92"/>
        <v/>
      </c>
      <c r="BX233" s="46" t="str">
        <f t="shared" si="92"/>
        <v/>
      </c>
      <c r="BY233" s="46" t="str">
        <f t="shared" si="92"/>
        <v/>
      </c>
      <c r="BZ233" s="46" t="str">
        <f t="shared" si="92"/>
        <v/>
      </c>
      <c r="CA233" s="46" t="str">
        <f t="shared" si="92"/>
        <v/>
      </c>
      <c r="CB233" s="46" t="str">
        <f t="shared" si="92"/>
        <v/>
      </c>
      <c r="CC233" s="46" t="str">
        <f t="shared" si="92"/>
        <v/>
      </c>
      <c r="CD233" s="46" t="str">
        <f t="shared" si="92"/>
        <v/>
      </c>
      <c r="CE233" s="46" t="str">
        <f t="shared" si="92"/>
        <v/>
      </c>
      <c r="CF233" s="46" t="str">
        <f t="shared" si="92"/>
        <v/>
      </c>
      <c r="CG233" s="46" t="str">
        <f t="shared" si="92"/>
        <v/>
      </c>
      <c r="CH233" s="46" t="str">
        <f t="shared" si="92"/>
        <v/>
      </c>
      <c r="CI233" s="46" t="str">
        <f t="shared" si="92"/>
        <v/>
      </c>
      <c r="CJ233" s="46" t="str">
        <f t="shared" si="92"/>
        <v/>
      </c>
      <c r="CK233" s="46" t="str">
        <f t="shared" si="92"/>
        <v/>
      </c>
      <c r="CL233" s="46" t="str">
        <f t="shared" si="92"/>
        <v/>
      </c>
      <c r="CM233" s="46" t="str">
        <f t="shared" si="92"/>
        <v/>
      </c>
      <c r="CN233" s="46" t="str">
        <f t="shared" si="92"/>
        <v/>
      </c>
      <c r="CO233" s="46" t="str">
        <f t="shared" si="92"/>
        <v/>
      </c>
      <c r="CP233" s="46" t="str">
        <f t="shared" si="92"/>
        <v/>
      </c>
      <c r="CQ233" s="46" t="str">
        <f t="shared" si="92"/>
        <v/>
      </c>
      <c r="CR233" s="46" t="str">
        <f t="shared" si="92"/>
        <v/>
      </c>
      <c r="CS233" s="46" t="str">
        <f t="shared" si="92"/>
        <v/>
      </c>
      <c r="CT233" s="46" t="str">
        <f t="shared" si="92"/>
        <v/>
      </c>
      <c r="CU233" s="46" t="str">
        <f t="shared" si="92"/>
        <v/>
      </c>
      <c r="CV233" s="46" t="str">
        <f t="shared" si="92"/>
        <v/>
      </c>
      <c r="CW233" s="46" t="str">
        <f t="shared" si="92"/>
        <v/>
      </c>
      <c r="CX233" s="46" t="str">
        <f t="shared" si="92"/>
        <v/>
      </c>
      <c r="CY233" s="46" t="str">
        <f t="shared" si="92"/>
        <v/>
      </c>
      <c r="CZ233" s="46" t="str">
        <f t="shared" si="92"/>
        <v/>
      </c>
      <c r="DA233" s="46" t="str">
        <f t="shared" si="92"/>
        <v/>
      </c>
      <c r="DB233" s="46" t="str">
        <f t="shared" si="92"/>
        <v/>
      </c>
      <c r="DC233" s="46" t="str">
        <f t="shared" si="92"/>
        <v/>
      </c>
      <c r="DD233" s="46" t="str">
        <f t="shared" si="92"/>
        <v/>
      </c>
      <c r="DE233" s="46" t="str">
        <f t="shared" si="92"/>
        <v/>
      </c>
      <c r="DF233" s="46" t="str">
        <f t="shared" si="92"/>
        <v/>
      </c>
      <c r="DG233" s="46" t="str">
        <f t="shared" si="92"/>
        <v/>
      </c>
      <c r="DH233" s="46" t="str">
        <f t="shared" si="92"/>
        <v/>
      </c>
      <c r="DI233" s="46"/>
      <c r="DJ233" s="46"/>
      <c r="DK233" s="46"/>
      <c r="DL233" s="46"/>
      <c r="DM233" s="46"/>
      <c r="DN233" s="46"/>
      <c r="DO233" s="46"/>
      <c r="DP233" s="46"/>
      <c r="DQ233" s="46"/>
      <c r="DR233" s="46"/>
      <c r="DS233" s="46"/>
      <c r="DT233" s="46"/>
      <c r="DU233" s="46"/>
      <c r="DV233" s="46"/>
      <c r="DW233" s="9"/>
      <c r="DX233" s="1"/>
    </row>
    <row r="234" spans="1:128" x14ac:dyDescent="0.25">
      <c r="A234" s="46"/>
      <c r="B234" s="46" t="str">
        <f t="shared" si="22"/>
        <v/>
      </c>
      <c r="C234" s="46" t="str">
        <f t="shared" ref="C234:BN234" si="93">IF(C41="X",$DK41,"")</f>
        <v/>
      </c>
      <c r="D234" s="46">
        <f t="shared" si="93"/>
        <v>8</v>
      </c>
      <c r="E234" s="46">
        <f t="shared" si="93"/>
        <v>8</v>
      </c>
      <c r="F234" s="46">
        <f t="shared" si="93"/>
        <v>8</v>
      </c>
      <c r="G234" s="46">
        <f t="shared" si="93"/>
        <v>8</v>
      </c>
      <c r="H234" s="46" t="str">
        <f t="shared" si="93"/>
        <v/>
      </c>
      <c r="I234" s="46" t="str">
        <f t="shared" si="93"/>
        <v/>
      </c>
      <c r="J234" s="46" t="str">
        <f t="shared" si="93"/>
        <v/>
      </c>
      <c r="K234" s="46" t="str">
        <f t="shared" si="93"/>
        <v/>
      </c>
      <c r="L234" s="46">
        <f t="shared" si="93"/>
        <v>8</v>
      </c>
      <c r="M234" s="46">
        <f t="shared" si="93"/>
        <v>8</v>
      </c>
      <c r="N234" s="46">
        <f t="shared" si="93"/>
        <v>8</v>
      </c>
      <c r="O234" s="46">
        <f t="shared" si="93"/>
        <v>8</v>
      </c>
      <c r="P234" s="46">
        <f t="shared" si="93"/>
        <v>8</v>
      </c>
      <c r="Q234" s="46">
        <f t="shared" si="93"/>
        <v>8</v>
      </c>
      <c r="R234" s="46" t="str">
        <f t="shared" si="93"/>
        <v/>
      </c>
      <c r="S234" s="46">
        <f t="shared" si="93"/>
        <v>8</v>
      </c>
      <c r="T234" s="46">
        <f t="shared" si="93"/>
        <v>8</v>
      </c>
      <c r="U234" s="46">
        <f t="shared" si="93"/>
        <v>8</v>
      </c>
      <c r="V234" s="46">
        <f t="shared" si="93"/>
        <v>8</v>
      </c>
      <c r="W234" s="46">
        <f t="shared" si="93"/>
        <v>8</v>
      </c>
      <c r="X234" s="46" t="str">
        <f t="shared" si="93"/>
        <v/>
      </c>
      <c r="Y234" s="46" t="str">
        <f t="shared" si="93"/>
        <v/>
      </c>
      <c r="Z234" s="46" t="str">
        <f t="shared" si="93"/>
        <v/>
      </c>
      <c r="AA234" s="46" t="str">
        <f t="shared" si="93"/>
        <v/>
      </c>
      <c r="AB234" s="46">
        <f t="shared" si="93"/>
        <v>8</v>
      </c>
      <c r="AC234" s="46" t="str">
        <f t="shared" si="93"/>
        <v/>
      </c>
      <c r="AD234" s="46">
        <f t="shared" si="93"/>
        <v>8</v>
      </c>
      <c r="AE234" s="46" t="str">
        <f t="shared" si="93"/>
        <v/>
      </c>
      <c r="AF234" s="46">
        <f t="shared" si="93"/>
        <v>8</v>
      </c>
      <c r="AG234" s="46">
        <f t="shared" si="93"/>
        <v>8</v>
      </c>
      <c r="AH234" s="46">
        <f t="shared" si="93"/>
        <v>8</v>
      </c>
      <c r="AI234" s="46">
        <f t="shared" si="93"/>
        <v>8</v>
      </c>
      <c r="AJ234" s="46" t="str">
        <f t="shared" si="93"/>
        <v/>
      </c>
      <c r="AK234" s="46">
        <f t="shared" si="93"/>
        <v>8</v>
      </c>
      <c r="AL234" s="46">
        <f t="shared" si="93"/>
        <v>8</v>
      </c>
      <c r="AM234" s="46">
        <f t="shared" si="93"/>
        <v>8</v>
      </c>
      <c r="AN234" s="46" t="str">
        <f t="shared" si="93"/>
        <v/>
      </c>
      <c r="AO234" s="46" t="str">
        <f t="shared" si="93"/>
        <v/>
      </c>
      <c r="AP234" s="46">
        <f t="shared" si="93"/>
        <v>8</v>
      </c>
      <c r="AQ234" s="46" t="str">
        <f t="shared" si="93"/>
        <v/>
      </c>
      <c r="AR234" s="46" t="str">
        <f t="shared" si="93"/>
        <v/>
      </c>
      <c r="AS234" s="46" t="str">
        <f t="shared" si="93"/>
        <v/>
      </c>
      <c r="AT234" s="46" t="str">
        <f t="shared" si="93"/>
        <v/>
      </c>
      <c r="AU234" s="46" t="str">
        <f t="shared" si="93"/>
        <v/>
      </c>
      <c r="AV234" s="46" t="str">
        <f t="shared" si="93"/>
        <v/>
      </c>
      <c r="AW234" s="46" t="str">
        <f t="shared" si="93"/>
        <v/>
      </c>
      <c r="AX234" s="46" t="str">
        <f t="shared" si="93"/>
        <v/>
      </c>
      <c r="AY234" s="46" t="str">
        <f t="shared" si="93"/>
        <v/>
      </c>
      <c r="AZ234" s="46" t="str">
        <f t="shared" si="93"/>
        <v/>
      </c>
      <c r="BA234" s="46" t="str">
        <f t="shared" si="93"/>
        <v/>
      </c>
      <c r="BB234" s="46" t="str">
        <f t="shared" si="93"/>
        <v/>
      </c>
      <c r="BC234" s="46" t="str">
        <f t="shared" si="93"/>
        <v/>
      </c>
      <c r="BD234" s="46" t="str">
        <f t="shared" si="93"/>
        <v/>
      </c>
      <c r="BE234" s="46" t="str">
        <f t="shared" si="93"/>
        <v/>
      </c>
      <c r="BF234" s="46" t="str">
        <f t="shared" si="93"/>
        <v/>
      </c>
      <c r="BG234" s="46" t="str">
        <f t="shared" si="93"/>
        <v/>
      </c>
      <c r="BH234" s="46" t="str">
        <f t="shared" si="93"/>
        <v/>
      </c>
      <c r="BI234" s="46" t="str">
        <f t="shared" si="93"/>
        <v/>
      </c>
      <c r="BJ234" s="46" t="str">
        <f t="shared" si="93"/>
        <v/>
      </c>
      <c r="BK234" s="46" t="str">
        <f t="shared" si="93"/>
        <v/>
      </c>
      <c r="BL234" s="46" t="str">
        <f t="shared" si="93"/>
        <v/>
      </c>
      <c r="BM234" s="46" t="str">
        <f t="shared" si="93"/>
        <v/>
      </c>
      <c r="BN234" s="46" t="str">
        <f t="shared" si="93"/>
        <v/>
      </c>
      <c r="BO234" s="46" t="str">
        <f t="shared" ref="BO234:DH234" si="94">IF(BO41="X",$DK41,"")</f>
        <v/>
      </c>
      <c r="BP234" s="46" t="str">
        <f t="shared" si="94"/>
        <v/>
      </c>
      <c r="BQ234" s="46" t="str">
        <f t="shared" si="94"/>
        <v/>
      </c>
      <c r="BR234" s="46" t="str">
        <f t="shared" si="94"/>
        <v/>
      </c>
      <c r="BS234" s="46" t="str">
        <f t="shared" si="94"/>
        <v/>
      </c>
      <c r="BT234" s="46" t="str">
        <f t="shared" si="94"/>
        <v/>
      </c>
      <c r="BU234" s="46" t="str">
        <f t="shared" si="94"/>
        <v/>
      </c>
      <c r="BV234" s="46" t="str">
        <f t="shared" si="94"/>
        <v/>
      </c>
      <c r="BW234" s="46" t="str">
        <f t="shared" si="94"/>
        <v/>
      </c>
      <c r="BX234" s="46" t="str">
        <f t="shared" si="94"/>
        <v/>
      </c>
      <c r="BY234" s="46" t="str">
        <f t="shared" si="94"/>
        <v/>
      </c>
      <c r="BZ234" s="46" t="str">
        <f t="shared" si="94"/>
        <v/>
      </c>
      <c r="CA234" s="46" t="str">
        <f t="shared" si="94"/>
        <v/>
      </c>
      <c r="CB234" s="46" t="str">
        <f t="shared" si="94"/>
        <v/>
      </c>
      <c r="CC234" s="46" t="str">
        <f t="shared" si="94"/>
        <v/>
      </c>
      <c r="CD234" s="46" t="str">
        <f t="shared" si="94"/>
        <v/>
      </c>
      <c r="CE234" s="46" t="str">
        <f t="shared" si="94"/>
        <v/>
      </c>
      <c r="CF234" s="46" t="str">
        <f t="shared" si="94"/>
        <v/>
      </c>
      <c r="CG234" s="46" t="str">
        <f t="shared" si="94"/>
        <v/>
      </c>
      <c r="CH234" s="46" t="str">
        <f t="shared" si="94"/>
        <v/>
      </c>
      <c r="CI234" s="46" t="str">
        <f t="shared" si="94"/>
        <v/>
      </c>
      <c r="CJ234" s="46" t="str">
        <f t="shared" si="94"/>
        <v/>
      </c>
      <c r="CK234" s="46" t="str">
        <f t="shared" si="94"/>
        <v/>
      </c>
      <c r="CL234" s="46" t="str">
        <f t="shared" si="94"/>
        <v/>
      </c>
      <c r="CM234" s="46" t="str">
        <f t="shared" si="94"/>
        <v/>
      </c>
      <c r="CN234" s="46" t="str">
        <f t="shared" si="94"/>
        <v/>
      </c>
      <c r="CO234" s="46" t="str">
        <f t="shared" si="94"/>
        <v/>
      </c>
      <c r="CP234" s="46" t="str">
        <f t="shared" si="94"/>
        <v/>
      </c>
      <c r="CQ234" s="46" t="str">
        <f t="shared" si="94"/>
        <v/>
      </c>
      <c r="CR234" s="46" t="str">
        <f t="shared" si="94"/>
        <v/>
      </c>
      <c r="CS234" s="46" t="str">
        <f t="shared" si="94"/>
        <v/>
      </c>
      <c r="CT234" s="46" t="str">
        <f t="shared" si="94"/>
        <v/>
      </c>
      <c r="CU234" s="46" t="str">
        <f t="shared" si="94"/>
        <v/>
      </c>
      <c r="CV234" s="46" t="str">
        <f t="shared" si="94"/>
        <v/>
      </c>
      <c r="CW234" s="46" t="str">
        <f t="shared" si="94"/>
        <v/>
      </c>
      <c r="CX234" s="46" t="str">
        <f t="shared" si="94"/>
        <v/>
      </c>
      <c r="CY234" s="46" t="str">
        <f t="shared" si="94"/>
        <v/>
      </c>
      <c r="CZ234" s="46" t="str">
        <f t="shared" si="94"/>
        <v/>
      </c>
      <c r="DA234" s="46" t="str">
        <f t="shared" si="94"/>
        <v/>
      </c>
      <c r="DB234" s="46" t="str">
        <f t="shared" si="94"/>
        <v/>
      </c>
      <c r="DC234" s="46" t="str">
        <f t="shared" si="94"/>
        <v/>
      </c>
      <c r="DD234" s="46" t="str">
        <f t="shared" si="94"/>
        <v/>
      </c>
      <c r="DE234" s="46" t="str">
        <f t="shared" si="94"/>
        <v/>
      </c>
      <c r="DF234" s="46" t="str">
        <f t="shared" si="94"/>
        <v/>
      </c>
      <c r="DG234" s="46" t="str">
        <f t="shared" si="94"/>
        <v/>
      </c>
      <c r="DH234" s="46" t="str">
        <f t="shared" si="94"/>
        <v/>
      </c>
      <c r="DI234" s="46" t="str">
        <f t="shared" ref="DI234:DV234" si="95">IF(DI42="X",$DZ42,"")</f>
        <v/>
      </c>
      <c r="DJ234" s="46" t="str">
        <f t="shared" si="95"/>
        <v/>
      </c>
      <c r="DK234" s="46" t="str">
        <f t="shared" si="95"/>
        <v/>
      </c>
      <c r="DL234" s="46" t="str">
        <f t="shared" si="95"/>
        <v/>
      </c>
      <c r="DM234" s="46" t="str">
        <f t="shared" si="95"/>
        <v/>
      </c>
      <c r="DN234" s="46" t="str">
        <f t="shared" si="95"/>
        <v/>
      </c>
      <c r="DO234" s="46" t="str">
        <f t="shared" si="95"/>
        <v/>
      </c>
      <c r="DP234" s="46" t="str">
        <f t="shared" si="95"/>
        <v/>
      </c>
      <c r="DQ234" s="46" t="str">
        <f t="shared" si="95"/>
        <v/>
      </c>
      <c r="DR234" s="46" t="str">
        <f t="shared" si="95"/>
        <v/>
      </c>
      <c r="DS234" s="46" t="str">
        <f t="shared" si="95"/>
        <v/>
      </c>
      <c r="DT234" s="46" t="str">
        <f t="shared" si="95"/>
        <v/>
      </c>
      <c r="DU234" s="46" t="str">
        <f t="shared" si="95"/>
        <v/>
      </c>
      <c r="DV234" s="46" t="str">
        <f t="shared" si="95"/>
        <v/>
      </c>
      <c r="DW234" s="9"/>
      <c r="DX234" s="1"/>
    </row>
    <row r="235" spans="1:128" x14ac:dyDescent="0.25">
      <c r="A235" s="46"/>
      <c r="B235" s="46" t="str">
        <f t="shared" si="22"/>
        <v/>
      </c>
      <c r="C235" s="46" t="str">
        <f t="shared" ref="C235:BN235" si="96">IF(C42="X",$DK42,"")</f>
        <v/>
      </c>
      <c r="D235" s="46" t="str">
        <f t="shared" si="96"/>
        <v/>
      </c>
      <c r="E235" s="46" t="str">
        <f t="shared" si="96"/>
        <v/>
      </c>
      <c r="F235" s="46" t="str">
        <f t="shared" si="96"/>
        <v/>
      </c>
      <c r="G235" s="46" t="str">
        <f t="shared" si="96"/>
        <v/>
      </c>
      <c r="H235" s="46" t="str">
        <f t="shared" si="96"/>
        <v/>
      </c>
      <c r="I235" s="46" t="str">
        <f t="shared" si="96"/>
        <v/>
      </c>
      <c r="J235" s="46" t="str">
        <f t="shared" si="96"/>
        <v/>
      </c>
      <c r="K235" s="46" t="str">
        <f t="shared" si="96"/>
        <v/>
      </c>
      <c r="L235" s="46" t="str">
        <f t="shared" si="96"/>
        <v/>
      </c>
      <c r="M235" s="46" t="str">
        <f t="shared" si="96"/>
        <v/>
      </c>
      <c r="N235" s="46" t="str">
        <f t="shared" si="96"/>
        <v/>
      </c>
      <c r="O235" s="46" t="str">
        <f t="shared" si="96"/>
        <v/>
      </c>
      <c r="P235" s="46" t="str">
        <f t="shared" si="96"/>
        <v/>
      </c>
      <c r="Q235" s="46" t="str">
        <f t="shared" si="96"/>
        <v/>
      </c>
      <c r="R235" s="46" t="str">
        <f t="shared" si="96"/>
        <v/>
      </c>
      <c r="S235" s="46" t="str">
        <f t="shared" si="96"/>
        <v/>
      </c>
      <c r="T235" s="46" t="str">
        <f t="shared" si="96"/>
        <v/>
      </c>
      <c r="U235" s="46" t="str">
        <f t="shared" si="96"/>
        <v/>
      </c>
      <c r="V235" s="46" t="str">
        <f t="shared" si="96"/>
        <v/>
      </c>
      <c r="W235" s="46" t="str">
        <f t="shared" si="96"/>
        <v/>
      </c>
      <c r="X235" s="46" t="str">
        <f t="shared" si="96"/>
        <v/>
      </c>
      <c r="Y235" s="46" t="str">
        <f t="shared" si="96"/>
        <v/>
      </c>
      <c r="Z235" s="46" t="str">
        <f t="shared" si="96"/>
        <v/>
      </c>
      <c r="AA235" s="46" t="str">
        <f t="shared" si="96"/>
        <v/>
      </c>
      <c r="AB235" s="46" t="str">
        <f t="shared" si="96"/>
        <v/>
      </c>
      <c r="AC235" s="46" t="str">
        <f t="shared" si="96"/>
        <v/>
      </c>
      <c r="AD235" s="46" t="str">
        <f t="shared" si="96"/>
        <v/>
      </c>
      <c r="AE235" s="46" t="str">
        <f t="shared" si="96"/>
        <v/>
      </c>
      <c r="AF235" s="46" t="str">
        <f t="shared" si="96"/>
        <v/>
      </c>
      <c r="AG235" s="46" t="str">
        <f t="shared" si="96"/>
        <v/>
      </c>
      <c r="AH235" s="46" t="str">
        <f t="shared" si="96"/>
        <v/>
      </c>
      <c r="AI235" s="46" t="str">
        <f t="shared" si="96"/>
        <v/>
      </c>
      <c r="AJ235" s="46" t="str">
        <f t="shared" si="96"/>
        <v/>
      </c>
      <c r="AK235" s="46" t="str">
        <f t="shared" si="96"/>
        <v/>
      </c>
      <c r="AL235" s="46" t="str">
        <f t="shared" si="96"/>
        <v/>
      </c>
      <c r="AM235" s="46" t="str">
        <f t="shared" si="96"/>
        <v/>
      </c>
      <c r="AN235" s="46" t="str">
        <f t="shared" si="96"/>
        <v/>
      </c>
      <c r="AO235" s="46" t="str">
        <f t="shared" si="96"/>
        <v/>
      </c>
      <c r="AP235" s="46" t="str">
        <f t="shared" si="96"/>
        <v/>
      </c>
      <c r="AQ235" s="46" t="str">
        <f t="shared" si="96"/>
        <v/>
      </c>
      <c r="AR235" s="46" t="str">
        <f t="shared" si="96"/>
        <v/>
      </c>
      <c r="AS235" s="46" t="str">
        <f t="shared" si="96"/>
        <v/>
      </c>
      <c r="AT235" s="46">
        <f t="shared" si="96"/>
        <v>8</v>
      </c>
      <c r="AU235" s="46">
        <f t="shared" si="96"/>
        <v>8</v>
      </c>
      <c r="AV235" s="46" t="str">
        <f t="shared" si="96"/>
        <v/>
      </c>
      <c r="AW235" s="46">
        <f t="shared" si="96"/>
        <v>8</v>
      </c>
      <c r="AX235" s="46" t="str">
        <f t="shared" si="96"/>
        <v/>
      </c>
      <c r="AY235" s="46">
        <f t="shared" si="96"/>
        <v>8</v>
      </c>
      <c r="AZ235" s="46" t="str">
        <f t="shared" si="96"/>
        <v/>
      </c>
      <c r="BA235" s="46" t="str">
        <f t="shared" si="96"/>
        <v/>
      </c>
      <c r="BB235" s="46">
        <f t="shared" si="96"/>
        <v>8</v>
      </c>
      <c r="BC235" s="46" t="str">
        <f t="shared" si="96"/>
        <v/>
      </c>
      <c r="BD235" s="46" t="str">
        <f t="shared" si="96"/>
        <v/>
      </c>
      <c r="BE235" s="46" t="str">
        <f t="shared" si="96"/>
        <v/>
      </c>
      <c r="BF235" s="46" t="str">
        <f t="shared" si="96"/>
        <v/>
      </c>
      <c r="BG235" s="46" t="str">
        <f t="shared" si="96"/>
        <v/>
      </c>
      <c r="BH235" s="46" t="str">
        <f t="shared" si="96"/>
        <v/>
      </c>
      <c r="BI235" s="46">
        <f t="shared" si="96"/>
        <v>8</v>
      </c>
      <c r="BJ235" s="46" t="str">
        <f t="shared" si="96"/>
        <v/>
      </c>
      <c r="BK235" s="46" t="str">
        <f t="shared" si="96"/>
        <v/>
      </c>
      <c r="BL235" s="46" t="str">
        <f t="shared" si="96"/>
        <v/>
      </c>
      <c r="BM235" s="46" t="str">
        <f t="shared" si="96"/>
        <v/>
      </c>
      <c r="BN235" s="46" t="str">
        <f t="shared" si="96"/>
        <v/>
      </c>
      <c r="BO235" s="46" t="str">
        <f t="shared" ref="BO235:DH235" si="97">IF(BO42="X",$DK42,"")</f>
        <v/>
      </c>
      <c r="BP235" s="46" t="str">
        <f t="shared" si="97"/>
        <v/>
      </c>
      <c r="BQ235" s="46" t="str">
        <f t="shared" si="97"/>
        <v/>
      </c>
      <c r="BR235" s="46" t="str">
        <f t="shared" si="97"/>
        <v/>
      </c>
      <c r="BS235" s="46" t="str">
        <f t="shared" si="97"/>
        <v/>
      </c>
      <c r="BT235" s="46" t="str">
        <f t="shared" si="97"/>
        <v/>
      </c>
      <c r="BU235" s="46" t="str">
        <f t="shared" si="97"/>
        <v/>
      </c>
      <c r="BV235" s="46" t="str">
        <f t="shared" si="97"/>
        <v/>
      </c>
      <c r="BW235" s="46" t="str">
        <f t="shared" si="97"/>
        <v/>
      </c>
      <c r="BX235" s="46" t="str">
        <f t="shared" si="97"/>
        <v/>
      </c>
      <c r="BY235" s="46" t="str">
        <f t="shared" si="97"/>
        <v/>
      </c>
      <c r="BZ235" s="46" t="str">
        <f t="shared" si="97"/>
        <v/>
      </c>
      <c r="CA235" s="46" t="str">
        <f t="shared" si="97"/>
        <v/>
      </c>
      <c r="CB235" s="46" t="str">
        <f t="shared" si="97"/>
        <v/>
      </c>
      <c r="CC235" s="46" t="str">
        <f t="shared" si="97"/>
        <v/>
      </c>
      <c r="CD235" s="46" t="str">
        <f t="shared" si="97"/>
        <v/>
      </c>
      <c r="CE235" s="46" t="str">
        <f t="shared" si="97"/>
        <v/>
      </c>
      <c r="CF235" s="46">
        <f t="shared" si="97"/>
        <v>8</v>
      </c>
      <c r="CG235" s="46" t="str">
        <f t="shared" si="97"/>
        <v/>
      </c>
      <c r="CH235" s="46" t="str">
        <f t="shared" si="97"/>
        <v/>
      </c>
      <c r="CI235" s="46" t="str">
        <f t="shared" si="97"/>
        <v/>
      </c>
      <c r="CJ235" s="46" t="str">
        <f t="shared" si="97"/>
        <v/>
      </c>
      <c r="CK235" s="46" t="str">
        <f t="shared" si="97"/>
        <v/>
      </c>
      <c r="CL235" s="46" t="str">
        <f t="shared" si="97"/>
        <v/>
      </c>
      <c r="CM235" s="46" t="str">
        <f t="shared" si="97"/>
        <v/>
      </c>
      <c r="CN235" s="46" t="str">
        <f t="shared" si="97"/>
        <v/>
      </c>
      <c r="CO235" s="46" t="str">
        <f t="shared" si="97"/>
        <v/>
      </c>
      <c r="CP235" s="46" t="str">
        <f t="shared" si="97"/>
        <v/>
      </c>
      <c r="CQ235" s="46" t="str">
        <f t="shared" si="97"/>
        <v/>
      </c>
      <c r="CR235" s="46" t="str">
        <f t="shared" si="97"/>
        <v/>
      </c>
      <c r="CS235" s="46" t="str">
        <f t="shared" si="97"/>
        <v/>
      </c>
      <c r="CT235" s="46" t="str">
        <f t="shared" si="97"/>
        <v/>
      </c>
      <c r="CU235" s="46" t="str">
        <f t="shared" si="97"/>
        <v/>
      </c>
      <c r="CV235" s="46" t="str">
        <f t="shared" si="97"/>
        <v/>
      </c>
      <c r="CW235" s="46" t="str">
        <f t="shared" si="97"/>
        <v/>
      </c>
      <c r="CX235" s="46" t="str">
        <f t="shared" si="97"/>
        <v/>
      </c>
      <c r="CY235" s="46" t="str">
        <f t="shared" si="97"/>
        <v/>
      </c>
      <c r="CZ235" s="46" t="str">
        <f t="shared" si="97"/>
        <v/>
      </c>
      <c r="DA235" s="46" t="str">
        <f t="shared" si="97"/>
        <v/>
      </c>
      <c r="DB235" s="46" t="str">
        <f t="shared" si="97"/>
        <v/>
      </c>
      <c r="DC235" s="46" t="str">
        <f t="shared" si="97"/>
        <v/>
      </c>
      <c r="DD235" s="46" t="str">
        <f t="shared" si="97"/>
        <v/>
      </c>
      <c r="DE235" s="46" t="str">
        <f t="shared" si="97"/>
        <v/>
      </c>
      <c r="DF235" s="46" t="str">
        <f t="shared" si="97"/>
        <v/>
      </c>
      <c r="DG235" s="46" t="str">
        <f t="shared" si="97"/>
        <v/>
      </c>
      <c r="DH235" s="46" t="str">
        <f t="shared" si="97"/>
        <v/>
      </c>
      <c r="DI235" s="46" t="str">
        <f t="shared" ref="DI235:DV235" si="98">IF(DI43="X",$DZ43,"")</f>
        <v/>
      </c>
      <c r="DJ235" s="46" t="str">
        <f t="shared" si="98"/>
        <v/>
      </c>
      <c r="DK235" s="46" t="str">
        <f t="shared" si="98"/>
        <v/>
      </c>
      <c r="DL235" s="46" t="str">
        <f t="shared" si="98"/>
        <v/>
      </c>
      <c r="DM235" s="46" t="str">
        <f t="shared" si="98"/>
        <v/>
      </c>
      <c r="DN235" s="46" t="str">
        <f t="shared" si="98"/>
        <v/>
      </c>
      <c r="DO235" s="46" t="str">
        <f t="shared" si="98"/>
        <v/>
      </c>
      <c r="DP235" s="46" t="str">
        <f t="shared" si="98"/>
        <v/>
      </c>
      <c r="DQ235" s="46" t="str">
        <f t="shared" si="98"/>
        <v/>
      </c>
      <c r="DR235" s="46" t="str">
        <f t="shared" si="98"/>
        <v/>
      </c>
      <c r="DS235" s="46" t="str">
        <f t="shared" si="98"/>
        <v/>
      </c>
      <c r="DT235" s="46" t="str">
        <f t="shared" si="98"/>
        <v/>
      </c>
      <c r="DU235" s="46" t="str">
        <f t="shared" si="98"/>
        <v/>
      </c>
      <c r="DV235" s="46" t="str">
        <f t="shared" si="98"/>
        <v/>
      </c>
      <c r="DW235" s="9"/>
      <c r="DX235" s="1"/>
    </row>
    <row r="236" spans="1:128" x14ac:dyDescent="0.25">
      <c r="A236" s="46"/>
      <c r="B236" s="46" t="str">
        <f t="shared" si="22"/>
        <v/>
      </c>
      <c r="C236" s="46" t="str">
        <f t="shared" ref="C236:BN236" si="99">IF(C43="X",$DK43,"")</f>
        <v/>
      </c>
      <c r="D236" s="46">
        <f t="shared" si="99"/>
        <v>8</v>
      </c>
      <c r="E236" s="46">
        <f t="shared" si="99"/>
        <v>8</v>
      </c>
      <c r="F236" s="46">
        <f t="shared" si="99"/>
        <v>8</v>
      </c>
      <c r="G236" s="46" t="str">
        <f t="shared" si="99"/>
        <v/>
      </c>
      <c r="H236" s="46" t="str">
        <f t="shared" si="99"/>
        <v/>
      </c>
      <c r="I236" s="46" t="str">
        <f t="shared" si="99"/>
        <v/>
      </c>
      <c r="J236" s="46" t="str">
        <f t="shared" si="99"/>
        <v/>
      </c>
      <c r="K236" s="46" t="str">
        <f t="shared" si="99"/>
        <v/>
      </c>
      <c r="L236" s="46" t="str">
        <f t="shared" si="99"/>
        <v/>
      </c>
      <c r="M236" s="46" t="str">
        <f t="shared" si="99"/>
        <v/>
      </c>
      <c r="N236" s="46" t="str">
        <f t="shared" si="99"/>
        <v/>
      </c>
      <c r="O236" s="46" t="str">
        <f t="shared" si="99"/>
        <v/>
      </c>
      <c r="P236" s="46" t="str">
        <f t="shared" si="99"/>
        <v/>
      </c>
      <c r="Q236" s="46" t="str">
        <f t="shared" si="99"/>
        <v/>
      </c>
      <c r="R236" s="46" t="str">
        <f t="shared" si="99"/>
        <v/>
      </c>
      <c r="S236" s="46" t="str">
        <f t="shared" si="99"/>
        <v/>
      </c>
      <c r="T236" s="46" t="str">
        <f t="shared" si="99"/>
        <v/>
      </c>
      <c r="U236" s="46" t="str">
        <f t="shared" si="99"/>
        <v/>
      </c>
      <c r="V236" s="46" t="str">
        <f t="shared" si="99"/>
        <v/>
      </c>
      <c r="W236" s="46" t="str">
        <f t="shared" si="99"/>
        <v/>
      </c>
      <c r="X236" s="46" t="str">
        <f t="shared" si="99"/>
        <v/>
      </c>
      <c r="Y236" s="46" t="str">
        <f t="shared" si="99"/>
        <v/>
      </c>
      <c r="Z236" s="46" t="str">
        <f t="shared" si="99"/>
        <v/>
      </c>
      <c r="AA236" s="46" t="str">
        <f t="shared" si="99"/>
        <v/>
      </c>
      <c r="AB236" s="46" t="str">
        <f t="shared" si="99"/>
        <v/>
      </c>
      <c r="AC236" s="46" t="str">
        <f t="shared" si="99"/>
        <v/>
      </c>
      <c r="AD236" s="46" t="str">
        <f t="shared" si="99"/>
        <v/>
      </c>
      <c r="AE236" s="46" t="str">
        <f t="shared" si="99"/>
        <v/>
      </c>
      <c r="AF236" s="46" t="str">
        <f t="shared" si="99"/>
        <v/>
      </c>
      <c r="AG236" s="46" t="str">
        <f t="shared" si="99"/>
        <v/>
      </c>
      <c r="AH236" s="46" t="str">
        <f t="shared" si="99"/>
        <v/>
      </c>
      <c r="AI236" s="46" t="str">
        <f t="shared" si="99"/>
        <v/>
      </c>
      <c r="AJ236" s="46" t="str">
        <f t="shared" si="99"/>
        <v/>
      </c>
      <c r="AK236" s="46" t="str">
        <f t="shared" si="99"/>
        <v/>
      </c>
      <c r="AL236" s="46" t="str">
        <f t="shared" si="99"/>
        <v/>
      </c>
      <c r="AM236" s="46" t="str">
        <f t="shared" si="99"/>
        <v/>
      </c>
      <c r="AN236" s="46" t="str">
        <f t="shared" si="99"/>
        <v/>
      </c>
      <c r="AO236" s="46">
        <f t="shared" si="99"/>
        <v>8</v>
      </c>
      <c r="AP236" s="46" t="str">
        <f t="shared" si="99"/>
        <v/>
      </c>
      <c r="AQ236" s="46">
        <f t="shared" si="99"/>
        <v>8</v>
      </c>
      <c r="AR236" s="46">
        <f t="shared" si="99"/>
        <v>8</v>
      </c>
      <c r="AS236" s="46">
        <f t="shared" si="99"/>
        <v>8</v>
      </c>
      <c r="AT236" s="46">
        <f t="shared" si="99"/>
        <v>8</v>
      </c>
      <c r="AU236" s="46">
        <f t="shared" si="99"/>
        <v>8</v>
      </c>
      <c r="AV236" s="46">
        <f t="shared" si="99"/>
        <v>8</v>
      </c>
      <c r="AW236" s="46">
        <f t="shared" si="99"/>
        <v>8</v>
      </c>
      <c r="AX236" s="46">
        <f t="shared" si="99"/>
        <v>8</v>
      </c>
      <c r="AY236" s="46">
        <f t="shared" si="99"/>
        <v>8</v>
      </c>
      <c r="AZ236" s="46">
        <f t="shared" si="99"/>
        <v>8</v>
      </c>
      <c r="BA236" s="46">
        <f t="shared" si="99"/>
        <v>8</v>
      </c>
      <c r="BB236" s="46" t="str">
        <f t="shared" si="99"/>
        <v/>
      </c>
      <c r="BC236" s="46" t="str">
        <f t="shared" si="99"/>
        <v/>
      </c>
      <c r="BD236" s="46">
        <f t="shared" si="99"/>
        <v>8</v>
      </c>
      <c r="BE236" s="46" t="str">
        <f t="shared" si="99"/>
        <v/>
      </c>
      <c r="BF236" s="46" t="str">
        <f t="shared" si="99"/>
        <v/>
      </c>
      <c r="BG236" s="46" t="str">
        <f t="shared" si="99"/>
        <v/>
      </c>
      <c r="BH236" s="46" t="str">
        <f t="shared" si="99"/>
        <v/>
      </c>
      <c r="BI236" s="46" t="str">
        <f t="shared" si="99"/>
        <v/>
      </c>
      <c r="BJ236" s="46" t="str">
        <f t="shared" si="99"/>
        <v/>
      </c>
      <c r="BK236" s="46" t="str">
        <f t="shared" si="99"/>
        <v/>
      </c>
      <c r="BL236" s="46" t="str">
        <f t="shared" si="99"/>
        <v/>
      </c>
      <c r="BM236" s="46" t="str">
        <f t="shared" si="99"/>
        <v/>
      </c>
      <c r="BN236" s="46" t="str">
        <f t="shared" si="99"/>
        <v/>
      </c>
      <c r="BO236" s="46" t="str">
        <f t="shared" ref="BO236:DH236" si="100">IF(BO43="X",$DK43,"")</f>
        <v/>
      </c>
      <c r="BP236" s="46" t="str">
        <f t="shared" si="100"/>
        <v/>
      </c>
      <c r="BQ236" s="46" t="str">
        <f t="shared" si="100"/>
        <v/>
      </c>
      <c r="BR236" s="46" t="str">
        <f t="shared" si="100"/>
        <v/>
      </c>
      <c r="BS236" s="46" t="str">
        <f t="shared" si="100"/>
        <v/>
      </c>
      <c r="BT236" s="46" t="str">
        <f t="shared" si="100"/>
        <v/>
      </c>
      <c r="BU236" s="46" t="str">
        <f t="shared" si="100"/>
        <v/>
      </c>
      <c r="BV236" s="46" t="str">
        <f t="shared" si="100"/>
        <v/>
      </c>
      <c r="BW236" s="46" t="str">
        <f t="shared" si="100"/>
        <v/>
      </c>
      <c r="BX236" s="46" t="str">
        <f t="shared" si="100"/>
        <v/>
      </c>
      <c r="BY236" s="46" t="str">
        <f t="shared" si="100"/>
        <v/>
      </c>
      <c r="BZ236" s="46" t="str">
        <f t="shared" si="100"/>
        <v/>
      </c>
      <c r="CA236" s="46" t="str">
        <f t="shared" si="100"/>
        <v/>
      </c>
      <c r="CB236" s="46" t="str">
        <f t="shared" si="100"/>
        <v/>
      </c>
      <c r="CC236" s="46" t="str">
        <f t="shared" si="100"/>
        <v/>
      </c>
      <c r="CD236" s="46" t="str">
        <f t="shared" si="100"/>
        <v/>
      </c>
      <c r="CE236" s="46" t="str">
        <f t="shared" si="100"/>
        <v/>
      </c>
      <c r="CF236" s="46" t="str">
        <f t="shared" si="100"/>
        <v/>
      </c>
      <c r="CG236" s="46" t="str">
        <f t="shared" si="100"/>
        <v/>
      </c>
      <c r="CH236" s="46" t="str">
        <f t="shared" si="100"/>
        <v/>
      </c>
      <c r="CI236" s="46" t="str">
        <f t="shared" si="100"/>
        <v/>
      </c>
      <c r="CJ236" s="46" t="str">
        <f t="shared" si="100"/>
        <v/>
      </c>
      <c r="CK236" s="46" t="str">
        <f t="shared" si="100"/>
        <v/>
      </c>
      <c r="CL236" s="46" t="str">
        <f t="shared" si="100"/>
        <v/>
      </c>
      <c r="CM236" s="46" t="str">
        <f t="shared" si="100"/>
        <v/>
      </c>
      <c r="CN236" s="46" t="str">
        <f t="shared" si="100"/>
        <v/>
      </c>
      <c r="CO236" s="46" t="str">
        <f t="shared" si="100"/>
        <v/>
      </c>
      <c r="CP236" s="46" t="str">
        <f t="shared" si="100"/>
        <v/>
      </c>
      <c r="CQ236" s="46" t="str">
        <f t="shared" si="100"/>
        <v/>
      </c>
      <c r="CR236" s="46" t="str">
        <f t="shared" si="100"/>
        <v/>
      </c>
      <c r="CS236" s="46" t="str">
        <f t="shared" si="100"/>
        <v/>
      </c>
      <c r="CT236" s="46" t="str">
        <f t="shared" si="100"/>
        <v/>
      </c>
      <c r="CU236" s="46" t="str">
        <f t="shared" si="100"/>
        <v/>
      </c>
      <c r="CV236" s="46" t="str">
        <f t="shared" si="100"/>
        <v/>
      </c>
      <c r="CW236" s="46" t="str">
        <f t="shared" si="100"/>
        <v/>
      </c>
      <c r="CX236" s="46" t="str">
        <f t="shared" si="100"/>
        <v/>
      </c>
      <c r="CY236" s="46" t="str">
        <f t="shared" si="100"/>
        <v/>
      </c>
      <c r="CZ236" s="46" t="str">
        <f t="shared" si="100"/>
        <v/>
      </c>
      <c r="DA236" s="46" t="str">
        <f t="shared" si="100"/>
        <v/>
      </c>
      <c r="DB236" s="46" t="str">
        <f t="shared" si="100"/>
        <v/>
      </c>
      <c r="DC236" s="46" t="str">
        <f t="shared" si="100"/>
        <v/>
      </c>
      <c r="DD236" s="46" t="str">
        <f t="shared" si="100"/>
        <v/>
      </c>
      <c r="DE236" s="46" t="str">
        <f t="shared" si="100"/>
        <v/>
      </c>
      <c r="DF236" s="46" t="str">
        <f t="shared" si="100"/>
        <v/>
      </c>
      <c r="DG236" s="46" t="str">
        <f t="shared" si="100"/>
        <v/>
      </c>
      <c r="DH236" s="46" t="str">
        <f t="shared" si="100"/>
        <v/>
      </c>
      <c r="DI236" s="46" t="str">
        <f t="shared" ref="DI236:DV236" si="101">IF(DI44="X",$DZ44,"")</f>
        <v/>
      </c>
      <c r="DJ236" s="46" t="str">
        <f t="shared" si="101"/>
        <v/>
      </c>
      <c r="DK236" s="46" t="str">
        <f t="shared" si="101"/>
        <v/>
      </c>
      <c r="DL236" s="46" t="str">
        <f t="shared" si="101"/>
        <v/>
      </c>
      <c r="DM236" s="46" t="str">
        <f t="shared" si="101"/>
        <v/>
      </c>
      <c r="DN236" s="46" t="str">
        <f t="shared" si="101"/>
        <v/>
      </c>
      <c r="DO236" s="46" t="str">
        <f t="shared" si="101"/>
        <v/>
      </c>
      <c r="DP236" s="46" t="str">
        <f t="shared" si="101"/>
        <v/>
      </c>
      <c r="DQ236" s="46" t="str">
        <f t="shared" si="101"/>
        <v/>
      </c>
      <c r="DR236" s="46" t="str">
        <f t="shared" si="101"/>
        <v/>
      </c>
      <c r="DS236" s="46" t="str">
        <f t="shared" si="101"/>
        <v/>
      </c>
      <c r="DT236" s="46" t="str">
        <f t="shared" si="101"/>
        <v/>
      </c>
      <c r="DU236" s="46" t="str">
        <f t="shared" si="101"/>
        <v/>
      </c>
      <c r="DV236" s="46" t="str">
        <f t="shared" si="101"/>
        <v/>
      </c>
      <c r="DW236" s="9"/>
      <c r="DX236" s="1"/>
    </row>
    <row r="237" spans="1:128" x14ac:dyDescent="0.25">
      <c r="A237" s="46"/>
      <c r="B237" s="46" t="str">
        <f t="shared" si="22"/>
        <v/>
      </c>
      <c r="C237" s="46">
        <f t="shared" ref="C237:BN237" si="102">IF(C44="X",$DK44,"")</f>
        <v>8</v>
      </c>
      <c r="D237" s="46">
        <f t="shared" si="102"/>
        <v>8</v>
      </c>
      <c r="E237" s="46">
        <f t="shared" si="102"/>
        <v>8</v>
      </c>
      <c r="F237" s="46">
        <f t="shared" si="102"/>
        <v>8</v>
      </c>
      <c r="G237" s="46">
        <f t="shared" si="102"/>
        <v>8</v>
      </c>
      <c r="H237" s="46">
        <f t="shared" si="102"/>
        <v>8</v>
      </c>
      <c r="I237" s="46">
        <f t="shared" si="102"/>
        <v>8</v>
      </c>
      <c r="J237" s="46">
        <f t="shared" si="102"/>
        <v>8</v>
      </c>
      <c r="K237" s="46" t="str">
        <f t="shared" si="102"/>
        <v/>
      </c>
      <c r="L237" s="46" t="str">
        <f t="shared" si="102"/>
        <v/>
      </c>
      <c r="M237" s="46">
        <f t="shared" si="102"/>
        <v>8</v>
      </c>
      <c r="N237" s="46">
        <f t="shared" si="102"/>
        <v>8</v>
      </c>
      <c r="O237" s="46" t="str">
        <f t="shared" si="102"/>
        <v/>
      </c>
      <c r="P237" s="46" t="str">
        <f t="shared" si="102"/>
        <v/>
      </c>
      <c r="Q237" s="46">
        <f t="shared" si="102"/>
        <v>8</v>
      </c>
      <c r="R237" s="46" t="str">
        <f t="shared" si="102"/>
        <v/>
      </c>
      <c r="S237" s="46">
        <f t="shared" si="102"/>
        <v>8</v>
      </c>
      <c r="T237" s="46">
        <f t="shared" si="102"/>
        <v>8</v>
      </c>
      <c r="U237" s="46">
        <f t="shared" si="102"/>
        <v>8</v>
      </c>
      <c r="V237" s="46" t="str">
        <f t="shared" si="102"/>
        <v/>
      </c>
      <c r="W237" s="46" t="str">
        <f t="shared" si="102"/>
        <v/>
      </c>
      <c r="X237" s="46" t="str">
        <f t="shared" si="102"/>
        <v/>
      </c>
      <c r="Y237" s="46" t="str">
        <f t="shared" si="102"/>
        <v/>
      </c>
      <c r="Z237" s="46" t="str">
        <f t="shared" si="102"/>
        <v/>
      </c>
      <c r="AA237" s="46" t="str">
        <f t="shared" si="102"/>
        <v/>
      </c>
      <c r="AB237" s="46" t="str">
        <f t="shared" si="102"/>
        <v/>
      </c>
      <c r="AC237" s="46" t="str">
        <f t="shared" si="102"/>
        <v/>
      </c>
      <c r="AD237" s="46" t="str">
        <f t="shared" si="102"/>
        <v/>
      </c>
      <c r="AE237" s="46">
        <f t="shared" si="102"/>
        <v>8</v>
      </c>
      <c r="AF237" s="46" t="str">
        <f t="shared" si="102"/>
        <v/>
      </c>
      <c r="AG237" s="46" t="str">
        <f t="shared" si="102"/>
        <v/>
      </c>
      <c r="AH237" s="46">
        <f t="shared" si="102"/>
        <v>8</v>
      </c>
      <c r="AI237" s="46">
        <f t="shared" si="102"/>
        <v>8</v>
      </c>
      <c r="AJ237" s="46">
        <f t="shared" si="102"/>
        <v>8</v>
      </c>
      <c r="AK237" s="46">
        <f t="shared" si="102"/>
        <v>8</v>
      </c>
      <c r="AL237" s="46">
        <f t="shared" si="102"/>
        <v>8</v>
      </c>
      <c r="AM237" s="46">
        <f t="shared" si="102"/>
        <v>8</v>
      </c>
      <c r="AN237" s="46">
        <f t="shared" si="102"/>
        <v>8</v>
      </c>
      <c r="AO237" s="46">
        <f t="shared" si="102"/>
        <v>8</v>
      </c>
      <c r="AP237" s="46" t="str">
        <f t="shared" si="102"/>
        <v/>
      </c>
      <c r="AQ237" s="46">
        <f t="shared" si="102"/>
        <v>8</v>
      </c>
      <c r="AR237" s="46">
        <f t="shared" si="102"/>
        <v>8</v>
      </c>
      <c r="AS237" s="46" t="str">
        <f t="shared" si="102"/>
        <v/>
      </c>
      <c r="AT237" s="46" t="str">
        <f t="shared" si="102"/>
        <v/>
      </c>
      <c r="AU237" s="46" t="str">
        <f t="shared" si="102"/>
        <v/>
      </c>
      <c r="AV237" s="46" t="str">
        <f t="shared" si="102"/>
        <v/>
      </c>
      <c r="AW237" s="46">
        <f t="shared" si="102"/>
        <v>8</v>
      </c>
      <c r="AX237" s="46" t="str">
        <f t="shared" si="102"/>
        <v/>
      </c>
      <c r="AY237" s="46">
        <f t="shared" si="102"/>
        <v>8</v>
      </c>
      <c r="AZ237" s="46">
        <f t="shared" si="102"/>
        <v>8</v>
      </c>
      <c r="BA237" s="46">
        <f t="shared" si="102"/>
        <v>8</v>
      </c>
      <c r="BB237" s="46" t="str">
        <f t="shared" si="102"/>
        <v/>
      </c>
      <c r="BC237" s="46" t="str">
        <f t="shared" si="102"/>
        <v/>
      </c>
      <c r="BD237" s="46" t="str">
        <f t="shared" si="102"/>
        <v/>
      </c>
      <c r="BE237" s="46" t="str">
        <f t="shared" si="102"/>
        <v/>
      </c>
      <c r="BF237" s="46" t="str">
        <f t="shared" si="102"/>
        <v/>
      </c>
      <c r="BG237" s="46" t="str">
        <f t="shared" si="102"/>
        <v/>
      </c>
      <c r="BH237" s="46" t="str">
        <f t="shared" si="102"/>
        <v/>
      </c>
      <c r="BI237" s="46" t="str">
        <f t="shared" si="102"/>
        <v/>
      </c>
      <c r="BJ237" s="46" t="str">
        <f t="shared" si="102"/>
        <v/>
      </c>
      <c r="BK237" s="46" t="str">
        <f t="shared" si="102"/>
        <v/>
      </c>
      <c r="BL237" s="46" t="str">
        <f t="shared" si="102"/>
        <v/>
      </c>
      <c r="BM237" s="46" t="str">
        <f t="shared" si="102"/>
        <v/>
      </c>
      <c r="BN237" s="46" t="str">
        <f t="shared" si="102"/>
        <v/>
      </c>
      <c r="BO237" s="46" t="str">
        <f t="shared" ref="BO237:DH237" si="103">IF(BO44="X",$DK44,"")</f>
        <v/>
      </c>
      <c r="BP237" s="46" t="str">
        <f t="shared" si="103"/>
        <v/>
      </c>
      <c r="BQ237" s="46" t="str">
        <f t="shared" si="103"/>
        <v/>
      </c>
      <c r="BR237" s="46" t="str">
        <f t="shared" si="103"/>
        <v/>
      </c>
      <c r="BS237" s="46" t="str">
        <f t="shared" si="103"/>
        <v/>
      </c>
      <c r="BT237" s="46" t="str">
        <f t="shared" si="103"/>
        <v/>
      </c>
      <c r="BU237" s="46" t="str">
        <f t="shared" si="103"/>
        <v/>
      </c>
      <c r="BV237" s="46" t="str">
        <f t="shared" si="103"/>
        <v/>
      </c>
      <c r="BW237" s="46" t="str">
        <f t="shared" si="103"/>
        <v/>
      </c>
      <c r="BX237" s="46" t="str">
        <f t="shared" si="103"/>
        <v/>
      </c>
      <c r="BY237" s="46" t="str">
        <f t="shared" si="103"/>
        <v/>
      </c>
      <c r="BZ237" s="46" t="str">
        <f t="shared" si="103"/>
        <v/>
      </c>
      <c r="CA237" s="46" t="str">
        <f t="shared" si="103"/>
        <v/>
      </c>
      <c r="CB237" s="46" t="str">
        <f t="shared" si="103"/>
        <v/>
      </c>
      <c r="CC237" s="46" t="str">
        <f t="shared" si="103"/>
        <v/>
      </c>
      <c r="CD237" s="46" t="str">
        <f t="shared" si="103"/>
        <v/>
      </c>
      <c r="CE237" s="46" t="str">
        <f t="shared" si="103"/>
        <v/>
      </c>
      <c r="CF237" s="46" t="str">
        <f t="shared" si="103"/>
        <v/>
      </c>
      <c r="CG237" s="46" t="str">
        <f t="shared" si="103"/>
        <v/>
      </c>
      <c r="CH237" s="46" t="str">
        <f t="shared" si="103"/>
        <v/>
      </c>
      <c r="CI237" s="46" t="str">
        <f t="shared" si="103"/>
        <v/>
      </c>
      <c r="CJ237" s="46" t="str">
        <f t="shared" si="103"/>
        <v/>
      </c>
      <c r="CK237" s="46" t="str">
        <f t="shared" si="103"/>
        <v/>
      </c>
      <c r="CL237" s="46" t="str">
        <f t="shared" si="103"/>
        <v/>
      </c>
      <c r="CM237" s="46" t="str">
        <f t="shared" si="103"/>
        <v/>
      </c>
      <c r="CN237" s="46" t="str">
        <f t="shared" si="103"/>
        <v/>
      </c>
      <c r="CO237" s="46" t="str">
        <f t="shared" si="103"/>
        <v/>
      </c>
      <c r="CP237" s="46" t="str">
        <f t="shared" si="103"/>
        <v/>
      </c>
      <c r="CQ237" s="46" t="str">
        <f t="shared" si="103"/>
        <v/>
      </c>
      <c r="CR237" s="46" t="str">
        <f t="shared" si="103"/>
        <v/>
      </c>
      <c r="CS237" s="46" t="str">
        <f t="shared" si="103"/>
        <v/>
      </c>
      <c r="CT237" s="46" t="str">
        <f t="shared" si="103"/>
        <v/>
      </c>
      <c r="CU237" s="46" t="str">
        <f t="shared" si="103"/>
        <v/>
      </c>
      <c r="CV237" s="46" t="str">
        <f t="shared" si="103"/>
        <v/>
      </c>
      <c r="CW237" s="46" t="str">
        <f t="shared" si="103"/>
        <v/>
      </c>
      <c r="CX237" s="46" t="str">
        <f t="shared" si="103"/>
        <v/>
      </c>
      <c r="CY237" s="46" t="str">
        <f t="shared" si="103"/>
        <v/>
      </c>
      <c r="CZ237" s="46" t="str">
        <f t="shared" si="103"/>
        <v/>
      </c>
      <c r="DA237" s="46" t="str">
        <f t="shared" si="103"/>
        <v/>
      </c>
      <c r="DB237" s="46" t="str">
        <f t="shared" si="103"/>
        <v/>
      </c>
      <c r="DC237" s="46" t="str">
        <f t="shared" si="103"/>
        <v/>
      </c>
      <c r="DD237" s="46" t="str">
        <f t="shared" si="103"/>
        <v/>
      </c>
      <c r="DE237" s="46" t="str">
        <f t="shared" si="103"/>
        <v/>
      </c>
      <c r="DF237" s="46" t="str">
        <f t="shared" si="103"/>
        <v/>
      </c>
      <c r="DG237" s="46" t="str">
        <f t="shared" si="103"/>
        <v/>
      </c>
      <c r="DH237" s="46" t="str">
        <f t="shared" si="103"/>
        <v/>
      </c>
      <c r="DI237" s="46" t="str">
        <f t="shared" ref="DI237:DV237" si="104">IF(DI45="X",$DZ45,"")</f>
        <v/>
      </c>
      <c r="DJ237" s="46" t="str">
        <f t="shared" si="104"/>
        <v/>
      </c>
      <c r="DK237" s="46" t="str">
        <f t="shared" si="104"/>
        <v/>
      </c>
      <c r="DL237" s="46" t="str">
        <f t="shared" si="104"/>
        <v/>
      </c>
      <c r="DM237" s="46" t="str">
        <f t="shared" si="104"/>
        <v/>
      </c>
      <c r="DN237" s="46" t="str">
        <f t="shared" si="104"/>
        <v/>
      </c>
      <c r="DO237" s="46" t="str">
        <f t="shared" si="104"/>
        <v/>
      </c>
      <c r="DP237" s="46" t="str">
        <f t="shared" si="104"/>
        <v/>
      </c>
      <c r="DQ237" s="46" t="str">
        <f t="shared" si="104"/>
        <v/>
      </c>
      <c r="DR237" s="46" t="str">
        <f t="shared" si="104"/>
        <v/>
      </c>
      <c r="DS237" s="46" t="str">
        <f t="shared" si="104"/>
        <v/>
      </c>
      <c r="DT237" s="46" t="str">
        <f t="shared" si="104"/>
        <v/>
      </c>
      <c r="DU237" s="46" t="str">
        <f t="shared" si="104"/>
        <v/>
      </c>
      <c r="DV237" s="46" t="str">
        <f t="shared" si="104"/>
        <v/>
      </c>
      <c r="DW237" s="9"/>
      <c r="DX237" s="1"/>
    </row>
    <row r="238" spans="1:128" x14ac:dyDescent="0.25">
      <c r="A238" s="46"/>
      <c r="B238" s="46" t="str">
        <f t="shared" si="22"/>
        <v/>
      </c>
      <c r="C238" s="46" t="str">
        <f t="shared" ref="C238:BN238" si="105">IF(C45="X",$DK45,"")</f>
        <v/>
      </c>
      <c r="D238" s="46" t="str">
        <f t="shared" si="105"/>
        <v/>
      </c>
      <c r="E238" s="46" t="str">
        <f t="shared" si="105"/>
        <v/>
      </c>
      <c r="F238" s="46" t="str">
        <f t="shared" si="105"/>
        <v/>
      </c>
      <c r="G238" s="46" t="str">
        <f t="shared" si="105"/>
        <v/>
      </c>
      <c r="H238" s="46" t="str">
        <f t="shared" si="105"/>
        <v/>
      </c>
      <c r="I238" s="46" t="str">
        <f t="shared" si="105"/>
        <v/>
      </c>
      <c r="J238" s="46" t="str">
        <f t="shared" si="105"/>
        <v/>
      </c>
      <c r="K238" s="46" t="str">
        <f t="shared" si="105"/>
        <v/>
      </c>
      <c r="L238" s="46" t="str">
        <f t="shared" si="105"/>
        <v/>
      </c>
      <c r="M238" s="46" t="str">
        <f t="shared" si="105"/>
        <v/>
      </c>
      <c r="N238" s="46" t="str">
        <f t="shared" si="105"/>
        <v/>
      </c>
      <c r="O238" s="46" t="str">
        <f t="shared" si="105"/>
        <v/>
      </c>
      <c r="P238" s="46" t="str">
        <f t="shared" si="105"/>
        <v/>
      </c>
      <c r="Q238" s="46" t="str">
        <f t="shared" si="105"/>
        <v/>
      </c>
      <c r="R238" s="46" t="str">
        <f t="shared" si="105"/>
        <v/>
      </c>
      <c r="S238" s="46" t="str">
        <f t="shared" si="105"/>
        <v/>
      </c>
      <c r="T238" s="46" t="str">
        <f t="shared" si="105"/>
        <v/>
      </c>
      <c r="U238" s="46" t="str">
        <f t="shared" si="105"/>
        <v/>
      </c>
      <c r="V238" s="46" t="str">
        <f t="shared" si="105"/>
        <v/>
      </c>
      <c r="W238" s="46" t="str">
        <f t="shared" si="105"/>
        <v/>
      </c>
      <c r="X238" s="46" t="str">
        <f t="shared" si="105"/>
        <v/>
      </c>
      <c r="Y238" s="46" t="str">
        <f t="shared" si="105"/>
        <v/>
      </c>
      <c r="Z238" s="46" t="str">
        <f t="shared" si="105"/>
        <v/>
      </c>
      <c r="AA238" s="46" t="str">
        <f t="shared" si="105"/>
        <v/>
      </c>
      <c r="AB238" s="46" t="str">
        <f t="shared" si="105"/>
        <v/>
      </c>
      <c r="AC238" s="46" t="str">
        <f t="shared" si="105"/>
        <v/>
      </c>
      <c r="AD238" s="46" t="str">
        <f t="shared" si="105"/>
        <v/>
      </c>
      <c r="AE238" s="46" t="str">
        <f t="shared" si="105"/>
        <v/>
      </c>
      <c r="AF238" s="46" t="str">
        <f t="shared" si="105"/>
        <v/>
      </c>
      <c r="AG238" s="46" t="str">
        <f t="shared" si="105"/>
        <v/>
      </c>
      <c r="AH238" s="46" t="str">
        <f t="shared" si="105"/>
        <v/>
      </c>
      <c r="AI238" s="46" t="str">
        <f t="shared" si="105"/>
        <v/>
      </c>
      <c r="AJ238" s="46" t="str">
        <f t="shared" si="105"/>
        <v/>
      </c>
      <c r="AK238" s="46" t="str">
        <f t="shared" si="105"/>
        <v/>
      </c>
      <c r="AL238" s="46" t="str">
        <f t="shared" si="105"/>
        <v/>
      </c>
      <c r="AM238" s="46" t="str">
        <f t="shared" si="105"/>
        <v/>
      </c>
      <c r="AN238" s="46" t="str">
        <f t="shared" si="105"/>
        <v/>
      </c>
      <c r="AO238" s="46" t="str">
        <f t="shared" si="105"/>
        <v/>
      </c>
      <c r="AP238" s="46">
        <f t="shared" si="105"/>
        <v>8</v>
      </c>
      <c r="AQ238" s="46" t="str">
        <f t="shared" si="105"/>
        <v/>
      </c>
      <c r="AR238" s="46" t="str">
        <f t="shared" si="105"/>
        <v/>
      </c>
      <c r="AS238" s="46" t="str">
        <f t="shared" si="105"/>
        <v/>
      </c>
      <c r="AT238" s="46" t="str">
        <f t="shared" si="105"/>
        <v/>
      </c>
      <c r="AU238" s="46" t="str">
        <f t="shared" si="105"/>
        <v/>
      </c>
      <c r="AV238" s="46" t="str">
        <f t="shared" si="105"/>
        <v/>
      </c>
      <c r="AW238" s="46" t="str">
        <f t="shared" si="105"/>
        <v/>
      </c>
      <c r="AX238" s="46" t="str">
        <f t="shared" si="105"/>
        <v/>
      </c>
      <c r="AY238" s="46" t="str">
        <f t="shared" si="105"/>
        <v/>
      </c>
      <c r="AZ238" s="46" t="str">
        <f t="shared" si="105"/>
        <v/>
      </c>
      <c r="BA238" s="46" t="str">
        <f t="shared" si="105"/>
        <v/>
      </c>
      <c r="BB238" s="46" t="str">
        <f t="shared" si="105"/>
        <v/>
      </c>
      <c r="BC238" s="46">
        <f t="shared" si="105"/>
        <v>8</v>
      </c>
      <c r="BD238" s="46">
        <f t="shared" si="105"/>
        <v>8</v>
      </c>
      <c r="BE238" s="46" t="str">
        <f t="shared" si="105"/>
        <v/>
      </c>
      <c r="BF238" s="46" t="str">
        <f t="shared" si="105"/>
        <v/>
      </c>
      <c r="BG238" s="46" t="str">
        <f t="shared" si="105"/>
        <v/>
      </c>
      <c r="BH238" s="46" t="str">
        <f t="shared" si="105"/>
        <v/>
      </c>
      <c r="BI238" s="46" t="str">
        <f t="shared" si="105"/>
        <v/>
      </c>
      <c r="BJ238" s="46" t="str">
        <f t="shared" si="105"/>
        <v/>
      </c>
      <c r="BK238" s="46" t="str">
        <f t="shared" si="105"/>
        <v/>
      </c>
      <c r="BL238" s="46" t="str">
        <f t="shared" si="105"/>
        <v/>
      </c>
      <c r="BM238" s="46" t="str">
        <f t="shared" si="105"/>
        <v/>
      </c>
      <c r="BN238" s="46" t="str">
        <f t="shared" si="105"/>
        <v/>
      </c>
      <c r="BO238" s="46" t="str">
        <f t="shared" ref="BO238:DH238" si="106">IF(BO45="X",$DK45,"")</f>
        <v/>
      </c>
      <c r="BP238" s="46" t="str">
        <f t="shared" si="106"/>
        <v/>
      </c>
      <c r="BQ238" s="46" t="str">
        <f t="shared" si="106"/>
        <v/>
      </c>
      <c r="BR238" s="46" t="str">
        <f t="shared" si="106"/>
        <v/>
      </c>
      <c r="BS238" s="46" t="str">
        <f t="shared" si="106"/>
        <v/>
      </c>
      <c r="BT238" s="46" t="str">
        <f t="shared" si="106"/>
        <v/>
      </c>
      <c r="BU238" s="46" t="str">
        <f t="shared" si="106"/>
        <v/>
      </c>
      <c r="BV238" s="46" t="str">
        <f t="shared" si="106"/>
        <v/>
      </c>
      <c r="BW238" s="46" t="str">
        <f t="shared" si="106"/>
        <v/>
      </c>
      <c r="BX238" s="46" t="str">
        <f t="shared" si="106"/>
        <v/>
      </c>
      <c r="BY238" s="46" t="str">
        <f t="shared" si="106"/>
        <v/>
      </c>
      <c r="BZ238" s="46" t="str">
        <f t="shared" si="106"/>
        <v/>
      </c>
      <c r="CA238" s="46" t="str">
        <f t="shared" si="106"/>
        <v/>
      </c>
      <c r="CB238" s="46" t="str">
        <f t="shared" si="106"/>
        <v/>
      </c>
      <c r="CC238" s="46" t="str">
        <f t="shared" si="106"/>
        <v/>
      </c>
      <c r="CD238" s="46" t="str">
        <f t="shared" si="106"/>
        <v/>
      </c>
      <c r="CE238" s="46" t="str">
        <f t="shared" si="106"/>
        <v/>
      </c>
      <c r="CF238" s="46">
        <f t="shared" si="106"/>
        <v>8</v>
      </c>
      <c r="CG238" s="46" t="str">
        <f t="shared" si="106"/>
        <v/>
      </c>
      <c r="CH238" s="46" t="str">
        <f t="shared" si="106"/>
        <v/>
      </c>
      <c r="CI238" s="46" t="str">
        <f t="shared" si="106"/>
        <v/>
      </c>
      <c r="CJ238" s="46" t="str">
        <f t="shared" si="106"/>
        <v/>
      </c>
      <c r="CK238" s="46" t="str">
        <f t="shared" si="106"/>
        <v/>
      </c>
      <c r="CL238" s="46" t="str">
        <f t="shared" si="106"/>
        <v/>
      </c>
      <c r="CM238" s="46" t="str">
        <f t="shared" si="106"/>
        <v/>
      </c>
      <c r="CN238" s="46" t="str">
        <f t="shared" si="106"/>
        <v/>
      </c>
      <c r="CO238" s="46" t="str">
        <f t="shared" si="106"/>
        <v/>
      </c>
      <c r="CP238" s="46" t="str">
        <f t="shared" si="106"/>
        <v/>
      </c>
      <c r="CQ238" s="46" t="str">
        <f t="shared" si="106"/>
        <v/>
      </c>
      <c r="CR238" s="46" t="str">
        <f t="shared" si="106"/>
        <v/>
      </c>
      <c r="CS238" s="46" t="str">
        <f t="shared" si="106"/>
        <v/>
      </c>
      <c r="CT238" s="46" t="str">
        <f t="shared" si="106"/>
        <v/>
      </c>
      <c r="CU238" s="46" t="str">
        <f t="shared" si="106"/>
        <v/>
      </c>
      <c r="CV238" s="46" t="str">
        <f t="shared" si="106"/>
        <v/>
      </c>
      <c r="CW238" s="46" t="str">
        <f t="shared" si="106"/>
        <v/>
      </c>
      <c r="CX238" s="46" t="str">
        <f t="shared" si="106"/>
        <v/>
      </c>
      <c r="CY238" s="46" t="str">
        <f t="shared" si="106"/>
        <v/>
      </c>
      <c r="CZ238" s="46" t="str">
        <f t="shared" si="106"/>
        <v/>
      </c>
      <c r="DA238" s="46" t="str">
        <f t="shared" si="106"/>
        <v/>
      </c>
      <c r="DB238" s="46" t="str">
        <f t="shared" si="106"/>
        <v/>
      </c>
      <c r="DC238" s="46" t="str">
        <f t="shared" si="106"/>
        <v/>
      </c>
      <c r="DD238" s="46" t="str">
        <f t="shared" si="106"/>
        <v/>
      </c>
      <c r="DE238" s="46" t="str">
        <f t="shared" si="106"/>
        <v/>
      </c>
      <c r="DF238" s="46" t="str">
        <f t="shared" si="106"/>
        <v/>
      </c>
      <c r="DG238" s="46" t="str">
        <f t="shared" si="106"/>
        <v/>
      </c>
      <c r="DH238" s="46" t="str">
        <f t="shared" si="106"/>
        <v/>
      </c>
      <c r="DI238" s="46" t="str">
        <f t="shared" ref="DI238:DV238" si="107">IF(DI46="X",$DZ46,"")</f>
        <v/>
      </c>
      <c r="DJ238" s="46" t="str">
        <f t="shared" si="107"/>
        <v/>
      </c>
      <c r="DK238" s="46" t="str">
        <f t="shared" si="107"/>
        <v/>
      </c>
      <c r="DL238" s="46" t="str">
        <f t="shared" si="107"/>
        <v/>
      </c>
      <c r="DM238" s="46" t="str">
        <f t="shared" si="107"/>
        <v/>
      </c>
      <c r="DN238" s="46" t="str">
        <f t="shared" si="107"/>
        <v/>
      </c>
      <c r="DO238" s="46" t="str">
        <f t="shared" si="107"/>
        <v/>
      </c>
      <c r="DP238" s="46" t="str">
        <f t="shared" si="107"/>
        <v/>
      </c>
      <c r="DQ238" s="46" t="str">
        <f t="shared" si="107"/>
        <v/>
      </c>
      <c r="DR238" s="46" t="str">
        <f t="shared" si="107"/>
        <v/>
      </c>
      <c r="DS238" s="46" t="str">
        <f t="shared" si="107"/>
        <v/>
      </c>
      <c r="DT238" s="46" t="str">
        <f t="shared" si="107"/>
        <v/>
      </c>
      <c r="DU238" s="46" t="str">
        <f t="shared" si="107"/>
        <v/>
      </c>
      <c r="DV238" s="46" t="str">
        <f t="shared" si="107"/>
        <v/>
      </c>
      <c r="DW238" s="9"/>
      <c r="DX238" s="1"/>
    </row>
    <row r="239" spans="1:128" x14ac:dyDescent="0.25">
      <c r="A239" s="46"/>
      <c r="B239" s="46" t="str">
        <f t="shared" si="22"/>
        <v/>
      </c>
      <c r="C239" s="46" t="str">
        <f t="shared" ref="C239:BN239" si="108">IF(C46="X",$DK46,"")</f>
        <v/>
      </c>
      <c r="D239" s="46" t="str">
        <f t="shared" si="108"/>
        <v/>
      </c>
      <c r="E239" s="46" t="str">
        <f t="shared" si="108"/>
        <v/>
      </c>
      <c r="F239" s="46" t="str">
        <f t="shared" si="108"/>
        <v/>
      </c>
      <c r="G239" s="46" t="str">
        <f t="shared" si="108"/>
        <v/>
      </c>
      <c r="H239" s="46" t="str">
        <f t="shared" si="108"/>
        <v/>
      </c>
      <c r="I239" s="46" t="str">
        <f t="shared" si="108"/>
        <v/>
      </c>
      <c r="J239" s="46" t="str">
        <f t="shared" si="108"/>
        <v/>
      </c>
      <c r="K239" s="46" t="str">
        <f t="shared" si="108"/>
        <v/>
      </c>
      <c r="L239" s="46" t="str">
        <f t="shared" si="108"/>
        <v/>
      </c>
      <c r="M239" s="46" t="str">
        <f t="shared" si="108"/>
        <v/>
      </c>
      <c r="N239" s="46" t="str">
        <f t="shared" si="108"/>
        <v/>
      </c>
      <c r="O239" s="46" t="str">
        <f t="shared" si="108"/>
        <v/>
      </c>
      <c r="P239" s="46" t="str">
        <f t="shared" si="108"/>
        <v/>
      </c>
      <c r="Q239" s="46" t="str">
        <f t="shared" si="108"/>
        <v/>
      </c>
      <c r="R239" s="46" t="str">
        <f t="shared" si="108"/>
        <v/>
      </c>
      <c r="S239" s="46" t="str">
        <f t="shared" si="108"/>
        <v/>
      </c>
      <c r="T239" s="46" t="str">
        <f t="shared" si="108"/>
        <v/>
      </c>
      <c r="U239" s="46" t="str">
        <f t="shared" si="108"/>
        <v/>
      </c>
      <c r="V239" s="46" t="str">
        <f t="shared" si="108"/>
        <v/>
      </c>
      <c r="W239" s="46" t="str">
        <f t="shared" si="108"/>
        <v/>
      </c>
      <c r="X239" s="46" t="str">
        <f t="shared" si="108"/>
        <v/>
      </c>
      <c r="Y239" s="46" t="str">
        <f t="shared" si="108"/>
        <v/>
      </c>
      <c r="Z239" s="46" t="str">
        <f t="shared" si="108"/>
        <v/>
      </c>
      <c r="AA239" s="46" t="str">
        <f t="shared" si="108"/>
        <v/>
      </c>
      <c r="AB239" s="46" t="str">
        <f t="shared" si="108"/>
        <v/>
      </c>
      <c r="AC239" s="46" t="str">
        <f t="shared" si="108"/>
        <v/>
      </c>
      <c r="AD239" s="46" t="str">
        <f t="shared" si="108"/>
        <v/>
      </c>
      <c r="AE239" s="46" t="str">
        <f t="shared" si="108"/>
        <v/>
      </c>
      <c r="AF239" s="46" t="str">
        <f t="shared" si="108"/>
        <v/>
      </c>
      <c r="AG239" s="46" t="str">
        <f t="shared" si="108"/>
        <v/>
      </c>
      <c r="AH239" s="46" t="str">
        <f t="shared" si="108"/>
        <v/>
      </c>
      <c r="AI239" s="46" t="str">
        <f t="shared" si="108"/>
        <v/>
      </c>
      <c r="AJ239" s="46" t="str">
        <f t="shared" si="108"/>
        <v/>
      </c>
      <c r="AK239" s="46" t="str">
        <f t="shared" si="108"/>
        <v/>
      </c>
      <c r="AL239" s="46" t="str">
        <f t="shared" si="108"/>
        <v/>
      </c>
      <c r="AM239" s="46" t="str">
        <f t="shared" si="108"/>
        <v/>
      </c>
      <c r="AN239" s="46" t="str">
        <f t="shared" si="108"/>
        <v/>
      </c>
      <c r="AO239" s="46" t="str">
        <f t="shared" si="108"/>
        <v/>
      </c>
      <c r="AP239" s="46" t="str">
        <f t="shared" si="108"/>
        <v/>
      </c>
      <c r="AQ239" s="46" t="str">
        <f t="shared" si="108"/>
        <v/>
      </c>
      <c r="AR239" s="46" t="str">
        <f t="shared" si="108"/>
        <v/>
      </c>
      <c r="AS239" s="46" t="str">
        <f t="shared" si="108"/>
        <v/>
      </c>
      <c r="AT239" s="46" t="str">
        <f t="shared" si="108"/>
        <v/>
      </c>
      <c r="AU239" s="46" t="str">
        <f t="shared" si="108"/>
        <v/>
      </c>
      <c r="AV239" s="46">
        <f t="shared" si="108"/>
        <v>32</v>
      </c>
      <c r="AW239" s="46" t="str">
        <f t="shared" si="108"/>
        <v/>
      </c>
      <c r="AX239" s="46" t="str">
        <f t="shared" si="108"/>
        <v/>
      </c>
      <c r="AY239" s="46" t="str">
        <f t="shared" si="108"/>
        <v/>
      </c>
      <c r="AZ239" s="46" t="str">
        <f t="shared" si="108"/>
        <v/>
      </c>
      <c r="BA239" s="46" t="str">
        <f t="shared" si="108"/>
        <v/>
      </c>
      <c r="BB239" s="46" t="str">
        <f t="shared" si="108"/>
        <v/>
      </c>
      <c r="BC239" s="46" t="str">
        <f t="shared" si="108"/>
        <v/>
      </c>
      <c r="BD239" s="46" t="str">
        <f t="shared" si="108"/>
        <v/>
      </c>
      <c r="BE239" s="46" t="str">
        <f t="shared" si="108"/>
        <v/>
      </c>
      <c r="BF239" s="46" t="str">
        <f t="shared" si="108"/>
        <v/>
      </c>
      <c r="BG239" s="46" t="str">
        <f t="shared" si="108"/>
        <v/>
      </c>
      <c r="BH239" s="46" t="str">
        <f t="shared" si="108"/>
        <v/>
      </c>
      <c r="BI239" s="46" t="str">
        <f t="shared" si="108"/>
        <v/>
      </c>
      <c r="BJ239" s="46" t="str">
        <f t="shared" si="108"/>
        <v/>
      </c>
      <c r="BK239" s="46" t="str">
        <f t="shared" si="108"/>
        <v/>
      </c>
      <c r="BL239" s="46" t="str">
        <f t="shared" si="108"/>
        <v/>
      </c>
      <c r="BM239" s="46" t="str">
        <f t="shared" si="108"/>
        <v/>
      </c>
      <c r="BN239" s="46" t="str">
        <f t="shared" si="108"/>
        <v/>
      </c>
      <c r="BO239" s="46" t="str">
        <f t="shared" ref="BO239:DH239" si="109">IF(BO46="X",$DK46,"")</f>
        <v/>
      </c>
      <c r="BP239" s="46" t="str">
        <f t="shared" si="109"/>
        <v/>
      </c>
      <c r="BQ239" s="46" t="str">
        <f t="shared" si="109"/>
        <v/>
      </c>
      <c r="BR239" s="46" t="str">
        <f t="shared" si="109"/>
        <v/>
      </c>
      <c r="BS239" s="46" t="str">
        <f t="shared" si="109"/>
        <v/>
      </c>
      <c r="BT239" s="46" t="str">
        <f t="shared" si="109"/>
        <v/>
      </c>
      <c r="BU239" s="46" t="str">
        <f t="shared" si="109"/>
        <v/>
      </c>
      <c r="BV239" s="46" t="str">
        <f t="shared" si="109"/>
        <v/>
      </c>
      <c r="BW239" s="46" t="str">
        <f t="shared" si="109"/>
        <v/>
      </c>
      <c r="BX239" s="46" t="str">
        <f t="shared" si="109"/>
        <v/>
      </c>
      <c r="BY239" s="46" t="str">
        <f t="shared" si="109"/>
        <v/>
      </c>
      <c r="BZ239" s="46" t="str">
        <f t="shared" si="109"/>
        <v/>
      </c>
      <c r="CA239" s="46" t="str">
        <f t="shared" si="109"/>
        <v/>
      </c>
      <c r="CB239" s="46" t="str">
        <f t="shared" si="109"/>
        <v/>
      </c>
      <c r="CC239" s="46" t="str">
        <f t="shared" si="109"/>
        <v/>
      </c>
      <c r="CD239" s="46" t="str">
        <f t="shared" si="109"/>
        <v/>
      </c>
      <c r="CE239" s="46" t="str">
        <f t="shared" si="109"/>
        <v/>
      </c>
      <c r="CF239" s="46" t="str">
        <f t="shared" si="109"/>
        <v/>
      </c>
      <c r="CG239" s="46" t="str">
        <f t="shared" si="109"/>
        <v/>
      </c>
      <c r="CH239" s="46" t="str">
        <f t="shared" si="109"/>
        <v/>
      </c>
      <c r="CI239" s="46" t="str">
        <f t="shared" si="109"/>
        <v/>
      </c>
      <c r="CJ239" s="46" t="str">
        <f t="shared" si="109"/>
        <v/>
      </c>
      <c r="CK239" s="46" t="str">
        <f t="shared" si="109"/>
        <v/>
      </c>
      <c r="CL239" s="46" t="str">
        <f t="shared" si="109"/>
        <v/>
      </c>
      <c r="CM239" s="46" t="str">
        <f t="shared" si="109"/>
        <v/>
      </c>
      <c r="CN239" s="46" t="str">
        <f t="shared" si="109"/>
        <v/>
      </c>
      <c r="CO239" s="46" t="str">
        <f t="shared" si="109"/>
        <v/>
      </c>
      <c r="CP239" s="46" t="str">
        <f t="shared" si="109"/>
        <v/>
      </c>
      <c r="CQ239" s="46" t="str">
        <f t="shared" si="109"/>
        <v/>
      </c>
      <c r="CR239" s="46" t="str">
        <f t="shared" si="109"/>
        <v/>
      </c>
      <c r="CS239" s="46" t="str">
        <f t="shared" si="109"/>
        <v/>
      </c>
      <c r="CT239" s="46" t="str">
        <f t="shared" si="109"/>
        <v/>
      </c>
      <c r="CU239" s="46" t="str">
        <f t="shared" si="109"/>
        <v/>
      </c>
      <c r="CV239" s="46" t="str">
        <f t="shared" si="109"/>
        <v/>
      </c>
      <c r="CW239" s="46" t="str">
        <f t="shared" si="109"/>
        <v/>
      </c>
      <c r="CX239" s="46" t="str">
        <f t="shared" si="109"/>
        <v/>
      </c>
      <c r="CY239" s="46" t="str">
        <f t="shared" si="109"/>
        <v/>
      </c>
      <c r="CZ239" s="46" t="str">
        <f t="shared" si="109"/>
        <v/>
      </c>
      <c r="DA239" s="46" t="str">
        <f t="shared" si="109"/>
        <v/>
      </c>
      <c r="DB239" s="46" t="str">
        <f t="shared" si="109"/>
        <v/>
      </c>
      <c r="DC239" s="46" t="str">
        <f t="shared" si="109"/>
        <v/>
      </c>
      <c r="DD239" s="46" t="str">
        <f t="shared" si="109"/>
        <v/>
      </c>
      <c r="DE239" s="46" t="str">
        <f t="shared" si="109"/>
        <v/>
      </c>
      <c r="DF239" s="46" t="str">
        <f t="shared" si="109"/>
        <v/>
      </c>
      <c r="DG239" s="46" t="str">
        <f t="shared" si="109"/>
        <v/>
      </c>
      <c r="DH239" s="46" t="str">
        <f t="shared" si="109"/>
        <v/>
      </c>
      <c r="DI239" s="46" t="str">
        <f t="shared" ref="DI239:DV239" si="110">IF(DI47="X",$DZ47,"")</f>
        <v/>
      </c>
      <c r="DJ239" s="46" t="str">
        <f t="shared" si="110"/>
        <v/>
      </c>
      <c r="DK239" s="46" t="str">
        <f t="shared" si="110"/>
        <v/>
      </c>
      <c r="DL239" s="46" t="str">
        <f t="shared" si="110"/>
        <v/>
      </c>
      <c r="DM239" s="46" t="str">
        <f t="shared" si="110"/>
        <v/>
      </c>
      <c r="DN239" s="46" t="str">
        <f t="shared" si="110"/>
        <v/>
      </c>
      <c r="DO239" s="46" t="str">
        <f t="shared" si="110"/>
        <v/>
      </c>
      <c r="DP239" s="46" t="str">
        <f t="shared" si="110"/>
        <v/>
      </c>
      <c r="DQ239" s="46" t="str">
        <f t="shared" si="110"/>
        <v/>
      </c>
      <c r="DR239" s="46" t="str">
        <f t="shared" si="110"/>
        <v/>
      </c>
      <c r="DS239" s="46" t="str">
        <f t="shared" si="110"/>
        <v/>
      </c>
      <c r="DT239" s="46" t="str">
        <f t="shared" si="110"/>
        <v/>
      </c>
      <c r="DU239" s="46" t="str">
        <f t="shared" si="110"/>
        <v/>
      </c>
      <c r="DV239" s="46" t="str">
        <f t="shared" si="110"/>
        <v/>
      </c>
      <c r="DW239" s="9"/>
      <c r="DX239" s="1"/>
    </row>
    <row r="240" spans="1:128" x14ac:dyDescent="0.25">
      <c r="A240" s="46"/>
      <c r="B240" s="46" t="str">
        <f t="shared" si="22"/>
        <v/>
      </c>
      <c r="C240" s="46" t="str">
        <f t="shared" ref="C240:BN240" si="111">IF(C47="X",$DK47,"")</f>
        <v/>
      </c>
      <c r="D240" s="46" t="str">
        <f t="shared" si="111"/>
        <v/>
      </c>
      <c r="E240" s="46" t="str">
        <f t="shared" si="111"/>
        <v/>
      </c>
      <c r="F240" s="46" t="str">
        <f t="shared" si="111"/>
        <v/>
      </c>
      <c r="G240" s="46" t="str">
        <f t="shared" si="111"/>
        <v/>
      </c>
      <c r="H240" s="46" t="str">
        <f t="shared" si="111"/>
        <v/>
      </c>
      <c r="I240" s="46" t="str">
        <f t="shared" si="111"/>
        <v/>
      </c>
      <c r="J240" s="46" t="str">
        <f t="shared" si="111"/>
        <v/>
      </c>
      <c r="K240" s="46" t="str">
        <f t="shared" si="111"/>
        <v/>
      </c>
      <c r="L240" s="46" t="str">
        <f t="shared" si="111"/>
        <v/>
      </c>
      <c r="M240" s="46" t="str">
        <f t="shared" si="111"/>
        <v/>
      </c>
      <c r="N240" s="46" t="str">
        <f t="shared" si="111"/>
        <v/>
      </c>
      <c r="O240" s="46" t="str">
        <f t="shared" si="111"/>
        <v/>
      </c>
      <c r="P240" s="46" t="str">
        <f t="shared" si="111"/>
        <v/>
      </c>
      <c r="Q240" s="46" t="str">
        <f t="shared" si="111"/>
        <v/>
      </c>
      <c r="R240" s="46" t="str">
        <f t="shared" si="111"/>
        <v/>
      </c>
      <c r="S240" s="46" t="str">
        <f t="shared" si="111"/>
        <v/>
      </c>
      <c r="T240" s="46" t="str">
        <f t="shared" si="111"/>
        <v/>
      </c>
      <c r="U240" s="46" t="str">
        <f t="shared" si="111"/>
        <v/>
      </c>
      <c r="V240" s="46" t="str">
        <f t="shared" si="111"/>
        <v/>
      </c>
      <c r="W240" s="46" t="str">
        <f t="shared" si="111"/>
        <v/>
      </c>
      <c r="X240" s="46" t="str">
        <f t="shared" si="111"/>
        <v/>
      </c>
      <c r="Y240" s="46" t="str">
        <f t="shared" si="111"/>
        <v/>
      </c>
      <c r="Z240" s="46" t="str">
        <f t="shared" si="111"/>
        <v/>
      </c>
      <c r="AA240" s="46" t="str">
        <f t="shared" si="111"/>
        <v/>
      </c>
      <c r="AB240" s="46" t="str">
        <f t="shared" si="111"/>
        <v/>
      </c>
      <c r="AC240" s="46" t="str">
        <f t="shared" si="111"/>
        <v/>
      </c>
      <c r="AD240" s="46" t="str">
        <f t="shared" si="111"/>
        <v/>
      </c>
      <c r="AE240" s="46" t="str">
        <f t="shared" si="111"/>
        <v/>
      </c>
      <c r="AF240" s="46" t="str">
        <f t="shared" si="111"/>
        <v/>
      </c>
      <c r="AG240" s="46" t="str">
        <f t="shared" si="111"/>
        <v/>
      </c>
      <c r="AH240" s="46" t="str">
        <f t="shared" si="111"/>
        <v/>
      </c>
      <c r="AI240" s="46" t="str">
        <f t="shared" si="111"/>
        <v/>
      </c>
      <c r="AJ240" s="46" t="str">
        <f t="shared" si="111"/>
        <v/>
      </c>
      <c r="AK240" s="46" t="str">
        <f t="shared" si="111"/>
        <v/>
      </c>
      <c r="AL240" s="46" t="str">
        <f t="shared" si="111"/>
        <v/>
      </c>
      <c r="AM240" s="46" t="str">
        <f t="shared" si="111"/>
        <v/>
      </c>
      <c r="AN240" s="46">
        <f t="shared" si="111"/>
        <v>16</v>
      </c>
      <c r="AO240" s="46" t="str">
        <f t="shared" si="111"/>
        <v/>
      </c>
      <c r="AP240" s="46" t="str">
        <f t="shared" si="111"/>
        <v/>
      </c>
      <c r="AQ240" s="46" t="str">
        <f t="shared" si="111"/>
        <v/>
      </c>
      <c r="AR240" s="46" t="str">
        <f t="shared" si="111"/>
        <v/>
      </c>
      <c r="AS240" s="46" t="str">
        <f t="shared" si="111"/>
        <v/>
      </c>
      <c r="AT240" s="46" t="str">
        <f t="shared" si="111"/>
        <v/>
      </c>
      <c r="AU240" s="46" t="str">
        <f t="shared" si="111"/>
        <v/>
      </c>
      <c r="AV240" s="46" t="str">
        <f t="shared" si="111"/>
        <v/>
      </c>
      <c r="AW240" s="46" t="str">
        <f t="shared" si="111"/>
        <v/>
      </c>
      <c r="AX240" s="46" t="str">
        <f t="shared" si="111"/>
        <v/>
      </c>
      <c r="AY240" s="46" t="str">
        <f t="shared" si="111"/>
        <v/>
      </c>
      <c r="AZ240" s="46" t="str">
        <f t="shared" si="111"/>
        <v/>
      </c>
      <c r="BA240" s="46" t="str">
        <f t="shared" si="111"/>
        <v/>
      </c>
      <c r="BB240" s="46" t="str">
        <f t="shared" si="111"/>
        <v/>
      </c>
      <c r="BC240" s="46" t="str">
        <f t="shared" si="111"/>
        <v/>
      </c>
      <c r="BD240" s="46" t="str">
        <f t="shared" si="111"/>
        <v/>
      </c>
      <c r="BE240" s="46" t="str">
        <f t="shared" si="111"/>
        <v/>
      </c>
      <c r="BF240" s="46" t="str">
        <f t="shared" si="111"/>
        <v/>
      </c>
      <c r="BG240" s="46" t="str">
        <f t="shared" si="111"/>
        <v/>
      </c>
      <c r="BH240" s="46" t="str">
        <f t="shared" si="111"/>
        <v/>
      </c>
      <c r="BI240" s="46" t="str">
        <f t="shared" si="111"/>
        <v/>
      </c>
      <c r="BJ240" s="46" t="str">
        <f t="shared" si="111"/>
        <v/>
      </c>
      <c r="BK240" s="46" t="str">
        <f t="shared" si="111"/>
        <v/>
      </c>
      <c r="BL240" s="46" t="str">
        <f t="shared" si="111"/>
        <v/>
      </c>
      <c r="BM240" s="46" t="str">
        <f t="shared" si="111"/>
        <v/>
      </c>
      <c r="BN240" s="46" t="str">
        <f t="shared" si="111"/>
        <v/>
      </c>
      <c r="BO240" s="46" t="str">
        <f t="shared" ref="BO240:DH240" si="112">IF(BO47="X",$DK47,"")</f>
        <v/>
      </c>
      <c r="BP240" s="46" t="str">
        <f t="shared" si="112"/>
        <v/>
      </c>
      <c r="BQ240" s="46" t="str">
        <f t="shared" si="112"/>
        <v/>
      </c>
      <c r="BR240" s="46" t="str">
        <f t="shared" si="112"/>
        <v/>
      </c>
      <c r="BS240" s="46" t="str">
        <f t="shared" si="112"/>
        <v/>
      </c>
      <c r="BT240" s="46" t="str">
        <f t="shared" si="112"/>
        <v/>
      </c>
      <c r="BU240" s="46" t="str">
        <f t="shared" si="112"/>
        <v/>
      </c>
      <c r="BV240" s="46" t="str">
        <f t="shared" si="112"/>
        <v/>
      </c>
      <c r="BW240" s="46" t="str">
        <f t="shared" si="112"/>
        <v/>
      </c>
      <c r="BX240" s="46" t="str">
        <f t="shared" si="112"/>
        <v/>
      </c>
      <c r="BY240" s="46" t="str">
        <f t="shared" si="112"/>
        <v/>
      </c>
      <c r="BZ240" s="46" t="str">
        <f t="shared" si="112"/>
        <v/>
      </c>
      <c r="CA240" s="46" t="str">
        <f t="shared" si="112"/>
        <v/>
      </c>
      <c r="CB240" s="46" t="str">
        <f t="shared" si="112"/>
        <v/>
      </c>
      <c r="CC240" s="46" t="str">
        <f t="shared" si="112"/>
        <v/>
      </c>
      <c r="CD240" s="46" t="str">
        <f t="shared" si="112"/>
        <v/>
      </c>
      <c r="CE240" s="46" t="str">
        <f t="shared" si="112"/>
        <v/>
      </c>
      <c r="CF240" s="46" t="str">
        <f t="shared" si="112"/>
        <v/>
      </c>
      <c r="CG240" s="46" t="str">
        <f t="shared" si="112"/>
        <v/>
      </c>
      <c r="CH240" s="46" t="str">
        <f t="shared" si="112"/>
        <v/>
      </c>
      <c r="CI240" s="46" t="str">
        <f t="shared" si="112"/>
        <v/>
      </c>
      <c r="CJ240" s="46" t="str">
        <f t="shared" si="112"/>
        <v/>
      </c>
      <c r="CK240" s="46" t="str">
        <f t="shared" si="112"/>
        <v/>
      </c>
      <c r="CL240" s="46" t="str">
        <f t="shared" si="112"/>
        <v/>
      </c>
      <c r="CM240" s="46" t="str">
        <f t="shared" si="112"/>
        <v/>
      </c>
      <c r="CN240" s="46" t="str">
        <f t="shared" si="112"/>
        <v/>
      </c>
      <c r="CO240" s="46" t="str">
        <f t="shared" si="112"/>
        <v/>
      </c>
      <c r="CP240" s="46" t="str">
        <f t="shared" si="112"/>
        <v/>
      </c>
      <c r="CQ240" s="46" t="str">
        <f t="shared" si="112"/>
        <v/>
      </c>
      <c r="CR240" s="46" t="str">
        <f t="shared" si="112"/>
        <v/>
      </c>
      <c r="CS240" s="46" t="str">
        <f t="shared" si="112"/>
        <v/>
      </c>
      <c r="CT240" s="46" t="str">
        <f t="shared" si="112"/>
        <v/>
      </c>
      <c r="CU240" s="46" t="str">
        <f t="shared" si="112"/>
        <v/>
      </c>
      <c r="CV240" s="46" t="str">
        <f t="shared" si="112"/>
        <v/>
      </c>
      <c r="CW240" s="46" t="str">
        <f t="shared" si="112"/>
        <v/>
      </c>
      <c r="CX240" s="46" t="str">
        <f t="shared" si="112"/>
        <v/>
      </c>
      <c r="CY240" s="46" t="str">
        <f t="shared" si="112"/>
        <v/>
      </c>
      <c r="CZ240" s="46" t="str">
        <f t="shared" si="112"/>
        <v/>
      </c>
      <c r="DA240" s="46" t="str">
        <f t="shared" si="112"/>
        <v/>
      </c>
      <c r="DB240" s="46" t="str">
        <f t="shared" si="112"/>
        <v/>
      </c>
      <c r="DC240" s="46" t="str">
        <f t="shared" si="112"/>
        <v/>
      </c>
      <c r="DD240" s="46" t="str">
        <f t="shared" si="112"/>
        <v/>
      </c>
      <c r="DE240" s="46" t="str">
        <f t="shared" si="112"/>
        <v/>
      </c>
      <c r="DF240" s="46" t="str">
        <f t="shared" si="112"/>
        <v/>
      </c>
      <c r="DG240" s="46" t="str">
        <f t="shared" si="112"/>
        <v/>
      </c>
      <c r="DH240" s="46" t="str">
        <f t="shared" si="112"/>
        <v/>
      </c>
      <c r="DI240" s="46" t="str">
        <f t="shared" ref="DI240:DV240" si="113">IF(DI48="X",$DZ48,"")</f>
        <v/>
      </c>
      <c r="DJ240" s="46" t="str">
        <f t="shared" si="113"/>
        <v/>
      </c>
      <c r="DK240" s="46" t="str">
        <f t="shared" si="113"/>
        <v/>
      </c>
      <c r="DL240" s="46" t="str">
        <f t="shared" si="113"/>
        <v/>
      </c>
      <c r="DM240" s="46" t="str">
        <f t="shared" si="113"/>
        <v/>
      </c>
      <c r="DN240" s="46" t="str">
        <f t="shared" si="113"/>
        <v/>
      </c>
      <c r="DO240" s="46" t="str">
        <f t="shared" si="113"/>
        <v/>
      </c>
      <c r="DP240" s="46" t="str">
        <f t="shared" si="113"/>
        <v/>
      </c>
      <c r="DQ240" s="46" t="str">
        <f t="shared" si="113"/>
        <v/>
      </c>
      <c r="DR240" s="46" t="str">
        <f t="shared" si="113"/>
        <v/>
      </c>
      <c r="DS240" s="46" t="str">
        <f t="shared" si="113"/>
        <v/>
      </c>
      <c r="DT240" s="46" t="str">
        <f t="shared" si="113"/>
        <v/>
      </c>
      <c r="DU240" s="46" t="str">
        <f t="shared" si="113"/>
        <v/>
      </c>
      <c r="DV240" s="46" t="str">
        <f t="shared" si="113"/>
        <v/>
      </c>
      <c r="DW240" s="9"/>
      <c r="DX240" s="1"/>
    </row>
    <row r="241" spans="1:128" x14ac:dyDescent="0.25">
      <c r="A241" s="46"/>
      <c r="B241" s="46" t="str">
        <f t="shared" si="22"/>
        <v/>
      </c>
      <c r="C241" s="46" t="str">
        <f t="shared" ref="C241:BN241" si="114">IF(C48="X",$DK48,"")</f>
        <v/>
      </c>
      <c r="D241" s="46" t="str">
        <f t="shared" si="114"/>
        <v/>
      </c>
      <c r="E241" s="46" t="str">
        <f t="shared" si="114"/>
        <v/>
      </c>
      <c r="F241" s="46" t="str">
        <f t="shared" si="114"/>
        <v/>
      </c>
      <c r="G241" s="46" t="str">
        <f t="shared" si="114"/>
        <v/>
      </c>
      <c r="H241" s="46" t="str">
        <f t="shared" si="114"/>
        <v/>
      </c>
      <c r="I241" s="46" t="str">
        <f t="shared" si="114"/>
        <v/>
      </c>
      <c r="J241" s="46" t="str">
        <f t="shared" si="114"/>
        <v/>
      </c>
      <c r="K241" s="46">
        <f t="shared" si="114"/>
        <v>8</v>
      </c>
      <c r="L241" s="46" t="str">
        <f t="shared" si="114"/>
        <v/>
      </c>
      <c r="M241" s="46" t="str">
        <f t="shared" si="114"/>
        <v/>
      </c>
      <c r="N241" s="46" t="str">
        <f t="shared" si="114"/>
        <v/>
      </c>
      <c r="O241" s="46">
        <f t="shared" si="114"/>
        <v>8</v>
      </c>
      <c r="P241" s="46" t="str">
        <f t="shared" si="114"/>
        <v/>
      </c>
      <c r="Q241" s="46">
        <f t="shared" si="114"/>
        <v>8</v>
      </c>
      <c r="R241" s="46">
        <f t="shared" si="114"/>
        <v>8</v>
      </c>
      <c r="S241" s="46" t="str">
        <f t="shared" si="114"/>
        <v/>
      </c>
      <c r="T241" s="46" t="str">
        <f t="shared" si="114"/>
        <v/>
      </c>
      <c r="U241" s="46" t="str">
        <f t="shared" si="114"/>
        <v/>
      </c>
      <c r="V241" s="46" t="str">
        <f t="shared" si="114"/>
        <v/>
      </c>
      <c r="W241" s="46" t="str">
        <f t="shared" si="114"/>
        <v/>
      </c>
      <c r="X241" s="46" t="str">
        <f t="shared" si="114"/>
        <v/>
      </c>
      <c r="Y241" s="46" t="str">
        <f t="shared" si="114"/>
        <v/>
      </c>
      <c r="Z241" s="46" t="str">
        <f t="shared" si="114"/>
        <v/>
      </c>
      <c r="AA241" s="46">
        <f t="shared" si="114"/>
        <v>8</v>
      </c>
      <c r="AB241" s="46" t="str">
        <f t="shared" si="114"/>
        <v/>
      </c>
      <c r="AC241" s="46" t="str">
        <f t="shared" si="114"/>
        <v/>
      </c>
      <c r="AD241" s="46" t="str">
        <f t="shared" si="114"/>
        <v/>
      </c>
      <c r="AE241" s="46" t="str">
        <f t="shared" si="114"/>
        <v/>
      </c>
      <c r="AF241" s="46" t="str">
        <f t="shared" si="114"/>
        <v/>
      </c>
      <c r="AG241" s="46" t="str">
        <f t="shared" si="114"/>
        <v/>
      </c>
      <c r="AH241" s="46" t="str">
        <f t="shared" si="114"/>
        <v/>
      </c>
      <c r="AI241" s="46" t="str">
        <f t="shared" si="114"/>
        <v/>
      </c>
      <c r="AJ241" s="46">
        <f t="shared" si="114"/>
        <v>8</v>
      </c>
      <c r="AK241" s="46" t="str">
        <f t="shared" si="114"/>
        <v/>
      </c>
      <c r="AL241" s="46">
        <f t="shared" si="114"/>
        <v>8</v>
      </c>
      <c r="AM241" s="46" t="str">
        <f t="shared" si="114"/>
        <v/>
      </c>
      <c r="AN241" s="46" t="str">
        <f t="shared" si="114"/>
        <v/>
      </c>
      <c r="AO241" s="46" t="str">
        <f t="shared" si="114"/>
        <v/>
      </c>
      <c r="AP241" s="46" t="str">
        <f t="shared" si="114"/>
        <v/>
      </c>
      <c r="AQ241" s="46" t="str">
        <f t="shared" si="114"/>
        <v/>
      </c>
      <c r="AR241" s="46">
        <f t="shared" si="114"/>
        <v>8</v>
      </c>
      <c r="AS241" s="46" t="str">
        <f t="shared" si="114"/>
        <v/>
      </c>
      <c r="AT241" s="46" t="str">
        <f t="shared" si="114"/>
        <v/>
      </c>
      <c r="AU241" s="46" t="str">
        <f t="shared" si="114"/>
        <v/>
      </c>
      <c r="AV241" s="46" t="str">
        <f t="shared" si="114"/>
        <v/>
      </c>
      <c r="AW241" s="46" t="str">
        <f t="shared" si="114"/>
        <v/>
      </c>
      <c r="AX241" s="46" t="str">
        <f t="shared" si="114"/>
        <v/>
      </c>
      <c r="AY241" s="46" t="str">
        <f t="shared" si="114"/>
        <v/>
      </c>
      <c r="AZ241" s="46">
        <f t="shared" si="114"/>
        <v>8</v>
      </c>
      <c r="BA241" s="46" t="str">
        <f t="shared" si="114"/>
        <v/>
      </c>
      <c r="BB241" s="46" t="str">
        <f t="shared" si="114"/>
        <v/>
      </c>
      <c r="BC241" s="46" t="str">
        <f t="shared" si="114"/>
        <v/>
      </c>
      <c r="BD241" s="46" t="str">
        <f t="shared" si="114"/>
        <v/>
      </c>
      <c r="BE241" s="46" t="str">
        <f t="shared" si="114"/>
        <v/>
      </c>
      <c r="BF241" s="46">
        <f t="shared" si="114"/>
        <v>8</v>
      </c>
      <c r="BG241" s="46">
        <f t="shared" si="114"/>
        <v>8</v>
      </c>
      <c r="BH241" s="46" t="str">
        <f t="shared" si="114"/>
        <v/>
      </c>
      <c r="BI241" s="46" t="str">
        <f t="shared" si="114"/>
        <v/>
      </c>
      <c r="BJ241" s="46" t="str">
        <f t="shared" si="114"/>
        <v/>
      </c>
      <c r="BK241" s="46">
        <f t="shared" si="114"/>
        <v>8</v>
      </c>
      <c r="BL241" s="46" t="str">
        <f t="shared" si="114"/>
        <v/>
      </c>
      <c r="BM241" s="46" t="str">
        <f t="shared" si="114"/>
        <v/>
      </c>
      <c r="BN241" s="46">
        <f t="shared" si="114"/>
        <v>8</v>
      </c>
      <c r="BO241" s="46">
        <f t="shared" ref="BO241:DH241" si="115">IF(BO48="X",$DK48,"")</f>
        <v>8</v>
      </c>
      <c r="BP241" s="46">
        <f t="shared" si="115"/>
        <v>8</v>
      </c>
      <c r="BQ241" s="46">
        <f t="shared" si="115"/>
        <v>8</v>
      </c>
      <c r="BR241" s="46" t="str">
        <f t="shared" si="115"/>
        <v/>
      </c>
      <c r="BS241" s="46">
        <f t="shared" si="115"/>
        <v>8</v>
      </c>
      <c r="BT241" s="46" t="str">
        <f t="shared" si="115"/>
        <v/>
      </c>
      <c r="BU241" s="46" t="str">
        <f t="shared" si="115"/>
        <v/>
      </c>
      <c r="BV241" s="46">
        <f t="shared" si="115"/>
        <v>8</v>
      </c>
      <c r="BW241" s="46">
        <f t="shared" si="115"/>
        <v>8</v>
      </c>
      <c r="BX241" s="46" t="str">
        <f t="shared" si="115"/>
        <v/>
      </c>
      <c r="BY241" s="46" t="str">
        <f t="shared" si="115"/>
        <v/>
      </c>
      <c r="BZ241" s="46">
        <f t="shared" si="115"/>
        <v>8</v>
      </c>
      <c r="CA241" s="46" t="str">
        <f t="shared" si="115"/>
        <v/>
      </c>
      <c r="CB241" s="46" t="str">
        <f t="shared" si="115"/>
        <v/>
      </c>
      <c r="CC241" s="46">
        <f t="shared" si="115"/>
        <v>8</v>
      </c>
      <c r="CD241" s="46" t="str">
        <f t="shared" si="115"/>
        <v/>
      </c>
      <c r="CE241" s="46">
        <f t="shared" si="115"/>
        <v>8</v>
      </c>
      <c r="CF241" s="46">
        <f t="shared" si="115"/>
        <v>8</v>
      </c>
      <c r="CG241" s="46" t="str">
        <f t="shared" si="115"/>
        <v/>
      </c>
      <c r="CH241" s="46" t="str">
        <f t="shared" si="115"/>
        <v/>
      </c>
      <c r="CI241" s="46" t="str">
        <f t="shared" si="115"/>
        <v/>
      </c>
      <c r="CJ241" s="46" t="str">
        <f t="shared" si="115"/>
        <v/>
      </c>
      <c r="CK241" s="46" t="str">
        <f t="shared" si="115"/>
        <v/>
      </c>
      <c r="CL241" s="46" t="str">
        <f t="shared" si="115"/>
        <v/>
      </c>
      <c r="CM241" s="46" t="str">
        <f t="shared" si="115"/>
        <v/>
      </c>
      <c r="CN241" s="46" t="str">
        <f t="shared" si="115"/>
        <v/>
      </c>
      <c r="CO241" s="46" t="str">
        <f t="shared" si="115"/>
        <v/>
      </c>
      <c r="CP241" s="46" t="str">
        <f t="shared" si="115"/>
        <v/>
      </c>
      <c r="CQ241" s="46" t="str">
        <f t="shared" si="115"/>
        <v/>
      </c>
      <c r="CR241" s="46" t="str">
        <f t="shared" si="115"/>
        <v/>
      </c>
      <c r="CS241" s="46" t="str">
        <f t="shared" si="115"/>
        <v/>
      </c>
      <c r="CT241" s="46" t="str">
        <f t="shared" si="115"/>
        <v/>
      </c>
      <c r="CU241" s="46" t="str">
        <f t="shared" si="115"/>
        <v/>
      </c>
      <c r="CV241" s="46" t="str">
        <f t="shared" si="115"/>
        <v/>
      </c>
      <c r="CW241" s="46" t="str">
        <f t="shared" si="115"/>
        <v/>
      </c>
      <c r="CX241" s="46" t="str">
        <f t="shared" si="115"/>
        <v/>
      </c>
      <c r="CY241" s="46" t="str">
        <f t="shared" si="115"/>
        <v/>
      </c>
      <c r="CZ241" s="46" t="str">
        <f t="shared" si="115"/>
        <v/>
      </c>
      <c r="DA241" s="46" t="str">
        <f t="shared" si="115"/>
        <v/>
      </c>
      <c r="DB241" s="46" t="str">
        <f t="shared" si="115"/>
        <v/>
      </c>
      <c r="DC241" s="46" t="str">
        <f t="shared" si="115"/>
        <v/>
      </c>
      <c r="DD241" s="46" t="str">
        <f t="shared" si="115"/>
        <v/>
      </c>
      <c r="DE241" s="46" t="str">
        <f t="shared" si="115"/>
        <v/>
      </c>
      <c r="DF241" s="46" t="str">
        <f t="shared" si="115"/>
        <v/>
      </c>
      <c r="DG241" s="46" t="str">
        <f t="shared" si="115"/>
        <v/>
      </c>
      <c r="DH241" s="46" t="str">
        <f t="shared" si="115"/>
        <v/>
      </c>
      <c r="DI241" s="46" t="str">
        <f t="shared" ref="DI241:DV241" si="116">IF(DI49="X",$DZ49,"")</f>
        <v/>
      </c>
      <c r="DJ241" s="46" t="str">
        <f t="shared" si="116"/>
        <v/>
      </c>
      <c r="DK241" s="46" t="str">
        <f t="shared" si="116"/>
        <v/>
      </c>
      <c r="DL241" s="46" t="str">
        <f t="shared" si="116"/>
        <v/>
      </c>
      <c r="DM241" s="46" t="str">
        <f t="shared" si="116"/>
        <v/>
      </c>
      <c r="DN241" s="46" t="str">
        <f t="shared" si="116"/>
        <v/>
      </c>
      <c r="DO241" s="46" t="str">
        <f t="shared" si="116"/>
        <v/>
      </c>
      <c r="DP241" s="46" t="str">
        <f t="shared" si="116"/>
        <v/>
      </c>
      <c r="DQ241" s="46" t="str">
        <f t="shared" si="116"/>
        <v/>
      </c>
      <c r="DR241" s="46" t="str">
        <f t="shared" si="116"/>
        <v/>
      </c>
      <c r="DS241" s="46" t="str">
        <f t="shared" si="116"/>
        <v/>
      </c>
      <c r="DT241" s="46" t="str">
        <f t="shared" si="116"/>
        <v/>
      </c>
      <c r="DU241" s="46" t="str">
        <f t="shared" si="116"/>
        <v/>
      </c>
      <c r="DV241" s="46" t="str">
        <f t="shared" si="116"/>
        <v/>
      </c>
      <c r="DW241" s="9"/>
      <c r="DX241" s="1"/>
    </row>
    <row r="242" spans="1:128" x14ac:dyDescent="0.25">
      <c r="A242" s="46"/>
      <c r="B242" s="46" t="str">
        <f t="shared" si="22"/>
        <v/>
      </c>
      <c r="C242" s="46" t="str">
        <f t="shared" ref="C242:BN242" si="117">IF(C49="X",$DK49,"")</f>
        <v/>
      </c>
      <c r="D242" s="46" t="str">
        <f t="shared" si="117"/>
        <v/>
      </c>
      <c r="E242" s="46" t="str">
        <f t="shared" si="117"/>
        <v/>
      </c>
      <c r="F242" s="46" t="str">
        <f t="shared" si="117"/>
        <v/>
      </c>
      <c r="G242" s="46" t="str">
        <f t="shared" si="117"/>
        <v/>
      </c>
      <c r="H242" s="46" t="str">
        <f t="shared" si="117"/>
        <v/>
      </c>
      <c r="I242" s="46" t="str">
        <f t="shared" si="117"/>
        <v/>
      </c>
      <c r="J242" s="46" t="str">
        <f t="shared" si="117"/>
        <v/>
      </c>
      <c r="K242" s="46" t="str">
        <f t="shared" si="117"/>
        <v/>
      </c>
      <c r="L242" s="46" t="str">
        <f t="shared" si="117"/>
        <v/>
      </c>
      <c r="M242" s="46" t="str">
        <f t="shared" si="117"/>
        <v/>
      </c>
      <c r="N242" s="46" t="str">
        <f t="shared" si="117"/>
        <v/>
      </c>
      <c r="O242" s="46" t="str">
        <f t="shared" si="117"/>
        <v/>
      </c>
      <c r="P242" s="46" t="str">
        <f t="shared" si="117"/>
        <v/>
      </c>
      <c r="Q242" s="46" t="str">
        <f t="shared" si="117"/>
        <v/>
      </c>
      <c r="R242" s="46" t="str">
        <f t="shared" si="117"/>
        <v/>
      </c>
      <c r="S242" s="46" t="str">
        <f t="shared" si="117"/>
        <v/>
      </c>
      <c r="T242" s="46" t="str">
        <f t="shared" si="117"/>
        <v/>
      </c>
      <c r="U242" s="46" t="str">
        <f t="shared" si="117"/>
        <v/>
      </c>
      <c r="V242" s="46" t="str">
        <f t="shared" si="117"/>
        <v/>
      </c>
      <c r="W242" s="46" t="str">
        <f t="shared" si="117"/>
        <v/>
      </c>
      <c r="X242" s="46" t="str">
        <f t="shared" si="117"/>
        <v/>
      </c>
      <c r="Y242" s="46" t="str">
        <f t="shared" si="117"/>
        <v/>
      </c>
      <c r="Z242" s="46" t="str">
        <f t="shared" si="117"/>
        <v/>
      </c>
      <c r="AA242" s="46" t="str">
        <f t="shared" si="117"/>
        <v/>
      </c>
      <c r="AB242" s="46" t="str">
        <f t="shared" si="117"/>
        <v/>
      </c>
      <c r="AC242" s="46" t="str">
        <f t="shared" si="117"/>
        <v/>
      </c>
      <c r="AD242" s="46" t="str">
        <f t="shared" si="117"/>
        <v/>
      </c>
      <c r="AE242" s="46" t="str">
        <f t="shared" si="117"/>
        <v/>
      </c>
      <c r="AF242" s="46" t="str">
        <f t="shared" si="117"/>
        <v/>
      </c>
      <c r="AG242" s="46" t="str">
        <f t="shared" si="117"/>
        <v/>
      </c>
      <c r="AH242" s="46" t="str">
        <f t="shared" si="117"/>
        <v/>
      </c>
      <c r="AI242" s="46" t="str">
        <f t="shared" si="117"/>
        <v/>
      </c>
      <c r="AJ242" s="46" t="str">
        <f t="shared" si="117"/>
        <v/>
      </c>
      <c r="AK242" s="46" t="str">
        <f t="shared" si="117"/>
        <v/>
      </c>
      <c r="AL242" s="46" t="str">
        <f t="shared" si="117"/>
        <v/>
      </c>
      <c r="AM242" s="46" t="str">
        <f t="shared" si="117"/>
        <v/>
      </c>
      <c r="AN242" s="46" t="str">
        <f t="shared" si="117"/>
        <v/>
      </c>
      <c r="AO242" s="46" t="str">
        <f t="shared" si="117"/>
        <v/>
      </c>
      <c r="AP242" s="46" t="str">
        <f t="shared" si="117"/>
        <v/>
      </c>
      <c r="AQ242" s="46" t="str">
        <f t="shared" si="117"/>
        <v/>
      </c>
      <c r="AR242" s="46" t="str">
        <f t="shared" si="117"/>
        <v/>
      </c>
      <c r="AS242" s="46" t="str">
        <f t="shared" si="117"/>
        <v/>
      </c>
      <c r="AT242" s="46" t="str">
        <f t="shared" si="117"/>
        <v/>
      </c>
      <c r="AU242" s="46" t="str">
        <f t="shared" si="117"/>
        <v/>
      </c>
      <c r="AV242" s="46" t="str">
        <f t="shared" si="117"/>
        <v/>
      </c>
      <c r="AW242" s="46" t="str">
        <f t="shared" si="117"/>
        <v/>
      </c>
      <c r="AX242" s="46" t="str">
        <f t="shared" si="117"/>
        <v/>
      </c>
      <c r="AY242" s="46" t="str">
        <f t="shared" si="117"/>
        <v/>
      </c>
      <c r="AZ242" s="46" t="str">
        <f t="shared" si="117"/>
        <v/>
      </c>
      <c r="BA242" s="46" t="str">
        <f t="shared" si="117"/>
        <v/>
      </c>
      <c r="BB242" s="46" t="str">
        <f t="shared" si="117"/>
        <v/>
      </c>
      <c r="BC242" s="46" t="str">
        <f t="shared" si="117"/>
        <v/>
      </c>
      <c r="BD242" s="46" t="str">
        <f t="shared" si="117"/>
        <v/>
      </c>
      <c r="BE242" s="46" t="str">
        <f t="shared" si="117"/>
        <v/>
      </c>
      <c r="BF242" s="46" t="str">
        <f t="shared" si="117"/>
        <v/>
      </c>
      <c r="BG242" s="46" t="str">
        <f t="shared" si="117"/>
        <v/>
      </c>
      <c r="BH242" s="46" t="str">
        <f t="shared" si="117"/>
        <v/>
      </c>
      <c r="BI242" s="46" t="str">
        <f t="shared" si="117"/>
        <v/>
      </c>
      <c r="BJ242" s="46" t="str">
        <f t="shared" si="117"/>
        <v/>
      </c>
      <c r="BK242" s="46" t="str">
        <f t="shared" si="117"/>
        <v/>
      </c>
      <c r="BL242" s="46" t="str">
        <f t="shared" si="117"/>
        <v/>
      </c>
      <c r="BM242" s="46" t="str">
        <f t="shared" si="117"/>
        <v/>
      </c>
      <c r="BN242" s="46" t="str">
        <f t="shared" si="117"/>
        <v/>
      </c>
      <c r="BO242" s="46" t="str">
        <f t="shared" ref="BO242:DH242" si="118">IF(BO49="X",$DK49,"")</f>
        <v/>
      </c>
      <c r="BP242" s="46">
        <f t="shared" si="118"/>
        <v>4</v>
      </c>
      <c r="BQ242" s="46" t="str">
        <f t="shared" si="118"/>
        <v/>
      </c>
      <c r="BR242" s="46" t="str">
        <f t="shared" si="118"/>
        <v/>
      </c>
      <c r="BS242" s="46" t="str">
        <f t="shared" si="118"/>
        <v/>
      </c>
      <c r="BT242" s="46" t="str">
        <f t="shared" si="118"/>
        <v/>
      </c>
      <c r="BU242" s="46" t="str">
        <f t="shared" si="118"/>
        <v/>
      </c>
      <c r="BV242" s="46" t="str">
        <f t="shared" si="118"/>
        <v/>
      </c>
      <c r="BW242" s="46" t="str">
        <f t="shared" si="118"/>
        <v/>
      </c>
      <c r="BX242" s="46" t="str">
        <f t="shared" si="118"/>
        <v/>
      </c>
      <c r="BY242" s="46" t="str">
        <f t="shared" si="118"/>
        <v/>
      </c>
      <c r="BZ242" s="46" t="str">
        <f t="shared" si="118"/>
        <v/>
      </c>
      <c r="CA242" s="46" t="str">
        <f t="shared" si="118"/>
        <v/>
      </c>
      <c r="CB242" s="46" t="str">
        <f t="shared" si="118"/>
        <v/>
      </c>
      <c r="CC242" s="46" t="str">
        <f t="shared" si="118"/>
        <v/>
      </c>
      <c r="CD242" s="46" t="str">
        <f t="shared" si="118"/>
        <v/>
      </c>
      <c r="CE242" s="46" t="str">
        <f t="shared" si="118"/>
        <v/>
      </c>
      <c r="CF242" s="46" t="str">
        <f t="shared" si="118"/>
        <v/>
      </c>
      <c r="CG242" s="46" t="str">
        <f t="shared" si="118"/>
        <v/>
      </c>
      <c r="CH242" s="46" t="str">
        <f t="shared" si="118"/>
        <v/>
      </c>
      <c r="CI242" s="46" t="str">
        <f t="shared" si="118"/>
        <v/>
      </c>
      <c r="CJ242" s="46" t="str">
        <f t="shared" si="118"/>
        <v/>
      </c>
      <c r="CK242" s="46" t="str">
        <f t="shared" si="118"/>
        <v/>
      </c>
      <c r="CL242" s="46" t="str">
        <f t="shared" si="118"/>
        <v/>
      </c>
      <c r="CM242" s="46" t="str">
        <f t="shared" si="118"/>
        <v/>
      </c>
      <c r="CN242" s="46" t="str">
        <f t="shared" si="118"/>
        <v/>
      </c>
      <c r="CO242" s="46" t="str">
        <f t="shared" si="118"/>
        <v/>
      </c>
      <c r="CP242" s="46" t="str">
        <f t="shared" si="118"/>
        <v/>
      </c>
      <c r="CQ242" s="46" t="str">
        <f t="shared" si="118"/>
        <v/>
      </c>
      <c r="CR242" s="46" t="str">
        <f t="shared" si="118"/>
        <v/>
      </c>
      <c r="CS242" s="46" t="str">
        <f t="shared" si="118"/>
        <v/>
      </c>
      <c r="CT242" s="46" t="str">
        <f t="shared" si="118"/>
        <v/>
      </c>
      <c r="CU242" s="46" t="str">
        <f t="shared" si="118"/>
        <v/>
      </c>
      <c r="CV242" s="46" t="str">
        <f t="shared" si="118"/>
        <v/>
      </c>
      <c r="CW242" s="46" t="str">
        <f t="shared" si="118"/>
        <v/>
      </c>
      <c r="CX242" s="46" t="str">
        <f t="shared" si="118"/>
        <v/>
      </c>
      <c r="CY242" s="46" t="str">
        <f t="shared" si="118"/>
        <v/>
      </c>
      <c r="CZ242" s="46" t="str">
        <f t="shared" si="118"/>
        <v/>
      </c>
      <c r="DA242" s="46" t="str">
        <f t="shared" si="118"/>
        <v/>
      </c>
      <c r="DB242" s="46" t="str">
        <f t="shared" si="118"/>
        <v/>
      </c>
      <c r="DC242" s="46" t="str">
        <f t="shared" si="118"/>
        <v/>
      </c>
      <c r="DD242" s="46" t="str">
        <f t="shared" si="118"/>
        <v/>
      </c>
      <c r="DE242" s="46" t="str">
        <f t="shared" si="118"/>
        <v/>
      </c>
      <c r="DF242" s="46" t="str">
        <f t="shared" si="118"/>
        <v/>
      </c>
      <c r="DG242" s="46" t="str">
        <f t="shared" si="118"/>
        <v/>
      </c>
      <c r="DH242" s="46" t="str">
        <f t="shared" si="118"/>
        <v/>
      </c>
      <c r="DI242" s="46" t="str">
        <f t="shared" ref="DI242:DV242" si="119">IF(DI50="X",$DZ50,"")</f>
        <v/>
      </c>
      <c r="DJ242" s="46" t="str">
        <f t="shared" si="119"/>
        <v/>
      </c>
      <c r="DK242" s="46" t="str">
        <f t="shared" si="119"/>
        <v/>
      </c>
      <c r="DL242" s="46" t="str">
        <f t="shared" si="119"/>
        <v/>
      </c>
      <c r="DM242" s="46" t="str">
        <f t="shared" si="119"/>
        <v/>
      </c>
      <c r="DN242" s="46" t="str">
        <f t="shared" si="119"/>
        <v/>
      </c>
      <c r="DO242" s="46" t="str">
        <f t="shared" si="119"/>
        <v/>
      </c>
      <c r="DP242" s="46" t="str">
        <f t="shared" si="119"/>
        <v/>
      </c>
      <c r="DQ242" s="46" t="str">
        <f t="shared" si="119"/>
        <v/>
      </c>
      <c r="DR242" s="46" t="str">
        <f t="shared" si="119"/>
        <v/>
      </c>
      <c r="DS242" s="46" t="str">
        <f t="shared" si="119"/>
        <v/>
      </c>
      <c r="DT242" s="46" t="str">
        <f t="shared" si="119"/>
        <v/>
      </c>
      <c r="DU242" s="46" t="str">
        <f t="shared" si="119"/>
        <v/>
      </c>
      <c r="DV242" s="46" t="str">
        <f t="shared" si="119"/>
        <v/>
      </c>
      <c r="DW242" s="9"/>
      <c r="DX242" s="1"/>
    </row>
    <row r="243" spans="1:128" x14ac:dyDescent="0.25">
      <c r="A243" s="46"/>
      <c r="B243" s="46" t="str">
        <f t="shared" si="22"/>
        <v/>
      </c>
      <c r="C243" s="46" t="str">
        <f t="shared" ref="C243:BN243" si="120">IF(C50="X",$DK50,"")</f>
        <v/>
      </c>
      <c r="D243" s="46" t="str">
        <f t="shared" si="120"/>
        <v/>
      </c>
      <c r="E243" s="46" t="str">
        <f t="shared" si="120"/>
        <v/>
      </c>
      <c r="F243" s="46" t="str">
        <f t="shared" si="120"/>
        <v/>
      </c>
      <c r="G243" s="46" t="str">
        <f t="shared" si="120"/>
        <v/>
      </c>
      <c r="H243" s="46" t="str">
        <f t="shared" si="120"/>
        <v/>
      </c>
      <c r="I243" s="46" t="str">
        <f t="shared" si="120"/>
        <v/>
      </c>
      <c r="J243" s="46" t="str">
        <f t="shared" si="120"/>
        <v/>
      </c>
      <c r="K243" s="46">
        <f t="shared" si="120"/>
        <v>4</v>
      </c>
      <c r="L243" s="46" t="str">
        <f t="shared" si="120"/>
        <v/>
      </c>
      <c r="M243" s="46" t="str">
        <f t="shared" si="120"/>
        <v/>
      </c>
      <c r="N243" s="46" t="str">
        <f t="shared" si="120"/>
        <v/>
      </c>
      <c r="O243" s="46">
        <f t="shared" si="120"/>
        <v>4</v>
      </c>
      <c r="P243" s="46">
        <f t="shared" si="120"/>
        <v>4</v>
      </c>
      <c r="Q243" s="46" t="str">
        <f t="shared" si="120"/>
        <v/>
      </c>
      <c r="R243" s="46" t="str">
        <f t="shared" si="120"/>
        <v/>
      </c>
      <c r="S243" s="46" t="str">
        <f t="shared" si="120"/>
        <v/>
      </c>
      <c r="T243" s="46" t="str">
        <f t="shared" si="120"/>
        <v/>
      </c>
      <c r="U243" s="46" t="str">
        <f t="shared" si="120"/>
        <v/>
      </c>
      <c r="V243" s="46" t="str">
        <f t="shared" si="120"/>
        <v/>
      </c>
      <c r="W243" s="46" t="str">
        <f t="shared" si="120"/>
        <v/>
      </c>
      <c r="X243" s="46" t="str">
        <f t="shared" si="120"/>
        <v/>
      </c>
      <c r="Y243" s="46" t="str">
        <f t="shared" si="120"/>
        <v/>
      </c>
      <c r="Z243" s="46">
        <f t="shared" si="120"/>
        <v>4</v>
      </c>
      <c r="AA243" s="46" t="str">
        <f t="shared" si="120"/>
        <v/>
      </c>
      <c r="AB243" s="46">
        <f t="shared" si="120"/>
        <v>4</v>
      </c>
      <c r="AC243" s="46">
        <f t="shared" si="120"/>
        <v>4</v>
      </c>
      <c r="AD243" s="46" t="str">
        <f t="shared" si="120"/>
        <v/>
      </c>
      <c r="AE243" s="46" t="str">
        <f t="shared" si="120"/>
        <v/>
      </c>
      <c r="AF243" s="46" t="str">
        <f t="shared" si="120"/>
        <v/>
      </c>
      <c r="AG243" s="46" t="str">
        <f t="shared" si="120"/>
        <v/>
      </c>
      <c r="AH243" s="46" t="str">
        <f t="shared" si="120"/>
        <v/>
      </c>
      <c r="AI243" s="46" t="str">
        <f t="shared" si="120"/>
        <v/>
      </c>
      <c r="AJ243" s="46" t="str">
        <f t="shared" si="120"/>
        <v/>
      </c>
      <c r="AK243" s="46" t="str">
        <f t="shared" si="120"/>
        <v/>
      </c>
      <c r="AL243" s="46" t="str">
        <f t="shared" si="120"/>
        <v/>
      </c>
      <c r="AM243" s="46" t="str">
        <f t="shared" si="120"/>
        <v/>
      </c>
      <c r="AN243" s="46">
        <f t="shared" si="120"/>
        <v>4</v>
      </c>
      <c r="AO243" s="46" t="str">
        <f t="shared" si="120"/>
        <v/>
      </c>
      <c r="AP243" s="46" t="str">
        <f t="shared" si="120"/>
        <v/>
      </c>
      <c r="AQ243" s="46" t="str">
        <f t="shared" si="120"/>
        <v/>
      </c>
      <c r="AR243" s="46">
        <f t="shared" si="120"/>
        <v>4</v>
      </c>
      <c r="AS243" s="46" t="str">
        <f t="shared" si="120"/>
        <v/>
      </c>
      <c r="AT243" s="46" t="str">
        <f t="shared" si="120"/>
        <v/>
      </c>
      <c r="AU243" s="46" t="str">
        <f t="shared" si="120"/>
        <v/>
      </c>
      <c r="AV243" s="46" t="str">
        <f t="shared" si="120"/>
        <v/>
      </c>
      <c r="AW243" s="46" t="str">
        <f t="shared" si="120"/>
        <v/>
      </c>
      <c r="AX243" s="46" t="str">
        <f t="shared" si="120"/>
        <v/>
      </c>
      <c r="AY243" s="46" t="str">
        <f t="shared" si="120"/>
        <v/>
      </c>
      <c r="AZ243" s="46" t="str">
        <f t="shared" si="120"/>
        <v/>
      </c>
      <c r="BA243" s="46" t="str">
        <f t="shared" si="120"/>
        <v/>
      </c>
      <c r="BB243" s="46" t="str">
        <f t="shared" si="120"/>
        <v/>
      </c>
      <c r="BC243" s="46" t="str">
        <f t="shared" si="120"/>
        <v/>
      </c>
      <c r="BD243" s="46" t="str">
        <f t="shared" si="120"/>
        <v/>
      </c>
      <c r="BE243" s="46" t="str">
        <f t="shared" si="120"/>
        <v/>
      </c>
      <c r="BF243" s="46" t="str">
        <f t="shared" si="120"/>
        <v/>
      </c>
      <c r="BG243" s="46" t="str">
        <f t="shared" si="120"/>
        <v/>
      </c>
      <c r="BH243" s="46" t="str">
        <f t="shared" si="120"/>
        <v/>
      </c>
      <c r="BI243" s="46" t="str">
        <f t="shared" si="120"/>
        <v/>
      </c>
      <c r="BJ243" s="46" t="str">
        <f t="shared" si="120"/>
        <v/>
      </c>
      <c r="BK243" s="46" t="str">
        <f t="shared" si="120"/>
        <v/>
      </c>
      <c r="BL243" s="46" t="str">
        <f t="shared" si="120"/>
        <v/>
      </c>
      <c r="BM243" s="46" t="str">
        <f t="shared" si="120"/>
        <v/>
      </c>
      <c r="BN243" s="46">
        <f t="shared" si="120"/>
        <v>4</v>
      </c>
      <c r="BO243" s="46">
        <f t="shared" ref="BO243:DH243" si="121">IF(BO50="X",$DK50,"")</f>
        <v>4</v>
      </c>
      <c r="BP243" s="46">
        <f t="shared" si="121"/>
        <v>4</v>
      </c>
      <c r="BQ243" s="46">
        <f t="shared" si="121"/>
        <v>4</v>
      </c>
      <c r="BR243" s="46">
        <f t="shared" si="121"/>
        <v>4</v>
      </c>
      <c r="BS243" s="46">
        <f t="shared" si="121"/>
        <v>4</v>
      </c>
      <c r="BT243" s="46">
        <f t="shared" si="121"/>
        <v>4</v>
      </c>
      <c r="BU243" s="46" t="str">
        <f t="shared" si="121"/>
        <v/>
      </c>
      <c r="BV243" s="46">
        <f t="shared" si="121"/>
        <v>4</v>
      </c>
      <c r="BW243" s="46" t="str">
        <f t="shared" si="121"/>
        <v/>
      </c>
      <c r="BX243" s="46" t="str">
        <f t="shared" si="121"/>
        <v/>
      </c>
      <c r="BY243" s="46" t="str">
        <f t="shared" si="121"/>
        <v/>
      </c>
      <c r="BZ243" s="46" t="str">
        <f t="shared" si="121"/>
        <v/>
      </c>
      <c r="CA243" s="46" t="str">
        <f t="shared" si="121"/>
        <v/>
      </c>
      <c r="CB243" s="46" t="str">
        <f t="shared" si="121"/>
        <v/>
      </c>
      <c r="CC243" s="46" t="str">
        <f t="shared" si="121"/>
        <v/>
      </c>
      <c r="CD243" s="46" t="str">
        <f t="shared" si="121"/>
        <v/>
      </c>
      <c r="CE243" s="46" t="str">
        <f t="shared" si="121"/>
        <v/>
      </c>
      <c r="CF243" s="46" t="str">
        <f t="shared" si="121"/>
        <v/>
      </c>
      <c r="CG243" s="46">
        <f t="shared" si="121"/>
        <v>4</v>
      </c>
      <c r="CH243" s="46">
        <f t="shared" si="121"/>
        <v>4</v>
      </c>
      <c r="CI243" s="46">
        <f t="shared" si="121"/>
        <v>4</v>
      </c>
      <c r="CJ243" s="46">
        <f t="shared" si="121"/>
        <v>4</v>
      </c>
      <c r="CK243" s="46">
        <f t="shared" si="121"/>
        <v>4</v>
      </c>
      <c r="CL243" s="46">
        <f t="shared" si="121"/>
        <v>4</v>
      </c>
      <c r="CM243" s="46">
        <f t="shared" si="121"/>
        <v>4</v>
      </c>
      <c r="CN243" s="46" t="str">
        <f t="shared" si="121"/>
        <v/>
      </c>
      <c r="CO243" s="46">
        <f t="shared" si="121"/>
        <v>4</v>
      </c>
      <c r="CP243" s="46" t="str">
        <f t="shared" si="121"/>
        <v/>
      </c>
      <c r="CQ243" s="46" t="str">
        <f t="shared" si="121"/>
        <v/>
      </c>
      <c r="CR243" s="46" t="str">
        <f t="shared" si="121"/>
        <v/>
      </c>
      <c r="CS243" s="46" t="str">
        <f t="shared" si="121"/>
        <v/>
      </c>
      <c r="CT243" s="46" t="str">
        <f t="shared" si="121"/>
        <v/>
      </c>
      <c r="CU243" s="46" t="str">
        <f t="shared" si="121"/>
        <v/>
      </c>
      <c r="CV243" s="46" t="str">
        <f t="shared" si="121"/>
        <v/>
      </c>
      <c r="CW243" s="46" t="str">
        <f t="shared" si="121"/>
        <v/>
      </c>
      <c r="CX243" s="46" t="str">
        <f t="shared" si="121"/>
        <v/>
      </c>
      <c r="CY243" s="46" t="str">
        <f t="shared" si="121"/>
        <v/>
      </c>
      <c r="CZ243" s="46" t="str">
        <f t="shared" si="121"/>
        <v/>
      </c>
      <c r="DA243" s="46" t="str">
        <f t="shared" si="121"/>
        <v/>
      </c>
      <c r="DB243" s="46" t="str">
        <f t="shared" si="121"/>
        <v/>
      </c>
      <c r="DC243" s="46" t="str">
        <f t="shared" si="121"/>
        <v/>
      </c>
      <c r="DD243" s="46" t="str">
        <f t="shared" si="121"/>
        <v/>
      </c>
      <c r="DE243" s="46" t="str">
        <f t="shared" si="121"/>
        <v/>
      </c>
      <c r="DF243" s="46" t="str">
        <f t="shared" si="121"/>
        <v/>
      </c>
      <c r="DG243" s="46" t="str">
        <f t="shared" si="121"/>
        <v/>
      </c>
      <c r="DH243" s="46" t="str">
        <f t="shared" si="121"/>
        <v/>
      </c>
      <c r="DI243" s="46" t="str">
        <f t="shared" ref="DI243:DV243" si="122">IF(DI51="X",$DZ51,"")</f>
        <v/>
      </c>
      <c r="DJ243" s="46" t="str">
        <f t="shared" si="122"/>
        <v/>
      </c>
      <c r="DK243" s="46" t="str">
        <f t="shared" si="122"/>
        <v/>
      </c>
      <c r="DL243" s="46" t="str">
        <f t="shared" si="122"/>
        <v/>
      </c>
      <c r="DM243" s="46" t="str">
        <f t="shared" si="122"/>
        <v/>
      </c>
      <c r="DN243" s="46" t="str">
        <f t="shared" si="122"/>
        <v/>
      </c>
      <c r="DO243" s="46" t="str">
        <f t="shared" si="122"/>
        <v/>
      </c>
      <c r="DP243" s="46" t="str">
        <f t="shared" si="122"/>
        <v/>
      </c>
      <c r="DQ243" s="46" t="str">
        <f t="shared" si="122"/>
        <v/>
      </c>
      <c r="DR243" s="46" t="str">
        <f t="shared" si="122"/>
        <v/>
      </c>
      <c r="DS243" s="46" t="str">
        <f t="shared" si="122"/>
        <v/>
      </c>
      <c r="DT243" s="46" t="str">
        <f t="shared" si="122"/>
        <v/>
      </c>
      <c r="DU243" s="46" t="str">
        <f t="shared" si="122"/>
        <v/>
      </c>
      <c r="DV243" s="46" t="str">
        <f t="shared" si="122"/>
        <v/>
      </c>
      <c r="DW243" s="9"/>
      <c r="DX243" s="1"/>
    </row>
    <row r="244" spans="1:128" x14ac:dyDescent="0.25">
      <c r="A244" s="46"/>
      <c r="B244" s="46" t="str">
        <f t="shared" si="22"/>
        <v/>
      </c>
      <c r="C244" s="46" t="str">
        <f t="shared" ref="C244:BN244" si="123">IF(C51="X",$DK51,"")</f>
        <v/>
      </c>
      <c r="D244" s="46" t="str">
        <f t="shared" si="123"/>
        <v/>
      </c>
      <c r="E244" s="46" t="str">
        <f t="shared" si="123"/>
        <v/>
      </c>
      <c r="F244" s="46" t="str">
        <f t="shared" si="123"/>
        <v/>
      </c>
      <c r="G244" s="46" t="str">
        <f t="shared" si="123"/>
        <v/>
      </c>
      <c r="H244" s="46" t="str">
        <f t="shared" si="123"/>
        <v/>
      </c>
      <c r="I244" s="46" t="str">
        <f t="shared" si="123"/>
        <v/>
      </c>
      <c r="J244" s="46" t="str">
        <f t="shared" si="123"/>
        <v/>
      </c>
      <c r="K244" s="46">
        <f t="shared" si="123"/>
        <v>4</v>
      </c>
      <c r="L244" s="46">
        <f t="shared" si="123"/>
        <v>4</v>
      </c>
      <c r="M244" s="46">
        <f t="shared" si="123"/>
        <v>4</v>
      </c>
      <c r="N244" s="46">
        <f t="shared" si="123"/>
        <v>4</v>
      </c>
      <c r="O244" s="46">
        <f t="shared" si="123"/>
        <v>4</v>
      </c>
      <c r="P244" s="46">
        <f t="shared" si="123"/>
        <v>4</v>
      </c>
      <c r="Q244" s="46">
        <f t="shared" si="123"/>
        <v>4</v>
      </c>
      <c r="R244" s="46">
        <f t="shared" si="123"/>
        <v>4</v>
      </c>
      <c r="S244" s="46" t="str">
        <f t="shared" si="123"/>
        <v/>
      </c>
      <c r="T244" s="46">
        <f t="shared" si="123"/>
        <v>4</v>
      </c>
      <c r="U244" s="46">
        <f t="shared" si="123"/>
        <v>4</v>
      </c>
      <c r="V244" s="46" t="str">
        <f t="shared" si="123"/>
        <v/>
      </c>
      <c r="W244" s="46" t="str">
        <f t="shared" si="123"/>
        <v/>
      </c>
      <c r="X244" s="46" t="str">
        <f t="shared" si="123"/>
        <v/>
      </c>
      <c r="Y244" s="46" t="str">
        <f t="shared" si="123"/>
        <v/>
      </c>
      <c r="Z244" s="46">
        <f t="shared" si="123"/>
        <v>4</v>
      </c>
      <c r="AA244" s="46" t="str">
        <f t="shared" si="123"/>
        <v/>
      </c>
      <c r="AB244" s="46">
        <f t="shared" si="123"/>
        <v>4</v>
      </c>
      <c r="AC244" s="46">
        <f t="shared" si="123"/>
        <v>4</v>
      </c>
      <c r="AD244" s="46">
        <f t="shared" si="123"/>
        <v>4</v>
      </c>
      <c r="AE244" s="46">
        <f t="shared" si="123"/>
        <v>4</v>
      </c>
      <c r="AF244" s="46">
        <f t="shared" si="123"/>
        <v>4</v>
      </c>
      <c r="AG244" s="46">
        <f t="shared" si="123"/>
        <v>4</v>
      </c>
      <c r="AH244" s="46">
        <f t="shared" si="123"/>
        <v>4</v>
      </c>
      <c r="AI244" s="46">
        <f t="shared" si="123"/>
        <v>4</v>
      </c>
      <c r="AJ244" s="46">
        <f t="shared" si="123"/>
        <v>4</v>
      </c>
      <c r="AK244" s="46" t="str">
        <f t="shared" si="123"/>
        <v/>
      </c>
      <c r="AL244" s="46" t="str">
        <f t="shared" si="123"/>
        <v/>
      </c>
      <c r="AM244" s="46">
        <f t="shared" si="123"/>
        <v>4</v>
      </c>
      <c r="AN244" s="46">
        <f t="shared" si="123"/>
        <v>4</v>
      </c>
      <c r="AO244" s="46" t="str">
        <f t="shared" si="123"/>
        <v/>
      </c>
      <c r="AP244" s="46" t="str">
        <f t="shared" si="123"/>
        <v/>
      </c>
      <c r="AQ244" s="46">
        <f t="shared" si="123"/>
        <v>4</v>
      </c>
      <c r="AR244" s="46">
        <f t="shared" si="123"/>
        <v>4</v>
      </c>
      <c r="AS244" s="46" t="str">
        <f t="shared" si="123"/>
        <v/>
      </c>
      <c r="AT244" s="46" t="str">
        <f t="shared" si="123"/>
        <v/>
      </c>
      <c r="AU244" s="46" t="str">
        <f t="shared" si="123"/>
        <v/>
      </c>
      <c r="AV244" s="46" t="str">
        <f t="shared" si="123"/>
        <v/>
      </c>
      <c r="AW244" s="46" t="str">
        <f t="shared" si="123"/>
        <v/>
      </c>
      <c r="AX244" s="46" t="str">
        <f t="shared" si="123"/>
        <v/>
      </c>
      <c r="AY244" s="46" t="str">
        <f t="shared" si="123"/>
        <v/>
      </c>
      <c r="AZ244" s="46" t="str">
        <f t="shared" si="123"/>
        <v/>
      </c>
      <c r="BA244" s="46" t="str">
        <f t="shared" si="123"/>
        <v/>
      </c>
      <c r="BB244" s="46" t="str">
        <f t="shared" si="123"/>
        <v/>
      </c>
      <c r="BC244" s="46">
        <f t="shared" si="123"/>
        <v>4</v>
      </c>
      <c r="BD244" s="46" t="str">
        <f t="shared" si="123"/>
        <v/>
      </c>
      <c r="BE244" s="46" t="str">
        <f t="shared" si="123"/>
        <v/>
      </c>
      <c r="BF244" s="46">
        <f t="shared" si="123"/>
        <v>4</v>
      </c>
      <c r="BG244" s="46" t="str">
        <f t="shared" si="123"/>
        <v/>
      </c>
      <c r="BH244" s="46" t="str">
        <f t="shared" si="123"/>
        <v/>
      </c>
      <c r="BI244" s="46" t="str">
        <f t="shared" si="123"/>
        <v/>
      </c>
      <c r="BJ244" s="46" t="str">
        <f t="shared" si="123"/>
        <v/>
      </c>
      <c r="BK244" s="46" t="str">
        <f t="shared" si="123"/>
        <v/>
      </c>
      <c r="BL244" s="46" t="str">
        <f t="shared" si="123"/>
        <v/>
      </c>
      <c r="BM244" s="46" t="str">
        <f t="shared" si="123"/>
        <v/>
      </c>
      <c r="BN244" s="46">
        <f t="shared" si="123"/>
        <v>4</v>
      </c>
      <c r="BO244" s="46">
        <f t="shared" ref="BO244:DH244" si="124">IF(BO51="X",$DK51,"")</f>
        <v>4</v>
      </c>
      <c r="BP244" s="46">
        <f t="shared" si="124"/>
        <v>4</v>
      </c>
      <c r="BQ244" s="46">
        <f t="shared" si="124"/>
        <v>4</v>
      </c>
      <c r="BR244" s="46">
        <f t="shared" si="124"/>
        <v>4</v>
      </c>
      <c r="BS244" s="46">
        <f t="shared" si="124"/>
        <v>4</v>
      </c>
      <c r="BT244" s="46">
        <f t="shared" si="124"/>
        <v>4</v>
      </c>
      <c r="BU244" s="46">
        <f t="shared" si="124"/>
        <v>4</v>
      </c>
      <c r="BV244" s="46">
        <f t="shared" si="124"/>
        <v>4</v>
      </c>
      <c r="BW244" s="46" t="str">
        <f t="shared" si="124"/>
        <v/>
      </c>
      <c r="BX244" s="46" t="str">
        <f t="shared" si="124"/>
        <v/>
      </c>
      <c r="BY244" s="46" t="str">
        <f t="shared" si="124"/>
        <v/>
      </c>
      <c r="BZ244" s="46" t="str">
        <f t="shared" si="124"/>
        <v/>
      </c>
      <c r="CA244" s="46" t="str">
        <f t="shared" si="124"/>
        <v/>
      </c>
      <c r="CB244" s="46" t="str">
        <f t="shared" si="124"/>
        <v/>
      </c>
      <c r="CC244" s="46" t="str">
        <f t="shared" si="124"/>
        <v/>
      </c>
      <c r="CD244" s="46">
        <f t="shared" si="124"/>
        <v>4</v>
      </c>
      <c r="CE244" s="46" t="str">
        <f t="shared" si="124"/>
        <v/>
      </c>
      <c r="CF244" s="46" t="str">
        <f t="shared" si="124"/>
        <v/>
      </c>
      <c r="CG244" s="46" t="str">
        <f t="shared" si="124"/>
        <v/>
      </c>
      <c r="CH244" s="46" t="str">
        <f t="shared" si="124"/>
        <v/>
      </c>
      <c r="CI244" s="46" t="str">
        <f t="shared" si="124"/>
        <v/>
      </c>
      <c r="CJ244" s="46" t="str">
        <f t="shared" si="124"/>
        <v/>
      </c>
      <c r="CK244" s="46" t="str">
        <f t="shared" si="124"/>
        <v/>
      </c>
      <c r="CL244" s="46" t="str">
        <f t="shared" si="124"/>
        <v/>
      </c>
      <c r="CM244" s="46" t="str">
        <f t="shared" si="124"/>
        <v/>
      </c>
      <c r="CN244" s="46" t="str">
        <f t="shared" si="124"/>
        <v/>
      </c>
      <c r="CO244" s="46" t="str">
        <f t="shared" si="124"/>
        <v/>
      </c>
      <c r="CP244" s="46" t="str">
        <f t="shared" si="124"/>
        <v/>
      </c>
      <c r="CQ244" s="46" t="str">
        <f t="shared" si="124"/>
        <v/>
      </c>
      <c r="CR244" s="46" t="str">
        <f t="shared" si="124"/>
        <v/>
      </c>
      <c r="CS244" s="46" t="str">
        <f t="shared" si="124"/>
        <v/>
      </c>
      <c r="CT244" s="46" t="str">
        <f t="shared" si="124"/>
        <v/>
      </c>
      <c r="CU244" s="46" t="str">
        <f t="shared" si="124"/>
        <v/>
      </c>
      <c r="CV244" s="46" t="str">
        <f t="shared" si="124"/>
        <v/>
      </c>
      <c r="CW244" s="46" t="str">
        <f t="shared" si="124"/>
        <v/>
      </c>
      <c r="CX244" s="46" t="str">
        <f t="shared" si="124"/>
        <v/>
      </c>
      <c r="CY244" s="46" t="str">
        <f t="shared" si="124"/>
        <v/>
      </c>
      <c r="CZ244" s="46" t="str">
        <f t="shared" si="124"/>
        <v/>
      </c>
      <c r="DA244" s="46" t="str">
        <f t="shared" si="124"/>
        <v/>
      </c>
      <c r="DB244" s="46" t="str">
        <f t="shared" si="124"/>
        <v/>
      </c>
      <c r="DC244" s="46" t="str">
        <f t="shared" si="124"/>
        <v/>
      </c>
      <c r="DD244" s="46" t="str">
        <f t="shared" si="124"/>
        <v/>
      </c>
      <c r="DE244" s="46" t="str">
        <f t="shared" si="124"/>
        <v/>
      </c>
      <c r="DF244" s="46" t="str">
        <f t="shared" si="124"/>
        <v/>
      </c>
      <c r="DG244" s="46" t="str">
        <f t="shared" si="124"/>
        <v/>
      </c>
      <c r="DH244" s="46" t="str">
        <f t="shared" si="124"/>
        <v/>
      </c>
      <c r="DI244" s="46" t="str">
        <f t="shared" ref="DI244:DV244" si="125">IF(DI52="X",$DZ52,"")</f>
        <v/>
      </c>
      <c r="DJ244" s="46" t="str">
        <f t="shared" si="125"/>
        <v/>
      </c>
      <c r="DK244" s="46" t="str">
        <f t="shared" si="125"/>
        <v/>
      </c>
      <c r="DL244" s="46" t="str">
        <f t="shared" si="125"/>
        <v/>
      </c>
      <c r="DM244" s="46" t="str">
        <f t="shared" si="125"/>
        <v/>
      </c>
      <c r="DN244" s="46" t="str">
        <f t="shared" si="125"/>
        <v/>
      </c>
      <c r="DO244" s="46" t="str">
        <f t="shared" si="125"/>
        <v/>
      </c>
      <c r="DP244" s="46" t="str">
        <f t="shared" si="125"/>
        <v/>
      </c>
      <c r="DQ244" s="46" t="str">
        <f t="shared" si="125"/>
        <v/>
      </c>
      <c r="DR244" s="46" t="str">
        <f t="shared" si="125"/>
        <v/>
      </c>
      <c r="DS244" s="46" t="str">
        <f t="shared" si="125"/>
        <v/>
      </c>
      <c r="DT244" s="46" t="str">
        <f t="shared" si="125"/>
        <v/>
      </c>
      <c r="DU244" s="46" t="str">
        <f t="shared" si="125"/>
        <v/>
      </c>
      <c r="DV244" s="46" t="str">
        <f t="shared" si="125"/>
        <v/>
      </c>
      <c r="DW244" s="9"/>
      <c r="DX244" s="1"/>
    </row>
    <row r="245" spans="1:128" x14ac:dyDescent="0.25">
      <c r="A245" s="46"/>
      <c r="B245" s="46" t="str">
        <f t="shared" si="22"/>
        <v/>
      </c>
      <c r="C245" s="46" t="str">
        <f t="shared" ref="C245:BN245" si="126">IF(C52="X",$DK52,"")</f>
        <v/>
      </c>
      <c r="D245" s="46" t="str">
        <f t="shared" si="126"/>
        <v/>
      </c>
      <c r="E245" s="46">
        <f t="shared" si="126"/>
        <v>4</v>
      </c>
      <c r="F245" s="46" t="str">
        <f t="shared" si="126"/>
        <v/>
      </c>
      <c r="G245" s="46" t="str">
        <f t="shared" si="126"/>
        <v/>
      </c>
      <c r="H245" s="46">
        <f t="shared" si="126"/>
        <v>4</v>
      </c>
      <c r="I245" s="46" t="str">
        <f t="shared" si="126"/>
        <v/>
      </c>
      <c r="J245" s="46" t="str">
        <f t="shared" si="126"/>
        <v/>
      </c>
      <c r="K245" s="46" t="str">
        <f t="shared" si="126"/>
        <v/>
      </c>
      <c r="L245" s="46" t="str">
        <f t="shared" si="126"/>
        <v/>
      </c>
      <c r="M245" s="46" t="str">
        <f t="shared" si="126"/>
        <v/>
      </c>
      <c r="N245" s="46" t="str">
        <f t="shared" si="126"/>
        <v/>
      </c>
      <c r="O245" s="46" t="str">
        <f t="shared" si="126"/>
        <v/>
      </c>
      <c r="P245" s="46" t="str">
        <f t="shared" si="126"/>
        <v/>
      </c>
      <c r="Q245" s="46" t="str">
        <f t="shared" si="126"/>
        <v/>
      </c>
      <c r="R245" s="46" t="str">
        <f t="shared" si="126"/>
        <v/>
      </c>
      <c r="S245" s="46" t="str">
        <f t="shared" si="126"/>
        <v/>
      </c>
      <c r="T245" s="46" t="str">
        <f t="shared" si="126"/>
        <v/>
      </c>
      <c r="U245" s="46" t="str">
        <f t="shared" si="126"/>
        <v/>
      </c>
      <c r="V245" s="46" t="str">
        <f t="shared" si="126"/>
        <v/>
      </c>
      <c r="W245" s="46" t="str">
        <f t="shared" si="126"/>
        <v/>
      </c>
      <c r="X245" s="46" t="str">
        <f t="shared" si="126"/>
        <v/>
      </c>
      <c r="Y245" s="46" t="str">
        <f t="shared" si="126"/>
        <v/>
      </c>
      <c r="Z245" s="46" t="str">
        <f t="shared" si="126"/>
        <v/>
      </c>
      <c r="AA245" s="46" t="str">
        <f t="shared" si="126"/>
        <v/>
      </c>
      <c r="AB245" s="46" t="str">
        <f t="shared" si="126"/>
        <v/>
      </c>
      <c r="AC245" s="46" t="str">
        <f t="shared" si="126"/>
        <v/>
      </c>
      <c r="AD245" s="46" t="str">
        <f t="shared" si="126"/>
        <v/>
      </c>
      <c r="AE245" s="46" t="str">
        <f t="shared" si="126"/>
        <v/>
      </c>
      <c r="AF245" s="46" t="str">
        <f t="shared" si="126"/>
        <v/>
      </c>
      <c r="AG245" s="46" t="str">
        <f t="shared" si="126"/>
        <v/>
      </c>
      <c r="AH245" s="46" t="str">
        <f t="shared" si="126"/>
        <v/>
      </c>
      <c r="AI245" s="46" t="str">
        <f t="shared" si="126"/>
        <v/>
      </c>
      <c r="AJ245" s="46" t="str">
        <f t="shared" si="126"/>
        <v/>
      </c>
      <c r="AK245" s="46" t="str">
        <f t="shared" si="126"/>
        <v/>
      </c>
      <c r="AL245" s="46" t="str">
        <f t="shared" si="126"/>
        <v/>
      </c>
      <c r="AM245" s="46" t="str">
        <f t="shared" si="126"/>
        <v/>
      </c>
      <c r="AN245" s="46" t="str">
        <f t="shared" si="126"/>
        <v/>
      </c>
      <c r="AO245" s="46">
        <f t="shared" si="126"/>
        <v>4</v>
      </c>
      <c r="AP245" s="46" t="str">
        <f t="shared" si="126"/>
        <v/>
      </c>
      <c r="AQ245" s="46" t="str">
        <f t="shared" si="126"/>
        <v/>
      </c>
      <c r="AR245" s="46" t="str">
        <f t="shared" si="126"/>
        <v/>
      </c>
      <c r="AS245" s="46" t="str">
        <f t="shared" si="126"/>
        <v/>
      </c>
      <c r="AT245" s="46" t="str">
        <f t="shared" si="126"/>
        <v/>
      </c>
      <c r="AU245" s="46" t="str">
        <f t="shared" si="126"/>
        <v/>
      </c>
      <c r="AV245" s="46" t="str">
        <f t="shared" si="126"/>
        <v/>
      </c>
      <c r="AW245" s="46" t="str">
        <f t="shared" si="126"/>
        <v/>
      </c>
      <c r="AX245" s="46" t="str">
        <f t="shared" si="126"/>
        <v/>
      </c>
      <c r="AY245" s="46" t="str">
        <f t="shared" si="126"/>
        <v/>
      </c>
      <c r="AZ245" s="46">
        <f t="shared" si="126"/>
        <v>4</v>
      </c>
      <c r="BA245" s="46" t="str">
        <f t="shared" si="126"/>
        <v/>
      </c>
      <c r="BB245" s="46" t="str">
        <f t="shared" si="126"/>
        <v/>
      </c>
      <c r="BC245" s="46" t="str">
        <f t="shared" si="126"/>
        <v/>
      </c>
      <c r="BD245" s="46" t="str">
        <f t="shared" si="126"/>
        <v/>
      </c>
      <c r="BE245" s="46" t="str">
        <f t="shared" si="126"/>
        <v/>
      </c>
      <c r="BF245" s="46" t="str">
        <f t="shared" si="126"/>
        <v/>
      </c>
      <c r="BG245" s="46" t="str">
        <f t="shared" si="126"/>
        <v/>
      </c>
      <c r="BH245" s="46" t="str">
        <f t="shared" si="126"/>
        <v/>
      </c>
      <c r="BI245" s="46" t="str">
        <f t="shared" si="126"/>
        <v/>
      </c>
      <c r="BJ245" s="46" t="str">
        <f t="shared" si="126"/>
        <v/>
      </c>
      <c r="BK245" s="46" t="str">
        <f t="shared" si="126"/>
        <v/>
      </c>
      <c r="BL245" s="46" t="str">
        <f t="shared" si="126"/>
        <v/>
      </c>
      <c r="BM245" s="46" t="str">
        <f t="shared" si="126"/>
        <v/>
      </c>
      <c r="BN245" s="46" t="str">
        <f t="shared" si="126"/>
        <v/>
      </c>
      <c r="BO245" s="46" t="str">
        <f t="shared" ref="BO245:DH245" si="127">IF(BO52="X",$DK52,"")</f>
        <v/>
      </c>
      <c r="BP245" s="46" t="str">
        <f t="shared" si="127"/>
        <v/>
      </c>
      <c r="BQ245" s="46" t="str">
        <f t="shared" si="127"/>
        <v/>
      </c>
      <c r="BR245" s="46" t="str">
        <f t="shared" si="127"/>
        <v/>
      </c>
      <c r="BS245" s="46" t="str">
        <f t="shared" si="127"/>
        <v/>
      </c>
      <c r="BT245" s="46" t="str">
        <f t="shared" si="127"/>
        <v/>
      </c>
      <c r="BU245" s="46" t="str">
        <f t="shared" si="127"/>
        <v/>
      </c>
      <c r="BV245" s="46" t="str">
        <f t="shared" si="127"/>
        <v/>
      </c>
      <c r="BW245" s="46" t="str">
        <f t="shared" si="127"/>
        <v/>
      </c>
      <c r="BX245" s="46" t="str">
        <f t="shared" si="127"/>
        <v/>
      </c>
      <c r="BY245" s="46" t="str">
        <f t="shared" si="127"/>
        <v/>
      </c>
      <c r="BZ245" s="46" t="str">
        <f t="shared" si="127"/>
        <v/>
      </c>
      <c r="CA245" s="46" t="str">
        <f t="shared" si="127"/>
        <v/>
      </c>
      <c r="CB245" s="46" t="str">
        <f t="shared" si="127"/>
        <v/>
      </c>
      <c r="CC245" s="46" t="str">
        <f t="shared" si="127"/>
        <v/>
      </c>
      <c r="CD245" s="46" t="str">
        <f t="shared" si="127"/>
        <v/>
      </c>
      <c r="CE245" s="46" t="str">
        <f t="shared" si="127"/>
        <v/>
      </c>
      <c r="CF245" s="46" t="str">
        <f t="shared" si="127"/>
        <v/>
      </c>
      <c r="CG245" s="46" t="str">
        <f t="shared" si="127"/>
        <v/>
      </c>
      <c r="CH245" s="46" t="str">
        <f t="shared" si="127"/>
        <v/>
      </c>
      <c r="CI245" s="46" t="str">
        <f t="shared" si="127"/>
        <v/>
      </c>
      <c r="CJ245" s="46" t="str">
        <f t="shared" si="127"/>
        <v/>
      </c>
      <c r="CK245" s="46" t="str">
        <f t="shared" si="127"/>
        <v/>
      </c>
      <c r="CL245" s="46" t="str">
        <f t="shared" si="127"/>
        <v/>
      </c>
      <c r="CM245" s="46" t="str">
        <f t="shared" si="127"/>
        <v/>
      </c>
      <c r="CN245" s="46" t="str">
        <f t="shared" si="127"/>
        <v/>
      </c>
      <c r="CO245" s="46" t="str">
        <f t="shared" si="127"/>
        <v/>
      </c>
      <c r="CP245" s="46" t="str">
        <f t="shared" si="127"/>
        <v/>
      </c>
      <c r="CQ245" s="46" t="str">
        <f t="shared" si="127"/>
        <v/>
      </c>
      <c r="CR245" s="46" t="str">
        <f t="shared" si="127"/>
        <v/>
      </c>
      <c r="CS245" s="46" t="str">
        <f t="shared" si="127"/>
        <v/>
      </c>
      <c r="CT245" s="46" t="str">
        <f t="shared" si="127"/>
        <v/>
      </c>
      <c r="CU245" s="46" t="str">
        <f t="shared" si="127"/>
        <v/>
      </c>
      <c r="CV245" s="46" t="str">
        <f t="shared" si="127"/>
        <v/>
      </c>
      <c r="CW245" s="46" t="str">
        <f t="shared" si="127"/>
        <v/>
      </c>
      <c r="CX245" s="46" t="str">
        <f t="shared" si="127"/>
        <v/>
      </c>
      <c r="CY245" s="46" t="str">
        <f t="shared" si="127"/>
        <v/>
      </c>
      <c r="CZ245" s="46" t="str">
        <f t="shared" si="127"/>
        <v/>
      </c>
      <c r="DA245" s="46" t="str">
        <f t="shared" si="127"/>
        <v/>
      </c>
      <c r="DB245" s="46" t="str">
        <f t="shared" si="127"/>
        <v/>
      </c>
      <c r="DC245" s="46" t="str">
        <f t="shared" si="127"/>
        <v/>
      </c>
      <c r="DD245" s="46" t="str">
        <f t="shared" si="127"/>
        <v/>
      </c>
      <c r="DE245" s="46" t="str">
        <f t="shared" si="127"/>
        <v/>
      </c>
      <c r="DF245" s="46" t="str">
        <f t="shared" si="127"/>
        <v/>
      </c>
      <c r="DG245" s="46" t="str">
        <f t="shared" si="127"/>
        <v/>
      </c>
      <c r="DH245" s="46" t="str">
        <f t="shared" si="127"/>
        <v/>
      </c>
      <c r="DI245" s="46" t="str">
        <f t="shared" ref="DI245:DV245" si="128">IF(DI53="X",$DZ53,"")</f>
        <v/>
      </c>
      <c r="DJ245" s="46" t="str">
        <f t="shared" si="128"/>
        <v/>
      </c>
      <c r="DK245" s="46" t="str">
        <f t="shared" si="128"/>
        <v/>
      </c>
      <c r="DL245" s="46" t="str">
        <f t="shared" si="128"/>
        <v/>
      </c>
      <c r="DM245" s="46" t="str">
        <f t="shared" si="128"/>
        <v/>
      </c>
      <c r="DN245" s="46" t="str">
        <f t="shared" si="128"/>
        <v/>
      </c>
      <c r="DO245" s="46" t="str">
        <f t="shared" si="128"/>
        <v/>
      </c>
      <c r="DP245" s="46" t="str">
        <f t="shared" si="128"/>
        <v/>
      </c>
      <c r="DQ245" s="46" t="str">
        <f t="shared" si="128"/>
        <v/>
      </c>
      <c r="DR245" s="46" t="str">
        <f t="shared" si="128"/>
        <v/>
      </c>
      <c r="DS245" s="46" t="str">
        <f t="shared" si="128"/>
        <v/>
      </c>
      <c r="DT245" s="46" t="str">
        <f t="shared" si="128"/>
        <v/>
      </c>
      <c r="DU245" s="46" t="str">
        <f t="shared" si="128"/>
        <v/>
      </c>
      <c r="DV245" s="46" t="str">
        <f t="shared" si="128"/>
        <v/>
      </c>
      <c r="DW245" s="9"/>
      <c r="DX245" s="1"/>
    </row>
    <row r="246" spans="1:128" x14ac:dyDescent="0.25">
      <c r="A246" s="46"/>
      <c r="B246" s="46" t="str">
        <f t="shared" si="22"/>
        <v/>
      </c>
      <c r="C246" s="46" t="str">
        <f t="shared" ref="C246:BN246" si="129">IF(C53="X",$DK53,"")</f>
        <v/>
      </c>
      <c r="D246" s="46" t="str">
        <f t="shared" si="129"/>
        <v/>
      </c>
      <c r="E246" s="46" t="str">
        <f t="shared" si="129"/>
        <v/>
      </c>
      <c r="F246" s="46" t="str">
        <f t="shared" si="129"/>
        <v/>
      </c>
      <c r="G246" s="46" t="str">
        <f t="shared" si="129"/>
        <v/>
      </c>
      <c r="H246" s="46" t="str">
        <f t="shared" si="129"/>
        <v/>
      </c>
      <c r="I246" s="46" t="str">
        <f t="shared" si="129"/>
        <v/>
      </c>
      <c r="J246" s="46" t="str">
        <f t="shared" si="129"/>
        <v/>
      </c>
      <c r="K246" s="46" t="str">
        <f t="shared" si="129"/>
        <v/>
      </c>
      <c r="L246" s="46" t="str">
        <f t="shared" si="129"/>
        <v/>
      </c>
      <c r="M246" s="46" t="str">
        <f t="shared" si="129"/>
        <v/>
      </c>
      <c r="N246" s="46" t="str">
        <f t="shared" si="129"/>
        <v/>
      </c>
      <c r="O246" s="46" t="str">
        <f t="shared" si="129"/>
        <v/>
      </c>
      <c r="P246" s="46" t="str">
        <f t="shared" si="129"/>
        <v/>
      </c>
      <c r="Q246" s="46" t="str">
        <f t="shared" si="129"/>
        <v/>
      </c>
      <c r="R246" s="46" t="str">
        <f t="shared" si="129"/>
        <v/>
      </c>
      <c r="S246" s="46" t="str">
        <f t="shared" si="129"/>
        <v/>
      </c>
      <c r="T246" s="46" t="str">
        <f t="shared" si="129"/>
        <v/>
      </c>
      <c r="U246" s="46" t="str">
        <f t="shared" si="129"/>
        <v/>
      </c>
      <c r="V246" s="46" t="str">
        <f t="shared" si="129"/>
        <v/>
      </c>
      <c r="W246" s="46" t="str">
        <f t="shared" si="129"/>
        <v/>
      </c>
      <c r="X246" s="46" t="str">
        <f t="shared" si="129"/>
        <v/>
      </c>
      <c r="Y246" s="46" t="str">
        <f t="shared" si="129"/>
        <v/>
      </c>
      <c r="Z246" s="46" t="str">
        <f t="shared" si="129"/>
        <v/>
      </c>
      <c r="AA246" s="46" t="str">
        <f t="shared" si="129"/>
        <v/>
      </c>
      <c r="AB246" s="46" t="str">
        <f t="shared" si="129"/>
        <v/>
      </c>
      <c r="AC246" s="46" t="str">
        <f t="shared" si="129"/>
        <v/>
      </c>
      <c r="AD246" s="46" t="str">
        <f t="shared" si="129"/>
        <v/>
      </c>
      <c r="AE246" s="46" t="str">
        <f t="shared" si="129"/>
        <v/>
      </c>
      <c r="AF246" s="46" t="str">
        <f t="shared" si="129"/>
        <v/>
      </c>
      <c r="AG246" s="46" t="str">
        <f t="shared" si="129"/>
        <v/>
      </c>
      <c r="AH246" s="46" t="str">
        <f t="shared" si="129"/>
        <v/>
      </c>
      <c r="AI246" s="46" t="str">
        <f t="shared" si="129"/>
        <v/>
      </c>
      <c r="AJ246" s="46" t="str">
        <f t="shared" si="129"/>
        <v/>
      </c>
      <c r="AK246" s="46" t="str">
        <f t="shared" si="129"/>
        <v/>
      </c>
      <c r="AL246" s="46" t="str">
        <f t="shared" si="129"/>
        <v/>
      </c>
      <c r="AM246" s="46" t="str">
        <f t="shared" si="129"/>
        <v/>
      </c>
      <c r="AN246" s="46" t="str">
        <f t="shared" si="129"/>
        <v/>
      </c>
      <c r="AO246" s="46" t="str">
        <f t="shared" si="129"/>
        <v/>
      </c>
      <c r="AP246" s="46" t="str">
        <f t="shared" si="129"/>
        <v/>
      </c>
      <c r="AQ246" s="46" t="str">
        <f t="shared" si="129"/>
        <v/>
      </c>
      <c r="AR246" s="46" t="str">
        <f t="shared" si="129"/>
        <v/>
      </c>
      <c r="AS246" s="46" t="str">
        <f t="shared" si="129"/>
        <v/>
      </c>
      <c r="AT246" s="46" t="str">
        <f t="shared" si="129"/>
        <v/>
      </c>
      <c r="AU246" s="46" t="str">
        <f t="shared" si="129"/>
        <v/>
      </c>
      <c r="AV246" s="46" t="str">
        <f t="shared" si="129"/>
        <v/>
      </c>
      <c r="AW246" s="46" t="str">
        <f t="shared" si="129"/>
        <v/>
      </c>
      <c r="AX246" s="46" t="str">
        <f t="shared" si="129"/>
        <v/>
      </c>
      <c r="AY246" s="46" t="str">
        <f t="shared" si="129"/>
        <v/>
      </c>
      <c r="AZ246" s="46" t="str">
        <f t="shared" si="129"/>
        <v/>
      </c>
      <c r="BA246" s="46" t="str">
        <f t="shared" si="129"/>
        <v/>
      </c>
      <c r="BB246" s="46" t="str">
        <f t="shared" si="129"/>
        <v/>
      </c>
      <c r="BC246" s="46" t="str">
        <f t="shared" si="129"/>
        <v/>
      </c>
      <c r="BD246" s="46" t="str">
        <f t="shared" si="129"/>
        <v/>
      </c>
      <c r="BE246" s="46" t="str">
        <f t="shared" si="129"/>
        <v/>
      </c>
      <c r="BF246" s="46" t="str">
        <f t="shared" si="129"/>
        <v/>
      </c>
      <c r="BG246" s="46" t="str">
        <f t="shared" si="129"/>
        <v/>
      </c>
      <c r="BH246" s="46" t="str">
        <f t="shared" si="129"/>
        <v/>
      </c>
      <c r="BI246" s="46" t="str">
        <f t="shared" si="129"/>
        <v/>
      </c>
      <c r="BJ246" s="46" t="str">
        <f t="shared" si="129"/>
        <v/>
      </c>
      <c r="BK246" s="46" t="str">
        <f t="shared" si="129"/>
        <v/>
      </c>
      <c r="BL246" s="46" t="str">
        <f t="shared" si="129"/>
        <v/>
      </c>
      <c r="BM246" s="46" t="str">
        <f t="shared" si="129"/>
        <v/>
      </c>
      <c r="BN246" s="46" t="str">
        <f t="shared" si="129"/>
        <v/>
      </c>
      <c r="BO246" s="46" t="str">
        <f t="shared" ref="BO246:DH246" si="130">IF(BO53="X",$DK53,"")</f>
        <v/>
      </c>
      <c r="BP246" s="46" t="str">
        <f t="shared" si="130"/>
        <v/>
      </c>
      <c r="BQ246" s="46" t="str">
        <f t="shared" si="130"/>
        <v/>
      </c>
      <c r="BR246" s="46" t="str">
        <f t="shared" si="130"/>
        <v/>
      </c>
      <c r="BS246" s="46" t="str">
        <f t="shared" si="130"/>
        <v/>
      </c>
      <c r="BT246" s="46" t="str">
        <f t="shared" si="130"/>
        <v/>
      </c>
      <c r="BU246" s="46" t="str">
        <f t="shared" si="130"/>
        <v/>
      </c>
      <c r="BV246" s="46" t="str">
        <f t="shared" si="130"/>
        <v/>
      </c>
      <c r="BW246" s="46" t="str">
        <f t="shared" si="130"/>
        <v/>
      </c>
      <c r="BX246" s="46" t="str">
        <f t="shared" si="130"/>
        <v/>
      </c>
      <c r="BY246" s="46" t="str">
        <f t="shared" si="130"/>
        <v/>
      </c>
      <c r="BZ246" s="46" t="str">
        <f t="shared" si="130"/>
        <v/>
      </c>
      <c r="CA246" s="46" t="str">
        <f t="shared" si="130"/>
        <v/>
      </c>
      <c r="CB246" s="46" t="str">
        <f t="shared" si="130"/>
        <v/>
      </c>
      <c r="CC246" s="46" t="str">
        <f t="shared" si="130"/>
        <v/>
      </c>
      <c r="CD246" s="46" t="str">
        <f t="shared" si="130"/>
        <v/>
      </c>
      <c r="CE246" s="46" t="str">
        <f t="shared" si="130"/>
        <v/>
      </c>
      <c r="CF246" s="46" t="str">
        <f t="shared" si="130"/>
        <v/>
      </c>
      <c r="CG246" s="46">
        <f t="shared" si="130"/>
        <v>8</v>
      </c>
      <c r="CH246" s="46">
        <f t="shared" si="130"/>
        <v>8</v>
      </c>
      <c r="CI246" s="46">
        <f t="shared" si="130"/>
        <v>8</v>
      </c>
      <c r="CJ246" s="46">
        <f t="shared" si="130"/>
        <v>8</v>
      </c>
      <c r="CK246" s="46">
        <f t="shared" si="130"/>
        <v>8</v>
      </c>
      <c r="CL246" s="46">
        <f t="shared" si="130"/>
        <v>8</v>
      </c>
      <c r="CM246" s="46">
        <f t="shared" si="130"/>
        <v>8</v>
      </c>
      <c r="CN246" s="46" t="str">
        <f t="shared" si="130"/>
        <v/>
      </c>
      <c r="CO246" s="46">
        <f t="shared" si="130"/>
        <v>8</v>
      </c>
      <c r="CP246" s="46">
        <f t="shared" si="130"/>
        <v>8</v>
      </c>
      <c r="CQ246" s="46">
        <f t="shared" si="130"/>
        <v>8</v>
      </c>
      <c r="CR246" s="46" t="str">
        <f t="shared" si="130"/>
        <v/>
      </c>
      <c r="CS246" s="46" t="str">
        <f t="shared" si="130"/>
        <v/>
      </c>
      <c r="CT246" s="46" t="str">
        <f t="shared" si="130"/>
        <v/>
      </c>
      <c r="CU246" s="46" t="str">
        <f t="shared" si="130"/>
        <v/>
      </c>
      <c r="CV246" s="46" t="str">
        <f t="shared" si="130"/>
        <v/>
      </c>
      <c r="CW246" s="46" t="str">
        <f t="shared" si="130"/>
        <v/>
      </c>
      <c r="CX246" s="46" t="str">
        <f t="shared" si="130"/>
        <v/>
      </c>
      <c r="CY246" s="46" t="str">
        <f t="shared" si="130"/>
        <v/>
      </c>
      <c r="CZ246" s="46">
        <f t="shared" si="130"/>
        <v>8</v>
      </c>
      <c r="DA246" s="46" t="str">
        <f t="shared" si="130"/>
        <v/>
      </c>
      <c r="DB246" s="46" t="str">
        <f t="shared" si="130"/>
        <v/>
      </c>
      <c r="DC246" s="46" t="str">
        <f t="shared" si="130"/>
        <v/>
      </c>
      <c r="DD246" s="46" t="str">
        <f t="shared" si="130"/>
        <v/>
      </c>
      <c r="DE246" s="46" t="str">
        <f t="shared" si="130"/>
        <v/>
      </c>
      <c r="DF246" s="46" t="str">
        <f t="shared" si="130"/>
        <v/>
      </c>
      <c r="DG246" s="46" t="str">
        <f t="shared" si="130"/>
        <v/>
      </c>
      <c r="DH246" s="46" t="str">
        <f t="shared" si="130"/>
        <v/>
      </c>
      <c r="DI246" s="46" t="str">
        <f t="shared" ref="DI246:DV246" si="131">IF(DI54="X",$DZ54,"")</f>
        <v/>
      </c>
      <c r="DJ246" s="46" t="str">
        <f t="shared" si="131"/>
        <v/>
      </c>
      <c r="DK246" s="46" t="str">
        <f t="shared" si="131"/>
        <v/>
      </c>
      <c r="DL246" s="46" t="str">
        <f t="shared" si="131"/>
        <v/>
      </c>
      <c r="DM246" s="46" t="str">
        <f t="shared" si="131"/>
        <v/>
      </c>
      <c r="DN246" s="46" t="str">
        <f t="shared" si="131"/>
        <v/>
      </c>
      <c r="DO246" s="46" t="str">
        <f t="shared" si="131"/>
        <v/>
      </c>
      <c r="DP246" s="46" t="str">
        <f t="shared" si="131"/>
        <v/>
      </c>
      <c r="DQ246" s="46" t="str">
        <f t="shared" si="131"/>
        <v/>
      </c>
      <c r="DR246" s="46" t="str">
        <f t="shared" si="131"/>
        <v/>
      </c>
      <c r="DS246" s="46" t="str">
        <f t="shared" si="131"/>
        <v/>
      </c>
      <c r="DT246" s="46" t="str">
        <f t="shared" si="131"/>
        <v/>
      </c>
      <c r="DU246" s="46" t="str">
        <f t="shared" si="131"/>
        <v/>
      </c>
      <c r="DV246" s="46" t="str">
        <f t="shared" si="131"/>
        <v/>
      </c>
      <c r="DW246" s="9"/>
      <c r="DX246" s="1"/>
    </row>
    <row r="247" spans="1:128" x14ac:dyDescent="0.25">
      <c r="A247" s="46"/>
      <c r="B247" s="46" t="str">
        <f t="shared" si="22"/>
        <v/>
      </c>
      <c r="C247" s="46" t="str">
        <f t="shared" ref="C247:BN247" si="132">IF(C54="X",$DK54,"")</f>
        <v/>
      </c>
      <c r="D247" s="46" t="str">
        <f t="shared" si="132"/>
        <v/>
      </c>
      <c r="E247" s="46" t="str">
        <f t="shared" si="132"/>
        <v/>
      </c>
      <c r="F247" s="46" t="str">
        <f t="shared" si="132"/>
        <v/>
      </c>
      <c r="G247" s="46" t="str">
        <f t="shared" si="132"/>
        <v/>
      </c>
      <c r="H247" s="46" t="str">
        <f t="shared" si="132"/>
        <v/>
      </c>
      <c r="I247" s="46" t="str">
        <f t="shared" si="132"/>
        <v/>
      </c>
      <c r="J247" s="46" t="str">
        <f t="shared" si="132"/>
        <v/>
      </c>
      <c r="K247" s="46" t="str">
        <f t="shared" si="132"/>
        <v/>
      </c>
      <c r="L247" s="46" t="str">
        <f t="shared" si="132"/>
        <v/>
      </c>
      <c r="M247" s="46" t="str">
        <f t="shared" si="132"/>
        <v/>
      </c>
      <c r="N247" s="46" t="str">
        <f t="shared" si="132"/>
        <v/>
      </c>
      <c r="O247" s="46" t="str">
        <f t="shared" si="132"/>
        <v/>
      </c>
      <c r="P247" s="46" t="str">
        <f t="shared" si="132"/>
        <v/>
      </c>
      <c r="Q247" s="46" t="str">
        <f t="shared" si="132"/>
        <v/>
      </c>
      <c r="R247" s="46" t="str">
        <f t="shared" si="132"/>
        <v/>
      </c>
      <c r="S247" s="46" t="str">
        <f t="shared" si="132"/>
        <v/>
      </c>
      <c r="T247" s="46" t="str">
        <f t="shared" si="132"/>
        <v/>
      </c>
      <c r="U247" s="46" t="str">
        <f t="shared" si="132"/>
        <v/>
      </c>
      <c r="V247" s="46" t="str">
        <f t="shared" si="132"/>
        <v/>
      </c>
      <c r="W247" s="46">
        <f t="shared" si="132"/>
        <v>8</v>
      </c>
      <c r="X247" s="46">
        <f t="shared" si="132"/>
        <v>8</v>
      </c>
      <c r="Y247" s="46">
        <f t="shared" si="132"/>
        <v>8</v>
      </c>
      <c r="Z247" s="46" t="str">
        <f t="shared" si="132"/>
        <v/>
      </c>
      <c r="AA247" s="46" t="str">
        <f t="shared" si="132"/>
        <v/>
      </c>
      <c r="AB247" s="46" t="str">
        <f t="shared" si="132"/>
        <v/>
      </c>
      <c r="AC247" s="46" t="str">
        <f t="shared" si="132"/>
        <v/>
      </c>
      <c r="AD247" s="46" t="str">
        <f t="shared" si="132"/>
        <v/>
      </c>
      <c r="AE247" s="46" t="str">
        <f t="shared" si="132"/>
        <v/>
      </c>
      <c r="AF247" s="46">
        <f t="shared" si="132"/>
        <v>8</v>
      </c>
      <c r="AG247" s="46">
        <f t="shared" si="132"/>
        <v>8</v>
      </c>
      <c r="AH247" s="46" t="str">
        <f t="shared" si="132"/>
        <v/>
      </c>
      <c r="AI247" s="46" t="str">
        <f t="shared" si="132"/>
        <v/>
      </c>
      <c r="AJ247" s="46" t="str">
        <f t="shared" si="132"/>
        <v/>
      </c>
      <c r="AK247" s="46" t="str">
        <f t="shared" si="132"/>
        <v/>
      </c>
      <c r="AL247" s="46" t="str">
        <f t="shared" si="132"/>
        <v/>
      </c>
      <c r="AM247" s="46" t="str">
        <f t="shared" si="132"/>
        <v/>
      </c>
      <c r="AN247" s="46" t="str">
        <f t="shared" si="132"/>
        <v/>
      </c>
      <c r="AO247" s="46" t="str">
        <f t="shared" si="132"/>
        <v/>
      </c>
      <c r="AP247" s="46" t="str">
        <f t="shared" si="132"/>
        <v/>
      </c>
      <c r="AQ247" s="46" t="str">
        <f t="shared" si="132"/>
        <v/>
      </c>
      <c r="AR247" s="46" t="str">
        <f t="shared" si="132"/>
        <v/>
      </c>
      <c r="AS247" s="46" t="str">
        <f t="shared" si="132"/>
        <v/>
      </c>
      <c r="AT247" s="46" t="str">
        <f t="shared" si="132"/>
        <v/>
      </c>
      <c r="AU247" s="46" t="str">
        <f t="shared" si="132"/>
        <v/>
      </c>
      <c r="AV247" s="46" t="str">
        <f t="shared" si="132"/>
        <v/>
      </c>
      <c r="AW247" s="46" t="str">
        <f t="shared" si="132"/>
        <v/>
      </c>
      <c r="AX247" s="46" t="str">
        <f t="shared" si="132"/>
        <v/>
      </c>
      <c r="AY247" s="46" t="str">
        <f t="shared" si="132"/>
        <v/>
      </c>
      <c r="AZ247" s="46" t="str">
        <f t="shared" si="132"/>
        <v/>
      </c>
      <c r="BA247" s="46" t="str">
        <f t="shared" si="132"/>
        <v/>
      </c>
      <c r="BB247" s="46" t="str">
        <f t="shared" si="132"/>
        <v/>
      </c>
      <c r="BC247" s="46" t="str">
        <f t="shared" si="132"/>
        <v/>
      </c>
      <c r="BD247" s="46" t="str">
        <f t="shared" si="132"/>
        <v/>
      </c>
      <c r="BE247" s="46" t="str">
        <f t="shared" si="132"/>
        <v/>
      </c>
      <c r="BF247" s="46" t="str">
        <f t="shared" si="132"/>
        <v/>
      </c>
      <c r="BG247" s="46" t="str">
        <f t="shared" si="132"/>
        <v/>
      </c>
      <c r="BH247" s="46" t="str">
        <f t="shared" si="132"/>
        <v/>
      </c>
      <c r="BI247" s="46" t="str">
        <f t="shared" si="132"/>
        <v/>
      </c>
      <c r="BJ247" s="46" t="str">
        <f t="shared" si="132"/>
        <v/>
      </c>
      <c r="BK247" s="46" t="str">
        <f t="shared" si="132"/>
        <v/>
      </c>
      <c r="BL247" s="46" t="str">
        <f t="shared" si="132"/>
        <v/>
      </c>
      <c r="BM247" s="46" t="str">
        <f t="shared" si="132"/>
        <v/>
      </c>
      <c r="BN247" s="46" t="str">
        <f t="shared" si="132"/>
        <v/>
      </c>
      <c r="BO247" s="46" t="str">
        <f t="shared" ref="BO247:DH247" si="133">IF(BO54="X",$DK54,"")</f>
        <v/>
      </c>
      <c r="BP247" s="46" t="str">
        <f t="shared" si="133"/>
        <v/>
      </c>
      <c r="BQ247" s="46" t="str">
        <f t="shared" si="133"/>
        <v/>
      </c>
      <c r="BR247" s="46" t="str">
        <f t="shared" si="133"/>
        <v/>
      </c>
      <c r="BS247" s="46" t="str">
        <f t="shared" si="133"/>
        <v/>
      </c>
      <c r="BT247" s="46" t="str">
        <f t="shared" si="133"/>
        <v/>
      </c>
      <c r="BU247" s="46" t="str">
        <f t="shared" si="133"/>
        <v/>
      </c>
      <c r="BV247" s="46" t="str">
        <f t="shared" si="133"/>
        <v/>
      </c>
      <c r="BW247" s="46" t="str">
        <f t="shared" si="133"/>
        <v/>
      </c>
      <c r="BX247" s="46" t="str">
        <f t="shared" si="133"/>
        <v/>
      </c>
      <c r="BY247" s="46" t="str">
        <f t="shared" si="133"/>
        <v/>
      </c>
      <c r="BZ247" s="46">
        <f t="shared" si="133"/>
        <v>8</v>
      </c>
      <c r="CA247" s="46" t="str">
        <f t="shared" si="133"/>
        <v/>
      </c>
      <c r="CB247" s="46" t="str">
        <f t="shared" si="133"/>
        <v/>
      </c>
      <c r="CC247" s="46" t="str">
        <f t="shared" si="133"/>
        <v/>
      </c>
      <c r="CD247" s="46" t="str">
        <f t="shared" si="133"/>
        <v/>
      </c>
      <c r="CE247" s="46" t="str">
        <f t="shared" si="133"/>
        <v/>
      </c>
      <c r="CF247" s="46" t="str">
        <f t="shared" si="133"/>
        <v/>
      </c>
      <c r="CG247" s="46" t="str">
        <f t="shared" si="133"/>
        <v/>
      </c>
      <c r="CH247" s="46" t="str">
        <f t="shared" si="133"/>
        <v/>
      </c>
      <c r="CI247" s="46" t="str">
        <f t="shared" si="133"/>
        <v/>
      </c>
      <c r="CJ247" s="46" t="str">
        <f t="shared" si="133"/>
        <v/>
      </c>
      <c r="CK247" s="46" t="str">
        <f t="shared" si="133"/>
        <v/>
      </c>
      <c r="CL247" s="46" t="str">
        <f t="shared" si="133"/>
        <v/>
      </c>
      <c r="CM247" s="46" t="str">
        <f t="shared" si="133"/>
        <v/>
      </c>
      <c r="CN247" s="46" t="str">
        <f t="shared" si="133"/>
        <v/>
      </c>
      <c r="CO247" s="46" t="str">
        <f t="shared" si="133"/>
        <v/>
      </c>
      <c r="CP247" s="46" t="str">
        <f t="shared" si="133"/>
        <v/>
      </c>
      <c r="CQ247" s="46" t="str">
        <f t="shared" si="133"/>
        <v/>
      </c>
      <c r="CR247" s="46" t="str">
        <f t="shared" si="133"/>
        <v/>
      </c>
      <c r="CS247" s="46" t="str">
        <f t="shared" si="133"/>
        <v/>
      </c>
      <c r="CT247" s="46" t="str">
        <f t="shared" si="133"/>
        <v/>
      </c>
      <c r="CU247" s="46">
        <f t="shared" si="133"/>
        <v>8</v>
      </c>
      <c r="CV247" s="46" t="str">
        <f t="shared" si="133"/>
        <v/>
      </c>
      <c r="CW247" s="46" t="str">
        <f t="shared" si="133"/>
        <v/>
      </c>
      <c r="CX247" s="46" t="str">
        <f t="shared" si="133"/>
        <v/>
      </c>
      <c r="CY247" s="46" t="str">
        <f t="shared" si="133"/>
        <v/>
      </c>
      <c r="CZ247" s="46" t="str">
        <f t="shared" si="133"/>
        <v/>
      </c>
      <c r="DA247" s="46" t="str">
        <f t="shared" si="133"/>
        <v/>
      </c>
      <c r="DB247" s="46" t="str">
        <f t="shared" si="133"/>
        <v/>
      </c>
      <c r="DC247" s="46" t="str">
        <f t="shared" si="133"/>
        <v/>
      </c>
      <c r="DD247" s="46" t="str">
        <f t="shared" si="133"/>
        <v/>
      </c>
      <c r="DE247" s="46" t="str">
        <f t="shared" si="133"/>
        <v/>
      </c>
      <c r="DF247" s="46" t="str">
        <f t="shared" si="133"/>
        <v/>
      </c>
      <c r="DG247" s="46" t="str">
        <f t="shared" si="133"/>
        <v/>
      </c>
      <c r="DH247" s="46" t="str">
        <f t="shared" si="133"/>
        <v/>
      </c>
      <c r="DI247" s="46" t="str">
        <f t="shared" ref="DI247:DV247" si="134">IF(DI55="X",$DZ55,"")</f>
        <v/>
      </c>
      <c r="DJ247" s="46" t="str">
        <f t="shared" si="134"/>
        <v/>
      </c>
      <c r="DK247" s="46" t="str">
        <f t="shared" si="134"/>
        <v/>
      </c>
      <c r="DL247" s="46" t="str">
        <f t="shared" si="134"/>
        <v/>
      </c>
      <c r="DM247" s="46" t="str">
        <f t="shared" si="134"/>
        <v/>
      </c>
      <c r="DN247" s="46" t="str">
        <f t="shared" si="134"/>
        <v/>
      </c>
      <c r="DO247" s="46" t="str">
        <f t="shared" si="134"/>
        <v/>
      </c>
      <c r="DP247" s="46" t="str">
        <f t="shared" si="134"/>
        <v/>
      </c>
      <c r="DQ247" s="46" t="str">
        <f t="shared" si="134"/>
        <v/>
      </c>
      <c r="DR247" s="46" t="str">
        <f t="shared" si="134"/>
        <v/>
      </c>
      <c r="DS247" s="46" t="str">
        <f t="shared" si="134"/>
        <v/>
      </c>
      <c r="DT247" s="46" t="str">
        <f t="shared" si="134"/>
        <v/>
      </c>
      <c r="DU247" s="46" t="str">
        <f t="shared" si="134"/>
        <v/>
      </c>
      <c r="DV247" s="46" t="str">
        <f t="shared" si="134"/>
        <v/>
      </c>
      <c r="DW247" s="9"/>
      <c r="DX247" s="1"/>
    </row>
    <row r="248" spans="1:128" x14ac:dyDescent="0.25">
      <c r="A248" s="46"/>
      <c r="B248" s="46" t="str">
        <f t="shared" si="22"/>
        <v/>
      </c>
      <c r="C248" s="46" t="str">
        <f t="shared" ref="C248:BN248" si="135">IF(C55="X",$DK55,"")</f>
        <v/>
      </c>
      <c r="D248" s="46" t="str">
        <f t="shared" si="135"/>
        <v/>
      </c>
      <c r="E248" s="46" t="str">
        <f t="shared" si="135"/>
        <v/>
      </c>
      <c r="F248" s="46" t="str">
        <f t="shared" si="135"/>
        <v/>
      </c>
      <c r="G248" s="46" t="str">
        <f t="shared" si="135"/>
        <v/>
      </c>
      <c r="H248" s="46" t="str">
        <f t="shared" si="135"/>
        <v/>
      </c>
      <c r="I248" s="46" t="str">
        <f t="shared" si="135"/>
        <v/>
      </c>
      <c r="J248" s="46" t="str">
        <f t="shared" si="135"/>
        <v/>
      </c>
      <c r="K248" s="46" t="str">
        <f t="shared" si="135"/>
        <v/>
      </c>
      <c r="L248" s="46" t="str">
        <f t="shared" si="135"/>
        <v/>
      </c>
      <c r="M248" s="46" t="str">
        <f t="shared" si="135"/>
        <v/>
      </c>
      <c r="N248" s="46" t="str">
        <f t="shared" si="135"/>
        <v/>
      </c>
      <c r="O248" s="46" t="str">
        <f t="shared" si="135"/>
        <v/>
      </c>
      <c r="P248" s="46" t="str">
        <f t="shared" si="135"/>
        <v/>
      </c>
      <c r="Q248" s="46" t="str">
        <f t="shared" si="135"/>
        <v/>
      </c>
      <c r="R248" s="46" t="str">
        <f t="shared" si="135"/>
        <v/>
      </c>
      <c r="S248" s="46" t="str">
        <f t="shared" si="135"/>
        <v/>
      </c>
      <c r="T248" s="46" t="str">
        <f t="shared" si="135"/>
        <v/>
      </c>
      <c r="U248" s="46" t="str">
        <f t="shared" si="135"/>
        <v/>
      </c>
      <c r="V248" s="46" t="str">
        <f t="shared" si="135"/>
        <v/>
      </c>
      <c r="W248" s="46" t="str">
        <f t="shared" si="135"/>
        <v/>
      </c>
      <c r="X248" s="46" t="str">
        <f t="shared" si="135"/>
        <v/>
      </c>
      <c r="Y248" s="46" t="str">
        <f t="shared" si="135"/>
        <v/>
      </c>
      <c r="Z248" s="46" t="str">
        <f t="shared" si="135"/>
        <v/>
      </c>
      <c r="AA248" s="46" t="str">
        <f t="shared" si="135"/>
        <v/>
      </c>
      <c r="AB248" s="46" t="str">
        <f t="shared" si="135"/>
        <v/>
      </c>
      <c r="AC248" s="46" t="str">
        <f t="shared" si="135"/>
        <v/>
      </c>
      <c r="AD248" s="46" t="str">
        <f t="shared" si="135"/>
        <v/>
      </c>
      <c r="AE248" s="46" t="str">
        <f t="shared" si="135"/>
        <v/>
      </c>
      <c r="AF248" s="46" t="str">
        <f t="shared" si="135"/>
        <v/>
      </c>
      <c r="AG248" s="46" t="str">
        <f t="shared" si="135"/>
        <v/>
      </c>
      <c r="AH248" s="46" t="str">
        <f t="shared" si="135"/>
        <v/>
      </c>
      <c r="AI248" s="46" t="str">
        <f t="shared" si="135"/>
        <v/>
      </c>
      <c r="AJ248" s="46" t="str">
        <f t="shared" si="135"/>
        <v/>
      </c>
      <c r="AK248" s="46" t="str">
        <f t="shared" si="135"/>
        <v/>
      </c>
      <c r="AL248" s="46" t="str">
        <f t="shared" si="135"/>
        <v/>
      </c>
      <c r="AM248" s="46" t="str">
        <f t="shared" si="135"/>
        <v/>
      </c>
      <c r="AN248" s="46" t="str">
        <f t="shared" si="135"/>
        <v/>
      </c>
      <c r="AO248" s="46" t="str">
        <f t="shared" si="135"/>
        <v/>
      </c>
      <c r="AP248" s="46" t="str">
        <f t="shared" si="135"/>
        <v/>
      </c>
      <c r="AQ248" s="46" t="str">
        <f t="shared" si="135"/>
        <v/>
      </c>
      <c r="AR248" s="46" t="str">
        <f t="shared" si="135"/>
        <v/>
      </c>
      <c r="AS248" s="46" t="str">
        <f t="shared" si="135"/>
        <v/>
      </c>
      <c r="AT248" s="46" t="str">
        <f t="shared" si="135"/>
        <v/>
      </c>
      <c r="AU248" s="46" t="str">
        <f t="shared" si="135"/>
        <v/>
      </c>
      <c r="AV248" s="46" t="str">
        <f t="shared" si="135"/>
        <v/>
      </c>
      <c r="AW248" s="46" t="str">
        <f t="shared" si="135"/>
        <v/>
      </c>
      <c r="AX248" s="46" t="str">
        <f t="shared" si="135"/>
        <v/>
      </c>
      <c r="AY248" s="46" t="str">
        <f t="shared" si="135"/>
        <v/>
      </c>
      <c r="AZ248" s="46" t="str">
        <f t="shared" si="135"/>
        <v/>
      </c>
      <c r="BA248" s="46" t="str">
        <f t="shared" si="135"/>
        <v/>
      </c>
      <c r="BB248" s="46" t="str">
        <f t="shared" si="135"/>
        <v/>
      </c>
      <c r="BC248" s="46" t="str">
        <f t="shared" si="135"/>
        <v/>
      </c>
      <c r="BD248" s="46" t="str">
        <f t="shared" si="135"/>
        <v/>
      </c>
      <c r="BE248" s="46" t="str">
        <f t="shared" si="135"/>
        <v/>
      </c>
      <c r="BF248" s="46" t="str">
        <f t="shared" si="135"/>
        <v/>
      </c>
      <c r="BG248" s="46" t="str">
        <f t="shared" si="135"/>
        <v/>
      </c>
      <c r="BH248" s="46" t="str">
        <f t="shared" si="135"/>
        <v/>
      </c>
      <c r="BI248" s="46" t="str">
        <f t="shared" si="135"/>
        <v/>
      </c>
      <c r="BJ248" s="46" t="str">
        <f t="shared" si="135"/>
        <v/>
      </c>
      <c r="BK248" s="46" t="str">
        <f t="shared" si="135"/>
        <v/>
      </c>
      <c r="BL248" s="46" t="str">
        <f t="shared" si="135"/>
        <v/>
      </c>
      <c r="BM248" s="46" t="str">
        <f t="shared" si="135"/>
        <v/>
      </c>
      <c r="BN248" s="46" t="str">
        <f t="shared" si="135"/>
        <v/>
      </c>
      <c r="BO248" s="46" t="str">
        <f t="shared" ref="BO248:DH248" si="136">IF(BO55="X",$DK55,"")</f>
        <v/>
      </c>
      <c r="BP248" s="46" t="str">
        <f t="shared" si="136"/>
        <v/>
      </c>
      <c r="BQ248" s="46" t="str">
        <f t="shared" si="136"/>
        <v/>
      </c>
      <c r="BR248" s="46" t="str">
        <f t="shared" si="136"/>
        <v/>
      </c>
      <c r="BS248" s="46" t="str">
        <f t="shared" si="136"/>
        <v/>
      </c>
      <c r="BT248" s="46" t="str">
        <f t="shared" si="136"/>
        <v/>
      </c>
      <c r="BU248" s="46" t="str">
        <f t="shared" si="136"/>
        <v/>
      </c>
      <c r="BV248" s="46" t="str">
        <f t="shared" si="136"/>
        <v/>
      </c>
      <c r="BW248" s="46" t="str">
        <f t="shared" si="136"/>
        <v/>
      </c>
      <c r="BX248" s="46" t="str">
        <f t="shared" si="136"/>
        <v/>
      </c>
      <c r="BY248" s="46" t="str">
        <f t="shared" si="136"/>
        <v/>
      </c>
      <c r="BZ248" s="46">
        <f t="shared" si="136"/>
        <v>4</v>
      </c>
      <c r="CA248" s="46">
        <f t="shared" si="136"/>
        <v>4</v>
      </c>
      <c r="CB248" s="46">
        <f t="shared" si="136"/>
        <v>4</v>
      </c>
      <c r="CC248" s="46" t="str">
        <f t="shared" si="136"/>
        <v/>
      </c>
      <c r="CD248" s="46">
        <f t="shared" si="136"/>
        <v>4</v>
      </c>
      <c r="CE248" s="46" t="str">
        <f t="shared" si="136"/>
        <v/>
      </c>
      <c r="CF248" s="46" t="str">
        <f t="shared" si="136"/>
        <v/>
      </c>
      <c r="CG248" s="46" t="str">
        <f t="shared" si="136"/>
        <v/>
      </c>
      <c r="CH248" s="46" t="str">
        <f t="shared" si="136"/>
        <v/>
      </c>
      <c r="CI248" s="46" t="str">
        <f t="shared" si="136"/>
        <v/>
      </c>
      <c r="CJ248" s="46" t="str">
        <f t="shared" si="136"/>
        <v/>
      </c>
      <c r="CK248" s="46" t="str">
        <f t="shared" si="136"/>
        <v/>
      </c>
      <c r="CL248" s="46" t="str">
        <f t="shared" si="136"/>
        <v/>
      </c>
      <c r="CM248" s="46" t="str">
        <f t="shared" si="136"/>
        <v/>
      </c>
      <c r="CN248" s="46" t="str">
        <f t="shared" si="136"/>
        <v/>
      </c>
      <c r="CO248" s="46" t="str">
        <f t="shared" si="136"/>
        <v/>
      </c>
      <c r="CP248" s="46" t="str">
        <f t="shared" si="136"/>
        <v/>
      </c>
      <c r="CQ248" s="46" t="str">
        <f t="shared" si="136"/>
        <v/>
      </c>
      <c r="CR248" s="46" t="str">
        <f t="shared" si="136"/>
        <v/>
      </c>
      <c r="CS248" s="46" t="str">
        <f t="shared" si="136"/>
        <v/>
      </c>
      <c r="CT248" s="46" t="str">
        <f t="shared" si="136"/>
        <v/>
      </c>
      <c r="CU248" s="46">
        <f t="shared" si="136"/>
        <v>4</v>
      </c>
      <c r="CV248" s="46">
        <f t="shared" si="136"/>
        <v>4</v>
      </c>
      <c r="CW248" s="46">
        <f t="shared" si="136"/>
        <v>4</v>
      </c>
      <c r="CX248" s="46" t="str">
        <f t="shared" si="136"/>
        <v/>
      </c>
      <c r="CY248" s="46" t="str">
        <f t="shared" si="136"/>
        <v/>
      </c>
      <c r="CZ248" s="46" t="str">
        <f t="shared" si="136"/>
        <v/>
      </c>
      <c r="DA248" s="46" t="str">
        <f t="shared" si="136"/>
        <v/>
      </c>
      <c r="DB248" s="46" t="str">
        <f t="shared" si="136"/>
        <v/>
      </c>
      <c r="DC248" s="46" t="str">
        <f t="shared" si="136"/>
        <v/>
      </c>
      <c r="DD248" s="46" t="str">
        <f t="shared" si="136"/>
        <v/>
      </c>
      <c r="DE248" s="46" t="str">
        <f t="shared" si="136"/>
        <v/>
      </c>
      <c r="DF248" s="46" t="str">
        <f t="shared" si="136"/>
        <v/>
      </c>
      <c r="DG248" s="46" t="str">
        <f t="shared" si="136"/>
        <v/>
      </c>
      <c r="DH248" s="46" t="str">
        <f t="shared" si="136"/>
        <v/>
      </c>
      <c r="DI248" s="46" t="str">
        <f t="shared" ref="DI248:DV248" si="137">IF(DI56="X",$DZ56,"")</f>
        <v/>
      </c>
      <c r="DJ248" s="46" t="str">
        <f t="shared" si="137"/>
        <v/>
      </c>
      <c r="DK248" s="46" t="str">
        <f t="shared" si="137"/>
        <v/>
      </c>
      <c r="DL248" s="46" t="str">
        <f t="shared" si="137"/>
        <v/>
      </c>
      <c r="DM248" s="46" t="str">
        <f t="shared" si="137"/>
        <v/>
      </c>
      <c r="DN248" s="46" t="str">
        <f t="shared" si="137"/>
        <v/>
      </c>
      <c r="DO248" s="46" t="str">
        <f t="shared" si="137"/>
        <v/>
      </c>
      <c r="DP248" s="46" t="str">
        <f t="shared" si="137"/>
        <v/>
      </c>
      <c r="DQ248" s="46" t="str">
        <f t="shared" si="137"/>
        <v/>
      </c>
      <c r="DR248" s="46" t="str">
        <f t="shared" si="137"/>
        <v/>
      </c>
      <c r="DS248" s="46" t="str">
        <f t="shared" si="137"/>
        <v/>
      </c>
      <c r="DT248" s="46" t="str">
        <f t="shared" si="137"/>
        <v/>
      </c>
      <c r="DU248" s="46" t="str">
        <f t="shared" si="137"/>
        <v/>
      </c>
      <c r="DV248" s="46" t="str">
        <f t="shared" si="137"/>
        <v/>
      </c>
      <c r="DW248" s="9"/>
      <c r="DX248" s="1"/>
    </row>
    <row r="249" spans="1:128" x14ac:dyDescent="0.25">
      <c r="A249" s="46"/>
      <c r="B249" s="46" t="str">
        <f t="shared" si="22"/>
        <v/>
      </c>
      <c r="C249" s="46" t="str">
        <f t="shared" ref="C249:BN249" si="138">IF(C56="X",$DK56,"")</f>
        <v/>
      </c>
      <c r="D249" s="46" t="str">
        <f t="shared" si="138"/>
        <v/>
      </c>
      <c r="E249" s="46" t="str">
        <f t="shared" si="138"/>
        <v/>
      </c>
      <c r="F249" s="46" t="str">
        <f t="shared" si="138"/>
        <v/>
      </c>
      <c r="G249" s="46" t="str">
        <f t="shared" si="138"/>
        <v/>
      </c>
      <c r="H249" s="46" t="str">
        <f t="shared" si="138"/>
        <v/>
      </c>
      <c r="I249" s="46" t="str">
        <f t="shared" si="138"/>
        <v/>
      </c>
      <c r="J249" s="46" t="str">
        <f t="shared" si="138"/>
        <v/>
      </c>
      <c r="K249" s="46" t="str">
        <f t="shared" si="138"/>
        <v/>
      </c>
      <c r="L249" s="46" t="str">
        <f t="shared" si="138"/>
        <v/>
      </c>
      <c r="M249" s="46" t="str">
        <f t="shared" si="138"/>
        <v/>
      </c>
      <c r="N249" s="46" t="str">
        <f t="shared" si="138"/>
        <v/>
      </c>
      <c r="O249" s="46" t="str">
        <f t="shared" si="138"/>
        <v/>
      </c>
      <c r="P249" s="46" t="str">
        <f t="shared" si="138"/>
        <v/>
      </c>
      <c r="Q249" s="46" t="str">
        <f t="shared" si="138"/>
        <v/>
      </c>
      <c r="R249" s="46" t="str">
        <f t="shared" si="138"/>
        <v/>
      </c>
      <c r="S249" s="46" t="str">
        <f t="shared" si="138"/>
        <v/>
      </c>
      <c r="T249" s="46" t="str">
        <f t="shared" si="138"/>
        <v/>
      </c>
      <c r="U249" s="46" t="str">
        <f t="shared" si="138"/>
        <v/>
      </c>
      <c r="V249" s="46" t="str">
        <f t="shared" si="138"/>
        <v/>
      </c>
      <c r="W249" s="46" t="str">
        <f t="shared" si="138"/>
        <v/>
      </c>
      <c r="X249" s="46" t="str">
        <f t="shared" si="138"/>
        <v/>
      </c>
      <c r="Y249" s="46" t="str">
        <f t="shared" si="138"/>
        <v/>
      </c>
      <c r="Z249" s="46" t="str">
        <f t="shared" si="138"/>
        <v/>
      </c>
      <c r="AA249" s="46">
        <f t="shared" si="138"/>
        <v>8</v>
      </c>
      <c r="AB249" s="46" t="str">
        <f t="shared" si="138"/>
        <v/>
      </c>
      <c r="AC249" s="46" t="str">
        <f t="shared" si="138"/>
        <v/>
      </c>
      <c r="AD249" s="46" t="str">
        <f t="shared" si="138"/>
        <v/>
      </c>
      <c r="AE249" s="46" t="str">
        <f t="shared" si="138"/>
        <v/>
      </c>
      <c r="AF249" s="46" t="str">
        <f t="shared" si="138"/>
        <v/>
      </c>
      <c r="AG249" s="46" t="str">
        <f t="shared" si="138"/>
        <v/>
      </c>
      <c r="AH249" s="46" t="str">
        <f t="shared" si="138"/>
        <v/>
      </c>
      <c r="AI249" s="46" t="str">
        <f t="shared" si="138"/>
        <v/>
      </c>
      <c r="AJ249" s="46" t="str">
        <f t="shared" si="138"/>
        <v/>
      </c>
      <c r="AK249" s="46" t="str">
        <f t="shared" si="138"/>
        <v/>
      </c>
      <c r="AL249" s="46" t="str">
        <f t="shared" si="138"/>
        <v/>
      </c>
      <c r="AM249" s="46" t="str">
        <f t="shared" si="138"/>
        <v/>
      </c>
      <c r="AN249" s="46" t="str">
        <f t="shared" si="138"/>
        <v/>
      </c>
      <c r="AO249" s="46" t="str">
        <f t="shared" si="138"/>
        <v/>
      </c>
      <c r="AP249" s="46" t="str">
        <f t="shared" si="138"/>
        <v/>
      </c>
      <c r="AQ249" s="46" t="str">
        <f t="shared" si="138"/>
        <v/>
      </c>
      <c r="AR249" s="46" t="str">
        <f t="shared" si="138"/>
        <v/>
      </c>
      <c r="AS249" s="46" t="str">
        <f t="shared" si="138"/>
        <v/>
      </c>
      <c r="AT249" s="46" t="str">
        <f t="shared" si="138"/>
        <v/>
      </c>
      <c r="AU249" s="46" t="str">
        <f t="shared" si="138"/>
        <v/>
      </c>
      <c r="AV249" s="46" t="str">
        <f t="shared" si="138"/>
        <v/>
      </c>
      <c r="AW249" s="46" t="str">
        <f t="shared" si="138"/>
        <v/>
      </c>
      <c r="AX249" s="46" t="str">
        <f t="shared" si="138"/>
        <v/>
      </c>
      <c r="AY249" s="46" t="str">
        <f t="shared" si="138"/>
        <v/>
      </c>
      <c r="AZ249" s="46" t="str">
        <f t="shared" si="138"/>
        <v/>
      </c>
      <c r="BA249" s="46" t="str">
        <f t="shared" si="138"/>
        <v/>
      </c>
      <c r="BB249" s="46" t="str">
        <f t="shared" si="138"/>
        <v/>
      </c>
      <c r="BC249" s="46" t="str">
        <f t="shared" si="138"/>
        <v/>
      </c>
      <c r="BD249" s="46" t="str">
        <f t="shared" si="138"/>
        <v/>
      </c>
      <c r="BE249" s="46" t="str">
        <f t="shared" si="138"/>
        <v/>
      </c>
      <c r="BF249" s="46" t="str">
        <f t="shared" si="138"/>
        <v/>
      </c>
      <c r="BG249" s="46" t="str">
        <f t="shared" si="138"/>
        <v/>
      </c>
      <c r="BH249" s="46" t="str">
        <f t="shared" si="138"/>
        <v/>
      </c>
      <c r="BI249" s="46" t="str">
        <f t="shared" si="138"/>
        <v/>
      </c>
      <c r="BJ249" s="46" t="str">
        <f t="shared" si="138"/>
        <v/>
      </c>
      <c r="BK249" s="46">
        <f t="shared" si="138"/>
        <v>8</v>
      </c>
      <c r="BL249" s="46" t="str">
        <f t="shared" si="138"/>
        <v/>
      </c>
      <c r="BM249" s="46" t="str">
        <f t="shared" si="138"/>
        <v/>
      </c>
      <c r="BN249" s="46" t="str">
        <f t="shared" si="138"/>
        <v/>
      </c>
      <c r="BO249" s="46" t="str">
        <f t="shared" ref="BO249:DH249" si="139">IF(BO56="X",$DK56,"")</f>
        <v/>
      </c>
      <c r="BP249" s="46" t="str">
        <f t="shared" si="139"/>
        <v/>
      </c>
      <c r="BQ249" s="46" t="str">
        <f t="shared" si="139"/>
        <v/>
      </c>
      <c r="BR249" s="46" t="str">
        <f t="shared" si="139"/>
        <v/>
      </c>
      <c r="BS249" s="46" t="str">
        <f t="shared" si="139"/>
        <v/>
      </c>
      <c r="BT249" s="46" t="str">
        <f t="shared" si="139"/>
        <v/>
      </c>
      <c r="BU249" s="46" t="str">
        <f t="shared" si="139"/>
        <v/>
      </c>
      <c r="BV249" s="46" t="str">
        <f t="shared" si="139"/>
        <v/>
      </c>
      <c r="BW249" s="46" t="str">
        <f t="shared" si="139"/>
        <v/>
      </c>
      <c r="BX249" s="46" t="str">
        <f t="shared" si="139"/>
        <v/>
      </c>
      <c r="BY249" s="46" t="str">
        <f t="shared" si="139"/>
        <v/>
      </c>
      <c r="BZ249" s="46" t="str">
        <f t="shared" si="139"/>
        <v/>
      </c>
      <c r="CA249" s="46" t="str">
        <f t="shared" si="139"/>
        <v/>
      </c>
      <c r="CB249" s="46" t="str">
        <f t="shared" si="139"/>
        <v/>
      </c>
      <c r="CC249" s="46" t="str">
        <f t="shared" si="139"/>
        <v/>
      </c>
      <c r="CD249" s="46" t="str">
        <f t="shared" si="139"/>
        <v/>
      </c>
      <c r="CE249" s="46" t="str">
        <f t="shared" si="139"/>
        <v/>
      </c>
      <c r="CF249" s="46" t="str">
        <f t="shared" si="139"/>
        <v/>
      </c>
      <c r="CG249" s="46" t="str">
        <f t="shared" si="139"/>
        <v/>
      </c>
      <c r="CH249" s="46" t="str">
        <f t="shared" si="139"/>
        <v/>
      </c>
      <c r="CI249" s="46" t="str">
        <f t="shared" si="139"/>
        <v/>
      </c>
      <c r="CJ249" s="46" t="str">
        <f t="shared" si="139"/>
        <v/>
      </c>
      <c r="CK249" s="46" t="str">
        <f t="shared" si="139"/>
        <v/>
      </c>
      <c r="CL249" s="46" t="str">
        <f t="shared" si="139"/>
        <v/>
      </c>
      <c r="CM249" s="46" t="str">
        <f t="shared" si="139"/>
        <v/>
      </c>
      <c r="CN249" s="46" t="str">
        <f t="shared" si="139"/>
        <v/>
      </c>
      <c r="CO249" s="46" t="str">
        <f t="shared" si="139"/>
        <v/>
      </c>
      <c r="CP249" s="46" t="str">
        <f t="shared" si="139"/>
        <v/>
      </c>
      <c r="CQ249" s="46" t="str">
        <f t="shared" si="139"/>
        <v/>
      </c>
      <c r="CR249" s="46">
        <f t="shared" si="139"/>
        <v>8</v>
      </c>
      <c r="CS249" s="46" t="str">
        <f t="shared" si="139"/>
        <v/>
      </c>
      <c r="CT249" s="46" t="str">
        <f t="shared" si="139"/>
        <v/>
      </c>
      <c r="CU249" s="46" t="str">
        <f t="shared" si="139"/>
        <v/>
      </c>
      <c r="CV249" s="46" t="str">
        <f t="shared" si="139"/>
        <v/>
      </c>
      <c r="CW249" s="46" t="str">
        <f t="shared" si="139"/>
        <v/>
      </c>
      <c r="CX249" s="46" t="str">
        <f t="shared" si="139"/>
        <v/>
      </c>
      <c r="CY249" s="46">
        <f t="shared" si="139"/>
        <v>8</v>
      </c>
      <c r="CZ249" s="46" t="str">
        <f t="shared" si="139"/>
        <v/>
      </c>
      <c r="DA249" s="46" t="str">
        <f t="shared" si="139"/>
        <v/>
      </c>
      <c r="DB249" s="46" t="str">
        <f t="shared" si="139"/>
        <v/>
      </c>
      <c r="DC249" s="46" t="str">
        <f t="shared" si="139"/>
        <v/>
      </c>
      <c r="DD249" s="46" t="str">
        <f t="shared" si="139"/>
        <v/>
      </c>
      <c r="DE249" s="46" t="str">
        <f t="shared" si="139"/>
        <v/>
      </c>
      <c r="DF249" s="46" t="str">
        <f t="shared" si="139"/>
        <v/>
      </c>
      <c r="DG249" s="46" t="str">
        <f t="shared" si="139"/>
        <v/>
      </c>
      <c r="DH249" s="46" t="str">
        <f t="shared" si="139"/>
        <v/>
      </c>
      <c r="DI249" s="46" t="str">
        <f t="shared" ref="DI249:DV249" si="140">IF(DI57="X",$DZ57,"")</f>
        <v/>
      </c>
      <c r="DJ249" s="46" t="str">
        <f t="shared" si="140"/>
        <v/>
      </c>
      <c r="DK249" s="46" t="str">
        <f t="shared" si="140"/>
        <v/>
      </c>
      <c r="DL249" s="46" t="str">
        <f t="shared" si="140"/>
        <v/>
      </c>
      <c r="DM249" s="46" t="str">
        <f t="shared" si="140"/>
        <v/>
      </c>
      <c r="DN249" s="46" t="str">
        <f t="shared" si="140"/>
        <v/>
      </c>
      <c r="DO249" s="46" t="str">
        <f t="shared" si="140"/>
        <v/>
      </c>
      <c r="DP249" s="46" t="str">
        <f t="shared" si="140"/>
        <v/>
      </c>
      <c r="DQ249" s="46" t="str">
        <f t="shared" si="140"/>
        <v/>
      </c>
      <c r="DR249" s="46" t="str">
        <f t="shared" si="140"/>
        <v/>
      </c>
      <c r="DS249" s="46" t="str">
        <f t="shared" si="140"/>
        <v/>
      </c>
      <c r="DT249" s="46" t="str">
        <f t="shared" si="140"/>
        <v/>
      </c>
      <c r="DU249" s="46" t="str">
        <f t="shared" si="140"/>
        <v/>
      </c>
      <c r="DV249" s="46" t="str">
        <f t="shared" si="140"/>
        <v/>
      </c>
      <c r="DW249" s="9"/>
      <c r="DX249" s="1"/>
    </row>
    <row r="250" spans="1:128" x14ac:dyDescent="0.25">
      <c r="A250" s="46"/>
      <c r="B250" s="46" t="str">
        <f t="shared" si="22"/>
        <v/>
      </c>
      <c r="C250" s="46" t="str">
        <f t="shared" ref="C250:BN250" si="141">IF(C57="X",$DK57,"")</f>
        <v/>
      </c>
      <c r="D250" s="46" t="str">
        <f t="shared" si="141"/>
        <v/>
      </c>
      <c r="E250" s="46" t="str">
        <f t="shared" si="141"/>
        <v/>
      </c>
      <c r="F250" s="46" t="str">
        <f t="shared" si="141"/>
        <v/>
      </c>
      <c r="G250" s="46" t="str">
        <f t="shared" si="141"/>
        <v/>
      </c>
      <c r="H250" s="46" t="str">
        <f t="shared" si="141"/>
        <v/>
      </c>
      <c r="I250" s="46" t="str">
        <f t="shared" si="141"/>
        <v/>
      </c>
      <c r="J250" s="46" t="str">
        <f t="shared" si="141"/>
        <v/>
      </c>
      <c r="K250" s="46" t="str">
        <f t="shared" si="141"/>
        <v/>
      </c>
      <c r="L250" s="46" t="str">
        <f t="shared" si="141"/>
        <v/>
      </c>
      <c r="M250" s="46" t="str">
        <f t="shared" si="141"/>
        <v/>
      </c>
      <c r="N250" s="46" t="str">
        <f t="shared" si="141"/>
        <v/>
      </c>
      <c r="O250" s="46" t="str">
        <f t="shared" si="141"/>
        <v/>
      </c>
      <c r="P250" s="46" t="str">
        <f t="shared" si="141"/>
        <v/>
      </c>
      <c r="Q250" s="46" t="str">
        <f t="shared" si="141"/>
        <v/>
      </c>
      <c r="R250" s="46">
        <f t="shared" si="141"/>
        <v>4</v>
      </c>
      <c r="S250" s="46" t="str">
        <f t="shared" si="141"/>
        <v/>
      </c>
      <c r="T250" s="46" t="str">
        <f t="shared" si="141"/>
        <v/>
      </c>
      <c r="U250" s="46" t="str">
        <f t="shared" si="141"/>
        <v/>
      </c>
      <c r="V250" s="46" t="str">
        <f t="shared" si="141"/>
        <v/>
      </c>
      <c r="W250" s="46" t="str">
        <f t="shared" si="141"/>
        <v/>
      </c>
      <c r="X250" s="46" t="str">
        <f t="shared" si="141"/>
        <v/>
      </c>
      <c r="Y250" s="46" t="str">
        <f t="shared" si="141"/>
        <v/>
      </c>
      <c r="Z250" s="46" t="str">
        <f t="shared" si="141"/>
        <v/>
      </c>
      <c r="AA250" s="46" t="str">
        <f t="shared" si="141"/>
        <v/>
      </c>
      <c r="AB250" s="46" t="str">
        <f t="shared" si="141"/>
        <v/>
      </c>
      <c r="AC250" s="46" t="str">
        <f t="shared" si="141"/>
        <v/>
      </c>
      <c r="AD250" s="46" t="str">
        <f t="shared" si="141"/>
        <v/>
      </c>
      <c r="AE250" s="46" t="str">
        <f t="shared" si="141"/>
        <v/>
      </c>
      <c r="AF250" s="46" t="str">
        <f t="shared" si="141"/>
        <v/>
      </c>
      <c r="AG250" s="46" t="str">
        <f t="shared" si="141"/>
        <v/>
      </c>
      <c r="AH250" s="46" t="str">
        <f t="shared" si="141"/>
        <v/>
      </c>
      <c r="AI250" s="46" t="str">
        <f t="shared" si="141"/>
        <v/>
      </c>
      <c r="AJ250" s="46" t="str">
        <f t="shared" si="141"/>
        <v/>
      </c>
      <c r="AK250" s="46" t="str">
        <f t="shared" si="141"/>
        <v/>
      </c>
      <c r="AL250" s="46" t="str">
        <f t="shared" si="141"/>
        <v/>
      </c>
      <c r="AM250" s="46" t="str">
        <f t="shared" si="141"/>
        <v/>
      </c>
      <c r="AN250" s="46" t="str">
        <f t="shared" si="141"/>
        <v/>
      </c>
      <c r="AO250" s="46" t="str">
        <f t="shared" si="141"/>
        <v/>
      </c>
      <c r="AP250" s="46" t="str">
        <f t="shared" si="141"/>
        <v/>
      </c>
      <c r="AQ250" s="46" t="str">
        <f t="shared" si="141"/>
        <v/>
      </c>
      <c r="AR250" s="46" t="str">
        <f t="shared" si="141"/>
        <v/>
      </c>
      <c r="AS250" s="46" t="str">
        <f t="shared" si="141"/>
        <v/>
      </c>
      <c r="AT250" s="46" t="str">
        <f t="shared" si="141"/>
        <v/>
      </c>
      <c r="AU250" s="46" t="str">
        <f t="shared" si="141"/>
        <v/>
      </c>
      <c r="AV250" s="46" t="str">
        <f t="shared" si="141"/>
        <v/>
      </c>
      <c r="AW250" s="46" t="str">
        <f t="shared" si="141"/>
        <v/>
      </c>
      <c r="AX250" s="46" t="str">
        <f t="shared" si="141"/>
        <v/>
      </c>
      <c r="AY250" s="46" t="str">
        <f t="shared" si="141"/>
        <v/>
      </c>
      <c r="AZ250" s="46" t="str">
        <f t="shared" si="141"/>
        <v/>
      </c>
      <c r="BA250" s="46" t="str">
        <f t="shared" si="141"/>
        <v/>
      </c>
      <c r="BB250" s="46" t="str">
        <f t="shared" si="141"/>
        <v/>
      </c>
      <c r="BC250" s="46" t="str">
        <f t="shared" si="141"/>
        <v/>
      </c>
      <c r="BD250" s="46" t="str">
        <f t="shared" si="141"/>
        <v/>
      </c>
      <c r="BE250" s="46" t="str">
        <f t="shared" si="141"/>
        <v/>
      </c>
      <c r="BF250" s="46" t="str">
        <f t="shared" si="141"/>
        <v/>
      </c>
      <c r="BG250" s="46" t="str">
        <f t="shared" si="141"/>
        <v/>
      </c>
      <c r="BH250" s="46" t="str">
        <f t="shared" si="141"/>
        <v/>
      </c>
      <c r="BI250" s="46" t="str">
        <f t="shared" si="141"/>
        <v/>
      </c>
      <c r="BJ250" s="46" t="str">
        <f t="shared" si="141"/>
        <v/>
      </c>
      <c r="BK250" s="46" t="str">
        <f t="shared" si="141"/>
        <v/>
      </c>
      <c r="BL250" s="46" t="str">
        <f t="shared" si="141"/>
        <v/>
      </c>
      <c r="BM250" s="46" t="str">
        <f t="shared" si="141"/>
        <v/>
      </c>
      <c r="BN250" s="46" t="str">
        <f t="shared" si="141"/>
        <v/>
      </c>
      <c r="BO250" s="46" t="str">
        <f t="shared" ref="BO250:DH250" si="142">IF(BO57="X",$DK57,"")</f>
        <v/>
      </c>
      <c r="BP250" s="46" t="str">
        <f t="shared" si="142"/>
        <v/>
      </c>
      <c r="BQ250" s="46" t="str">
        <f t="shared" si="142"/>
        <v/>
      </c>
      <c r="BR250" s="46" t="str">
        <f t="shared" si="142"/>
        <v/>
      </c>
      <c r="BS250" s="46" t="str">
        <f t="shared" si="142"/>
        <v/>
      </c>
      <c r="BT250" s="46" t="str">
        <f t="shared" si="142"/>
        <v/>
      </c>
      <c r="BU250" s="46" t="str">
        <f t="shared" si="142"/>
        <v/>
      </c>
      <c r="BV250" s="46" t="str">
        <f t="shared" si="142"/>
        <v/>
      </c>
      <c r="BW250" s="46" t="str">
        <f t="shared" si="142"/>
        <v/>
      </c>
      <c r="BX250" s="46" t="str">
        <f t="shared" si="142"/>
        <v/>
      </c>
      <c r="BY250" s="46" t="str">
        <f t="shared" si="142"/>
        <v/>
      </c>
      <c r="BZ250" s="46" t="str">
        <f t="shared" si="142"/>
        <v/>
      </c>
      <c r="CA250" s="46" t="str">
        <f t="shared" si="142"/>
        <v/>
      </c>
      <c r="CB250" s="46" t="str">
        <f t="shared" si="142"/>
        <v/>
      </c>
      <c r="CC250" s="46" t="str">
        <f t="shared" si="142"/>
        <v/>
      </c>
      <c r="CD250" s="46" t="str">
        <f t="shared" si="142"/>
        <v/>
      </c>
      <c r="CE250" s="46" t="str">
        <f t="shared" si="142"/>
        <v/>
      </c>
      <c r="CF250" s="46" t="str">
        <f t="shared" si="142"/>
        <v/>
      </c>
      <c r="CG250" s="46" t="str">
        <f t="shared" si="142"/>
        <v/>
      </c>
      <c r="CH250" s="46" t="str">
        <f t="shared" si="142"/>
        <v/>
      </c>
      <c r="CI250" s="46" t="str">
        <f t="shared" si="142"/>
        <v/>
      </c>
      <c r="CJ250" s="46" t="str">
        <f t="shared" si="142"/>
        <v/>
      </c>
      <c r="CK250" s="46">
        <f t="shared" si="142"/>
        <v>4</v>
      </c>
      <c r="CL250" s="46" t="str">
        <f t="shared" si="142"/>
        <v/>
      </c>
      <c r="CM250" s="46" t="str">
        <f t="shared" si="142"/>
        <v/>
      </c>
      <c r="CN250" s="46" t="str">
        <f t="shared" si="142"/>
        <v/>
      </c>
      <c r="CO250" s="46" t="str">
        <f t="shared" si="142"/>
        <v/>
      </c>
      <c r="CP250" s="46" t="str">
        <f t="shared" si="142"/>
        <v/>
      </c>
      <c r="CQ250" s="46" t="str">
        <f t="shared" si="142"/>
        <v/>
      </c>
      <c r="CR250" s="46" t="str">
        <f t="shared" si="142"/>
        <v/>
      </c>
      <c r="CS250" s="46" t="str">
        <f t="shared" si="142"/>
        <v/>
      </c>
      <c r="CT250" s="46" t="str">
        <f t="shared" si="142"/>
        <v/>
      </c>
      <c r="CU250" s="46" t="str">
        <f t="shared" si="142"/>
        <v/>
      </c>
      <c r="CV250" s="46" t="str">
        <f t="shared" si="142"/>
        <v/>
      </c>
      <c r="CW250" s="46" t="str">
        <f t="shared" si="142"/>
        <v/>
      </c>
      <c r="CX250" s="46" t="str">
        <f t="shared" si="142"/>
        <v/>
      </c>
      <c r="CY250" s="46" t="str">
        <f t="shared" si="142"/>
        <v/>
      </c>
      <c r="CZ250" s="46" t="str">
        <f t="shared" si="142"/>
        <v/>
      </c>
      <c r="DA250" s="46" t="str">
        <f t="shared" si="142"/>
        <v/>
      </c>
      <c r="DB250" s="46" t="str">
        <f t="shared" si="142"/>
        <v/>
      </c>
      <c r="DC250" s="46" t="str">
        <f t="shared" si="142"/>
        <v/>
      </c>
      <c r="DD250" s="46" t="str">
        <f t="shared" si="142"/>
        <v/>
      </c>
      <c r="DE250" s="46" t="str">
        <f t="shared" si="142"/>
        <v/>
      </c>
      <c r="DF250" s="46" t="str">
        <f t="shared" si="142"/>
        <v/>
      </c>
      <c r="DG250" s="46" t="str">
        <f t="shared" si="142"/>
        <v/>
      </c>
      <c r="DH250" s="46" t="str">
        <f t="shared" si="142"/>
        <v/>
      </c>
      <c r="DI250" s="46" t="str">
        <f t="shared" ref="DI250:DV250" si="143">IF(DI58="X",$DZ58,"")</f>
        <v/>
      </c>
      <c r="DJ250" s="46" t="str">
        <f t="shared" si="143"/>
        <v/>
      </c>
      <c r="DK250" s="46" t="str">
        <f t="shared" si="143"/>
        <v/>
      </c>
      <c r="DL250" s="46" t="str">
        <f t="shared" si="143"/>
        <v/>
      </c>
      <c r="DM250" s="46" t="str">
        <f t="shared" si="143"/>
        <v/>
      </c>
      <c r="DN250" s="46" t="str">
        <f t="shared" si="143"/>
        <v/>
      </c>
      <c r="DO250" s="46" t="str">
        <f t="shared" si="143"/>
        <v/>
      </c>
      <c r="DP250" s="46" t="str">
        <f t="shared" si="143"/>
        <v/>
      </c>
      <c r="DQ250" s="46" t="str">
        <f t="shared" si="143"/>
        <v/>
      </c>
      <c r="DR250" s="46" t="str">
        <f t="shared" si="143"/>
        <v/>
      </c>
      <c r="DS250" s="46" t="str">
        <f t="shared" si="143"/>
        <v/>
      </c>
      <c r="DT250" s="46" t="str">
        <f t="shared" si="143"/>
        <v/>
      </c>
      <c r="DU250" s="46" t="str">
        <f t="shared" si="143"/>
        <v/>
      </c>
      <c r="DV250" s="46" t="str">
        <f t="shared" si="143"/>
        <v/>
      </c>
      <c r="DW250" s="9"/>
      <c r="DX250" s="1"/>
    </row>
    <row r="251" spans="1:128" x14ac:dyDescent="0.25">
      <c r="A251" s="46"/>
      <c r="B251" s="46" t="str">
        <f t="shared" si="22"/>
        <v/>
      </c>
      <c r="C251" s="46" t="str">
        <f t="shared" ref="C251:BN251" si="144">IF(C58="X",$DK58,"")</f>
        <v/>
      </c>
      <c r="D251" s="46" t="str">
        <f t="shared" si="144"/>
        <v/>
      </c>
      <c r="E251" s="46" t="str">
        <f t="shared" si="144"/>
        <v/>
      </c>
      <c r="F251" s="46" t="str">
        <f t="shared" si="144"/>
        <v/>
      </c>
      <c r="G251" s="46" t="str">
        <f t="shared" si="144"/>
        <v/>
      </c>
      <c r="H251" s="46" t="str">
        <f t="shared" si="144"/>
        <v/>
      </c>
      <c r="I251" s="46" t="str">
        <f t="shared" si="144"/>
        <v/>
      </c>
      <c r="J251" s="46" t="str">
        <f t="shared" si="144"/>
        <v/>
      </c>
      <c r="K251" s="46" t="str">
        <f t="shared" si="144"/>
        <v/>
      </c>
      <c r="L251" s="46" t="str">
        <f t="shared" si="144"/>
        <v/>
      </c>
      <c r="M251" s="46" t="str">
        <f t="shared" si="144"/>
        <v/>
      </c>
      <c r="N251" s="46" t="str">
        <f t="shared" si="144"/>
        <v/>
      </c>
      <c r="O251" s="46" t="str">
        <f t="shared" si="144"/>
        <v/>
      </c>
      <c r="P251" s="46" t="str">
        <f t="shared" si="144"/>
        <v/>
      </c>
      <c r="Q251" s="46" t="str">
        <f t="shared" si="144"/>
        <v/>
      </c>
      <c r="R251" s="46" t="str">
        <f t="shared" si="144"/>
        <v/>
      </c>
      <c r="S251" s="46" t="str">
        <f t="shared" si="144"/>
        <v/>
      </c>
      <c r="T251" s="46" t="str">
        <f t="shared" si="144"/>
        <v/>
      </c>
      <c r="U251" s="46" t="str">
        <f t="shared" si="144"/>
        <v/>
      </c>
      <c r="V251" s="46" t="str">
        <f t="shared" si="144"/>
        <v/>
      </c>
      <c r="W251" s="46" t="str">
        <f t="shared" si="144"/>
        <v/>
      </c>
      <c r="X251" s="46" t="str">
        <f t="shared" si="144"/>
        <v/>
      </c>
      <c r="Y251" s="46" t="str">
        <f t="shared" si="144"/>
        <v/>
      </c>
      <c r="Z251" s="46" t="str">
        <f t="shared" si="144"/>
        <v/>
      </c>
      <c r="AA251" s="46" t="str">
        <f t="shared" si="144"/>
        <v/>
      </c>
      <c r="AB251" s="46" t="str">
        <f t="shared" si="144"/>
        <v/>
      </c>
      <c r="AC251" s="46" t="str">
        <f t="shared" si="144"/>
        <v/>
      </c>
      <c r="AD251" s="46" t="str">
        <f t="shared" si="144"/>
        <v/>
      </c>
      <c r="AE251" s="46" t="str">
        <f t="shared" si="144"/>
        <v/>
      </c>
      <c r="AF251" s="46" t="str">
        <f t="shared" si="144"/>
        <v/>
      </c>
      <c r="AG251" s="46" t="str">
        <f t="shared" si="144"/>
        <v/>
      </c>
      <c r="AH251" s="46" t="str">
        <f t="shared" si="144"/>
        <v/>
      </c>
      <c r="AI251" s="46" t="str">
        <f t="shared" si="144"/>
        <v/>
      </c>
      <c r="AJ251" s="46" t="str">
        <f t="shared" si="144"/>
        <v/>
      </c>
      <c r="AK251" s="46" t="str">
        <f t="shared" si="144"/>
        <v/>
      </c>
      <c r="AL251" s="46" t="str">
        <f t="shared" si="144"/>
        <v/>
      </c>
      <c r="AM251" s="46" t="str">
        <f t="shared" si="144"/>
        <v/>
      </c>
      <c r="AN251" s="46" t="str">
        <f t="shared" si="144"/>
        <v/>
      </c>
      <c r="AO251" s="46" t="str">
        <f t="shared" si="144"/>
        <v/>
      </c>
      <c r="AP251" s="46" t="str">
        <f t="shared" si="144"/>
        <v/>
      </c>
      <c r="AQ251" s="46" t="str">
        <f t="shared" si="144"/>
        <v/>
      </c>
      <c r="AR251" s="46" t="str">
        <f t="shared" si="144"/>
        <v/>
      </c>
      <c r="AS251" s="46" t="str">
        <f t="shared" si="144"/>
        <v/>
      </c>
      <c r="AT251" s="46" t="str">
        <f t="shared" si="144"/>
        <v/>
      </c>
      <c r="AU251" s="46" t="str">
        <f t="shared" si="144"/>
        <v/>
      </c>
      <c r="AV251" s="46" t="str">
        <f t="shared" si="144"/>
        <v/>
      </c>
      <c r="AW251" s="46" t="str">
        <f t="shared" si="144"/>
        <v/>
      </c>
      <c r="AX251" s="46" t="str">
        <f t="shared" si="144"/>
        <v/>
      </c>
      <c r="AY251" s="46" t="str">
        <f t="shared" si="144"/>
        <v/>
      </c>
      <c r="AZ251" s="46" t="str">
        <f t="shared" si="144"/>
        <v/>
      </c>
      <c r="BA251" s="46" t="str">
        <f t="shared" si="144"/>
        <v/>
      </c>
      <c r="BB251" s="46" t="str">
        <f t="shared" si="144"/>
        <v/>
      </c>
      <c r="BC251" s="46" t="str">
        <f t="shared" si="144"/>
        <v/>
      </c>
      <c r="BD251" s="46" t="str">
        <f t="shared" si="144"/>
        <v/>
      </c>
      <c r="BE251" s="46" t="str">
        <f t="shared" si="144"/>
        <v/>
      </c>
      <c r="BF251" s="46" t="str">
        <f t="shared" si="144"/>
        <v/>
      </c>
      <c r="BG251" s="46" t="str">
        <f t="shared" si="144"/>
        <v/>
      </c>
      <c r="BH251" s="46" t="str">
        <f t="shared" si="144"/>
        <v/>
      </c>
      <c r="BI251" s="46" t="str">
        <f t="shared" si="144"/>
        <v/>
      </c>
      <c r="BJ251" s="46" t="str">
        <f t="shared" si="144"/>
        <v/>
      </c>
      <c r="BK251" s="46">
        <f t="shared" si="144"/>
        <v>4</v>
      </c>
      <c r="BL251" s="46" t="str">
        <f t="shared" si="144"/>
        <v/>
      </c>
      <c r="BM251" s="46" t="str">
        <f t="shared" si="144"/>
        <v/>
      </c>
      <c r="BN251" s="46" t="str">
        <f t="shared" si="144"/>
        <v/>
      </c>
      <c r="BO251" s="46" t="str">
        <f t="shared" ref="BO251:DH251" si="145">IF(BO58="X",$DK58,"")</f>
        <v/>
      </c>
      <c r="BP251" s="46">
        <f t="shared" si="145"/>
        <v>4</v>
      </c>
      <c r="BQ251" s="46">
        <f t="shared" si="145"/>
        <v>4</v>
      </c>
      <c r="BR251" s="46" t="str">
        <f t="shared" si="145"/>
        <v/>
      </c>
      <c r="BS251" s="46">
        <f t="shared" si="145"/>
        <v>4</v>
      </c>
      <c r="BT251" s="46" t="str">
        <f t="shared" si="145"/>
        <v/>
      </c>
      <c r="BU251" s="46" t="str">
        <f t="shared" si="145"/>
        <v/>
      </c>
      <c r="BV251" s="46" t="str">
        <f t="shared" si="145"/>
        <v/>
      </c>
      <c r="BW251" s="46" t="str">
        <f t="shared" si="145"/>
        <v/>
      </c>
      <c r="BX251" s="46" t="str">
        <f t="shared" si="145"/>
        <v/>
      </c>
      <c r="BY251" s="46" t="str">
        <f t="shared" si="145"/>
        <v/>
      </c>
      <c r="BZ251" s="46" t="str">
        <f t="shared" si="145"/>
        <v/>
      </c>
      <c r="CA251" s="46" t="str">
        <f t="shared" si="145"/>
        <v/>
      </c>
      <c r="CB251" s="46" t="str">
        <f t="shared" si="145"/>
        <v/>
      </c>
      <c r="CC251" s="46" t="str">
        <f t="shared" si="145"/>
        <v/>
      </c>
      <c r="CD251" s="46" t="str">
        <f t="shared" si="145"/>
        <v/>
      </c>
      <c r="CE251" s="46" t="str">
        <f t="shared" si="145"/>
        <v/>
      </c>
      <c r="CF251" s="46" t="str">
        <f t="shared" si="145"/>
        <v/>
      </c>
      <c r="CG251" s="46">
        <f t="shared" si="145"/>
        <v>4</v>
      </c>
      <c r="CH251" s="46" t="str">
        <f t="shared" si="145"/>
        <v/>
      </c>
      <c r="CI251" s="46">
        <f t="shared" si="145"/>
        <v>4</v>
      </c>
      <c r="CJ251" s="46">
        <f t="shared" si="145"/>
        <v>4</v>
      </c>
      <c r="CK251" s="46" t="str">
        <f t="shared" si="145"/>
        <v/>
      </c>
      <c r="CL251" s="46">
        <f t="shared" si="145"/>
        <v>4</v>
      </c>
      <c r="CM251" s="46" t="str">
        <f t="shared" si="145"/>
        <v/>
      </c>
      <c r="CN251" s="46" t="str">
        <f t="shared" si="145"/>
        <v/>
      </c>
      <c r="CO251" s="46" t="str">
        <f t="shared" si="145"/>
        <v/>
      </c>
      <c r="CP251" s="46" t="str">
        <f t="shared" si="145"/>
        <v/>
      </c>
      <c r="CQ251" s="46">
        <f t="shared" si="145"/>
        <v>4</v>
      </c>
      <c r="CR251" s="46">
        <f t="shared" si="145"/>
        <v>4</v>
      </c>
      <c r="CS251" s="46" t="str">
        <f t="shared" si="145"/>
        <v/>
      </c>
      <c r="CT251" s="46" t="str">
        <f t="shared" si="145"/>
        <v/>
      </c>
      <c r="CU251" s="46" t="str">
        <f t="shared" si="145"/>
        <v/>
      </c>
      <c r="CV251" s="46" t="str">
        <f t="shared" si="145"/>
        <v/>
      </c>
      <c r="CW251" s="46" t="str">
        <f t="shared" si="145"/>
        <v/>
      </c>
      <c r="CX251" s="46" t="str">
        <f t="shared" si="145"/>
        <v/>
      </c>
      <c r="CY251" s="46">
        <f t="shared" si="145"/>
        <v>4</v>
      </c>
      <c r="CZ251" s="46" t="str">
        <f t="shared" si="145"/>
        <v/>
      </c>
      <c r="DA251" s="46" t="str">
        <f t="shared" si="145"/>
        <v/>
      </c>
      <c r="DB251" s="46" t="str">
        <f t="shared" si="145"/>
        <v/>
      </c>
      <c r="DC251" s="46" t="str">
        <f t="shared" si="145"/>
        <v/>
      </c>
      <c r="DD251" s="46" t="str">
        <f t="shared" si="145"/>
        <v/>
      </c>
      <c r="DE251" s="46" t="str">
        <f t="shared" si="145"/>
        <v/>
      </c>
      <c r="DF251" s="46" t="str">
        <f t="shared" si="145"/>
        <v/>
      </c>
      <c r="DG251" s="46" t="str">
        <f t="shared" si="145"/>
        <v/>
      </c>
      <c r="DH251" s="46" t="str">
        <f t="shared" si="145"/>
        <v/>
      </c>
      <c r="DI251" s="46" t="str">
        <f t="shared" ref="DI251:DV251" si="146">IF(DI59="X",$DZ59,"")</f>
        <v/>
      </c>
      <c r="DJ251" s="46" t="str">
        <f t="shared" si="146"/>
        <v/>
      </c>
      <c r="DK251" s="46" t="str">
        <f t="shared" si="146"/>
        <v/>
      </c>
      <c r="DL251" s="46" t="str">
        <f t="shared" si="146"/>
        <v/>
      </c>
      <c r="DM251" s="46" t="str">
        <f t="shared" si="146"/>
        <v/>
      </c>
      <c r="DN251" s="46" t="str">
        <f t="shared" si="146"/>
        <v/>
      </c>
      <c r="DO251" s="46" t="str">
        <f t="shared" si="146"/>
        <v/>
      </c>
      <c r="DP251" s="46" t="str">
        <f t="shared" si="146"/>
        <v/>
      </c>
      <c r="DQ251" s="46" t="str">
        <f t="shared" si="146"/>
        <v/>
      </c>
      <c r="DR251" s="46" t="str">
        <f t="shared" si="146"/>
        <v/>
      </c>
      <c r="DS251" s="46" t="str">
        <f t="shared" si="146"/>
        <v/>
      </c>
      <c r="DT251" s="46" t="str">
        <f t="shared" si="146"/>
        <v/>
      </c>
      <c r="DU251" s="46" t="str">
        <f t="shared" si="146"/>
        <v/>
      </c>
      <c r="DV251" s="46" t="str">
        <f t="shared" si="146"/>
        <v/>
      </c>
      <c r="DW251" s="9"/>
      <c r="DX251" s="1"/>
    </row>
    <row r="252" spans="1:128" x14ac:dyDescent="0.25">
      <c r="A252" s="46"/>
      <c r="B252" s="46" t="str">
        <f t="shared" si="22"/>
        <v/>
      </c>
      <c r="C252" s="46" t="str">
        <f t="shared" ref="C252:BN252" si="147">IF(C59="X",$DK59,"")</f>
        <v/>
      </c>
      <c r="D252" s="46" t="str">
        <f t="shared" si="147"/>
        <v/>
      </c>
      <c r="E252" s="46" t="str">
        <f t="shared" si="147"/>
        <v/>
      </c>
      <c r="F252" s="46" t="str">
        <f t="shared" si="147"/>
        <v/>
      </c>
      <c r="G252" s="46" t="str">
        <f t="shared" si="147"/>
        <v/>
      </c>
      <c r="H252" s="46" t="str">
        <f t="shared" si="147"/>
        <v/>
      </c>
      <c r="I252" s="46" t="str">
        <f t="shared" si="147"/>
        <v/>
      </c>
      <c r="J252" s="46" t="str">
        <f t="shared" si="147"/>
        <v/>
      </c>
      <c r="K252" s="46" t="str">
        <f t="shared" si="147"/>
        <v/>
      </c>
      <c r="L252" s="46" t="str">
        <f t="shared" si="147"/>
        <v/>
      </c>
      <c r="M252" s="46" t="str">
        <f t="shared" si="147"/>
        <v/>
      </c>
      <c r="N252" s="46" t="str">
        <f t="shared" si="147"/>
        <v/>
      </c>
      <c r="O252" s="46" t="str">
        <f t="shared" si="147"/>
        <v/>
      </c>
      <c r="P252" s="46" t="str">
        <f t="shared" si="147"/>
        <v/>
      </c>
      <c r="Q252" s="46" t="str">
        <f t="shared" si="147"/>
        <v/>
      </c>
      <c r="R252" s="46" t="str">
        <f t="shared" si="147"/>
        <v/>
      </c>
      <c r="S252" s="46" t="str">
        <f t="shared" si="147"/>
        <v/>
      </c>
      <c r="T252" s="46" t="str">
        <f t="shared" si="147"/>
        <v/>
      </c>
      <c r="U252" s="46" t="str">
        <f t="shared" si="147"/>
        <v/>
      </c>
      <c r="V252" s="46" t="str">
        <f t="shared" si="147"/>
        <v/>
      </c>
      <c r="W252" s="46" t="str">
        <f t="shared" si="147"/>
        <v/>
      </c>
      <c r="X252" s="46" t="str">
        <f t="shared" si="147"/>
        <v/>
      </c>
      <c r="Y252" s="46" t="str">
        <f t="shared" si="147"/>
        <v/>
      </c>
      <c r="Z252" s="46" t="str">
        <f t="shared" si="147"/>
        <v/>
      </c>
      <c r="AA252" s="46" t="str">
        <f t="shared" si="147"/>
        <v/>
      </c>
      <c r="AB252" s="46" t="str">
        <f t="shared" si="147"/>
        <v/>
      </c>
      <c r="AC252" s="46" t="str">
        <f t="shared" si="147"/>
        <v/>
      </c>
      <c r="AD252" s="46" t="str">
        <f t="shared" si="147"/>
        <v/>
      </c>
      <c r="AE252" s="46" t="str">
        <f t="shared" si="147"/>
        <v/>
      </c>
      <c r="AF252" s="46" t="str">
        <f t="shared" si="147"/>
        <v/>
      </c>
      <c r="AG252" s="46" t="str">
        <f t="shared" si="147"/>
        <v/>
      </c>
      <c r="AH252" s="46" t="str">
        <f t="shared" si="147"/>
        <v/>
      </c>
      <c r="AI252" s="46" t="str">
        <f t="shared" si="147"/>
        <v/>
      </c>
      <c r="AJ252" s="46" t="str">
        <f t="shared" si="147"/>
        <v/>
      </c>
      <c r="AK252" s="46" t="str">
        <f t="shared" si="147"/>
        <v/>
      </c>
      <c r="AL252" s="46" t="str">
        <f t="shared" si="147"/>
        <v/>
      </c>
      <c r="AM252" s="46" t="str">
        <f t="shared" si="147"/>
        <v/>
      </c>
      <c r="AN252" s="46" t="str">
        <f t="shared" si="147"/>
        <v/>
      </c>
      <c r="AO252" s="46" t="str">
        <f t="shared" si="147"/>
        <v/>
      </c>
      <c r="AP252" s="46" t="str">
        <f t="shared" si="147"/>
        <v/>
      </c>
      <c r="AQ252" s="46" t="str">
        <f t="shared" si="147"/>
        <v/>
      </c>
      <c r="AR252" s="46" t="str">
        <f t="shared" si="147"/>
        <v/>
      </c>
      <c r="AS252" s="46" t="str">
        <f t="shared" si="147"/>
        <v/>
      </c>
      <c r="AT252" s="46" t="str">
        <f t="shared" si="147"/>
        <v/>
      </c>
      <c r="AU252" s="46" t="str">
        <f t="shared" si="147"/>
        <v/>
      </c>
      <c r="AV252" s="46" t="str">
        <f t="shared" si="147"/>
        <v/>
      </c>
      <c r="AW252" s="46" t="str">
        <f t="shared" si="147"/>
        <v/>
      </c>
      <c r="AX252" s="46" t="str">
        <f t="shared" si="147"/>
        <v/>
      </c>
      <c r="AY252" s="46" t="str">
        <f t="shared" si="147"/>
        <v/>
      </c>
      <c r="AZ252" s="46" t="str">
        <f t="shared" si="147"/>
        <v/>
      </c>
      <c r="BA252" s="46" t="str">
        <f t="shared" si="147"/>
        <v/>
      </c>
      <c r="BB252" s="46" t="str">
        <f t="shared" si="147"/>
        <v/>
      </c>
      <c r="BC252" s="46" t="str">
        <f t="shared" si="147"/>
        <v/>
      </c>
      <c r="BD252" s="46" t="str">
        <f t="shared" si="147"/>
        <v/>
      </c>
      <c r="BE252" s="46" t="str">
        <f t="shared" si="147"/>
        <v/>
      </c>
      <c r="BF252" s="46" t="str">
        <f t="shared" si="147"/>
        <v/>
      </c>
      <c r="BG252" s="46" t="str">
        <f t="shared" si="147"/>
        <v/>
      </c>
      <c r="BH252" s="46">
        <f t="shared" si="147"/>
        <v>4</v>
      </c>
      <c r="BI252" s="46" t="str">
        <f t="shared" si="147"/>
        <v/>
      </c>
      <c r="BJ252" s="46" t="str">
        <f t="shared" si="147"/>
        <v/>
      </c>
      <c r="BK252" s="46" t="str">
        <f t="shared" si="147"/>
        <v/>
      </c>
      <c r="BL252" s="46">
        <f t="shared" si="147"/>
        <v>4</v>
      </c>
      <c r="BM252" s="46" t="str">
        <f t="shared" si="147"/>
        <v/>
      </c>
      <c r="BN252" s="46" t="str">
        <f t="shared" si="147"/>
        <v/>
      </c>
      <c r="BO252" s="46" t="str">
        <f t="shared" ref="BO252:DH252" si="148">IF(BO59="X",$DK59,"")</f>
        <v/>
      </c>
      <c r="BP252" s="46" t="str">
        <f t="shared" si="148"/>
        <v/>
      </c>
      <c r="BQ252" s="46" t="str">
        <f t="shared" si="148"/>
        <v/>
      </c>
      <c r="BR252" s="46" t="str">
        <f t="shared" si="148"/>
        <v/>
      </c>
      <c r="BS252" s="46" t="str">
        <f t="shared" si="148"/>
        <v/>
      </c>
      <c r="BT252" s="46" t="str">
        <f t="shared" si="148"/>
        <v/>
      </c>
      <c r="BU252" s="46" t="str">
        <f t="shared" si="148"/>
        <v/>
      </c>
      <c r="BV252" s="46" t="str">
        <f t="shared" si="148"/>
        <v/>
      </c>
      <c r="BW252" s="46" t="str">
        <f t="shared" si="148"/>
        <v/>
      </c>
      <c r="BX252" s="46" t="str">
        <f t="shared" si="148"/>
        <v/>
      </c>
      <c r="BY252" s="46" t="str">
        <f t="shared" si="148"/>
        <v/>
      </c>
      <c r="BZ252" s="46" t="str">
        <f t="shared" si="148"/>
        <v/>
      </c>
      <c r="CA252" s="46" t="str">
        <f t="shared" si="148"/>
        <v/>
      </c>
      <c r="CB252" s="46" t="str">
        <f t="shared" si="148"/>
        <v/>
      </c>
      <c r="CC252" s="46" t="str">
        <f t="shared" si="148"/>
        <v/>
      </c>
      <c r="CD252" s="46" t="str">
        <f t="shared" si="148"/>
        <v/>
      </c>
      <c r="CE252" s="46" t="str">
        <f t="shared" si="148"/>
        <v/>
      </c>
      <c r="CF252" s="46" t="str">
        <f t="shared" si="148"/>
        <v/>
      </c>
      <c r="CG252" s="46" t="str">
        <f t="shared" si="148"/>
        <v/>
      </c>
      <c r="CH252" s="46" t="str">
        <f t="shared" si="148"/>
        <v/>
      </c>
      <c r="CI252" s="46" t="str">
        <f t="shared" si="148"/>
        <v/>
      </c>
      <c r="CJ252" s="46" t="str">
        <f t="shared" si="148"/>
        <v/>
      </c>
      <c r="CK252" s="46" t="str">
        <f t="shared" si="148"/>
        <v/>
      </c>
      <c r="CL252" s="46" t="str">
        <f t="shared" si="148"/>
        <v/>
      </c>
      <c r="CM252" s="46" t="str">
        <f t="shared" si="148"/>
        <v/>
      </c>
      <c r="CN252" s="46" t="str">
        <f t="shared" si="148"/>
        <v/>
      </c>
      <c r="CO252" s="46" t="str">
        <f t="shared" si="148"/>
        <v/>
      </c>
      <c r="CP252" s="46" t="str">
        <f t="shared" si="148"/>
        <v/>
      </c>
      <c r="CQ252" s="46" t="str">
        <f t="shared" si="148"/>
        <v/>
      </c>
      <c r="CR252" s="46" t="str">
        <f t="shared" si="148"/>
        <v/>
      </c>
      <c r="CS252" s="46" t="str">
        <f t="shared" si="148"/>
        <v/>
      </c>
      <c r="CT252" s="46" t="str">
        <f t="shared" si="148"/>
        <v/>
      </c>
      <c r="CU252" s="46" t="str">
        <f t="shared" si="148"/>
        <v/>
      </c>
      <c r="CV252" s="46" t="str">
        <f t="shared" si="148"/>
        <v/>
      </c>
      <c r="CW252" s="46" t="str">
        <f t="shared" si="148"/>
        <v/>
      </c>
      <c r="CX252" s="46" t="str">
        <f t="shared" si="148"/>
        <v/>
      </c>
      <c r="CY252" s="46" t="str">
        <f t="shared" si="148"/>
        <v/>
      </c>
      <c r="CZ252" s="46" t="str">
        <f t="shared" si="148"/>
        <v/>
      </c>
      <c r="DA252" s="46" t="str">
        <f t="shared" si="148"/>
        <v/>
      </c>
      <c r="DB252" s="46">
        <f t="shared" si="148"/>
        <v>4</v>
      </c>
      <c r="DC252" s="46">
        <f t="shared" si="148"/>
        <v>4</v>
      </c>
      <c r="DD252" s="46">
        <f t="shared" si="148"/>
        <v>4</v>
      </c>
      <c r="DE252" s="46">
        <f t="shared" si="148"/>
        <v>4</v>
      </c>
      <c r="DF252" s="46" t="str">
        <f t="shared" si="148"/>
        <v/>
      </c>
      <c r="DG252" s="46" t="str">
        <f t="shared" si="148"/>
        <v/>
      </c>
      <c r="DH252" s="46" t="str">
        <f t="shared" si="148"/>
        <v/>
      </c>
      <c r="DI252" s="46" t="str">
        <f t="shared" ref="DI252:DV252" si="149">IF(DI60="X",$DZ60,"")</f>
        <v/>
      </c>
      <c r="DJ252" s="46" t="str">
        <f t="shared" si="149"/>
        <v/>
      </c>
      <c r="DK252" s="46" t="str">
        <f t="shared" si="149"/>
        <v/>
      </c>
      <c r="DL252" s="46" t="str">
        <f t="shared" si="149"/>
        <v/>
      </c>
      <c r="DM252" s="46" t="str">
        <f t="shared" si="149"/>
        <v/>
      </c>
      <c r="DN252" s="46" t="str">
        <f t="shared" si="149"/>
        <v/>
      </c>
      <c r="DO252" s="46" t="str">
        <f t="shared" si="149"/>
        <v/>
      </c>
      <c r="DP252" s="46" t="str">
        <f t="shared" si="149"/>
        <v/>
      </c>
      <c r="DQ252" s="46" t="str">
        <f t="shared" si="149"/>
        <v/>
      </c>
      <c r="DR252" s="46" t="str">
        <f t="shared" si="149"/>
        <v/>
      </c>
      <c r="DS252" s="46" t="str">
        <f t="shared" si="149"/>
        <v/>
      </c>
      <c r="DT252" s="46" t="str">
        <f t="shared" si="149"/>
        <v/>
      </c>
      <c r="DU252" s="46" t="str">
        <f t="shared" si="149"/>
        <v/>
      </c>
      <c r="DV252" s="46" t="str">
        <f t="shared" si="149"/>
        <v/>
      </c>
      <c r="DW252" s="9"/>
      <c r="DX252" s="1"/>
    </row>
    <row r="253" spans="1:128" x14ac:dyDescent="0.25">
      <c r="A253" s="46"/>
      <c r="B253" s="46" t="str">
        <f t="shared" si="22"/>
        <v/>
      </c>
      <c r="C253" s="46" t="str">
        <f t="shared" ref="C253:BN253" si="150">IF(C60="X",$DK60,"")</f>
        <v/>
      </c>
      <c r="D253" s="46" t="str">
        <f t="shared" si="150"/>
        <v/>
      </c>
      <c r="E253" s="46" t="str">
        <f t="shared" si="150"/>
        <v/>
      </c>
      <c r="F253" s="46" t="str">
        <f t="shared" si="150"/>
        <v/>
      </c>
      <c r="G253" s="46" t="str">
        <f t="shared" si="150"/>
        <v/>
      </c>
      <c r="H253" s="46" t="str">
        <f t="shared" si="150"/>
        <v/>
      </c>
      <c r="I253" s="46" t="str">
        <f t="shared" si="150"/>
        <v/>
      </c>
      <c r="J253" s="46" t="str">
        <f t="shared" si="150"/>
        <v/>
      </c>
      <c r="K253" s="46" t="str">
        <f t="shared" si="150"/>
        <v/>
      </c>
      <c r="L253" s="46" t="str">
        <f t="shared" si="150"/>
        <v/>
      </c>
      <c r="M253" s="46" t="str">
        <f t="shared" si="150"/>
        <v/>
      </c>
      <c r="N253" s="46" t="str">
        <f t="shared" si="150"/>
        <v/>
      </c>
      <c r="O253" s="46" t="str">
        <f t="shared" si="150"/>
        <v/>
      </c>
      <c r="P253" s="46" t="str">
        <f t="shared" si="150"/>
        <v/>
      </c>
      <c r="Q253" s="46" t="str">
        <f t="shared" si="150"/>
        <v/>
      </c>
      <c r="R253" s="46" t="str">
        <f t="shared" si="150"/>
        <v/>
      </c>
      <c r="S253" s="46" t="str">
        <f t="shared" si="150"/>
        <v/>
      </c>
      <c r="T253" s="46" t="str">
        <f t="shared" si="150"/>
        <v/>
      </c>
      <c r="U253" s="46" t="str">
        <f t="shared" si="150"/>
        <v/>
      </c>
      <c r="V253" s="46" t="str">
        <f t="shared" si="150"/>
        <v/>
      </c>
      <c r="W253" s="46" t="str">
        <f t="shared" si="150"/>
        <v/>
      </c>
      <c r="X253" s="46" t="str">
        <f t="shared" si="150"/>
        <v/>
      </c>
      <c r="Y253" s="46" t="str">
        <f t="shared" si="150"/>
        <v/>
      </c>
      <c r="Z253" s="46" t="str">
        <f t="shared" si="150"/>
        <v/>
      </c>
      <c r="AA253" s="46" t="str">
        <f t="shared" si="150"/>
        <v/>
      </c>
      <c r="AB253" s="46" t="str">
        <f t="shared" si="150"/>
        <v/>
      </c>
      <c r="AC253" s="46" t="str">
        <f t="shared" si="150"/>
        <v/>
      </c>
      <c r="AD253" s="46" t="str">
        <f t="shared" si="150"/>
        <v/>
      </c>
      <c r="AE253" s="46" t="str">
        <f t="shared" si="150"/>
        <v/>
      </c>
      <c r="AF253" s="46" t="str">
        <f t="shared" si="150"/>
        <v/>
      </c>
      <c r="AG253" s="46" t="str">
        <f t="shared" si="150"/>
        <v/>
      </c>
      <c r="AH253" s="46" t="str">
        <f t="shared" si="150"/>
        <v/>
      </c>
      <c r="AI253" s="46" t="str">
        <f t="shared" si="150"/>
        <v/>
      </c>
      <c r="AJ253" s="46" t="str">
        <f t="shared" si="150"/>
        <v/>
      </c>
      <c r="AK253" s="46" t="str">
        <f t="shared" si="150"/>
        <v/>
      </c>
      <c r="AL253" s="46" t="str">
        <f t="shared" si="150"/>
        <v/>
      </c>
      <c r="AM253" s="46" t="str">
        <f t="shared" si="150"/>
        <v/>
      </c>
      <c r="AN253" s="46" t="str">
        <f t="shared" si="150"/>
        <v/>
      </c>
      <c r="AO253" s="46" t="str">
        <f t="shared" si="150"/>
        <v/>
      </c>
      <c r="AP253" s="46" t="str">
        <f t="shared" si="150"/>
        <v/>
      </c>
      <c r="AQ253" s="46" t="str">
        <f t="shared" si="150"/>
        <v/>
      </c>
      <c r="AR253" s="46" t="str">
        <f t="shared" si="150"/>
        <v/>
      </c>
      <c r="AS253" s="46" t="str">
        <f t="shared" si="150"/>
        <v/>
      </c>
      <c r="AT253" s="46" t="str">
        <f t="shared" si="150"/>
        <v/>
      </c>
      <c r="AU253" s="46" t="str">
        <f t="shared" si="150"/>
        <v/>
      </c>
      <c r="AV253" s="46" t="str">
        <f t="shared" si="150"/>
        <v/>
      </c>
      <c r="AW253" s="46" t="str">
        <f t="shared" si="150"/>
        <v/>
      </c>
      <c r="AX253" s="46" t="str">
        <f t="shared" si="150"/>
        <v/>
      </c>
      <c r="AY253" s="46" t="str">
        <f t="shared" si="150"/>
        <v/>
      </c>
      <c r="AZ253" s="46" t="str">
        <f t="shared" si="150"/>
        <v/>
      </c>
      <c r="BA253" s="46" t="str">
        <f t="shared" si="150"/>
        <v/>
      </c>
      <c r="BB253" s="46" t="str">
        <f t="shared" si="150"/>
        <v/>
      </c>
      <c r="BC253" s="46">
        <f t="shared" si="150"/>
        <v>16</v>
      </c>
      <c r="BD253" s="46" t="str">
        <f t="shared" si="150"/>
        <v/>
      </c>
      <c r="BE253" s="46" t="str">
        <f t="shared" si="150"/>
        <v/>
      </c>
      <c r="BF253" s="46" t="str">
        <f t="shared" si="150"/>
        <v/>
      </c>
      <c r="BG253" s="46" t="str">
        <f t="shared" si="150"/>
        <v/>
      </c>
      <c r="BH253" s="46" t="str">
        <f t="shared" si="150"/>
        <v/>
      </c>
      <c r="BI253" s="46" t="str">
        <f t="shared" si="150"/>
        <v/>
      </c>
      <c r="BJ253" s="46" t="str">
        <f t="shared" si="150"/>
        <v/>
      </c>
      <c r="BK253" s="46" t="str">
        <f t="shared" si="150"/>
        <v/>
      </c>
      <c r="BL253" s="46" t="str">
        <f t="shared" si="150"/>
        <v/>
      </c>
      <c r="BM253" s="46" t="str">
        <f t="shared" si="150"/>
        <v/>
      </c>
      <c r="BN253" s="46" t="str">
        <f t="shared" si="150"/>
        <v/>
      </c>
      <c r="BO253" s="46" t="str">
        <f t="shared" ref="BO253:DH253" si="151">IF(BO60="X",$DK60,"")</f>
        <v/>
      </c>
      <c r="BP253" s="46" t="str">
        <f t="shared" si="151"/>
        <v/>
      </c>
      <c r="BQ253" s="46" t="str">
        <f t="shared" si="151"/>
        <v/>
      </c>
      <c r="BR253" s="46" t="str">
        <f t="shared" si="151"/>
        <v/>
      </c>
      <c r="BS253" s="46" t="str">
        <f t="shared" si="151"/>
        <v/>
      </c>
      <c r="BT253" s="46" t="str">
        <f t="shared" si="151"/>
        <v/>
      </c>
      <c r="BU253" s="46" t="str">
        <f t="shared" si="151"/>
        <v/>
      </c>
      <c r="BV253" s="46" t="str">
        <f t="shared" si="151"/>
        <v/>
      </c>
      <c r="BW253" s="46" t="str">
        <f t="shared" si="151"/>
        <v/>
      </c>
      <c r="BX253" s="46" t="str">
        <f t="shared" si="151"/>
        <v/>
      </c>
      <c r="BY253" s="46" t="str">
        <f t="shared" si="151"/>
        <v/>
      </c>
      <c r="BZ253" s="46" t="str">
        <f t="shared" si="151"/>
        <v/>
      </c>
      <c r="CA253" s="46" t="str">
        <f t="shared" si="151"/>
        <v/>
      </c>
      <c r="CB253" s="46" t="str">
        <f t="shared" si="151"/>
        <v/>
      </c>
      <c r="CC253" s="46" t="str">
        <f t="shared" si="151"/>
        <v/>
      </c>
      <c r="CD253" s="46" t="str">
        <f t="shared" si="151"/>
        <v/>
      </c>
      <c r="CE253" s="46">
        <f t="shared" si="151"/>
        <v>16</v>
      </c>
      <c r="CF253" s="46" t="str">
        <f t="shared" si="151"/>
        <v/>
      </c>
      <c r="CG253" s="46" t="str">
        <f t="shared" si="151"/>
        <v/>
      </c>
      <c r="CH253" s="46" t="str">
        <f t="shared" si="151"/>
        <v/>
      </c>
      <c r="CI253" s="46" t="str">
        <f t="shared" si="151"/>
        <v/>
      </c>
      <c r="CJ253" s="46" t="str">
        <f t="shared" si="151"/>
        <v/>
      </c>
      <c r="CK253" s="46" t="str">
        <f t="shared" si="151"/>
        <v/>
      </c>
      <c r="CL253" s="46" t="str">
        <f t="shared" si="151"/>
        <v/>
      </c>
      <c r="CM253" s="46" t="str">
        <f t="shared" si="151"/>
        <v/>
      </c>
      <c r="CN253" s="46" t="str">
        <f t="shared" si="151"/>
        <v/>
      </c>
      <c r="CO253" s="46" t="str">
        <f t="shared" si="151"/>
        <v/>
      </c>
      <c r="CP253" s="46" t="str">
        <f t="shared" si="151"/>
        <v/>
      </c>
      <c r="CQ253" s="46" t="str">
        <f t="shared" si="151"/>
        <v/>
      </c>
      <c r="CR253" s="46" t="str">
        <f t="shared" si="151"/>
        <v/>
      </c>
      <c r="CS253" s="46" t="str">
        <f t="shared" si="151"/>
        <v/>
      </c>
      <c r="CT253" s="46" t="str">
        <f t="shared" si="151"/>
        <v/>
      </c>
      <c r="CU253" s="46" t="str">
        <f t="shared" si="151"/>
        <v/>
      </c>
      <c r="CV253" s="46" t="str">
        <f t="shared" si="151"/>
        <v/>
      </c>
      <c r="CW253" s="46" t="str">
        <f t="shared" si="151"/>
        <v/>
      </c>
      <c r="CX253" s="46" t="str">
        <f t="shared" si="151"/>
        <v/>
      </c>
      <c r="CY253" s="46" t="str">
        <f t="shared" si="151"/>
        <v/>
      </c>
      <c r="CZ253" s="46" t="str">
        <f t="shared" si="151"/>
        <v/>
      </c>
      <c r="DA253" s="46" t="str">
        <f t="shared" si="151"/>
        <v/>
      </c>
      <c r="DB253" s="46" t="str">
        <f t="shared" si="151"/>
        <v/>
      </c>
      <c r="DC253" s="46" t="str">
        <f t="shared" si="151"/>
        <v/>
      </c>
      <c r="DD253" s="46" t="str">
        <f t="shared" si="151"/>
        <v/>
      </c>
      <c r="DE253" s="46" t="str">
        <f t="shared" si="151"/>
        <v/>
      </c>
      <c r="DF253" s="46" t="str">
        <f t="shared" si="151"/>
        <v/>
      </c>
      <c r="DG253" s="46" t="str">
        <f t="shared" si="151"/>
        <v/>
      </c>
      <c r="DH253" s="46" t="str">
        <f t="shared" si="151"/>
        <v/>
      </c>
      <c r="DI253" s="46" t="str">
        <f t="shared" ref="DI253:DV253" si="152">IF(DI61="X",$DZ61,"")</f>
        <v/>
      </c>
      <c r="DJ253" s="46" t="str">
        <f t="shared" si="152"/>
        <v/>
      </c>
      <c r="DK253" s="46" t="str">
        <f t="shared" si="152"/>
        <v/>
      </c>
      <c r="DL253" s="46" t="str">
        <f t="shared" si="152"/>
        <v/>
      </c>
      <c r="DM253" s="46" t="str">
        <f t="shared" si="152"/>
        <v/>
      </c>
      <c r="DN253" s="46" t="str">
        <f t="shared" si="152"/>
        <v/>
      </c>
      <c r="DO253" s="46" t="str">
        <f t="shared" si="152"/>
        <v/>
      </c>
      <c r="DP253" s="46" t="str">
        <f t="shared" si="152"/>
        <v/>
      </c>
      <c r="DQ253" s="46" t="str">
        <f t="shared" si="152"/>
        <v/>
      </c>
      <c r="DR253" s="46" t="str">
        <f t="shared" si="152"/>
        <v/>
      </c>
      <c r="DS253" s="46" t="str">
        <f t="shared" si="152"/>
        <v/>
      </c>
      <c r="DT253" s="46" t="str">
        <f t="shared" si="152"/>
        <v/>
      </c>
      <c r="DU253" s="46" t="str">
        <f t="shared" si="152"/>
        <v/>
      </c>
      <c r="DV253" s="46" t="str">
        <f t="shared" si="152"/>
        <v/>
      </c>
      <c r="DW253" s="9"/>
      <c r="DX253" s="1"/>
    </row>
    <row r="254" spans="1:128" x14ac:dyDescent="0.25">
      <c r="A254" s="46"/>
      <c r="B254" s="46" t="str">
        <f t="shared" si="22"/>
        <v/>
      </c>
      <c r="C254" s="46" t="str">
        <f t="shared" ref="C254:BN254" si="153">IF(C61="X",$DK61,"")</f>
        <v/>
      </c>
      <c r="D254" s="46" t="str">
        <f t="shared" si="153"/>
        <v/>
      </c>
      <c r="E254" s="46" t="str">
        <f t="shared" si="153"/>
        <v/>
      </c>
      <c r="F254" s="46" t="str">
        <f t="shared" si="153"/>
        <v/>
      </c>
      <c r="G254" s="46" t="str">
        <f t="shared" si="153"/>
        <v/>
      </c>
      <c r="H254" s="46" t="str">
        <f t="shared" si="153"/>
        <v/>
      </c>
      <c r="I254" s="46" t="str">
        <f t="shared" si="153"/>
        <v/>
      </c>
      <c r="J254" s="46" t="str">
        <f t="shared" si="153"/>
        <v/>
      </c>
      <c r="K254" s="46" t="str">
        <f t="shared" si="153"/>
        <v/>
      </c>
      <c r="L254" s="46" t="str">
        <f t="shared" si="153"/>
        <v/>
      </c>
      <c r="M254" s="46" t="str">
        <f t="shared" si="153"/>
        <v/>
      </c>
      <c r="N254" s="46" t="str">
        <f t="shared" si="153"/>
        <v/>
      </c>
      <c r="O254" s="46" t="str">
        <f t="shared" si="153"/>
        <v/>
      </c>
      <c r="P254" s="46" t="str">
        <f t="shared" si="153"/>
        <v/>
      </c>
      <c r="Q254" s="46" t="str">
        <f t="shared" si="153"/>
        <v/>
      </c>
      <c r="R254" s="46" t="str">
        <f t="shared" si="153"/>
        <v/>
      </c>
      <c r="S254" s="46" t="str">
        <f t="shared" si="153"/>
        <v/>
      </c>
      <c r="T254" s="46" t="str">
        <f t="shared" si="153"/>
        <v/>
      </c>
      <c r="U254" s="46" t="str">
        <f t="shared" si="153"/>
        <v/>
      </c>
      <c r="V254" s="46" t="str">
        <f t="shared" si="153"/>
        <v/>
      </c>
      <c r="W254" s="46" t="str">
        <f t="shared" si="153"/>
        <v/>
      </c>
      <c r="X254" s="46" t="str">
        <f t="shared" si="153"/>
        <v/>
      </c>
      <c r="Y254" s="46" t="str">
        <f t="shared" si="153"/>
        <v/>
      </c>
      <c r="Z254" s="46" t="str">
        <f t="shared" si="153"/>
        <v/>
      </c>
      <c r="AA254" s="46" t="str">
        <f t="shared" si="153"/>
        <v/>
      </c>
      <c r="AB254" s="46" t="str">
        <f t="shared" si="153"/>
        <v/>
      </c>
      <c r="AC254" s="46" t="str">
        <f t="shared" si="153"/>
        <v/>
      </c>
      <c r="AD254" s="46" t="str">
        <f t="shared" si="153"/>
        <v/>
      </c>
      <c r="AE254" s="46" t="str">
        <f t="shared" si="153"/>
        <v/>
      </c>
      <c r="AF254" s="46" t="str">
        <f t="shared" si="153"/>
        <v/>
      </c>
      <c r="AG254" s="46" t="str">
        <f t="shared" si="153"/>
        <v/>
      </c>
      <c r="AH254" s="46" t="str">
        <f t="shared" si="153"/>
        <v/>
      </c>
      <c r="AI254" s="46" t="str">
        <f t="shared" si="153"/>
        <v/>
      </c>
      <c r="AJ254" s="46" t="str">
        <f t="shared" si="153"/>
        <v/>
      </c>
      <c r="AK254" s="46" t="str">
        <f t="shared" si="153"/>
        <v/>
      </c>
      <c r="AL254" s="46" t="str">
        <f t="shared" si="153"/>
        <v/>
      </c>
      <c r="AM254" s="46" t="str">
        <f t="shared" si="153"/>
        <v/>
      </c>
      <c r="AN254" s="46" t="str">
        <f t="shared" si="153"/>
        <v/>
      </c>
      <c r="AO254" s="46" t="str">
        <f t="shared" si="153"/>
        <v/>
      </c>
      <c r="AP254" s="46" t="str">
        <f t="shared" si="153"/>
        <v/>
      </c>
      <c r="AQ254" s="46" t="str">
        <f t="shared" si="153"/>
        <v/>
      </c>
      <c r="AR254" s="46" t="str">
        <f t="shared" si="153"/>
        <v/>
      </c>
      <c r="AS254" s="46">
        <f t="shared" si="153"/>
        <v>8</v>
      </c>
      <c r="AT254" s="46" t="str">
        <f t="shared" si="153"/>
        <v/>
      </c>
      <c r="AU254" s="46" t="str">
        <f t="shared" si="153"/>
        <v/>
      </c>
      <c r="AV254" s="46" t="str">
        <f t="shared" si="153"/>
        <v/>
      </c>
      <c r="AW254" s="46" t="str">
        <f t="shared" si="153"/>
        <v/>
      </c>
      <c r="AX254" s="46" t="str">
        <f t="shared" si="153"/>
        <v/>
      </c>
      <c r="AY254" s="46">
        <f t="shared" si="153"/>
        <v>8</v>
      </c>
      <c r="AZ254" s="46" t="str">
        <f t="shared" si="153"/>
        <v/>
      </c>
      <c r="BA254" s="46" t="str">
        <f t="shared" si="153"/>
        <v/>
      </c>
      <c r="BB254" s="46">
        <f t="shared" si="153"/>
        <v>8</v>
      </c>
      <c r="BC254" s="46" t="str">
        <f t="shared" si="153"/>
        <v/>
      </c>
      <c r="BD254" s="46" t="str">
        <f t="shared" si="153"/>
        <v/>
      </c>
      <c r="BE254" s="46" t="str">
        <f t="shared" si="153"/>
        <v/>
      </c>
      <c r="BF254" s="46">
        <f t="shared" si="153"/>
        <v>8</v>
      </c>
      <c r="BG254" s="46" t="str">
        <f t="shared" si="153"/>
        <v/>
      </c>
      <c r="BH254" s="46" t="str">
        <f t="shared" si="153"/>
        <v/>
      </c>
      <c r="BI254" s="46">
        <f t="shared" si="153"/>
        <v>8</v>
      </c>
      <c r="BJ254" s="46" t="str">
        <f t="shared" si="153"/>
        <v/>
      </c>
      <c r="BK254" s="46" t="str">
        <f t="shared" si="153"/>
        <v/>
      </c>
      <c r="BL254" s="46" t="str">
        <f t="shared" si="153"/>
        <v/>
      </c>
      <c r="BM254" s="46" t="str">
        <f t="shared" si="153"/>
        <v/>
      </c>
      <c r="BN254" s="46" t="str">
        <f t="shared" si="153"/>
        <v/>
      </c>
      <c r="BO254" s="46" t="str">
        <f t="shared" ref="BO254:DH254" si="154">IF(BO61="X",$DK61,"")</f>
        <v/>
      </c>
      <c r="BP254" s="46" t="str">
        <f t="shared" si="154"/>
        <v/>
      </c>
      <c r="BQ254" s="46" t="str">
        <f t="shared" si="154"/>
        <v/>
      </c>
      <c r="BR254" s="46" t="str">
        <f t="shared" si="154"/>
        <v/>
      </c>
      <c r="BS254" s="46" t="str">
        <f t="shared" si="154"/>
        <v/>
      </c>
      <c r="BT254" s="46" t="str">
        <f t="shared" si="154"/>
        <v/>
      </c>
      <c r="BU254" s="46" t="str">
        <f t="shared" si="154"/>
        <v/>
      </c>
      <c r="BV254" s="46" t="str">
        <f t="shared" si="154"/>
        <v/>
      </c>
      <c r="BW254" s="46" t="str">
        <f t="shared" si="154"/>
        <v/>
      </c>
      <c r="BX254" s="46" t="str">
        <f t="shared" si="154"/>
        <v/>
      </c>
      <c r="BY254" s="46" t="str">
        <f t="shared" si="154"/>
        <v/>
      </c>
      <c r="BZ254" s="46" t="str">
        <f t="shared" si="154"/>
        <v/>
      </c>
      <c r="CA254" s="46" t="str">
        <f t="shared" si="154"/>
        <v/>
      </c>
      <c r="CB254" s="46" t="str">
        <f t="shared" si="154"/>
        <v/>
      </c>
      <c r="CC254" s="46" t="str">
        <f t="shared" si="154"/>
        <v/>
      </c>
      <c r="CD254" s="46" t="str">
        <f t="shared" si="154"/>
        <v/>
      </c>
      <c r="CE254" s="46" t="str">
        <f t="shared" si="154"/>
        <v/>
      </c>
      <c r="CF254" s="46">
        <f t="shared" si="154"/>
        <v>8</v>
      </c>
      <c r="CG254" s="46" t="str">
        <f t="shared" si="154"/>
        <v/>
      </c>
      <c r="CH254" s="46" t="str">
        <f t="shared" si="154"/>
        <v/>
      </c>
      <c r="CI254" s="46" t="str">
        <f t="shared" si="154"/>
        <v/>
      </c>
      <c r="CJ254" s="46" t="str">
        <f t="shared" si="154"/>
        <v/>
      </c>
      <c r="CK254" s="46" t="str">
        <f t="shared" si="154"/>
        <v/>
      </c>
      <c r="CL254" s="46" t="str">
        <f t="shared" si="154"/>
        <v/>
      </c>
      <c r="CM254" s="46" t="str">
        <f t="shared" si="154"/>
        <v/>
      </c>
      <c r="CN254" s="46" t="str">
        <f t="shared" si="154"/>
        <v/>
      </c>
      <c r="CO254" s="46" t="str">
        <f t="shared" si="154"/>
        <v/>
      </c>
      <c r="CP254" s="46" t="str">
        <f t="shared" si="154"/>
        <v/>
      </c>
      <c r="CQ254" s="46" t="str">
        <f t="shared" si="154"/>
        <v/>
      </c>
      <c r="CR254" s="46" t="str">
        <f t="shared" si="154"/>
        <v/>
      </c>
      <c r="CS254" s="46" t="str">
        <f t="shared" si="154"/>
        <v/>
      </c>
      <c r="CT254" s="46" t="str">
        <f t="shared" si="154"/>
        <v/>
      </c>
      <c r="CU254" s="46" t="str">
        <f t="shared" si="154"/>
        <v/>
      </c>
      <c r="CV254" s="46" t="str">
        <f t="shared" si="154"/>
        <v/>
      </c>
      <c r="CW254" s="46" t="str">
        <f t="shared" si="154"/>
        <v/>
      </c>
      <c r="CX254" s="46" t="str">
        <f t="shared" si="154"/>
        <v/>
      </c>
      <c r="CY254" s="46" t="str">
        <f t="shared" si="154"/>
        <v/>
      </c>
      <c r="CZ254" s="46" t="str">
        <f t="shared" si="154"/>
        <v/>
      </c>
      <c r="DA254" s="46" t="str">
        <f t="shared" si="154"/>
        <v/>
      </c>
      <c r="DB254" s="46" t="str">
        <f t="shared" si="154"/>
        <v/>
      </c>
      <c r="DC254" s="46" t="str">
        <f t="shared" si="154"/>
        <v/>
      </c>
      <c r="DD254" s="46" t="str">
        <f t="shared" si="154"/>
        <v/>
      </c>
      <c r="DE254" s="46" t="str">
        <f t="shared" si="154"/>
        <v/>
      </c>
      <c r="DF254" s="46" t="str">
        <f t="shared" si="154"/>
        <v/>
      </c>
      <c r="DG254" s="46" t="str">
        <f t="shared" si="154"/>
        <v/>
      </c>
      <c r="DH254" s="46" t="str">
        <f t="shared" si="154"/>
        <v/>
      </c>
      <c r="DI254" s="46" t="str">
        <f t="shared" ref="DI254:DV254" si="155">IF(DI62="X",$DZ62,"")</f>
        <v/>
      </c>
      <c r="DJ254" s="46" t="str">
        <f t="shared" si="155"/>
        <v/>
      </c>
      <c r="DK254" s="46" t="str">
        <f t="shared" si="155"/>
        <v/>
      </c>
      <c r="DL254" s="46" t="str">
        <f t="shared" si="155"/>
        <v/>
      </c>
      <c r="DM254" s="46" t="str">
        <f t="shared" si="155"/>
        <v/>
      </c>
      <c r="DN254" s="46" t="str">
        <f t="shared" si="155"/>
        <v/>
      </c>
      <c r="DO254" s="46" t="str">
        <f t="shared" si="155"/>
        <v/>
      </c>
      <c r="DP254" s="46" t="str">
        <f t="shared" si="155"/>
        <v/>
      </c>
      <c r="DQ254" s="46" t="str">
        <f t="shared" si="155"/>
        <v/>
      </c>
      <c r="DR254" s="46" t="str">
        <f t="shared" si="155"/>
        <v/>
      </c>
      <c r="DS254" s="46" t="str">
        <f t="shared" si="155"/>
        <v/>
      </c>
      <c r="DT254" s="46" t="str">
        <f t="shared" si="155"/>
        <v/>
      </c>
      <c r="DU254" s="46" t="str">
        <f t="shared" si="155"/>
        <v/>
      </c>
      <c r="DV254" s="46" t="str">
        <f t="shared" si="155"/>
        <v/>
      </c>
      <c r="DW254" s="9"/>
      <c r="DX254" s="1"/>
    </row>
    <row r="255" spans="1:128" x14ac:dyDescent="0.25">
      <c r="A255" s="46"/>
      <c r="B255" s="46" t="str">
        <f t="shared" si="22"/>
        <v/>
      </c>
      <c r="C255" s="46" t="str">
        <f t="shared" ref="C255:BN255" si="156">IF(C62="X",$DK62,"")</f>
        <v/>
      </c>
      <c r="D255" s="46" t="str">
        <f t="shared" si="156"/>
        <v/>
      </c>
      <c r="E255" s="46" t="str">
        <f t="shared" si="156"/>
        <v/>
      </c>
      <c r="F255" s="46" t="str">
        <f t="shared" si="156"/>
        <v/>
      </c>
      <c r="G255" s="46" t="str">
        <f t="shared" si="156"/>
        <v/>
      </c>
      <c r="H255" s="46" t="str">
        <f t="shared" si="156"/>
        <v/>
      </c>
      <c r="I255" s="46" t="str">
        <f t="shared" si="156"/>
        <v/>
      </c>
      <c r="J255" s="46" t="str">
        <f t="shared" si="156"/>
        <v/>
      </c>
      <c r="K255" s="46" t="str">
        <f t="shared" si="156"/>
        <v/>
      </c>
      <c r="L255" s="46" t="str">
        <f t="shared" si="156"/>
        <v/>
      </c>
      <c r="M255" s="46" t="str">
        <f t="shared" si="156"/>
        <v/>
      </c>
      <c r="N255" s="46" t="str">
        <f t="shared" si="156"/>
        <v/>
      </c>
      <c r="O255" s="46" t="str">
        <f t="shared" si="156"/>
        <v/>
      </c>
      <c r="P255" s="46" t="str">
        <f t="shared" si="156"/>
        <v/>
      </c>
      <c r="Q255" s="46" t="str">
        <f t="shared" si="156"/>
        <v/>
      </c>
      <c r="R255" s="46" t="str">
        <f t="shared" si="156"/>
        <v/>
      </c>
      <c r="S255" s="46" t="str">
        <f t="shared" si="156"/>
        <v/>
      </c>
      <c r="T255" s="46" t="str">
        <f t="shared" si="156"/>
        <v/>
      </c>
      <c r="U255" s="46" t="str">
        <f t="shared" si="156"/>
        <v/>
      </c>
      <c r="V255" s="46" t="str">
        <f t="shared" si="156"/>
        <v/>
      </c>
      <c r="W255" s="46" t="str">
        <f t="shared" si="156"/>
        <v/>
      </c>
      <c r="X255" s="46" t="str">
        <f t="shared" si="156"/>
        <v/>
      </c>
      <c r="Y255" s="46" t="str">
        <f t="shared" si="156"/>
        <v/>
      </c>
      <c r="Z255" s="46" t="str">
        <f t="shared" si="156"/>
        <v/>
      </c>
      <c r="AA255" s="46" t="str">
        <f t="shared" si="156"/>
        <v/>
      </c>
      <c r="AB255" s="46" t="str">
        <f t="shared" si="156"/>
        <v/>
      </c>
      <c r="AC255" s="46" t="str">
        <f t="shared" si="156"/>
        <v/>
      </c>
      <c r="AD255" s="46" t="str">
        <f t="shared" si="156"/>
        <v/>
      </c>
      <c r="AE255" s="46" t="str">
        <f t="shared" si="156"/>
        <v/>
      </c>
      <c r="AF255" s="46" t="str">
        <f t="shared" si="156"/>
        <v/>
      </c>
      <c r="AG255" s="46" t="str">
        <f t="shared" si="156"/>
        <v/>
      </c>
      <c r="AH255" s="46" t="str">
        <f t="shared" si="156"/>
        <v/>
      </c>
      <c r="AI255" s="46" t="str">
        <f t="shared" si="156"/>
        <v/>
      </c>
      <c r="AJ255" s="46" t="str">
        <f t="shared" si="156"/>
        <v/>
      </c>
      <c r="AK255" s="46" t="str">
        <f t="shared" si="156"/>
        <v/>
      </c>
      <c r="AL255" s="46" t="str">
        <f t="shared" si="156"/>
        <v/>
      </c>
      <c r="AM255" s="46" t="str">
        <f t="shared" si="156"/>
        <v/>
      </c>
      <c r="AN255" s="46" t="str">
        <f t="shared" si="156"/>
        <v/>
      </c>
      <c r="AO255" s="46" t="str">
        <f t="shared" si="156"/>
        <v/>
      </c>
      <c r="AP255" s="46" t="str">
        <f t="shared" si="156"/>
        <v/>
      </c>
      <c r="AQ255" s="46" t="str">
        <f t="shared" si="156"/>
        <v/>
      </c>
      <c r="AR255" s="46" t="str">
        <f t="shared" si="156"/>
        <v/>
      </c>
      <c r="AS255" s="46" t="str">
        <f t="shared" si="156"/>
        <v/>
      </c>
      <c r="AT255" s="46" t="str">
        <f t="shared" si="156"/>
        <v/>
      </c>
      <c r="AU255" s="46" t="str">
        <f t="shared" si="156"/>
        <v/>
      </c>
      <c r="AV255" s="46" t="str">
        <f t="shared" si="156"/>
        <v/>
      </c>
      <c r="AW255" s="46" t="str">
        <f t="shared" si="156"/>
        <v/>
      </c>
      <c r="AX255" s="46" t="str">
        <f t="shared" si="156"/>
        <v/>
      </c>
      <c r="AY255" s="46" t="str">
        <f t="shared" si="156"/>
        <v/>
      </c>
      <c r="AZ255" s="46" t="str">
        <f t="shared" si="156"/>
        <v/>
      </c>
      <c r="BA255" s="46" t="str">
        <f t="shared" si="156"/>
        <v/>
      </c>
      <c r="BB255" s="46" t="str">
        <f t="shared" si="156"/>
        <v/>
      </c>
      <c r="BC255" s="46" t="str">
        <f t="shared" si="156"/>
        <v/>
      </c>
      <c r="BD255" s="46" t="str">
        <f t="shared" si="156"/>
        <v/>
      </c>
      <c r="BE255" s="46" t="str">
        <f t="shared" si="156"/>
        <v/>
      </c>
      <c r="BF255" s="46" t="str">
        <f t="shared" si="156"/>
        <v/>
      </c>
      <c r="BG255" s="46" t="str">
        <f t="shared" si="156"/>
        <v/>
      </c>
      <c r="BH255" s="46" t="str">
        <f t="shared" si="156"/>
        <v/>
      </c>
      <c r="BI255" s="46" t="str">
        <f t="shared" si="156"/>
        <v/>
      </c>
      <c r="BJ255" s="46" t="str">
        <f t="shared" si="156"/>
        <v/>
      </c>
      <c r="BK255" s="46" t="str">
        <f t="shared" si="156"/>
        <v/>
      </c>
      <c r="BL255" s="46">
        <f t="shared" si="156"/>
        <v>16</v>
      </c>
      <c r="BM255" s="46">
        <f t="shared" si="156"/>
        <v>16</v>
      </c>
      <c r="BN255" s="46" t="str">
        <f t="shared" si="156"/>
        <v/>
      </c>
      <c r="BO255" s="46" t="str">
        <f t="shared" ref="BO255:DH255" si="157">IF(BO62="X",$DK62,"")</f>
        <v/>
      </c>
      <c r="BP255" s="46" t="str">
        <f t="shared" si="157"/>
        <v/>
      </c>
      <c r="BQ255" s="46" t="str">
        <f t="shared" si="157"/>
        <v/>
      </c>
      <c r="BR255" s="46" t="str">
        <f t="shared" si="157"/>
        <v/>
      </c>
      <c r="BS255" s="46" t="str">
        <f t="shared" si="157"/>
        <v/>
      </c>
      <c r="BT255" s="46" t="str">
        <f t="shared" si="157"/>
        <v/>
      </c>
      <c r="BU255" s="46" t="str">
        <f t="shared" si="157"/>
        <v/>
      </c>
      <c r="BV255" s="46" t="str">
        <f t="shared" si="157"/>
        <v/>
      </c>
      <c r="BW255" s="46" t="str">
        <f t="shared" si="157"/>
        <v/>
      </c>
      <c r="BX255" s="46" t="str">
        <f t="shared" si="157"/>
        <v/>
      </c>
      <c r="BY255" s="46" t="str">
        <f t="shared" si="157"/>
        <v/>
      </c>
      <c r="BZ255" s="46" t="str">
        <f t="shared" si="157"/>
        <v/>
      </c>
      <c r="CA255" s="46" t="str">
        <f t="shared" si="157"/>
        <v/>
      </c>
      <c r="CB255" s="46" t="str">
        <f t="shared" si="157"/>
        <v/>
      </c>
      <c r="CC255" s="46" t="str">
        <f t="shared" si="157"/>
        <v/>
      </c>
      <c r="CD255" s="46" t="str">
        <f t="shared" si="157"/>
        <v/>
      </c>
      <c r="CE255" s="46" t="str">
        <f t="shared" si="157"/>
        <v/>
      </c>
      <c r="CF255" s="46" t="str">
        <f t="shared" si="157"/>
        <v/>
      </c>
      <c r="CG255" s="46" t="str">
        <f t="shared" si="157"/>
        <v/>
      </c>
      <c r="CH255" s="46" t="str">
        <f t="shared" si="157"/>
        <v/>
      </c>
      <c r="CI255" s="46" t="str">
        <f t="shared" si="157"/>
        <v/>
      </c>
      <c r="CJ255" s="46" t="str">
        <f t="shared" si="157"/>
        <v/>
      </c>
      <c r="CK255" s="46" t="str">
        <f t="shared" si="157"/>
        <v/>
      </c>
      <c r="CL255" s="46" t="str">
        <f t="shared" si="157"/>
        <v/>
      </c>
      <c r="CM255" s="46" t="str">
        <f t="shared" si="157"/>
        <v/>
      </c>
      <c r="CN255" s="46" t="str">
        <f t="shared" si="157"/>
        <v/>
      </c>
      <c r="CO255" s="46" t="str">
        <f t="shared" si="157"/>
        <v/>
      </c>
      <c r="CP255" s="46" t="str">
        <f t="shared" si="157"/>
        <v/>
      </c>
      <c r="CQ255" s="46" t="str">
        <f t="shared" si="157"/>
        <v/>
      </c>
      <c r="CR255" s="46" t="str">
        <f t="shared" si="157"/>
        <v/>
      </c>
      <c r="CS255" s="46" t="str">
        <f t="shared" si="157"/>
        <v/>
      </c>
      <c r="CT255" s="46" t="str">
        <f t="shared" si="157"/>
        <v/>
      </c>
      <c r="CU255" s="46" t="str">
        <f t="shared" si="157"/>
        <v/>
      </c>
      <c r="CV255" s="46" t="str">
        <f t="shared" si="157"/>
        <v/>
      </c>
      <c r="CW255" s="46" t="str">
        <f t="shared" si="157"/>
        <v/>
      </c>
      <c r="CX255" s="46" t="str">
        <f t="shared" si="157"/>
        <v/>
      </c>
      <c r="CY255" s="46" t="str">
        <f t="shared" si="157"/>
        <v/>
      </c>
      <c r="CZ255" s="46" t="str">
        <f t="shared" si="157"/>
        <v/>
      </c>
      <c r="DA255" s="46" t="str">
        <f t="shared" si="157"/>
        <v/>
      </c>
      <c r="DB255" s="46" t="str">
        <f t="shared" si="157"/>
        <v/>
      </c>
      <c r="DC255" s="46" t="str">
        <f t="shared" si="157"/>
        <v/>
      </c>
      <c r="DD255" s="46" t="str">
        <f t="shared" si="157"/>
        <v/>
      </c>
      <c r="DE255" s="46" t="str">
        <f t="shared" si="157"/>
        <v/>
      </c>
      <c r="DF255" s="46" t="str">
        <f t="shared" si="157"/>
        <v/>
      </c>
      <c r="DG255" s="46" t="str">
        <f t="shared" si="157"/>
        <v/>
      </c>
      <c r="DH255" s="46" t="str">
        <f t="shared" si="157"/>
        <v/>
      </c>
      <c r="DI255" s="46" t="str">
        <f t="shared" ref="DI255:DV255" si="158">IF(DI63="X",$DZ63,"")</f>
        <v/>
      </c>
      <c r="DJ255" s="46" t="str">
        <f t="shared" si="158"/>
        <v/>
      </c>
      <c r="DK255" s="46" t="str">
        <f t="shared" si="158"/>
        <v/>
      </c>
      <c r="DL255" s="46" t="str">
        <f t="shared" si="158"/>
        <v/>
      </c>
      <c r="DM255" s="46" t="str">
        <f t="shared" si="158"/>
        <v/>
      </c>
      <c r="DN255" s="46" t="str">
        <f t="shared" si="158"/>
        <v/>
      </c>
      <c r="DO255" s="46" t="str">
        <f t="shared" si="158"/>
        <v/>
      </c>
      <c r="DP255" s="46" t="str">
        <f t="shared" si="158"/>
        <v/>
      </c>
      <c r="DQ255" s="46" t="str">
        <f t="shared" si="158"/>
        <v/>
      </c>
      <c r="DR255" s="46" t="str">
        <f t="shared" si="158"/>
        <v/>
      </c>
      <c r="DS255" s="46" t="str">
        <f t="shared" si="158"/>
        <v/>
      </c>
      <c r="DT255" s="46" t="str">
        <f t="shared" si="158"/>
        <v/>
      </c>
      <c r="DU255" s="46" t="str">
        <f t="shared" si="158"/>
        <v/>
      </c>
      <c r="DV255" s="46" t="str">
        <f t="shared" si="158"/>
        <v/>
      </c>
      <c r="DW255" s="9"/>
      <c r="DX255" s="1"/>
    </row>
    <row r="256" spans="1:128" x14ac:dyDescent="0.25">
      <c r="A256" s="46"/>
      <c r="B256" s="46" t="str">
        <f t="shared" si="22"/>
        <v/>
      </c>
      <c r="C256" s="46" t="str">
        <f t="shared" ref="C256:BN256" si="159">IF(C63="X",$DK63,"")</f>
        <v/>
      </c>
      <c r="D256" s="46" t="str">
        <f t="shared" si="159"/>
        <v/>
      </c>
      <c r="E256" s="46" t="str">
        <f t="shared" si="159"/>
        <v/>
      </c>
      <c r="F256" s="46" t="str">
        <f t="shared" si="159"/>
        <v/>
      </c>
      <c r="G256" s="46" t="str">
        <f t="shared" si="159"/>
        <v/>
      </c>
      <c r="H256" s="46" t="str">
        <f t="shared" si="159"/>
        <v/>
      </c>
      <c r="I256" s="46" t="str">
        <f t="shared" si="159"/>
        <v/>
      </c>
      <c r="J256" s="46" t="str">
        <f t="shared" si="159"/>
        <v/>
      </c>
      <c r="K256" s="46" t="str">
        <f t="shared" si="159"/>
        <v/>
      </c>
      <c r="L256" s="46" t="str">
        <f t="shared" si="159"/>
        <v/>
      </c>
      <c r="M256" s="46" t="str">
        <f t="shared" si="159"/>
        <v/>
      </c>
      <c r="N256" s="46" t="str">
        <f t="shared" si="159"/>
        <v/>
      </c>
      <c r="O256" s="46" t="str">
        <f t="shared" si="159"/>
        <v/>
      </c>
      <c r="P256" s="46" t="str">
        <f t="shared" si="159"/>
        <v/>
      </c>
      <c r="Q256" s="46" t="str">
        <f t="shared" si="159"/>
        <v/>
      </c>
      <c r="R256" s="46" t="str">
        <f t="shared" si="159"/>
        <v/>
      </c>
      <c r="S256" s="46" t="str">
        <f t="shared" si="159"/>
        <v/>
      </c>
      <c r="T256" s="46" t="str">
        <f t="shared" si="159"/>
        <v/>
      </c>
      <c r="U256" s="46" t="str">
        <f t="shared" si="159"/>
        <v/>
      </c>
      <c r="V256" s="46" t="str">
        <f t="shared" si="159"/>
        <v/>
      </c>
      <c r="W256" s="46" t="str">
        <f t="shared" si="159"/>
        <v/>
      </c>
      <c r="X256" s="46" t="str">
        <f t="shared" si="159"/>
        <v/>
      </c>
      <c r="Y256" s="46" t="str">
        <f t="shared" si="159"/>
        <v/>
      </c>
      <c r="Z256" s="46" t="str">
        <f t="shared" si="159"/>
        <v/>
      </c>
      <c r="AA256" s="46" t="str">
        <f t="shared" si="159"/>
        <v/>
      </c>
      <c r="AB256" s="46" t="str">
        <f t="shared" si="159"/>
        <v/>
      </c>
      <c r="AC256" s="46" t="str">
        <f t="shared" si="159"/>
        <v/>
      </c>
      <c r="AD256" s="46" t="str">
        <f t="shared" si="159"/>
        <v/>
      </c>
      <c r="AE256" s="46" t="str">
        <f t="shared" si="159"/>
        <v/>
      </c>
      <c r="AF256" s="46" t="str">
        <f t="shared" si="159"/>
        <v/>
      </c>
      <c r="AG256" s="46" t="str">
        <f t="shared" si="159"/>
        <v/>
      </c>
      <c r="AH256" s="46" t="str">
        <f t="shared" si="159"/>
        <v/>
      </c>
      <c r="AI256" s="46" t="str">
        <f t="shared" si="159"/>
        <v/>
      </c>
      <c r="AJ256" s="46" t="str">
        <f t="shared" si="159"/>
        <v/>
      </c>
      <c r="AK256" s="46" t="str">
        <f t="shared" si="159"/>
        <v/>
      </c>
      <c r="AL256" s="46" t="str">
        <f t="shared" si="159"/>
        <v/>
      </c>
      <c r="AM256" s="46" t="str">
        <f t="shared" si="159"/>
        <v/>
      </c>
      <c r="AN256" s="46" t="str">
        <f t="shared" si="159"/>
        <v/>
      </c>
      <c r="AO256" s="46" t="str">
        <f t="shared" si="159"/>
        <v/>
      </c>
      <c r="AP256" s="46" t="str">
        <f t="shared" si="159"/>
        <v/>
      </c>
      <c r="AQ256" s="46" t="str">
        <f t="shared" si="159"/>
        <v/>
      </c>
      <c r="AR256" s="46" t="str">
        <f t="shared" si="159"/>
        <v/>
      </c>
      <c r="AS256" s="46" t="str">
        <f t="shared" si="159"/>
        <v/>
      </c>
      <c r="AT256" s="46" t="str">
        <f t="shared" si="159"/>
        <v/>
      </c>
      <c r="AU256" s="46" t="str">
        <f t="shared" si="159"/>
        <v/>
      </c>
      <c r="AV256" s="46" t="str">
        <f t="shared" si="159"/>
        <v/>
      </c>
      <c r="AW256" s="46" t="str">
        <f t="shared" si="159"/>
        <v/>
      </c>
      <c r="AX256" s="46" t="str">
        <f t="shared" si="159"/>
        <v/>
      </c>
      <c r="AY256" s="46" t="str">
        <f t="shared" si="159"/>
        <v/>
      </c>
      <c r="AZ256" s="46" t="str">
        <f t="shared" si="159"/>
        <v/>
      </c>
      <c r="BA256" s="46" t="str">
        <f t="shared" si="159"/>
        <v/>
      </c>
      <c r="BB256" s="46" t="str">
        <f t="shared" si="159"/>
        <v/>
      </c>
      <c r="BC256" s="46" t="str">
        <f t="shared" si="159"/>
        <v/>
      </c>
      <c r="BD256" s="46" t="str">
        <f t="shared" si="159"/>
        <v/>
      </c>
      <c r="BE256" s="46" t="str">
        <f t="shared" si="159"/>
        <v/>
      </c>
      <c r="BF256" s="46" t="str">
        <f t="shared" si="159"/>
        <v/>
      </c>
      <c r="BG256" s="46" t="str">
        <f t="shared" si="159"/>
        <v/>
      </c>
      <c r="BH256" s="46">
        <f t="shared" si="159"/>
        <v>32</v>
      </c>
      <c r="BI256" s="46" t="str">
        <f t="shared" si="159"/>
        <v/>
      </c>
      <c r="BJ256" s="46" t="str">
        <f t="shared" si="159"/>
        <v/>
      </c>
      <c r="BK256" s="46" t="str">
        <f t="shared" si="159"/>
        <v/>
      </c>
      <c r="BL256" s="46">
        <f t="shared" si="159"/>
        <v>32</v>
      </c>
      <c r="BM256" s="46">
        <f t="shared" si="159"/>
        <v>32</v>
      </c>
      <c r="BN256" s="46" t="str">
        <f t="shared" si="159"/>
        <v/>
      </c>
      <c r="BO256" s="46" t="str">
        <f t="shared" ref="BO256:DH256" si="160">IF(BO63="X",$DK63,"")</f>
        <v/>
      </c>
      <c r="BP256" s="46" t="str">
        <f t="shared" si="160"/>
        <v/>
      </c>
      <c r="BQ256" s="46" t="str">
        <f t="shared" si="160"/>
        <v/>
      </c>
      <c r="BR256" s="46" t="str">
        <f t="shared" si="160"/>
        <v/>
      </c>
      <c r="BS256" s="46" t="str">
        <f t="shared" si="160"/>
        <v/>
      </c>
      <c r="BT256" s="46" t="str">
        <f t="shared" si="160"/>
        <v/>
      </c>
      <c r="BU256" s="46" t="str">
        <f t="shared" si="160"/>
        <v/>
      </c>
      <c r="BV256" s="46" t="str">
        <f t="shared" si="160"/>
        <v/>
      </c>
      <c r="BW256" s="46" t="str">
        <f t="shared" si="160"/>
        <v/>
      </c>
      <c r="BX256" s="46" t="str">
        <f t="shared" si="160"/>
        <v/>
      </c>
      <c r="BY256" s="46" t="str">
        <f t="shared" si="160"/>
        <v/>
      </c>
      <c r="BZ256" s="46" t="str">
        <f t="shared" si="160"/>
        <v/>
      </c>
      <c r="CA256" s="46" t="str">
        <f t="shared" si="160"/>
        <v/>
      </c>
      <c r="CB256" s="46" t="str">
        <f t="shared" si="160"/>
        <v/>
      </c>
      <c r="CC256" s="46" t="str">
        <f t="shared" si="160"/>
        <v/>
      </c>
      <c r="CD256" s="46" t="str">
        <f t="shared" si="160"/>
        <v/>
      </c>
      <c r="CE256" s="46" t="str">
        <f t="shared" si="160"/>
        <v/>
      </c>
      <c r="CF256" s="46" t="str">
        <f t="shared" si="160"/>
        <v/>
      </c>
      <c r="CG256" s="46" t="str">
        <f t="shared" si="160"/>
        <v/>
      </c>
      <c r="CH256" s="46" t="str">
        <f t="shared" si="160"/>
        <v/>
      </c>
      <c r="CI256" s="46" t="str">
        <f t="shared" si="160"/>
        <v/>
      </c>
      <c r="CJ256" s="46" t="str">
        <f t="shared" si="160"/>
        <v/>
      </c>
      <c r="CK256" s="46" t="str">
        <f t="shared" si="160"/>
        <v/>
      </c>
      <c r="CL256" s="46" t="str">
        <f t="shared" si="160"/>
        <v/>
      </c>
      <c r="CM256" s="46" t="str">
        <f t="shared" si="160"/>
        <v/>
      </c>
      <c r="CN256" s="46" t="str">
        <f t="shared" si="160"/>
        <v/>
      </c>
      <c r="CO256" s="46" t="str">
        <f t="shared" si="160"/>
        <v/>
      </c>
      <c r="CP256" s="46" t="str">
        <f t="shared" si="160"/>
        <v/>
      </c>
      <c r="CQ256" s="46" t="str">
        <f t="shared" si="160"/>
        <v/>
      </c>
      <c r="CR256" s="46" t="str">
        <f t="shared" si="160"/>
        <v/>
      </c>
      <c r="CS256" s="46" t="str">
        <f t="shared" si="160"/>
        <v/>
      </c>
      <c r="CT256" s="46" t="str">
        <f t="shared" si="160"/>
        <v/>
      </c>
      <c r="CU256" s="46" t="str">
        <f t="shared" si="160"/>
        <v/>
      </c>
      <c r="CV256" s="46" t="str">
        <f t="shared" si="160"/>
        <v/>
      </c>
      <c r="CW256" s="46" t="str">
        <f t="shared" si="160"/>
        <v/>
      </c>
      <c r="CX256" s="46" t="str">
        <f t="shared" si="160"/>
        <v/>
      </c>
      <c r="CY256" s="46" t="str">
        <f t="shared" si="160"/>
        <v/>
      </c>
      <c r="CZ256" s="46" t="str">
        <f t="shared" si="160"/>
        <v/>
      </c>
      <c r="DA256" s="46" t="str">
        <f t="shared" si="160"/>
        <v/>
      </c>
      <c r="DB256" s="46" t="str">
        <f t="shared" si="160"/>
        <v/>
      </c>
      <c r="DC256" s="46" t="str">
        <f t="shared" si="160"/>
        <v/>
      </c>
      <c r="DD256" s="46" t="str">
        <f t="shared" si="160"/>
        <v/>
      </c>
      <c r="DE256" s="46" t="str">
        <f t="shared" si="160"/>
        <v/>
      </c>
      <c r="DF256" s="46" t="str">
        <f t="shared" si="160"/>
        <v/>
      </c>
      <c r="DG256" s="46" t="str">
        <f t="shared" si="160"/>
        <v/>
      </c>
      <c r="DH256" s="46" t="str">
        <f t="shared" si="160"/>
        <v/>
      </c>
      <c r="DI256" s="46" t="str">
        <f t="shared" ref="DI256:DV256" si="161">IF(DI64="X",$DZ64,"")</f>
        <v/>
      </c>
      <c r="DJ256" s="46" t="str">
        <f t="shared" si="161"/>
        <v/>
      </c>
      <c r="DK256" s="46" t="str">
        <f t="shared" si="161"/>
        <v/>
      </c>
      <c r="DL256" s="46" t="str">
        <f t="shared" si="161"/>
        <v/>
      </c>
      <c r="DM256" s="46" t="str">
        <f t="shared" si="161"/>
        <v/>
      </c>
      <c r="DN256" s="46" t="str">
        <f t="shared" si="161"/>
        <v/>
      </c>
      <c r="DO256" s="46" t="str">
        <f t="shared" si="161"/>
        <v/>
      </c>
      <c r="DP256" s="46" t="str">
        <f t="shared" si="161"/>
        <v/>
      </c>
      <c r="DQ256" s="46" t="str">
        <f t="shared" si="161"/>
        <v/>
      </c>
      <c r="DR256" s="46" t="str">
        <f t="shared" si="161"/>
        <v/>
      </c>
      <c r="DS256" s="46" t="str">
        <f t="shared" si="161"/>
        <v/>
      </c>
      <c r="DT256" s="46" t="str">
        <f t="shared" si="161"/>
        <v/>
      </c>
      <c r="DU256" s="46" t="str">
        <f t="shared" si="161"/>
        <v/>
      </c>
      <c r="DV256" s="46" t="str">
        <f t="shared" si="161"/>
        <v/>
      </c>
      <c r="DW256" s="9"/>
      <c r="DX256" s="1"/>
    </row>
    <row r="257" spans="1:128" x14ac:dyDescent="0.25">
      <c r="A257" s="46"/>
      <c r="B257" s="46" t="str">
        <f t="shared" si="22"/>
        <v/>
      </c>
      <c r="C257" s="46" t="str">
        <f t="shared" ref="C257:BN257" si="162">IF(C64="X",$DK64,"")</f>
        <v/>
      </c>
      <c r="D257" s="46" t="str">
        <f t="shared" si="162"/>
        <v/>
      </c>
      <c r="E257" s="46" t="str">
        <f t="shared" si="162"/>
        <v/>
      </c>
      <c r="F257" s="46" t="str">
        <f t="shared" si="162"/>
        <v/>
      </c>
      <c r="G257" s="46" t="str">
        <f t="shared" si="162"/>
        <v/>
      </c>
      <c r="H257" s="46" t="str">
        <f t="shared" si="162"/>
        <v/>
      </c>
      <c r="I257" s="46" t="str">
        <f t="shared" si="162"/>
        <v/>
      </c>
      <c r="J257" s="46" t="str">
        <f t="shared" si="162"/>
        <v/>
      </c>
      <c r="K257" s="46" t="str">
        <f t="shared" si="162"/>
        <v/>
      </c>
      <c r="L257" s="46" t="str">
        <f t="shared" si="162"/>
        <v/>
      </c>
      <c r="M257" s="46" t="str">
        <f t="shared" si="162"/>
        <v/>
      </c>
      <c r="N257" s="46" t="str">
        <f t="shared" si="162"/>
        <v/>
      </c>
      <c r="O257" s="46" t="str">
        <f t="shared" si="162"/>
        <v/>
      </c>
      <c r="P257" s="46" t="str">
        <f t="shared" si="162"/>
        <v/>
      </c>
      <c r="Q257" s="46" t="str">
        <f t="shared" si="162"/>
        <v/>
      </c>
      <c r="R257" s="46" t="str">
        <f t="shared" si="162"/>
        <v/>
      </c>
      <c r="S257" s="46" t="str">
        <f t="shared" si="162"/>
        <v/>
      </c>
      <c r="T257" s="46" t="str">
        <f t="shared" si="162"/>
        <v/>
      </c>
      <c r="U257" s="46" t="str">
        <f t="shared" si="162"/>
        <v/>
      </c>
      <c r="V257" s="46" t="str">
        <f t="shared" si="162"/>
        <v/>
      </c>
      <c r="W257" s="46" t="str">
        <f t="shared" si="162"/>
        <v/>
      </c>
      <c r="X257" s="46" t="str">
        <f t="shared" si="162"/>
        <v/>
      </c>
      <c r="Y257" s="46" t="str">
        <f t="shared" si="162"/>
        <v/>
      </c>
      <c r="Z257" s="46" t="str">
        <f t="shared" si="162"/>
        <v/>
      </c>
      <c r="AA257" s="46" t="str">
        <f t="shared" si="162"/>
        <v/>
      </c>
      <c r="AB257" s="46" t="str">
        <f t="shared" si="162"/>
        <v/>
      </c>
      <c r="AC257" s="46" t="str">
        <f t="shared" si="162"/>
        <v/>
      </c>
      <c r="AD257" s="46" t="str">
        <f t="shared" si="162"/>
        <v/>
      </c>
      <c r="AE257" s="46" t="str">
        <f t="shared" si="162"/>
        <v/>
      </c>
      <c r="AF257" s="46" t="str">
        <f t="shared" si="162"/>
        <v/>
      </c>
      <c r="AG257" s="46" t="str">
        <f t="shared" si="162"/>
        <v/>
      </c>
      <c r="AH257" s="46" t="str">
        <f t="shared" si="162"/>
        <v/>
      </c>
      <c r="AI257" s="46" t="str">
        <f t="shared" si="162"/>
        <v/>
      </c>
      <c r="AJ257" s="46" t="str">
        <f t="shared" si="162"/>
        <v/>
      </c>
      <c r="AK257" s="46" t="str">
        <f t="shared" si="162"/>
        <v/>
      </c>
      <c r="AL257" s="46" t="str">
        <f t="shared" si="162"/>
        <v/>
      </c>
      <c r="AM257" s="46" t="str">
        <f t="shared" si="162"/>
        <v/>
      </c>
      <c r="AN257" s="46" t="str">
        <f t="shared" si="162"/>
        <v/>
      </c>
      <c r="AO257" s="46" t="str">
        <f t="shared" si="162"/>
        <v/>
      </c>
      <c r="AP257" s="46" t="str">
        <f t="shared" si="162"/>
        <v/>
      </c>
      <c r="AQ257" s="46" t="str">
        <f t="shared" si="162"/>
        <v/>
      </c>
      <c r="AR257" s="46" t="str">
        <f t="shared" si="162"/>
        <v/>
      </c>
      <c r="AS257" s="46" t="str">
        <f t="shared" si="162"/>
        <v/>
      </c>
      <c r="AT257" s="46" t="str">
        <f t="shared" si="162"/>
        <v/>
      </c>
      <c r="AU257" s="46" t="str">
        <f t="shared" si="162"/>
        <v/>
      </c>
      <c r="AV257" s="46" t="str">
        <f t="shared" si="162"/>
        <v/>
      </c>
      <c r="AW257" s="46" t="str">
        <f t="shared" si="162"/>
        <v/>
      </c>
      <c r="AX257" s="46" t="str">
        <f t="shared" si="162"/>
        <v/>
      </c>
      <c r="AY257" s="46" t="str">
        <f t="shared" si="162"/>
        <v/>
      </c>
      <c r="AZ257" s="46" t="str">
        <f t="shared" si="162"/>
        <v/>
      </c>
      <c r="BA257" s="46" t="str">
        <f t="shared" si="162"/>
        <v/>
      </c>
      <c r="BB257" s="46" t="str">
        <f t="shared" si="162"/>
        <v/>
      </c>
      <c r="BC257" s="46" t="str">
        <f t="shared" si="162"/>
        <v/>
      </c>
      <c r="BD257" s="46" t="str">
        <f t="shared" si="162"/>
        <v/>
      </c>
      <c r="BE257" s="46" t="str">
        <f t="shared" si="162"/>
        <v/>
      </c>
      <c r="BF257" s="46" t="str">
        <f t="shared" si="162"/>
        <v/>
      </c>
      <c r="BG257" s="46" t="str">
        <f t="shared" si="162"/>
        <v/>
      </c>
      <c r="BH257" s="46">
        <f t="shared" si="162"/>
        <v>4</v>
      </c>
      <c r="BI257" s="46" t="str">
        <f t="shared" si="162"/>
        <v/>
      </c>
      <c r="BJ257" s="46" t="str">
        <f t="shared" si="162"/>
        <v/>
      </c>
      <c r="BK257" s="46" t="str">
        <f t="shared" si="162"/>
        <v/>
      </c>
      <c r="BL257" s="46" t="str">
        <f t="shared" si="162"/>
        <v/>
      </c>
      <c r="BM257" s="46" t="str">
        <f t="shared" si="162"/>
        <v/>
      </c>
      <c r="BN257" s="46" t="str">
        <f t="shared" si="162"/>
        <v/>
      </c>
      <c r="BO257" s="46" t="str">
        <f t="shared" ref="BO257:DH257" si="163">IF(BO64="X",$DK64,"")</f>
        <v/>
      </c>
      <c r="BP257" s="46" t="str">
        <f t="shared" si="163"/>
        <v/>
      </c>
      <c r="BQ257" s="46" t="str">
        <f t="shared" si="163"/>
        <v/>
      </c>
      <c r="BR257" s="46" t="str">
        <f t="shared" si="163"/>
        <v/>
      </c>
      <c r="BS257" s="46" t="str">
        <f t="shared" si="163"/>
        <v/>
      </c>
      <c r="BT257" s="46" t="str">
        <f t="shared" si="163"/>
        <v/>
      </c>
      <c r="BU257" s="46" t="str">
        <f t="shared" si="163"/>
        <v/>
      </c>
      <c r="BV257" s="46" t="str">
        <f t="shared" si="163"/>
        <v/>
      </c>
      <c r="BW257" s="46" t="str">
        <f t="shared" si="163"/>
        <v/>
      </c>
      <c r="BX257" s="46" t="str">
        <f t="shared" si="163"/>
        <v/>
      </c>
      <c r="BY257" s="46" t="str">
        <f t="shared" si="163"/>
        <v/>
      </c>
      <c r="BZ257" s="46" t="str">
        <f t="shared" si="163"/>
        <v/>
      </c>
      <c r="CA257" s="46" t="str">
        <f t="shared" si="163"/>
        <v/>
      </c>
      <c r="CB257" s="46" t="str">
        <f t="shared" si="163"/>
        <v/>
      </c>
      <c r="CC257" s="46" t="str">
        <f t="shared" si="163"/>
        <v/>
      </c>
      <c r="CD257" s="46" t="str">
        <f t="shared" si="163"/>
        <v/>
      </c>
      <c r="CE257" s="46" t="str">
        <f t="shared" si="163"/>
        <v/>
      </c>
      <c r="CF257" s="46" t="str">
        <f t="shared" si="163"/>
        <v/>
      </c>
      <c r="CG257" s="46" t="str">
        <f t="shared" si="163"/>
        <v/>
      </c>
      <c r="CH257" s="46" t="str">
        <f t="shared" si="163"/>
        <v/>
      </c>
      <c r="CI257" s="46" t="str">
        <f t="shared" si="163"/>
        <v/>
      </c>
      <c r="CJ257" s="46" t="str">
        <f t="shared" si="163"/>
        <v/>
      </c>
      <c r="CK257" s="46" t="str">
        <f t="shared" si="163"/>
        <v/>
      </c>
      <c r="CL257" s="46" t="str">
        <f t="shared" si="163"/>
        <v/>
      </c>
      <c r="CM257" s="46" t="str">
        <f t="shared" si="163"/>
        <v/>
      </c>
      <c r="CN257" s="46" t="str">
        <f t="shared" si="163"/>
        <v/>
      </c>
      <c r="CO257" s="46" t="str">
        <f t="shared" si="163"/>
        <v/>
      </c>
      <c r="CP257" s="46" t="str">
        <f t="shared" si="163"/>
        <v/>
      </c>
      <c r="CQ257" s="46" t="str">
        <f t="shared" si="163"/>
        <v/>
      </c>
      <c r="CR257" s="46" t="str">
        <f t="shared" si="163"/>
        <v/>
      </c>
      <c r="CS257" s="46" t="str">
        <f t="shared" si="163"/>
        <v/>
      </c>
      <c r="CT257" s="46" t="str">
        <f t="shared" si="163"/>
        <v/>
      </c>
      <c r="CU257" s="46" t="str">
        <f t="shared" si="163"/>
        <v/>
      </c>
      <c r="CV257" s="46" t="str">
        <f t="shared" si="163"/>
        <v/>
      </c>
      <c r="CW257" s="46" t="str">
        <f t="shared" si="163"/>
        <v/>
      </c>
      <c r="CX257" s="46" t="str">
        <f t="shared" si="163"/>
        <v/>
      </c>
      <c r="CY257" s="46" t="str">
        <f t="shared" si="163"/>
        <v/>
      </c>
      <c r="CZ257" s="46" t="str">
        <f t="shared" si="163"/>
        <v/>
      </c>
      <c r="DA257" s="46" t="str">
        <f t="shared" si="163"/>
        <v/>
      </c>
      <c r="DB257" s="46" t="str">
        <f t="shared" si="163"/>
        <v/>
      </c>
      <c r="DC257" s="46" t="str">
        <f t="shared" si="163"/>
        <v/>
      </c>
      <c r="DD257" s="46" t="str">
        <f t="shared" si="163"/>
        <v/>
      </c>
      <c r="DE257" s="46" t="str">
        <f t="shared" si="163"/>
        <v/>
      </c>
      <c r="DF257" s="46" t="str">
        <f t="shared" si="163"/>
        <v/>
      </c>
      <c r="DG257" s="46" t="str">
        <f t="shared" si="163"/>
        <v/>
      </c>
      <c r="DH257" s="46" t="str">
        <f t="shared" si="163"/>
        <v/>
      </c>
      <c r="DI257" s="46" t="str">
        <f t="shared" ref="DI257:DV257" si="164">IF(DI65="X",$DZ65,"")</f>
        <v/>
      </c>
      <c r="DJ257" s="46" t="str">
        <f t="shared" si="164"/>
        <v/>
      </c>
      <c r="DK257" s="46" t="str">
        <f t="shared" si="164"/>
        <v/>
      </c>
      <c r="DL257" s="46" t="str">
        <f t="shared" si="164"/>
        <v/>
      </c>
      <c r="DM257" s="46" t="str">
        <f t="shared" si="164"/>
        <v/>
      </c>
      <c r="DN257" s="46" t="str">
        <f t="shared" si="164"/>
        <v/>
      </c>
      <c r="DO257" s="46" t="str">
        <f t="shared" si="164"/>
        <v/>
      </c>
      <c r="DP257" s="46" t="str">
        <f t="shared" si="164"/>
        <v/>
      </c>
      <c r="DQ257" s="46" t="str">
        <f t="shared" si="164"/>
        <v/>
      </c>
      <c r="DR257" s="46" t="str">
        <f t="shared" si="164"/>
        <v/>
      </c>
      <c r="DS257" s="46" t="str">
        <f t="shared" si="164"/>
        <v/>
      </c>
      <c r="DT257" s="46" t="str">
        <f t="shared" si="164"/>
        <v/>
      </c>
      <c r="DU257" s="46" t="str">
        <f t="shared" si="164"/>
        <v/>
      </c>
      <c r="DV257" s="46" t="str">
        <f t="shared" si="164"/>
        <v/>
      </c>
      <c r="DW257" s="9"/>
      <c r="DX257" s="1"/>
    </row>
    <row r="258" spans="1:128" x14ac:dyDescent="0.25">
      <c r="A258" s="46"/>
      <c r="B258" s="46" t="str">
        <f t="shared" si="22"/>
        <v/>
      </c>
      <c r="C258" s="46" t="str">
        <f t="shared" ref="C258:BN258" si="165">IF(C65="X",$DK65,"")</f>
        <v/>
      </c>
      <c r="D258" s="46" t="str">
        <f t="shared" si="165"/>
        <v/>
      </c>
      <c r="E258" s="46" t="str">
        <f t="shared" si="165"/>
        <v/>
      </c>
      <c r="F258" s="46" t="str">
        <f t="shared" si="165"/>
        <v/>
      </c>
      <c r="G258" s="46" t="str">
        <f t="shared" si="165"/>
        <v/>
      </c>
      <c r="H258" s="46" t="str">
        <f t="shared" si="165"/>
        <v/>
      </c>
      <c r="I258" s="46" t="str">
        <f t="shared" si="165"/>
        <v/>
      </c>
      <c r="J258" s="46" t="str">
        <f t="shared" si="165"/>
        <v/>
      </c>
      <c r="K258" s="46" t="str">
        <f t="shared" si="165"/>
        <v/>
      </c>
      <c r="L258" s="46" t="str">
        <f t="shared" si="165"/>
        <v/>
      </c>
      <c r="M258" s="46" t="str">
        <f t="shared" si="165"/>
        <v/>
      </c>
      <c r="N258" s="46" t="str">
        <f t="shared" si="165"/>
        <v/>
      </c>
      <c r="O258" s="46" t="str">
        <f t="shared" si="165"/>
        <v/>
      </c>
      <c r="P258" s="46" t="str">
        <f t="shared" si="165"/>
        <v/>
      </c>
      <c r="Q258" s="46" t="str">
        <f t="shared" si="165"/>
        <v/>
      </c>
      <c r="R258" s="46" t="str">
        <f t="shared" si="165"/>
        <v/>
      </c>
      <c r="S258" s="46" t="str">
        <f t="shared" si="165"/>
        <v/>
      </c>
      <c r="T258" s="46" t="str">
        <f t="shared" si="165"/>
        <v/>
      </c>
      <c r="U258" s="46" t="str">
        <f t="shared" si="165"/>
        <v/>
      </c>
      <c r="V258" s="46" t="str">
        <f t="shared" si="165"/>
        <v/>
      </c>
      <c r="W258" s="46" t="str">
        <f t="shared" si="165"/>
        <v/>
      </c>
      <c r="X258" s="46" t="str">
        <f t="shared" si="165"/>
        <v/>
      </c>
      <c r="Y258" s="46" t="str">
        <f t="shared" si="165"/>
        <v/>
      </c>
      <c r="Z258" s="46" t="str">
        <f t="shared" si="165"/>
        <v/>
      </c>
      <c r="AA258" s="46" t="str">
        <f t="shared" si="165"/>
        <v/>
      </c>
      <c r="AB258" s="46" t="str">
        <f t="shared" si="165"/>
        <v/>
      </c>
      <c r="AC258" s="46" t="str">
        <f t="shared" si="165"/>
        <v/>
      </c>
      <c r="AD258" s="46" t="str">
        <f t="shared" si="165"/>
        <v/>
      </c>
      <c r="AE258" s="46" t="str">
        <f t="shared" si="165"/>
        <v/>
      </c>
      <c r="AF258" s="46" t="str">
        <f t="shared" si="165"/>
        <v/>
      </c>
      <c r="AG258" s="46" t="str">
        <f t="shared" si="165"/>
        <v/>
      </c>
      <c r="AH258" s="46" t="str">
        <f t="shared" si="165"/>
        <v/>
      </c>
      <c r="AI258" s="46" t="str">
        <f t="shared" si="165"/>
        <v/>
      </c>
      <c r="AJ258" s="46" t="str">
        <f t="shared" si="165"/>
        <v/>
      </c>
      <c r="AK258" s="46" t="str">
        <f t="shared" si="165"/>
        <v/>
      </c>
      <c r="AL258" s="46" t="str">
        <f t="shared" si="165"/>
        <v/>
      </c>
      <c r="AM258" s="46" t="str">
        <f t="shared" si="165"/>
        <v/>
      </c>
      <c r="AN258" s="46" t="str">
        <f t="shared" si="165"/>
        <v/>
      </c>
      <c r="AO258" s="46" t="str">
        <f t="shared" si="165"/>
        <v/>
      </c>
      <c r="AP258" s="46" t="str">
        <f t="shared" si="165"/>
        <v/>
      </c>
      <c r="AQ258" s="46" t="str">
        <f t="shared" si="165"/>
        <v/>
      </c>
      <c r="AR258" s="46" t="str">
        <f t="shared" si="165"/>
        <v/>
      </c>
      <c r="AS258" s="46" t="str">
        <f t="shared" si="165"/>
        <v/>
      </c>
      <c r="AT258" s="46" t="str">
        <f t="shared" si="165"/>
        <v/>
      </c>
      <c r="AU258" s="46" t="str">
        <f t="shared" si="165"/>
        <v/>
      </c>
      <c r="AV258" s="46" t="str">
        <f t="shared" si="165"/>
        <v/>
      </c>
      <c r="AW258" s="46" t="str">
        <f t="shared" si="165"/>
        <v/>
      </c>
      <c r="AX258" s="46" t="str">
        <f t="shared" si="165"/>
        <v/>
      </c>
      <c r="AY258" s="46" t="str">
        <f t="shared" si="165"/>
        <v/>
      </c>
      <c r="AZ258" s="46" t="str">
        <f t="shared" si="165"/>
        <v/>
      </c>
      <c r="BA258" s="46" t="str">
        <f t="shared" si="165"/>
        <v/>
      </c>
      <c r="BB258" s="46" t="str">
        <f t="shared" si="165"/>
        <v/>
      </c>
      <c r="BC258" s="46" t="str">
        <f t="shared" si="165"/>
        <v/>
      </c>
      <c r="BD258" s="46" t="str">
        <f t="shared" si="165"/>
        <v/>
      </c>
      <c r="BE258" s="46" t="str">
        <f t="shared" si="165"/>
        <v/>
      </c>
      <c r="BF258" s="46" t="str">
        <f t="shared" si="165"/>
        <v/>
      </c>
      <c r="BG258" s="46" t="str">
        <f t="shared" si="165"/>
        <v/>
      </c>
      <c r="BH258" s="46" t="str">
        <f t="shared" si="165"/>
        <v/>
      </c>
      <c r="BI258" s="46">
        <f t="shared" si="165"/>
        <v>8</v>
      </c>
      <c r="BJ258" s="46" t="str">
        <f t="shared" si="165"/>
        <v/>
      </c>
      <c r="BK258" s="46" t="str">
        <f t="shared" si="165"/>
        <v/>
      </c>
      <c r="BL258" s="46" t="str">
        <f t="shared" si="165"/>
        <v/>
      </c>
      <c r="BM258" s="46" t="str">
        <f t="shared" si="165"/>
        <v/>
      </c>
      <c r="BN258" s="46" t="str">
        <f t="shared" si="165"/>
        <v/>
      </c>
      <c r="BO258" s="46" t="str">
        <f t="shared" ref="BO258:DH258" si="166">IF(BO65="X",$DK65,"")</f>
        <v/>
      </c>
      <c r="BP258" s="46" t="str">
        <f t="shared" si="166"/>
        <v/>
      </c>
      <c r="BQ258" s="46" t="str">
        <f t="shared" si="166"/>
        <v/>
      </c>
      <c r="BR258" s="46" t="str">
        <f t="shared" si="166"/>
        <v/>
      </c>
      <c r="BS258" s="46" t="str">
        <f t="shared" si="166"/>
        <v/>
      </c>
      <c r="BT258" s="46" t="str">
        <f t="shared" si="166"/>
        <v/>
      </c>
      <c r="BU258" s="46" t="str">
        <f t="shared" si="166"/>
        <v/>
      </c>
      <c r="BV258" s="46" t="str">
        <f t="shared" si="166"/>
        <v/>
      </c>
      <c r="BW258" s="46" t="str">
        <f t="shared" si="166"/>
        <v/>
      </c>
      <c r="BX258" s="46" t="str">
        <f t="shared" si="166"/>
        <v/>
      </c>
      <c r="BY258" s="46" t="str">
        <f t="shared" si="166"/>
        <v/>
      </c>
      <c r="BZ258" s="46" t="str">
        <f t="shared" si="166"/>
        <v/>
      </c>
      <c r="CA258" s="46" t="str">
        <f t="shared" si="166"/>
        <v/>
      </c>
      <c r="CB258" s="46" t="str">
        <f t="shared" si="166"/>
        <v/>
      </c>
      <c r="CC258" s="46" t="str">
        <f t="shared" si="166"/>
        <v/>
      </c>
      <c r="CD258" s="46" t="str">
        <f t="shared" si="166"/>
        <v/>
      </c>
      <c r="CE258" s="46" t="str">
        <f t="shared" si="166"/>
        <v/>
      </c>
      <c r="CF258" s="46" t="str">
        <f t="shared" si="166"/>
        <v/>
      </c>
      <c r="CG258" s="46" t="str">
        <f t="shared" si="166"/>
        <v/>
      </c>
      <c r="CH258" s="46" t="str">
        <f t="shared" si="166"/>
        <v/>
      </c>
      <c r="CI258" s="46" t="str">
        <f t="shared" si="166"/>
        <v/>
      </c>
      <c r="CJ258" s="46" t="str">
        <f t="shared" si="166"/>
        <v/>
      </c>
      <c r="CK258" s="46" t="str">
        <f t="shared" si="166"/>
        <v/>
      </c>
      <c r="CL258" s="46" t="str">
        <f t="shared" si="166"/>
        <v/>
      </c>
      <c r="CM258" s="46" t="str">
        <f t="shared" si="166"/>
        <v/>
      </c>
      <c r="CN258" s="46" t="str">
        <f t="shared" si="166"/>
        <v/>
      </c>
      <c r="CO258" s="46" t="str">
        <f t="shared" si="166"/>
        <v/>
      </c>
      <c r="CP258" s="46" t="str">
        <f t="shared" si="166"/>
        <v/>
      </c>
      <c r="CQ258" s="46" t="str">
        <f t="shared" si="166"/>
        <v/>
      </c>
      <c r="CR258" s="46" t="str">
        <f t="shared" si="166"/>
        <v/>
      </c>
      <c r="CS258" s="46" t="str">
        <f t="shared" si="166"/>
        <v/>
      </c>
      <c r="CT258" s="46" t="str">
        <f t="shared" si="166"/>
        <v/>
      </c>
      <c r="CU258" s="46" t="str">
        <f t="shared" si="166"/>
        <v/>
      </c>
      <c r="CV258" s="46" t="str">
        <f t="shared" si="166"/>
        <v/>
      </c>
      <c r="CW258" s="46" t="str">
        <f t="shared" si="166"/>
        <v/>
      </c>
      <c r="CX258" s="46" t="str">
        <f t="shared" si="166"/>
        <v/>
      </c>
      <c r="CY258" s="46" t="str">
        <f t="shared" si="166"/>
        <v/>
      </c>
      <c r="CZ258" s="46" t="str">
        <f t="shared" si="166"/>
        <v/>
      </c>
      <c r="DA258" s="46" t="str">
        <f t="shared" si="166"/>
        <v/>
      </c>
      <c r="DB258" s="46" t="str">
        <f t="shared" si="166"/>
        <v/>
      </c>
      <c r="DC258" s="46" t="str">
        <f t="shared" si="166"/>
        <v/>
      </c>
      <c r="DD258" s="46" t="str">
        <f t="shared" si="166"/>
        <v/>
      </c>
      <c r="DE258" s="46" t="str">
        <f t="shared" si="166"/>
        <v/>
      </c>
      <c r="DF258" s="46" t="str">
        <f t="shared" si="166"/>
        <v/>
      </c>
      <c r="DG258" s="46" t="str">
        <f t="shared" si="166"/>
        <v/>
      </c>
      <c r="DH258" s="46" t="str">
        <f t="shared" si="166"/>
        <v/>
      </c>
      <c r="DI258" s="46" t="str">
        <f t="shared" ref="DI258:DV258" si="167">IF(DI66="X",$DZ66,"")</f>
        <v/>
      </c>
      <c r="DJ258" s="46" t="str">
        <f t="shared" si="167"/>
        <v/>
      </c>
      <c r="DK258" s="46" t="str">
        <f t="shared" si="167"/>
        <v/>
      </c>
      <c r="DL258" s="46" t="str">
        <f t="shared" si="167"/>
        <v/>
      </c>
      <c r="DM258" s="46" t="str">
        <f t="shared" si="167"/>
        <v/>
      </c>
      <c r="DN258" s="46" t="str">
        <f t="shared" si="167"/>
        <v/>
      </c>
      <c r="DO258" s="46" t="str">
        <f t="shared" si="167"/>
        <v/>
      </c>
      <c r="DP258" s="46" t="str">
        <f t="shared" si="167"/>
        <v/>
      </c>
      <c r="DQ258" s="46" t="str">
        <f t="shared" si="167"/>
        <v/>
      </c>
      <c r="DR258" s="46" t="str">
        <f t="shared" si="167"/>
        <v/>
      </c>
      <c r="DS258" s="46" t="str">
        <f t="shared" si="167"/>
        <v/>
      </c>
      <c r="DT258" s="46" t="str">
        <f t="shared" si="167"/>
        <v/>
      </c>
      <c r="DU258" s="46" t="str">
        <f t="shared" si="167"/>
        <v/>
      </c>
      <c r="DV258" s="46" t="str">
        <f t="shared" si="167"/>
        <v/>
      </c>
      <c r="DW258" s="9"/>
      <c r="DX258" s="1"/>
    </row>
    <row r="259" spans="1:128" x14ac:dyDescent="0.25">
      <c r="A259" s="46"/>
      <c r="B259" s="46" t="str">
        <f t="shared" si="22"/>
        <v/>
      </c>
      <c r="C259" s="46" t="str">
        <f t="shared" ref="C259:BN259" si="168">IF(C66="X",$DK66,"")</f>
        <v/>
      </c>
      <c r="D259" s="46" t="str">
        <f t="shared" si="168"/>
        <v/>
      </c>
      <c r="E259" s="46" t="str">
        <f t="shared" si="168"/>
        <v/>
      </c>
      <c r="F259" s="46" t="str">
        <f t="shared" si="168"/>
        <v/>
      </c>
      <c r="G259" s="46" t="str">
        <f t="shared" si="168"/>
        <v/>
      </c>
      <c r="H259" s="46" t="str">
        <f t="shared" si="168"/>
        <v/>
      </c>
      <c r="I259" s="46" t="str">
        <f t="shared" si="168"/>
        <v/>
      </c>
      <c r="J259" s="46" t="str">
        <f t="shared" si="168"/>
        <v/>
      </c>
      <c r="K259" s="46" t="str">
        <f t="shared" si="168"/>
        <v/>
      </c>
      <c r="L259" s="46" t="str">
        <f t="shared" si="168"/>
        <v/>
      </c>
      <c r="M259" s="46" t="str">
        <f t="shared" si="168"/>
        <v/>
      </c>
      <c r="N259" s="46" t="str">
        <f t="shared" si="168"/>
        <v/>
      </c>
      <c r="O259" s="46" t="str">
        <f t="shared" si="168"/>
        <v/>
      </c>
      <c r="P259" s="46" t="str">
        <f t="shared" si="168"/>
        <v/>
      </c>
      <c r="Q259" s="46" t="str">
        <f t="shared" si="168"/>
        <v/>
      </c>
      <c r="R259" s="46" t="str">
        <f t="shared" si="168"/>
        <v/>
      </c>
      <c r="S259" s="46" t="str">
        <f t="shared" si="168"/>
        <v/>
      </c>
      <c r="T259" s="46" t="str">
        <f t="shared" si="168"/>
        <v/>
      </c>
      <c r="U259" s="46" t="str">
        <f t="shared" si="168"/>
        <v/>
      </c>
      <c r="V259" s="46" t="str">
        <f t="shared" si="168"/>
        <v/>
      </c>
      <c r="W259" s="46" t="str">
        <f t="shared" si="168"/>
        <v/>
      </c>
      <c r="X259" s="46" t="str">
        <f t="shared" si="168"/>
        <v/>
      </c>
      <c r="Y259" s="46" t="str">
        <f t="shared" si="168"/>
        <v/>
      </c>
      <c r="Z259" s="46" t="str">
        <f t="shared" si="168"/>
        <v/>
      </c>
      <c r="AA259" s="46" t="str">
        <f t="shared" si="168"/>
        <v/>
      </c>
      <c r="AB259" s="46" t="str">
        <f t="shared" si="168"/>
        <v/>
      </c>
      <c r="AC259" s="46" t="str">
        <f t="shared" si="168"/>
        <v/>
      </c>
      <c r="AD259" s="46" t="str">
        <f t="shared" si="168"/>
        <v/>
      </c>
      <c r="AE259" s="46" t="str">
        <f t="shared" si="168"/>
        <v/>
      </c>
      <c r="AF259" s="46" t="str">
        <f t="shared" si="168"/>
        <v/>
      </c>
      <c r="AG259" s="46" t="str">
        <f t="shared" si="168"/>
        <v/>
      </c>
      <c r="AH259" s="46" t="str">
        <f t="shared" si="168"/>
        <v/>
      </c>
      <c r="AI259" s="46" t="str">
        <f t="shared" si="168"/>
        <v/>
      </c>
      <c r="AJ259" s="46" t="str">
        <f t="shared" si="168"/>
        <v/>
      </c>
      <c r="AK259" s="46" t="str">
        <f t="shared" si="168"/>
        <v/>
      </c>
      <c r="AL259" s="46" t="str">
        <f t="shared" si="168"/>
        <v/>
      </c>
      <c r="AM259" s="46" t="str">
        <f t="shared" si="168"/>
        <v/>
      </c>
      <c r="AN259" s="46" t="str">
        <f t="shared" si="168"/>
        <v/>
      </c>
      <c r="AO259" s="46" t="str">
        <f t="shared" si="168"/>
        <v/>
      </c>
      <c r="AP259" s="46" t="str">
        <f t="shared" si="168"/>
        <v/>
      </c>
      <c r="AQ259" s="46" t="str">
        <f t="shared" si="168"/>
        <v/>
      </c>
      <c r="AR259" s="46" t="str">
        <f t="shared" si="168"/>
        <v/>
      </c>
      <c r="AS259" s="46" t="str">
        <f t="shared" si="168"/>
        <v/>
      </c>
      <c r="AT259" s="46" t="str">
        <f t="shared" si="168"/>
        <v/>
      </c>
      <c r="AU259" s="46" t="str">
        <f t="shared" si="168"/>
        <v/>
      </c>
      <c r="AV259" s="46" t="str">
        <f t="shared" si="168"/>
        <v/>
      </c>
      <c r="AW259" s="46" t="str">
        <f t="shared" si="168"/>
        <v/>
      </c>
      <c r="AX259" s="46" t="str">
        <f t="shared" si="168"/>
        <v/>
      </c>
      <c r="AY259" s="46" t="str">
        <f t="shared" si="168"/>
        <v/>
      </c>
      <c r="AZ259" s="46" t="str">
        <f t="shared" si="168"/>
        <v/>
      </c>
      <c r="BA259" s="46" t="str">
        <f t="shared" si="168"/>
        <v/>
      </c>
      <c r="BB259" s="46" t="str">
        <f t="shared" si="168"/>
        <v/>
      </c>
      <c r="BC259" s="46" t="str">
        <f t="shared" si="168"/>
        <v/>
      </c>
      <c r="BD259" s="46" t="str">
        <f t="shared" si="168"/>
        <v/>
      </c>
      <c r="BE259" s="46">
        <f t="shared" si="168"/>
        <v>4</v>
      </c>
      <c r="BF259" s="46" t="str">
        <f t="shared" si="168"/>
        <v/>
      </c>
      <c r="BG259" s="46">
        <f t="shared" si="168"/>
        <v>4</v>
      </c>
      <c r="BH259" s="46">
        <f t="shared" si="168"/>
        <v>4</v>
      </c>
      <c r="BI259" s="46" t="str">
        <f t="shared" si="168"/>
        <v/>
      </c>
      <c r="BJ259" s="46" t="str">
        <f t="shared" si="168"/>
        <v/>
      </c>
      <c r="BK259" s="46" t="str">
        <f t="shared" si="168"/>
        <v/>
      </c>
      <c r="BL259" s="46" t="str">
        <f t="shared" si="168"/>
        <v/>
      </c>
      <c r="BM259" s="46" t="str">
        <f t="shared" si="168"/>
        <v/>
      </c>
      <c r="BN259" s="46" t="str">
        <f t="shared" si="168"/>
        <v/>
      </c>
      <c r="BO259" s="46" t="str">
        <f t="shared" ref="BO259:DH259" si="169">IF(BO66="X",$DK66,"")</f>
        <v/>
      </c>
      <c r="BP259" s="46" t="str">
        <f t="shared" si="169"/>
        <v/>
      </c>
      <c r="BQ259" s="46" t="str">
        <f t="shared" si="169"/>
        <v/>
      </c>
      <c r="BR259" s="46" t="str">
        <f t="shared" si="169"/>
        <v/>
      </c>
      <c r="BS259" s="46" t="str">
        <f t="shared" si="169"/>
        <v/>
      </c>
      <c r="BT259" s="46" t="str">
        <f t="shared" si="169"/>
        <v/>
      </c>
      <c r="BU259" s="46" t="str">
        <f t="shared" si="169"/>
        <v/>
      </c>
      <c r="BV259" s="46" t="str">
        <f t="shared" si="169"/>
        <v/>
      </c>
      <c r="BW259" s="46" t="str">
        <f t="shared" si="169"/>
        <v/>
      </c>
      <c r="BX259" s="46" t="str">
        <f t="shared" si="169"/>
        <v/>
      </c>
      <c r="BY259" s="46" t="str">
        <f t="shared" si="169"/>
        <v/>
      </c>
      <c r="BZ259" s="46" t="str">
        <f t="shared" si="169"/>
        <v/>
      </c>
      <c r="CA259" s="46" t="str">
        <f t="shared" si="169"/>
        <v/>
      </c>
      <c r="CB259" s="46" t="str">
        <f t="shared" si="169"/>
        <v/>
      </c>
      <c r="CC259" s="46" t="str">
        <f t="shared" si="169"/>
        <v/>
      </c>
      <c r="CD259" s="46" t="str">
        <f t="shared" si="169"/>
        <v/>
      </c>
      <c r="CE259" s="46" t="str">
        <f t="shared" si="169"/>
        <v/>
      </c>
      <c r="CF259" s="46" t="str">
        <f t="shared" si="169"/>
        <v/>
      </c>
      <c r="CG259" s="46" t="str">
        <f t="shared" si="169"/>
        <v/>
      </c>
      <c r="CH259" s="46" t="str">
        <f t="shared" si="169"/>
        <v/>
      </c>
      <c r="CI259" s="46" t="str">
        <f t="shared" si="169"/>
        <v/>
      </c>
      <c r="CJ259" s="46" t="str">
        <f t="shared" si="169"/>
        <v/>
      </c>
      <c r="CK259" s="46" t="str">
        <f t="shared" si="169"/>
        <v/>
      </c>
      <c r="CL259" s="46" t="str">
        <f t="shared" si="169"/>
        <v/>
      </c>
      <c r="CM259" s="46" t="str">
        <f t="shared" si="169"/>
        <v/>
      </c>
      <c r="CN259" s="46" t="str">
        <f t="shared" si="169"/>
        <v/>
      </c>
      <c r="CO259" s="46" t="str">
        <f t="shared" si="169"/>
        <v/>
      </c>
      <c r="CP259" s="46" t="str">
        <f t="shared" si="169"/>
        <v/>
      </c>
      <c r="CQ259" s="46" t="str">
        <f t="shared" si="169"/>
        <v/>
      </c>
      <c r="CR259" s="46" t="str">
        <f t="shared" si="169"/>
        <v/>
      </c>
      <c r="CS259" s="46" t="str">
        <f t="shared" si="169"/>
        <v/>
      </c>
      <c r="CT259" s="46" t="str">
        <f t="shared" si="169"/>
        <v/>
      </c>
      <c r="CU259" s="46" t="str">
        <f t="shared" si="169"/>
        <v/>
      </c>
      <c r="CV259" s="46" t="str">
        <f t="shared" si="169"/>
        <v/>
      </c>
      <c r="CW259" s="46" t="str">
        <f t="shared" si="169"/>
        <v/>
      </c>
      <c r="CX259" s="46" t="str">
        <f t="shared" si="169"/>
        <v/>
      </c>
      <c r="CY259" s="46" t="str">
        <f t="shared" si="169"/>
        <v/>
      </c>
      <c r="CZ259" s="46" t="str">
        <f t="shared" si="169"/>
        <v/>
      </c>
      <c r="DA259" s="46" t="str">
        <f t="shared" si="169"/>
        <v/>
      </c>
      <c r="DB259" s="46" t="str">
        <f t="shared" si="169"/>
        <v/>
      </c>
      <c r="DC259" s="46" t="str">
        <f t="shared" si="169"/>
        <v/>
      </c>
      <c r="DD259" s="46" t="str">
        <f t="shared" si="169"/>
        <v/>
      </c>
      <c r="DE259" s="46" t="str">
        <f t="shared" si="169"/>
        <v/>
      </c>
      <c r="DF259" s="46" t="str">
        <f t="shared" si="169"/>
        <v/>
      </c>
      <c r="DG259" s="46" t="str">
        <f t="shared" si="169"/>
        <v/>
      </c>
      <c r="DH259" s="46" t="str">
        <f t="shared" si="169"/>
        <v/>
      </c>
      <c r="DI259" s="46" t="str">
        <f t="shared" ref="DI259:DV259" si="170">IF(DI67="X",$DZ67,"")</f>
        <v/>
      </c>
      <c r="DJ259" s="46" t="str">
        <f t="shared" si="170"/>
        <v/>
      </c>
      <c r="DK259" s="46" t="str">
        <f t="shared" si="170"/>
        <v/>
      </c>
      <c r="DL259" s="46" t="str">
        <f t="shared" si="170"/>
        <v/>
      </c>
      <c r="DM259" s="46" t="str">
        <f t="shared" si="170"/>
        <v/>
      </c>
      <c r="DN259" s="46" t="str">
        <f t="shared" si="170"/>
        <v/>
      </c>
      <c r="DO259" s="46" t="str">
        <f t="shared" si="170"/>
        <v/>
      </c>
      <c r="DP259" s="46" t="str">
        <f t="shared" si="170"/>
        <v/>
      </c>
      <c r="DQ259" s="46" t="str">
        <f t="shared" si="170"/>
        <v/>
      </c>
      <c r="DR259" s="46" t="str">
        <f t="shared" si="170"/>
        <v/>
      </c>
      <c r="DS259" s="46" t="str">
        <f t="shared" si="170"/>
        <v/>
      </c>
      <c r="DT259" s="46" t="str">
        <f t="shared" si="170"/>
        <v/>
      </c>
      <c r="DU259" s="46" t="str">
        <f t="shared" si="170"/>
        <v/>
      </c>
      <c r="DV259" s="46" t="str">
        <f t="shared" si="170"/>
        <v/>
      </c>
      <c r="DW259" s="9"/>
      <c r="DX259" s="1"/>
    </row>
    <row r="260" spans="1:128" x14ac:dyDescent="0.25">
      <c r="A260" s="46"/>
      <c r="B260" s="46" t="str">
        <f t="shared" si="22"/>
        <v/>
      </c>
      <c r="C260" s="46" t="str">
        <f t="shared" ref="C260:BN260" si="171">IF(C67="X",$DK67,"")</f>
        <v/>
      </c>
      <c r="D260" s="46" t="str">
        <f t="shared" si="171"/>
        <v/>
      </c>
      <c r="E260" s="46" t="str">
        <f t="shared" si="171"/>
        <v/>
      </c>
      <c r="F260" s="46" t="str">
        <f t="shared" si="171"/>
        <v/>
      </c>
      <c r="G260" s="46" t="str">
        <f t="shared" si="171"/>
        <v/>
      </c>
      <c r="H260" s="46" t="str">
        <f t="shared" si="171"/>
        <v/>
      </c>
      <c r="I260" s="46" t="str">
        <f t="shared" si="171"/>
        <v/>
      </c>
      <c r="J260" s="46" t="str">
        <f t="shared" si="171"/>
        <v/>
      </c>
      <c r="K260" s="46" t="str">
        <f t="shared" si="171"/>
        <v/>
      </c>
      <c r="L260" s="46" t="str">
        <f t="shared" si="171"/>
        <v/>
      </c>
      <c r="M260" s="46" t="str">
        <f t="shared" si="171"/>
        <v/>
      </c>
      <c r="N260" s="46" t="str">
        <f t="shared" si="171"/>
        <v/>
      </c>
      <c r="O260" s="46" t="str">
        <f t="shared" si="171"/>
        <v/>
      </c>
      <c r="P260" s="46" t="str">
        <f t="shared" si="171"/>
        <v/>
      </c>
      <c r="Q260" s="46" t="str">
        <f t="shared" si="171"/>
        <v/>
      </c>
      <c r="R260" s="46" t="str">
        <f t="shared" si="171"/>
        <v/>
      </c>
      <c r="S260" s="46" t="str">
        <f t="shared" si="171"/>
        <v/>
      </c>
      <c r="T260" s="46" t="str">
        <f t="shared" si="171"/>
        <v/>
      </c>
      <c r="U260" s="46" t="str">
        <f t="shared" si="171"/>
        <v/>
      </c>
      <c r="V260" s="46" t="str">
        <f t="shared" si="171"/>
        <v/>
      </c>
      <c r="W260" s="46" t="str">
        <f t="shared" si="171"/>
        <v/>
      </c>
      <c r="X260" s="46" t="str">
        <f t="shared" si="171"/>
        <v/>
      </c>
      <c r="Y260" s="46" t="str">
        <f t="shared" si="171"/>
        <v/>
      </c>
      <c r="Z260" s="46" t="str">
        <f t="shared" si="171"/>
        <v/>
      </c>
      <c r="AA260" s="46" t="str">
        <f t="shared" si="171"/>
        <v/>
      </c>
      <c r="AB260" s="46" t="str">
        <f t="shared" si="171"/>
        <v/>
      </c>
      <c r="AC260" s="46" t="str">
        <f t="shared" si="171"/>
        <v/>
      </c>
      <c r="AD260" s="46" t="str">
        <f t="shared" si="171"/>
        <v/>
      </c>
      <c r="AE260" s="46" t="str">
        <f t="shared" si="171"/>
        <v/>
      </c>
      <c r="AF260" s="46" t="str">
        <f t="shared" si="171"/>
        <v/>
      </c>
      <c r="AG260" s="46" t="str">
        <f t="shared" si="171"/>
        <v/>
      </c>
      <c r="AH260" s="46" t="str">
        <f t="shared" si="171"/>
        <v/>
      </c>
      <c r="AI260" s="46" t="str">
        <f t="shared" si="171"/>
        <v/>
      </c>
      <c r="AJ260" s="46" t="str">
        <f t="shared" si="171"/>
        <v/>
      </c>
      <c r="AK260" s="46" t="str">
        <f t="shared" si="171"/>
        <v/>
      </c>
      <c r="AL260" s="46" t="str">
        <f t="shared" si="171"/>
        <v/>
      </c>
      <c r="AM260" s="46" t="str">
        <f t="shared" si="171"/>
        <v/>
      </c>
      <c r="AN260" s="46" t="str">
        <f t="shared" si="171"/>
        <v/>
      </c>
      <c r="AO260" s="46" t="str">
        <f t="shared" si="171"/>
        <v/>
      </c>
      <c r="AP260" s="46" t="str">
        <f t="shared" si="171"/>
        <v/>
      </c>
      <c r="AQ260" s="46" t="str">
        <f t="shared" si="171"/>
        <v/>
      </c>
      <c r="AR260" s="46" t="str">
        <f t="shared" si="171"/>
        <v/>
      </c>
      <c r="AS260" s="46" t="str">
        <f t="shared" si="171"/>
        <v/>
      </c>
      <c r="AT260" s="46" t="str">
        <f t="shared" si="171"/>
        <v/>
      </c>
      <c r="AU260" s="46" t="str">
        <f t="shared" si="171"/>
        <v/>
      </c>
      <c r="AV260" s="46" t="str">
        <f t="shared" si="171"/>
        <v/>
      </c>
      <c r="AW260" s="46" t="str">
        <f t="shared" si="171"/>
        <v/>
      </c>
      <c r="AX260" s="46" t="str">
        <f t="shared" si="171"/>
        <v/>
      </c>
      <c r="AY260" s="46" t="str">
        <f t="shared" si="171"/>
        <v/>
      </c>
      <c r="AZ260" s="46" t="str">
        <f t="shared" si="171"/>
        <v/>
      </c>
      <c r="BA260" s="46" t="str">
        <f t="shared" si="171"/>
        <v/>
      </c>
      <c r="BB260" s="46" t="str">
        <f t="shared" si="171"/>
        <v/>
      </c>
      <c r="BC260" s="46" t="str">
        <f t="shared" si="171"/>
        <v/>
      </c>
      <c r="BD260" s="46" t="str">
        <f t="shared" si="171"/>
        <v/>
      </c>
      <c r="BE260" s="46" t="str">
        <f t="shared" si="171"/>
        <v/>
      </c>
      <c r="BF260" s="46" t="str">
        <f t="shared" si="171"/>
        <v/>
      </c>
      <c r="BG260" s="46" t="str">
        <f t="shared" si="171"/>
        <v/>
      </c>
      <c r="BH260" s="46" t="str">
        <f t="shared" si="171"/>
        <v/>
      </c>
      <c r="BI260" s="46" t="str">
        <f t="shared" si="171"/>
        <v/>
      </c>
      <c r="BJ260" s="46" t="str">
        <f t="shared" si="171"/>
        <v/>
      </c>
      <c r="BK260" s="46" t="str">
        <f t="shared" si="171"/>
        <v/>
      </c>
      <c r="BL260" s="46" t="str">
        <f t="shared" si="171"/>
        <v/>
      </c>
      <c r="BM260" s="46" t="str">
        <f t="shared" si="171"/>
        <v/>
      </c>
      <c r="BN260" s="46" t="str">
        <f t="shared" si="171"/>
        <v/>
      </c>
      <c r="BO260" s="46" t="str">
        <f t="shared" ref="BO260:DH260" si="172">IF(BO67="X",$DK67,"")</f>
        <v/>
      </c>
      <c r="BP260" s="46" t="str">
        <f t="shared" si="172"/>
        <v/>
      </c>
      <c r="BQ260" s="46" t="str">
        <f t="shared" si="172"/>
        <v/>
      </c>
      <c r="BR260" s="46" t="str">
        <f t="shared" si="172"/>
        <v/>
      </c>
      <c r="BS260" s="46" t="str">
        <f t="shared" si="172"/>
        <v/>
      </c>
      <c r="BT260" s="46" t="str">
        <f t="shared" si="172"/>
        <v/>
      </c>
      <c r="BU260" s="46" t="str">
        <f t="shared" si="172"/>
        <v/>
      </c>
      <c r="BV260" s="46" t="str">
        <f t="shared" si="172"/>
        <v/>
      </c>
      <c r="BW260" s="46" t="str">
        <f t="shared" si="172"/>
        <v/>
      </c>
      <c r="BX260" s="46" t="str">
        <f t="shared" si="172"/>
        <v/>
      </c>
      <c r="BY260" s="46" t="str">
        <f t="shared" si="172"/>
        <v/>
      </c>
      <c r="BZ260" s="46" t="str">
        <f t="shared" si="172"/>
        <v/>
      </c>
      <c r="CA260" s="46" t="str">
        <f t="shared" si="172"/>
        <v/>
      </c>
      <c r="CB260" s="46" t="str">
        <f t="shared" si="172"/>
        <v/>
      </c>
      <c r="CC260" s="46" t="str">
        <f t="shared" si="172"/>
        <v/>
      </c>
      <c r="CD260" s="46" t="str">
        <f t="shared" si="172"/>
        <v/>
      </c>
      <c r="CE260" s="46" t="str">
        <f t="shared" si="172"/>
        <v/>
      </c>
      <c r="CF260" s="46" t="str">
        <f t="shared" si="172"/>
        <v/>
      </c>
      <c r="CG260" s="46" t="str">
        <f t="shared" si="172"/>
        <v/>
      </c>
      <c r="CH260" s="46" t="str">
        <f t="shared" si="172"/>
        <v/>
      </c>
      <c r="CI260" s="46" t="str">
        <f t="shared" si="172"/>
        <v/>
      </c>
      <c r="CJ260" s="46" t="str">
        <f t="shared" si="172"/>
        <v/>
      </c>
      <c r="CK260" s="46" t="str">
        <f t="shared" si="172"/>
        <v/>
      </c>
      <c r="CL260" s="46" t="str">
        <f t="shared" si="172"/>
        <v/>
      </c>
      <c r="CM260" s="46" t="str">
        <f t="shared" si="172"/>
        <v/>
      </c>
      <c r="CN260" s="46" t="str">
        <f t="shared" si="172"/>
        <v/>
      </c>
      <c r="CO260" s="46" t="str">
        <f t="shared" si="172"/>
        <v/>
      </c>
      <c r="CP260" s="46" t="str">
        <f t="shared" si="172"/>
        <v/>
      </c>
      <c r="CQ260" s="46" t="str">
        <f t="shared" si="172"/>
        <v/>
      </c>
      <c r="CR260" s="46" t="str">
        <f t="shared" si="172"/>
        <v/>
      </c>
      <c r="CS260" s="46" t="str">
        <f t="shared" si="172"/>
        <v/>
      </c>
      <c r="CT260" s="46" t="str">
        <f t="shared" si="172"/>
        <v/>
      </c>
      <c r="CU260" s="46" t="str">
        <f t="shared" si="172"/>
        <v/>
      </c>
      <c r="CV260" s="46" t="str">
        <f t="shared" si="172"/>
        <v/>
      </c>
      <c r="CW260" s="46" t="str">
        <f t="shared" si="172"/>
        <v/>
      </c>
      <c r="CX260" s="46" t="str">
        <f t="shared" si="172"/>
        <v/>
      </c>
      <c r="CY260" s="46" t="str">
        <f t="shared" si="172"/>
        <v/>
      </c>
      <c r="CZ260" s="46" t="str">
        <f t="shared" si="172"/>
        <v/>
      </c>
      <c r="DA260" s="46" t="str">
        <f t="shared" si="172"/>
        <v/>
      </c>
      <c r="DB260" s="46" t="str">
        <f t="shared" si="172"/>
        <v/>
      </c>
      <c r="DC260" s="46" t="str">
        <f t="shared" si="172"/>
        <v/>
      </c>
      <c r="DD260" s="46" t="str">
        <f t="shared" si="172"/>
        <v/>
      </c>
      <c r="DE260" s="46" t="str">
        <f t="shared" si="172"/>
        <v/>
      </c>
      <c r="DF260" s="46" t="str">
        <f t="shared" si="172"/>
        <v/>
      </c>
      <c r="DG260" s="46" t="str">
        <f t="shared" si="172"/>
        <v/>
      </c>
      <c r="DH260" s="46" t="str">
        <f t="shared" si="172"/>
        <v/>
      </c>
      <c r="DI260" s="46" t="str">
        <f t="shared" ref="DI260:DV260" si="173">IF(DI68="X",$DZ68,"")</f>
        <v/>
      </c>
      <c r="DJ260" s="46" t="str">
        <f t="shared" si="173"/>
        <v/>
      </c>
      <c r="DK260" s="46" t="str">
        <f t="shared" si="173"/>
        <v/>
      </c>
      <c r="DL260" s="46" t="str">
        <f t="shared" si="173"/>
        <v/>
      </c>
      <c r="DM260" s="46" t="str">
        <f t="shared" si="173"/>
        <v/>
      </c>
      <c r="DN260" s="46" t="str">
        <f t="shared" si="173"/>
        <v/>
      </c>
      <c r="DO260" s="46" t="str">
        <f t="shared" si="173"/>
        <v/>
      </c>
      <c r="DP260" s="46" t="str">
        <f t="shared" si="173"/>
        <v/>
      </c>
      <c r="DQ260" s="46" t="str">
        <f t="shared" si="173"/>
        <v/>
      </c>
      <c r="DR260" s="46" t="str">
        <f t="shared" si="173"/>
        <v/>
      </c>
      <c r="DS260" s="46" t="str">
        <f t="shared" si="173"/>
        <v/>
      </c>
      <c r="DT260" s="46" t="str">
        <f t="shared" si="173"/>
        <v/>
      </c>
      <c r="DU260" s="46" t="str">
        <f t="shared" si="173"/>
        <v/>
      </c>
      <c r="DV260" s="46" t="str">
        <f t="shared" si="173"/>
        <v/>
      </c>
      <c r="DW260" s="9"/>
      <c r="DX260" s="1"/>
    </row>
    <row r="261" spans="1:128" s="47" customFormat="1" x14ac:dyDescent="0.25">
      <c r="A261" s="48"/>
      <c r="C261" s="48"/>
      <c r="D261" s="48"/>
      <c r="E261" s="48"/>
      <c r="F261" s="48"/>
      <c r="G261" s="48"/>
      <c r="H261" s="48"/>
      <c r="I261" s="48"/>
      <c r="J261" s="48"/>
      <c r="K261" s="48"/>
      <c r="L261" s="48"/>
      <c r="M261" s="48"/>
      <c r="N261" s="48"/>
      <c r="O261" s="48"/>
      <c r="P261" s="48"/>
      <c r="Q261" s="48"/>
      <c r="R261" s="48"/>
      <c r="S261" s="48"/>
      <c r="T261" s="49"/>
      <c r="U261" s="49"/>
      <c r="V261" s="49"/>
      <c r="W261" s="49"/>
      <c r="X261" s="49"/>
      <c r="Y261" s="49"/>
      <c r="Z261" s="49"/>
      <c r="AA261" s="49"/>
      <c r="AB261" s="49"/>
      <c r="AC261" s="49"/>
      <c r="AD261" s="49"/>
      <c r="AE261" s="49"/>
      <c r="AF261" s="49"/>
      <c r="AG261" s="49"/>
      <c r="AH261" s="49"/>
      <c r="AI261" s="49"/>
      <c r="AJ261" s="49"/>
      <c r="AK261" s="49"/>
      <c r="AL261" s="49"/>
      <c r="AM261" s="49"/>
      <c r="AN261" s="49"/>
      <c r="AO261" s="49"/>
      <c r="AP261" s="49"/>
      <c r="AQ261" s="49"/>
      <c r="AR261" s="49"/>
      <c r="AS261" s="49"/>
      <c r="AT261" s="49"/>
      <c r="AU261" s="49"/>
      <c r="AV261" s="49"/>
      <c r="AW261" s="49"/>
      <c r="AX261" s="49"/>
      <c r="AY261" s="49"/>
      <c r="AZ261" s="49"/>
      <c r="BA261" s="49"/>
      <c r="BB261" s="49"/>
      <c r="BC261" s="49"/>
      <c r="BD261" s="49"/>
      <c r="BE261" s="49"/>
      <c r="BF261" s="49"/>
      <c r="BG261" s="49"/>
      <c r="BH261" s="49"/>
      <c r="BI261" s="49"/>
      <c r="BJ261" s="49"/>
      <c r="BK261" s="49"/>
      <c r="BL261" s="49"/>
      <c r="BM261" s="49"/>
      <c r="BN261" s="49"/>
      <c r="BO261" s="49"/>
      <c r="BP261" s="49"/>
      <c r="BQ261" s="49"/>
      <c r="BR261" s="49"/>
      <c r="BS261" s="49"/>
      <c r="BT261" s="49"/>
      <c r="BU261" s="49"/>
      <c r="BV261" s="49"/>
      <c r="BW261" s="49"/>
      <c r="BX261" s="49"/>
      <c r="BY261" s="49"/>
      <c r="BZ261" s="49"/>
      <c r="CA261" s="49"/>
      <c r="CB261" s="49"/>
      <c r="CC261" s="49"/>
      <c r="CD261" s="49"/>
      <c r="CE261" s="49"/>
      <c r="CF261" s="49"/>
      <c r="CG261" s="49"/>
      <c r="CH261" s="49"/>
      <c r="CI261" s="49"/>
      <c r="CJ261" s="49"/>
      <c r="CK261" s="49"/>
      <c r="CL261" s="49"/>
      <c r="CM261" s="49"/>
      <c r="CN261" s="49"/>
      <c r="CO261" s="49"/>
      <c r="CP261" s="49"/>
      <c r="CQ261" s="49"/>
      <c r="CR261" s="49"/>
      <c r="CS261" s="49"/>
      <c r="CT261" s="49"/>
      <c r="CU261" s="49"/>
      <c r="CV261" s="49"/>
      <c r="CW261" s="49"/>
      <c r="CX261" s="49"/>
      <c r="CY261" s="49"/>
      <c r="CZ261" s="49"/>
      <c r="DA261" s="49"/>
      <c r="DB261" s="49"/>
      <c r="DC261" s="49"/>
      <c r="DD261" s="49"/>
      <c r="DE261" s="49"/>
      <c r="DF261" s="49"/>
      <c r="DG261" s="49"/>
      <c r="DH261" s="49"/>
      <c r="DI261" s="49"/>
      <c r="DJ261" s="49"/>
      <c r="DK261" s="49"/>
      <c r="DL261" s="49"/>
      <c r="DM261" s="49"/>
      <c r="DN261" s="49"/>
      <c r="DO261" s="49"/>
      <c r="DP261" s="49"/>
      <c r="DQ261" s="49"/>
      <c r="DR261" s="49"/>
      <c r="DS261" s="49"/>
      <c r="DT261" s="49"/>
      <c r="DU261" s="49"/>
      <c r="DV261" s="49"/>
      <c r="DW261" s="49"/>
      <c r="DX261" s="50"/>
    </row>
  </sheetData>
  <conditionalFormatting sqref="DL55:XFD57 C9 H9 D8:G8 C12:DH12 C16:AJ16 AN16:DH16 C28:DH42 C43:AT43 AV43:DH43 C51:DG51 C52:DH52 DH54 CO53:DH53 BH54:DA54 C17:DH20 DL59:XFD59 DM62:XFD62 DL63:XFD71 B71:DI71 DL61:XFD61 DM60:XFD60 J8:DH8 J9:AG9 AI9:AJ9 AL9:DH9 D10:BW10 BY10:CR10 CT10:DH10 C11:DD11 DH11 C13:DA13 DE13:DH13 B262:DI1048576 DL262:XFD1048576 B95:DI199 DL95:XFD199 C22:DH26 L21 AH21:AI21 C53:CM53 B67:DH70 B59:B66 C59:DH64 B56:B57 B55:DH55 C54:BF54 C44:DH50 DM8:DM54 DO8:XFD54 B8:B54 DI8:DI70 C14:DH15">
    <cfRule type="containsText" dxfId="250" priority="152" operator="containsText" text="x">
      <formula>NOT(ISERROR(SEARCH("x",B8)))</formula>
    </cfRule>
  </conditionalFormatting>
  <conditionalFormatting sqref="DA3:DI3">
    <cfRule type="cellIs" dxfId="249" priority="148" operator="equal">
      <formula>"CM"</formula>
    </cfRule>
    <cfRule type="cellIs" dxfId="248" priority="149" operator="equal">
      <formula>"CA"</formula>
    </cfRule>
    <cfRule type="cellIs" dxfId="247" priority="150" operator="equal">
      <formula>"CMA"</formula>
    </cfRule>
  </conditionalFormatting>
  <conditionalFormatting sqref="AX3:BB3 BD3:CX3 M3:N3 R3:AC3 AE3:AV3">
    <cfRule type="cellIs" dxfId="246" priority="144" operator="equal">
      <formula>"CM"</formula>
    </cfRule>
    <cfRule type="cellIs" dxfId="245" priority="145" operator="equal">
      <formula>"CA"</formula>
    </cfRule>
    <cfRule type="cellIs" dxfId="244" priority="146" operator="equal">
      <formula>"CMA"</formula>
    </cfRule>
  </conditionalFormatting>
  <conditionalFormatting sqref="BC3">
    <cfRule type="cellIs" dxfId="243" priority="141" operator="equal">
      <formula>"CM"</formula>
    </cfRule>
    <cfRule type="cellIs" dxfId="242" priority="142" operator="equal">
      <formula>"CA"</formula>
    </cfRule>
    <cfRule type="cellIs" dxfId="241" priority="143" operator="equal">
      <formula>"CMA"</formula>
    </cfRule>
  </conditionalFormatting>
  <conditionalFormatting sqref="AW3">
    <cfRule type="cellIs" dxfId="240" priority="138" operator="equal">
      <formula>"CM"</formula>
    </cfRule>
    <cfRule type="cellIs" dxfId="239" priority="139" operator="equal">
      <formula>"CA"</formula>
    </cfRule>
    <cfRule type="cellIs" dxfId="238" priority="140" operator="equal">
      <formula>"CMA"</formula>
    </cfRule>
  </conditionalFormatting>
  <conditionalFormatting sqref="CY3:CZ3">
    <cfRule type="cellIs" dxfId="237" priority="135" operator="equal">
      <formula>"CM"</formula>
    </cfRule>
    <cfRule type="cellIs" dxfId="236" priority="136" operator="equal">
      <formula>"CA"</formula>
    </cfRule>
    <cfRule type="cellIs" dxfId="235" priority="137" operator="equal">
      <formula>"CMA"</formula>
    </cfRule>
  </conditionalFormatting>
  <conditionalFormatting sqref="AD3">
    <cfRule type="cellIs" dxfId="234" priority="132" operator="equal">
      <formula>"CM"</formula>
    </cfRule>
    <cfRule type="cellIs" dxfId="233" priority="133" operator="equal">
      <formula>"CA"</formula>
    </cfRule>
    <cfRule type="cellIs" dxfId="232" priority="134" operator="equal">
      <formula>"CMA"</formula>
    </cfRule>
  </conditionalFormatting>
  <conditionalFormatting sqref="C3:L3">
    <cfRule type="cellIs" dxfId="231" priority="109" operator="equal">
      <formula>"CM"</formula>
    </cfRule>
    <cfRule type="cellIs" dxfId="230" priority="112" operator="equal">
      <formula>"CA"</formula>
    </cfRule>
    <cfRule type="cellIs" dxfId="229" priority="113" operator="equal">
      <formula>"CMA"</formula>
    </cfRule>
  </conditionalFormatting>
  <conditionalFormatting sqref="C3:L3">
    <cfRule type="cellIs" dxfId="228" priority="110" operator="equal">
      <formula>"CA"</formula>
    </cfRule>
    <cfRule type="cellIs" dxfId="227" priority="111" operator="equal">
      <formula>"CMA"</formula>
    </cfRule>
  </conditionalFormatting>
  <conditionalFormatting sqref="O3:Q3">
    <cfRule type="cellIs" dxfId="226" priority="104" operator="equal">
      <formula>"CM"</formula>
    </cfRule>
    <cfRule type="cellIs" dxfId="225" priority="107" operator="equal">
      <formula>"CA"</formula>
    </cfRule>
    <cfRule type="cellIs" dxfId="224" priority="108" operator="equal">
      <formula>"CMA"</formula>
    </cfRule>
  </conditionalFormatting>
  <conditionalFormatting sqref="O3:Q3">
    <cfRule type="cellIs" dxfId="223" priority="105" operator="equal">
      <formula>"CA"</formula>
    </cfRule>
    <cfRule type="cellIs" dxfId="222" priority="106" operator="equal">
      <formula>"CMA"</formula>
    </cfRule>
  </conditionalFormatting>
  <conditionalFormatting sqref="C27">
    <cfRule type="containsText" dxfId="221" priority="103" operator="containsText" text="x">
      <formula>NOT(ISERROR(SEARCH("x",C27)))</formula>
    </cfRule>
  </conditionalFormatting>
  <conditionalFormatting sqref="H27">
    <cfRule type="containsText" dxfId="220" priority="102" operator="containsText" text="x">
      <formula>NOT(ISERROR(SEARCH("x",H27)))</formula>
    </cfRule>
  </conditionalFormatting>
  <conditionalFormatting sqref="K27">
    <cfRule type="containsText" dxfId="219" priority="101" operator="containsText" text="x">
      <formula>NOT(ISERROR(SEARCH("x",K27)))</formula>
    </cfRule>
  </conditionalFormatting>
  <conditionalFormatting sqref="BN27">
    <cfRule type="containsText" dxfId="218" priority="100" operator="containsText" text="x">
      <formula>NOT(ISERROR(SEARCH("x",BN27)))</formula>
    </cfRule>
  </conditionalFormatting>
  <conditionalFormatting sqref="CH27">
    <cfRule type="containsText" dxfId="217" priority="99" operator="containsText" text="x">
      <formula>NOT(ISERROR(SEARCH("x",CH27)))</formula>
    </cfRule>
  </conditionalFormatting>
  <conditionalFormatting sqref="CN53">
    <cfRule type="containsText" dxfId="216" priority="98" operator="containsText" text="x">
      <formula>NOT(ISERROR(SEARCH("x",CN53)))</formula>
    </cfRule>
  </conditionalFormatting>
  <conditionalFormatting sqref="CZ56">
    <cfRule type="containsText" dxfId="215" priority="97" operator="containsText" text="x">
      <formula>NOT(ISERROR(SEARCH("x",CZ56)))</formula>
    </cfRule>
  </conditionalFormatting>
  <conditionalFormatting sqref="DH57">
    <cfRule type="containsText" dxfId="214" priority="96" operator="containsText" text="x">
      <formula>NOT(ISERROR(SEARCH("x",DH57)))</formula>
    </cfRule>
  </conditionalFormatting>
  <conditionalFormatting sqref="BI58">
    <cfRule type="containsText" dxfId="213" priority="95" operator="containsText" text="x">
      <formula>NOT(ISERROR(SEARCH("x",BI58)))</formula>
    </cfRule>
  </conditionalFormatting>
  <conditionalFormatting sqref="C8">
    <cfRule type="containsText" dxfId="212" priority="94" operator="containsText" text="x">
      <formula>NOT(ISERROR(SEARCH("x",C8)))</formula>
    </cfRule>
  </conditionalFormatting>
  <conditionalFormatting sqref="H8:I8">
    <cfRule type="containsText" dxfId="211" priority="91" operator="containsText" text="x">
      <formula>NOT(ISERROR(SEARCH("x",H8)))</formula>
    </cfRule>
  </conditionalFormatting>
  <conditionalFormatting sqref="D9">
    <cfRule type="containsText" dxfId="210" priority="90" operator="containsText" text="x">
      <formula>NOT(ISERROR(SEARCH("x",D9)))</formula>
    </cfRule>
  </conditionalFormatting>
  <conditionalFormatting sqref="E9">
    <cfRule type="containsText" dxfId="209" priority="89" operator="containsText" text="x">
      <formula>NOT(ISERROR(SEARCH("x",E9)))</formula>
    </cfRule>
  </conditionalFormatting>
  <conditionalFormatting sqref="F9">
    <cfRule type="containsText" dxfId="208" priority="88" operator="containsText" text="x">
      <formula>NOT(ISERROR(SEARCH("x",F9)))</formula>
    </cfRule>
  </conditionalFormatting>
  <conditionalFormatting sqref="G9">
    <cfRule type="containsText" dxfId="207" priority="87" operator="containsText" text="x">
      <formula>NOT(ISERROR(SEARCH("x",G9)))</formula>
    </cfRule>
  </conditionalFormatting>
  <conditionalFormatting sqref="I9">
    <cfRule type="containsText" dxfId="206" priority="86" operator="containsText" text="x">
      <formula>NOT(ISERROR(SEARCH("x",I9)))</formula>
    </cfRule>
  </conditionalFormatting>
  <conditionalFormatting sqref="AH9">
    <cfRule type="containsText" dxfId="205" priority="85" operator="containsText" text="x">
      <formula>NOT(ISERROR(SEARCH("x",AH9)))</formula>
    </cfRule>
  </conditionalFormatting>
  <conditionalFormatting sqref="AK9">
    <cfRule type="containsText" dxfId="204" priority="84" operator="containsText" text="x">
      <formula>NOT(ISERROR(SEARCH("x",AK9)))</formula>
    </cfRule>
  </conditionalFormatting>
  <conditionalFormatting sqref="C10">
    <cfRule type="containsText" dxfId="203" priority="83" operator="containsText" text="x">
      <formula>NOT(ISERROR(SEARCH("x",C10)))</formula>
    </cfRule>
  </conditionalFormatting>
  <conditionalFormatting sqref="BX10">
    <cfRule type="containsText" dxfId="202" priority="82" operator="containsText" text="x">
      <formula>NOT(ISERROR(SEARCH("x",BX10)))</formula>
    </cfRule>
  </conditionalFormatting>
  <conditionalFormatting sqref="CS10">
    <cfRule type="containsText" dxfId="201" priority="81" operator="containsText" text="x">
      <formula>NOT(ISERROR(SEARCH("x",CS10)))</formula>
    </cfRule>
  </conditionalFormatting>
  <conditionalFormatting sqref="DE11">
    <cfRule type="containsText" dxfId="200" priority="79" operator="containsText" text="x">
      <formula>NOT(ISERROR(SEARCH("x",DE11)))</formula>
    </cfRule>
  </conditionalFormatting>
  <conditionalFormatting sqref="DF11">
    <cfRule type="containsText" dxfId="199" priority="78" operator="containsText" text="x">
      <formula>NOT(ISERROR(SEARCH("x",DF11)))</formula>
    </cfRule>
  </conditionalFormatting>
  <conditionalFormatting sqref="DG11">
    <cfRule type="containsText" dxfId="198" priority="77" operator="containsText" text="x">
      <formula>NOT(ISERROR(SEARCH("x",DG11)))</formula>
    </cfRule>
  </conditionalFormatting>
  <conditionalFormatting sqref="DB12:DD12">
    <cfRule type="containsText" dxfId="197" priority="76" operator="containsText" text="x">
      <formula>NOT(ISERROR(SEARCH("x",DB12)))</formula>
    </cfRule>
  </conditionalFormatting>
  <conditionalFormatting sqref="AF20">
    <cfRule type="containsText" dxfId="196" priority="75" operator="containsText" text="x">
      <formula>NOT(ISERROR(SEARCH("x",AF20)))</formula>
    </cfRule>
  </conditionalFormatting>
  <conditionalFormatting sqref="AD20">
    <cfRule type="containsText" dxfId="195" priority="74" operator="containsText" text="x">
      <formula>NOT(ISERROR(SEARCH("x",AD20)))</formula>
    </cfRule>
  </conditionalFormatting>
  <conditionalFormatting sqref="Y20">
    <cfRule type="containsText" dxfId="194" priority="73" operator="containsText" text="x">
      <formula>NOT(ISERROR(SEARCH("x",Y20)))</formula>
    </cfRule>
  </conditionalFormatting>
  <conditionalFormatting sqref="X20">
    <cfRule type="containsText" dxfId="193" priority="72" operator="containsText" text="x">
      <formula>NOT(ISERROR(SEARCH("x",X20)))</formula>
    </cfRule>
  </conditionalFormatting>
  <conditionalFormatting sqref="W20">
    <cfRule type="containsText" dxfId="192" priority="71" operator="containsText" text="x">
      <formula>NOT(ISERROR(SEARCH("x",W20)))</formula>
    </cfRule>
  </conditionalFormatting>
  <conditionalFormatting sqref="V20">
    <cfRule type="containsText" dxfId="191" priority="70" operator="containsText" text="x">
      <formula>NOT(ISERROR(SEARCH("x",V20)))</formula>
    </cfRule>
  </conditionalFormatting>
  <conditionalFormatting sqref="T20">
    <cfRule type="containsText" dxfId="190" priority="69" operator="containsText" text="x">
      <formula>NOT(ISERROR(SEARCH("x",T20)))</formula>
    </cfRule>
  </conditionalFormatting>
  <conditionalFormatting sqref="S20">
    <cfRule type="containsText" dxfId="189" priority="68" operator="containsText" text="x">
      <formula>NOT(ISERROR(SEARCH("x",S20)))</formula>
    </cfRule>
  </conditionalFormatting>
  <conditionalFormatting sqref="Q20">
    <cfRule type="containsText" dxfId="188" priority="67" operator="containsText" text="x">
      <formula>NOT(ISERROR(SEARCH("x",Q20)))</formula>
    </cfRule>
  </conditionalFormatting>
  <conditionalFormatting sqref="N20">
    <cfRule type="containsText" dxfId="187" priority="66" operator="containsText" text="x">
      <formula>NOT(ISERROR(SEARCH("x",N20)))</formula>
    </cfRule>
  </conditionalFormatting>
  <conditionalFormatting sqref="M20">
    <cfRule type="containsText" dxfId="186" priority="65" operator="containsText" text="x">
      <formula>NOT(ISERROR(SEARCH("x",M20)))</formula>
    </cfRule>
  </conditionalFormatting>
  <conditionalFormatting sqref="L20">
    <cfRule type="containsText" dxfId="185" priority="64" operator="containsText" text="x">
      <formula>NOT(ISERROR(SEARCH("x",L20)))</formula>
    </cfRule>
  </conditionalFormatting>
  <conditionalFormatting sqref="K20">
    <cfRule type="containsText" dxfId="184" priority="63" operator="containsText" text="x">
      <formula>NOT(ISERROR(SEARCH("x",K20)))</formula>
    </cfRule>
  </conditionalFormatting>
  <conditionalFormatting sqref="I20">
    <cfRule type="containsText" dxfId="183" priority="62" operator="containsText" text="x">
      <formula>NOT(ISERROR(SEARCH("x",I20)))</formula>
    </cfRule>
  </conditionalFormatting>
  <conditionalFormatting sqref="F20">
    <cfRule type="containsText" dxfId="182" priority="61" operator="containsText" text="x">
      <formula>NOT(ISERROR(SEARCH("x",F20)))</formula>
    </cfRule>
  </conditionalFormatting>
  <conditionalFormatting sqref="D20">
    <cfRule type="containsText" dxfId="181" priority="60" operator="containsText" text="x">
      <formula>NOT(ISERROR(SEARCH("x",D20)))</formula>
    </cfRule>
  </conditionalFormatting>
  <conditionalFormatting sqref="AB20">
    <cfRule type="containsText" dxfId="180" priority="59" operator="containsText" text="x">
      <formula>NOT(ISERROR(SEARCH("x",AB20)))</formula>
    </cfRule>
  </conditionalFormatting>
  <conditionalFormatting sqref="BJ27">
    <cfRule type="containsText" dxfId="179" priority="58" operator="containsText" text="x">
      <formula>NOT(ISERROR(SEARCH("x",BJ27)))</formula>
    </cfRule>
  </conditionalFormatting>
  <conditionalFormatting sqref="CY56">
    <cfRule type="containsText" dxfId="178" priority="57" operator="containsText" text="x">
      <formula>NOT(ISERROR(SEARCH("x",CY56)))</formula>
    </cfRule>
  </conditionalFormatting>
  <conditionalFormatting sqref="CR56">
    <cfRule type="containsText" dxfId="177" priority="56" operator="containsText" text="x">
      <formula>NOT(ISERROR(SEARCH("x",CR56)))</formula>
    </cfRule>
  </conditionalFormatting>
  <conditionalFormatting sqref="BK56">
    <cfRule type="containsText" dxfId="176" priority="55" operator="containsText" text="x">
      <formula>NOT(ISERROR(SEARCH("x",BK56)))</formula>
    </cfRule>
  </conditionalFormatting>
  <conditionalFormatting sqref="AA56">
    <cfRule type="containsText" dxfId="175" priority="54" operator="containsText" text="x">
      <formula>NOT(ISERROR(SEARCH("x",AA56)))</formula>
    </cfRule>
  </conditionalFormatting>
  <conditionalFormatting sqref="CK57">
    <cfRule type="containsText" dxfId="174" priority="53" operator="containsText" text="x">
      <formula>NOT(ISERROR(SEARCH("x",CK57)))</formula>
    </cfRule>
  </conditionalFormatting>
  <conditionalFormatting sqref="R57">
    <cfRule type="containsText" dxfId="173" priority="52" operator="containsText" text="x">
      <formula>NOT(ISERROR(SEARCH("x",R57)))</formula>
    </cfRule>
  </conditionalFormatting>
  <conditionalFormatting sqref="BK58">
    <cfRule type="containsText" dxfId="172" priority="51" operator="containsText" text="x">
      <formula>NOT(ISERROR(SEARCH("x",BK58)))</formula>
    </cfRule>
  </conditionalFormatting>
  <conditionalFormatting sqref="BP58">
    <cfRule type="containsText" dxfId="171" priority="50" operator="containsText" text="x">
      <formula>NOT(ISERROR(SEARCH("x",BP58)))</formula>
    </cfRule>
  </conditionalFormatting>
  <conditionalFormatting sqref="BQ58">
    <cfRule type="containsText" dxfId="170" priority="49" operator="containsText" text="x">
      <formula>NOT(ISERROR(SEARCH("x",BQ58)))</formula>
    </cfRule>
  </conditionalFormatting>
  <conditionalFormatting sqref="BS58">
    <cfRule type="containsText" dxfId="169" priority="48" operator="containsText" text="x">
      <formula>NOT(ISERROR(SEARCH("x",BS58)))</formula>
    </cfRule>
  </conditionalFormatting>
  <conditionalFormatting sqref="CG58">
    <cfRule type="containsText" dxfId="168" priority="47" operator="containsText" text="x">
      <formula>NOT(ISERROR(SEARCH("x",CG58)))</formula>
    </cfRule>
  </conditionalFormatting>
  <conditionalFormatting sqref="CI58">
    <cfRule type="containsText" dxfId="167" priority="46" operator="containsText" text="x">
      <formula>NOT(ISERROR(SEARCH("x",CI58)))</formula>
    </cfRule>
  </conditionalFormatting>
  <conditionalFormatting sqref="CJ58">
    <cfRule type="containsText" dxfId="166" priority="45" operator="containsText" text="x">
      <formula>NOT(ISERROR(SEARCH("x",CJ58)))</formula>
    </cfRule>
  </conditionalFormatting>
  <conditionalFormatting sqref="CL58">
    <cfRule type="containsText" dxfId="165" priority="44" operator="containsText" text="x">
      <formula>NOT(ISERROR(SEARCH("x",CL58)))</formula>
    </cfRule>
  </conditionalFormatting>
  <conditionalFormatting sqref="CQ58">
    <cfRule type="containsText" dxfId="164" priority="43" operator="containsText" text="x">
      <formula>NOT(ISERROR(SEARCH("x",CQ58)))</formula>
    </cfRule>
  </conditionalFormatting>
  <conditionalFormatting sqref="CR58">
    <cfRule type="containsText" dxfId="163" priority="42" operator="containsText" text="x">
      <formula>NOT(ISERROR(SEARCH("x",CR58)))</formula>
    </cfRule>
  </conditionalFormatting>
  <conditionalFormatting sqref="CY58">
    <cfRule type="containsText" dxfId="162" priority="41" operator="containsText" text="x">
      <formula>NOT(ISERROR(SEARCH("x",CY58)))</formula>
    </cfRule>
  </conditionalFormatting>
  <conditionalFormatting sqref="AU43">
    <cfRule type="containsText" dxfId="161" priority="4" operator="containsText" text="x">
      <formula>NOT(ISERROR(SEARCH("x",AU43)))</formula>
    </cfRule>
  </conditionalFormatting>
  <conditionalFormatting sqref="BI65">
    <cfRule type="containsText" dxfId="160" priority="3" operator="containsText" text="x">
      <formula>NOT(ISERROR(SEARCH("x",BI65)))</formula>
    </cfRule>
  </conditionalFormatting>
  <conditionalFormatting sqref="BE66">
    <cfRule type="containsText" dxfId="159" priority="2" operator="containsText" text="x">
      <formula>NOT(ISERROR(SEARCH("x",BE66)))</formula>
    </cfRule>
  </conditionalFormatting>
  <conditionalFormatting sqref="BG66:BH66">
    <cfRule type="containsText" dxfId="158" priority="1" operator="containsText" text="x">
      <formula>NOT(ISERROR(SEARCH("x",BG66)))</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ndsWith" priority="29" operator="endsWith" id="{886833A2-6DE8-415C-A7A4-29FD2CC39F14}">
            <xm:f>RIGHT(C78,3)="RMA"</xm:f>
            <x14:dxf>
              <font>
                <color rgb="FF9C0006"/>
              </font>
              <fill>
                <patternFill>
                  <bgColor rgb="FFFFC7CE"/>
                </patternFill>
              </fill>
            </x14:dxf>
          </x14:cfRule>
          <x14:cfRule type="endsWith" priority="30" operator="endsWith" id="{7DCC180E-77FF-4CED-8B24-A3D66CE0C72A}">
            <xm:f>RIGHT(C78,2)="RA"</xm:f>
            <x14:dxf>
              <font>
                <color rgb="FF9C6500"/>
              </font>
              <fill>
                <patternFill>
                  <bgColor rgb="FFFFEB9C"/>
                </patternFill>
              </fill>
            </x14:dxf>
          </x14:cfRule>
          <x14:cfRule type="endsWith" priority="31" operator="endsWith" id="{249BA1B2-608E-40E6-9329-A270963A9B84}">
            <xm:f>RIGHT(C78,2)="RM"</xm:f>
            <x14:dxf>
              <font>
                <color rgb="FF006100"/>
              </font>
              <fill>
                <patternFill>
                  <bgColor rgb="FFC6EFCE"/>
                </patternFill>
              </fill>
            </x14:dxf>
          </x14:cfRule>
          <xm:sqref>C78:DW78</xm:sqref>
        </x14:conditionalFormatting>
        <x14:conditionalFormatting xmlns:xm="http://schemas.microsoft.com/office/excel/2006/main">
          <x14:cfRule type="endsWith" priority="38" operator="endsWith" id="{7F582714-7B0B-4EA1-B705-40F9A6682BD9}">
            <xm:f>RIGHT(C72,3)="RMA"</xm:f>
            <x14:dxf>
              <font>
                <color rgb="FF9C0006"/>
              </font>
              <fill>
                <patternFill>
                  <bgColor rgb="FFFFC7CE"/>
                </patternFill>
              </fill>
            </x14:dxf>
          </x14:cfRule>
          <x14:cfRule type="endsWith" priority="39" operator="endsWith" id="{EB929574-EFD5-4ED7-80AE-4F690A57AAFE}">
            <xm:f>RIGHT(C72,2)="RA"</xm:f>
            <x14:dxf>
              <font>
                <color rgb="FF9C6500"/>
              </font>
              <fill>
                <patternFill>
                  <bgColor rgb="FFFFEB9C"/>
                </patternFill>
              </fill>
            </x14:dxf>
          </x14:cfRule>
          <x14:cfRule type="endsWith" priority="40" operator="endsWith" id="{61016557-C2BF-47FC-80DC-DE5B832AA10E}">
            <xm:f>RIGHT(C72,2)="RM"</xm:f>
            <x14:dxf>
              <font>
                <color rgb="FF006100"/>
              </font>
              <fill>
                <patternFill>
                  <bgColor rgb="FFC6EFCE"/>
                </patternFill>
              </fill>
            </x14:dxf>
          </x14:cfRule>
          <xm:sqref>C72:DW72</xm:sqref>
        </x14:conditionalFormatting>
        <x14:conditionalFormatting xmlns:xm="http://schemas.microsoft.com/office/excel/2006/main">
          <x14:cfRule type="endsWith" priority="35" operator="endsWith" id="{8ED39725-7462-49C1-B5CB-F5321F41D33B}">
            <xm:f>RIGHT(C75,2)="PA"</xm:f>
            <x14:dxf>
              <font>
                <color rgb="FF9C0006"/>
              </font>
              <fill>
                <patternFill>
                  <bgColor rgb="FFFFC7CE"/>
                </patternFill>
              </fill>
            </x14:dxf>
          </x14:cfRule>
          <x14:cfRule type="endsWith" priority="36" operator="endsWith" id="{D2A45DD5-7BA6-4B20-A09A-0214C5D7A86F}">
            <xm:f>RIGHT(C75,2)="PM"</xm:f>
            <x14:dxf>
              <font>
                <color rgb="FF9C6500"/>
              </font>
              <fill>
                <patternFill>
                  <bgColor rgb="FFFFEB9C"/>
                </patternFill>
              </fill>
            </x14:dxf>
          </x14:cfRule>
          <x14:cfRule type="endsWith" priority="37" operator="endsWith" id="{AA3C5FFE-B193-4E9D-BED7-3A9E21277D8A}">
            <xm:f>RIGHT(C75,2)="PB"</xm:f>
            <x14:dxf>
              <font>
                <color rgb="FF006100"/>
              </font>
              <fill>
                <patternFill>
                  <bgColor rgb="FFC6EFCE"/>
                </patternFill>
              </fill>
            </x14:dxf>
          </x14:cfRule>
          <xm:sqref>C75:DW75</xm:sqref>
        </x14:conditionalFormatting>
        <x14:conditionalFormatting xmlns:xm="http://schemas.microsoft.com/office/excel/2006/main">
          <x14:cfRule type="endsWith" priority="32" operator="endsWith" id="{39324092-F768-47E1-B534-F19ACBA0949F}">
            <xm:f>RIGHT(D75,2)="PA"</xm:f>
            <x14:dxf>
              <font>
                <color rgb="FF9C0006"/>
              </font>
              <fill>
                <patternFill>
                  <bgColor rgb="FFFFC7CE"/>
                </patternFill>
              </fill>
            </x14:dxf>
          </x14:cfRule>
          <x14:cfRule type="endsWith" priority="33" operator="endsWith" id="{23BC76AD-CAB4-43BE-976D-8939CC6F63E5}">
            <xm:f>RIGHT(D75,2)="PM"</xm:f>
            <x14:dxf>
              <font>
                <color rgb="FF9C6500"/>
              </font>
              <fill>
                <patternFill>
                  <bgColor rgb="FFFFEB9C"/>
                </patternFill>
              </fill>
            </x14:dxf>
          </x14:cfRule>
          <x14:cfRule type="endsWith" priority="34" operator="endsWith" id="{A28062FA-88A8-4F18-8689-3B7EA65ED9FE}">
            <xm:f>RIGHT(D75,2)="PB"</xm:f>
            <x14:dxf>
              <font>
                <color rgb="FF006100"/>
              </font>
              <fill>
                <patternFill>
                  <bgColor rgb="FFC6EFCE"/>
                </patternFill>
              </fill>
            </x14:dxf>
          </x14:cfRule>
          <xm:sqref>D75:DW75</xm:sqref>
        </x14:conditionalFormatting>
        <x14:conditionalFormatting xmlns:xm="http://schemas.microsoft.com/office/excel/2006/main">
          <x14:cfRule type="endsWith" priority="26" operator="endsWith" id="{37C16964-909B-4A27-BECF-72839A2E8354}">
            <xm:f>RIGHT(C83,2)="PA"</xm:f>
            <x14:dxf>
              <font>
                <color rgb="FF9C0006"/>
              </font>
              <fill>
                <patternFill>
                  <bgColor rgb="FFFFC7CE"/>
                </patternFill>
              </fill>
            </x14:dxf>
          </x14:cfRule>
          <x14:cfRule type="endsWith" priority="27" operator="endsWith" id="{80ED3BAB-D969-4849-B6F3-F8B2B8D7585B}">
            <xm:f>RIGHT(C83,2)="PM"</xm:f>
            <x14:dxf>
              <font>
                <color rgb="FF9C6500"/>
              </font>
              <fill>
                <patternFill>
                  <bgColor rgb="FFFFEB9C"/>
                </patternFill>
              </fill>
            </x14:dxf>
          </x14:cfRule>
          <x14:cfRule type="endsWith" priority="28" operator="endsWith" id="{6D1B44DF-19D9-4AB3-B004-9BC65048DBFC}">
            <xm:f>RIGHT(C83,2)="PB"</xm:f>
            <x14:dxf>
              <font>
                <color rgb="FF006100"/>
              </font>
              <fill>
                <patternFill>
                  <bgColor rgb="FFC6EFCE"/>
                </patternFill>
              </fill>
            </x14:dxf>
          </x14:cfRule>
          <xm:sqref>C83:DW83</xm:sqref>
        </x14:conditionalFormatting>
        <x14:conditionalFormatting xmlns:xm="http://schemas.microsoft.com/office/excel/2006/main">
          <x14:cfRule type="endsWith" priority="23" operator="endsWith" id="{7CD698F7-C54B-46D1-B4A6-0514FA3836CC}">
            <xm:f>RIGHT(C86,3)="RMA"</xm:f>
            <x14:dxf>
              <font>
                <color rgb="FF9C0006"/>
              </font>
              <fill>
                <patternFill>
                  <bgColor rgb="FFFFC7CE"/>
                </patternFill>
              </fill>
            </x14:dxf>
          </x14:cfRule>
          <x14:cfRule type="endsWith" priority="24" operator="endsWith" id="{F23E52AD-3E1A-4703-8DC6-ADF18A552A8B}">
            <xm:f>RIGHT(C86,2)="RA"</xm:f>
            <x14:dxf>
              <font>
                <color rgb="FF9C6500"/>
              </font>
              <fill>
                <patternFill>
                  <bgColor rgb="FFFFEB9C"/>
                </patternFill>
              </fill>
            </x14:dxf>
          </x14:cfRule>
          <x14:cfRule type="endsWith" priority="25" operator="endsWith" id="{6CA0FD08-E444-490B-9DB2-A83DF1A72C98}">
            <xm:f>RIGHT(C86,2)="RM"</xm:f>
            <x14:dxf>
              <font>
                <color rgb="FF006100"/>
              </font>
              <fill>
                <patternFill>
                  <bgColor rgb="FFC6EFCE"/>
                </patternFill>
              </fill>
            </x14:dxf>
          </x14:cfRule>
          <xm:sqref>C86:DW86</xm:sqref>
        </x14:conditionalFormatting>
        <x14:conditionalFormatting xmlns:xm="http://schemas.microsoft.com/office/excel/2006/main">
          <x14:cfRule type="endsWith" priority="14" operator="endsWith" id="{7423B4DC-96A8-475A-87E5-E5B09B1279E4}">
            <xm:f>RIGHT(C94,3)="RMA"</xm:f>
            <x14:dxf>
              <font>
                <color rgb="FF9C0006"/>
              </font>
              <fill>
                <patternFill>
                  <bgColor rgb="FFFFC7CE"/>
                </patternFill>
              </fill>
            </x14:dxf>
          </x14:cfRule>
          <x14:cfRule type="endsWith" priority="15" operator="endsWith" id="{E0A87715-6B4A-4A88-BB0A-8147D77FC586}">
            <xm:f>RIGHT(C94,2)="RA"</xm:f>
            <x14:dxf>
              <font>
                <color rgb="FF9C6500"/>
              </font>
              <fill>
                <patternFill>
                  <bgColor rgb="FFFFEB9C"/>
                </patternFill>
              </fill>
            </x14:dxf>
          </x14:cfRule>
          <x14:cfRule type="endsWith" priority="16" operator="endsWith" id="{160C6E5D-836B-4CD1-9657-2FB7734AF379}">
            <xm:f>RIGHT(C94,2)="RM"</xm:f>
            <x14:dxf>
              <font>
                <color rgb="FF006100"/>
              </font>
              <fill>
                <patternFill>
                  <bgColor rgb="FFC6EFCE"/>
                </patternFill>
              </fill>
            </x14:dxf>
          </x14:cfRule>
          <xm:sqref>C94:DW94</xm:sqref>
        </x14:conditionalFormatting>
        <x14:conditionalFormatting xmlns:xm="http://schemas.microsoft.com/office/excel/2006/main">
          <x14:cfRule type="endsWith" priority="11" operator="endsWith" id="{3090AF15-135D-42B3-9956-F1931466404B}">
            <xm:f>RIGHT(C93,3)="RMA"</xm:f>
            <x14:dxf>
              <font>
                <color rgb="FF9C0006"/>
              </font>
              <fill>
                <patternFill>
                  <bgColor rgb="FFFFC7CE"/>
                </patternFill>
              </fill>
            </x14:dxf>
          </x14:cfRule>
          <x14:cfRule type="endsWith" priority="12" operator="endsWith" id="{451DAD12-7975-45DA-9D80-2529E0CB6716}">
            <xm:f>RIGHT(C93,2)="RA"</xm:f>
            <x14:dxf>
              <font>
                <color rgb="FF9C6500"/>
              </font>
              <fill>
                <patternFill>
                  <bgColor rgb="FFFFEB9C"/>
                </patternFill>
              </fill>
            </x14:dxf>
          </x14:cfRule>
          <x14:cfRule type="endsWith" priority="13" operator="endsWith" id="{89A7815E-7E17-4EA3-A166-1433569AAAFE}">
            <xm:f>RIGHT(C93,2)="RM"</xm:f>
            <x14:dxf>
              <font>
                <color rgb="FF006100"/>
              </font>
              <fill>
                <patternFill>
                  <bgColor rgb="FFC6EFCE"/>
                </patternFill>
              </fill>
            </x14:dxf>
          </x14:cfRule>
          <xm:sqref>C93:DW93</xm:sqref>
        </x14:conditionalFormatting>
        <x14:conditionalFormatting xmlns:xm="http://schemas.microsoft.com/office/excel/2006/main">
          <x14:cfRule type="endsWith" priority="8" operator="endsWith" id="{9C29708A-E1BA-4836-8ED9-F44C5B2058D8}">
            <xm:f>RIGHT(C91,3)="RMA"</xm:f>
            <x14:dxf>
              <font>
                <color rgb="FF9C0006"/>
              </font>
              <fill>
                <patternFill>
                  <bgColor rgb="FFFFC7CE"/>
                </patternFill>
              </fill>
            </x14:dxf>
          </x14:cfRule>
          <x14:cfRule type="endsWith" priority="9" operator="endsWith" id="{52C31BF2-F302-4B23-8B1A-0544EF32EC87}">
            <xm:f>RIGHT(C91,2)="RA"</xm:f>
            <x14:dxf>
              <font>
                <color rgb="FF9C6500"/>
              </font>
              <fill>
                <patternFill>
                  <bgColor rgb="FFFFEB9C"/>
                </patternFill>
              </fill>
            </x14:dxf>
          </x14:cfRule>
          <x14:cfRule type="endsWith" priority="10" operator="endsWith" id="{605F03DD-9F59-46CE-AE98-7DBE9AB0CC8F}">
            <xm:f>RIGHT(C91,2)="RM"</xm:f>
            <x14:dxf>
              <font>
                <color rgb="FF006100"/>
              </font>
              <fill>
                <patternFill>
                  <bgColor rgb="FFC6EFCE"/>
                </patternFill>
              </fill>
            </x14:dxf>
          </x14:cfRule>
          <xm:sqref>C91:DW91</xm:sqref>
        </x14:conditionalFormatting>
        <x14:conditionalFormatting xmlns:xm="http://schemas.microsoft.com/office/excel/2006/main">
          <x14:cfRule type="endsWith" priority="5" operator="endsWith" id="{0FBDDAB9-FA09-4516-808D-3070D34F2851}">
            <xm:f>RIGHT(C92,3)="RMA"</xm:f>
            <x14:dxf>
              <font>
                <color rgb="FF9C0006"/>
              </font>
              <fill>
                <patternFill>
                  <bgColor rgb="FFFFC7CE"/>
                </patternFill>
              </fill>
            </x14:dxf>
          </x14:cfRule>
          <x14:cfRule type="endsWith" priority="6" operator="endsWith" id="{D9EA90DC-17A8-4991-8016-D7D172549BAB}">
            <xm:f>RIGHT(C92,2)="RA"</xm:f>
            <x14:dxf>
              <font>
                <color rgb="FF9C6500"/>
              </font>
              <fill>
                <patternFill>
                  <bgColor rgb="FFFFEB9C"/>
                </patternFill>
              </fill>
            </x14:dxf>
          </x14:cfRule>
          <x14:cfRule type="endsWith" priority="7" operator="endsWith" id="{FAC2933D-90E2-4AC7-B3E0-37DABE8ACA53}">
            <xm:f>RIGHT(C92,2)="RM"</xm:f>
            <x14:dxf>
              <font>
                <color rgb="FF006100"/>
              </font>
              <fill>
                <patternFill>
                  <bgColor rgb="FFC6EFCE"/>
                </patternFill>
              </fill>
            </x14:dxf>
          </x14:cfRule>
          <xm:sqref>C92:DW92</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184"/>
  <sheetViews>
    <sheetView zoomScale="80" zoomScaleNormal="80" workbookViewId="0">
      <pane ySplit="6" topLeftCell="A7" activePane="bottomLeft" state="frozen"/>
      <selection pane="bottomLeft" activeCell="DL28" sqref="DL28"/>
    </sheetView>
  </sheetViews>
  <sheetFormatPr baseColWidth="10" defaultRowHeight="15" x14ac:dyDescent="0.25"/>
  <cols>
    <col min="1" max="1" width="12" style="84" bestFit="1" customWidth="1"/>
    <col min="2" max="2" width="12.140625" style="96" bestFit="1" customWidth="1"/>
    <col min="3" max="7" width="14.28515625" style="46" customWidth="1"/>
    <col min="8" max="20" width="11.42578125" style="46"/>
    <col min="21" max="64" width="11.42578125" style="9"/>
    <col min="66" max="112" width="11.42578125" style="9"/>
    <col min="113" max="113" width="12.140625" style="9" bestFit="1" customWidth="1"/>
    <col min="114" max="114" width="12.140625" style="98" bestFit="1" customWidth="1"/>
    <col min="115" max="115" width="11.42578125" style="6"/>
    <col min="116" max="116" width="11.42578125" style="9"/>
    <col min="117" max="16384" width="11.42578125" style="6"/>
  </cols>
  <sheetData>
    <row r="1" spans="1:132" s="114" customFormat="1" ht="201" customHeight="1" x14ac:dyDescent="0.25">
      <c r="A1" s="111"/>
      <c r="B1" s="112"/>
      <c r="C1" s="81" t="s">
        <v>354</v>
      </c>
      <c r="D1" s="81" t="s">
        <v>895</v>
      </c>
      <c r="E1" s="81" t="s">
        <v>357</v>
      </c>
      <c r="F1" s="81" t="s">
        <v>926</v>
      </c>
      <c r="G1" s="81" t="s">
        <v>896</v>
      </c>
      <c r="H1" s="81" t="s">
        <v>361</v>
      </c>
      <c r="I1" s="81" t="s">
        <v>897</v>
      </c>
      <c r="J1" s="81" t="s">
        <v>925</v>
      </c>
      <c r="K1" s="81" t="s">
        <v>365</v>
      </c>
      <c r="L1" s="81" t="s">
        <v>367</v>
      </c>
      <c r="M1" s="81" t="s">
        <v>369</v>
      </c>
      <c r="N1" s="81" t="s">
        <v>371</v>
      </c>
      <c r="O1" s="81" t="s">
        <v>373</v>
      </c>
      <c r="P1" s="81" t="s">
        <v>375</v>
      </c>
      <c r="Q1" s="81" t="s">
        <v>377</v>
      </c>
      <c r="R1" s="81" t="s">
        <v>379</v>
      </c>
      <c r="S1" s="81" t="s">
        <v>381</v>
      </c>
      <c r="T1" s="81" t="s">
        <v>383</v>
      </c>
      <c r="U1" s="81" t="s">
        <v>385</v>
      </c>
      <c r="V1" s="81" t="s">
        <v>387</v>
      </c>
      <c r="W1" s="81" t="s">
        <v>389</v>
      </c>
      <c r="X1" s="81" t="s">
        <v>391</v>
      </c>
      <c r="Y1" s="81" t="s">
        <v>393</v>
      </c>
      <c r="Z1" s="81" t="s">
        <v>395</v>
      </c>
      <c r="AA1" s="81" t="s">
        <v>397</v>
      </c>
      <c r="AB1" s="81" t="s">
        <v>399</v>
      </c>
      <c r="AC1" s="81" t="s">
        <v>401</v>
      </c>
      <c r="AD1" s="81" t="s">
        <v>403</v>
      </c>
      <c r="AE1" s="81" t="s">
        <v>898</v>
      </c>
      <c r="AF1" s="81" t="s">
        <v>406</v>
      </c>
      <c r="AG1" s="81" t="s">
        <v>894</v>
      </c>
      <c r="AH1" s="81" t="s">
        <v>409</v>
      </c>
      <c r="AI1" s="81" t="s">
        <v>411</v>
      </c>
      <c r="AJ1" s="81" t="s">
        <v>899</v>
      </c>
      <c r="AK1" s="81" t="s">
        <v>414</v>
      </c>
      <c r="AL1" s="81" t="s">
        <v>416</v>
      </c>
      <c r="AM1" s="81" t="s">
        <v>418</v>
      </c>
      <c r="AN1" s="81" t="s">
        <v>900</v>
      </c>
      <c r="AO1" s="81" t="s">
        <v>901</v>
      </c>
      <c r="AP1" s="81" t="s">
        <v>902</v>
      </c>
      <c r="AQ1" s="81" t="s">
        <v>423</v>
      </c>
      <c r="AR1" s="81" t="s">
        <v>425</v>
      </c>
      <c r="AS1" s="81" t="s">
        <v>427</v>
      </c>
      <c r="AT1" s="81" t="s">
        <v>429</v>
      </c>
      <c r="AU1" s="81" t="s">
        <v>431</v>
      </c>
      <c r="AV1" s="81" t="s">
        <v>433</v>
      </c>
      <c r="AW1" s="81" t="s">
        <v>435</v>
      </c>
      <c r="AX1" s="81" t="s">
        <v>903</v>
      </c>
      <c r="AY1" s="81" t="s">
        <v>438</v>
      </c>
      <c r="AZ1" s="81" t="s">
        <v>440</v>
      </c>
      <c r="BA1" s="81" t="s">
        <v>904</v>
      </c>
      <c r="BB1" s="81" t="s">
        <v>443</v>
      </c>
      <c r="BC1" s="81" t="s">
        <v>905</v>
      </c>
      <c r="BD1" s="81" t="s">
        <v>906</v>
      </c>
      <c r="BE1" s="81" t="s">
        <v>892</v>
      </c>
      <c r="BF1" s="81" t="s">
        <v>448</v>
      </c>
      <c r="BG1" s="81" t="s">
        <v>450</v>
      </c>
      <c r="BH1" s="81" t="s">
        <v>452</v>
      </c>
      <c r="BI1" s="81" t="s">
        <v>454</v>
      </c>
      <c r="BJ1" s="81" t="s">
        <v>456</v>
      </c>
      <c r="BK1" s="81" t="s">
        <v>458</v>
      </c>
      <c r="BL1" s="81" t="s">
        <v>460</v>
      </c>
      <c r="BM1" s="81" t="s">
        <v>462</v>
      </c>
      <c r="BN1" s="81" t="s">
        <v>464</v>
      </c>
      <c r="BO1" s="81" t="s">
        <v>466</v>
      </c>
      <c r="BP1" s="81" t="s">
        <v>468</v>
      </c>
      <c r="BQ1" s="81" t="s">
        <v>470</v>
      </c>
      <c r="BR1" s="81" t="s">
        <v>907</v>
      </c>
      <c r="BS1" s="81" t="s">
        <v>473</v>
      </c>
      <c r="BT1" s="81" t="s">
        <v>475</v>
      </c>
      <c r="BU1" s="81" t="s">
        <v>477</v>
      </c>
      <c r="BV1" s="81" t="s">
        <v>479</v>
      </c>
      <c r="BW1" s="81" t="s">
        <v>908</v>
      </c>
      <c r="BX1" s="81" t="s">
        <v>482</v>
      </c>
      <c r="BY1" s="81" t="s">
        <v>484</v>
      </c>
      <c r="BZ1" s="81" t="s">
        <v>486</v>
      </c>
      <c r="CA1" s="81" t="s">
        <v>488</v>
      </c>
      <c r="CB1" s="81" t="s">
        <v>490</v>
      </c>
      <c r="CC1" s="81" t="s">
        <v>492</v>
      </c>
      <c r="CD1" s="81" t="s">
        <v>909</v>
      </c>
      <c r="CE1" s="81" t="s">
        <v>495</v>
      </c>
      <c r="CF1" s="81" t="s">
        <v>497</v>
      </c>
      <c r="CG1" s="81" t="s">
        <v>499</v>
      </c>
      <c r="CH1" s="81" t="s">
        <v>464</v>
      </c>
      <c r="CI1" s="81" t="s">
        <v>502</v>
      </c>
      <c r="CJ1" s="81" t="s">
        <v>470</v>
      </c>
      <c r="CK1" s="81" t="s">
        <v>907</v>
      </c>
      <c r="CL1" s="81" t="s">
        <v>473</v>
      </c>
      <c r="CM1" s="81" t="s">
        <v>507</v>
      </c>
      <c r="CN1" s="81" t="s">
        <v>509</v>
      </c>
      <c r="CO1" s="81" t="s">
        <v>475</v>
      </c>
      <c r="CP1" s="81" t="s">
        <v>477</v>
      </c>
      <c r="CQ1" s="81" t="s">
        <v>910</v>
      </c>
      <c r="CR1" s="81" t="s">
        <v>514</v>
      </c>
      <c r="CS1" s="81" t="s">
        <v>482</v>
      </c>
      <c r="CT1" s="81" t="s">
        <v>484</v>
      </c>
      <c r="CU1" s="81" t="s">
        <v>486</v>
      </c>
      <c r="CV1" s="81" t="s">
        <v>488</v>
      </c>
      <c r="CW1" s="81" t="s">
        <v>490</v>
      </c>
      <c r="CX1" s="81" t="s">
        <v>927</v>
      </c>
      <c r="CY1" s="81" t="s">
        <v>522</v>
      </c>
      <c r="CZ1" s="81" t="s">
        <v>524</v>
      </c>
      <c r="DA1" s="81" t="s">
        <v>492</v>
      </c>
      <c r="DB1" s="81" t="s">
        <v>527</v>
      </c>
      <c r="DC1" s="81" t="s">
        <v>529</v>
      </c>
      <c r="DD1" s="81" t="s">
        <v>531</v>
      </c>
      <c r="DE1" s="81" t="s">
        <v>533</v>
      </c>
      <c r="DF1" s="81" t="s">
        <v>535</v>
      </c>
      <c r="DG1" s="81" t="s">
        <v>537</v>
      </c>
      <c r="DH1" s="81" t="s">
        <v>539</v>
      </c>
      <c r="DI1" s="113"/>
    </row>
    <row r="2" spans="1:132" customFormat="1" x14ac:dyDescent="0.25">
      <c r="A2" s="54"/>
      <c r="B2" s="92"/>
      <c r="C2" s="80" t="s">
        <v>146</v>
      </c>
      <c r="D2" s="80" t="s">
        <v>151</v>
      </c>
      <c r="E2" s="80" t="s">
        <v>151</v>
      </c>
      <c r="F2" s="80" t="s">
        <v>151</v>
      </c>
      <c r="G2" s="80" t="s">
        <v>146</v>
      </c>
      <c r="H2" s="80" t="s">
        <v>151</v>
      </c>
      <c r="I2" s="80" t="s">
        <v>151</v>
      </c>
      <c r="J2" s="80" t="s">
        <v>146</v>
      </c>
      <c r="K2" s="80" t="s">
        <v>146</v>
      </c>
      <c r="L2" s="80" t="s">
        <v>151</v>
      </c>
      <c r="M2" s="80" t="s">
        <v>151</v>
      </c>
      <c r="N2" s="80" t="s">
        <v>151</v>
      </c>
      <c r="O2" s="80" t="s">
        <v>151</v>
      </c>
      <c r="P2" s="80" t="s">
        <v>151</v>
      </c>
      <c r="Q2" s="80" t="s">
        <v>151</v>
      </c>
      <c r="R2" s="80" t="s">
        <v>151</v>
      </c>
      <c r="S2" s="80" t="s">
        <v>151</v>
      </c>
      <c r="T2" s="80" t="s">
        <v>146</v>
      </c>
      <c r="U2" s="80" t="s">
        <v>146</v>
      </c>
      <c r="V2" s="80" t="s">
        <v>146</v>
      </c>
      <c r="W2" s="80" t="s">
        <v>146</v>
      </c>
      <c r="X2" s="80" t="s">
        <v>146</v>
      </c>
      <c r="Y2" s="80" t="s">
        <v>146</v>
      </c>
      <c r="Z2" s="80" t="s">
        <v>151</v>
      </c>
      <c r="AA2" s="80" t="s">
        <v>146</v>
      </c>
      <c r="AB2" s="80" t="s">
        <v>151</v>
      </c>
      <c r="AC2" s="80" t="s">
        <v>151</v>
      </c>
      <c r="AD2" s="80" t="s">
        <v>150</v>
      </c>
      <c r="AE2" s="80" t="s">
        <v>146</v>
      </c>
      <c r="AF2" s="80" t="s">
        <v>146</v>
      </c>
      <c r="AG2" s="80" t="s">
        <v>146</v>
      </c>
      <c r="AH2" s="80" t="s">
        <v>151</v>
      </c>
      <c r="AI2" s="80" t="s">
        <v>151</v>
      </c>
      <c r="AJ2" s="80" t="s">
        <v>146</v>
      </c>
      <c r="AK2" s="80" t="s">
        <v>151</v>
      </c>
      <c r="AL2" s="80" t="s">
        <v>151</v>
      </c>
      <c r="AM2" s="80" t="s">
        <v>151</v>
      </c>
      <c r="AN2" s="80" t="s">
        <v>146</v>
      </c>
      <c r="AO2" s="80" t="s">
        <v>151</v>
      </c>
      <c r="AP2" s="80" t="s">
        <v>151</v>
      </c>
      <c r="AQ2" s="80" t="s">
        <v>146</v>
      </c>
      <c r="AR2" s="80" t="s">
        <v>151</v>
      </c>
      <c r="AS2" s="80" t="s">
        <v>151</v>
      </c>
      <c r="AT2" s="80" t="s">
        <v>151</v>
      </c>
      <c r="AU2" s="80" t="s">
        <v>151</v>
      </c>
      <c r="AV2" s="80" t="s">
        <v>151</v>
      </c>
      <c r="AW2" s="80" t="s">
        <v>151</v>
      </c>
      <c r="AX2" s="80" t="s">
        <v>151</v>
      </c>
      <c r="AY2" s="80" t="s">
        <v>146</v>
      </c>
      <c r="AZ2" s="80" t="s">
        <v>146</v>
      </c>
      <c r="BA2" s="80" t="s">
        <v>151</v>
      </c>
      <c r="BB2" s="80" t="s">
        <v>150</v>
      </c>
      <c r="BC2" s="80" t="s">
        <v>151</v>
      </c>
      <c r="BD2" s="80" t="s">
        <v>151</v>
      </c>
      <c r="BE2" s="80" t="s">
        <v>151</v>
      </c>
      <c r="BF2" s="80" t="s">
        <v>146</v>
      </c>
      <c r="BG2" s="80" t="s">
        <v>151</v>
      </c>
      <c r="BH2" s="80" t="s">
        <v>151</v>
      </c>
      <c r="BI2" s="80" t="s">
        <v>146</v>
      </c>
      <c r="BJ2" s="80" t="s">
        <v>151</v>
      </c>
      <c r="BK2" s="80" t="s">
        <v>146</v>
      </c>
      <c r="BL2" s="80" t="s">
        <v>151</v>
      </c>
      <c r="BM2" s="80" t="s">
        <v>151</v>
      </c>
      <c r="BN2" s="80" t="s">
        <v>151</v>
      </c>
      <c r="BO2" s="80" t="s">
        <v>146</v>
      </c>
      <c r="BP2" s="80" t="s">
        <v>151</v>
      </c>
      <c r="BQ2" s="80" t="s">
        <v>151</v>
      </c>
      <c r="BR2" s="80" t="s">
        <v>151</v>
      </c>
      <c r="BS2" s="80" t="s">
        <v>151</v>
      </c>
      <c r="BT2" s="80" t="s">
        <v>151</v>
      </c>
      <c r="BU2" s="80" t="s">
        <v>146</v>
      </c>
      <c r="BV2" s="80" t="s">
        <v>151</v>
      </c>
      <c r="BW2" s="80" t="s">
        <v>146</v>
      </c>
      <c r="BX2" s="80" t="s">
        <v>150</v>
      </c>
      <c r="BY2" s="80" t="s">
        <v>150</v>
      </c>
      <c r="BZ2" s="80" t="s">
        <v>151</v>
      </c>
      <c r="CA2" s="80" t="s">
        <v>151</v>
      </c>
      <c r="CB2" s="80" t="s">
        <v>150</v>
      </c>
      <c r="CC2" s="80" t="s">
        <v>146</v>
      </c>
      <c r="CD2" s="80" t="s">
        <v>146</v>
      </c>
      <c r="CE2" s="80" t="s">
        <v>151</v>
      </c>
      <c r="CF2" s="80" t="s">
        <v>151</v>
      </c>
      <c r="CG2" s="80" t="s">
        <v>153</v>
      </c>
      <c r="CH2" s="80" t="s">
        <v>153</v>
      </c>
      <c r="CI2" s="80" t="s">
        <v>153</v>
      </c>
      <c r="CJ2" s="80" t="s">
        <v>153</v>
      </c>
      <c r="CK2" s="80" t="s">
        <v>151</v>
      </c>
      <c r="CL2" s="80" t="s">
        <v>153</v>
      </c>
      <c r="CM2" s="80" t="s">
        <v>153</v>
      </c>
      <c r="CN2" s="80" t="s">
        <v>146</v>
      </c>
      <c r="CO2" s="80" t="s">
        <v>151</v>
      </c>
      <c r="CP2" s="80" t="s">
        <v>146</v>
      </c>
      <c r="CQ2" s="80" t="s">
        <v>151</v>
      </c>
      <c r="CR2" s="80" t="s">
        <v>151</v>
      </c>
      <c r="CS2" s="80" t="s">
        <v>146</v>
      </c>
      <c r="CT2" s="80" t="s">
        <v>150</v>
      </c>
      <c r="CU2" s="80" t="s">
        <v>151</v>
      </c>
      <c r="CV2" s="80" t="s">
        <v>151</v>
      </c>
      <c r="CW2" s="80" t="s">
        <v>146</v>
      </c>
      <c r="CX2" s="80" t="s">
        <v>146</v>
      </c>
      <c r="CY2" s="80" t="s">
        <v>151</v>
      </c>
      <c r="CZ2" s="80" t="s">
        <v>151</v>
      </c>
      <c r="DA2" s="80" t="s">
        <v>151</v>
      </c>
      <c r="DB2" s="80" t="s">
        <v>151</v>
      </c>
      <c r="DC2" s="80" t="s">
        <v>153</v>
      </c>
      <c r="DD2" s="80" t="s">
        <v>151</v>
      </c>
      <c r="DE2" s="80" t="s">
        <v>151</v>
      </c>
      <c r="DF2" s="80" t="s">
        <v>146</v>
      </c>
      <c r="DG2" s="80" t="s">
        <v>151</v>
      </c>
      <c r="DH2" s="80" t="s">
        <v>153</v>
      </c>
      <c r="DI2" s="26"/>
      <c r="DJ2" s="99"/>
      <c r="DK2" s="4"/>
      <c r="DL2" s="4"/>
      <c r="DM2" s="4"/>
      <c r="DN2" s="4"/>
      <c r="DO2" s="4"/>
      <c r="DP2" s="4"/>
      <c r="DQ2" s="4"/>
      <c r="DR2" s="4"/>
      <c r="DS2" s="4"/>
      <c r="DT2" s="4"/>
      <c r="DU2" s="4"/>
      <c r="DV2" s="4"/>
      <c r="DW2" s="4"/>
      <c r="DX2" s="4"/>
      <c r="DY2" s="4"/>
      <c r="DZ2" s="4"/>
      <c r="EA2" s="4"/>
      <c r="EB2" s="4"/>
    </row>
    <row r="3" spans="1:132" customFormat="1" x14ac:dyDescent="0.25">
      <c r="A3" s="54"/>
      <c r="B3" s="92"/>
      <c r="C3" s="90" t="s">
        <v>149</v>
      </c>
      <c r="D3" s="14" t="s">
        <v>149</v>
      </c>
      <c r="E3" s="14" t="s">
        <v>149</v>
      </c>
      <c r="F3" s="14" t="s">
        <v>149</v>
      </c>
      <c r="G3" s="14" t="s">
        <v>149</v>
      </c>
      <c r="H3" s="14" t="s">
        <v>149</v>
      </c>
      <c r="I3" s="14" t="s">
        <v>149</v>
      </c>
      <c r="J3" s="14" t="s">
        <v>149</v>
      </c>
      <c r="K3" s="14" t="s">
        <v>149</v>
      </c>
      <c r="L3" s="14" t="s">
        <v>149</v>
      </c>
      <c r="M3" s="105" t="s">
        <v>148</v>
      </c>
      <c r="N3" s="105" t="s">
        <v>148</v>
      </c>
      <c r="O3" s="14" t="s">
        <v>149</v>
      </c>
      <c r="P3" s="14" t="s">
        <v>149</v>
      </c>
      <c r="Q3" s="14" t="s">
        <v>149</v>
      </c>
      <c r="R3" s="106" t="s">
        <v>147</v>
      </c>
      <c r="S3" s="105" t="s">
        <v>149</v>
      </c>
      <c r="T3" s="106" t="s">
        <v>147</v>
      </c>
      <c r="U3" s="106" t="s">
        <v>149</v>
      </c>
      <c r="V3" s="105" t="s">
        <v>149</v>
      </c>
      <c r="W3" s="105" t="s">
        <v>148</v>
      </c>
      <c r="X3" s="105" t="s">
        <v>149</v>
      </c>
      <c r="Y3" s="105" t="s">
        <v>148</v>
      </c>
      <c r="Z3" s="105" t="s">
        <v>149</v>
      </c>
      <c r="AA3" s="107" t="s">
        <v>149</v>
      </c>
      <c r="AB3" s="105" t="s">
        <v>149</v>
      </c>
      <c r="AC3" s="105" t="s">
        <v>149</v>
      </c>
      <c r="AD3" s="105" t="s">
        <v>149</v>
      </c>
      <c r="AE3" s="105" t="s">
        <v>149</v>
      </c>
      <c r="AF3" s="105" t="s">
        <v>149</v>
      </c>
      <c r="AG3" s="105" t="s">
        <v>149</v>
      </c>
      <c r="AH3" s="105" t="s">
        <v>149</v>
      </c>
      <c r="AI3" s="105" t="s">
        <v>149</v>
      </c>
      <c r="AJ3" s="105" t="s">
        <v>149</v>
      </c>
      <c r="AK3" s="105" t="s">
        <v>149</v>
      </c>
      <c r="AL3" s="105" t="s">
        <v>149</v>
      </c>
      <c r="AM3" s="105" t="s">
        <v>149</v>
      </c>
      <c r="AN3" s="105" t="s">
        <v>149</v>
      </c>
      <c r="AO3" s="105" t="s">
        <v>149</v>
      </c>
      <c r="AP3" s="105" t="s">
        <v>149</v>
      </c>
      <c r="AQ3" s="105" t="s">
        <v>148</v>
      </c>
      <c r="AR3" s="105" t="s">
        <v>149</v>
      </c>
      <c r="AS3" s="105" t="s">
        <v>148</v>
      </c>
      <c r="AT3" s="105" t="s">
        <v>149</v>
      </c>
      <c r="AU3" s="105" t="s">
        <v>148</v>
      </c>
      <c r="AV3" s="105" t="s">
        <v>149</v>
      </c>
      <c r="AW3" s="105" t="s">
        <v>149</v>
      </c>
      <c r="AX3" s="107" t="s">
        <v>149</v>
      </c>
      <c r="AY3" s="105" t="s">
        <v>147</v>
      </c>
      <c r="AZ3" s="105" t="s">
        <v>149</v>
      </c>
      <c r="BA3" s="105" t="s">
        <v>149</v>
      </c>
      <c r="BB3" s="105" t="s">
        <v>149</v>
      </c>
      <c r="BC3" s="105" t="s">
        <v>149</v>
      </c>
      <c r="BD3" s="105" t="s">
        <v>149</v>
      </c>
      <c r="BE3" s="105" t="s">
        <v>149</v>
      </c>
      <c r="BF3" s="105" t="s">
        <v>149</v>
      </c>
      <c r="BG3" s="107" t="s">
        <v>149</v>
      </c>
      <c r="BH3" s="105" t="s">
        <v>149</v>
      </c>
      <c r="BI3" s="105" t="s">
        <v>149</v>
      </c>
      <c r="BJ3" s="107" t="s">
        <v>149</v>
      </c>
      <c r="BK3" s="107" t="s">
        <v>149</v>
      </c>
      <c r="BL3" s="105" t="s">
        <v>149</v>
      </c>
      <c r="BM3" s="105" t="s">
        <v>149</v>
      </c>
      <c r="BN3" s="105" t="s">
        <v>149</v>
      </c>
      <c r="BO3" s="105" t="s">
        <v>149</v>
      </c>
      <c r="BP3" s="105" t="s">
        <v>149</v>
      </c>
      <c r="BQ3" s="105" t="s">
        <v>149</v>
      </c>
      <c r="BR3" s="105" t="s">
        <v>148</v>
      </c>
      <c r="BS3" s="105" t="s">
        <v>149</v>
      </c>
      <c r="BT3" s="105" t="s">
        <v>149</v>
      </c>
      <c r="BU3" s="105" t="s">
        <v>149</v>
      </c>
      <c r="BV3" s="105" t="s">
        <v>149</v>
      </c>
      <c r="BW3" s="105" t="s">
        <v>149</v>
      </c>
      <c r="BX3" s="105" t="s">
        <v>149</v>
      </c>
      <c r="BY3" s="105" t="s">
        <v>149</v>
      </c>
      <c r="BZ3" s="105" t="s">
        <v>149</v>
      </c>
      <c r="CA3" s="105" t="s">
        <v>149</v>
      </c>
      <c r="CB3" s="105" t="s">
        <v>149</v>
      </c>
      <c r="CC3" s="105" t="s">
        <v>149</v>
      </c>
      <c r="CD3" s="105" t="s">
        <v>149</v>
      </c>
      <c r="CE3" s="105" t="s">
        <v>149</v>
      </c>
      <c r="CF3" s="105" t="s">
        <v>149</v>
      </c>
      <c r="CG3" s="105" t="s">
        <v>149</v>
      </c>
      <c r="CH3" s="105" t="s">
        <v>149</v>
      </c>
      <c r="CI3" s="105" t="s">
        <v>149</v>
      </c>
      <c r="CJ3" s="105" t="s">
        <v>148</v>
      </c>
      <c r="CK3" s="105" t="s">
        <v>148</v>
      </c>
      <c r="CL3" s="105" t="s">
        <v>148</v>
      </c>
      <c r="CM3" s="105" t="s">
        <v>149</v>
      </c>
      <c r="CN3" s="105" t="s">
        <v>148</v>
      </c>
      <c r="CO3" s="105" t="s">
        <v>148</v>
      </c>
      <c r="CP3" s="105" t="s">
        <v>148</v>
      </c>
      <c r="CQ3" s="105" t="s">
        <v>148</v>
      </c>
      <c r="CR3" s="105" t="s">
        <v>148</v>
      </c>
      <c r="CS3" s="106" t="s">
        <v>149</v>
      </c>
      <c r="CT3" s="105" t="s">
        <v>149</v>
      </c>
      <c r="CU3" s="105" t="s">
        <v>148</v>
      </c>
      <c r="CV3" s="105" t="s">
        <v>149</v>
      </c>
      <c r="CW3" s="106" t="s">
        <v>147</v>
      </c>
      <c r="CX3" s="107" t="s">
        <v>147</v>
      </c>
      <c r="CY3" s="107" t="s">
        <v>148</v>
      </c>
      <c r="CZ3" s="105" t="s">
        <v>149</v>
      </c>
      <c r="DA3" s="105" t="s">
        <v>149</v>
      </c>
      <c r="DB3" s="105" t="s">
        <v>148</v>
      </c>
      <c r="DC3" s="105" t="s">
        <v>148</v>
      </c>
      <c r="DD3" s="105" t="s">
        <v>148</v>
      </c>
      <c r="DE3" s="105" t="s">
        <v>149</v>
      </c>
      <c r="DF3" s="105" t="s">
        <v>148</v>
      </c>
      <c r="DG3" s="105" t="s">
        <v>148</v>
      </c>
      <c r="DH3" s="105" t="s">
        <v>148</v>
      </c>
      <c r="DI3" s="26"/>
      <c r="DJ3" s="99"/>
      <c r="DK3" s="4"/>
      <c r="DL3" s="4"/>
      <c r="DM3" s="4"/>
      <c r="DN3" s="4"/>
      <c r="DO3" s="4"/>
      <c r="DP3" s="4"/>
      <c r="DQ3" s="4"/>
      <c r="DR3" s="4"/>
      <c r="DS3" s="4"/>
      <c r="DT3" s="4"/>
      <c r="DU3" s="4"/>
      <c r="DV3" s="4"/>
      <c r="DW3" s="4"/>
      <c r="DX3" s="4"/>
      <c r="DY3" s="4"/>
      <c r="DZ3" s="4"/>
      <c r="EA3" s="4"/>
      <c r="EB3" s="4"/>
    </row>
    <row r="4" spans="1:132" s="21" customFormat="1" x14ac:dyDescent="0.25">
      <c r="A4" s="85"/>
      <c r="B4" s="93" t="s">
        <v>164</v>
      </c>
      <c r="C4" s="22"/>
      <c r="D4" s="22" t="s">
        <v>556</v>
      </c>
      <c r="E4" s="22"/>
      <c r="F4" s="22" t="s">
        <v>557</v>
      </c>
      <c r="G4" s="22" t="s">
        <v>558</v>
      </c>
      <c r="H4" s="22" t="s">
        <v>559</v>
      </c>
      <c r="I4" s="22" t="s">
        <v>560</v>
      </c>
      <c r="J4" s="22"/>
      <c r="K4" s="22" t="s">
        <v>561</v>
      </c>
      <c r="L4" s="22"/>
      <c r="M4" s="22"/>
      <c r="N4" s="22"/>
      <c r="O4" s="22" t="s">
        <v>562</v>
      </c>
      <c r="P4" s="22" t="s">
        <v>563</v>
      </c>
      <c r="Q4" s="22" t="s">
        <v>564</v>
      </c>
      <c r="R4" s="22" t="s">
        <v>565</v>
      </c>
      <c r="S4" s="22" t="s">
        <v>566</v>
      </c>
      <c r="T4" s="22" t="s">
        <v>567</v>
      </c>
      <c r="U4" s="22"/>
      <c r="V4" s="22"/>
      <c r="W4" s="22"/>
      <c r="X4" s="22"/>
      <c r="Y4" s="22"/>
      <c r="Z4" s="22" t="s">
        <v>568</v>
      </c>
      <c r="AA4" s="22"/>
      <c r="AB4" s="22" t="s">
        <v>569</v>
      </c>
      <c r="AC4" s="22" t="s">
        <v>570</v>
      </c>
      <c r="AD4" s="22" t="s">
        <v>571</v>
      </c>
      <c r="AE4" s="22"/>
      <c r="AF4" s="22"/>
      <c r="AG4" s="22"/>
      <c r="AH4" s="22" t="s">
        <v>572</v>
      </c>
      <c r="AI4" s="22" t="s">
        <v>572</v>
      </c>
      <c r="AJ4" s="22" t="s">
        <v>573</v>
      </c>
      <c r="AK4" s="22" t="s">
        <v>574</v>
      </c>
      <c r="AL4" s="22" t="s">
        <v>575</v>
      </c>
      <c r="AM4" s="22" t="s">
        <v>576</v>
      </c>
      <c r="AN4" s="22" t="s">
        <v>577</v>
      </c>
      <c r="AO4" s="22" t="s">
        <v>578</v>
      </c>
      <c r="AP4" s="22"/>
      <c r="AQ4" s="22"/>
      <c r="AR4" s="22"/>
      <c r="AS4" s="22"/>
      <c r="AT4" s="22"/>
      <c r="AU4" s="22"/>
      <c r="AV4" s="22" t="s">
        <v>579</v>
      </c>
      <c r="AW4" s="22"/>
      <c r="AX4" s="22"/>
      <c r="AY4" s="22" t="s">
        <v>580</v>
      </c>
      <c r="AZ4" s="22" t="s">
        <v>581</v>
      </c>
      <c r="BA4" s="22"/>
      <c r="BB4" s="22" t="s">
        <v>582</v>
      </c>
      <c r="BC4" s="22"/>
      <c r="BD4" s="22"/>
      <c r="BE4" s="22"/>
      <c r="BF4" s="22" t="s">
        <v>583</v>
      </c>
      <c r="BG4" s="22"/>
      <c r="BH4" s="22"/>
      <c r="BI4" s="22"/>
      <c r="BJ4" s="22"/>
      <c r="BK4" s="22"/>
      <c r="BL4" s="22"/>
      <c r="BM4" s="22"/>
      <c r="BN4" s="22"/>
      <c r="BO4" s="22" t="s">
        <v>584</v>
      </c>
      <c r="BP4" s="22" t="s">
        <v>585</v>
      </c>
      <c r="BQ4" s="22"/>
      <c r="BR4" s="22" t="s">
        <v>586</v>
      </c>
      <c r="BS4" s="22"/>
      <c r="BT4" s="22" t="s">
        <v>587</v>
      </c>
      <c r="BU4" s="22" t="s">
        <v>588</v>
      </c>
      <c r="BV4" s="22"/>
      <c r="BW4" s="22" t="s">
        <v>589</v>
      </c>
      <c r="BX4" s="22"/>
      <c r="BY4" s="22"/>
      <c r="BZ4" s="22"/>
      <c r="CA4" s="22"/>
      <c r="CB4" s="22"/>
      <c r="CC4" s="22" t="s">
        <v>590</v>
      </c>
      <c r="CD4" s="22" t="s">
        <v>591</v>
      </c>
      <c r="CE4" s="22" t="s">
        <v>592</v>
      </c>
      <c r="CF4" s="22" t="s">
        <v>593</v>
      </c>
      <c r="CG4" s="22" t="s">
        <v>594</v>
      </c>
      <c r="CH4" s="22"/>
      <c r="CI4" s="22" t="s">
        <v>595</v>
      </c>
      <c r="CJ4" s="22"/>
      <c r="CK4" s="22" t="s">
        <v>586</v>
      </c>
      <c r="CL4" s="22"/>
      <c r="CM4" s="22" t="s">
        <v>596</v>
      </c>
      <c r="CN4" s="22" t="s">
        <v>597</v>
      </c>
      <c r="CO4" s="22" t="s">
        <v>587</v>
      </c>
      <c r="CP4" s="22" t="s">
        <v>588</v>
      </c>
      <c r="CQ4" s="22"/>
      <c r="CR4" s="22"/>
      <c r="CS4" s="22"/>
      <c r="CT4" s="22"/>
      <c r="CU4" s="22"/>
      <c r="CV4" s="22"/>
      <c r="CW4" s="22"/>
      <c r="CX4" s="22"/>
      <c r="CY4" s="22"/>
      <c r="CZ4" s="22" t="s">
        <v>598</v>
      </c>
      <c r="DA4" s="22" t="s">
        <v>599</v>
      </c>
      <c r="DB4" s="22" t="s">
        <v>600</v>
      </c>
      <c r="DC4" s="22" t="s">
        <v>601</v>
      </c>
      <c r="DD4" s="22" t="s">
        <v>602</v>
      </c>
      <c r="DE4" s="22" t="s">
        <v>603</v>
      </c>
      <c r="DF4" s="22" t="s">
        <v>604</v>
      </c>
      <c r="DG4" s="22" t="s">
        <v>605</v>
      </c>
      <c r="DH4" s="22" t="s">
        <v>606</v>
      </c>
      <c r="DI4" s="24"/>
      <c r="DJ4" s="100"/>
      <c r="DK4" s="25"/>
    </row>
    <row r="5" spans="1:132" s="21" customFormat="1" x14ac:dyDescent="0.25">
      <c r="A5" s="85"/>
      <c r="B5" s="93" t="s">
        <v>554</v>
      </c>
      <c r="C5" s="22" t="s">
        <v>353</v>
      </c>
      <c r="D5" s="22" t="s">
        <v>356</v>
      </c>
      <c r="E5" s="22" t="s">
        <v>540</v>
      </c>
      <c r="F5" s="22" t="s">
        <v>362</v>
      </c>
      <c r="G5" s="22" t="s">
        <v>363</v>
      </c>
      <c r="H5" s="22" t="s">
        <v>541</v>
      </c>
      <c r="I5" s="22" t="s">
        <v>542</v>
      </c>
      <c r="J5" s="22" t="s">
        <v>543</v>
      </c>
      <c r="K5" s="22" t="s">
        <v>364</v>
      </c>
      <c r="L5" s="22" t="s">
        <v>366</v>
      </c>
      <c r="M5" s="22" t="s">
        <v>368</v>
      </c>
      <c r="N5" s="22" t="s">
        <v>370</v>
      </c>
      <c r="O5" s="22" t="s">
        <v>372</v>
      </c>
      <c r="P5" s="22" t="s">
        <v>374</v>
      </c>
      <c r="Q5" s="22" t="s">
        <v>376</v>
      </c>
      <c r="R5" s="22" t="s">
        <v>378</v>
      </c>
      <c r="S5" s="22" t="s">
        <v>380</v>
      </c>
      <c r="T5" s="22" t="s">
        <v>382</v>
      </c>
      <c r="U5" s="22" t="s">
        <v>384</v>
      </c>
      <c r="V5" s="22" t="s">
        <v>386</v>
      </c>
      <c r="W5" s="22" t="s">
        <v>388</v>
      </c>
      <c r="X5" s="22" t="s">
        <v>390</v>
      </c>
      <c r="Y5" s="22" t="s">
        <v>392</v>
      </c>
      <c r="Z5" s="22" t="s">
        <v>394</v>
      </c>
      <c r="AA5" s="22" t="s">
        <v>544</v>
      </c>
      <c r="AB5" s="22" t="s">
        <v>396</v>
      </c>
      <c r="AC5" s="22" t="s">
        <v>398</v>
      </c>
      <c r="AD5" s="22" t="s">
        <v>400</v>
      </c>
      <c r="AE5" s="22" t="s">
        <v>402</v>
      </c>
      <c r="AF5" s="22" t="s">
        <v>404</v>
      </c>
      <c r="AG5" s="22" t="s">
        <v>405</v>
      </c>
      <c r="AH5" s="22" t="s">
        <v>410</v>
      </c>
      <c r="AI5" s="22" t="s">
        <v>412</v>
      </c>
      <c r="AJ5" s="22" t="s">
        <v>413</v>
      </c>
      <c r="AK5" s="22" t="s">
        <v>415</v>
      </c>
      <c r="AL5" s="22" t="s">
        <v>417</v>
      </c>
      <c r="AM5" s="22" t="s">
        <v>545</v>
      </c>
      <c r="AN5" s="22" t="s">
        <v>419</v>
      </c>
      <c r="AO5" s="22" t="s">
        <v>420</v>
      </c>
      <c r="AP5" s="22" t="s">
        <v>421</v>
      </c>
      <c r="AQ5" s="22" t="s">
        <v>422</v>
      </c>
      <c r="AR5" s="22" t="s">
        <v>424</v>
      </c>
      <c r="AS5" s="22" t="s">
        <v>426</v>
      </c>
      <c r="AT5" s="22" t="s">
        <v>428</v>
      </c>
      <c r="AU5" s="22" t="s">
        <v>430</v>
      </c>
      <c r="AV5" s="22" t="s">
        <v>432</v>
      </c>
      <c r="AW5" s="22" t="s">
        <v>434</v>
      </c>
      <c r="AX5" s="22" t="s">
        <v>546</v>
      </c>
      <c r="AY5" s="22" t="s">
        <v>436</v>
      </c>
      <c r="AZ5" s="22" t="s">
        <v>439</v>
      </c>
      <c r="BA5" s="22" t="s">
        <v>441</v>
      </c>
      <c r="BB5" s="22" t="s">
        <v>442</v>
      </c>
      <c r="BC5" s="22" t="s">
        <v>444</v>
      </c>
      <c r="BD5" s="22" t="s">
        <v>445</v>
      </c>
      <c r="BE5" s="22" t="s">
        <v>446</v>
      </c>
      <c r="BF5" s="22" t="s">
        <v>447</v>
      </c>
      <c r="BG5" s="22" t="s">
        <v>547</v>
      </c>
      <c r="BH5" s="22" t="s">
        <v>449</v>
      </c>
      <c r="BI5" s="22" t="s">
        <v>451</v>
      </c>
      <c r="BJ5" s="22" t="s">
        <v>548</v>
      </c>
      <c r="BK5" s="22" t="s">
        <v>549</v>
      </c>
      <c r="BL5" s="22" t="s">
        <v>538</v>
      </c>
      <c r="BM5" s="22" t="s">
        <v>550</v>
      </c>
      <c r="BN5" s="22" t="s">
        <v>457</v>
      </c>
      <c r="BO5" s="22" t="s">
        <v>455</v>
      </c>
      <c r="BP5" s="22" t="s">
        <v>459</v>
      </c>
      <c r="BQ5" s="22" t="s">
        <v>461</v>
      </c>
      <c r="BR5" s="22" t="s">
        <v>463</v>
      </c>
      <c r="BS5" s="22" t="s">
        <v>465</v>
      </c>
      <c r="BT5" s="22" t="s">
        <v>467</v>
      </c>
      <c r="BU5" s="22" t="s">
        <v>469</v>
      </c>
      <c r="BV5" s="22" t="s">
        <v>474</v>
      </c>
      <c r="BW5" s="22" t="s">
        <v>476</v>
      </c>
      <c r="BX5" s="22" t="s">
        <v>480</v>
      </c>
      <c r="BY5" s="22" t="s">
        <v>481</v>
      </c>
      <c r="BZ5" s="22" t="s">
        <v>485</v>
      </c>
      <c r="CA5" s="22" t="s">
        <v>487</v>
      </c>
      <c r="CB5" s="22" t="s">
        <v>489</v>
      </c>
      <c r="CC5" s="22" t="s">
        <v>491</v>
      </c>
      <c r="CD5" s="22" t="s">
        <v>493</v>
      </c>
      <c r="CE5" s="22" t="s">
        <v>494</v>
      </c>
      <c r="CF5" s="22" t="s">
        <v>496</v>
      </c>
      <c r="CG5" s="22" t="s">
        <v>500</v>
      </c>
      <c r="CH5" s="22" t="s">
        <v>498</v>
      </c>
      <c r="CI5" s="22" t="s">
        <v>501</v>
      </c>
      <c r="CJ5" s="22" t="s">
        <v>503</v>
      </c>
      <c r="CK5" s="22" t="s">
        <v>504</v>
      </c>
      <c r="CL5" s="22" t="s">
        <v>505</v>
      </c>
      <c r="CM5" s="22" t="s">
        <v>506</v>
      </c>
      <c r="CN5" s="22" t="s">
        <v>508</v>
      </c>
      <c r="CO5" s="22" t="s">
        <v>510</v>
      </c>
      <c r="CP5" s="22" t="s">
        <v>511</v>
      </c>
      <c r="CQ5" s="22" t="s">
        <v>513</v>
      </c>
      <c r="CR5" s="22" t="s">
        <v>515</v>
      </c>
      <c r="CS5" s="22" t="s">
        <v>516</v>
      </c>
      <c r="CT5" s="22" t="s">
        <v>517</v>
      </c>
      <c r="CU5" s="22" t="s">
        <v>519</v>
      </c>
      <c r="CV5" s="22" t="s">
        <v>520</v>
      </c>
      <c r="CW5" s="22" t="s">
        <v>521</v>
      </c>
      <c r="CX5" s="22" t="s">
        <v>551</v>
      </c>
      <c r="CY5" s="22" t="s">
        <v>552</v>
      </c>
      <c r="CZ5" s="22" t="s">
        <v>523</v>
      </c>
      <c r="DA5" s="22" t="s">
        <v>525</v>
      </c>
      <c r="DB5" s="22" t="s">
        <v>526</v>
      </c>
      <c r="DC5" s="22" t="s">
        <v>528</v>
      </c>
      <c r="DD5" s="22" t="s">
        <v>530</v>
      </c>
      <c r="DE5" s="22" t="s">
        <v>532</v>
      </c>
      <c r="DF5" s="22" t="s">
        <v>534</v>
      </c>
      <c r="DG5" s="22" t="s">
        <v>536</v>
      </c>
      <c r="DH5" s="22" t="s">
        <v>553</v>
      </c>
      <c r="DI5" s="24"/>
      <c r="DJ5" s="100"/>
      <c r="DK5" s="25"/>
    </row>
    <row r="6" spans="1:132" s="17" customFormat="1" x14ac:dyDescent="0.25">
      <c r="A6" s="87" t="s">
        <v>554</v>
      </c>
      <c r="B6" s="94" t="s">
        <v>555</v>
      </c>
      <c r="C6" s="79" t="s">
        <v>353</v>
      </c>
      <c r="D6" s="79" t="s">
        <v>355</v>
      </c>
      <c r="E6" s="79" t="s">
        <v>356</v>
      </c>
      <c r="F6" s="79" t="s">
        <v>358</v>
      </c>
      <c r="G6" s="79" t="s">
        <v>359</v>
      </c>
      <c r="H6" s="79" t="s">
        <v>360</v>
      </c>
      <c r="I6" s="79" t="s">
        <v>362</v>
      </c>
      <c r="J6" s="79" t="s">
        <v>363</v>
      </c>
      <c r="K6" s="79" t="s">
        <v>364</v>
      </c>
      <c r="L6" s="79" t="s">
        <v>366</v>
      </c>
      <c r="M6" s="79" t="s">
        <v>368</v>
      </c>
      <c r="N6" s="79" t="s">
        <v>370</v>
      </c>
      <c r="O6" s="79" t="s">
        <v>372</v>
      </c>
      <c r="P6" s="79" t="s">
        <v>374</v>
      </c>
      <c r="Q6" s="79" t="s">
        <v>376</v>
      </c>
      <c r="R6" s="79" t="s">
        <v>378</v>
      </c>
      <c r="S6" s="79" t="s">
        <v>380</v>
      </c>
      <c r="T6" s="79" t="s">
        <v>382</v>
      </c>
      <c r="U6" s="79" t="s">
        <v>384</v>
      </c>
      <c r="V6" s="79" t="s">
        <v>386</v>
      </c>
      <c r="W6" s="79" t="s">
        <v>388</v>
      </c>
      <c r="X6" s="79" t="s">
        <v>390</v>
      </c>
      <c r="Y6" s="79" t="s">
        <v>392</v>
      </c>
      <c r="Z6" s="79" t="s">
        <v>394</v>
      </c>
      <c r="AA6" s="79" t="s">
        <v>396</v>
      </c>
      <c r="AB6" s="79" t="s">
        <v>398</v>
      </c>
      <c r="AC6" s="79" t="s">
        <v>400</v>
      </c>
      <c r="AD6" s="79" t="s">
        <v>402</v>
      </c>
      <c r="AE6" s="79" t="s">
        <v>404</v>
      </c>
      <c r="AF6" s="79" t="s">
        <v>405</v>
      </c>
      <c r="AG6" s="79" t="s">
        <v>407</v>
      </c>
      <c r="AH6" s="79" t="s">
        <v>408</v>
      </c>
      <c r="AI6" s="79" t="s">
        <v>410</v>
      </c>
      <c r="AJ6" s="79" t="s">
        <v>412</v>
      </c>
      <c r="AK6" s="79" t="s">
        <v>413</v>
      </c>
      <c r="AL6" s="79" t="s">
        <v>415</v>
      </c>
      <c r="AM6" s="79" t="s">
        <v>417</v>
      </c>
      <c r="AN6" s="79" t="s">
        <v>419</v>
      </c>
      <c r="AO6" s="79" t="s">
        <v>420</v>
      </c>
      <c r="AP6" s="79" t="s">
        <v>421</v>
      </c>
      <c r="AQ6" s="79" t="s">
        <v>422</v>
      </c>
      <c r="AR6" s="79" t="s">
        <v>424</v>
      </c>
      <c r="AS6" s="79" t="s">
        <v>426</v>
      </c>
      <c r="AT6" s="79" t="s">
        <v>428</v>
      </c>
      <c r="AU6" s="79" t="s">
        <v>430</v>
      </c>
      <c r="AV6" s="79" t="s">
        <v>432</v>
      </c>
      <c r="AW6" s="79" t="s">
        <v>434</v>
      </c>
      <c r="AX6" s="79" t="s">
        <v>436</v>
      </c>
      <c r="AY6" s="79" t="s">
        <v>437</v>
      </c>
      <c r="AZ6" s="79" t="s">
        <v>439</v>
      </c>
      <c r="BA6" s="79" t="s">
        <v>441</v>
      </c>
      <c r="BB6" s="79" t="s">
        <v>442</v>
      </c>
      <c r="BC6" s="79" t="s">
        <v>444</v>
      </c>
      <c r="BD6" s="79" t="s">
        <v>445</v>
      </c>
      <c r="BE6" s="79" t="s">
        <v>446</v>
      </c>
      <c r="BF6" s="79" t="s">
        <v>447</v>
      </c>
      <c r="BG6" s="79" t="s">
        <v>449</v>
      </c>
      <c r="BH6" s="79" t="s">
        <v>451</v>
      </c>
      <c r="BI6" s="79" t="s">
        <v>453</v>
      </c>
      <c r="BJ6" s="79" t="s">
        <v>455</v>
      </c>
      <c r="BK6" s="79" t="s">
        <v>457</v>
      </c>
      <c r="BL6" s="79" t="s">
        <v>459</v>
      </c>
      <c r="BM6" s="79" t="s">
        <v>461</v>
      </c>
      <c r="BN6" s="79" t="s">
        <v>463</v>
      </c>
      <c r="BO6" s="79" t="s">
        <v>465</v>
      </c>
      <c r="BP6" s="79" t="s">
        <v>467</v>
      </c>
      <c r="BQ6" s="79" t="s">
        <v>469</v>
      </c>
      <c r="BR6" s="79" t="s">
        <v>471</v>
      </c>
      <c r="BS6" s="79" t="s">
        <v>472</v>
      </c>
      <c r="BT6" s="79" t="s">
        <v>474</v>
      </c>
      <c r="BU6" s="79" t="s">
        <v>476</v>
      </c>
      <c r="BV6" s="79" t="s">
        <v>478</v>
      </c>
      <c r="BW6" s="79" t="s">
        <v>480</v>
      </c>
      <c r="BX6" s="79" t="s">
        <v>481</v>
      </c>
      <c r="BY6" s="79" t="s">
        <v>483</v>
      </c>
      <c r="BZ6" s="79" t="s">
        <v>485</v>
      </c>
      <c r="CA6" s="79" t="s">
        <v>487</v>
      </c>
      <c r="CB6" s="79" t="s">
        <v>489</v>
      </c>
      <c r="CC6" s="79" t="s">
        <v>491</v>
      </c>
      <c r="CD6" s="79" t="s">
        <v>493</v>
      </c>
      <c r="CE6" s="79" t="s">
        <v>494</v>
      </c>
      <c r="CF6" s="79" t="s">
        <v>496</v>
      </c>
      <c r="CG6" s="79" t="s">
        <v>498</v>
      </c>
      <c r="CH6" s="79" t="s">
        <v>500</v>
      </c>
      <c r="CI6" s="79" t="s">
        <v>501</v>
      </c>
      <c r="CJ6" s="79" t="s">
        <v>503</v>
      </c>
      <c r="CK6" s="79" t="s">
        <v>504</v>
      </c>
      <c r="CL6" s="79" t="s">
        <v>505</v>
      </c>
      <c r="CM6" s="79" t="s">
        <v>506</v>
      </c>
      <c r="CN6" s="79" t="s">
        <v>508</v>
      </c>
      <c r="CO6" s="79" t="s">
        <v>510</v>
      </c>
      <c r="CP6" s="79" t="s">
        <v>511</v>
      </c>
      <c r="CQ6" s="79" t="s">
        <v>512</v>
      </c>
      <c r="CR6" s="79" t="s">
        <v>513</v>
      </c>
      <c r="CS6" s="79" t="s">
        <v>515</v>
      </c>
      <c r="CT6" s="79" t="s">
        <v>516</v>
      </c>
      <c r="CU6" s="79" t="s">
        <v>517</v>
      </c>
      <c r="CV6" s="79" t="s">
        <v>518</v>
      </c>
      <c r="CW6" s="79" t="s">
        <v>519</v>
      </c>
      <c r="CX6" s="79" t="s">
        <v>520</v>
      </c>
      <c r="CY6" s="79" t="s">
        <v>521</v>
      </c>
      <c r="CZ6" s="79" t="s">
        <v>523</v>
      </c>
      <c r="DA6" s="79" t="s">
        <v>525</v>
      </c>
      <c r="DB6" s="79" t="s">
        <v>526</v>
      </c>
      <c r="DC6" s="79" t="s">
        <v>528</v>
      </c>
      <c r="DD6" s="79" t="s">
        <v>530</v>
      </c>
      <c r="DE6" s="79" t="s">
        <v>532</v>
      </c>
      <c r="DF6" s="79" t="s">
        <v>534</v>
      </c>
      <c r="DG6" s="79" t="s">
        <v>536</v>
      </c>
      <c r="DH6" s="79" t="s">
        <v>538</v>
      </c>
      <c r="DI6" s="19" t="s">
        <v>171</v>
      </c>
      <c r="DJ6" s="101"/>
      <c r="DK6" s="20"/>
    </row>
    <row r="7" spans="1:132" x14ac:dyDescent="0.25">
      <c r="B7" s="91"/>
      <c r="C7" s="9">
        <f t="shared" ref="C7:AH7" si="0">COUNTA(C8:C27)</f>
        <v>1</v>
      </c>
      <c r="D7" s="9">
        <f t="shared" si="0"/>
        <v>2</v>
      </c>
      <c r="E7" s="9">
        <f t="shared" si="0"/>
        <v>1</v>
      </c>
      <c r="F7" s="9">
        <f t="shared" si="0"/>
        <v>1</v>
      </c>
      <c r="G7" s="9">
        <f t="shared" si="0"/>
        <v>1</v>
      </c>
      <c r="H7" s="9">
        <f t="shared" si="0"/>
        <v>1</v>
      </c>
      <c r="I7" s="9">
        <f t="shared" si="0"/>
        <v>1</v>
      </c>
      <c r="J7" s="9">
        <f t="shared" si="0"/>
        <v>1</v>
      </c>
      <c r="K7" s="9">
        <f t="shared" si="0"/>
        <v>2</v>
      </c>
      <c r="L7" s="9">
        <f t="shared" si="0"/>
        <v>2</v>
      </c>
      <c r="M7" s="9">
        <f t="shared" si="0"/>
        <v>2</v>
      </c>
      <c r="N7" s="9">
        <f t="shared" si="0"/>
        <v>1</v>
      </c>
      <c r="O7" s="9">
        <f t="shared" si="0"/>
        <v>2</v>
      </c>
      <c r="P7" s="9">
        <f t="shared" si="0"/>
        <v>2</v>
      </c>
      <c r="Q7" s="9">
        <f t="shared" si="0"/>
        <v>2</v>
      </c>
      <c r="R7" s="9">
        <f t="shared" si="0"/>
        <v>3</v>
      </c>
      <c r="S7" s="9">
        <f t="shared" si="0"/>
        <v>0</v>
      </c>
      <c r="T7" s="9">
        <f t="shared" si="0"/>
        <v>2</v>
      </c>
      <c r="U7" s="9">
        <f t="shared" si="0"/>
        <v>1</v>
      </c>
      <c r="V7" s="9">
        <f t="shared" si="0"/>
        <v>0</v>
      </c>
      <c r="W7" s="9">
        <f t="shared" si="0"/>
        <v>0</v>
      </c>
      <c r="X7" s="9">
        <f t="shared" si="0"/>
        <v>0</v>
      </c>
      <c r="Y7" s="9">
        <f t="shared" si="0"/>
        <v>0</v>
      </c>
      <c r="Z7" s="9">
        <f t="shared" si="0"/>
        <v>2</v>
      </c>
      <c r="AA7" s="9">
        <f t="shared" si="0"/>
        <v>1</v>
      </c>
      <c r="AB7" s="9">
        <f t="shared" si="0"/>
        <v>2</v>
      </c>
      <c r="AC7" s="9">
        <f t="shared" si="0"/>
        <v>2</v>
      </c>
      <c r="AD7" s="9">
        <f t="shared" si="0"/>
        <v>2</v>
      </c>
      <c r="AE7" s="9">
        <f t="shared" si="0"/>
        <v>2</v>
      </c>
      <c r="AF7" s="9">
        <f t="shared" si="0"/>
        <v>2</v>
      </c>
      <c r="AG7" s="9">
        <f t="shared" si="0"/>
        <v>2</v>
      </c>
      <c r="AH7" s="9">
        <f t="shared" si="0"/>
        <v>2</v>
      </c>
      <c r="AI7" s="9">
        <f t="shared" ref="AI7:BN7" si="1">COUNTA(AI8:AI27)</f>
        <v>2</v>
      </c>
      <c r="AJ7" s="9">
        <f t="shared" si="1"/>
        <v>2</v>
      </c>
      <c r="AK7" s="9">
        <f t="shared" si="1"/>
        <v>1</v>
      </c>
      <c r="AL7" s="9">
        <f t="shared" si="1"/>
        <v>1</v>
      </c>
      <c r="AM7" s="9">
        <f t="shared" si="1"/>
        <v>1</v>
      </c>
      <c r="AN7" s="9">
        <f t="shared" si="1"/>
        <v>2</v>
      </c>
      <c r="AO7" s="9">
        <f t="shared" si="1"/>
        <v>4</v>
      </c>
      <c r="AP7" s="9">
        <f t="shared" si="1"/>
        <v>2</v>
      </c>
      <c r="AQ7" s="9">
        <f t="shared" si="1"/>
        <v>2</v>
      </c>
      <c r="AR7" s="9">
        <f t="shared" si="1"/>
        <v>3</v>
      </c>
      <c r="AS7" s="9">
        <f t="shared" si="1"/>
        <v>1</v>
      </c>
      <c r="AT7" s="9">
        <f t="shared" si="1"/>
        <v>2</v>
      </c>
      <c r="AU7" s="9">
        <f t="shared" si="1"/>
        <v>0</v>
      </c>
      <c r="AV7" s="9">
        <f t="shared" si="1"/>
        <v>1</v>
      </c>
      <c r="AW7" s="9">
        <f t="shared" si="1"/>
        <v>1</v>
      </c>
      <c r="AX7" s="9">
        <f t="shared" si="1"/>
        <v>1</v>
      </c>
      <c r="AY7" s="9">
        <f t="shared" si="1"/>
        <v>4</v>
      </c>
      <c r="AZ7" s="9">
        <f t="shared" si="1"/>
        <v>2</v>
      </c>
      <c r="BA7" s="9">
        <f t="shared" si="1"/>
        <v>1</v>
      </c>
      <c r="BB7" s="9">
        <f t="shared" si="1"/>
        <v>1</v>
      </c>
      <c r="BC7" s="9">
        <f t="shared" si="1"/>
        <v>4</v>
      </c>
      <c r="BD7" s="9">
        <f t="shared" si="1"/>
        <v>3</v>
      </c>
      <c r="BE7" s="9">
        <f t="shared" si="1"/>
        <v>2</v>
      </c>
      <c r="BF7" s="9">
        <f t="shared" si="1"/>
        <v>4</v>
      </c>
      <c r="BG7" s="9">
        <f t="shared" si="1"/>
        <v>2</v>
      </c>
      <c r="BH7" s="9">
        <f t="shared" si="1"/>
        <v>0</v>
      </c>
      <c r="BI7" s="9">
        <f t="shared" si="1"/>
        <v>1</v>
      </c>
      <c r="BJ7" s="9">
        <f t="shared" si="1"/>
        <v>0</v>
      </c>
      <c r="BK7" s="9">
        <f t="shared" si="1"/>
        <v>1</v>
      </c>
      <c r="BL7" s="9">
        <f t="shared" si="1"/>
        <v>2</v>
      </c>
      <c r="BM7" s="9">
        <f t="shared" si="1"/>
        <v>4</v>
      </c>
      <c r="BN7" s="9">
        <f t="shared" si="1"/>
        <v>3</v>
      </c>
      <c r="BO7" s="9">
        <f t="shared" ref="BO7:CT7" si="2">COUNTA(BO8:BO27)</f>
        <v>4</v>
      </c>
      <c r="BP7" s="9">
        <f t="shared" si="2"/>
        <v>3</v>
      </c>
      <c r="BQ7" s="9">
        <f t="shared" si="2"/>
        <v>3</v>
      </c>
      <c r="BR7" s="9">
        <f t="shared" si="2"/>
        <v>3</v>
      </c>
      <c r="BS7" s="9">
        <f t="shared" si="2"/>
        <v>3</v>
      </c>
      <c r="BT7" s="9">
        <f t="shared" si="2"/>
        <v>3</v>
      </c>
      <c r="BU7" s="9">
        <f t="shared" si="2"/>
        <v>5</v>
      </c>
      <c r="BV7" s="9">
        <f t="shared" si="2"/>
        <v>3</v>
      </c>
      <c r="BW7" s="9">
        <f t="shared" si="2"/>
        <v>2</v>
      </c>
      <c r="BX7" s="9">
        <f t="shared" si="2"/>
        <v>2</v>
      </c>
      <c r="BY7" s="9">
        <f t="shared" si="2"/>
        <v>0</v>
      </c>
      <c r="BZ7" s="9">
        <f t="shared" si="2"/>
        <v>2</v>
      </c>
      <c r="CA7" s="9">
        <f t="shared" si="2"/>
        <v>1</v>
      </c>
      <c r="CB7" s="9">
        <f t="shared" si="2"/>
        <v>3</v>
      </c>
      <c r="CC7" s="9">
        <f t="shared" si="2"/>
        <v>1</v>
      </c>
      <c r="CD7" s="9">
        <f t="shared" si="2"/>
        <v>3</v>
      </c>
      <c r="CE7" s="9">
        <f t="shared" si="2"/>
        <v>3</v>
      </c>
      <c r="CF7" s="9">
        <f t="shared" si="2"/>
        <v>2</v>
      </c>
      <c r="CG7" s="9">
        <f t="shared" si="2"/>
        <v>2</v>
      </c>
      <c r="CH7" s="9">
        <f t="shared" si="2"/>
        <v>2</v>
      </c>
      <c r="CI7" s="9">
        <f t="shared" si="2"/>
        <v>2</v>
      </c>
      <c r="CJ7" s="9">
        <f t="shared" si="2"/>
        <v>2</v>
      </c>
      <c r="CK7" s="9">
        <f t="shared" si="2"/>
        <v>2</v>
      </c>
      <c r="CL7" s="9">
        <f t="shared" si="2"/>
        <v>2</v>
      </c>
      <c r="CM7" s="9">
        <f t="shared" si="2"/>
        <v>2</v>
      </c>
      <c r="CN7" s="9">
        <f t="shared" si="2"/>
        <v>1</v>
      </c>
      <c r="CO7" s="9">
        <f t="shared" si="2"/>
        <v>4</v>
      </c>
      <c r="CP7" s="9">
        <f t="shared" si="2"/>
        <v>4</v>
      </c>
      <c r="CQ7" s="9">
        <f t="shared" si="2"/>
        <v>2</v>
      </c>
      <c r="CR7" s="9">
        <f t="shared" si="2"/>
        <v>1</v>
      </c>
      <c r="CS7" s="9">
        <f t="shared" si="2"/>
        <v>2</v>
      </c>
      <c r="CT7" s="9">
        <f t="shared" si="2"/>
        <v>1</v>
      </c>
      <c r="CU7" s="9">
        <f t="shared" ref="CU7:DH7" si="3">COUNTA(CU8:CU27)</f>
        <v>1</v>
      </c>
      <c r="CV7" s="9">
        <f t="shared" si="3"/>
        <v>1</v>
      </c>
      <c r="CW7" s="9">
        <f t="shared" si="3"/>
        <v>2</v>
      </c>
      <c r="CX7" s="9">
        <f t="shared" si="3"/>
        <v>6</v>
      </c>
      <c r="CY7" s="9">
        <f t="shared" si="3"/>
        <v>0</v>
      </c>
      <c r="CZ7" s="9">
        <f t="shared" si="3"/>
        <v>2</v>
      </c>
      <c r="DA7" s="9">
        <f t="shared" si="3"/>
        <v>2</v>
      </c>
      <c r="DB7" s="9">
        <f t="shared" si="3"/>
        <v>2</v>
      </c>
      <c r="DC7" s="9">
        <f t="shared" si="3"/>
        <v>3</v>
      </c>
      <c r="DD7" s="9">
        <f t="shared" si="3"/>
        <v>3</v>
      </c>
      <c r="DE7" s="9">
        <f t="shared" si="3"/>
        <v>3</v>
      </c>
      <c r="DF7" s="9">
        <f t="shared" si="3"/>
        <v>3</v>
      </c>
      <c r="DG7" s="9">
        <f t="shared" si="3"/>
        <v>5</v>
      </c>
      <c r="DH7" s="9">
        <f t="shared" si="3"/>
        <v>3</v>
      </c>
      <c r="DI7" s="9" t="s">
        <v>133</v>
      </c>
      <c r="DJ7" s="98" t="s">
        <v>172</v>
      </c>
      <c r="DK7" s="9" t="s">
        <v>263</v>
      </c>
      <c r="DL7" s="33" t="s">
        <v>264</v>
      </c>
    </row>
    <row r="8" spans="1:132" x14ac:dyDescent="0.25">
      <c r="A8" s="85" t="s">
        <v>722</v>
      </c>
      <c r="B8" s="95" t="s">
        <v>722</v>
      </c>
      <c r="D8" s="9"/>
      <c r="E8" s="9"/>
      <c r="F8" s="9"/>
      <c r="G8" s="9"/>
      <c r="H8" s="9"/>
      <c r="I8" s="9"/>
      <c r="J8" s="9"/>
      <c r="K8" s="9"/>
      <c r="L8" s="9"/>
      <c r="M8" s="9"/>
      <c r="N8" s="9"/>
      <c r="O8" s="9"/>
      <c r="P8" s="9"/>
      <c r="Q8" s="9"/>
      <c r="R8" s="9"/>
      <c r="S8" s="9"/>
      <c r="T8" s="9"/>
      <c r="BM8" s="9"/>
      <c r="BQ8" s="2"/>
      <c r="BU8" s="9" t="s">
        <v>4</v>
      </c>
      <c r="CK8" s="46"/>
      <c r="CO8" s="9" t="s">
        <v>4</v>
      </c>
      <c r="CP8" s="9" t="s">
        <v>4</v>
      </c>
      <c r="DE8" s="46"/>
      <c r="DF8" s="46"/>
      <c r="DG8" s="46"/>
      <c r="DH8" s="46"/>
      <c r="DI8" s="95" t="s">
        <v>722</v>
      </c>
      <c r="DJ8" s="102">
        <f>COUNTA(C8:DH8)</f>
        <v>3</v>
      </c>
      <c r="DK8" s="108">
        <v>8</v>
      </c>
      <c r="DL8" s="83" t="s">
        <v>890</v>
      </c>
    </row>
    <row r="9" spans="1:132" x14ac:dyDescent="0.25">
      <c r="A9" s="85" t="s">
        <v>724</v>
      </c>
      <c r="B9" s="95" t="s">
        <v>723</v>
      </c>
      <c r="C9" s="9"/>
      <c r="D9" s="14"/>
      <c r="E9" s="14"/>
      <c r="F9" s="14"/>
      <c r="G9" s="14"/>
      <c r="H9" s="9"/>
      <c r="I9" s="9"/>
      <c r="J9" s="9"/>
      <c r="K9" s="9"/>
      <c r="L9" s="9"/>
      <c r="M9" s="9"/>
      <c r="N9" s="9"/>
      <c r="O9" s="9"/>
      <c r="P9" s="9"/>
      <c r="Q9" s="9"/>
      <c r="R9" s="9"/>
      <c r="S9" s="9"/>
      <c r="T9" s="9" t="s">
        <v>4</v>
      </c>
      <c r="BM9" s="9"/>
      <c r="BQ9" s="2"/>
      <c r="BX9" s="9" t="s">
        <v>4</v>
      </c>
      <c r="CK9" s="46"/>
      <c r="DE9" s="46"/>
      <c r="DF9" s="46"/>
      <c r="DG9" s="46"/>
      <c r="DH9" s="46"/>
      <c r="DI9" s="95" t="s">
        <v>723</v>
      </c>
      <c r="DJ9" s="102">
        <f t="shared" ref="DJ9:DJ27" si="4">COUNTA(C9:DH9)</f>
        <v>2</v>
      </c>
      <c r="DK9" s="108">
        <v>1</v>
      </c>
      <c r="DL9" s="83" t="s">
        <v>746</v>
      </c>
    </row>
    <row r="10" spans="1:132" x14ac:dyDescent="0.25">
      <c r="A10" s="85" t="s">
        <v>725</v>
      </c>
      <c r="B10" s="95" t="s">
        <v>724</v>
      </c>
      <c r="C10" s="9"/>
      <c r="D10" s="9"/>
      <c r="E10" s="9"/>
      <c r="F10" s="9"/>
      <c r="G10" s="9"/>
      <c r="H10" s="9"/>
      <c r="I10" s="9"/>
      <c r="J10" s="9"/>
      <c r="K10" s="9"/>
      <c r="L10" s="9"/>
      <c r="M10" s="9"/>
      <c r="N10" s="9"/>
      <c r="O10" s="9"/>
      <c r="P10" s="9"/>
      <c r="Q10" s="9"/>
      <c r="R10" s="9"/>
      <c r="S10" s="9"/>
      <c r="T10" s="9"/>
      <c r="AY10" s="9" t="s">
        <v>4</v>
      </c>
      <c r="BM10" s="9"/>
      <c r="BQ10" s="2"/>
      <c r="CK10" s="46"/>
      <c r="DE10" s="46"/>
      <c r="DF10" s="46"/>
      <c r="DG10" s="46"/>
      <c r="DH10" s="46"/>
      <c r="DI10" s="95" t="s">
        <v>724</v>
      </c>
      <c r="DJ10" s="102">
        <f t="shared" si="4"/>
        <v>1</v>
      </c>
      <c r="DK10" s="108">
        <v>4</v>
      </c>
      <c r="DL10" s="83" t="s">
        <v>747</v>
      </c>
    </row>
    <row r="11" spans="1:132" x14ac:dyDescent="0.25">
      <c r="A11" s="85" t="s">
        <v>728</v>
      </c>
      <c r="B11" s="95" t="s">
        <v>725</v>
      </c>
      <c r="C11" s="9"/>
      <c r="D11" s="9"/>
      <c r="E11" s="9"/>
      <c r="F11" s="9"/>
      <c r="G11" s="9"/>
      <c r="H11" s="9"/>
      <c r="I11" s="9"/>
      <c r="J11" s="9"/>
      <c r="K11" s="9"/>
      <c r="L11" s="9"/>
      <c r="M11" s="9"/>
      <c r="N11" s="9"/>
      <c r="O11" s="9"/>
      <c r="P11" s="9"/>
      <c r="Q11" s="9"/>
      <c r="R11" s="9"/>
      <c r="S11" s="9"/>
      <c r="T11" s="9"/>
      <c r="BM11" s="9"/>
      <c r="BQ11" s="6"/>
      <c r="CK11" s="46"/>
      <c r="CX11" s="9" t="s">
        <v>4</v>
      </c>
      <c r="DE11" s="46"/>
      <c r="DF11" s="46"/>
      <c r="DG11" s="46"/>
      <c r="DH11" s="46"/>
      <c r="DI11" s="95" t="s">
        <v>725</v>
      </c>
      <c r="DJ11" s="102">
        <f t="shared" si="4"/>
        <v>1</v>
      </c>
      <c r="DK11" s="108">
        <v>4</v>
      </c>
      <c r="DL11" s="83" t="s">
        <v>923</v>
      </c>
    </row>
    <row r="12" spans="1:132" x14ac:dyDescent="0.25">
      <c r="A12" s="85" t="s">
        <v>729</v>
      </c>
      <c r="B12" s="95" t="s">
        <v>727</v>
      </c>
      <c r="C12" s="9"/>
      <c r="D12" s="9"/>
      <c r="E12" s="9"/>
      <c r="F12" s="9"/>
      <c r="G12" s="9"/>
      <c r="H12" s="9"/>
      <c r="I12" s="9"/>
      <c r="J12" s="9"/>
      <c r="K12" s="9"/>
      <c r="L12" s="9"/>
      <c r="M12" s="9"/>
      <c r="N12" s="9"/>
      <c r="O12" s="9"/>
      <c r="P12" s="9"/>
      <c r="Q12" s="9"/>
      <c r="R12" s="9"/>
      <c r="S12" s="9"/>
      <c r="T12" s="9"/>
      <c r="BM12" s="9"/>
      <c r="BQ12" s="2"/>
      <c r="BT12" s="9" t="s">
        <v>4</v>
      </c>
      <c r="BU12" s="9" t="s">
        <v>4</v>
      </c>
      <c r="BX12" s="9" t="s">
        <v>4</v>
      </c>
      <c r="CB12" s="9" t="s">
        <v>4</v>
      </c>
      <c r="CK12" s="46"/>
      <c r="CO12" s="9" t="s">
        <v>4</v>
      </c>
      <c r="CP12" s="9" t="s">
        <v>4</v>
      </c>
      <c r="CS12" s="9" t="s">
        <v>4</v>
      </c>
      <c r="CT12" s="9" t="s">
        <v>4</v>
      </c>
      <c r="CW12" s="9" t="s">
        <v>4</v>
      </c>
      <c r="CX12" s="9" t="s">
        <v>4</v>
      </c>
      <c r="DE12" s="46"/>
      <c r="DF12" s="46"/>
      <c r="DG12" s="46"/>
      <c r="DH12" s="46"/>
      <c r="DI12" s="95" t="s">
        <v>727</v>
      </c>
      <c r="DJ12" s="102">
        <f t="shared" si="4"/>
        <v>10</v>
      </c>
      <c r="DK12" s="108">
        <v>8</v>
      </c>
      <c r="DL12" s="83" t="s">
        <v>891</v>
      </c>
    </row>
    <row r="13" spans="1:132" x14ac:dyDescent="0.25">
      <c r="A13" s="85" t="s">
        <v>610</v>
      </c>
      <c r="B13" s="95" t="s">
        <v>726</v>
      </c>
      <c r="C13" s="9"/>
      <c r="D13" s="9"/>
      <c r="E13" s="9"/>
      <c r="F13" s="9"/>
      <c r="G13" s="9"/>
      <c r="H13" s="9"/>
      <c r="I13" s="9"/>
      <c r="J13" s="9"/>
      <c r="K13" s="9"/>
      <c r="L13" s="9"/>
      <c r="M13" s="9"/>
      <c r="N13" s="9"/>
      <c r="O13" s="9"/>
      <c r="P13" s="9"/>
      <c r="Q13" s="9"/>
      <c r="R13" s="9" t="s">
        <v>4</v>
      </c>
      <c r="S13" s="9"/>
      <c r="T13" s="9"/>
      <c r="BM13" s="9"/>
      <c r="BQ13" s="2"/>
      <c r="CK13" s="46"/>
      <c r="DE13" s="46"/>
      <c r="DF13" s="46"/>
      <c r="DG13" s="46"/>
      <c r="DH13" s="46"/>
      <c r="DI13" s="95" t="s">
        <v>726</v>
      </c>
      <c r="DJ13" s="102">
        <f t="shared" si="4"/>
        <v>1</v>
      </c>
      <c r="DK13" s="108">
        <v>4</v>
      </c>
      <c r="DL13" s="83" t="s">
        <v>748</v>
      </c>
    </row>
    <row r="14" spans="1:132" x14ac:dyDescent="0.25">
      <c r="A14" s="85" t="s">
        <v>730</v>
      </c>
      <c r="B14" s="95" t="s">
        <v>728</v>
      </c>
      <c r="C14" s="9"/>
      <c r="D14" s="9"/>
      <c r="E14" s="9"/>
      <c r="F14" s="9"/>
      <c r="G14" s="9"/>
      <c r="H14" s="9"/>
      <c r="I14" s="9"/>
      <c r="J14" s="9"/>
      <c r="K14" s="9"/>
      <c r="L14" s="9"/>
      <c r="M14" s="9"/>
      <c r="N14" s="9"/>
      <c r="O14" s="9"/>
      <c r="P14" s="9"/>
      <c r="Q14" s="9"/>
      <c r="R14" s="9"/>
      <c r="S14" s="9"/>
      <c r="T14" s="9"/>
      <c r="BM14" s="9"/>
      <c r="BQ14"/>
      <c r="CK14" s="46"/>
      <c r="CS14" s="9" t="s">
        <v>4</v>
      </c>
      <c r="DE14" s="46"/>
      <c r="DF14" s="46"/>
      <c r="DG14" s="46"/>
      <c r="DH14" s="46"/>
      <c r="DI14" s="95" t="s">
        <v>728</v>
      </c>
      <c r="DJ14" s="102">
        <f t="shared" si="4"/>
        <v>1</v>
      </c>
      <c r="DK14" s="108">
        <v>4</v>
      </c>
      <c r="DL14" s="83" t="s">
        <v>749</v>
      </c>
    </row>
    <row r="15" spans="1:132" x14ac:dyDescent="0.25">
      <c r="A15" s="85" t="s">
        <v>731</v>
      </c>
      <c r="B15" s="95" t="s">
        <v>731</v>
      </c>
      <c r="C15" s="9" t="s">
        <v>4</v>
      </c>
      <c r="D15" s="9" t="s">
        <v>4</v>
      </c>
      <c r="E15" s="9" t="s">
        <v>4</v>
      </c>
      <c r="F15" s="9" t="s">
        <v>4</v>
      </c>
      <c r="G15" s="9" t="s">
        <v>4</v>
      </c>
      <c r="H15" s="9" t="s">
        <v>4</v>
      </c>
      <c r="I15" s="9" t="s">
        <v>4</v>
      </c>
      <c r="J15" s="9" t="s">
        <v>4</v>
      </c>
      <c r="K15" s="9" t="s">
        <v>4</v>
      </c>
      <c r="L15" s="9" t="s">
        <v>4</v>
      </c>
      <c r="M15" s="9" t="s">
        <v>4</v>
      </c>
      <c r="N15" s="9"/>
      <c r="O15" s="9" t="s">
        <v>4</v>
      </c>
      <c r="P15" s="9" t="s">
        <v>4</v>
      </c>
      <c r="Q15" s="9" t="s">
        <v>4</v>
      </c>
      <c r="R15" s="9" t="s">
        <v>4</v>
      </c>
      <c r="S15" s="9"/>
      <c r="T15" s="9"/>
      <c r="Z15" s="9" t="s">
        <v>4</v>
      </c>
      <c r="AB15" s="9" t="s">
        <v>4</v>
      </c>
      <c r="AC15" s="9" t="s">
        <v>4</v>
      </c>
      <c r="AD15" s="9" t="s">
        <v>4</v>
      </c>
      <c r="AE15" s="9" t="s">
        <v>4</v>
      </c>
      <c r="AF15" s="9" t="s">
        <v>4</v>
      </c>
      <c r="AG15" s="9" t="s">
        <v>4</v>
      </c>
      <c r="AH15" s="9" t="s">
        <v>4</v>
      </c>
      <c r="AI15" s="9" t="s">
        <v>4</v>
      </c>
      <c r="AJ15" s="9" t="s">
        <v>4</v>
      </c>
      <c r="AK15" s="9" t="s">
        <v>4</v>
      </c>
      <c r="AL15" s="9" t="s">
        <v>4</v>
      </c>
      <c r="AM15" s="9" t="s">
        <v>4</v>
      </c>
      <c r="AN15" s="9" t="s">
        <v>4</v>
      </c>
      <c r="AO15" s="9" t="s">
        <v>4</v>
      </c>
      <c r="AP15" s="9" t="s">
        <v>4</v>
      </c>
      <c r="AQ15" s="9" t="s">
        <v>4</v>
      </c>
      <c r="AR15" s="9" t="s">
        <v>4</v>
      </c>
      <c r="AV15" s="9" t="s">
        <v>4</v>
      </c>
      <c r="AW15" s="9" t="s">
        <v>4</v>
      </c>
      <c r="AX15" s="9" t="s">
        <v>4</v>
      </c>
      <c r="AY15" s="9" t="s">
        <v>4</v>
      </c>
      <c r="AZ15" s="9" t="s">
        <v>4</v>
      </c>
      <c r="BA15" s="9" t="s">
        <v>4</v>
      </c>
      <c r="BB15" s="9" t="s">
        <v>4</v>
      </c>
      <c r="BC15" s="9" t="s">
        <v>4</v>
      </c>
      <c r="BD15" s="9" t="s">
        <v>4</v>
      </c>
      <c r="BE15" s="9" t="s">
        <v>4</v>
      </c>
      <c r="BF15" s="9" t="s">
        <v>4</v>
      </c>
      <c r="BG15" s="9" t="s">
        <v>4</v>
      </c>
      <c r="BI15" s="9" t="s">
        <v>4</v>
      </c>
      <c r="BL15" s="9" t="s">
        <v>4</v>
      </c>
      <c r="BM15" s="9" t="s">
        <v>4</v>
      </c>
      <c r="BN15" s="9" t="s">
        <v>4</v>
      </c>
      <c r="BO15" s="9" t="s">
        <v>4</v>
      </c>
      <c r="BP15" s="9" t="s">
        <v>4</v>
      </c>
      <c r="BQ15" s="9" t="s">
        <v>4</v>
      </c>
      <c r="BR15" s="9" t="s">
        <v>4</v>
      </c>
      <c r="BS15" s="9" t="s">
        <v>4</v>
      </c>
      <c r="BU15" s="9" t="s">
        <v>4</v>
      </c>
      <c r="BV15" s="9" t="s">
        <v>4</v>
      </c>
      <c r="BW15" s="9" t="s">
        <v>4</v>
      </c>
      <c r="BZ15" s="9" t="s">
        <v>4</v>
      </c>
      <c r="CB15" s="9" t="s">
        <v>4</v>
      </c>
      <c r="CC15" s="9" t="s">
        <v>4</v>
      </c>
      <c r="CD15" s="9" t="s">
        <v>4</v>
      </c>
      <c r="CE15" s="9" t="s">
        <v>4</v>
      </c>
      <c r="CF15" s="9" t="s">
        <v>4</v>
      </c>
      <c r="CK15" s="46"/>
      <c r="CX15" s="9" t="s">
        <v>4</v>
      </c>
      <c r="DA15" s="9" t="s">
        <v>4</v>
      </c>
      <c r="DB15" s="9" t="s">
        <v>4</v>
      </c>
      <c r="DC15" s="9" t="s">
        <v>4</v>
      </c>
      <c r="DE15" s="46" t="s">
        <v>4</v>
      </c>
      <c r="DF15" s="46" t="s">
        <v>4</v>
      </c>
      <c r="DG15" s="46" t="s">
        <v>4</v>
      </c>
      <c r="DH15" s="46"/>
      <c r="DI15" s="95" t="s">
        <v>731</v>
      </c>
      <c r="DJ15" s="102">
        <f t="shared" si="4"/>
        <v>70</v>
      </c>
      <c r="DK15" s="108">
        <v>8</v>
      </c>
      <c r="DL15" s="83" t="s">
        <v>924</v>
      </c>
    </row>
    <row r="16" spans="1:132" x14ac:dyDescent="0.25">
      <c r="A16" s="85" t="s">
        <v>732</v>
      </c>
      <c r="B16" s="95" t="s">
        <v>732</v>
      </c>
      <c r="C16" s="9"/>
      <c r="D16" s="9"/>
      <c r="E16" s="9"/>
      <c r="F16" s="9"/>
      <c r="G16" s="9"/>
      <c r="H16" s="9"/>
      <c r="I16" s="9"/>
      <c r="J16" s="9"/>
      <c r="K16" s="9"/>
      <c r="L16" s="9"/>
      <c r="M16" s="9"/>
      <c r="N16" s="9"/>
      <c r="O16" s="9"/>
      <c r="P16" s="9"/>
      <c r="Q16" s="9"/>
      <c r="R16" s="9"/>
      <c r="S16" s="82"/>
      <c r="T16" s="82"/>
      <c r="U16" s="82"/>
      <c r="V16" s="82"/>
      <c r="W16" s="82"/>
      <c r="X16" s="82"/>
      <c r="Y16" s="82"/>
      <c r="Z16" s="82"/>
      <c r="AO16" s="9" t="s">
        <v>4</v>
      </c>
      <c r="AP16" s="9" t="s">
        <v>4</v>
      </c>
      <c r="AZ16" s="9" t="s">
        <v>4</v>
      </c>
      <c r="BC16" s="9" t="s">
        <v>4</v>
      </c>
      <c r="BD16" s="9" t="s">
        <v>4</v>
      </c>
      <c r="BG16" s="9" t="s">
        <v>4</v>
      </c>
      <c r="BL16" s="9" t="s">
        <v>4</v>
      </c>
      <c r="BM16" s="9" t="s">
        <v>4</v>
      </c>
      <c r="BO16" s="9" t="s">
        <v>4</v>
      </c>
      <c r="BQ16"/>
      <c r="CE16" s="9" t="s">
        <v>4</v>
      </c>
      <c r="CK16" s="46"/>
      <c r="DD16" s="9" t="s">
        <v>4</v>
      </c>
      <c r="DE16" s="46" t="s">
        <v>4</v>
      </c>
      <c r="DF16" s="46" t="s">
        <v>4</v>
      </c>
      <c r="DG16" s="46" t="s">
        <v>4</v>
      </c>
      <c r="DH16" s="46"/>
      <c r="DI16" s="95" t="s">
        <v>732</v>
      </c>
      <c r="DJ16" s="102">
        <f t="shared" si="4"/>
        <v>14</v>
      </c>
      <c r="DK16" s="108">
        <v>8</v>
      </c>
      <c r="DL16" s="83" t="s">
        <v>750</v>
      </c>
    </row>
    <row r="17" spans="1:116" x14ac:dyDescent="0.25">
      <c r="A17" s="85" t="s">
        <v>733</v>
      </c>
      <c r="B17" s="95" t="s">
        <v>733</v>
      </c>
      <c r="C17" s="9"/>
      <c r="D17" s="9"/>
      <c r="E17" s="9"/>
      <c r="F17" s="9"/>
      <c r="G17" s="9"/>
      <c r="H17" s="9"/>
      <c r="I17" s="9"/>
      <c r="J17" s="9"/>
      <c r="K17" s="9" t="s">
        <v>4</v>
      </c>
      <c r="L17" s="9" t="s">
        <v>4</v>
      </c>
      <c r="M17" s="9" t="s">
        <v>4</v>
      </c>
      <c r="N17" s="9" t="s">
        <v>4</v>
      </c>
      <c r="O17" s="9" t="s">
        <v>4</v>
      </c>
      <c r="P17" s="9" t="s">
        <v>4</v>
      </c>
      <c r="Q17" s="9" t="s">
        <v>4</v>
      </c>
      <c r="R17" s="9" t="s">
        <v>4</v>
      </c>
      <c r="S17" s="9"/>
      <c r="T17" s="9" t="s">
        <v>4</v>
      </c>
      <c r="U17" s="9" t="s">
        <v>4</v>
      </c>
      <c r="Z17" s="9" t="s">
        <v>4</v>
      </c>
      <c r="AB17" s="9" t="s">
        <v>4</v>
      </c>
      <c r="AC17" s="9" t="s">
        <v>4</v>
      </c>
      <c r="AD17" s="9" t="s">
        <v>4</v>
      </c>
      <c r="AE17" s="9" t="s">
        <v>4</v>
      </c>
      <c r="AF17" s="9" t="s">
        <v>4</v>
      </c>
      <c r="AG17" s="9" t="s">
        <v>4</v>
      </c>
      <c r="AH17" s="9" t="s">
        <v>4</v>
      </c>
      <c r="AI17" s="9" t="s">
        <v>4</v>
      </c>
      <c r="AJ17" s="9" t="s">
        <v>4</v>
      </c>
      <c r="AN17" s="9" t="s">
        <v>4</v>
      </c>
      <c r="AQ17" s="9" t="s">
        <v>4</v>
      </c>
      <c r="AR17" s="9" t="s">
        <v>4</v>
      </c>
      <c r="BC17" s="9" t="s">
        <v>4</v>
      </c>
      <c r="BF17" s="9" t="s">
        <v>4</v>
      </c>
      <c r="BM17" s="9"/>
      <c r="BN17" s="9" t="s">
        <v>4</v>
      </c>
      <c r="BO17" s="9" t="s">
        <v>4</v>
      </c>
      <c r="BP17" s="9" t="s">
        <v>4</v>
      </c>
      <c r="BQ17" s="9" t="s">
        <v>4</v>
      </c>
      <c r="BR17" s="9" t="s">
        <v>4</v>
      </c>
      <c r="BS17" s="9" t="s">
        <v>4</v>
      </c>
      <c r="BT17" s="9" t="s">
        <v>4</v>
      </c>
      <c r="BU17" s="9" t="s">
        <v>4</v>
      </c>
      <c r="BV17" s="9" t="s">
        <v>4</v>
      </c>
      <c r="BZ17" s="9" t="s">
        <v>4</v>
      </c>
      <c r="CA17" s="9" t="s">
        <v>4</v>
      </c>
      <c r="CB17" s="9" t="s">
        <v>4</v>
      </c>
      <c r="CD17" s="9" t="s">
        <v>4</v>
      </c>
      <c r="CG17" s="9" t="s">
        <v>4</v>
      </c>
      <c r="CH17" s="9" t="s">
        <v>4</v>
      </c>
      <c r="CI17" s="9" t="s">
        <v>4</v>
      </c>
      <c r="CJ17" s="9" t="s">
        <v>4</v>
      </c>
      <c r="CK17" s="46" t="s">
        <v>4</v>
      </c>
      <c r="CL17" s="9" t="s">
        <v>4</v>
      </c>
      <c r="CM17" s="9" t="s">
        <v>4</v>
      </c>
      <c r="CO17" s="9" t="s">
        <v>4</v>
      </c>
      <c r="CP17" s="9" t="s">
        <v>4</v>
      </c>
      <c r="CQ17" s="9" t="s">
        <v>4</v>
      </c>
      <c r="CU17" s="9" t="s">
        <v>4</v>
      </c>
      <c r="CV17" s="9" t="s">
        <v>4</v>
      </c>
      <c r="CW17" s="9" t="s">
        <v>4</v>
      </c>
      <c r="CZ17" s="9" t="s">
        <v>4</v>
      </c>
      <c r="DE17" s="46"/>
      <c r="DF17" s="46"/>
      <c r="DG17" s="46"/>
      <c r="DH17" s="46"/>
      <c r="DI17" s="95" t="s">
        <v>733</v>
      </c>
      <c r="DJ17" s="102">
        <f t="shared" si="4"/>
        <v>52</v>
      </c>
      <c r="DK17" s="108">
        <v>8</v>
      </c>
      <c r="DL17" s="83" t="s">
        <v>932</v>
      </c>
    </row>
    <row r="18" spans="1:116" x14ac:dyDescent="0.25">
      <c r="A18" s="85" t="s">
        <v>734</v>
      </c>
      <c r="B18" s="95" t="s">
        <v>734</v>
      </c>
      <c r="C18" s="9"/>
      <c r="D18" s="9"/>
      <c r="E18" s="9"/>
      <c r="F18" s="9"/>
      <c r="G18" s="9"/>
      <c r="H18" s="9"/>
      <c r="I18" s="9"/>
      <c r="J18" s="9"/>
      <c r="K18" s="9"/>
      <c r="L18" s="9"/>
      <c r="M18" s="9"/>
      <c r="N18" s="9"/>
      <c r="O18" s="9"/>
      <c r="P18" s="9"/>
      <c r="Q18" s="9"/>
      <c r="R18" s="9"/>
      <c r="S18" s="9"/>
      <c r="T18" s="9"/>
      <c r="BM18" s="9"/>
      <c r="BQ18" s="2"/>
      <c r="CK18" s="46"/>
      <c r="DE18" s="46"/>
      <c r="DF18" s="46"/>
      <c r="DG18" s="46"/>
      <c r="DH18" s="46" t="s">
        <v>4</v>
      </c>
      <c r="DI18" s="95" t="s">
        <v>734</v>
      </c>
      <c r="DJ18" s="102">
        <f t="shared" si="4"/>
        <v>1</v>
      </c>
      <c r="DK18" s="108">
        <v>4</v>
      </c>
      <c r="DL18" s="83" t="s">
        <v>751</v>
      </c>
    </row>
    <row r="19" spans="1:116" x14ac:dyDescent="0.25">
      <c r="A19" s="85" t="s">
        <v>735</v>
      </c>
      <c r="B19" s="95" t="s">
        <v>735</v>
      </c>
      <c r="C19" s="9"/>
      <c r="D19" s="9"/>
      <c r="E19" s="9"/>
      <c r="F19" s="9"/>
      <c r="G19" s="9"/>
      <c r="H19" s="9"/>
      <c r="I19" s="9"/>
      <c r="J19" s="9"/>
      <c r="K19" s="9"/>
      <c r="L19" s="9"/>
      <c r="M19" s="9"/>
      <c r="N19" s="9"/>
      <c r="O19" s="9"/>
      <c r="P19" s="9"/>
      <c r="Q19" s="9"/>
      <c r="R19" s="9"/>
      <c r="S19" s="9"/>
      <c r="T19" s="9"/>
      <c r="BM19" s="9"/>
      <c r="CD19" s="9" t="s">
        <v>4</v>
      </c>
      <c r="CK19" s="46"/>
      <c r="DE19" s="46"/>
      <c r="DF19" s="46"/>
      <c r="DG19" s="46"/>
      <c r="DH19" s="46"/>
      <c r="DI19" s="95" t="s">
        <v>735</v>
      </c>
      <c r="DJ19" s="102">
        <f t="shared" si="4"/>
        <v>1</v>
      </c>
      <c r="DK19" s="108">
        <v>4</v>
      </c>
      <c r="DL19" s="83" t="s">
        <v>352</v>
      </c>
    </row>
    <row r="20" spans="1:116" x14ac:dyDescent="0.25">
      <c r="A20" s="85" t="s">
        <v>737</v>
      </c>
      <c r="B20" s="95" t="s">
        <v>736</v>
      </c>
      <c r="C20" s="9"/>
      <c r="D20" s="9" t="s">
        <v>4</v>
      </c>
      <c r="E20" s="9"/>
      <c r="F20" s="9"/>
      <c r="G20" s="9"/>
      <c r="H20" s="9"/>
      <c r="I20" s="9"/>
      <c r="J20" s="9"/>
      <c r="K20" s="9"/>
      <c r="L20" s="9"/>
      <c r="M20" s="9"/>
      <c r="N20" s="9"/>
      <c r="O20" s="9"/>
      <c r="P20" s="9"/>
      <c r="Q20" s="9"/>
      <c r="R20" s="9"/>
      <c r="S20" s="9"/>
      <c r="T20" s="9"/>
      <c r="AR20" s="9" t="s">
        <v>4</v>
      </c>
      <c r="AS20" s="9" t="s">
        <v>4</v>
      </c>
      <c r="AT20" s="9" t="s">
        <v>4</v>
      </c>
      <c r="AY20" s="9" t="s">
        <v>4</v>
      </c>
      <c r="BC20" s="9" t="s">
        <v>4</v>
      </c>
      <c r="BD20" s="9" t="s">
        <v>4</v>
      </c>
      <c r="BE20" s="9" t="s">
        <v>4</v>
      </c>
      <c r="BF20" s="9" t="s">
        <v>4</v>
      </c>
      <c r="BM20" s="9" t="s">
        <v>4</v>
      </c>
      <c r="BN20" s="9" t="s">
        <v>4</v>
      </c>
      <c r="BO20" s="9" t="s">
        <v>4</v>
      </c>
      <c r="BP20" s="9" t="s">
        <v>4</v>
      </c>
      <c r="BQ20" s="9" t="s">
        <v>4</v>
      </c>
      <c r="BR20" s="9" t="s">
        <v>4</v>
      </c>
      <c r="BS20" s="9" t="s">
        <v>4</v>
      </c>
      <c r="BT20" s="9" t="s">
        <v>4</v>
      </c>
      <c r="BU20" s="9" t="s">
        <v>4</v>
      </c>
      <c r="BV20" s="9" t="s">
        <v>4</v>
      </c>
      <c r="BW20" s="9" t="s">
        <v>4</v>
      </c>
      <c r="CE20" s="9" t="s">
        <v>4</v>
      </c>
      <c r="CF20" s="9" t="s">
        <v>4</v>
      </c>
      <c r="CG20" s="9" t="s">
        <v>4</v>
      </c>
      <c r="CH20" s="9" t="s">
        <v>4</v>
      </c>
      <c r="CI20" s="9" t="s">
        <v>4</v>
      </c>
      <c r="CJ20" s="9" t="s">
        <v>4</v>
      </c>
      <c r="CK20" s="46" t="s">
        <v>4</v>
      </c>
      <c r="CL20" s="9" t="s">
        <v>4</v>
      </c>
      <c r="CM20" s="9" t="s">
        <v>4</v>
      </c>
      <c r="CN20" s="9" t="s">
        <v>4</v>
      </c>
      <c r="CO20" s="9" t="s">
        <v>4</v>
      </c>
      <c r="CP20" s="9" t="s">
        <v>4</v>
      </c>
      <c r="CQ20" s="9" t="s">
        <v>4</v>
      </c>
      <c r="CX20" s="9" t="s">
        <v>4</v>
      </c>
      <c r="CZ20" s="9" t="s">
        <v>4</v>
      </c>
      <c r="DA20" s="9" t="s">
        <v>4</v>
      </c>
      <c r="DB20" s="9" t="s">
        <v>4</v>
      </c>
      <c r="DC20" s="9" t="s">
        <v>4</v>
      </c>
      <c r="DD20" s="9" t="s">
        <v>4</v>
      </c>
      <c r="DG20" s="9" t="s">
        <v>4</v>
      </c>
      <c r="DH20" s="46"/>
      <c r="DI20" s="95" t="s">
        <v>736</v>
      </c>
      <c r="DJ20" s="102">
        <f t="shared" si="4"/>
        <v>40</v>
      </c>
      <c r="DK20" s="108">
        <v>8</v>
      </c>
      <c r="DL20" s="83" t="s">
        <v>752</v>
      </c>
    </row>
    <row r="21" spans="1:116" x14ac:dyDescent="0.25">
      <c r="A21" s="85" t="s">
        <v>738</v>
      </c>
      <c r="B21" s="95" t="s">
        <v>737</v>
      </c>
      <c r="BM21" s="9"/>
      <c r="BQ21"/>
      <c r="CK21" s="46"/>
      <c r="DE21" s="46"/>
      <c r="DF21" s="46"/>
      <c r="DG21" s="46"/>
      <c r="DH21" s="46" t="s">
        <v>4</v>
      </c>
      <c r="DI21" s="95" t="s">
        <v>737</v>
      </c>
      <c r="DJ21" s="102">
        <f t="shared" si="4"/>
        <v>1</v>
      </c>
      <c r="DK21" s="108">
        <v>1</v>
      </c>
      <c r="DL21" s="83" t="s">
        <v>753</v>
      </c>
    </row>
    <row r="22" spans="1:116" x14ac:dyDescent="0.25">
      <c r="A22" s="85" t="s">
        <v>739</v>
      </c>
      <c r="B22" s="95" t="s">
        <v>738</v>
      </c>
      <c r="C22" s="9"/>
      <c r="D22" s="9"/>
      <c r="E22" s="9"/>
      <c r="F22" s="9"/>
      <c r="G22" s="9"/>
      <c r="H22" s="9"/>
      <c r="I22" s="9"/>
      <c r="J22" s="9"/>
      <c r="K22" s="9"/>
      <c r="L22" s="9"/>
      <c r="M22" s="9"/>
      <c r="N22" s="9"/>
      <c r="O22" s="9"/>
      <c r="P22" s="9"/>
      <c r="Q22" s="9"/>
      <c r="R22" s="9"/>
      <c r="S22" s="9"/>
      <c r="T22" s="9"/>
      <c r="AY22" s="9" t="s">
        <v>4</v>
      </c>
      <c r="BF22" s="9" t="s">
        <v>4</v>
      </c>
      <c r="BM22" s="9"/>
      <c r="CK22" s="46"/>
      <c r="DE22" s="46"/>
      <c r="DF22" s="46"/>
      <c r="DG22" s="46"/>
      <c r="DH22" s="46"/>
      <c r="DI22" s="95" t="s">
        <v>738</v>
      </c>
      <c r="DJ22" s="102">
        <f t="shared" si="4"/>
        <v>2</v>
      </c>
      <c r="DK22" s="108">
        <v>4</v>
      </c>
      <c r="DL22" s="83" t="s">
        <v>933</v>
      </c>
    </row>
    <row r="23" spans="1:116" x14ac:dyDescent="0.25">
      <c r="A23" s="85" t="s">
        <v>740</v>
      </c>
      <c r="B23" s="95" t="s">
        <v>739</v>
      </c>
      <c r="C23" s="9"/>
      <c r="D23" s="9"/>
      <c r="E23" s="9"/>
      <c r="F23" s="9"/>
      <c r="G23" s="9"/>
      <c r="H23" s="9"/>
      <c r="I23" s="9"/>
      <c r="J23" s="9"/>
      <c r="K23" s="9"/>
      <c r="L23" s="9"/>
      <c r="M23" s="9"/>
      <c r="N23" s="9"/>
      <c r="O23" s="9"/>
      <c r="P23" s="9"/>
      <c r="Q23" s="9"/>
      <c r="R23" s="9"/>
      <c r="S23" s="9"/>
      <c r="T23" s="9"/>
      <c r="BM23" s="9"/>
      <c r="BQ23"/>
      <c r="CK23" s="46"/>
      <c r="DE23" s="46"/>
      <c r="DF23" s="46"/>
      <c r="DG23" s="46"/>
      <c r="DH23" s="46" t="s">
        <v>4</v>
      </c>
      <c r="DI23" s="95" t="s">
        <v>739</v>
      </c>
      <c r="DJ23" s="102">
        <f t="shared" si="4"/>
        <v>1</v>
      </c>
      <c r="DK23" s="108">
        <v>1</v>
      </c>
      <c r="DL23" s="83" t="s">
        <v>754</v>
      </c>
    </row>
    <row r="24" spans="1:116" x14ac:dyDescent="0.25">
      <c r="A24" s="85" t="s">
        <v>741</v>
      </c>
      <c r="B24" s="95" t="s">
        <v>740</v>
      </c>
      <c r="C24" s="9"/>
      <c r="D24" s="9"/>
      <c r="E24" s="9"/>
      <c r="F24" s="9"/>
      <c r="G24" s="9"/>
      <c r="H24" s="9"/>
      <c r="I24" s="9"/>
      <c r="J24" s="9"/>
      <c r="K24" s="9"/>
      <c r="L24" s="9"/>
      <c r="M24" s="9"/>
      <c r="N24" s="9"/>
      <c r="O24" s="9"/>
      <c r="P24" s="9"/>
      <c r="Q24" s="9"/>
      <c r="R24" s="9"/>
      <c r="S24" s="9"/>
      <c r="T24" s="9"/>
      <c r="AO24" s="9" t="s">
        <v>4</v>
      </c>
      <c r="BM24" s="9"/>
      <c r="BQ24"/>
      <c r="CK24" s="46"/>
      <c r="DE24" s="46"/>
      <c r="DF24" s="46"/>
      <c r="DG24" s="46"/>
      <c r="DH24" s="46"/>
      <c r="DI24" s="95" t="s">
        <v>740</v>
      </c>
      <c r="DJ24" s="102">
        <f t="shared" si="4"/>
        <v>1</v>
      </c>
      <c r="DK24" s="108">
        <v>4</v>
      </c>
      <c r="DL24" s="83" t="s">
        <v>934</v>
      </c>
    </row>
    <row r="25" spans="1:116" x14ac:dyDescent="0.25">
      <c r="A25" s="85" t="s">
        <v>743</v>
      </c>
      <c r="B25" s="95" t="s">
        <v>742</v>
      </c>
      <c r="C25" s="9"/>
      <c r="D25" s="9"/>
      <c r="E25" s="9"/>
      <c r="F25" s="9"/>
      <c r="G25" s="9"/>
      <c r="H25" s="9"/>
      <c r="I25" s="9"/>
      <c r="J25" s="9"/>
      <c r="K25" s="9"/>
      <c r="L25" s="9"/>
      <c r="M25" s="9"/>
      <c r="N25" s="9"/>
      <c r="O25" s="9"/>
      <c r="P25" s="9"/>
      <c r="Q25" s="9"/>
      <c r="R25" s="9"/>
      <c r="S25" s="9"/>
      <c r="T25" s="9"/>
      <c r="AO25" s="9" t="s">
        <v>4</v>
      </c>
      <c r="BM25" s="9"/>
      <c r="CK25" s="46"/>
      <c r="DE25" s="46" t="s">
        <v>4</v>
      </c>
      <c r="DF25" s="46" t="s">
        <v>4</v>
      </c>
      <c r="DG25" s="46" t="s">
        <v>4</v>
      </c>
      <c r="DH25" s="46"/>
      <c r="DI25" s="95" t="s">
        <v>742</v>
      </c>
      <c r="DJ25" s="102">
        <f t="shared" si="4"/>
        <v>4</v>
      </c>
      <c r="DK25" s="108">
        <v>4</v>
      </c>
      <c r="DL25" s="83" t="s">
        <v>935</v>
      </c>
    </row>
    <row r="26" spans="1:116" x14ac:dyDescent="0.25">
      <c r="A26" s="85" t="s">
        <v>744</v>
      </c>
      <c r="B26" s="95" t="s">
        <v>741</v>
      </c>
      <c r="C26" s="9"/>
      <c r="D26" s="9"/>
      <c r="E26" s="9"/>
      <c r="F26" s="9"/>
      <c r="G26" s="9"/>
      <c r="H26" s="9"/>
      <c r="I26" s="9"/>
      <c r="J26" s="9"/>
      <c r="K26" s="9"/>
      <c r="L26" s="9"/>
      <c r="M26" s="9"/>
      <c r="N26" s="9"/>
      <c r="O26" s="9"/>
      <c r="P26" s="9"/>
      <c r="Q26" s="9"/>
      <c r="R26" s="9"/>
      <c r="S26" s="9"/>
      <c r="T26" s="9"/>
      <c r="AT26" s="9" t="s">
        <v>4</v>
      </c>
      <c r="BM26" s="9" t="s">
        <v>4</v>
      </c>
      <c r="BQ26" s="2"/>
      <c r="CK26" s="46"/>
      <c r="CX26" s="9" t="s">
        <v>4</v>
      </c>
      <c r="DC26" s="9" t="s">
        <v>4</v>
      </c>
      <c r="DD26" s="9" t="s">
        <v>4</v>
      </c>
      <c r="DE26" s="46"/>
      <c r="DF26" s="46"/>
      <c r="DG26" s="46" t="s">
        <v>4</v>
      </c>
      <c r="DH26" s="46"/>
      <c r="DI26" s="95" t="s">
        <v>741</v>
      </c>
      <c r="DJ26" s="102">
        <f t="shared" si="4"/>
        <v>6</v>
      </c>
      <c r="DK26" s="108">
        <v>16</v>
      </c>
      <c r="DL26" s="83" t="s">
        <v>755</v>
      </c>
    </row>
    <row r="27" spans="1:116" x14ac:dyDescent="0.25">
      <c r="A27" s="85" t="s">
        <v>745</v>
      </c>
      <c r="B27" s="95" t="s">
        <v>743</v>
      </c>
      <c r="C27" s="9"/>
      <c r="D27" s="9"/>
      <c r="E27" s="9"/>
      <c r="F27" s="9"/>
      <c r="G27" s="9"/>
      <c r="H27" s="9"/>
      <c r="I27" s="9"/>
      <c r="J27" s="9"/>
      <c r="K27" s="9"/>
      <c r="L27" s="9"/>
      <c r="M27" s="9"/>
      <c r="N27" s="9"/>
      <c r="O27" s="9"/>
      <c r="P27" s="9"/>
      <c r="Q27" s="9"/>
      <c r="R27" s="9"/>
      <c r="S27" s="9"/>
      <c r="T27" s="9"/>
      <c r="AA27" s="9" t="s">
        <v>4</v>
      </c>
      <c r="BK27" s="9" t="s">
        <v>4</v>
      </c>
      <c r="BM27" s="9"/>
      <c r="CK27" s="46"/>
      <c r="CR27" s="9" t="s">
        <v>4</v>
      </c>
      <c r="CX27" s="9" t="s">
        <v>4</v>
      </c>
      <c r="DE27" s="46"/>
      <c r="DF27" s="46"/>
      <c r="DG27" s="46"/>
      <c r="DH27" s="46"/>
      <c r="DI27" s="95" t="s">
        <v>743</v>
      </c>
      <c r="DJ27" s="102">
        <f t="shared" si="4"/>
        <v>4</v>
      </c>
      <c r="DK27" s="108">
        <v>8</v>
      </c>
      <c r="DL27" s="83" t="s">
        <v>756</v>
      </c>
    </row>
    <row r="28" spans="1:116" x14ac:dyDescent="0.25">
      <c r="DJ28" s="103"/>
      <c r="DK28" s="9"/>
    </row>
    <row r="29" spans="1:116" x14ac:dyDescent="0.25">
      <c r="C29" s="9">
        <f t="shared" ref="C29:AH29" si="5">PRODUCT(C164:C184)</f>
        <v>8</v>
      </c>
      <c r="D29" s="9">
        <f t="shared" si="5"/>
        <v>64</v>
      </c>
      <c r="E29" s="9">
        <f t="shared" si="5"/>
        <v>8</v>
      </c>
      <c r="F29" s="9">
        <f t="shared" si="5"/>
        <v>8</v>
      </c>
      <c r="G29" s="9">
        <f t="shared" si="5"/>
        <v>8</v>
      </c>
      <c r="H29" s="9">
        <f t="shared" si="5"/>
        <v>8</v>
      </c>
      <c r="I29" s="9">
        <f t="shared" si="5"/>
        <v>8</v>
      </c>
      <c r="J29" s="9">
        <f t="shared" si="5"/>
        <v>8</v>
      </c>
      <c r="K29" s="9">
        <f t="shared" si="5"/>
        <v>64</v>
      </c>
      <c r="L29" s="9">
        <f t="shared" si="5"/>
        <v>64</v>
      </c>
      <c r="M29" s="9">
        <f t="shared" si="5"/>
        <v>64</v>
      </c>
      <c r="N29" s="9">
        <f t="shared" si="5"/>
        <v>8</v>
      </c>
      <c r="O29" s="9">
        <f t="shared" si="5"/>
        <v>64</v>
      </c>
      <c r="P29" s="9">
        <f t="shared" si="5"/>
        <v>64</v>
      </c>
      <c r="Q29" s="9">
        <f t="shared" si="5"/>
        <v>64</v>
      </c>
      <c r="R29" s="9">
        <f t="shared" si="5"/>
        <v>256</v>
      </c>
      <c r="S29" s="9">
        <f t="shared" si="5"/>
        <v>0</v>
      </c>
      <c r="T29" s="9">
        <f t="shared" si="5"/>
        <v>8</v>
      </c>
      <c r="U29" s="9">
        <f t="shared" si="5"/>
        <v>8</v>
      </c>
      <c r="V29" s="9">
        <f t="shared" si="5"/>
        <v>0</v>
      </c>
      <c r="W29" s="9">
        <f t="shared" si="5"/>
        <v>0</v>
      </c>
      <c r="X29" s="9">
        <f t="shared" si="5"/>
        <v>0</v>
      </c>
      <c r="Y29" s="9">
        <f t="shared" si="5"/>
        <v>0</v>
      </c>
      <c r="Z29" s="9">
        <f t="shared" si="5"/>
        <v>64</v>
      </c>
      <c r="AA29" s="9">
        <f t="shared" si="5"/>
        <v>8</v>
      </c>
      <c r="AB29" s="9">
        <f t="shared" si="5"/>
        <v>64</v>
      </c>
      <c r="AC29" s="9">
        <f t="shared" si="5"/>
        <v>64</v>
      </c>
      <c r="AD29" s="9">
        <f t="shared" si="5"/>
        <v>64</v>
      </c>
      <c r="AE29" s="9">
        <f t="shared" si="5"/>
        <v>64</v>
      </c>
      <c r="AF29" s="9">
        <f t="shared" si="5"/>
        <v>64</v>
      </c>
      <c r="AG29" s="9">
        <f t="shared" si="5"/>
        <v>64</v>
      </c>
      <c r="AH29" s="9">
        <f t="shared" si="5"/>
        <v>64</v>
      </c>
      <c r="AI29" s="9">
        <f t="shared" ref="AI29:BN29" si="6">PRODUCT(AI164:AI184)</f>
        <v>64</v>
      </c>
      <c r="AJ29" s="9">
        <f t="shared" si="6"/>
        <v>64</v>
      </c>
      <c r="AK29" s="9">
        <f t="shared" si="6"/>
        <v>8</v>
      </c>
      <c r="AL29" s="9">
        <f t="shared" si="6"/>
        <v>8</v>
      </c>
      <c r="AM29" s="9">
        <f t="shared" si="6"/>
        <v>8</v>
      </c>
      <c r="AN29" s="9">
        <f t="shared" si="6"/>
        <v>64</v>
      </c>
      <c r="AO29" s="9">
        <f t="shared" si="6"/>
        <v>1024</v>
      </c>
      <c r="AP29" s="9">
        <f t="shared" si="6"/>
        <v>64</v>
      </c>
      <c r="AQ29" s="9">
        <f t="shared" si="6"/>
        <v>64</v>
      </c>
      <c r="AR29" s="9">
        <f t="shared" si="6"/>
        <v>512</v>
      </c>
      <c r="AS29" s="9">
        <f t="shared" si="6"/>
        <v>8</v>
      </c>
      <c r="AT29" s="9">
        <f t="shared" si="6"/>
        <v>128</v>
      </c>
      <c r="AU29" s="9">
        <f t="shared" si="6"/>
        <v>0</v>
      </c>
      <c r="AV29" s="9">
        <f t="shared" si="6"/>
        <v>8</v>
      </c>
      <c r="AW29" s="9">
        <f t="shared" si="6"/>
        <v>8</v>
      </c>
      <c r="AX29" s="9">
        <f t="shared" si="6"/>
        <v>8</v>
      </c>
      <c r="AY29" s="9">
        <f t="shared" si="6"/>
        <v>1024</v>
      </c>
      <c r="AZ29" s="9">
        <f t="shared" si="6"/>
        <v>64</v>
      </c>
      <c r="BA29" s="9">
        <f t="shared" si="6"/>
        <v>8</v>
      </c>
      <c r="BB29" s="9">
        <f t="shared" si="6"/>
        <v>8</v>
      </c>
      <c r="BC29" s="9">
        <f t="shared" si="6"/>
        <v>4096</v>
      </c>
      <c r="BD29" s="9">
        <f t="shared" si="6"/>
        <v>512</v>
      </c>
      <c r="BE29" s="9">
        <f t="shared" si="6"/>
        <v>64</v>
      </c>
      <c r="BF29" s="9">
        <f t="shared" si="6"/>
        <v>2048</v>
      </c>
      <c r="BG29" s="9">
        <f t="shared" si="6"/>
        <v>64</v>
      </c>
      <c r="BH29" s="9">
        <f t="shared" si="6"/>
        <v>0</v>
      </c>
      <c r="BI29" s="9">
        <f t="shared" si="6"/>
        <v>8</v>
      </c>
      <c r="BJ29" s="9">
        <f t="shared" si="6"/>
        <v>0</v>
      </c>
      <c r="BK29" s="9">
        <f t="shared" si="6"/>
        <v>8</v>
      </c>
      <c r="BL29" s="9">
        <f t="shared" si="6"/>
        <v>64</v>
      </c>
      <c r="BM29" s="9">
        <f t="shared" si="6"/>
        <v>8192</v>
      </c>
      <c r="BN29" s="9">
        <f t="shared" si="6"/>
        <v>512</v>
      </c>
      <c r="BO29" s="9">
        <f t="shared" ref="BO29:CT29" si="7">PRODUCT(BO164:BO184)</f>
        <v>4096</v>
      </c>
      <c r="BP29" s="9">
        <f t="shared" si="7"/>
        <v>512</v>
      </c>
      <c r="BQ29" s="9">
        <f t="shared" si="7"/>
        <v>512</v>
      </c>
      <c r="BR29" s="9">
        <f t="shared" si="7"/>
        <v>512</v>
      </c>
      <c r="BS29" s="9">
        <f t="shared" si="7"/>
        <v>512</v>
      </c>
      <c r="BT29" s="9">
        <f t="shared" si="7"/>
        <v>512</v>
      </c>
      <c r="BU29" s="9">
        <f t="shared" si="7"/>
        <v>32768</v>
      </c>
      <c r="BV29" s="9">
        <f t="shared" si="7"/>
        <v>512</v>
      </c>
      <c r="BW29" s="9">
        <f t="shared" si="7"/>
        <v>64</v>
      </c>
      <c r="BX29" s="9">
        <f t="shared" si="7"/>
        <v>8</v>
      </c>
      <c r="BY29" s="9">
        <f t="shared" si="7"/>
        <v>0</v>
      </c>
      <c r="BZ29" s="9">
        <f t="shared" si="7"/>
        <v>64</v>
      </c>
      <c r="CA29" s="9">
        <f t="shared" si="7"/>
        <v>8</v>
      </c>
      <c r="CB29" s="9">
        <f t="shared" si="7"/>
        <v>512</v>
      </c>
      <c r="CC29" s="9">
        <f t="shared" si="7"/>
        <v>8</v>
      </c>
      <c r="CD29" s="9">
        <f t="shared" si="7"/>
        <v>256</v>
      </c>
      <c r="CE29" s="9">
        <f t="shared" si="7"/>
        <v>512</v>
      </c>
      <c r="CF29" s="9">
        <f t="shared" si="7"/>
        <v>64</v>
      </c>
      <c r="CG29" s="9">
        <f t="shared" si="7"/>
        <v>64</v>
      </c>
      <c r="CH29" s="9">
        <f t="shared" si="7"/>
        <v>64</v>
      </c>
      <c r="CI29" s="9">
        <f t="shared" si="7"/>
        <v>64</v>
      </c>
      <c r="CJ29" s="9">
        <f t="shared" si="7"/>
        <v>64</v>
      </c>
      <c r="CK29" s="9">
        <f t="shared" si="7"/>
        <v>64</v>
      </c>
      <c r="CL29" s="9">
        <f t="shared" si="7"/>
        <v>64</v>
      </c>
      <c r="CM29" s="9">
        <f t="shared" si="7"/>
        <v>64</v>
      </c>
      <c r="CN29" s="9">
        <f t="shared" si="7"/>
        <v>8</v>
      </c>
      <c r="CO29" s="9">
        <f t="shared" si="7"/>
        <v>4096</v>
      </c>
      <c r="CP29" s="9">
        <f t="shared" si="7"/>
        <v>4096</v>
      </c>
      <c r="CQ29" s="9">
        <f t="shared" si="7"/>
        <v>64</v>
      </c>
      <c r="CR29" s="9">
        <f t="shared" si="7"/>
        <v>8</v>
      </c>
      <c r="CS29" s="9">
        <f t="shared" si="7"/>
        <v>32</v>
      </c>
      <c r="CT29" s="9">
        <f t="shared" si="7"/>
        <v>8</v>
      </c>
      <c r="CU29" s="9">
        <f t="shared" ref="CU29:DH29" si="8">PRODUCT(CU164:CU184)</f>
        <v>8</v>
      </c>
      <c r="CV29" s="9">
        <f t="shared" si="8"/>
        <v>8</v>
      </c>
      <c r="CW29" s="9">
        <f t="shared" si="8"/>
        <v>64</v>
      </c>
      <c r="CX29" s="9">
        <f t="shared" si="8"/>
        <v>262144</v>
      </c>
      <c r="CY29" s="9">
        <f t="shared" si="8"/>
        <v>0</v>
      </c>
      <c r="CZ29" s="9">
        <f t="shared" si="8"/>
        <v>64</v>
      </c>
      <c r="DA29" s="9">
        <f t="shared" si="8"/>
        <v>64</v>
      </c>
      <c r="DB29" s="9">
        <f t="shared" si="8"/>
        <v>64</v>
      </c>
      <c r="DC29" s="9">
        <f t="shared" si="8"/>
        <v>1024</v>
      </c>
      <c r="DD29" s="9">
        <f t="shared" si="8"/>
        <v>1024</v>
      </c>
      <c r="DE29" s="9">
        <f t="shared" si="8"/>
        <v>256</v>
      </c>
      <c r="DF29" s="9">
        <f t="shared" si="8"/>
        <v>256</v>
      </c>
      <c r="DG29" s="9">
        <f t="shared" si="8"/>
        <v>32768</v>
      </c>
      <c r="DH29" s="9">
        <f t="shared" si="8"/>
        <v>4</v>
      </c>
      <c r="DJ29" s="103"/>
      <c r="DK29" s="9"/>
    </row>
    <row r="30" spans="1:116" x14ac:dyDescent="0.25">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6"/>
      <c r="BC30" s="46"/>
      <c r="BD30" s="46"/>
      <c r="BE30" s="46"/>
      <c r="BF30" s="46"/>
      <c r="BG30" s="46"/>
      <c r="BH30" s="46"/>
      <c r="BI30" s="46"/>
      <c r="BJ30" s="46"/>
      <c r="BK30" s="46"/>
      <c r="BL30" s="46"/>
      <c r="BM30" s="46"/>
      <c r="BN30" s="46"/>
      <c r="BO30" s="46"/>
      <c r="BP30" s="46"/>
      <c r="BQ30" s="46"/>
      <c r="BR30" s="46"/>
      <c r="BS30" s="46"/>
      <c r="BT30" s="46"/>
      <c r="BU30" s="46"/>
      <c r="BV30" s="46"/>
      <c r="BW30" s="46"/>
      <c r="BX30" s="46"/>
      <c r="BY30" s="46"/>
      <c r="BZ30" s="46"/>
      <c r="CA30" s="46"/>
      <c r="CB30" s="46"/>
      <c r="CC30" s="46"/>
      <c r="CD30" s="46"/>
      <c r="CE30" s="46"/>
      <c r="CF30" s="46"/>
      <c r="CG30" s="46"/>
      <c r="CH30" s="46"/>
      <c r="CI30" s="46"/>
      <c r="CJ30" s="46"/>
      <c r="CK30" s="46"/>
      <c r="CL30" s="46"/>
      <c r="CM30" s="46"/>
      <c r="CN30" s="46"/>
      <c r="CO30" s="46"/>
      <c r="CP30" s="46"/>
      <c r="CQ30" s="46"/>
      <c r="CR30" s="46"/>
      <c r="CS30" s="46"/>
      <c r="CT30" s="46"/>
      <c r="CU30" s="46"/>
      <c r="CV30" s="46"/>
      <c r="CW30" s="46"/>
      <c r="CX30" s="46"/>
      <c r="CY30" s="46"/>
      <c r="CZ30" s="46"/>
      <c r="DA30" s="46"/>
      <c r="DB30" s="46"/>
      <c r="DC30" s="46"/>
      <c r="DD30" s="46"/>
      <c r="DE30" s="46"/>
      <c r="DF30" s="46"/>
      <c r="DG30" s="46"/>
      <c r="DH30" s="46"/>
      <c r="DJ30" s="103"/>
      <c r="DK30" s="9"/>
    </row>
    <row r="31" spans="1:116" x14ac:dyDescent="0.25">
      <c r="C31" s="46" t="str">
        <f t="shared" ref="C31:AH31" si="9">IF(C29&gt;64,IF(C3="CMA","CA",IF(C3="CA","CM",C3)),C3)</f>
        <v>CA</v>
      </c>
      <c r="D31" s="46" t="str">
        <f t="shared" si="9"/>
        <v>CA</v>
      </c>
      <c r="E31" s="46" t="str">
        <f t="shared" si="9"/>
        <v>CA</v>
      </c>
      <c r="F31" s="46" t="str">
        <f t="shared" si="9"/>
        <v>CA</v>
      </c>
      <c r="G31" s="46" t="str">
        <f t="shared" si="9"/>
        <v>CA</v>
      </c>
      <c r="H31" s="46" t="str">
        <f t="shared" si="9"/>
        <v>CA</v>
      </c>
      <c r="I31" s="46" t="str">
        <f t="shared" si="9"/>
        <v>CA</v>
      </c>
      <c r="J31" s="46" t="str">
        <f t="shared" si="9"/>
        <v>CA</v>
      </c>
      <c r="K31" s="46" t="str">
        <f t="shared" si="9"/>
        <v>CA</v>
      </c>
      <c r="L31" s="46" t="str">
        <f t="shared" si="9"/>
        <v>CA</v>
      </c>
      <c r="M31" s="46" t="str">
        <f t="shared" si="9"/>
        <v>CM</v>
      </c>
      <c r="N31" s="46" t="str">
        <f t="shared" si="9"/>
        <v>CM</v>
      </c>
      <c r="O31" s="46" t="str">
        <f t="shared" si="9"/>
        <v>CA</v>
      </c>
      <c r="P31" s="46" t="str">
        <f t="shared" si="9"/>
        <v>CA</v>
      </c>
      <c r="Q31" s="46" t="str">
        <f t="shared" si="9"/>
        <v>CA</v>
      </c>
      <c r="R31" s="46" t="str">
        <f t="shared" si="9"/>
        <v>CA</v>
      </c>
      <c r="S31" s="46" t="str">
        <f t="shared" si="9"/>
        <v>CA</v>
      </c>
      <c r="T31" s="46" t="str">
        <f t="shared" si="9"/>
        <v>CMA</v>
      </c>
      <c r="U31" s="46" t="str">
        <f t="shared" si="9"/>
        <v>CA</v>
      </c>
      <c r="V31" s="46" t="str">
        <f t="shared" si="9"/>
        <v>CA</v>
      </c>
      <c r="W31" s="46" t="str">
        <f t="shared" si="9"/>
        <v>CM</v>
      </c>
      <c r="X31" s="46" t="str">
        <f t="shared" si="9"/>
        <v>CA</v>
      </c>
      <c r="Y31" s="46" t="str">
        <f t="shared" si="9"/>
        <v>CM</v>
      </c>
      <c r="Z31" s="46" t="str">
        <f t="shared" si="9"/>
        <v>CA</v>
      </c>
      <c r="AA31" s="46" t="str">
        <f t="shared" si="9"/>
        <v>CA</v>
      </c>
      <c r="AB31" s="46" t="str">
        <f t="shared" si="9"/>
        <v>CA</v>
      </c>
      <c r="AC31" s="46" t="str">
        <f t="shared" si="9"/>
        <v>CA</v>
      </c>
      <c r="AD31" s="46" t="str">
        <f t="shared" si="9"/>
        <v>CA</v>
      </c>
      <c r="AE31" s="46" t="str">
        <f t="shared" si="9"/>
        <v>CA</v>
      </c>
      <c r="AF31" s="46" t="str">
        <f t="shared" si="9"/>
        <v>CA</v>
      </c>
      <c r="AG31" s="46" t="str">
        <f t="shared" si="9"/>
        <v>CA</v>
      </c>
      <c r="AH31" s="46" t="str">
        <f t="shared" si="9"/>
        <v>CA</v>
      </c>
      <c r="AI31" s="46" t="str">
        <f t="shared" ref="AI31:BN31" si="10">IF(AI29&gt;64,IF(AI3="CMA","CA",IF(AI3="CA","CM",AI3)),AI3)</f>
        <v>CA</v>
      </c>
      <c r="AJ31" s="46" t="str">
        <f t="shared" si="10"/>
        <v>CA</v>
      </c>
      <c r="AK31" s="46" t="str">
        <f t="shared" si="10"/>
        <v>CA</v>
      </c>
      <c r="AL31" s="46" t="str">
        <f t="shared" si="10"/>
        <v>CA</v>
      </c>
      <c r="AM31" s="46" t="str">
        <f t="shared" si="10"/>
        <v>CA</v>
      </c>
      <c r="AN31" s="46" t="str">
        <f t="shared" si="10"/>
        <v>CA</v>
      </c>
      <c r="AO31" s="46" t="str">
        <f t="shared" si="10"/>
        <v>CM</v>
      </c>
      <c r="AP31" s="46" t="str">
        <f t="shared" si="10"/>
        <v>CA</v>
      </c>
      <c r="AQ31" s="46" t="str">
        <f t="shared" si="10"/>
        <v>CM</v>
      </c>
      <c r="AR31" s="46" t="str">
        <f t="shared" si="10"/>
        <v>CM</v>
      </c>
      <c r="AS31" s="46" t="str">
        <f t="shared" si="10"/>
        <v>CM</v>
      </c>
      <c r="AT31" s="46" t="str">
        <f t="shared" si="10"/>
        <v>CM</v>
      </c>
      <c r="AU31" s="46" t="str">
        <f t="shared" si="10"/>
        <v>CM</v>
      </c>
      <c r="AV31" s="46" t="str">
        <f t="shared" si="10"/>
        <v>CA</v>
      </c>
      <c r="AW31" s="46" t="str">
        <f t="shared" si="10"/>
        <v>CA</v>
      </c>
      <c r="AX31" s="46" t="str">
        <f t="shared" si="10"/>
        <v>CA</v>
      </c>
      <c r="AY31" s="46" t="str">
        <f t="shared" si="10"/>
        <v>CA</v>
      </c>
      <c r="AZ31" s="46" t="str">
        <f t="shared" si="10"/>
        <v>CA</v>
      </c>
      <c r="BA31" s="46" t="str">
        <f t="shared" si="10"/>
        <v>CA</v>
      </c>
      <c r="BB31" s="46" t="str">
        <f t="shared" si="10"/>
        <v>CA</v>
      </c>
      <c r="BC31" s="46" t="str">
        <f t="shared" si="10"/>
        <v>CM</v>
      </c>
      <c r="BD31" s="46" t="str">
        <f t="shared" si="10"/>
        <v>CM</v>
      </c>
      <c r="BE31" s="46" t="str">
        <f t="shared" si="10"/>
        <v>CA</v>
      </c>
      <c r="BF31" s="46" t="str">
        <f t="shared" si="10"/>
        <v>CM</v>
      </c>
      <c r="BG31" s="46" t="str">
        <f t="shared" si="10"/>
        <v>CA</v>
      </c>
      <c r="BH31" s="46" t="str">
        <f t="shared" si="10"/>
        <v>CA</v>
      </c>
      <c r="BI31" s="46" t="str">
        <f t="shared" si="10"/>
        <v>CA</v>
      </c>
      <c r="BJ31" s="46" t="str">
        <f t="shared" si="10"/>
        <v>CA</v>
      </c>
      <c r="BK31" s="46" t="str">
        <f t="shared" si="10"/>
        <v>CA</v>
      </c>
      <c r="BL31" s="46" t="str">
        <f t="shared" si="10"/>
        <v>CA</v>
      </c>
      <c r="BM31" s="46" t="str">
        <f t="shared" si="10"/>
        <v>CM</v>
      </c>
      <c r="BN31" s="46" t="str">
        <f t="shared" si="10"/>
        <v>CM</v>
      </c>
      <c r="BO31" s="46" t="str">
        <f t="shared" ref="BO31:CT31" si="11">IF(BO29&gt;64,IF(BO3="CMA","CA",IF(BO3="CA","CM",BO3)),BO3)</f>
        <v>CM</v>
      </c>
      <c r="BP31" s="46" t="str">
        <f t="shared" si="11"/>
        <v>CM</v>
      </c>
      <c r="BQ31" s="46" t="str">
        <f t="shared" si="11"/>
        <v>CM</v>
      </c>
      <c r="BR31" s="46" t="str">
        <f t="shared" si="11"/>
        <v>CM</v>
      </c>
      <c r="BS31" s="46" t="str">
        <f t="shared" si="11"/>
        <v>CM</v>
      </c>
      <c r="BT31" s="46" t="str">
        <f t="shared" si="11"/>
        <v>CM</v>
      </c>
      <c r="BU31" s="46" t="str">
        <f t="shared" si="11"/>
        <v>CM</v>
      </c>
      <c r="BV31" s="46" t="str">
        <f t="shared" si="11"/>
        <v>CM</v>
      </c>
      <c r="BW31" s="46" t="str">
        <f t="shared" si="11"/>
        <v>CA</v>
      </c>
      <c r="BX31" s="46" t="str">
        <f t="shared" si="11"/>
        <v>CA</v>
      </c>
      <c r="BY31" s="46" t="str">
        <f t="shared" si="11"/>
        <v>CA</v>
      </c>
      <c r="BZ31" s="46" t="str">
        <f t="shared" si="11"/>
        <v>CA</v>
      </c>
      <c r="CA31" s="46" t="str">
        <f t="shared" si="11"/>
        <v>CA</v>
      </c>
      <c r="CB31" s="46" t="str">
        <f t="shared" si="11"/>
        <v>CM</v>
      </c>
      <c r="CC31" s="46" t="str">
        <f t="shared" si="11"/>
        <v>CA</v>
      </c>
      <c r="CD31" s="46" t="str">
        <f t="shared" si="11"/>
        <v>CM</v>
      </c>
      <c r="CE31" s="46" t="str">
        <f t="shared" si="11"/>
        <v>CM</v>
      </c>
      <c r="CF31" s="46" t="str">
        <f t="shared" si="11"/>
        <v>CA</v>
      </c>
      <c r="CG31" s="46" t="str">
        <f t="shared" si="11"/>
        <v>CA</v>
      </c>
      <c r="CH31" s="46" t="str">
        <f t="shared" si="11"/>
        <v>CA</v>
      </c>
      <c r="CI31" s="46" t="str">
        <f t="shared" si="11"/>
        <v>CA</v>
      </c>
      <c r="CJ31" s="46" t="str">
        <f t="shared" si="11"/>
        <v>CM</v>
      </c>
      <c r="CK31" s="46" t="str">
        <f t="shared" si="11"/>
        <v>CM</v>
      </c>
      <c r="CL31" s="46" t="str">
        <f t="shared" si="11"/>
        <v>CM</v>
      </c>
      <c r="CM31" s="46" t="str">
        <f t="shared" si="11"/>
        <v>CA</v>
      </c>
      <c r="CN31" s="46" t="str">
        <f t="shared" si="11"/>
        <v>CM</v>
      </c>
      <c r="CO31" s="46" t="str">
        <f t="shared" si="11"/>
        <v>CM</v>
      </c>
      <c r="CP31" s="46" t="str">
        <f t="shared" si="11"/>
        <v>CM</v>
      </c>
      <c r="CQ31" s="46" t="str">
        <f t="shared" si="11"/>
        <v>CM</v>
      </c>
      <c r="CR31" s="46" t="str">
        <f t="shared" si="11"/>
        <v>CM</v>
      </c>
      <c r="CS31" s="46" t="str">
        <f t="shared" si="11"/>
        <v>CA</v>
      </c>
      <c r="CT31" s="46" t="str">
        <f t="shared" si="11"/>
        <v>CA</v>
      </c>
      <c r="CU31" s="46" t="str">
        <f t="shared" ref="CU31:DH31" si="12">IF(CU29&gt;64,IF(CU3="CMA","CA",IF(CU3="CA","CM",CU3)),CU3)</f>
        <v>CM</v>
      </c>
      <c r="CV31" s="46" t="str">
        <f t="shared" si="12"/>
        <v>CA</v>
      </c>
      <c r="CW31" s="46" t="str">
        <f t="shared" si="12"/>
        <v>CMA</v>
      </c>
      <c r="CX31" s="46" t="str">
        <f t="shared" si="12"/>
        <v>CA</v>
      </c>
      <c r="CY31" s="46" t="str">
        <f t="shared" si="12"/>
        <v>CM</v>
      </c>
      <c r="CZ31" s="46" t="str">
        <f t="shared" si="12"/>
        <v>CA</v>
      </c>
      <c r="DA31" s="46" t="str">
        <f t="shared" si="12"/>
        <v>CA</v>
      </c>
      <c r="DB31" s="46" t="str">
        <f t="shared" si="12"/>
        <v>CM</v>
      </c>
      <c r="DC31" s="46" t="str">
        <f t="shared" si="12"/>
        <v>CM</v>
      </c>
      <c r="DD31" s="46" t="str">
        <f t="shared" si="12"/>
        <v>CM</v>
      </c>
      <c r="DE31" s="46" t="str">
        <f t="shared" si="12"/>
        <v>CM</v>
      </c>
      <c r="DF31" s="46" t="str">
        <f t="shared" si="12"/>
        <v>CM</v>
      </c>
      <c r="DG31" s="46" t="str">
        <f t="shared" si="12"/>
        <v>CM</v>
      </c>
      <c r="DH31" s="46" t="str">
        <f t="shared" si="12"/>
        <v>CM</v>
      </c>
      <c r="DJ31" s="103"/>
      <c r="DK31" s="9"/>
    </row>
    <row r="32" spans="1:116" x14ac:dyDescent="0.25">
      <c r="DJ32" s="103"/>
      <c r="DK32" s="9"/>
    </row>
    <row r="33" spans="114:115" x14ac:dyDescent="0.25">
      <c r="DJ33" s="103"/>
      <c r="DK33" s="9"/>
    </row>
    <row r="34" spans="114:115" x14ac:dyDescent="0.25">
      <c r="DJ34" s="103"/>
      <c r="DK34" s="9"/>
    </row>
    <row r="35" spans="114:115" x14ac:dyDescent="0.25">
      <c r="DJ35" s="103"/>
      <c r="DK35" s="9"/>
    </row>
    <row r="36" spans="114:115" x14ac:dyDescent="0.25">
      <c r="DJ36" s="103"/>
      <c r="DK36" s="9"/>
    </row>
    <row r="37" spans="114:115" x14ac:dyDescent="0.25">
      <c r="DJ37" s="103"/>
      <c r="DK37" s="9"/>
    </row>
    <row r="38" spans="114:115" x14ac:dyDescent="0.25">
      <c r="DJ38" s="103"/>
      <c r="DK38" s="9"/>
    </row>
    <row r="39" spans="114:115" x14ac:dyDescent="0.25">
      <c r="DJ39" s="103"/>
      <c r="DK39" s="9"/>
    </row>
    <row r="40" spans="114:115" x14ac:dyDescent="0.25">
      <c r="DJ40" s="103"/>
      <c r="DK40" s="9"/>
    </row>
    <row r="41" spans="114:115" x14ac:dyDescent="0.25">
      <c r="DJ41" s="103"/>
      <c r="DK41" s="9"/>
    </row>
    <row r="42" spans="114:115" x14ac:dyDescent="0.25">
      <c r="DJ42" s="103"/>
      <c r="DK42" s="9"/>
    </row>
    <row r="43" spans="114:115" x14ac:dyDescent="0.25">
      <c r="DJ43" s="103"/>
      <c r="DK43" s="9"/>
    </row>
    <row r="44" spans="114:115" x14ac:dyDescent="0.25">
      <c r="DJ44" s="103"/>
      <c r="DK44" s="9"/>
    </row>
    <row r="45" spans="114:115" x14ac:dyDescent="0.25">
      <c r="DJ45" s="103"/>
      <c r="DK45" s="9"/>
    </row>
    <row r="46" spans="114:115" x14ac:dyDescent="0.25">
      <c r="DJ46" s="103"/>
      <c r="DK46" s="9"/>
    </row>
    <row r="47" spans="114:115" x14ac:dyDescent="0.25">
      <c r="DJ47" s="103"/>
      <c r="DK47" s="9"/>
    </row>
    <row r="48" spans="114:115" x14ac:dyDescent="0.25">
      <c r="DJ48" s="103"/>
      <c r="DK48" s="9"/>
    </row>
    <row r="49" spans="114:115" x14ac:dyDescent="0.25">
      <c r="DJ49" s="103"/>
      <c r="DK49" s="9"/>
    </row>
    <row r="50" spans="114:115" x14ac:dyDescent="0.25">
      <c r="DJ50" s="103"/>
      <c r="DK50" s="9"/>
    </row>
    <row r="51" spans="114:115" x14ac:dyDescent="0.25">
      <c r="DJ51" s="103"/>
      <c r="DK51" s="9"/>
    </row>
    <row r="52" spans="114:115" x14ac:dyDescent="0.25">
      <c r="DJ52" s="103"/>
      <c r="DK52" s="9"/>
    </row>
    <row r="53" spans="114:115" x14ac:dyDescent="0.25">
      <c r="DJ53" s="103"/>
      <c r="DK53" s="9"/>
    </row>
    <row r="54" spans="114:115" x14ac:dyDescent="0.25">
      <c r="DJ54" s="103"/>
      <c r="DK54" s="9"/>
    </row>
    <row r="55" spans="114:115" x14ac:dyDescent="0.25">
      <c r="DJ55" s="103"/>
      <c r="DK55" s="9"/>
    </row>
    <row r="56" spans="114:115" x14ac:dyDescent="0.25">
      <c r="DJ56" s="103"/>
      <c r="DK56" s="9"/>
    </row>
    <row r="57" spans="114:115" x14ac:dyDescent="0.25">
      <c r="DJ57" s="103"/>
      <c r="DK57" s="9"/>
    </row>
    <row r="58" spans="114:115" x14ac:dyDescent="0.25">
      <c r="DJ58" s="103"/>
      <c r="DK58" s="9"/>
    </row>
    <row r="59" spans="114:115" x14ac:dyDescent="0.25">
      <c r="DJ59" s="103"/>
      <c r="DK59" s="9"/>
    </row>
    <row r="60" spans="114:115" x14ac:dyDescent="0.25">
      <c r="DJ60" s="103"/>
      <c r="DK60" s="9"/>
    </row>
    <row r="61" spans="114:115" x14ac:dyDescent="0.25">
      <c r="DJ61" s="103"/>
      <c r="DK61" s="9"/>
    </row>
    <row r="62" spans="114:115" x14ac:dyDescent="0.25">
      <c r="DJ62" s="103"/>
      <c r="DK62" s="9"/>
    </row>
    <row r="63" spans="114:115" x14ac:dyDescent="0.25">
      <c r="DJ63" s="103"/>
      <c r="DK63" s="9"/>
    </row>
    <row r="64" spans="114:115" x14ac:dyDescent="0.25">
      <c r="DJ64" s="103"/>
      <c r="DK64" s="9"/>
    </row>
    <row r="65" spans="114:115" x14ac:dyDescent="0.25">
      <c r="DJ65" s="103"/>
      <c r="DK65" s="9"/>
    </row>
    <row r="66" spans="114:115" x14ac:dyDescent="0.25">
      <c r="DJ66" s="103"/>
      <c r="DK66" s="9"/>
    </row>
    <row r="67" spans="114:115" x14ac:dyDescent="0.25">
      <c r="DJ67" s="103"/>
      <c r="DK67" s="9"/>
    </row>
    <row r="68" spans="114:115" x14ac:dyDescent="0.25">
      <c r="DJ68" s="103"/>
      <c r="DK68" s="9"/>
    </row>
    <row r="163" spans="1:116" s="47" customFormat="1" x14ac:dyDescent="0.25">
      <c r="A163" s="86"/>
      <c r="B163" s="97"/>
      <c r="D163" s="48"/>
      <c r="E163" s="48"/>
      <c r="F163" s="48"/>
      <c r="G163" s="48"/>
      <c r="H163" s="48"/>
      <c r="I163" s="48"/>
      <c r="J163" s="48"/>
      <c r="K163" s="48"/>
      <c r="L163" s="48"/>
      <c r="M163" s="48"/>
      <c r="N163" s="48"/>
      <c r="O163" s="48"/>
      <c r="P163" s="48"/>
      <c r="Q163" s="48"/>
      <c r="R163" s="48"/>
      <c r="S163" s="48"/>
      <c r="T163" s="48"/>
      <c r="U163" s="49"/>
      <c r="V163" s="49"/>
      <c r="W163" s="49"/>
      <c r="X163" s="49"/>
      <c r="Y163" s="49"/>
      <c r="Z163" s="49"/>
      <c r="AA163" s="49"/>
      <c r="AB163" s="49"/>
      <c r="AC163" s="49"/>
      <c r="AD163" s="49"/>
      <c r="AE163" s="49"/>
      <c r="AF163" s="49"/>
      <c r="AG163" s="49"/>
      <c r="AH163" s="49"/>
      <c r="AI163" s="49"/>
      <c r="AJ163" s="49"/>
      <c r="AK163" s="49"/>
      <c r="AL163" s="49"/>
      <c r="AM163" s="49"/>
      <c r="AN163" s="49"/>
      <c r="AO163" s="49"/>
      <c r="AP163" s="49"/>
      <c r="AQ163" s="49"/>
      <c r="AR163" s="49"/>
      <c r="AS163" s="49"/>
      <c r="AT163" s="49"/>
      <c r="AU163" s="49"/>
      <c r="AV163" s="49"/>
      <c r="AW163" s="49"/>
      <c r="AX163" s="49"/>
      <c r="AY163" s="49"/>
      <c r="AZ163" s="49"/>
      <c r="BA163" s="49"/>
      <c r="BB163" s="49"/>
      <c r="BC163" s="49"/>
      <c r="BD163" s="49"/>
      <c r="BE163" s="49"/>
      <c r="BF163" s="49"/>
      <c r="BG163" s="49"/>
      <c r="BH163" s="49"/>
      <c r="BI163" s="49"/>
      <c r="BJ163" s="49"/>
      <c r="BK163" s="49"/>
      <c r="BL163" s="49"/>
      <c r="BM163" s="49"/>
      <c r="BN163" s="49"/>
      <c r="BO163" s="49"/>
      <c r="BP163" s="49"/>
      <c r="BQ163" s="49"/>
      <c r="BR163" s="49"/>
      <c r="BS163" s="49"/>
      <c r="BT163" s="49"/>
      <c r="BU163" s="49"/>
      <c r="BV163" s="49"/>
      <c r="BW163" s="49"/>
      <c r="BX163" s="49"/>
      <c r="BY163" s="49"/>
      <c r="BZ163" s="49"/>
      <c r="CA163" s="49"/>
      <c r="CB163" s="49"/>
      <c r="CC163" s="49"/>
      <c r="CD163" s="49"/>
      <c r="CE163" s="49"/>
      <c r="CF163" s="49"/>
      <c r="CG163" s="49"/>
      <c r="CH163" s="49"/>
      <c r="CI163" s="49"/>
      <c r="CJ163" s="49"/>
      <c r="CK163" s="49"/>
      <c r="CL163" s="49"/>
      <c r="CM163" s="49"/>
      <c r="CN163" s="49"/>
      <c r="CO163" s="49"/>
      <c r="CP163" s="49"/>
      <c r="CQ163" s="49"/>
      <c r="CR163" s="49"/>
      <c r="CS163" s="49"/>
      <c r="CT163" s="49"/>
      <c r="CU163" s="49"/>
      <c r="CV163" s="49"/>
      <c r="CW163" s="49"/>
      <c r="CX163" s="49"/>
      <c r="CY163" s="49"/>
      <c r="CZ163" s="49"/>
      <c r="DA163" s="49"/>
      <c r="DB163" s="49"/>
      <c r="DC163" s="49"/>
      <c r="DD163" s="49"/>
      <c r="DE163" s="49"/>
      <c r="DF163" s="49"/>
      <c r="DG163" s="49"/>
      <c r="DH163" s="49"/>
      <c r="DI163" s="49"/>
      <c r="DJ163" s="104"/>
    </row>
    <row r="164" spans="1:116" x14ac:dyDescent="0.25">
      <c r="B164" s="91"/>
      <c r="C164" s="46" t="str">
        <f t="shared" ref="C164:C175" si="13">IF(BB8="X",$DK8,"")</f>
        <v/>
      </c>
      <c r="D164" s="46" t="str">
        <f t="shared" ref="D164:AI164" si="14">IF(D8="X",$DK8,"")</f>
        <v/>
      </c>
      <c r="E164" s="46" t="str">
        <f t="shared" si="14"/>
        <v/>
      </c>
      <c r="F164" s="46" t="str">
        <f t="shared" si="14"/>
        <v/>
      </c>
      <c r="G164" s="46" t="str">
        <f t="shared" si="14"/>
        <v/>
      </c>
      <c r="H164" s="46" t="str">
        <f t="shared" si="14"/>
        <v/>
      </c>
      <c r="I164" s="46" t="str">
        <f t="shared" si="14"/>
        <v/>
      </c>
      <c r="J164" s="46" t="str">
        <f t="shared" si="14"/>
        <v/>
      </c>
      <c r="K164" s="46" t="str">
        <f t="shared" si="14"/>
        <v/>
      </c>
      <c r="L164" s="46" t="str">
        <f t="shared" si="14"/>
        <v/>
      </c>
      <c r="M164" s="46" t="str">
        <f t="shared" si="14"/>
        <v/>
      </c>
      <c r="N164" s="46" t="str">
        <f t="shared" si="14"/>
        <v/>
      </c>
      <c r="O164" s="46" t="str">
        <f t="shared" si="14"/>
        <v/>
      </c>
      <c r="P164" s="46" t="str">
        <f t="shared" si="14"/>
        <v/>
      </c>
      <c r="Q164" s="46" t="str">
        <f t="shared" si="14"/>
        <v/>
      </c>
      <c r="R164" s="46" t="str">
        <f t="shared" si="14"/>
        <v/>
      </c>
      <c r="S164" s="46" t="str">
        <f t="shared" si="14"/>
        <v/>
      </c>
      <c r="T164" s="46" t="str">
        <f t="shared" si="14"/>
        <v/>
      </c>
      <c r="U164" s="46" t="str">
        <f t="shared" si="14"/>
        <v/>
      </c>
      <c r="V164" s="46" t="str">
        <f t="shared" si="14"/>
        <v/>
      </c>
      <c r="W164" s="46" t="str">
        <f t="shared" si="14"/>
        <v/>
      </c>
      <c r="X164" s="46" t="str">
        <f t="shared" si="14"/>
        <v/>
      </c>
      <c r="Y164" s="46" t="str">
        <f t="shared" si="14"/>
        <v/>
      </c>
      <c r="Z164" s="46" t="str">
        <f t="shared" si="14"/>
        <v/>
      </c>
      <c r="AA164" s="46" t="str">
        <f t="shared" si="14"/>
        <v/>
      </c>
      <c r="AB164" s="46" t="str">
        <f t="shared" si="14"/>
        <v/>
      </c>
      <c r="AC164" s="46" t="str">
        <f t="shared" si="14"/>
        <v/>
      </c>
      <c r="AD164" s="46" t="str">
        <f t="shared" si="14"/>
        <v/>
      </c>
      <c r="AE164" s="46" t="str">
        <f t="shared" si="14"/>
        <v/>
      </c>
      <c r="AF164" s="46" t="str">
        <f t="shared" si="14"/>
        <v/>
      </c>
      <c r="AG164" s="46" t="str">
        <f t="shared" si="14"/>
        <v/>
      </c>
      <c r="AH164" s="46" t="str">
        <f t="shared" si="14"/>
        <v/>
      </c>
      <c r="AI164" s="46" t="str">
        <f t="shared" si="14"/>
        <v/>
      </c>
      <c r="AJ164" s="46" t="str">
        <f t="shared" ref="AJ164:CU164" si="15">IF(AJ8="X",$DK8,"")</f>
        <v/>
      </c>
      <c r="AK164" s="46" t="str">
        <f t="shared" si="15"/>
        <v/>
      </c>
      <c r="AL164" s="46" t="str">
        <f t="shared" si="15"/>
        <v/>
      </c>
      <c r="AM164" s="46" t="str">
        <f t="shared" si="15"/>
        <v/>
      </c>
      <c r="AN164" s="46" t="str">
        <f t="shared" si="15"/>
        <v/>
      </c>
      <c r="AO164" s="46" t="str">
        <f t="shared" si="15"/>
        <v/>
      </c>
      <c r="AP164" s="46" t="str">
        <f t="shared" si="15"/>
        <v/>
      </c>
      <c r="AQ164" s="46" t="str">
        <f t="shared" si="15"/>
        <v/>
      </c>
      <c r="AR164" s="46" t="str">
        <f t="shared" si="15"/>
        <v/>
      </c>
      <c r="AS164" s="46" t="str">
        <f t="shared" si="15"/>
        <v/>
      </c>
      <c r="AT164" s="46" t="str">
        <f t="shared" si="15"/>
        <v/>
      </c>
      <c r="AU164" s="46" t="str">
        <f t="shared" si="15"/>
        <v/>
      </c>
      <c r="AV164" s="46" t="str">
        <f t="shared" si="15"/>
        <v/>
      </c>
      <c r="AW164" s="46" t="str">
        <f t="shared" si="15"/>
        <v/>
      </c>
      <c r="AX164" s="46" t="str">
        <f t="shared" si="15"/>
        <v/>
      </c>
      <c r="AY164" s="46" t="str">
        <f t="shared" si="15"/>
        <v/>
      </c>
      <c r="AZ164" s="46" t="str">
        <f t="shared" si="15"/>
        <v/>
      </c>
      <c r="BA164" s="46" t="str">
        <f t="shared" si="15"/>
        <v/>
      </c>
      <c r="BB164" s="46" t="str">
        <f t="shared" si="15"/>
        <v/>
      </c>
      <c r="BC164" s="46" t="str">
        <f t="shared" si="15"/>
        <v/>
      </c>
      <c r="BD164" s="46" t="str">
        <f t="shared" si="15"/>
        <v/>
      </c>
      <c r="BE164" s="46" t="str">
        <f t="shared" si="15"/>
        <v/>
      </c>
      <c r="BF164" s="46" t="str">
        <f t="shared" si="15"/>
        <v/>
      </c>
      <c r="BG164" s="46" t="str">
        <f t="shared" si="15"/>
        <v/>
      </c>
      <c r="BH164" s="46" t="str">
        <f t="shared" si="15"/>
        <v/>
      </c>
      <c r="BI164" s="46" t="str">
        <f t="shared" si="15"/>
        <v/>
      </c>
      <c r="BJ164" s="46" t="str">
        <f t="shared" si="15"/>
        <v/>
      </c>
      <c r="BK164" s="46" t="str">
        <f t="shared" si="15"/>
        <v/>
      </c>
      <c r="BL164" s="46" t="str">
        <f t="shared" si="15"/>
        <v/>
      </c>
      <c r="BM164" s="46" t="str">
        <f t="shared" si="15"/>
        <v/>
      </c>
      <c r="BN164" s="46" t="str">
        <f t="shared" si="15"/>
        <v/>
      </c>
      <c r="BO164" s="46" t="str">
        <f t="shared" si="15"/>
        <v/>
      </c>
      <c r="BP164" s="46" t="str">
        <f t="shared" si="15"/>
        <v/>
      </c>
      <c r="BQ164" s="46" t="str">
        <f t="shared" si="15"/>
        <v/>
      </c>
      <c r="BR164" s="46" t="str">
        <f t="shared" si="15"/>
        <v/>
      </c>
      <c r="BS164" s="46" t="str">
        <f t="shared" si="15"/>
        <v/>
      </c>
      <c r="BT164" s="46" t="str">
        <f t="shared" si="15"/>
        <v/>
      </c>
      <c r="BU164" s="46">
        <f t="shared" si="15"/>
        <v>8</v>
      </c>
      <c r="BV164" s="46" t="str">
        <f t="shared" si="15"/>
        <v/>
      </c>
      <c r="BW164" s="46" t="str">
        <f t="shared" si="15"/>
        <v/>
      </c>
      <c r="BX164" s="46" t="str">
        <f t="shared" si="15"/>
        <v/>
      </c>
      <c r="BY164" s="46" t="str">
        <f t="shared" si="15"/>
        <v/>
      </c>
      <c r="BZ164" s="46" t="str">
        <f t="shared" si="15"/>
        <v/>
      </c>
      <c r="CA164" s="46" t="str">
        <f t="shared" si="15"/>
        <v/>
      </c>
      <c r="CB164" s="46" t="str">
        <f t="shared" si="15"/>
        <v/>
      </c>
      <c r="CC164" s="46" t="str">
        <f t="shared" si="15"/>
        <v/>
      </c>
      <c r="CD164" s="46" t="str">
        <f t="shared" si="15"/>
        <v/>
      </c>
      <c r="CE164" s="46" t="str">
        <f t="shared" si="15"/>
        <v/>
      </c>
      <c r="CF164" s="46" t="str">
        <f t="shared" si="15"/>
        <v/>
      </c>
      <c r="CG164" s="46" t="str">
        <f t="shared" si="15"/>
        <v/>
      </c>
      <c r="CH164" s="46" t="str">
        <f t="shared" si="15"/>
        <v/>
      </c>
      <c r="CI164" s="46" t="str">
        <f t="shared" si="15"/>
        <v/>
      </c>
      <c r="CJ164" s="46" t="str">
        <f t="shared" si="15"/>
        <v/>
      </c>
      <c r="CK164" s="46" t="str">
        <f t="shared" si="15"/>
        <v/>
      </c>
      <c r="CL164" s="46" t="str">
        <f t="shared" si="15"/>
        <v/>
      </c>
      <c r="CM164" s="46" t="str">
        <f t="shared" si="15"/>
        <v/>
      </c>
      <c r="CN164" s="46" t="str">
        <f t="shared" si="15"/>
        <v/>
      </c>
      <c r="CO164" s="46">
        <f t="shared" si="15"/>
        <v>8</v>
      </c>
      <c r="CP164" s="46">
        <f t="shared" si="15"/>
        <v>8</v>
      </c>
      <c r="CQ164" s="46" t="str">
        <f t="shared" si="15"/>
        <v/>
      </c>
      <c r="CR164" s="46" t="str">
        <f t="shared" si="15"/>
        <v/>
      </c>
      <c r="CS164" s="46" t="str">
        <f t="shared" si="15"/>
        <v/>
      </c>
      <c r="CT164" s="46" t="str">
        <f t="shared" si="15"/>
        <v/>
      </c>
      <c r="CU164" s="46" t="str">
        <f t="shared" si="15"/>
        <v/>
      </c>
      <c r="CV164" s="46" t="str">
        <f t="shared" ref="CV164:DH164" si="16">IF(CV8="X",$DK8,"")</f>
        <v/>
      </c>
      <c r="CW164" s="46" t="str">
        <f t="shared" si="16"/>
        <v/>
      </c>
      <c r="CX164" s="46" t="str">
        <f t="shared" si="16"/>
        <v/>
      </c>
      <c r="CY164" s="46" t="str">
        <f t="shared" si="16"/>
        <v/>
      </c>
      <c r="CZ164" s="46" t="str">
        <f t="shared" si="16"/>
        <v/>
      </c>
      <c r="DA164" s="46" t="str">
        <f t="shared" si="16"/>
        <v/>
      </c>
      <c r="DB164" s="46" t="str">
        <f t="shared" si="16"/>
        <v/>
      </c>
      <c r="DC164" s="46" t="str">
        <f t="shared" si="16"/>
        <v/>
      </c>
      <c r="DD164" s="46" t="str">
        <f t="shared" si="16"/>
        <v/>
      </c>
      <c r="DE164" s="46" t="str">
        <f t="shared" si="16"/>
        <v/>
      </c>
      <c r="DF164" s="46" t="str">
        <f t="shared" si="16"/>
        <v/>
      </c>
      <c r="DG164" s="46" t="str">
        <f t="shared" si="16"/>
        <v/>
      </c>
      <c r="DH164" s="46" t="str">
        <f t="shared" si="16"/>
        <v/>
      </c>
      <c r="DL164" s="6"/>
    </row>
    <row r="165" spans="1:116" x14ac:dyDescent="0.25">
      <c r="B165" s="91"/>
      <c r="C165" s="46" t="str">
        <f t="shared" si="13"/>
        <v/>
      </c>
      <c r="D165" s="46" t="str">
        <f t="shared" ref="D165:AI165" si="17">IF(D9="X",$DK9,"")</f>
        <v/>
      </c>
      <c r="E165" s="46" t="str">
        <f t="shared" si="17"/>
        <v/>
      </c>
      <c r="F165" s="46" t="str">
        <f t="shared" si="17"/>
        <v/>
      </c>
      <c r="G165" s="46" t="str">
        <f t="shared" si="17"/>
        <v/>
      </c>
      <c r="H165" s="46" t="str">
        <f t="shared" si="17"/>
        <v/>
      </c>
      <c r="I165" s="46" t="str">
        <f t="shared" si="17"/>
        <v/>
      </c>
      <c r="J165" s="46" t="str">
        <f t="shared" si="17"/>
        <v/>
      </c>
      <c r="K165" s="46" t="str">
        <f t="shared" si="17"/>
        <v/>
      </c>
      <c r="L165" s="46" t="str">
        <f t="shared" si="17"/>
        <v/>
      </c>
      <c r="M165" s="46" t="str">
        <f t="shared" si="17"/>
        <v/>
      </c>
      <c r="N165" s="46" t="str">
        <f t="shared" si="17"/>
        <v/>
      </c>
      <c r="O165" s="46" t="str">
        <f t="shared" si="17"/>
        <v/>
      </c>
      <c r="P165" s="46" t="str">
        <f t="shared" si="17"/>
        <v/>
      </c>
      <c r="Q165" s="46" t="str">
        <f t="shared" si="17"/>
        <v/>
      </c>
      <c r="R165" s="46" t="str">
        <f t="shared" si="17"/>
        <v/>
      </c>
      <c r="S165" s="46" t="str">
        <f t="shared" si="17"/>
        <v/>
      </c>
      <c r="T165" s="46">
        <f t="shared" si="17"/>
        <v>1</v>
      </c>
      <c r="U165" s="46" t="str">
        <f t="shared" si="17"/>
        <v/>
      </c>
      <c r="V165" s="46" t="str">
        <f t="shared" si="17"/>
        <v/>
      </c>
      <c r="W165" s="46" t="str">
        <f t="shared" si="17"/>
        <v/>
      </c>
      <c r="X165" s="46" t="str">
        <f t="shared" si="17"/>
        <v/>
      </c>
      <c r="Y165" s="46" t="str">
        <f t="shared" si="17"/>
        <v/>
      </c>
      <c r="Z165" s="46" t="str">
        <f t="shared" si="17"/>
        <v/>
      </c>
      <c r="AA165" s="46" t="str">
        <f t="shared" si="17"/>
        <v/>
      </c>
      <c r="AB165" s="46" t="str">
        <f t="shared" si="17"/>
        <v/>
      </c>
      <c r="AC165" s="46" t="str">
        <f t="shared" si="17"/>
        <v/>
      </c>
      <c r="AD165" s="46" t="str">
        <f t="shared" si="17"/>
        <v/>
      </c>
      <c r="AE165" s="46" t="str">
        <f t="shared" si="17"/>
        <v/>
      </c>
      <c r="AF165" s="46" t="str">
        <f t="shared" si="17"/>
        <v/>
      </c>
      <c r="AG165" s="46" t="str">
        <f t="shared" si="17"/>
        <v/>
      </c>
      <c r="AH165" s="46" t="str">
        <f t="shared" si="17"/>
        <v/>
      </c>
      <c r="AI165" s="46" t="str">
        <f t="shared" si="17"/>
        <v/>
      </c>
      <c r="AJ165" s="46" t="str">
        <f t="shared" ref="AJ165:CU165" si="18">IF(AJ9="X",$DK9,"")</f>
        <v/>
      </c>
      <c r="AK165" s="46" t="str">
        <f t="shared" si="18"/>
        <v/>
      </c>
      <c r="AL165" s="46" t="str">
        <f t="shared" si="18"/>
        <v/>
      </c>
      <c r="AM165" s="46" t="str">
        <f t="shared" si="18"/>
        <v/>
      </c>
      <c r="AN165" s="46" t="str">
        <f t="shared" si="18"/>
        <v/>
      </c>
      <c r="AO165" s="46" t="str">
        <f t="shared" si="18"/>
        <v/>
      </c>
      <c r="AP165" s="46" t="str">
        <f t="shared" si="18"/>
        <v/>
      </c>
      <c r="AQ165" s="46" t="str">
        <f t="shared" si="18"/>
        <v/>
      </c>
      <c r="AR165" s="46" t="str">
        <f t="shared" si="18"/>
        <v/>
      </c>
      <c r="AS165" s="46" t="str">
        <f t="shared" si="18"/>
        <v/>
      </c>
      <c r="AT165" s="46" t="str">
        <f t="shared" si="18"/>
        <v/>
      </c>
      <c r="AU165" s="46" t="str">
        <f t="shared" si="18"/>
        <v/>
      </c>
      <c r="AV165" s="46" t="str">
        <f t="shared" si="18"/>
        <v/>
      </c>
      <c r="AW165" s="46" t="str">
        <f t="shared" si="18"/>
        <v/>
      </c>
      <c r="AX165" s="46" t="str">
        <f t="shared" si="18"/>
        <v/>
      </c>
      <c r="AY165" s="46" t="str">
        <f t="shared" si="18"/>
        <v/>
      </c>
      <c r="AZ165" s="46" t="str">
        <f t="shared" si="18"/>
        <v/>
      </c>
      <c r="BA165" s="46" t="str">
        <f t="shared" si="18"/>
        <v/>
      </c>
      <c r="BB165" s="46" t="str">
        <f t="shared" si="18"/>
        <v/>
      </c>
      <c r="BC165" s="46" t="str">
        <f t="shared" si="18"/>
        <v/>
      </c>
      <c r="BD165" s="46" t="str">
        <f t="shared" si="18"/>
        <v/>
      </c>
      <c r="BE165" s="46" t="str">
        <f t="shared" si="18"/>
        <v/>
      </c>
      <c r="BF165" s="46" t="str">
        <f t="shared" si="18"/>
        <v/>
      </c>
      <c r="BG165" s="46" t="str">
        <f t="shared" si="18"/>
        <v/>
      </c>
      <c r="BH165" s="46" t="str">
        <f t="shared" si="18"/>
        <v/>
      </c>
      <c r="BI165" s="46" t="str">
        <f t="shared" si="18"/>
        <v/>
      </c>
      <c r="BJ165" s="46" t="str">
        <f t="shared" si="18"/>
        <v/>
      </c>
      <c r="BK165" s="46" t="str">
        <f t="shared" si="18"/>
        <v/>
      </c>
      <c r="BL165" s="46" t="str">
        <f t="shared" si="18"/>
        <v/>
      </c>
      <c r="BM165" s="46" t="str">
        <f t="shared" si="18"/>
        <v/>
      </c>
      <c r="BN165" s="46" t="str">
        <f t="shared" si="18"/>
        <v/>
      </c>
      <c r="BO165" s="46" t="str">
        <f t="shared" si="18"/>
        <v/>
      </c>
      <c r="BP165" s="46" t="str">
        <f t="shared" si="18"/>
        <v/>
      </c>
      <c r="BQ165" s="46" t="str">
        <f t="shared" si="18"/>
        <v/>
      </c>
      <c r="BR165" s="46" t="str">
        <f t="shared" si="18"/>
        <v/>
      </c>
      <c r="BS165" s="46" t="str">
        <f t="shared" si="18"/>
        <v/>
      </c>
      <c r="BT165" s="46" t="str">
        <f t="shared" si="18"/>
        <v/>
      </c>
      <c r="BU165" s="46" t="str">
        <f t="shared" si="18"/>
        <v/>
      </c>
      <c r="BV165" s="46" t="str">
        <f t="shared" si="18"/>
        <v/>
      </c>
      <c r="BW165" s="46" t="str">
        <f t="shared" si="18"/>
        <v/>
      </c>
      <c r="BX165" s="46">
        <f t="shared" si="18"/>
        <v>1</v>
      </c>
      <c r="BY165" s="46" t="str">
        <f t="shared" si="18"/>
        <v/>
      </c>
      <c r="BZ165" s="46" t="str">
        <f t="shared" si="18"/>
        <v/>
      </c>
      <c r="CA165" s="46" t="str">
        <f t="shared" si="18"/>
        <v/>
      </c>
      <c r="CB165" s="46" t="str">
        <f t="shared" si="18"/>
        <v/>
      </c>
      <c r="CC165" s="46" t="str">
        <f t="shared" si="18"/>
        <v/>
      </c>
      <c r="CD165" s="46" t="str">
        <f t="shared" si="18"/>
        <v/>
      </c>
      <c r="CE165" s="46" t="str">
        <f t="shared" si="18"/>
        <v/>
      </c>
      <c r="CF165" s="46" t="str">
        <f t="shared" si="18"/>
        <v/>
      </c>
      <c r="CG165" s="46" t="str">
        <f t="shared" si="18"/>
        <v/>
      </c>
      <c r="CH165" s="46" t="str">
        <f t="shared" si="18"/>
        <v/>
      </c>
      <c r="CI165" s="46" t="str">
        <f t="shared" si="18"/>
        <v/>
      </c>
      <c r="CJ165" s="46" t="str">
        <f t="shared" si="18"/>
        <v/>
      </c>
      <c r="CK165" s="46" t="str">
        <f t="shared" si="18"/>
        <v/>
      </c>
      <c r="CL165" s="46" t="str">
        <f t="shared" si="18"/>
        <v/>
      </c>
      <c r="CM165" s="46" t="str">
        <f t="shared" si="18"/>
        <v/>
      </c>
      <c r="CN165" s="46" t="str">
        <f t="shared" si="18"/>
        <v/>
      </c>
      <c r="CO165" s="46" t="str">
        <f t="shared" si="18"/>
        <v/>
      </c>
      <c r="CP165" s="46" t="str">
        <f t="shared" si="18"/>
        <v/>
      </c>
      <c r="CQ165" s="46" t="str">
        <f t="shared" si="18"/>
        <v/>
      </c>
      <c r="CR165" s="46" t="str">
        <f t="shared" si="18"/>
        <v/>
      </c>
      <c r="CS165" s="46" t="str">
        <f t="shared" si="18"/>
        <v/>
      </c>
      <c r="CT165" s="46" t="str">
        <f t="shared" si="18"/>
        <v/>
      </c>
      <c r="CU165" s="46" t="str">
        <f t="shared" si="18"/>
        <v/>
      </c>
      <c r="CV165" s="46" t="str">
        <f t="shared" ref="CV165:DH165" si="19">IF(CV9="X",$DK9,"")</f>
        <v/>
      </c>
      <c r="CW165" s="46" t="str">
        <f t="shared" si="19"/>
        <v/>
      </c>
      <c r="CX165" s="46" t="str">
        <f t="shared" si="19"/>
        <v/>
      </c>
      <c r="CY165" s="46" t="str">
        <f t="shared" si="19"/>
        <v/>
      </c>
      <c r="CZ165" s="46" t="str">
        <f t="shared" si="19"/>
        <v/>
      </c>
      <c r="DA165" s="46" t="str">
        <f t="shared" si="19"/>
        <v/>
      </c>
      <c r="DB165" s="46" t="str">
        <f t="shared" si="19"/>
        <v/>
      </c>
      <c r="DC165" s="46" t="str">
        <f t="shared" si="19"/>
        <v/>
      </c>
      <c r="DD165" s="46" t="str">
        <f t="shared" si="19"/>
        <v/>
      </c>
      <c r="DE165" s="46" t="str">
        <f t="shared" si="19"/>
        <v/>
      </c>
      <c r="DF165" s="46" t="str">
        <f t="shared" si="19"/>
        <v/>
      </c>
      <c r="DG165" s="46" t="str">
        <f t="shared" si="19"/>
        <v/>
      </c>
      <c r="DH165" s="46" t="str">
        <f t="shared" si="19"/>
        <v/>
      </c>
      <c r="DL165" s="6"/>
    </row>
    <row r="166" spans="1:116" x14ac:dyDescent="0.25">
      <c r="B166" s="91"/>
      <c r="C166" s="46" t="str">
        <f t="shared" si="13"/>
        <v/>
      </c>
      <c r="D166" s="46" t="str">
        <f t="shared" ref="D166:AI166" si="20">IF(D10="X",$DK10,"")</f>
        <v/>
      </c>
      <c r="E166" s="46" t="str">
        <f t="shared" si="20"/>
        <v/>
      </c>
      <c r="F166" s="46" t="str">
        <f t="shared" si="20"/>
        <v/>
      </c>
      <c r="G166" s="46" t="str">
        <f t="shared" si="20"/>
        <v/>
      </c>
      <c r="H166" s="46" t="str">
        <f t="shared" si="20"/>
        <v/>
      </c>
      <c r="I166" s="46" t="str">
        <f t="shared" si="20"/>
        <v/>
      </c>
      <c r="J166" s="46" t="str">
        <f t="shared" si="20"/>
        <v/>
      </c>
      <c r="K166" s="46" t="str">
        <f t="shared" si="20"/>
        <v/>
      </c>
      <c r="L166" s="46" t="str">
        <f t="shared" si="20"/>
        <v/>
      </c>
      <c r="M166" s="46" t="str">
        <f t="shared" si="20"/>
        <v/>
      </c>
      <c r="N166" s="46" t="str">
        <f t="shared" si="20"/>
        <v/>
      </c>
      <c r="O166" s="46" t="str">
        <f t="shared" si="20"/>
        <v/>
      </c>
      <c r="P166" s="46" t="str">
        <f t="shared" si="20"/>
        <v/>
      </c>
      <c r="Q166" s="46" t="str">
        <f t="shared" si="20"/>
        <v/>
      </c>
      <c r="R166" s="46" t="str">
        <f t="shared" si="20"/>
        <v/>
      </c>
      <c r="S166" s="46" t="str">
        <f t="shared" si="20"/>
        <v/>
      </c>
      <c r="T166" s="46" t="str">
        <f t="shared" si="20"/>
        <v/>
      </c>
      <c r="U166" s="46" t="str">
        <f t="shared" si="20"/>
        <v/>
      </c>
      <c r="V166" s="46" t="str">
        <f t="shared" si="20"/>
        <v/>
      </c>
      <c r="W166" s="46" t="str">
        <f t="shared" si="20"/>
        <v/>
      </c>
      <c r="X166" s="46" t="str">
        <f t="shared" si="20"/>
        <v/>
      </c>
      <c r="Y166" s="46" t="str">
        <f t="shared" si="20"/>
        <v/>
      </c>
      <c r="Z166" s="46" t="str">
        <f t="shared" si="20"/>
        <v/>
      </c>
      <c r="AA166" s="46" t="str">
        <f t="shared" si="20"/>
        <v/>
      </c>
      <c r="AB166" s="46" t="str">
        <f t="shared" si="20"/>
        <v/>
      </c>
      <c r="AC166" s="46" t="str">
        <f t="shared" si="20"/>
        <v/>
      </c>
      <c r="AD166" s="46" t="str">
        <f t="shared" si="20"/>
        <v/>
      </c>
      <c r="AE166" s="46" t="str">
        <f t="shared" si="20"/>
        <v/>
      </c>
      <c r="AF166" s="46" t="str">
        <f t="shared" si="20"/>
        <v/>
      </c>
      <c r="AG166" s="46" t="str">
        <f t="shared" si="20"/>
        <v/>
      </c>
      <c r="AH166" s="46" t="str">
        <f t="shared" si="20"/>
        <v/>
      </c>
      <c r="AI166" s="46" t="str">
        <f t="shared" si="20"/>
        <v/>
      </c>
      <c r="AJ166" s="46" t="str">
        <f t="shared" ref="AJ166:CU166" si="21">IF(AJ10="X",$DK10,"")</f>
        <v/>
      </c>
      <c r="AK166" s="46" t="str">
        <f t="shared" si="21"/>
        <v/>
      </c>
      <c r="AL166" s="46" t="str">
        <f t="shared" si="21"/>
        <v/>
      </c>
      <c r="AM166" s="46" t="str">
        <f t="shared" si="21"/>
        <v/>
      </c>
      <c r="AN166" s="46" t="str">
        <f t="shared" si="21"/>
        <v/>
      </c>
      <c r="AO166" s="46" t="str">
        <f t="shared" si="21"/>
        <v/>
      </c>
      <c r="AP166" s="46" t="str">
        <f t="shared" si="21"/>
        <v/>
      </c>
      <c r="AQ166" s="46" t="str">
        <f t="shared" si="21"/>
        <v/>
      </c>
      <c r="AR166" s="46" t="str">
        <f t="shared" si="21"/>
        <v/>
      </c>
      <c r="AS166" s="46" t="str">
        <f t="shared" si="21"/>
        <v/>
      </c>
      <c r="AT166" s="46" t="str">
        <f t="shared" si="21"/>
        <v/>
      </c>
      <c r="AU166" s="46" t="str">
        <f t="shared" si="21"/>
        <v/>
      </c>
      <c r="AV166" s="46" t="str">
        <f t="shared" si="21"/>
        <v/>
      </c>
      <c r="AW166" s="46" t="str">
        <f t="shared" si="21"/>
        <v/>
      </c>
      <c r="AX166" s="46" t="str">
        <f t="shared" si="21"/>
        <v/>
      </c>
      <c r="AY166" s="46">
        <f t="shared" si="21"/>
        <v>4</v>
      </c>
      <c r="AZ166" s="46" t="str">
        <f t="shared" si="21"/>
        <v/>
      </c>
      <c r="BA166" s="46" t="str">
        <f t="shared" si="21"/>
        <v/>
      </c>
      <c r="BB166" s="46" t="str">
        <f t="shared" si="21"/>
        <v/>
      </c>
      <c r="BC166" s="46" t="str">
        <f t="shared" si="21"/>
        <v/>
      </c>
      <c r="BD166" s="46" t="str">
        <f t="shared" si="21"/>
        <v/>
      </c>
      <c r="BE166" s="46" t="str">
        <f t="shared" si="21"/>
        <v/>
      </c>
      <c r="BF166" s="46" t="str">
        <f t="shared" si="21"/>
        <v/>
      </c>
      <c r="BG166" s="46" t="str">
        <f t="shared" si="21"/>
        <v/>
      </c>
      <c r="BH166" s="46" t="str">
        <f t="shared" si="21"/>
        <v/>
      </c>
      <c r="BI166" s="46" t="str">
        <f t="shared" si="21"/>
        <v/>
      </c>
      <c r="BJ166" s="46" t="str">
        <f t="shared" si="21"/>
        <v/>
      </c>
      <c r="BK166" s="46" t="str">
        <f t="shared" si="21"/>
        <v/>
      </c>
      <c r="BL166" s="46" t="str">
        <f t="shared" si="21"/>
        <v/>
      </c>
      <c r="BM166" s="46" t="str">
        <f t="shared" si="21"/>
        <v/>
      </c>
      <c r="BN166" s="46" t="str">
        <f t="shared" si="21"/>
        <v/>
      </c>
      <c r="BO166" s="46" t="str">
        <f t="shared" si="21"/>
        <v/>
      </c>
      <c r="BP166" s="46" t="str">
        <f t="shared" si="21"/>
        <v/>
      </c>
      <c r="BQ166" s="46" t="str">
        <f t="shared" si="21"/>
        <v/>
      </c>
      <c r="BR166" s="46" t="str">
        <f t="shared" si="21"/>
        <v/>
      </c>
      <c r="BS166" s="46" t="str">
        <f t="shared" si="21"/>
        <v/>
      </c>
      <c r="BT166" s="46" t="str">
        <f t="shared" si="21"/>
        <v/>
      </c>
      <c r="BU166" s="46" t="str">
        <f t="shared" si="21"/>
        <v/>
      </c>
      <c r="BV166" s="46" t="str">
        <f t="shared" si="21"/>
        <v/>
      </c>
      <c r="BW166" s="46" t="str">
        <f t="shared" si="21"/>
        <v/>
      </c>
      <c r="BX166" s="46" t="str">
        <f t="shared" si="21"/>
        <v/>
      </c>
      <c r="BY166" s="46" t="str">
        <f t="shared" si="21"/>
        <v/>
      </c>
      <c r="BZ166" s="46" t="str">
        <f t="shared" si="21"/>
        <v/>
      </c>
      <c r="CA166" s="46" t="str">
        <f t="shared" si="21"/>
        <v/>
      </c>
      <c r="CB166" s="46" t="str">
        <f t="shared" si="21"/>
        <v/>
      </c>
      <c r="CC166" s="46" t="str">
        <f t="shared" si="21"/>
        <v/>
      </c>
      <c r="CD166" s="46" t="str">
        <f t="shared" si="21"/>
        <v/>
      </c>
      <c r="CE166" s="46" t="str">
        <f t="shared" si="21"/>
        <v/>
      </c>
      <c r="CF166" s="46" t="str">
        <f t="shared" si="21"/>
        <v/>
      </c>
      <c r="CG166" s="46" t="str">
        <f t="shared" si="21"/>
        <v/>
      </c>
      <c r="CH166" s="46" t="str">
        <f t="shared" si="21"/>
        <v/>
      </c>
      <c r="CI166" s="46" t="str">
        <f t="shared" si="21"/>
        <v/>
      </c>
      <c r="CJ166" s="46" t="str">
        <f t="shared" si="21"/>
        <v/>
      </c>
      <c r="CK166" s="46" t="str">
        <f t="shared" si="21"/>
        <v/>
      </c>
      <c r="CL166" s="46" t="str">
        <f t="shared" si="21"/>
        <v/>
      </c>
      <c r="CM166" s="46" t="str">
        <f t="shared" si="21"/>
        <v/>
      </c>
      <c r="CN166" s="46" t="str">
        <f t="shared" si="21"/>
        <v/>
      </c>
      <c r="CO166" s="46" t="str">
        <f t="shared" si="21"/>
        <v/>
      </c>
      <c r="CP166" s="46" t="str">
        <f t="shared" si="21"/>
        <v/>
      </c>
      <c r="CQ166" s="46" t="str">
        <f t="shared" si="21"/>
        <v/>
      </c>
      <c r="CR166" s="46" t="str">
        <f t="shared" si="21"/>
        <v/>
      </c>
      <c r="CS166" s="46" t="str">
        <f t="shared" si="21"/>
        <v/>
      </c>
      <c r="CT166" s="46" t="str">
        <f t="shared" si="21"/>
        <v/>
      </c>
      <c r="CU166" s="46" t="str">
        <f t="shared" si="21"/>
        <v/>
      </c>
      <c r="CV166" s="46" t="str">
        <f t="shared" ref="CV166:DH166" si="22">IF(CV10="X",$DK10,"")</f>
        <v/>
      </c>
      <c r="CW166" s="46" t="str">
        <f t="shared" si="22"/>
        <v/>
      </c>
      <c r="CX166" s="46" t="str">
        <f t="shared" si="22"/>
        <v/>
      </c>
      <c r="CY166" s="46" t="str">
        <f t="shared" si="22"/>
        <v/>
      </c>
      <c r="CZ166" s="46" t="str">
        <f t="shared" si="22"/>
        <v/>
      </c>
      <c r="DA166" s="46" t="str">
        <f t="shared" si="22"/>
        <v/>
      </c>
      <c r="DB166" s="46" t="str">
        <f t="shared" si="22"/>
        <v/>
      </c>
      <c r="DC166" s="46" t="str">
        <f t="shared" si="22"/>
        <v/>
      </c>
      <c r="DD166" s="46" t="str">
        <f t="shared" si="22"/>
        <v/>
      </c>
      <c r="DE166" s="46" t="str">
        <f t="shared" si="22"/>
        <v/>
      </c>
      <c r="DF166" s="46" t="str">
        <f t="shared" si="22"/>
        <v/>
      </c>
      <c r="DG166" s="46" t="str">
        <f t="shared" si="22"/>
        <v/>
      </c>
      <c r="DH166" s="46" t="str">
        <f t="shared" si="22"/>
        <v/>
      </c>
      <c r="DL166" s="6"/>
    </row>
    <row r="167" spans="1:116" x14ac:dyDescent="0.25">
      <c r="B167" s="91"/>
      <c r="C167" s="46" t="str">
        <f t="shared" si="13"/>
        <v/>
      </c>
      <c r="D167" s="46" t="str">
        <f t="shared" ref="D167:AI167" si="23">IF(D11="X",$DK11,"")</f>
        <v/>
      </c>
      <c r="E167" s="46" t="str">
        <f t="shared" si="23"/>
        <v/>
      </c>
      <c r="F167" s="46" t="str">
        <f t="shared" si="23"/>
        <v/>
      </c>
      <c r="G167" s="46" t="str">
        <f t="shared" si="23"/>
        <v/>
      </c>
      <c r="H167" s="46" t="str">
        <f t="shared" si="23"/>
        <v/>
      </c>
      <c r="I167" s="46" t="str">
        <f t="shared" si="23"/>
        <v/>
      </c>
      <c r="J167" s="46" t="str">
        <f t="shared" si="23"/>
        <v/>
      </c>
      <c r="K167" s="46" t="str">
        <f t="shared" si="23"/>
        <v/>
      </c>
      <c r="L167" s="46" t="str">
        <f t="shared" si="23"/>
        <v/>
      </c>
      <c r="M167" s="46" t="str">
        <f t="shared" si="23"/>
        <v/>
      </c>
      <c r="N167" s="46" t="str">
        <f t="shared" si="23"/>
        <v/>
      </c>
      <c r="O167" s="46" t="str">
        <f t="shared" si="23"/>
        <v/>
      </c>
      <c r="P167" s="46" t="str">
        <f t="shared" si="23"/>
        <v/>
      </c>
      <c r="Q167" s="46" t="str">
        <f t="shared" si="23"/>
        <v/>
      </c>
      <c r="R167" s="46" t="str">
        <f t="shared" si="23"/>
        <v/>
      </c>
      <c r="S167" s="46" t="str">
        <f t="shared" si="23"/>
        <v/>
      </c>
      <c r="T167" s="46" t="str">
        <f t="shared" si="23"/>
        <v/>
      </c>
      <c r="U167" s="46" t="str">
        <f t="shared" si="23"/>
        <v/>
      </c>
      <c r="V167" s="46" t="str">
        <f t="shared" si="23"/>
        <v/>
      </c>
      <c r="W167" s="46" t="str">
        <f t="shared" si="23"/>
        <v/>
      </c>
      <c r="X167" s="46" t="str">
        <f t="shared" si="23"/>
        <v/>
      </c>
      <c r="Y167" s="46" t="str">
        <f t="shared" si="23"/>
        <v/>
      </c>
      <c r="Z167" s="46" t="str">
        <f t="shared" si="23"/>
        <v/>
      </c>
      <c r="AA167" s="46" t="str">
        <f t="shared" si="23"/>
        <v/>
      </c>
      <c r="AB167" s="46" t="str">
        <f t="shared" si="23"/>
        <v/>
      </c>
      <c r="AC167" s="46" t="str">
        <f t="shared" si="23"/>
        <v/>
      </c>
      <c r="AD167" s="46" t="str">
        <f t="shared" si="23"/>
        <v/>
      </c>
      <c r="AE167" s="46" t="str">
        <f t="shared" si="23"/>
        <v/>
      </c>
      <c r="AF167" s="46" t="str">
        <f t="shared" si="23"/>
        <v/>
      </c>
      <c r="AG167" s="46" t="str">
        <f t="shared" si="23"/>
        <v/>
      </c>
      <c r="AH167" s="46" t="str">
        <f t="shared" si="23"/>
        <v/>
      </c>
      <c r="AI167" s="46" t="str">
        <f t="shared" si="23"/>
        <v/>
      </c>
      <c r="AJ167" s="46" t="str">
        <f t="shared" ref="AJ167:CU167" si="24">IF(AJ11="X",$DK11,"")</f>
        <v/>
      </c>
      <c r="AK167" s="46" t="str">
        <f t="shared" si="24"/>
        <v/>
      </c>
      <c r="AL167" s="46" t="str">
        <f t="shared" si="24"/>
        <v/>
      </c>
      <c r="AM167" s="46" t="str">
        <f t="shared" si="24"/>
        <v/>
      </c>
      <c r="AN167" s="46" t="str">
        <f t="shared" si="24"/>
        <v/>
      </c>
      <c r="AO167" s="46" t="str">
        <f t="shared" si="24"/>
        <v/>
      </c>
      <c r="AP167" s="46" t="str">
        <f t="shared" si="24"/>
        <v/>
      </c>
      <c r="AQ167" s="46" t="str">
        <f t="shared" si="24"/>
        <v/>
      </c>
      <c r="AR167" s="46" t="str">
        <f t="shared" si="24"/>
        <v/>
      </c>
      <c r="AS167" s="46" t="str">
        <f t="shared" si="24"/>
        <v/>
      </c>
      <c r="AT167" s="46" t="str">
        <f t="shared" si="24"/>
        <v/>
      </c>
      <c r="AU167" s="46" t="str">
        <f t="shared" si="24"/>
        <v/>
      </c>
      <c r="AV167" s="46" t="str">
        <f t="shared" si="24"/>
        <v/>
      </c>
      <c r="AW167" s="46" t="str">
        <f t="shared" si="24"/>
        <v/>
      </c>
      <c r="AX167" s="46" t="str">
        <f t="shared" si="24"/>
        <v/>
      </c>
      <c r="AY167" s="46" t="str">
        <f t="shared" si="24"/>
        <v/>
      </c>
      <c r="AZ167" s="46" t="str">
        <f t="shared" si="24"/>
        <v/>
      </c>
      <c r="BA167" s="46" t="str">
        <f t="shared" si="24"/>
        <v/>
      </c>
      <c r="BB167" s="46" t="str">
        <f t="shared" si="24"/>
        <v/>
      </c>
      <c r="BC167" s="46" t="str">
        <f t="shared" si="24"/>
        <v/>
      </c>
      <c r="BD167" s="46" t="str">
        <f t="shared" si="24"/>
        <v/>
      </c>
      <c r="BE167" s="46" t="str">
        <f t="shared" si="24"/>
        <v/>
      </c>
      <c r="BF167" s="46" t="str">
        <f t="shared" si="24"/>
        <v/>
      </c>
      <c r="BG167" s="46" t="str">
        <f t="shared" si="24"/>
        <v/>
      </c>
      <c r="BH167" s="46" t="str">
        <f t="shared" si="24"/>
        <v/>
      </c>
      <c r="BI167" s="46" t="str">
        <f t="shared" si="24"/>
        <v/>
      </c>
      <c r="BJ167" s="46" t="str">
        <f t="shared" si="24"/>
        <v/>
      </c>
      <c r="BK167" s="46" t="str">
        <f t="shared" si="24"/>
        <v/>
      </c>
      <c r="BL167" s="46" t="str">
        <f t="shared" si="24"/>
        <v/>
      </c>
      <c r="BM167" s="46" t="str">
        <f t="shared" si="24"/>
        <v/>
      </c>
      <c r="BN167" s="46" t="str">
        <f t="shared" si="24"/>
        <v/>
      </c>
      <c r="BO167" s="46" t="str">
        <f t="shared" si="24"/>
        <v/>
      </c>
      <c r="BP167" s="46" t="str">
        <f t="shared" si="24"/>
        <v/>
      </c>
      <c r="BQ167" s="46" t="str">
        <f t="shared" si="24"/>
        <v/>
      </c>
      <c r="BR167" s="46" t="str">
        <f t="shared" si="24"/>
        <v/>
      </c>
      <c r="BS167" s="46" t="str">
        <f t="shared" si="24"/>
        <v/>
      </c>
      <c r="BT167" s="46" t="str">
        <f t="shared" si="24"/>
        <v/>
      </c>
      <c r="BU167" s="46" t="str">
        <f t="shared" si="24"/>
        <v/>
      </c>
      <c r="BV167" s="46" t="str">
        <f t="shared" si="24"/>
        <v/>
      </c>
      <c r="BW167" s="46" t="str">
        <f t="shared" si="24"/>
        <v/>
      </c>
      <c r="BX167" s="46" t="str">
        <f t="shared" si="24"/>
        <v/>
      </c>
      <c r="BY167" s="46" t="str">
        <f t="shared" si="24"/>
        <v/>
      </c>
      <c r="BZ167" s="46" t="str">
        <f t="shared" si="24"/>
        <v/>
      </c>
      <c r="CA167" s="46" t="str">
        <f t="shared" si="24"/>
        <v/>
      </c>
      <c r="CB167" s="46" t="str">
        <f t="shared" si="24"/>
        <v/>
      </c>
      <c r="CC167" s="46" t="str">
        <f t="shared" si="24"/>
        <v/>
      </c>
      <c r="CD167" s="46" t="str">
        <f t="shared" si="24"/>
        <v/>
      </c>
      <c r="CE167" s="46" t="str">
        <f t="shared" si="24"/>
        <v/>
      </c>
      <c r="CF167" s="46" t="str">
        <f t="shared" si="24"/>
        <v/>
      </c>
      <c r="CG167" s="46" t="str">
        <f t="shared" si="24"/>
        <v/>
      </c>
      <c r="CH167" s="46" t="str">
        <f t="shared" si="24"/>
        <v/>
      </c>
      <c r="CI167" s="46" t="str">
        <f t="shared" si="24"/>
        <v/>
      </c>
      <c r="CJ167" s="46" t="str">
        <f t="shared" si="24"/>
        <v/>
      </c>
      <c r="CK167" s="46" t="str">
        <f t="shared" si="24"/>
        <v/>
      </c>
      <c r="CL167" s="46" t="str">
        <f t="shared" si="24"/>
        <v/>
      </c>
      <c r="CM167" s="46" t="str">
        <f t="shared" si="24"/>
        <v/>
      </c>
      <c r="CN167" s="46" t="str">
        <f t="shared" si="24"/>
        <v/>
      </c>
      <c r="CO167" s="46" t="str">
        <f t="shared" si="24"/>
        <v/>
      </c>
      <c r="CP167" s="46" t="str">
        <f t="shared" si="24"/>
        <v/>
      </c>
      <c r="CQ167" s="46" t="str">
        <f t="shared" si="24"/>
        <v/>
      </c>
      <c r="CR167" s="46" t="str">
        <f t="shared" si="24"/>
        <v/>
      </c>
      <c r="CS167" s="46" t="str">
        <f t="shared" si="24"/>
        <v/>
      </c>
      <c r="CT167" s="46" t="str">
        <f t="shared" si="24"/>
        <v/>
      </c>
      <c r="CU167" s="46" t="str">
        <f t="shared" si="24"/>
        <v/>
      </c>
      <c r="CV167" s="46" t="str">
        <f t="shared" ref="CV167:DH167" si="25">IF(CV11="X",$DK11,"")</f>
        <v/>
      </c>
      <c r="CW167" s="46" t="str">
        <f t="shared" si="25"/>
        <v/>
      </c>
      <c r="CX167" s="46">
        <f t="shared" si="25"/>
        <v>4</v>
      </c>
      <c r="CY167" s="46" t="str">
        <f t="shared" si="25"/>
        <v/>
      </c>
      <c r="CZ167" s="46" t="str">
        <f t="shared" si="25"/>
        <v/>
      </c>
      <c r="DA167" s="46" t="str">
        <f t="shared" si="25"/>
        <v/>
      </c>
      <c r="DB167" s="46" t="str">
        <f t="shared" si="25"/>
        <v/>
      </c>
      <c r="DC167" s="46" t="str">
        <f t="shared" si="25"/>
        <v/>
      </c>
      <c r="DD167" s="46" t="str">
        <f t="shared" si="25"/>
        <v/>
      </c>
      <c r="DE167" s="46" t="str">
        <f t="shared" si="25"/>
        <v/>
      </c>
      <c r="DF167" s="46" t="str">
        <f t="shared" si="25"/>
        <v/>
      </c>
      <c r="DG167" s="46" t="str">
        <f t="shared" si="25"/>
        <v/>
      </c>
      <c r="DH167" s="46" t="str">
        <f t="shared" si="25"/>
        <v/>
      </c>
      <c r="DL167" s="6"/>
    </row>
    <row r="168" spans="1:116" x14ac:dyDescent="0.25">
      <c r="B168" s="91"/>
      <c r="C168" s="46" t="str">
        <f t="shared" si="13"/>
        <v/>
      </c>
      <c r="D168" s="46" t="str">
        <f t="shared" ref="D168:AI168" si="26">IF(D12="X",$DK12,"")</f>
        <v/>
      </c>
      <c r="E168" s="46" t="str">
        <f t="shared" si="26"/>
        <v/>
      </c>
      <c r="F168" s="46" t="str">
        <f t="shared" si="26"/>
        <v/>
      </c>
      <c r="G168" s="46" t="str">
        <f t="shared" si="26"/>
        <v/>
      </c>
      <c r="H168" s="46" t="str">
        <f t="shared" si="26"/>
        <v/>
      </c>
      <c r="I168" s="46" t="str">
        <f t="shared" si="26"/>
        <v/>
      </c>
      <c r="J168" s="46" t="str">
        <f t="shared" si="26"/>
        <v/>
      </c>
      <c r="K168" s="46" t="str">
        <f t="shared" si="26"/>
        <v/>
      </c>
      <c r="L168" s="46" t="str">
        <f t="shared" si="26"/>
        <v/>
      </c>
      <c r="M168" s="46" t="str">
        <f t="shared" si="26"/>
        <v/>
      </c>
      <c r="N168" s="46" t="str">
        <f t="shared" si="26"/>
        <v/>
      </c>
      <c r="O168" s="46" t="str">
        <f t="shared" si="26"/>
        <v/>
      </c>
      <c r="P168" s="46" t="str">
        <f t="shared" si="26"/>
        <v/>
      </c>
      <c r="Q168" s="46" t="str">
        <f t="shared" si="26"/>
        <v/>
      </c>
      <c r="R168" s="46" t="str">
        <f t="shared" si="26"/>
        <v/>
      </c>
      <c r="S168" s="46" t="str">
        <f t="shared" si="26"/>
        <v/>
      </c>
      <c r="T168" s="46" t="str">
        <f t="shared" si="26"/>
        <v/>
      </c>
      <c r="U168" s="46" t="str">
        <f t="shared" si="26"/>
        <v/>
      </c>
      <c r="V168" s="46" t="str">
        <f t="shared" si="26"/>
        <v/>
      </c>
      <c r="W168" s="46" t="str">
        <f t="shared" si="26"/>
        <v/>
      </c>
      <c r="X168" s="46" t="str">
        <f t="shared" si="26"/>
        <v/>
      </c>
      <c r="Y168" s="46" t="str">
        <f t="shared" si="26"/>
        <v/>
      </c>
      <c r="Z168" s="46" t="str">
        <f t="shared" si="26"/>
        <v/>
      </c>
      <c r="AA168" s="46" t="str">
        <f t="shared" si="26"/>
        <v/>
      </c>
      <c r="AB168" s="46" t="str">
        <f t="shared" si="26"/>
        <v/>
      </c>
      <c r="AC168" s="46" t="str">
        <f t="shared" si="26"/>
        <v/>
      </c>
      <c r="AD168" s="46" t="str">
        <f t="shared" si="26"/>
        <v/>
      </c>
      <c r="AE168" s="46" t="str">
        <f t="shared" si="26"/>
        <v/>
      </c>
      <c r="AF168" s="46" t="str">
        <f t="shared" si="26"/>
        <v/>
      </c>
      <c r="AG168" s="46" t="str">
        <f t="shared" si="26"/>
        <v/>
      </c>
      <c r="AH168" s="46" t="str">
        <f t="shared" si="26"/>
        <v/>
      </c>
      <c r="AI168" s="46" t="str">
        <f t="shared" si="26"/>
        <v/>
      </c>
      <c r="AJ168" s="46" t="str">
        <f t="shared" ref="AJ168:CU168" si="27">IF(AJ12="X",$DK12,"")</f>
        <v/>
      </c>
      <c r="AK168" s="46" t="str">
        <f t="shared" si="27"/>
        <v/>
      </c>
      <c r="AL168" s="46" t="str">
        <f t="shared" si="27"/>
        <v/>
      </c>
      <c r="AM168" s="46" t="str">
        <f t="shared" si="27"/>
        <v/>
      </c>
      <c r="AN168" s="46" t="str">
        <f t="shared" si="27"/>
        <v/>
      </c>
      <c r="AO168" s="46" t="str">
        <f t="shared" si="27"/>
        <v/>
      </c>
      <c r="AP168" s="46" t="str">
        <f t="shared" si="27"/>
        <v/>
      </c>
      <c r="AQ168" s="46" t="str">
        <f t="shared" si="27"/>
        <v/>
      </c>
      <c r="AR168" s="46" t="str">
        <f t="shared" si="27"/>
        <v/>
      </c>
      <c r="AS168" s="46" t="str">
        <f t="shared" si="27"/>
        <v/>
      </c>
      <c r="AT168" s="46" t="str">
        <f t="shared" si="27"/>
        <v/>
      </c>
      <c r="AU168" s="46" t="str">
        <f t="shared" si="27"/>
        <v/>
      </c>
      <c r="AV168" s="46" t="str">
        <f t="shared" si="27"/>
        <v/>
      </c>
      <c r="AW168" s="46" t="str">
        <f t="shared" si="27"/>
        <v/>
      </c>
      <c r="AX168" s="46" t="str">
        <f t="shared" si="27"/>
        <v/>
      </c>
      <c r="AY168" s="46" t="str">
        <f t="shared" si="27"/>
        <v/>
      </c>
      <c r="AZ168" s="46" t="str">
        <f t="shared" si="27"/>
        <v/>
      </c>
      <c r="BA168" s="46" t="str">
        <f t="shared" si="27"/>
        <v/>
      </c>
      <c r="BB168" s="46" t="str">
        <f t="shared" si="27"/>
        <v/>
      </c>
      <c r="BC168" s="46" t="str">
        <f t="shared" si="27"/>
        <v/>
      </c>
      <c r="BD168" s="46" t="str">
        <f t="shared" si="27"/>
        <v/>
      </c>
      <c r="BE168" s="46" t="str">
        <f t="shared" si="27"/>
        <v/>
      </c>
      <c r="BF168" s="46" t="str">
        <f t="shared" si="27"/>
        <v/>
      </c>
      <c r="BG168" s="46" t="str">
        <f t="shared" si="27"/>
        <v/>
      </c>
      <c r="BH168" s="46" t="str">
        <f t="shared" si="27"/>
        <v/>
      </c>
      <c r="BI168" s="46" t="str">
        <f t="shared" si="27"/>
        <v/>
      </c>
      <c r="BJ168" s="46" t="str">
        <f t="shared" si="27"/>
        <v/>
      </c>
      <c r="BK168" s="46" t="str">
        <f t="shared" si="27"/>
        <v/>
      </c>
      <c r="BL168" s="46" t="str">
        <f t="shared" si="27"/>
        <v/>
      </c>
      <c r="BM168" s="46" t="str">
        <f t="shared" si="27"/>
        <v/>
      </c>
      <c r="BN168" s="46" t="str">
        <f t="shared" si="27"/>
        <v/>
      </c>
      <c r="BO168" s="46" t="str">
        <f t="shared" si="27"/>
        <v/>
      </c>
      <c r="BP168" s="46" t="str">
        <f t="shared" si="27"/>
        <v/>
      </c>
      <c r="BQ168" s="46" t="str">
        <f t="shared" si="27"/>
        <v/>
      </c>
      <c r="BR168" s="46" t="str">
        <f t="shared" si="27"/>
        <v/>
      </c>
      <c r="BS168" s="46" t="str">
        <f t="shared" si="27"/>
        <v/>
      </c>
      <c r="BT168" s="46">
        <f t="shared" si="27"/>
        <v>8</v>
      </c>
      <c r="BU168" s="46">
        <f t="shared" si="27"/>
        <v>8</v>
      </c>
      <c r="BV168" s="46" t="str">
        <f t="shared" si="27"/>
        <v/>
      </c>
      <c r="BW168" s="46" t="str">
        <f t="shared" si="27"/>
        <v/>
      </c>
      <c r="BX168" s="46">
        <f t="shared" si="27"/>
        <v>8</v>
      </c>
      <c r="BY168" s="46" t="str">
        <f t="shared" si="27"/>
        <v/>
      </c>
      <c r="BZ168" s="46" t="str">
        <f t="shared" si="27"/>
        <v/>
      </c>
      <c r="CA168" s="46" t="str">
        <f t="shared" si="27"/>
        <v/>
      </c>
      <c r="CB168" s="46">
        <f t="shared" si="27"/>
        <v>8</v>
      </c>
      <c r="CC168" s="46" t="str">
        <f t="shared" si="27"/>
        <v/>
      </c>
      <c r="CD168" s="46" t="str">
        <f t="shared" si="27"/>
        <v/>
      </c>
      <c r="CE168" s="46" t="str">
        <f t="shared" si="27"/>
        <v/>
      </c>
      <c r="CF168" s="46" t="str">
        <f t="shared" si="27"/>
        <v/>
      </c>
      <c r="CG168" s="46" t="str">
        <f t="shared" si="27"/>
        <v/>
      </c>
      <c r="CH168" s="46" t="str">
        <f t="shared" si="27"/>
        <v/>
      </c>
      <c r="CI168" s="46" t="str">
        <f t="shared" si="27"/>
        <v/>
      </c>
      <c r="CJ168" s="46" t="str">
        <f t="shared" si="27"/>
        <v/>
      </c>
      <c r="CK168" s="46" t="str">
        <f t="shared" si="27"/>
        <v/>
      </c>
      <c r="CL168" s="46" t="str">
        <f t="shared" si="27"/>
        <v/>
      </c>
      <c r="CM168" s="46" t="str">
        <f t="shared" si="27"/>
        <v/>
      </c>
      <c r="CN168" s="46" t="str">
        <f t="shared" si="27"/>
        <v/>
      </c>
      <c r="CO168" s="46">
        <f t="shared" si="27"/>
        <v>8</v>
      </c>
      <c r="CP168" s="46">
        <f t="shared" si="27"/>
        <v>8</v>
      </c>
      <c r="CQ168" s="46" t="str">
        <f t="shared" si="27"/>
        <v/>
      </c>
      <c r="CR168" s="46" t="str">
        <f t="shared" si="27"/>
        <v/>
      </c>
      <c r="CS168" s="46">
        <f t="shared" si="27"/>
        <v>8</v>
      </c>
      <c r="CT168" s="46">
        <f t="shared" si="27"/>
        <v>8</v>
      </c>
      <c r="CU168" s="46" t="str">
        <f t="shared" si="27"/>
        <v/>
      </c>
      <c r="CV168" s="46" t="str">
        <f t="shared" ref="CV168:DH168" si="28">IF(CV12="X",$DK12,"")</f>
        <v/>
      </c>
      <c r="CW168" s="46">
        <f t="shared" si="28"/>
        <v>8</v>
      </c>
      <c r="CX168" s="46">
        <f t="shared" si="28"/>
        <v>8</v>
      </c>
      <c r="CY168" s="46" t="str">
        <f t="shared" si="28"/>
        <v/>
      </c>
      <c r="CZ168" s="46" t="str">
        <f t="shared" si="28"/>
        <v/>
      </c>
      <c r="DA168" s="46" t="str">
        <f t="shared" si="28"/>
        <v/>
      </c>
      <c r="DB168" s="46" t="str">
        <f t="shared" si="28"/>
        <v/>
      </c>
      <c r="DC168" s="46" t="str">
        <f t="shared" si="28"/>
        <v/>
      </c>
      <c r="DD168" s="46" t="str">
        <f t="shared" si="28"/>
        <v/>
      </c>
      <c r="DE168" s="46" t="str">
        <f t="shared" si="28"/>
        <v/>
      </c>
      <c r="DF168" s="46" t="str">
        <f t="shared" si="28"/>
        <v/>
      </c>
      <c r="DG168" s="46" t="str">
        <f t="shared" si="28"/>
        <v/>
      </c>
      <c r="DH168" s="46" t="str">
        <f t="shared" si="28"/>
        <v/>
      </c>
      <c r="DL168" s="6"/>
    </row>
    <row r="169" spans="1:116" x14ac:dyDescent="0.25">
      <c r="B169" s="91"/>
      <c r="C169" s="46" t="str">
        <f t="shared" si="13"/>
        <v/>
      </c>
      <c r="D169" s="46" t="str">
        <f t="shared" ref="D169:AI169" si="29">IF(D13="X",$DK13,"")</f>
        <v/>
      </c>
      <c r="E169" s="46" t="str">
        <f t="shared" si="29"/>
        <v/>
      </c>
      <c r="F169" s="46" t="str">
        <f t="shared" si="29"/>
        <v/>
      </c>
      <c r="G169" s="46" t="str">
        <f t="shared" si="29"/>
        <v/>
      </c>
      <c r="H169" s="46" t="str">
        <f t="shared" si="29"/>
        <v/>
      </c>
      <c r="I169" s="46" t="str">
        <f t="shared" si="29"/>
        <v/>
      </c>
      <c r="J169" s="46" t="str">
        <f t="shared" si="29"/>
        <v/>
      </c>
      <c r="K169" s="46" t="str">
        <f t="shared" si="29"/>
        <v/>
      </c>
      <c r="L169" s="46" t="str">
        <f t="shared" si="29"/>
        <v/>
      </c>
      <c r="M169" s="46" t="str">
        <f t="shared" si="29"/>
        <v/>
      </c>
      <c r="N169" s="46" t="str">
        <f t="shared" si="29"/>
        <v/>
      </c>
      <c r="O169" s="46" t="str">
        <f t="shared" si="29"/>
        <v/>
      </c>
      <c r="P169" s="46" t="str">
        <f t="shared" si="29"/>
        <v/>
      </c>
      <c r="Q169" s="46" t="str">
        <f t="shared" si="29"/>
        <v/>
      </c>
      <c r="R169" s="46">
        <f t="shared" si="29"/>
        <v>4</v>
      </c>
      <c r="S169" s="46" t="str">
        <f t="shared" si="29"/>
        <v/>
      </c>
      <c r="T169" s="46" t="str">
        <f t="shared" si="29"/>
        <v/>
      </c>
      <c r="U169" s="46" t="str">
        <f t="shared" si="29"/>
        <v/>
      </c>
      <c r="V169" s="46" t="str">
        <f t="shared" si="29"/>
        <v/>
      </c>
      <c r="W169" s="46" t="str">
        <f t="shared" si="29"/>
        <v/>
      </c>
      <c r="X169" s="46" t="str">
        <f t="shared" si="29"/>
        <v/>
      </c>
      <c r="Y169" s="46" t="str">
        <f t="shared" si="29"/>
        <v/>
      </c>
      <c r="Z169" s="46" t="str">
        <f t="shared" si="29"/>
        <v/>
      </c>
      <c r="AA169" s="46" t="str">
        <f t="shared" si="29"/>
        <v/>
      </c>
      <c r="AB169" s="46" t="str">
        <f t="shared" si="29"/>
        <v/>
      </c>
      <c r="AC169" s="46" t="str">
        <f t="shared" si="29"/>
        <v/>
      </c>
      <c r="AD169" s="46" t="str">
        <f t="shared" si="29"/>
        <v/>
      </c>
      <c r="AE169" s="46" t="str">
        <f t="shared" si="29"/>
        <v/>
      </c>
      <c r="AF169" s="46" t="str">
        <f t="shared" si="29"/>
        <v/>
      </c>
      <c r="AG169" s="46" t="str">
        <f t="shared" si="29"/>
        <v/>
      </c>
      <c r="AH169" s="46" t="str">
        <f t="shared" si="29"/>
        <v/>
      </c>
      <c r="AI169" s="46" t="str">
        <f t="shared" si="29"/>
        <v/>
      </c>
      <c r="AJ169" s="46" t="str">
        <f t="shared" ref="AJ169:CU169" si="30">IF(AJ13="X",$DK13,"")</f>
        <v/>
      </c>
      <c r="AK169" s="46" t="str">
        <f t="shared" si="30"/>
        <v/>
      </c>
      <c r="AL169" s="46" t="str">
        <f t="shared" si="30"/>
        <v/>
      </c>
      <c r="AM169" s="46" t="str">
        <f t="shared" si="30"/>
        <v/>
      </c>
      <c r="AN169" s="46" t="str">
        <f t="shared" si="30"/>
        <v/>
      </c>
      <c r="AO169" s="46" t="str">
        <f t="shared" si="30"/>
        <v/>
      </c>
      <c r="AP169" s="46" t="str">
        <f t="shared" si="30"/>
        <v/>
      </c>
      <c r="AQ169" s="46" t="str">
        <f t="shared" si="30"/>
        <v/>
      </c>
      <c r="AR169" s="46" t="str">
        <f t="shared" si="30"/>
        <v/>
      </c>
      <c r="AS169" s="46" t="str">
        <f t="shared" si="30"/>
        <v/>
      </c>
      <c r="AT169" s="46" t="str">
        <f t="shared" si="30"/>
        <v/>
      </c>
      <c r="AU169" s="46" t="str">
        <f t="shared" si="30"/>
        <v/>
      </c>
      <c r="AV169" s="46" t="str">
        <f t="shared" si="30"/>
        <v/>
      </c>
      <c r="AW169" s="46" t="str">
        <f t="shared" si="30"/>
        <v/>
      </c>
      <c r="AX169" s="46" t="str">
        <f t="shared" si="30"/>
        <v/>
      </c>
      <c r="AY169" s="46" t="str">
        <f t="shared" si="30"/>
        <v/>
      </c>
      <c r="AZ169" s="46" t="str">
        <f t="shared" si="30"/>
        <v/>
      </c>
      <c r="BA169" s="46" t="str">
        <f t="shared" si="30"/>
        <v/>
      </c>
      <c r="BB169" s="46" t="str">
        <f t="shared" si="30"/>
        <v/>
      </c>
      <c r="BC169" s="46" t="str">
        <f t="shared" si="30"/>
        <v/>
      </c>
      <c r="BD169" s="46" t="str">
        <f t="shared" si="30"/>
        <v/>
      </c>
      <c r="BE169" s="46" t="str">
        <f t="shared" si="30"/>
        <v/>
      </c>
      <c r="BF169" s="46" t="str">
        <f t="shared" si="30"/>
        <v/>
      </c>
      <c r="BG169" s="46" t="str">
        <f t="shared" si="30"/>
        <v/>
      </c>
      <c r="BH169" s="46" t="str">
        <f t="shared" si="30"/>
        <v/>
      </c>
      <c r="BI169" s="46" t="str">
        <f t="shared" si="30"/>
        <v/>
      </c>
      <c r="BJ169" s="46" t="str">
        <f t="shared" si="30"/>
        <v/>
      </c>
      <c r="BK169" s="46" t="str">
        <f t="shared" si="30"/>
        <v/>
      </c>
      <c r="BL169" s="46" t="str">
        <f t="shared" si="30"/>
        <v/>
      </c>
      <c r="BM169" s="46" t="str">
        <f t="shared" si="30"/>
        <v/>
      </c>
      <c r="BN169" s="46" t="str">
        <f t="shared" si="30"/>
        <v/>
      </c>
      <c r="BO169" s="46" t="str">
        <f t="shared" si="30"/>
        <v/>
      </c>
      <c r="BP169" s="46" t="str">
        <f t="shared" si="30"/>
        <v/>
      </c>
      <c r="BQ169" s="46" t="str">
        <f t="shared" si="30"/>
        <v/>
      </c>
      <c r="BR169" s="46" t="str">
        <f t="shared" si="30"/>
        <v/>
      </c>
      <c r="BS169" s="46" t="str">
        <f t="shared" si="30"/>
        <v/>
      </c>
      <c r="BT169" s="46" t="str">
        <f t="shared" si="30"/>
        <v/>
      </c>
      <c r="BU169" s="46" t="str">
        <f t="shared" si="30"/>
        <v/>
      </c>
      <c r="BV169" s="46" t="str">
        <f t="shared" si="30"/>
        <v/>
      </c>
      <c r="BW169" s="46" t="str">
        <f t="shared" si="30"/>
        <v/>
      </c>
      <c r="BX169" s="46" t="str">
        <f t="shared" si="30"/>
        <v/>
      </c>
      <c r="BY169" s="46" t="str">
        <f t="shared" si="30"/>
        <v/>
      </c>
      <c r="BZ169" s="46" t="str">
        <f t="shared" si="30"/>
        <v/>
      </c>
      <c r="CA169" s="46" t="str">
        <f t="shared" si="30"/>
        <v/>
      </c>
      <c r="CB169" s="46" t="str">
        <f t="shared" si="30"/>
        <v/>
      </c>
      <c r="CC169" s="46" t="str">
        <f t="shared" si="30"/>
        <v/>
      </c>
      <c r="CD169" s="46" t="str">
        <f t="shared" si="30"/>
        <v/>
      </c>
      <c r="CE169" s="46" t="str">
        <f t="shared" si="30"/>
        <v/>
      </c>
      <c r="CF169" s="46" t="str">
        <f t="shared" si="30"/>
        <v/>
      </c>
      <c r="CG169" s="46" t="str">
        <f t="shared" si="30"/>
        <v/>
      </c>
      <c r="CH169" s="46" t="str">
        <f t="shared" si="30"/>
        <v/>
      </c>
      <c r="CI169" s="46" t="str">
        <f t="shared" si="30"/>
        <v/>
      </c>
      <c r="CJ169" s="46" t="str">
        <f t="shared" si="30"/>
        <v/>
      </c>
      <c r="CK169" s="46" t="str">
        <f t="shared" si="30"/>
        <v/>
      </c>
      <c r="CL169" s="46" t="str">
        <f t="shared" si="30"/>
        <v/>
      </c>
      <c r="CM169" s="46" t="str">
        <f t="shared" si="30"/>
        <v/>
      </c>
      <c r="CN169" s="46" t="str">
        <f t="shared" si="30"/>
        <v/>
      </c>
      <c r="CO169" s="46" t="str">
        <f t="shared" si="30"/>
        <v/>
      </c>
      <c r="CP169" s="46" t="str">
        <f t="shared" si="30"/>
        <v/>
      </c>
      <c r="CQ169" s="46" t="str">
        <f t="shared" si="30"/>
        <v/>
      </c>
      <c r="CR169" s="46" t="str">
        <f t="shared" si="30"/>
        <v/>
      </c>
      <c r="CS169" s="46" t="str">
        <f t="shared" si="30"/>
        <v/>
      </c>
      <c r="CT169" s="46" t="str">
        <f t="shared" si="30"/>
        <v/>
      </c>
      <c r="CU169" s="46" t="str">
        <f t="shared" si="30"/>
        <v/>
      </c>
      <c r="CV169" s="46" t="str">
        <f t="shared" ref="CV169:DH169" si="31">IF(CV13="X",$DK13,"")</f>
        <v/>
      </c>
      <c r="CW169" s="46" t="str">
        <f t="shared" si="31"/>
        <v/>
      </c>
      <c r="CX169" s="46" t="str">
        <f t="shared" si="31"/>
        <v/>
      </c>
      <c r="CY169" s="46" t="str">
        <f t="shared" si="31"/>
        <v/>
      </c>
      <c r="CZ169" s="46" t="str">
        <f t="shared" si="31"/>
        <v/>
      </c>
      <c r="DA169" s="46" t="str">
        <f t="shared" si="31"/>
        <v/>
      </c>
      <c r="DB169" s="46" t="str">
        <f t="shared" si="31"/>
        <v/>
      </c>
      <c r="DC169" s="46" t="str">
        <f t="shared" si="31"/>
        <v/>
      </c>
      <c r="DD169" s="46" t="str">
        <f t="shared" si="31"/>
        <v/>
      </c>
      <c r="DE169" s="46" t="str">
        <f t="shared" si="31"/>
        <v/>
      </c>
      <c r="DF169" s="46" t="str">
        <f t="shared" si="31"/>
        <v/>
      </c>
      <c r="DG169" s="46" t="str">
        <f t="shared" si="31"/>
        <v/>
      </c>
      <c r="DH169" s="46" t="str">
        <f t="shared" si="31"/>
        <v/>
      </c>
      <c r="DL169" s="6"/>
    </row>
    <row r="170" spans="1:116" x14ac:dyDescent="0.25">
      <c r="B170" s="91"/>
      <c r="C170" s="46" t="str">
        <f t="shared" si="13"/>
        <v/>
      </c>
      <c r="D170" s="46" t="str">
        <f t="shared" ref="D170:AI170" si="32">IF(D14="X",$DK14,"")</f>
        <v/>
      </c>
      <c r="E170" s="46" t="str">
        <f t="shared" si="32"/>
        <v/>
      </c>
      <c r="F170" s="46" t="str">
        <f t="shared" si="32"/>
        <v/>
      </c>
      <c r="G170" s="46" t="str">
        <f t="shared" si="32"/>
        <v/>
      </c>
      <c r="H170" s="46" t="str">
        <f t="shared" si="32"/>
        <v/>
      </c>
      <c r="I170" s="46" t="str">
        <f t="shared" si="32"/>
        <v/>
      </c>
      <c r="J170" s="46" t="str">
        <f t="shared" si="32"/>
        <v/>
      </c>
      <c r="K170" s="46" t="str">
        <f t="shared" si="32"/>
        <v/>
      </c>
      <c r="L170" s="46" t="str">
        <f t="shared" si="32"/>
        <v/>
      </c>
      <c r="M170" s="46" t="str">
        <f t="shared" si="32"/>
        <v/>
      </c>
      <c r="N170" s="46" t="str">
        <f t="shared" si="32"/>
        <v/>
      </c>
      <c r="O170" s="46" t="str">
        <f t="shared" si="32"/>
        <v/>
      </c>
      <c r="P170" s="46" t="str">
        <f t="shared" si="32"/>
        <v/>
      </c>
      <c r="Q170" s="46" t="str">
        <f t="shared" si="32"/>
        <v/>
      </c>
      <c r="R170" s="46" t="str">
        <f t="shared" si="32"/>
        <v/>
      </c>
      <c r="S170" s="46" t="str">
        <f t="shared" si="32"/>
        <v/>
      </c>
      <c r="T170" s="46" t="str">
        <f t="shared" si="32"/>
        <v/>
      </c>
      <c r="U170" s="46" t="str">
        <f t="shared" si="32"/>
        <v/>
      </c>
      <c r="V170" s="46" t="str">
        <f t="shared" si="32"/>
        <v/>
      </c>
      <c r="W170" s="46" t="str">
        <f t="shared" si="32"/>
        <v/>
      </c>
      <c r="X170" s="46" t="str">
        <f t="shared" si="32"/>
        <v/>
      </c>
      <c r="Y170" s="46" t="str">
        <f t="shared" si="32"/>
        <v/>
      </c>
      <c r="Z170" s="46" t="str">
        <f t="shared" si="32"/>
        <v/>
      </c>
      <c r="AA170" s="46" t="str">
        <f t="shared" si="32"/>
        <v/>
      </c>
      <c r="AB170" s="46" t="str">
        <f t="shared" si="32"/>
        <v/>
      </c>
      <c r="AC170" s="46" t="str">
        <f t="shared" si="32"/>
        <v/>
      </c>
      <c r="AD170" s="46" t="str">
        <f t="shared" si="32"/>
        <v/>
      </c>
      <c r="AE170" s="46" t="str">
        <f t="shared" si="32"/>
        <v/>
      </c>
      <c r="AF170" s="46" t="str">
        <f t="shared" si="32"/>
        <v/>
      </c>
      <c r="AG170" s="46" t="str">
        <f t="shared" si="32"/>
        <v/>
      </c>
      <c r="AH170" s="46" t="str">
        <f t="shared" si="32"/>
        <v/>
      </c>
      <c r="AI170" s="46" t="str">
        <f t="shared" si="32"/>
        <v/>
      </c>
      <c r="AJ170" s="46" t="str">
        <f t="shared" ref="AJ170:CU170" si="33">IF(AJ14="X",$DK14,"")</f>
        <v/>
      </c>
      <c r="AK170" s="46" t="str">
        <f t="shared" si="33"/>
        <v/>
      </c>
      <c r="AL170" s="46" t="str">
        <f t="shared" si="33"/>
        <v/>
      </c>
      <c r="AM170" s="46" t="str">
        <f t="shared" si="33"/>
        <v/>
      </c>
      <c r="AN170" s="46" t="str">
        <f t="shared" si="33"/>
        <v/>
      </c>
      <c r="AO170" s="46" t="str">
        <f t="shared" si="33"/>
        <v/>
      </c>
      <c r="AP170" s="46" t="str">
        <f t="shared" si="33"/>
        <v/>
      </c>
      <c r="AQ170" s="46" t="str">
        <f t="shared" si="33"/>
        <v/>
      </c>
      <c r="AR170" s="46" t="str">
        <f t="shared" si="33"/>
        <v/>
      </c>
      <c r="AS170" s="46" t="str">
        <f t="shared" si="33"/>
        <v/>
      </c>
      <c r="AT170" s="46" t="str">
        <f t="shared" si="33"/>
        <v/>
      </c>
      <c r="AU170" s="46" t="str">
        <f t="shared" si="33"/>
        <v/>
      </c>
      <c r="AV170" s="46" t="str">
        <f t="shared" si="33"/>
        <v/>
      </c>
      <c r="AW170" s="46" t="str">
        <f t="shared" si="33"/>
        <v/>
      </c>
      <c r="AX170" s="46" t="str">
        <f t="shared" si="33"/>
        <v/>
      </c>
      <c r="AY170" s="46" t="str">
        <f t="shared" si="33"/>
        <v/>
      </c>
      <c r="AZ170" s="46" t="str">
        <f t="shared" si="33"/>
        <v/>
      </c>
      <c r="BA170" s="46" t="str">
        <f t="shared" si="33"/>
        <v/>
      </c>
      <c r="BB170" s="46" t="str">
        <f t="shared" si="33"/>
        <v/>
      </c>
      <c r="BC170" s="46" t="str">
        <f t="shared" si="33"/>
        <v/>
      </c>
      <c r="BD170" s="46" t="str">
        <f t="shared" si="33"/>
        <v/>
      </c>
      <c r="BE170" s="46" t="str">
        <f t="shared" si="33"/>
        <v/>
      </c>
      <c r="BF170" s="46" t="str">
        <f t="shared" si="33"/>
        <v/>
      </c>
      <c r="BG170" s="46" t="str">
        <f t="shared" si="33"/>
        <v/>
      </c>
      <c r="BH170" s="46" t="str">
        <f t="shared" si="33"/>
        <v/>
      </c>
      <c r="BI170" s="46" t="str">
        <f t="shared" si="33"/>
        <v/>
      </c>
      <c r="BJ170" s="46" t="str">
        <f t="shared" si="33"/>
        <v/>
      </c>
      <c r="BK170" s="46" t="str">
        <f t="shared" si="33"/>
        <v/>
      </c>
      <c r="BL170" s="46" t="str">
        <f t="shared" si="33"/>
        <v/>
      </c>
      <c r="BM170" s="46" t="str">
        <f t="shared" si="33"/>
        <v/>
      </c>
      <c r="BN170" s="46" t="str">
        <f t="shared" si="33"/>
        <v/>
      </c>
      <c r="BO170" s="46" t="str">
        <f t="shared" si="33"/>
        <v/>
      </c>
      <c r="BP170" s="46" t="str">
        <f t="shared" si="33"/>
        <v/>
      </c>
      <c r="BQ170" s="46" t="str">
        <f t="shared" si="33"/>
        <v/>
      </c>
      <c r="BR170" s="46" t="str">
        <f t="shared" si="33"/>
        <v/>
      </c>
      <c r="BS170" s="46" t="str">
        <f t="shared" si="33"/>
        <v/>
      </c>
      <c r="BT170" s="46" t="str">
        <f t="shared" si="33"/>
        <v/>
      </c>
      <c r="BU170" s="46" t="str">
        <f t="shared" si="33"/>
        <v/>
      </c>
      <c r="BV170" s="46" t="str">
        <f t="shared" si="33"/>
        <v/>
      </c>
      <c r="BW170" s="46" t="str">
        <f t="shared" si="33"/>
        <v/>
      </c>
      <c r="BX170" s="46" t="str">
        <f t="shared" si="33"/>
        <v/>
      </c>
      <c r="BY170" s="46" t="str">
        <f t="shared" si="33"/>
        <v/>
      </c>
      <c r="BZ170" s="46" t="str">
        <f t="shared" si="33"/>
        <v/>
      </c>
      <c r="CA170" s="46" t="str">
        <f t="shared" si="33"/>
        <v/>
      </c>
      <c r="CB170" s="46" t="str">
        <f t="shared" si="33"/>
        <v/>
      </c>
      <c r="CC170" s="46" t="str">
        <f t="shared" si="33"/>
        <v/>
      </c>
      <c r="CD170" s="46" t="str">
        <f t="shared" si="33"/>
        <v/>
      </c>
      <c r="CE170" s="46" t="str">
        <f t="shared" si="33"/>
        <v/>
      </c>
      <c r="CF170" s="46" t="str">
        <f t="shared" si="33"/>
        <v/>
      </c>
      <c r="CG170" s="46" t="str">
        <f t="shared" si="33"/>
        <v/>
      </c>
      <c r="CH170" s="46" t="str">
        <f t="shared" si="33"/>
        <v/>
      </c>
      <c r="CI170" s="46" t="str">
        <f t="shared" si="33"/>
        <v/>
      </c>
      <c r="CJ170" s="46" t="str">
        <f t="shared" si="33"/>
        <v/>
      </c>
      <c r="CK170" s="46" t="str">
        <f t="shared" si="33"/>
        <v/>
      </c>
      <c r="CL170" s="46" t="str">
        <f t="shared" si="33"/>
        <v/>
      </c>
      <c r="CM170" s="46" t="str">
        <f t="shared" si="33"/>
        <v/>
      </c>
      <c r="CN170" s="46" t="str">
        <f t="shared" si="33"/>
        <v/>
      </c>
      <c r="CO170" s="46" t="str">
        <f t="shared" si="33"/>
        <v/>
      </c>
      <c r="CP170" s="46" t="str">
        <f t="shared" si="33"/>
        <v/>
      </c>
      <c r="CQ170" s="46" t="str">
        <f t="shared" si="33"/>
        <v/>
      </c>
      <c r="CR170" s="46" t="str">
        <f t="shared" si="33"/>
        <v/>
      </c>
      <c r="CS170" s="46">
        <f t="shared" si="33"/>
        <v>4</v>
      </c>
      <c r="CT170" s="46" t="str">
        <f t="shared" si="33"/>
        <v/>
      </c>
      <c r="CU170" s="46" t="str">
        <f t="shared" si="33"/>
        <v/>
      </c>
      <c r="CV170" s="46" t="str">
        <f t="shared" ref="CV170:DH170" si="34">IF(CV14="X",$DK14,"")</f>
        <v/>
      </c>
      <c r="CW170" s="46" t="str">
        <f t="shared" si="34"/>
        <v/>
      </c>
      <c r="CX170" s="46" t="str">
        <f t="shared" si="34"/>
        <v/>
      </c>
      <c r="CY170" s="46" t="str">
        <f t="shared" si="34"/>
        <v/>
      </c>
      <c r="CZ170" s="46" t="str">
        <f t="shared" si="34"/>
        <v/>
      </c>
      <c r="DA170" s="46" t="str">
        <f t="shared" si="34"/>
        <v/>
      </c>
      <c r="DB170" s="46" t="str">
        <f t="shared" si="34"/>
        <v/>
      </c>
      <c r="DC170" s="46" t="str">
        <f t="shared" si="34"/>
        <v/>
      </c>
      <c r="DD170" s="46" t="str">
        <f t="shared" si="34"/>
        <v/>
      </c>
      <c r="DE170" s="46" t="str">
        <f t="shared" si="34"/>
        <v/>
      </c>
      <c r="DF170" s="46" t="str">
        <f t="shared" si="34"/>
        <v/>
      </c>
      <c r="DG170" s="46" t="str">
        <f t="shared" si="34"/>
        <v/>
      </c>
      <c r="DH170" s="46" t="str">
        <f t="shared" si="34"/>
        <v/>
      </c>
      <c r="DL170" s="6"/>
    </row>
    <row r="171" spans="1:116" x14ac:dyDescent="0.25">
      <c r="B171" s="91"/>
      <c r="C171" s="46">
        <f t="shared" si="13"/>
        <v>8</v>
      </c>
      <c r="D171" s="46">
        <f t="shared" ref="D171:AI171" si="35">IF(D15="X",$DK15,"")</f>
        <v>8</v>
      </c>
      <c r="E171" s="46">
        <f t="shared" si="35"/>
        <v>8</v>
      </c>
      <c r="F171" s="46">
        <f t="shared" si="35"/>
        <v>8</v>
      </c>
      <c r="G171" s="46">
        <f t="shared" si="35"/>
        <v>8</v>
      </c>
      <c r="H171" s="46">
        <f t="shared" si="35"/>
        <v>8</v>
      </c>
      <c r="I171" s="46">
        <f t="shared" si="35"/>
        <v>8</v>
      </c>
      <c r="J171" s="46">
        <f t="shared" si="35"/>
        <v>8</v>
      </c>
      <c r="K171" s="46">
        <f t="shared" si="35"/>
        <v>8</v>
      </c>
      <c r="L171" s="46">
        <f t="shared" si="35"/>
        <v>8</v>
      </c>
      <c r="M171" s="46">
        <f t="shared" si="35"/>
        <v>8</v>
      </c>
      <c r="N171" s="46" t="str">
        <f t="shared" si="35"/>
        <v/>
      </c>
      <c r="O171" s="46">
        <f t="shared" si="35"/>
        <v>8</v>
      </c>
      <c r="P171" s="46">
        <f t="shared" si="35"/>
        <v>8</v>
      </c>
      <c r="Q171" s="46">
        <f t="shared" si="35"/>
        <v>8</v>
      </c>
      <c r="R171" s="46">
        <f t="shared" si="35"/>
        <v>8</v>
      </c>
      <c r="S171" s="46" t="str">
        <f t="shared" si="35"/>
        <v/>
      </c>
      <c r="T171" s="46" t="str">
        <f t="shared" si="35"/>
        <v/>
      </c>
      <c r="U171" s="46" t="str">
        <f t="shared" si="35"/>
        <v/>
      </c>
      <c r="V171" s="46" t="str">
        <f t="shared" si="35"/>
        <v/>
      </c>
      <c r="W171" s="46" t="str">
        <f t="shared" si="35"/>
        <v/>
      </c>
      <c r="X171" s="46" t="str">
        <f t="shared" si="35"/>
        <v/>
      </c>
      <c r="Y171" s="46" t="str">
        <f t="shared" si="35"/>
        <v/>
      </c>
      <c r="Z171" s="46">
        <f t="shared" si="35"/>
        <v>8</v>
      </c>
      <c r="AA171" s="46" t="str">
        <f t="shared" si="35"/>
        <v/>
      </c>
      <c r="AB171" s="46">
        <f t="shared" si="35"/>
        <v>8</v>
      </c>
      <c r="AC171" s="46">
        <f t="shared" si="35"/>
        <v>8</v>
      </c>
      <c r="AD171" s="46">
        <f t="shared" si="35"/>
        <v>8</v>
      </c>
      <c r="AE171" s="46">
        <f t="shared" si="35"/>
        <v>8</v>
      </c>
      <c r="AF171" s="46">
        <f t="shared" si="35"/>
        <v>8</v>
      </c>
      <c r="AG171" s="46">
        <f t="shared" si="35"/>
        <v>8</v>
      </c>
      <c r="AH171" s="46">
        <f t="shared" si="35"/>
        <v>8</v>
      </c>
      <c r="AI171" s="46">
        <f t="shared" si="35"/>
        <v>8</v>
      </c>
      <c r="AJ171" s="46">
        <f t="shared" ref="AJ171:CU171" si="36">IF(AJ15="X",$DK15,"")</f>
        <v>8</v>
      </c>
      <c r="AK171" s="46">
        <f t="shared" si="36"/>
        <v>8</v>
      </c>
      <c r="AL171" s="46">
        <f t="shared" si="36"/>
        <v>8</v>
      </c>
      <c r="AM171" s="46">
        <f t="shared" si="36"/>
        <v>8</v>
      </c>
      <c r="AN171" s="46">
        <f t="shared" si="36"/>
        <v>8</v>
      </c>
      <c r="AO171" s="46">
        <f t="shared" si="36"/>
        <v>8</v>
      </c>
      <c r="AP171" s="46">
        <f t="shared" si="36"/>
        <v>8</v>
      </c>
      <c r="AQ171" s="46">
        <f t="shared" si="36"/>
        <v>8</v>
      </c>
      <c r="AR171" s="46">
        <f t="shared" si="36"/>
        <v>8</v>
      </c>
      <c r="AS171" s="46" t="str">
        <f t="shared" si="36"/>
        <v/>
      </c>
      <c r="AT171" s="46" t="str">
        <f t="shared" si="36"/>
        <v/>
      </c>
      <c r="AU171" s="46" t="str">
        <f t="shared" si="36"/>
        <v/>
      </c>
      <c r="AV171" s="46">
        <f t="shared" si="36"/>
        <v>8</v>
      </c>
      <c r="AW171" s="46">
        <f t="shared" si="36"/>
        <v>8</v>
      </c>
      <c r="AX171" s="46">
        <f t="shared" si="36"/>
        <v>8</v>
      </c>
      <c r="AY171" s="46">
        <f t="shared" si="36"/>
        <v>8</v>
      </c>
      <c r="AZ171" s="46">
        <f t="shared" si="36"/>
        <v>8</v>
      </c>
      <c r="BA171" s="46">
        <f t="shared" si="36"/>
        <v>8</v>
      </c>
      <c r="BB171" s="46">
        <f t="shared" si="36"/>
        <v>8</v>
      </c>
      <c r="BC171" s="46">
        <f t="shared" si="36"/>
        <v>8</v>
      </c>
      <c r="BD171" s="46">
        <f t="shared" si="36"/>
        <v>8</v>
      </c>
      <c r="BE171" s="46">
        <f t="shared" si="36"/>
        <v>8</v>
      </c>
      <c r="BF171" s="46">
        <f t="shared" si="36"/>
        <v>8</v>
      </c>
      <c r="BG171" s="46">
        <f t="shared" si="36"/>
        <v>8</v>
      </c>
      <c r="BH171" s="46" t="str">
        <f t="shared" si="36"/>
        <v/>
      </c>
      <c r="BI171" s="46">
        <f t="shared" si="36"/>
        <v>8</v>
      </c>
      <c r="BJ171" s="46" t="str">
        <f t="shared" si="36"/>
        <v/>
      </c>
      <c r="BK171" s="46" t="str">
        <f t="shared" si="36"/>
        <v/>
      </c>
      <c r="BL171" s="46">
        <f t="shared" si="36"/>
        <v>8</v>
      </c>
      <c r="BM171" s="46">
        <f t="shared" si="36"/>
        <v>8</v>
      </c>
      <c r="BN171" s="46">
        <f t="shared" si="36"/>
        <v>8</v>
      </c>
      <c r="BO171" s="46">
        <f t="shared" si="36"/>
        <v>8</v>
      </c>
      <c r="BP171" s="46">
        <f t="shared" si="36"/>
        <v>8</v>
      </c>
      <c r="BQ171" s="46">
        <f t="shared" si="36"/>
        <v>8</v>
      </c>
      <c r="BR171" s="46">
        <f t="shared" si="36"/>
        <v>8</v>
      </c>
      <c r="BS171" s="46">
        <f t="shared" si="36"/>
        <v>8</v>
      </c>
      <c r="BT171" s="46" t="str">
        <f t="shared" si="36"/>
        <v/>
      </c>
      <c r="BU171" s="46">
        <f t="shared" si="36"/>
        <v>8</v>
      </c>
      <c r="BV171" s="46">
        <f t="shared" si="36"/>
        <v>8</v>
      </c>
      <c r="BW171" s="46">
        <f t="shared" si="36"/>
        <v>8</v>
      </c>
      <c r="BX171" s="46" t="str">
        <f t="shared" si="36"/>
        <v/>
      </c>
      <c r="BY171" s="46" t="str">
        <f t="shared" si="36"/>
        <v/>
      </c>
      <c r="BZ171" s="46">
        <f t="shared" si="36"/>
        <v>8</v>
      </c>
      <c r="CA171" s="46" t="str">
        <f t="shared" si="36"/>
        <v/>
      </c>
      <c r="CB171" s="46">
        <f t="shared" si="36"/>
        <v>8</v>
      </c>
      <c r="CC171" s="46">
        <f t="shared" si="36"/>
        <v>8</v>
      </c>
      <c r="CD171" s="46">
        <f t="shared" si="36"/>
        <v>8</v>
      </c>
      <c r="CE171" s="46">
        <f t="shared" si="36"/>
        <v>8</v>
      </c>
      <c r="CF171" s="46">
        <f t="shared" si="36"/>
        <v>8</v>
      </c>
      <c r="CG171" s="46" t="str">
        <f t="shared" si="36"/>
        <v/>
      </c>
      <c r="CH171" s="46" t="str">
        <f t="shared" si="36"/>
        <v/>
      </c>
      <c r="CI171" s="46" t="str">
        <f t="shared" si="36"/>
        <v/>
      </c>
      <c r="CJ171" s="46" t="str">
        <f t="shared" si="36"/>
        <v/>
      </c>
      <c r="CK171" s="46" t="str">
        <f t="shared" si="36"/>
        <v/>
      </c>
      <c r="CL171" s="46" t="str">
        <f t="shared" si="36"/>
        <v/>
      </c>
      <c r="CM171" s="46" t="str">
        <f t="shared" si="36"/>
        <v/>
      </c>
      <c r="CN171" s="46" t="str">
        <f t="shared" si="36"/>
        <v/>
      </c>
      <c r="CO171" s="46" t="str">
        <f t="shared" si="36"/>
        <v/>
      </c>
      <c r="CP171" s="46" t="str">
        <f t="shared" si="36"/>
        <v/>
      </c>
      <c r="CQ171" s="46" t="str">
        <f t="shared" si="36"/>
        <v/>
      </c>
      <c r="CR171" s="46" t="str">
        <f t="shared" si="36"/>
        <v/>
      </c>
      <c r="CS171" s="46" t="str">
        <f t="shared" si="36"/>
        <v/>
      </c>
      <c r="CT171" s="46" t="str">
        <f t="shared" si="36"/>
        <v/>
      </c>
      <c r="CU171" s="46" t="str">
        <f t="shared" si="36"/>
        <v/>
      </c>
      <c r="CV171" s="46" t="str">
        <f t="shared" ref="CV171:DH171" si="37">IF(CV15="X",$DK15,"")</f>
        <v/>
      </c>
      <c r="CW171" s="46" t="str">
        <f t="shared" si="37"/>
        <v/>
      </c>
      <c r="CX171" s="46">
        <f t="shared" si="37"/>
        <v>8</v>
      </c>
      <c r="CY171" s="46" t="str">
        <f t="shared" si="37"/>
        <v/>
      </c>
      <c r="CZ171" s="46" t="str">
        <f t="shared" si="37"/>
        <v/>
      </c>
      <c r="DA171" s="46">
        <f t="shared" si="37"/>
        <v>8</v>
      </c>
      <c r="DB171" s="46">
        <f t="shared" si="37"/>
        <v>8</v>
      </c>
      <c r="DC171" s="46">
        <f t="shared" si="37"/>
        <v>8</v>
      </c>
      <c r="DD171" s="46" t="str">
        <f t="shared" si="37"/>
        <v/>
      </c>
      <c r="DE171" s="46">
        <f t="shared" si="37"/>
        <v>8</v>
      </c>
      <c r="DF171" s="46">
        <f t="shared" si="37"/>
        <v>8</v>
      </c>
      <c r="DG171" s="46">
        <f t="shared" si="37"/>
        <v>8</v>
      </c>
      <c r="DH171" s="46" t="str">
        <f t="shared" si="37"/>
        <v/>
      </c>
      <c r="DL171" s="6"/>
    </row>
    <row r="172" spans="1:116" x14ac:dyDescent="0.25">
      <c r="B172" s="91"/>
      <c r="C172" s="46" t="str">
        <f t="shared" si="13"/>
        <v/>
      </c>
      <c r="D172" s="46" t="str">
        <f t="shared" ref="D172:AI172" si="38">IF(D16="X",$DK16,"")</f>
        <v/>
      </c>
      <c r="E172" s="46" t="str">
        <f t="shared" si="38"/>
        <v/>
      </c>
      <c r="F172" s="46" t="str">
        <f t="shared" si="38"/>
        <v/>
      </c>
      <c r="G172" s="46" t="str">
        <f t="shared" si="38"/>
        <v/>
      </c>
      <c r="H172" s="46" t="str">
        <f t="shared" si="38"/>
        <v/>
      </c>
      <c r="I172" s="46" t="str">
        <f t="shared" si="38"/>
        <v/>
      </c>
      <c r="J172" s="46" t="str">
        <f t="shared" si="38"/>
        <v/>
      </c>
      <c r="K172" s="46" t="str">
        <f t="shared" si="38"/>
        <v/>
      </c>
      <c r="L172" s="46" t="str">
        <f t="shared" si="38"/>
        <v/>
      </c>
      <c r="M172" s="46" t="str">
        <f t="shared" si="38"/>
        <v/>
      </c>
      <c r="N172" s="46" t="str">
        <f t="shared" si="38"/>
        <v/>
      </c>
      <c r="O172" s="46" t="str">
        <f t="shared" si="38"/>
        <v/>
      </c>
      <c r="P172" s="46" t="str">
        <f t="shared" si="38"/>
        <v/>
      </c>
      <c r="Q172" s="46" t="str">
        <f t="shared" si="38"/>
        <v/>
      </c>
      <c r="R172" s="46" t="str">
        <f t="shared" si="38"/>
        <v/>
      </c>
      <c r="S172" s="46" t="str">
        <f t="shared" si="38"/>
        <v/>
      </c>
      <c r="T172" s="46" t="str">
        <f t="shared" si="38"/>
        <v/>
      </c>
      <c r="U172" s="46" t="str">
        <f t="shared" si="38"/>
        <v/>
      </c>
      <c r="V172" s="46" t="str">
        <f t="shared" si="38"/>
        <v/>
      </c>
      <c r="W172" s="46" t="str">
        <f t="shared" si="38"/>
        <v/>
      </c>
      <c r="X172" s="46" t="str">
        <f t="shared" si="38"/>
        <v/>
      </c>
      <c r="Y172" s="46" t="str">
        <f t="shared" si="38"/>
        <v/>
      </c>
      <c r="Z172" s="46" t="str">
        <f t="shared" si="38"/>
        <v/>
      </c>
      <c r="AA172" s="46" t="str">
        <f t="shared" si="38"/>
        <v/>
      </c>
      <c r="AB172" s="46" t="str">
        <f t="shared" si="38"/>
        <v/>
      </c>
      <c r="AC172" s="46" t="str">
        <f t="shared" si="38"/>
        <v/>
      </c>
      <c r="AD172" s="46" t="str">
        <f t="shared" si="38"/>
        <v/>
      </c>
      <c r="AE172" s="46" t="str">
        <f t="shared" si="38"/>
        <v/>
      </c>
      <c r="AF172" s="46" t="str">
        <f t="shared" si="38"/>
        <v/>
      </c>
      <c r="AG172" s="46" t="str">
        <f t="shared" si="38"/>
        <v/>
      </c>
      <c r="AH172" s="46" t="str">
        <f t="shared" si="38"/>
        <v/>
      </c>
      <c r="AI172" s="46" t="str">
        <f t="shared" si="38"/>
        <v/>
      </c>
      <c r="AJ172" s="46" t="str">
        <f t="shared" ref="AJ172:CU172" si="39">IF(AJ16="X",$DK16,"")</f>
        <v/>
      </c>
      <c r="AK172" s="46" t="str">
        <f t="shared" si="39"/>
        <v/>
      </c>
      <c r="AL172" s="46" t="str">
        <f t="shared" si="39"/>
        <v/>
      </c>
      <c r="AM172" s="46" t="str">
        <f t="shared" si="39"/>
        <v/>
      </c>
      <c r="AN172" s="46" t="str">
        <f t="shared" si="39"/>
        <v/>
      </c>
      <c r="AO172" s="46">
        <f t="shared" si="39"/>
        <v>8</v>
      </c>
      <c r="AP172" s="46">
        <f t="shared" si="39"/>
        <v>8</v>
      </c>
      <c r="AQ172" s="46" t="str">
        <f t="shared" si="39"/>
        <v/>
      </c>
      <c r="AR172" s="46" t="str">
        <f t="shared" si="39"/>
        <v/>
      </c>
      <c r="AS172" s="46" t="str">
        <f t="shared" si="39"/>
        <v/>
      </c>
      <c r="AT172" s="46" t="str">
        <f t="shared" si="39"/>
        <v/>
      </c>
      <c r="AU172" s="46" t="str">
        <f t="shared" si="39"/>
        <v/>
      </c>
      <c r="AV172" s="46" t="str">
        <f t="shared" si="39"/>
        <v/>
      </c>
      <c r="AW172" s="46" t="str">
        <f t="shared" si="39"/>
        <v/>
      </c>
      <c r="AX172" s="46" t="str">
        <f t="shared" si="39"/>
        <v/>
      </c>
      <c r="AY172" s="46" t="str">
        <f t="shared" si="39"/>
        <v/>
      </c>
      <c r="AZ172" s="46">
        <f t="shared" si="39"/>
        <v>8</v>
      </c>
      <c r="BA172" s="46" t="str">
        <f t="shared" si="39"/>
        <v/>
      </c>
      <c r="BB172" s="46" t="str">
        <f t="shared" si="39"/>
        <v/>
      </c>
      <c r="BC172" s="46">
        <f t="shared" si="39"/>
        <v>8</v>
      </c>
      <c r="BD172" s="46">
        <f t="shared" si="39"/>
        <v>8</v>
      </c>
      <c r="BE172" s="46" t="str">
        <f t="shared" si="39"/>
        <v/>
      </c>
      <c r="BF172" s="46" t="str">
        <f t="shared" si="39"/>
        <v/>
      </c>
      <c r="BG172" s="46">
        <f t="shared" si="39"/>
        <v>8</v>
      </c>
      <c r="BH172" s="46" t="str">
        <f t="shared" si="39"/>
        <v/>
      </c>
      <c r="BI172" s="46" t="str">
        <f t="shared" si="39"/>
        <v/>
      </c>
      <c r="BJ172" s="46" t="str">
        <f t="shared" si="39"/>
        <v/>
      </c>
      <c r="BK172" s="46" t="str">
        <f t="shared" si="39"/>
        <v/>
      </c>
      <c r="BL172" s="46">
        <f t="shared" si="39"/>
        <v>8</v>
      </c>
      <c r="BM172" s="46">
        <f t="shared" si="39"/>
        <v>8</v>
      </c>
      <c r="BN172" s="46" t="str">
        <f t="shared" si="39"/>
        <v/>
      </c>
      <c r="BO172" s="46">
        <f t="shared" si="39"/>
        <v>8</v>
      </c>
      <c r="BP172" s="46" t="str">
        <f t="shared" si="39"/>
        <v/>
      </c>
      <c r="BQ172" s="46" t="str">
        <f t="shared" si="39"/>
        <v/>
      </c>
      <c r="BR172" s="46" t="str">
        <f t="shared" si="39"/>
        <v/>
      </c>
      <c r="BS172" s="46" t="str">
        <f t="shared" si="39"/>
        <v/>
      </c>
      <c r="BT172" s="46" t="str">
        <f t="shared" si="39"/>
        <v/>
      </c>
      <c r="BU172" s="46" t="str">
        <f t="shared" si="39"/>
        <v/>
      </c>
      <c r="BV172" s="46" t="str">
        <f t="shared" si="39"/>
        <v/>
      </c>
      <c r="BW172" s="46" t="str">
        <f t="shared" si="39"/>
        <v/>
      </c>
      <c r="BX172" s="46" t="str">
        <f t="shared" si="39"/>
        <v/>
      </c>
      <c r="BY172" s="46" t="str">
        <f t="shared" si="39"/>
        <v/>
      </c>
      <c r="BZ172" s="46" t="str">
        <f t="shared" si="39"/>
        <v/>
      </c>
      <c r="CA172" s="46" t="str">
        <f t="shared" si="39"/>
        <v/>
      </c>
      <c r="CB172" s="46" t="str">
        <f t="shared" si="39"/>
        <v/>
      </c>
      <c r="CC172" s="46" t="str">
        <f t="shared" si="39"/>
        <v/>
      </c>
      <c r="CD172" s="46" t="str">
        <f t="shared" si="39"/>
        <v/>
      </c>
      <c r="CE172" s="46">
        <f t="shared" si="39"/>
        <v>8</v>
      </c>
      <c r="CF172" s="46" t="str">
        <f t="shared" si="39"/>
        <v/>
      </c>
      <c r="CG172" s="46" t="str">
        <f t="shared" si="39"/>
        <v/>
      </c>
      <c r="CH172" s="46" t="str">
        <f t="shared" si="39"/>
        <v/>
      </c>
      <c r="CI172" s="46" t="str">
        <f t="shared" si="39"/>
        <v/>
      </c>
      <c r="CJ172" s="46" t="str">
        <f t="shared" si="39"/>
        <v/>
      </c>
      <c r="CK172" s="46" t="str">
        <f t="shared" si="39"/>
        <v/>
      </c>
      <c r="CL172" s="46" t="str">
        <f t="shared" si="39"/>
        <v/>
      </c>
      <c r="CM172" s="46" t="str">
        <f t="shared" si="39"/>
        <v/>
      </c>
      <c r="CN172" s="46" t="str">
        <f t="shared" si="39"/>
        <v/>
      </c>
      <c r="CO172" s="46" t="str">
        <f t="shared" si="39"/>
        <v/>
      </c>
      <c r="CP172" s="46" t="str">
        <f t="shared" si="39"/>
        <v/>
      </c>
      <c r="CQ172" s="46" t="str">
        <f t="shared" si="39"/>
        <v/>
      </c>
      <c r="CR172" s="46" t="str">
        <f t="shared" si="39"/>
        <v/>
      </c>
      <c r="CS172" s="46" t="str">
        <f t="shared" si="39"/>
        <v/>
      </c>
      <c r="CT172" s="46" t="str">
        <f t="shared" si="39"/>
        <v/>
      </c>
      <c r="CU172" s="46" t="str">
        <f t="shared" si="39"/>
        <v/>
      </c>
      <c r="CV172" s="46" t="str">
        <f t="shared" ref="CV172:DH172" si="40">IF(CV16="X",$DK16,"")</f>
        <v/>
      </c>
      <c r="CW172" s="46" t="str">
        <f t="shared" si="40"/>
        <v/>
      </c>
      <c r="CX172" s="46" t="str">
        <f t="shared" si="40"/>
        <v/>
      </c>
      <c r="CY172" s="46" t="str">
        <f t="shared" si="40"/>
        <v/>
      </c>
      <c r="CZ172" s="46" t="str">
        <f t="shared" si="40"/>
        <v/>
      </c>
      <c r="DA172" s="46" t="str">
        <f t="shared" si="40"/>
        <v/>
      </c>
      <c r="DB172" s="46" t="str">
        <f t="shared" si="40"/>
        <v/>
      </c>
      <c r="DC172" s="46" t="str">
        <f t="shared" si="40"/>
        <v/>
      </c>
      <c r="DD172" s="46">
        <f t="shared" si="40"/>
        <v>8</v>
      </c>
      <c r="DE172" s="46">
        <f t="shared" si="40"/>
        <v>8</v>
      </c>
      <c r="DF172" s="46">
        <f t="shared" si="40"/>
        <v>8</v>
      </c>
      <c r="DG172" s="46">
        <f t="shared" si="40"/>
        <v>8</v>
      </c>
      <c r="DH172" s="46" t="str">
        <f t="shared" si="40"/>
        <v/>
      </c>
      <c r="DL172" s="6"/>
    </row>
    <row r="173" spans="1:116" x14ac:dyDescent="0.25">
      <c r="B173" s="91"/>
      <c r="C173" s="46" t="str">
        <f t="shared" si="13"/>
        <v/>
      </c>
      <c r="D173" s="46" t="str">
        <f t="shared" ref="D173:AI173" si="41">IF(D17="X",$DK17,"")</f>
        <v/>
      </c>
      <c r="E173" s="46" t="str">
        <f t="shared" si="41"/>
        <v/>
      </c>
      <c r="F173" s="46" t="str">
        <f t="shared" si="41"/>
        <v/>
      </c>
      <c r="G173" s="46" t="str">
        <f t="shared" si="41"/>
        <v/>
      </c>
      <c r="H173" s="46" t="str">
        <f t="shared" si="41"/>
        <v/>
      </c>
      <c r="I173" s="46" t="str">
        <f t="shared" si="41"/>
        <v/>
      </c>
      <c r="J173" s="46" t="str">
        <f t="shared" si="41"/>
        <v/>
      </c>
      <c r="K173" s="46">
        <f t="shared" si="41"/>
        <v>8</v>
      </c>
      <c r="L173" s="46">
        <f t="shared" si="41"/>
        <v>8</v>
      </c>
      <c r="M173" s="46">
        <f t="shared" si="41"/>
        <v>8</v>
      </c>
      <c r="N173" s="46">
        <f t="shared" si="41"/>
        <v>8</v>
      </c>
      <c r="O173" s="46">
        <f t="shared" si="41"/>
        <v>8</v>
      </c>
      <c r="P173" s="46">
        <f t="shared" si="41"/>
        <v>8</v>
      </c>
      <c r="Q173" s="46">
        <f t="shared" si="41"/>
        <v>8</v>
      </c>
      <c r="R173" s="46">
        <f t="shared" si="41"/>
        <v>8</v>
      </c>
      <c r="S173" s="46" t="str">
        <f t="shared" si="41"/>
        <v/>
      </c>
      <c r="T173" s="46">
        <f t="shared" si="41"/>
        <v>8</v>
      </c>
      <c r="U173" s="46">
        <f t="shared" si="41"/>
        <v>8</v>
      </c>
      <c r="V173" s="46" t="str">
        <f t="shared" si="41"/>
        <v/>
      </c>
      <c r="W173" s="46" t="str">
        <f t="shared" si="41"/>
        <v/>
      </c>
      <c r="X173" s="46" t="str">
        <f t="shared" si="41"/>
        <v/>
      </c>
      <c r="Y173" s="46" t="str">
        <f t="shared" si="41"/>
        <v/>
      </c>
      <c r="Z173" s="46">
        <f t="shared" si="41"/>
        <v>8</v>
      </c>
      <c r="AA173" s="46" t="str">
        <f t="shared" si="41"/>
        <v/>
      </c>
      <c r="AB173" s="46">
        <f t="shared" si="41"/>
        <v>8</v>
      </c>
      <c r="AC173" s="46">
        <f t="shared" si="41"/>
        <v>8</v>
      </c>
      <c r="AD173" s="46">
        <f t="shared" si="41"/>
        <v>8</v>
      </c>
      <c r="AE173" s="46">
        <f t="shared" si="41"/>
        <v>8</v>
      </c>
      <c r="AF173" s="46">
        <f t="shared" si="41"/>
        <v>8</v>
      </c>
      <c r="AG173" s="46">
        <f t="shared" si="41"/>
        <v>8</v>
      </c>
      <c r="AH173" s="46">
        <f t="shared" si="41"/>
        <v>8</v>
      </c>
      <c r="AI173" s="46">
        <f t="shared" si="41"/>
        <v>8</v>
      </c>
      <c r="AJ173" s="46">
        <f t="shared" ref="AJ173:CU173" si="42">IF(AJ17="X",$DK17,"")</f>
        <v>8</v>
      </c>
      <c r="AK173" s="46" t="str">
        <f t="shared" si="42"/>
        <v/>
      </c>
      <c r="AL173" s="46" t="str">
        <f t="shared" si="42"/>
        <v/>
      </c>
      <c r="AM173" s="46" t="str">
        <f t="shared" si="42"/>
        <v/>
      </c>
      <c r="AN173" s="46">
        <f t="shared" si="42"/>
        <v>8</v>
      </c>
      <c r="AO173" s="46" t="str">
        <f t="shared" si="42"/>
        <v/>
      </c>
      <c r="AP173" s="46" t="str">
        <f t="shared" si="42"/>
        <v/>
      </c>
      <c r="AQ173" s="46">
        <f t="shared" si="42"/>
        <v>8</v>
      </c>
      <c r="AR173" s="46">
        <f t="shared" si="42"/>
        <v>8</v>
      </c>
      <c r="AS173" s="46" t="str">
        <f t="shared" si="42"/>
        <v/>
      </c>
      <c r="AT173" s="46" t="str">
        <f t="shared" si="42"/>
        <v/>
      </c>
      <c r="AU173" s="46" t="str">
        <f t="shared" si="42"/>
        <v/>
      </c>
      <c r="AV173" s="46" t="str">
        <f t="shared" si="42"/>
        <v/>
      </c>
      <c r="AW173" s="46" t="str">
        <f t="shared" si="42"/>
        <v/>
      </c>
      <c r="AX173" s="46" t="str">
        <f t="shared" si="42"/>
        <v/>
      </c>
      <c r="AY173" s="46" t="str">
        <f t="shared" si="42"/>
        <v/>
      </c>
      <c r="AZ173" s="46" t="str">
        <f t="shared" si="42"/>
        <v/>
      </c>
      <c r="BA173" s="46" t="str">
        <f t="shared" si="42"/>
        <v/>
      </c>
      <c r="BB173" s="46" t="str">
        <f t="shared" si="42"/>
        <v/>
      </c>
      <c r="BC173" s="46">
        <f t="shared" si="42"/>
        <v>8</v>
      </c>
      <c r="BD173" s="46" t="str">
        <f t="shared" si="42"/>
        <v/>
      </c>
      <c r="BE173" s="46" t="str">
        <f t="shared" si="42"/>
        <v/>
      </c>
      <c r="BF173" s="46">
        <f t="shared" si="42"/>
        <v>8</v>
      </c>
      <c r="BG173" s="46" t="str">
        <f t="shared" si="42"/>
        <v/>
      </c>
      <c r="BH173" s="46" t="str">
        <f t="shared" si="42"/>
        <v/>
      </c>
      <c r="BI173" s="46" t="str">
        <f t="shared" si="42"/>
        <v/>
      </c>
      <c r="BJ173" s="46" t="str">
        <f t="shared" si="42"/>
        <v/>
      </c>
      <c r="BK173" s="46" t="str">
        <f t="shared" si="42"/>
        <v/>
      </c>
      <c r="BL173" s="46" t="str">
        <f t="shared" si="42"/>
        <v/>
      </c>
      <c r="BM173" s="46" t="str">
        <f t="shared" si="42"/>
        <v/>
      </c>
      <c r="BN173" s="46">
        <f t="shared" si="42"/>
        <v>8</v>
      </c>
      <c r="BO173" s="46">
        <f t="shared" si="42"/>
        <v>8</v>
      </c>
      <c r="BP173" s="46">
        <f t="shared" si="42"/>
        <v>8</v>
      </c>
      <c r="BQ173" s="46">
        <f t="shared" si="42"/>
        <v>8</v>
      </c>
      <c r="BR173" s="46">
        <f t="shared" si="42"/>
        <v>8</v>
      </c>
      <c r="BS173" s="46">
        <f t="shared" si="42"/>
        <v>8</v>
      </c>
      <c r="BT173" s="46">
        <f t="shared" si="42"/>
        <v>8</v>
      </c>
      <c r="BU173" s="46">
        <f t="shared" si="42"/>
        <v>8</v>
      </c>
      <c r="BV173" s="46">
        <f t="shared" si="42"/>
        <v>8</v>
      </c>
      <c r="BW173" s="46" t="str">
        <f t="shared" si="42"/>
        <v/>
      </c>
      <c r="BX173" s="46" t="str">
        <f t="shared" si="42"/>
        <v/>
      </c>
      <c r="BY173" s="46" t="str">
        <f t="shared" si="42"/>
        <v/>
      </c>
      <c r="BZ173" s="46">
        <f t="shared" si="42"/>
        <v>8</v>
      </c>
      <c r="CA173" s="46">
        <f t="shared" si="42"/>
        <v>8</v>
      </c>
      <c r="CB173" s="46">
        <f t="shared" si="42"/>
        <v>8</v>
      </c>
      <c r="CC173" s="46" t="str">
        <f t="shared" si="42"/>
        <v/>
      </c>
      <c r="CD173" s="46">
        <f t="shared" si="42"/>
        <v>8</v>
      </c>
      <c r="CE173" s="46" t="str">
        <f t="shared" si="42"/>
        <v/>
      </c>
      <c r="CF173" s="46" t="str">
        <f t="shared" si="42"/>
        <v/>
      </c>
      <c r="CG173" s="46">
        <f t="shared" si="42"/>
        <v>8</v>
      </c>
      <c r="CH173" s="46">
        <f t="shared" si="42"/>
        <v>8</v>
      </c>
      <c r="CI173" s="46">
        <f t="shared" si="42"/>
        <v>8</v>
      </c>
      <c r="CJ173" s="46">
        <f t="shared" si="42"/>
        <v>8</v>
      </c>
      <c r="CK173" s="46">
        <f t="shared" si="42"/>
        <v>8</v>
      </c>
      <c r="CL173" s="46">
        <f t="shared" si="42"/>
        <v>8</v>
      </c>
      <c r="CM173" s="46">
        <f t="shared" si="42"/>
        <v>8</v>
      </c>
      <c r="CN173" s="46" t="str">
        <f t="shared" si="42"/>
        <v/>
      </c>
      <c r="CO173" s="46">
        <f t="shared" si="42"/>
        <v>8</v>
      </c>
      <c r="CP173" s="46">
        <f t="shared" si="42"/>
        <v>8</v>
      </c>
      <c r="CQ173" s="46">
        <f t="shared" si="42"/>
        <v>8</v>
      </c>
      <c r="CR173" s="46" t="str">
        <f t="shared" si="42"/>
        <v/>
      </c>
      <c r="CS173" s="46" t="str">
        <f t="shared" si="42"/>
        <v/>
      </c>
      <c r="CT173" s="46" t="str">
        <f t="shared" si="42"/>
        <v/>
      </c>
      <c r="CU173" s="46">
        <f t="shared" si="42"/>
        <v>8</v>
      </c>
      <c r="CV173" s="46">
        <f t="shared" ref="CV173:DH173" si="43">IF(CV17="X",$DK17,"")</f>
        <v>8</v>
      </c>
      <c r="CW173" s="46">
        <f t="shared" si="43"/>
        <v>8</v>
      </c>
      <c r="CX173" s="46" t="str">
        <f t="shared" si="43"/>
        <v/>
      </c>
      <c r="CY173" s="46" t="str">
        <f t="shared" si="43"/>
        <v/>
      </c>
      <c r="CZ173" s="46">
        <f t="shared" si="43"/>
        <v>8</v>
      </c>
      <c r="DA173" s="46" t="str">
        <f t="shared" si="43"/>
        <v/>
      </c>
      <c r="DB173" s="46" t="str">
        <f t="shared" si="43"/>
        <v/>
      </c>
      <c r="DC173" s="46" t="str">
        <f t="shared" si="43"/>
        <v/>
      </c>
      <c r="DD173" s="46" t="str">
        <f t="shared" si="43"/>
        <v/>
      </c>
      <c r="DE173" s="46" t="str">
        <f t="shared" si="43"/>
        <v/>
      </c>
      <c r="DF173" s="46" t="str">
        <f t="shared" si="43"/>
        <v/>
      </c>
      <c r="DG173" s="46" t="str">
        <f t="shared" si="43"/>
        <v/>
      </c>
      <c r="DH173" s="46" t="str">
        <f t="shared" si="43"/>
        <v/>
      </c>
      <c r="DL173" s="6"/>
    </row>
    <row r="174" spans="1:116" x14ac:dyDescent="0.25">
      <c r="B174" s="91"/>
      <c r="C174" s="46" t="str">
        <f t="shared" si="13"/>
        <v/>
      </c>
      <c r="D174" s="46" t="str">
        <f t="shared" ref="D174:AI174" si="44">IF(D18="X",$DK18,"")</f>
        <v/>
      </c>
      <c r="E174" s="46" t="str">
        <f t="shared" si="44"/>
        <v/>
      </c>
      <c r="F174" s="46" t="str">
        <f t="shared" si="44"/>
        <v/>
      </c>
      <c r="G174" s="46" t="str">
        <f t="shared" si="44"/>
        <v/>
      </c>
      <c r="H174" s="46" t="str">
        <f t="shared" si="44"/>
        <v/>
      </c>
      <c r="I174" s="46" t="str">
        <f t="shared" si="44"/>
        <v/>
      </c>
      <c r="J174" s="46" t="str">
        <f t="shared" si="44"/>
        <v/>
      </c>
      <c r="K174" s="46" t="str">
        <f t="shared" si="44"/>
        <v/>
      </c>
      <c r="L174" s="46" t="str">
        <f t="shared" si="44"/>
        <v/>
      </c>
      <c r="M174" s="46" t="str">
        <f t="shared" si="44"/>
        <v/>
      </c>
      <c r="N174" s="46" t="str">
        <f t="shared" si="44"/>
        <v/>
      </c>
      <c r="O174" s="46" t="str">
        <f t="shared" si="44"/>
        <v/>
      </c>
      <c r="P174" s="46" t="str">
        <f t="shared" si="44"/>
        <v/>
      </c>
      <c r="Q174" s="46" t="str">
        <f t="shared" si="44"/>
        <v/>
      </c>
      <c r="R174" s="46" t="str">
        <f t="shared" si="44"/>
        <v/>
      </c>
      <c r="S174" s="46" t="str">
        <f t="shared" si="44"/>
        <v/>
      </c>
      <c r="T174" s="46" t="str">
        <f t="shared" si="44"/>
        <v/>
      </c>
      <c r="U174" s="46" t="str">
        <f t="shared" si="44"/>
        <v/>
      </c>
      <c r="V174" s="46" t="str">
        <f t="shared" si="44"/>
        <v/>
      </c>
      <c r="W174" s="46" t="str">
        <f t="shared" si="44"/>
        <v/>
      </c>
      <c r="X174" s="46" t="str">
        <f t="shared" si="44"/>
        <v/>
      </c>
      <c r="Y174" s="46" t="str">
        <f t="shared" si="44"/>
        <v/>
      </c>
      <c r="Z174" s="46" t="str">
        <f t="shared" si="44"/>
        <v/>
      </c>
      <c r="AA174" s="46" t="str">
        <f t="shared" si="44"/>
        <v/>
      </c>
      <c r="AB174" s="46" t="str">
        <f t="shared" si="44"/>
        <v/>
      </c>
      <c r="AC174" s="46" t="str">
        <f t="shared" si="44"/>
        <v/>
      </c>
      <c r="AD174" s="46" t="str">
        <f t="shared" si="44"/>
        <v/>
      </c>
      <c r="AE174" s="46" t="str">
        <f t="shared" si="44"/>
        <v/>
      </c>
      <c r="AF174" s="46" t="str">
        <f t="shared" si="44"/>
        <v/>
      </c>
      <c r="AG174" s="46" t="str">
        <f t="shared" si="44"/>
        <v/>
      </c>
      <c r="AH174" s="46" t="str">
        <f t="shared" si="44"/>
        <v/>
      </c>
      <c r="AI174" s="46" t="str">
        <f t="shared" si="44"/>
        <v/>
      </c>
      <c r="AJ174" s="46" t="str">
        <f t="shared" ref="AJ174:CU174" si="45">IF(AJ18="X",$DK18,"")</f>
        <v/>
      </c>
      <c r="AK174" s="46" t="str">
        <f t="shared" si="45"/>
        <v/>
      </c>
      <c r="AL174" s="46" t="str">
        <f t="shared" si="45"/>
        <v/>
      </c>
      <c r="AM174" s="46" t="str">
        <f t="shared" si="45"/>
        <v/>
      </c>
      <c r="AN174" s="46" t="str">
        <f t="shared" si="45"/>
        <v/>
      </c>
      <c r="AO174" s="46" t="str">
        <f t="shared" si="45"/>
        <v/>
      </c>
      <c r="AP174" s="46" t="str">
        <f t="shared" si="45"/>
        <v/>
      </c>
      <c r="AQ174" s="46" t="str">
        <f t="shared" si="45"/>
        <v/>
      </c>
      <c r="AR174" s="46" t="str">
        <f t="shared" si="45"/>
        <v/>
      </c>
      <c r="AS174" s="46" t="str">
        <f t="shared" si="45"/>
        <v/>
      </c>
      <c r="AT174" s="46" t="str">
        <f t="shared" si="45"/>
        <v/>
      </c>
      <c r="AU174" s="46" t="str">
        <f t="shared" si="45"/>
        <v/>
      </c>
      <c r="AV174" s="46" t="str">
        <f t="shared" si="45"/>
        <v/>
      </c>
      <c r="AW174" s="46" t="str">
        <f t="shared" si="45"/>
        <v/>
      </c>
      <c r="AX174" s="46" t="str">
        <f t="shared" si="45"/>
        <v/>
      </c>
      <c r="AY174" s="46" t="str">
        <f t="shared" si="45"/>
        <v/>
      </c>
      <c r="AZ174" s="46" t="str">
        <f t="shared" si="45"/>
        <v/>
      </c>
      <c r="BA174" s="46" t="str">
        <f t="shared" si="45"/>
        <v/>
      </c>
      <c r="BB174" s="46" t="str">
        <f t="shared" si="45"/>
        <v/>
      </c>
      <c r="BC174" s="46" t="str">
        <f t="shared" si="45"/>
        <v/>
      </c>
      <c r="BD174" s="46" t="str">
        <f t="shared" si="45"/>
        <v/>
      </c>
      <c r="BE174" s="46" t="str">
        <f t="shared" si="45"/>
        <v/>
      </c>
      <c r="BF174" s="46" t="str">
        <f t="shared" si="45"/>
        <v/>
      </c>
      <c r="BG174" s="46" t="str">
        <f t="shared" si="45"/>
        <v/>
      </c>
      <c r="BH174" s="46" t="str">
        <f t="shared" si="45"/>
        <v/>
      </c>
      <c r="BI174" s="46" t="str">
        <f t="shared" si="45"/>
        <v/>
      </c>
      <c r="BJ174" s="46" t="str">
        <f t="shared" si="45"/>
        <v/>
      </c>
      <c r="BK174" s="46" t="str">
        <f t="shared" si="45"/>
        <v/>
      </c>
      <c r="BL174" s="46" t="str">
        <f t="shared" si="45"/>
        <v/>
      </c>
      <c r="BM174" s="46" t="str">
        <f t="shared" si="45"/>
        <v/>
      </c>
      <c r="BN174" s="46" t="str">
        <f t="shared" si="45"/>
        <v/>
      </c>
      <c r="BO174" s="46" t="str">
        <f t="shared" si="45"/>
        <v/>
      </c>
      <c r="BP174" s="46" t="str">
        <f t="shared" si="45"/>
        <v/>
      </c>
      <c r="BQ174" s="46" t="str">
        <f t="shared" si="45"/>
        <v/>
      </c>
      <c r="BR174" s="46" t="str">
        <f t="shared" si="45"/>
        <v/>
      </c>
      <c r="BS174" s="46" t="str">
        <f t="shared" si="45"/>
        <v/>
      </c>
      <c r="BT174" s="46" t="str">
        <f t="shared" si="45"/>
        <v/>
      </c>
      <c r="BU174" s="46" t="str">
        <f t="shared" si="45"/>
        <v/>
      </c>
      <c r="BV174" s="46" t="str">
        <f t="shared" si="45"/>
        <v/>
      </c>
      <c r="BW174" s="46" t="str">
        <f t="shared" si="45"/>
        <v/>
      </c>
      <c r="BX174" s="46" t="str">
        <f t="shared" si="45"/>
        <v/>
      </c>
      <c r="BY174" s="46" t="str">
        <f t="shared" si="45"/>
        <v/>
      </c>
      <c r="BZ174" s="46" t="str">
        <f t="shared" si="45"/>
        <v/>
      </c>
      <c r="CA174" s="46" t="str">
        <f t="shared" si="45"/>
        <v/>
      </c>
      <c r="CB174" s="46" t="str">
        <f t="shared" si="45"/>
        <v/>
      </c>
      <c r="CC174" s="46" t="str">
        <f t="shared" si="45"/>
        <v/>
      </c>
      <c r="CD174" s="46" t="str">
        <f t="shared" si="45"/>
        <v/>
      </c>
      <c r="CE174" s="46" t="str">
        <f t="shared" si="45"/>
        <v/>
      </c>
      <c r="CF174" s="46" t="str">
        <f t="shared" si="45"/>
        <v/>
      </c>
      <c r="CG174" s="46" t="str">
        <f t="shared" si="45"/>
        <v/>
      </c>
      <c r="CH174" s="46" t="str">
        <f t="shared" si="45"/>
        <v/>
      </c>
      <c r="CI174" s="46" t="str">
        <f t="shared" si="45"/>
        <v/>
      </c>
      <c r="CJ174" s="46" t="str">
        <f t="shared" si="45"/>
        <v/>
      </c>
      <c r="CK174" s="46" t="str">
        <f t="shared" si="45"/>
        <v/>
      </c>
      <c r="CL174" s="46" t="str">
        <f t="shared" si="45"/>
        <v/>
      </c>
      <c r="CM174" s="46" t="str">
        <f t="shared" si="45"/>
        <v/>
      </c>
      <c r="CN174" s="46" t="str">
        <f t="shared" si="45"/>
        <v/>
      </c>
      <c r="CO174" s="46" t="str">
        <f t="shared" si="45"/>
        <v/>
      </c>
      <c r="CP174" s="46" t="str">
        <f t="shared" si="45"/>
        <v/>
      </c>
      <c r="CQ174" s="46" t="str">
        <f t="shared" si="45"/>
        <v/>
      </c>
      <c r="CR174" s="46" t="str">
        <f t="shared" si="45"/>
        <v/>
      </c>
      <c r="CS174" s="46" t="str">
        <f t="shared" si="45"/>
        <v/>
      </c>
      <c r="CT174" s="46" t="str">
        <f t="shared" si="45"/>
        <v/>
      </c>
      <c r="CU174" s="46" t="str">
        <f t="shared" si="45"/>
        <v/>
      </c>
      <c r="CV174" s="46" t="str">
        <f t="shared" ref="CV174:DH174" si="46">IF(CV18="X",$DK18,"")</f>
        <v/>
      </c>
      <c r="CW174" s="46" t="str">
        <f t="shared" si="46"/>
        <v/>
      </c>
      <c r="CX174" s="46" t="str">
        <f t="shared" si="46"/>
        <v/>
      </c>
      <c r="CY174" s="46" t="str">
        <f t="shared" si="46"/>
        <v/>
      </c>
      <c r="CZ174" s="46" t="str">
        <f t="shared" si="46"/>
        <v/>
      </c>
      <c r="DA174" s="46" t="str">
        <f t="shared" si="46"/>
        <v/>
      </c>
      <c r="DB174" s="46" t="str">
        <f t="shared" si="46"/>
        <v/>
      </c>
      <c r="DC174" s="46" t="str">
        <f t="shared" si="46"/>
        <v/>
      </c>
      <c r="DD174" s="46" t="str">
        <f t="shared" si="46"/>
        <v/>
      </c>
      <c r="DE174" s="46" t="str">
        <f t="shared" si="46"/>
        <v/>
      </c>
      <c r="DF174" s="46" t="str">
        <f t="shared" si="46"/>
        <v/>
      </c>
      <c r="DG174" s="46" t="str">
        <f t="shared" si="46"/>
        <v/>
      </c>
      <c r="DH174" s="46">
        <f t="shared" si="46"/>
        <v>4</v>
      </c>
      <c r="DL174" s="6"/>
    </row>
    <row r="175" spans="1:116" x14ac:dyDescent="0.25">
      <c r="B175" s="91"/>
      <c r="C175" s="46" t="str">
        <f t="shared" si="13"/>
        <v/>
      </c>
      <c r="D175" s="46" t="str">
        <f t="shared" ref="D175:AI175" si="47">IF(D19="X",$DK19,"")</f>
        <v/>
      </c>
      <c r="E175" s="46" t="str">
        <f t="shared" si="47"/>
        <v/>
      </c>
      <c r="F175" s="46" t="str">
        <f t="shared" si="47"/>
        <v/>
      </c>
      <c r="G175" s="46" t="str">
        <f t="shared" si="47"/>
        <v/>
      </c>
      <c r="H175" s="46" t="str">
        <f t="shared" si="47"/>
        <v/>
      </c>
      <c r="I175" s="46" t="str">
        <f t="shared" si="47"/>
        <v/>
      </c>
      <c r="J175" s="46" t="str">
        <f t="shared" si="47"/>
        <v/>
      </c>
      <c r="K175" s="46" t="str">
        <f t="shared" si="47"/>
        <v/>
      </c>
      <c r="L175" s="46" t="str">
        <f t="shared" si="47"/>
        <v/>
      </c>
      <c r="M175" s="46" t="str">
        <f t="shared" si="47"/>
        <v/>
      </c>
      <c r="N175" s="46" t="str">
        <f t="shared" si="47"/>
        <v/>
      </c>
      <c r="O175" s="46" t="str">
        <f t="shared" si="47"/>
        <v/>
      </c>
      <c r="P175" s="46" t="str">
        <f t="shared" si="47"/>
        <v/>
      </c>
      <c r="Q175" s="46" t="str">
        <f t="shared" si="47"/>
        <v/>
      </c>
      <c r="R175" s="46" t="str">
        <f t="shared" si="47"/>
        <v/>
      </c>
      <c r="S175" s="46" t="str">
        <f t="shared" si="47"/>
        <v/>
      </c>
      <c r="T175" s="46" t="str">
        <f t="shared" si="47"/>
        <v/>
      </c>
      <c r="U175" s="46" t="str">
        <f t="shared" si="47"/>
        <v/>
      </c>
      <c r="V175" s="46" t="str">
        <f t="shared" si="47"/>
        <v/>
      </c>
      <c r="W175" s="46" t="str">
        <f t="shared" si="47"/>
        <v/>
      </c>
      <c r="X175" s="46" t="str">
        <f t="shared" si="47"/>
        <v/>
      </c>
      <c r="Y175" s="46" t="str">
        <f t="shared" si="47"/>
        <v/>
      </c>
      <c r="Z175" s="46" t="str">
        <f t="shared" si="47"/>
        <v/>
      </c>
      <c r="AA175" s="46" t="str">
        <f t="shared" si="47"/>
        <v/>
      </c>
      <c r="AB175" s="46" t="str">
        <f t="shared" si="47"/>
        <v/>
      </c>
      <c r="AC175" s="46" t="str">
        <f t="shared" si="47"/>
        <v/>
      </c>
      <c r="AD175" s="46" t="str">
        <f t="shared" si="47"/>
        <v/>
      </c>
      <c r="AE175" s="46" t="str">
        <f t="shared" si="47"/>
        <v/>
      </c>
      <c r="AF175" s="46" t="str">
        <f t="shared" si="47"/>
        <v/>
      </c>
      <c r="AG175" s="46" t="str">
        <f t="shared" si="47"/>
        <v/>
      </c>
      <c r="AH175" s="46" t="str">
        <f t="shared" si="47"/>
        <v/>
      </c>
      <c r="AI175" s="46" t="str">
        <f t="shared" si="47"/>
        <v/>
      </c>
      <c r="AJ175" s="46" t="str">
        <f t="shared" ref="AJ175:CU175" si="48">IF(AJ19="X",$DK19,"")</f>
        <v/>
      </c>
      <c r="AK175" s="46" t="str">
        <f t="shared" si="48"/>
        <v/>
      </c>
      <c r="AL175" s="46" t="str">
        <f t="shared" si="48"/>
        <v/>
      </c>
      <c r="AM175" s="46" t="str">
        <f t="shared" si="48"/>
        <v/>
      </c>
      <c r="AN175" s="46" t="str">
        <f t="shared" si="48"/>
        <v/>
      </c>
      <c r="AO175" s="46" t="str">
        <f t="shared" si="48"/>
        <v/>
      </c>
      <c r="AP175" s="46" t="str">
        <f t="shared" si="48"/>
        <v/>
      </c>
      <c r="AQ175" s="46" t="str">
        <f t="shared" si="48"/>
        <v/>
      </c>
      <c r="AR175" s="46" t="str">
        <f t="shared" si="48"/>
        <v/>
      </c>
      <c r="AS175" s="46" t="str">
        <f t="shared" si="48"/>
        <v/>
      </c>
      <c r="AT175" s="46" t="str">
        <f t="shared" si="48"/>
        <v/>
      </c>
      <c r="AU175" s="46" t="str">
        <f t="shared" si="48"/>
        <v/>
      </c>
      <c r="AV175" s="46" t="str">
        <f t="shared" si="48"/>
        <v/>
      </c>
      <c r="AW175" s="46" t="str">
        <f t="shared" si="48"/>
        <v/>
      </c>
      <c r="AX175" s="46" t="str">
        <f t="shared" si="48"/>
        <v/>
      </c>
      <c r="AY175" s="46" t="str">
        <f t="shared" si="48"/>
        <v/>
      </c>
      <c r="AZ175" s="46" t="str">
        <f t="shared" si="48"/>
        <v/>
      </c>
      <c r="BA175" s="46" t="str">
        <f t="shared" si="48"/>
        <v/>
      </c>
      <c r="BB175" s="46" t="str">
        <f t="shared" si="48"/>
        <v/>
      </c>
      <c r="BC175" s="46" t="str">
        <f t="shared" si="48"/>
        <v/>
      </c>
      <c r="BD175" s="46" t="str">
        <f t="shared" si="48"/>
        <v/>
      </c>
      <c r="BE175" s="46" t="str">
        <f t="shared" si="48"/>
        <v/>
      </c>
      <c r="BF175" s="46" t="str">
        <f t="shared" si="48"/>
        <v/>
      </c>
      <c r="BG175" s="46" t="str">
        <f t="shared" si="48"/>
        <v/>
      </c>
      <c r="BH175" s="46" t="str">
        <f t="shared" si="48"/>
        <v/>
      </c>
      <c r="BI175" s="46" t="str">
        <f t="shared" si="48"/>
        <v/>
      </c>
      <c r="BJ175" s="46" t="str">
        <f t="shared" si="48"/>
        <v/>
      </c>
      <c r="BK175" s="46" t="str">
        <f t="shared" si="48"/>
        <v/>
      </c>
      <c r="BL175" s="46" t="str">
        <f t="shared" si="48"/>
        <v/>
      </c>
      <c r="BM175" s="46" t="str">
        <f t="shared" si="48"/>
        <v/>
      </c>
      <c r="BN175" s="46" t="str">
        <f t="shared" si="48"/>
        <v/>
      </c>
      <c r="BO175" s="46" t="str">
        <f t="shared" si="48"/>
        <v/>
      </c>
      <c r="BP175" s="46" t="str">
        <f t="shared" si="48"/>
        <v/>
      </c>
      <c r="BQ175" s="46" t="str">
        <f t="shared" si="48"/>
        <v/>
      </c>
      <c r="BR175" s="46" t="str">
        <f t="shared" si="48"/>
        <v/>
      </c>
      <c r="BS175" s="46" t="str">
        <f t="shared" si="48"/>
        <v/>
      </c>
      <c r="BT175" s="46" t="str">
        <f t="shared" si="48"/>
        <v/>
      </c>
      <c r="BU175" s="46" t="str">
        <f t="shared" si="48"/>
        <v/>
      </c>
      <c r="BV175" s="46" t="str">
        <f t="shared" si="48"/>
        <v/>
      </c>
      <c r="BW175" s="46" t="str">
        <f t="shared" si="48"/>
        <v/>
      </c>
      <c r="BX175" s="46" t="str">
        <f t="shared" si="48"/>
        <v/>
      </c>
      <c r="BY175" s="46" t="str">
        <f t="shared" si="48"/>
        <v/>
      </c>
      <c r="BZ175" s="46" t="str">
        <f t="shared" si="48"/>
        <v/>
      </c>
      <c r="CA175" s="46" t="str">
        <f t="shared" si="48"/>
        <v/>
      </c>
      <c r="CB175" s="46" t="str">
        <f t="shared" si="48"/>
        <v/>
      </c>
      <c r="CC175" s="46" t="str">
        <f t="shared" si="48"/>
        <v/>
      </c>
      <c r="CD175" s="46">
        <f t="shared" si="48"/>
        <v>4</v>
      </c>
      <c r="CE175" s="46" t="str">
        <f t="shared" si="48"/>
        <v/>
      </c>
      <c r="CF175" s="46" t="str">
        <f t="shared" si="48"/>
        <v/>
      </c>
      <c r="CG175" s="46" t="str">
        <f t="shared" si="48"/>
        <v/>
      </c>
      <c r="CH175" s="46" t="str">
        <f t="shared" si="48"/>
        <v/>
      </c>
      <c r="CI175" s="46" t="str">
        <f t="shared" si="48"/>
        <v/>
      </c>
      <c r="CJ175" s="46" t="str">
        <f t="shared" si="48"/>
        <v/>
      </c>
      <c r="CK175" s="46" t="str">
        <f t="shared" si="48"/>
        <v/>
      </c>
      <c r="CL175" s="46" t="str">
        <f t="shared" si="48"/>
        <v/>
      </c>
      <c r="CM175" s="46" t="str">
        <f t="shared" si="48"/>
        <v/>
      </c>
      <c r="CN175" s="46" t="str">
        <f t="shared" si="48"/>
        <v/>
      </c>
      <c r="CO175" s="46" t="str">
        <f t="shared" si="48"/>
        <v/>
      </c>
      <c r="CP175" s="46" t="str">
        <f t="shared" si="48"/>
        <v/>
      </c>
      <c r="CQ175" s="46" t="str">
        <f t="shared" si="48"/>
        <v/>
      </c>
      <c r="CR175" s="46" t="str">
        <f t="shared" si="48"/>
        <v/>
      </c>
      <c r="CS175" s="46" t="str">
        <f t="shared" si="48"/>
        <v/>
      </c>
      <c r="CT175" s="46" t="str">
        <f t="shared" si="48"/>
        <v/>
      </c>
      <c r="CU175" s="46" t="str">
        <f t="shared" si="48"/>
        <v/>
      </c>
      <c r="CV175" s="46" t="str">
        <f t="shared" ref="CV175:DH175" si="49">IF(CV19="X",$DK19,"")</f>
        <v/>
      </c>
      <c r="CW175" s="46" t="str">
        <f t="shared" si="49"/>
        <v/>
      </c>
      <c r="CX175" s="46" t="str">
        <f t="shared" si="49"/>
        <v/>
      </c>
      <c r="CY175" s="46" t="str">
        <f t="shared" si="49"/>
        <v/>
      </c>
      <c r="CZ175" s="46" t="str">
        <f t="shared" si="49"/>
        <v/>
      </c>
      <c r="DA175" s="46" t="str">
        <f t="shared" si="49"/>
        <v/>
      </c>
      <c r="DB175" s="46" t="str">
        <f t="shared" si="49"/>
        <v/>
      </c>
      <c r="DC175" s="46" t="str">
        <f t="shared" si="49"/>
        <v/>
      </c>
      <c r="DD175" s="46" t="str">
        <f t="shared" si="49"/>
        <v/>
      </c>
      <c r="DE175" s="46" t="str">
        <f t="shared" si="49"/>
        <v/>
      </c>
      <c r="DF175" s="46" t="str">
        <f t="shared" si="49"/>
        <v/>
      </c>
      <c r="DG175" s="46" t="str">
        <f t="shared" si="49"/>
        <v/>
      </c>
      <c r="DH175" s="46" t="str">
        <f t="shared" si="49"/>
        <v/>
      </c>
      <c r="DL175" s="6"/>
    </row>
    <row r="176" spans="1:116" x14ac:dyDescent="0.25">
      <c r="B176" s="91"/>
      <c r="C176" s="46" t="str">
        <f t="shared" ref="C176:C183" si="50">IF(BB20="X",$DK20,"")</f>
        <v/>
      </c>
      <c r="D176" s="46">
        <f t="shared" ref="D176:AI176" si="51">IF(D20="X",$DK20,"")</f>
        <v>8</v>
      </c>
      <c r="E176" s="46" t="str">
        <f t="shared" si="51"/>
        <v/>
      </c>
      <c r="F176" s="46" t="str">
        <f t="shared" si="51"/>
        <v/>
      </c>
      <c r="G176" s="46" t="str">
        <f t="shared" si="51"/>
        <v/>
      </c>
      <c r="H176" s="46" t="str">
        <f t="shared" si="51"/>
        <v/>
      </c>
      <c r="I176" s="46" t="str">
        <f t="shared" si="51"/>
        <v/>
      </c>
      <c r="J176" s="46" t="str">
        <f t="shared" si="51"/>
        <v/>
      </c>
      <c r="K176" s="46" t="str">
        <f t="shared" si="51"/>
        <v/>
      </c>
      <c r="L176" s="46" t="str">
        <f t="shared" si="51"/>
        <v/>
      </c>
      <c r="M176" s="46" t="str">
        <f t="shared" si="51"/>
        <v/>
      </c>
      <c r="N176" s="46" t="str">
        <f t="shared" si="51"/>
        <v/>
      </c>
      <c r="O176" s="46" t="str">
        <f t="shared" si="51"/>
        <v/>
      </c>
      <c r="P176" s="46" t="str">
        <f t="shared" si="51"/>
        <v/>
      </c>
      <c r="Q176" s="46" t="str">
        <f t="shared" si="51"/>
        <v/>
      </c>
      <c r="R176" s="46" t="str">
        <f t="shared" si="51"/>
        <v/>
      </c>
      <c r="S176" s="46" t="str">
        <f t="shared" si="51"/>
        <v/>
      </c>
      <c r="T176" s="46" t="str">
        <f t="shared" si="51"/>
        <v/>
      </c>
      <c r="U176" s="46" t="str">
        <f t="shared" si="51"/>
        <v/>
      </c>
      <c r="V176" s="46" t="str">
        <f t="shared" si="51"/>
        <v/>
      </c>
      <c r="W176" s="46" t="str">
        <f t="shared" si="51"/>
        <v/>
      </c>
      <c r="X176" s="46" t="str">
        <f t="shared" si="51"/>
        <v/>
      </c>
      <c r="Y176" s="46" t="str">
        <f t="shared" si="51"/>
        <v/>
      </c>
      <c r="Z176" s="46" t="str">
        <f t="shared" si="51"/>
        <v/>
      </c>
      <c r="AA176" s="46" t="str">
        <f t="shared" si="51"/>
        <v/>
      </c>
      <c r="AB176" s="46" t="str">
        <f t="shared" si="51"/>
        <v/>
      </c>
      <c r="AC176" s="46" t="str">
        <f t="shared" si="51"/>
        <v/>
      </c>
      <c r="AD176" s="46" t="str">
        <f t="shared" si="51"/>
        <v/>
      </c>
      <c r="AE176" s="46" t="str">
        <f t="shared" si="51"/>
        <v/>
      </c>
      <c r="AF176" s="46" t="str">
        <f t="shared" si="51"/>
        <v/>
      </c>
      <c r="AG176" s="46" t="str">
        <f t="shared" si="51"/>
        <v/>
      </c>
      <c r="AH176" s="46" t="str">
        <f t="shared" si="51"/>
        <v/>
      </c>
      <c r="AI176" s="46" t="str">
        <f t="shared" si="51"/>
        <v/>
      </c>
      <c r="AJ176" s="46" t="str">
        <f t="shared" ref="AJ176:CU176" si="52">IF(AJ20="X",$DK20,"")</f>
        <v/>
      </c>
      <c r="AK176" s="46" t="str">
        <f t="shared" si="52"/>
        <v/>
      </c>
      <c r="AL176" s="46" t="str">
        <f t="shared" si="52"/>
        <v/>
      </c>
      <c r="AM176" s="46" t="str">
        <f t="shared" si="52"/>
        <v/>
      </c>
      <c r="AN176" s="46" t="str">
        <f t="shared" si="52"/>
        <v/>
      </c>
      <c r="AO176" s="46" t="str">
        <f t="shared" si="52"/>
        <v/>
      </c>
      <c r="AP176" s="46" t="str">
        <f t="shared" si="52"/>
        <v/>
      </c>
      <c r="AQ176" s="46" t="str">
        <f t="shared" si="52"/>
        <v/>
      </c>
      <c r="AR176" s="46">
        <f t="shared" si="52"/>
        <v>8</v>
      </c>
      <c r="AS176" s="46">
        <f t="shared" si="52"/>
        <v>8</v>
      </c>
      <c r="AT176" s="46">
        <f t="shared" si="52"/>
        <v>8</v>
      </c>
      <c r="AU176" s="46" t="str">
        <f t="shared" si="52"/>
        <v/>
      </c>
      <c r="AV176" s="46" t="str">
        <f t="shared" si="52"/>
        <v/>
      </c>
      <c r="AW176" s="46" t="str">
        <f t="shared" si="52"/>
        <v/>
      </c>
      <c r="AX176" s="46" t="str">
        <f t="shared" si="52"/>
        <v/>
      </c>
      <c r="AY176" s="46">
        <f t="shared" si="52"/>
        <v>8</v>
      </c>
      <c r="AZ176" s="46" t="str">
        <f t="shared" si="52"/>
        <v/>
      </c>
      <c r="BA176" s="46" t="str">
        <f t="shared" si="52"/>
        <v/>
      </c>
      <c r="BB176" s="46" t="str">
        <f t="shared" si="52"/>
        <v/>
      </c>
      <c r="BC176" s="46">
        <f t="shared" si="52"/>
        <v>8</v>
      </c>
      <c r="BD176" s="46">
        <f t="shared" si="52"/>
        <v>8</v>
      </c>
      <c r="BE176" s="46">
        <f t="shared" si="52"/>
        <v>8</v>
      </c>
      <c r="BF176" s="46">
        <f t="shared" si="52"/>
        <v>8</v>
      </c>
      <c r="BG176" s="46" t="str">
        <f t="shared" si="52"/>
        <v/>
      </c>
      <c r="BH176" s="46" t="str">
        <f t="shared" si="52"/>
        <v/>
      </c>
      <c r="BI176" s="46" t="str">
        <f t="shared" si="52"/>
        <v/>
      </c>
      <c r="BJ176" s="46" t="str">
        <f t="shared" si="52"/>
        <v/>
      </c>
      <c r="BK176" s="46" t="str">
        <f t="shared" si="52"/>
        <v/>
      </c>
      <c r="BL176" s="46" t="str">
        <f t="shared" si="52"/>
        <v/>
      </c>
      <c r="BM176" s="46">
        <f t="shared" si="52"/>
        <v>8</v>
      </c>
      <c r="BN176" s="46">
        <f t="shared" si="52"/>
        <v>8</v>
      </c>
      <c r="BO176" s="46">
        <f t="shared" si="52"/>
        <v>8</v>
      </c>
      <c r="BP176" s="46">
        <f t="shared" si="52"/>
        <v>8</v>
      </c>
      <c r="BQ176" s="46">
        <f t="shared" si="52"/>
        <v>8</v>
      </c>
      <c r="BR176" s="46">
        <f t="shared" si="52"/>
        <v>8</v>
      </c>
      <c r="BS176" s="46">
        <f t="shared" si="52"/>
        <v>8</v>
      </c>
      <c r="BT176" s="46">
        <f t="shared" si="52"/>
        <v>8</v>
      </c>
      <c r="BU176" s="46">
        <f t="shared" si="52"/>
        <v>8</v>
      </c>
      <c r="BV176" s="46">
        <f t="shared" si="52"/>
        <v>8</v>
      </c>
      <c r="BW176" s="46">
        <f t="shared" si="52"/>
        <v>8</v>
      </c>
      <c r="BX176" s="46" t="str">
        <f t="shared" si="52"/>
        <v/>
      </c>
      <c r="BY176" s="46" t="str">
        <f t="shared" si="52"/>
        <v/>
      </c>
      <c r="BZ176" s="46" t="str">
        <f t="shared" si="52"/>
        <v/>
      </c>
      <c r="CA176" s="46" t="str">
        <f t="shared" si="52"/>
        <v/>
      </c>
      <c r="CB176" s="46" t="str">
        <f t="shared" si="52"/>
        <v/>
      </c>
      <c r="CC176" s="46" t="str">
        <f t="shared" si="52"/>
        <v/>
      </c>
      <c r="CD176" s="46" t="str">
        <f t="shared" si="52"/>
        <v/>
      </c>
      <c r="CE176" s="46">
        <f t="shared" si="52"/>
        <v>8</v>
      </c>
      <c r="CF176" s="46">
        <f t="shared" si="52"/>
        <v>8</v>
      </c>
      <c r="CG176" s="46">
        <f t="shared" si="52"/>
        <v>8</v>
      </c>
      <c r="CH176" s="46">
        <f t="shared" si="52"/>
        <v>8</v>
      </c>
      <c r="CI176" s="46">
        <f t="shared" si="52"/>
        <v>8</v>
      </c>
      <c r="CJ176" s="46">
        <f t="shared" si="52"/>
        <v>8</v>
      </c>
      <c r="CK176" s="46">
        <f t="shared" si="52"/>
        <v>8</v>
      </c>
      <c r="CL176" s="46">
        <f t="shared" si="52"/>
        <v>8</v>
      </c>
      <c r="CM176" s="46">
        <f t="shared" si="52"/>
        <v>8</v>
      </c>
      <c r="CN176" s="46">
        <f t="shared" si="52"/>
        <v>8</v>
      </c>
      <c r="CO176" s="46">
        <f t="shared" si="52"/>
        <v>8</v>
      </c>
      <c r="CP176" s="46">
        <f t="shared" si="52"/>
        <v>8</v>
      </c>
      <c r="CQ176" s="46">
        <f t="shared" si="52"/>
        <v>8</v>
      </c>
      <c r="CR176" s="46" t="str">
        <f t="shared" si="52"/>
        <v/>
      </c>
      <c r="CS176" s="46" t="str">
        <f t="shared" si="52"/>
        <v/>
      </c>
      <c r="CT176" s="46" t="str">
        <f t="shared" si="52"/>
        <v/>
      </c>
      <c r="CU176" s="46" t="str">
        <f t="shared" si="52"/>
        <v/>
      </c>
      <c r="CV176" s="46" t="str">
        <f t="shared" ref="CV176:DH176" si="53">IF(CV20="X",$DK20,"")</f>
        <v/>
      </c>
      <c r="CW176" s="46" t="str">
        <f t="shared" si="53"/>
        <v/>
      </c>
      <c r="CX176" s="46">
        <f t="shared" si="53"/>
        <v>8</v>
      </c>
      <c r="CY176" s="46" t="str">
        <f t="shared" si="53"/>
        <v/>
      </c>
      <c r="CZ176" s="46">
        <f t="shared" si="53"/>
        <v>8</v>
      </c>
      <c r="DA176" s="46">
        <f t="shared" si="53"/>
        <v>8</v>
      </c>
      <c r="DB176" s="46">
        <f t="shared" si="53"/>
        <v>8</v>
      </c>
      <c r="DC176" s="46">
        <f t="shared" si="53"/>
        <v>8</v>
      </c>
      <c r="DD176" s="46">
        <f t="shared" si="53"/>
        <v>8</v>
      </c>
      <c r="DE176" s="46" t="str">
        <f t="shared" si="53"/>
        <v/>
      </c>
      <c r="DF176" s="46" t="str">
        <f t="shared" si="53"/>
        <v/>
      </c>
      <c r="DG176" s="46">
        <f t="shared" si="53"/>
        <v>8</v>
      </c>
      <c r="DH176" s="46" t="str">
        <f t="shared" si="53"/>
        <v/>
      </c>
      <c r="DL176" s="6"/>
    </row>
    <row r="177" spans="1:116" x14ac:dyDescent="0.25">
      <c r="B177" s="91"/>
      <c r="C177" s="46" t="str">
        <f t="shared" si="50"/>
        <v/>
      </c>
      <c r="D177" s="46" t="str">
        <f t="shared" ref="D177:AI177" si="54">IF(D21="X",$DK21,"")</f>
        <v/>
      </c>
      <c r="E177" s="46" t="str">
        <f t="shared" si="54"/>
        <v/>
      </c>
      <c r="F177" s="46" t="str">
        <f t="shared" si="54"/>
        <v/>
      </c>
      <c r="G177" s="46" t="str">
        <f t="shared" si="54"/>
        <v/>
      </c>
      <c r="H177" s="46" t="str">
        <f t="shared" si="54"/>
        <v/>
      </c>
      <c r="I177" s="46" t="str">
        <f t="shared" si="54"/>
        <v/>
      </c>
      <c r="J177" s="46" t="str">
        <f t="shared" si="54"/>
        <v/>
      </c>
      <c r="K177" s="46" t="str">
        <f t="shared" si="54"/>
        <v/>
      </c>
      <c r="L177" s="46" t="str">
        <f t="shared" si="54"/>
        <v/>
      </c>
      <c r="M177" s="46" t="str">
        <f t="shared" si="54"/>
        <v/>
      </c>
      <c r="N177" s="46" t="str">
        <f t="shared" si="54"/>
        <v/>
      </c>
      <c r="O177" s="46" t="str">
        <f t="shared" si="54"/>
        <v/>
      </c>
      <c r="P177" s="46" t="str">
        <f t="shared" si="54"/>
        <v/>
      </c>
      <c r="Q177" s="46" t="str">
        <f t="shared" si="54"/>
        <v/>
      </c>
      <c r="R177" s="46" t="str">
        <f t="shared" si="54"/>
        <v/>
      </c>
      <c r="S177" s="46" t="str">
        <f t="shared" si="54"/>
        <v/>
      </c>
      <c r="T177" s="46" t="str">
        <f t="shared" si="54"/>
        <v/>
      </c>
      <c r="U177" s="46" t="str">
        <f t="shared" si="54"/>
        <v/>
      </c>
      <c r="V177" s="46" t="str">
        <f t="shared" si="54"/>
        <v/>
      </c>
      <c r="W177" s="46" t="str">
        <f t="shared" si="54"/>
        <v/>
      </c>
      <c r="X177" s="46" t="str">
        <f t="shared" si="54"/>
        <v/>
      </c>
      <c r="Y177" s="46" t="str">
        <f t="shared" si="54"/>
        <v/>
      </c>
      <c r="Z177" s="46" t="str">
        <f t="shared" si="54"/>
        <v/>
      </c>
      <c r="AA177" s="46" t="str">
        <f t="shared" si="54"/>
        <v/>
      </c>
      <c r="AB177" s="46" t="str">
        <f t="shared" si="54"/>
        <v/>
      </c>
      <c r="AC177" s="46" t="str">
        <f t="shared" si="54"/>
        <v/>
      </c>
      <c r="AD177" s="46" t="str">
        <f t="shared" si="54"/>
        <v/>
      </c>
      <c r="AE177" s="46" t="str">
        <f t="shared" si="54"/>
        <v/>
      </c>
      <c r="AF177" s="46" t="str">
        <f t="shared" si="54"/>
        <v/>
      </c>
      <c r="AG177" s="46" t="str">
        <f t="shared" si="54"/>
        <v/>
      </c>
      <c r="AH177" s="46" t="str">
        <f t="shared" si="54"/>
        <v/>
      </c>
      <c r="AI177" s="46" t="str">
        <f t="shared" si="54"/>
        <v/>
      </c>
      <c r="AJ177" s="46" t="str">
        <f t="shared" ref="AJ177:CU177" si="55">IF(AJ21="X",$DK21,"")</f>
        <v/>
      </c>
      <c r="AK177" s="46" t="str">
        <f t="shared" si="55"/>
        <v/>
      </c>
      <c r="AL177" s="46" t="str">
        <f t="shared" si="55"/>
        <v/>
      </c>
      <c r="AM177" s="46" t="str">
        <f t="shared" si="55"/>
        <v/>
      </c>
      <c r="AN177" s="46" t="str">
        <f t="shared" si="55"/>
        <v/>
      </c>
      <c r="AO177" s="46" t="str">
        <f t="shared" si="55"/>
        <v/>
      </c>
      <c r="AP177" s="46" t="str">
        <f t="shared" si="55"/>
        <v/>
      </c>
      <c r="AQ177" s="46" t="str">
        <f t="shared" si="55"/>
        <v/>
      </c>
      <c r="AR177" s="46" t="str">
        <f t="shared" si="55"/>
        <v/>
      </c>
      <c r="AS177" s="46" t="str">
        <f t="shared" si="55"/>
        <v/>
      </c>
      <c r="AT177" s="46" t="str">
        <f t="shared" si="55"/>
        <v/>
      </c>
      <c r="AU177" s="46" t="str">
        <f t="shared" si="55"/>
        <v/>
      </c>
      <c r="AV177" s="46" t="str">
        <f t="shared" si="55"/>
        <v/>
      </c>
      <c r="AW177" s="46" t="str">
        <f t="shared" si="55"/>
        <v/>
      </c>
      <c r="AX177" s="46" t="str">
        <f t="shared" si="55"/>
        <v/>
      </c>
      <c r="AY177" s="46" t="str">
        <f t="shared" si="55"/>
        <v/>
      </c>
      <c r="AZ177" s="46" t="str">
        <f t="shared" si="55"/>
        <v/>
      </c>
      <c r="BA177" s="46" t="str">
        <f t="shared" si="55"/>
        <v/>
      </c>
      <c r="BB177" s="46" t="str">
        <f t="shared" si="55"/>
        <v/>
      </c>
      <c r="BC177" s="46" t="str">
        <f t="shared" si="55"/>
        <v/>
      </c>
      <c r="BD177" s="46" t="str">
        <f t="shared" si="55"/>
        <v/>
      </c>
      <c r="BE177" s="46" t="str">
        <f t="shared" si="55"/>
        <v/>
      </c>
      <c r="BF177" s="46" t="str">
        <f t="shared" si="55"/>
        <v/>
      </c>
      <c r="BG177" s="46" t="str">
        <f t="shared" si="55"/>
        <v/>
      </c>
      <c r="BH177" s="46" t="str">
        <f t="shared" si="55"/>
        <v/>
      </c>
      <c r="BI177" s="46" t="str">
        <f t="shared" si="55"/>
        <v/>
      </c>
      <c r="BJ177" s="46" t="str">
        <f t="shared" si="55"/>
        <v/>
      </c>
      <c r="BK177" s="46" t="str">
        <f t="shared" si="55"/>
        <v/>
      </c>
      <c r="BL177" s="46" t="str">
        <f t="shared" si="55"/>
        <v/>
      </c>
      <c r="BM177" s="46" t="str">
        <f t="shared" si="55"/>
        <v/>
      </c>
      <c r="BN177" s="46" t="str">
        <f t="shared" si="55"/>
        <v/>
      </c>
      <c r="BO177" s="46" t="str">
        <f t="shared" si="55"/>
        <v/>
      </c>
      <c r="BP177" s="46" t="str">
        <f t="shared" si="55"/>
        <v/>
      </c>
      <c r="BQ177" s="46" t="str">
        <f t="shared" si="55"/>
        <v/>
      </c>
      <c r="BR177" s="46" t="str">
        <f t="shared" si="55"/>
        <v/>
      </c>
      <c r="BS177" s="46" t="str">
        <f t="shared" si="55"/>
        <v/>
      </c>
      <c r="BT177" s="46" t="str">
        <f t="shared" si="55"/>
        <v/>
      </c>
      <c r="BU177" s="46" t="str">
        <f t="shared" si="55"/>
        <v/>
      </c>
      <c r="BV177" s="46" t="str">
        <f t="shared" si="55"/>
        <v/>
      </c>
      <c r="BW177" s="46" t="str">
        <f t="shared" si="55"/>
        <v/>
      </c>
      <c r="BX177" s="46" t="str">
        <f t="shared" si="55"/>
        <v/>
      </c>
      <c r="BY177" s="46" t="str">
        <f t="shared" si="55"/>
        <v/>
      </c>
      <c r="BZ177" s="46" t="str">
        <f t="shared" si="55"/>
        <v/>
      </c>
      <c r="CA177" s="46" t="str">
        <f t="shared" si="55"/>
        <v/>
      </c>
      <c r="CB177" s="46" t="str">
        <f t="shared" si="55"/>
        <v/>
      </c>
      <c r="CC177" s="46" t="str">
        <f t="shared" si="55"/>
        <v/>
      </c>
      <c r="CD177" s="46" t="str">
        <f t="shared" si="55"/>
        <v/>
      </c>
      <c r="CE177" s="46" t="str">
        <f t="shared" si="55"/>
        <v/>
      </c>
      <c r="CF177" s="46" t="str">
        <f t="shared" si="55"/>
        <v/>
      </c>
      <c r="CG177" s="46" t="str">
        <f t="shared" si="55"/>
        <v/>
      </c>
      <c r="CH177" s="46" t="str">
        <f t="shared" si="55"/>
        <v/>
      </c>
      <c r="CI177" s="46" t="str">
        <f t="shared" si="55"/>
        <v/>
      </c>
      <c r="CJ177" s="46" t="str">
        <f t="shared" si="55"/>
        <v/>
      </c>
      <c r="CK177" s="46" t="str">
        <f t="shared" si="55"/>
        <v/>
      </c>
      <c r="CL177" s="46" t="str">
        <f t="shared" si="55"/>
        <v/>
      </c>
      <c r="CM177" s="46" t="str">
        <f t="shared" si="55"/>
        <v/>
      </c>
      <c r="CN177" s="46" t="str">
        <f t="shared" si="55"/>
        <v/>
      </c>
      <c r="CO177" s="46" t="str">
        <f t="shared" si="55"/>
        <v/>
      </c>
      <c r="CP177" s="46" t="str">
        <f t="shared" si="55"/>
        <v/>
      </c>
      <c r="CQ177" s="46" t="str">
        <f t="shared" si="55"/>
        <v/>
      </c>
      <c r="CR177" s="46" t="str">
        <f t="shared" si="55"/>
        <v/>
      </c>
      <c r="CS177" s="46" t="str">
        <f t="shared" si="55"/>
        <v/>
      </c>
      <c r="CT177" s="46" t="str">
        <f t="shared" si="55"/>
        <v/>
      </c>
      <c r="CU177" s="46" t="str">
        <f t="shared" si="55"/>
        <v/>
      </c>
      <c r="CV177" s="46" t="str">
        <f t="shared" ref="CV177:DH177" si="56">IF(CV21="X",$DK21,"")</f>
        <v/>
      </c>
      <c r="CW177" s="46" t="str">
        <f t="shared" si="56"/>
        <v/>
      </c>
      <c r="CX177" s="46" t="str">
        <f t="shared" si="56"/>
        <v/>
      </c>
      <c r="CY177" s="46" t="str">
        <f t="shared" si="56"/>
        <v/>
      </c>
      <c r="CZ177" s="46" t="str">
        <f t="shared" si="56"/>
        <v/>
      </c>
      <c r="DA177" s="46" t="str">
        <f t="shared" si="56"/>
        <v/>
      </c>
      <c r="DB177" s="46" t="str">
        <f t="shared" si="56"/>
        <v/>
      </c>
      <c r="DC177" s="46" t="str">
        <f t="shared" si="56"/>
        <v/>
      </c>
      <c r="DD177" s="46" t="str">
        <f t="shared" si="56"/>
        <v/>
      </c>
      <c r="DE177" s="46" t="str">
        <f t="shared" si="56"/>
        <v/>
      </c>
      <c r="DF177" s="46" t="str">
        <f t="shared" si="56"/>
        <v/>
      </c>
      <c r="DG177" s="46" t="str">
        <f t="shared" si="56"/>
        <v/>
      </c>
      <c r="DH177" s="46">
        <f t="shared" si="56"/>
        <v>1</v>
      </c>
      <c r="DL177" s="6"/>
    </row>
    <row r="178" spans="1:116" x14ac:dyDescent="0.25">
      <c r="B178" s="91"/>
      <c r="C178" s="46" t="str">
        <f t="shared" si="50"/>
        <v/>
      </c>
      <c r="D178" s="46" t="str">
        <f t="shared" ref="D178:AI178" si="57">IF(D22="X",$DK22,"")</f>
        <v/>
      </c>
      <c r="E178" s="46" t="str">
        <f t="shared" si="57"/>
        <v/>
      </c>
      <c r="F178" s="46" t="str">
        <f t="shared" si="57"/>
        <v/>
      </c>
      <c r="G178" s="46" t="str">
        <f t="shared" si="57"/>
        <v/>
      </c>
      <c r="H178" s="46" t="str">
        <f t="shared" si="57"/>
        <v/>
      </c>
      <c r="I178" s="46" t="str">
        <f t="shared" si="57"/>
        <v/>
      </c>
      <c r="J178" s="46" t="str">
        <f t="shared" si="57"/>
        <v/>
      </c>
      <c r="K178" s="46" t="str">
        <f t="shared" si="57"/>
        <v/>
      </c>
      <c r="L178" s="46" t="str">
        <f t="shared" si="57"/>
        <v/>
      </c>
      <c r="M178" s="46" t="str">
        <f t="shared" si="57"/>
        <v/>
      </c>
      <c r="N178" s="46" t="str">
        <f t="shared" si="57"/>
        <v/>
      </c>
      <c r="O178" s="46" t="str">
        <f t="shared" si="57"/>
        <v/>
      </c>
      <c r="P178" s="46" t="str">
        <f t="shared" si="57"/>
        <v/>
      </c>
      <c r="Q178" s="46" t="str">
        <f t="shared" si="57"/>
        <v/>
      </c>
      <c r="R178" s="46" t="str">
        <f t="shared" si="57"/>
        <v/>
      </c>
      <c r="S178" s="46" t="str">
        <f t="shared" si="57"/>
        <v/>
      </c>
      <c r="T178" s="46" t="str">
        <f t="shared" si="57"/>
        <v/>
      </c>
      <c r="U178" s="46" t="str">
        <f t="shared" si="57"/>
        <v/>
      </c>
      <c r="V178" s="46" t="str">
        <f t="shared" si="57"/>
        <v/>
      </c>
      <c r="W178" s="46" t="str">
        <f t="shared" si="57"/>
        <v/>
      </c>
      <c r="X178" s="46" t="str">
        <f t="shared" si="57"/>
        <v/>
      </c>
      <c r="Y178" s="46" t="str">
        <f t="shared" si="57"/>
        <v/>
      </c>
      <c r="Z178" s="46" t="str">
        <f t="shared" si="57"/>
        <v/>
      </c>
      <c r="AA178" s="46" t="str">
        <f t="shared" si="57"/>
        <v/>
      </c>
      <c r="AB178" s="46" t="str">
        <f t="shared" si="57"/>
        <v/>
      </c>
      <c r="AC178" s="46" t="str">
        <f t="shared" si="57"/>
        <v/>
      </c>
      <c r="AD178" s="46" t="str">
        <f t="shared" si="57"/>
        <v/>
      </c>
      <c r="AE178" s="46" t="str">
        <f t="shared" si="57"/>
        <v/>
      </c>
      <c r="AF178" s="46" t="str">
        <f t="shared" si="57"/>
        <v/>
      </c>
      <c r="AG178" s="46" t="str">
        <f t="shared" si="57"/>
        <v/>
      </c>
      <c r="AH178" s="46" t="str">
        <f t="shared" si="57"/>
        <v/>
      </c>
      <c r="AI178" s="46" t="str">
        <f t="shared" si="57"/>
        <v/>
      </c>
      <c r="AJ178" s="46" t="str">
        <f t="shared" ref="AJ178:CU178" si="58">IF(AJ22="X",$DK22,"")</f>
        <v/>
      </c>
      <c r="AK178" s="46" t="str">
        <f t="shared" si="58"/>
        <v/>
      </c>
      <c r="AL178" s="46" t="str">
        <f t="shared" si="58"/>
        <v/>
      </c>
      <c r="AM178" s="46" t="str">
        <f t="shared" si="58"/>
        <v/>
      </c>
      <c r="AN178" s="46" t="str">
        <f t="shared" si="58"/>
        <v/>
      </c>
      <c r="AO178" s="46" t="str">
        <f t="shared" si="58"/>
        <v/>
      </c>
      <c r="AP178" s="46" t="str">
        <f t="shared" si="58"/>
        <v/>
      </c>
      <c r="AQ178" s="46" t="str">
        <f t="shared" si="58"/>
        <v/>
      </c>
      <c r="AR178" s="46" t="str">
        <f t="shared" si="58"/>
        <v/>
      </c>
      <c r="AS178" s="46" t="str">
        <f t="shared" si="58"/>
        <v/>
      </c>
      <c r="AT178" s="46" t="str">
        <f t="shared" si="58"/>
        <v/>
      </c>
      <c r="AU178" s="46" t="str">
        <f t="shared" si="58"/>
        <v/>
      </c>
      <c r="AV178" s="46" t="str">
        <f t="shared" si="58"/>
        <v/>
      </c>
      <c r="AW178" s="46" t="str">
        <f t="shared" si="58"/>
        <v/>
      </c>
      <c r="AX178" s="46" t="str">
        <f t="shared" si="58"/>
        <v/>
      </c>
      <c r="AY178" s="46">
        <f t="shared" si="58"/>
        <v>4</v>
      </c>
      <c r="AZ178" s="46" t="str">
        <f t="shared" si="58"/>
        <v/>
      </c>
      <c r="BA178" s="46" t="str">
        <f t="shared" si="58"/>
        <v/>
      </c>
      <c r="BB178" s="46" t="str">
        <f t="shared" si="58"/>
        <v/>
      </c>
      <c r="BC178" s="46" t="str">
        <f t="shared" si="58"/>
        <v/>
      </c>
      <c r="BD178" s="46" t="str">
        <f t="shared" si="58"/>
        <v/>
      </c>
      <c r="BE178" s="46" t="str">
        <f t="shared" si="58"/>
        <v/>
      </c>
      <c r="BF178" s="46">
        <f t="shared" si="58"/>
        <v>4</v>
      </c>
      <c r="BG178" s="46" t="str">
        <f t="shared" si="58"/>
        <v/>
      </c>
      <c r="BH178" s="46" t="str">
        <f t="shared" si="58"/>
        <v/>
      </c>
      <c r="BI178" s="46" t="str">
        <f t="shared" si="58"/>
        <v/>
      </c>
      <c r="BJ178" s="46" t="str">
        <f t="shared" si="58"/>
        <v/>
      </c>
      <c r="BK178" s="46" t="str">
        <f t="shared" si="58"/>
        <v/>
      </c>
      <c r="BL178" s="46" t="str">
        <f t="shared" si="58"/>
        <v/>
      </c>
      <c r="BM178" s="46" t="str">
        <f t="shared" si="58"/>
        <v/>
      </c>
      <c r="BN178" s="46" t="str">
        <f t="shared" si="58"/>
        <v/>
      </c>
      <c r="BO178" s="46" t="str">
        <f t="shared" si="58"/>
        <v/>
      </c>
      <c r="BP178" s="46" t="str">
        <f t="shared" si="58"/>
        <v/>
      </c>
      <c r="BQ178" s="46" t="str">
        <f t="shared" si="58"/>
        <v/>
      </c>
      <c r="BR178" s="46" t="str">
        <f t="shared" si="58"/>
        <v/>
      </c>
      <c r="BS178" s="46" t="str">
        <f t="shared" si="58"/>
        <v/>
      </c>
      <c r="BT178" s="46" t="str">
        <f t="shared" si="58"/>
        <v/>
      </c>
      <c r="BU178" s="46" t="str">
        <f t="shared" si="58"/>
        <v/>
      </c>
      <c r="BV178" s="46" t="str">
        <f t="shared" si="58"/>
        <v/>
      </c>
      <c r="BW178" s="46" t="str">
        <f t="shared" si="58"/>
        <v/>
      </c>
      <c r="BX178" s="46" t="str">
        <f t="shared" si="58"/>
        <v/>
      </c>
      <c r="BY178" s="46" t="str">
        <f t="shared" si="58"/>
        <v/>
      </c>
      <c r="BZ178" s="46" t="str">
        <f t="shared" si="58"/>
        <v/>
      </c>
      <c r="CA178" s="46" t="str">
        <f t="shared" si="58"/>
        <v/>
      </c>
      <c r="CB178" s="46" t="str">
        <f t="shared" si="58"/>
        <v/>
      </c>
      <c r="CC178" s="46" t="str">
        <f t="shared" si="58"/>
        <v/>
      </c>
      <c r="CD178" s="46" t="str">
        <f t="shared" si="58"/>
        <v/>
      </c>
      <c r="CE178" s="46" t="str">
        <f t="shared" si="58"/>
        <v/>
      </c>
      <c r="CF178" s="46" t="str">
        <f t="shared" si="58"/>
        <v/>
      </c>
      <c r="CG178" s="46" t="str">
        <f t="shared" si="58"/>
        <v/>
      </c>
      <c r="CH178" s="46" t="str">
        <f t="shared" si="58"/>
        <v/>
      </c>
      <c r="CI178" s="46" t="str">
        <f t="shared" si="58"/>
        <v/>
      </c>
      <c r="CJ178" s="46" t="str">
        <f t="shared" si="58"/>
        <v/>
      </c>
      <c r="CK178" s="46" t="str">
        <f t="shared" si="58"/>
        <v/>
      </c>
      <c r="CL178" s="46" t="str">
        <f t="shared" si="58"/>
        <v/>
      </c>
      <c r="CM178" s="46" t="str">
        <f t="shared" si="58"/>
        <v/>
      </c>
      <c r="CN178" s="46" t="str">
        <f t="shared" si="58"/>
        <v/>
      </c>
      <c r="CO178" s="46" t="str">
        <f t="shared" si="58"/>
        <v/>
      </c>
      <c r="CP178" s="46" t="str">
        <f t="shared" si="58"/>
        <v/>
      </c>
      <c r="CQ178" s="46" t="str">
        <f t="shared" si="58"/>
        <v/>
      </c>
      <c r="CR178" s="46" t="str">
        <f t="shared" si="58"/>
        <v/>
      </c>
      <c r="CS178" s="46" t="str">
        <f t="shared" si="58"/>
        <v/>
      </c>
      <c r="CT178" s="46" t="str">
        <f t="shared" si="58"/>
        <v/>
      </c>
      <c r="CU178" s="46" t="str">
        <f t="shared" si="58"/>
        <v/>
      </c>
      <c r="CV178" s="46" t="str">
        <f t="shared" ref="CV178:DH178" si="59">IF(CV22="X",$DK22,"")</f>
        <v/>
      </c>
      <c r="CW178" s="46" t="str">
        <f t="shared" si="59"/>
        <v/>
      </c>
      <c r="CX178" s="46" t="str">
        <f t="shared" si="59"/>
        <v/>
      </c>
      <c r="CY178" s="46" t="str">
        <f t="shared" si="59"/>
        <v/>
      </c>
      <c r="CZ178" s="46" t="str">
        <f t="shared" si="59"/>
        <v/>
      </c>
      <c r="DA178" s="46" t="str">
        <f t="shared" si="59"/>
        <v/>
      </c>
      <c r="DB178" s="46" t="str">
        <f t="shared" si="59"/>
        <v/>
      </c>
      <c r="DC178" s="46" t="str">
        <f t="shared" si="59"/>
        <v/>
      </c>
      <c r="DD178" s="46" t="str">
        <f t="shared" si="59"/>
        <v/>
      </c>
      <c r="DE178" s="46" t="str">
        <f t="shared" si="59"/>
        <v/>
      </c>
      <c r="DF178" s="46" t="str">
        <f t="shared" si="59"/>
        <v/>
      </c>
      <c r="DG178" s="46" t="str">
        <f t="shared" si="59"/>
        <v/>
      </c>
      <c r="DH178" s="46" t="str">
        <f t="shared" si="59"/>
        <v/>
      </c>
      <c r="DL178" s="6"/>
    </row>
    <row r="179" spans="1:116" x14ac:dyDescent="0.25">
      <c r="B179" s="91"/>
      <c r="C179" s="46" t="str">
        <f t="shared" si="50"/>
        <v/>
      </c>
      <c r="D179" s="46" t="str">
        <f t="shared" ref="D179:AI179" si="60">IF(D23="X",$DK23,"")</f>
        <v/>
      </c>
      <c r="E179" s="46" t="str">
        <f t="shared" si="60"/>
        <v/>
      </c>
      <c r="F179" s="46" t="str">
        <f t="shared" si="60"/>
        <v/>
      </c>
      <c r="G179" s="46" t="str">
        <f t="shared" si="60"/>
        <v/>
      </c>
      <c r="H179" s="46" t="str">
        <f t="shared" si="60"/>
        <v/>
      </c>
      <c r="I179" s="46" t="str">
        <f t="shared" si="60"/>
        <v/>
      </c>
      <c r="J179" s="46" t="str">
        <f t="shared" si="60"/>
        <v/>
      </c>
      <c r="K179" s="46" t="str">
        <f t="shared" si="60"/>
        <v/>
      </c>
      <c r="L179" s="46" t="str">
        <f t="shared" si="60"/>
        <v/>
      </c>
      <c r="M179" s="46" t="str">
        <f t="shared" si="60"/>
        <v/>
      </c>
      <c r="N179" s="46" t="str">
        <f t="shared" si="60"/>
        <v/>
      </c>
      <c r="O179" s="46" t="str">
        <f t="shared" si="60"/>
        <v/>
      </c>
      <c r="P179" s="46" t="str">
        <f t="shared" si="60"/>
        <v/>
      </c>
      <c r="Q179" s="46" t="str">
        <f t="shared" si="60"/>
        <v/>
      </c>
      <c r="R179" s="46" t="str">
        <f t="shared" si="60"/>
        <v/>
      </c>
      <c r="S179" s="46" t="str">
        <f t="shared" si="60"/>
        <v/>
      </c>
      <c r="T179" s="46" t="str">
        <f t="shared" si="60"/>
        <v/>
      </c>
      <c r="U179" s="46" t="str">
        <f t="shared" si="60"/>
        <v/>
      </c>
      <c r="V179" s="46" t="str">
        <f t="shared" si="60"/>
        <v/>
      </c>
      <c r="W179" s="46" t="str">
        <f t="shared" si="60"/>
        <v/>
      </c>
      <c r="X179" s="46" t="str">
        <f t="shared" si="60"/>
        <v/>
      </c>
      <c r="Y179" s="46" t="str">
        <f t="shared" si="60"/>
        <v/>
      </c>
      <c r="Z179" s="46" t="str">
        <f t="shared" si="60"/>
        <v/>
      </c>
      <c r="AA179" s="46" t="str">
        <f t="shared" si="60"/>
        <v/>
      </c>
      <c r="AB179" s="46" t="str">
        <f t="shared" si="60"/>
        <v/>
      </c>
      <c r="AC179" s="46" t="str">
        <f t="shared" si="60"/>
        <v/>
      </c>
      <c r="AD179" s="46" t="str">
        <f t="shared" si="60"/>
        <v/>
      </c>
      <c r="AE179" s="46" t="str">
        <f t="shared" si="60"/>
        <v/>
      </c>
      <c r="AF179" s="46" t="str">
        <f t="shared" si="60"/>
        <v/>
      </c>
      <c r="AG179" s="46" t="str">
        <f t="shared" si="60"/>
        <v/>
      </c>
      <c r="AH179" s="46" t="str">
        <f t="shared" si="60"/>
        <v/>
      </c>
      <c r="AI179" s="46" t="str">
        <f t="shared" si="60"/>
        <v/>
      </c>
      <c r="AJ179" s="46" t="str">
        <f t="shared" ref="AJ179:CU179" si="61">IF(AJ23="X",$DK23,"")</f>
        <v/>
      </c>
      <c r="AK179" s="46" t="str">
        <f t="shared" si="61"/>
        <v/>
      </c>
      <c r="AL179" s="46" t="str">
        <f t="shared" si="61"/>
        <v/>
      </c>
      <c r="AM179" s="46" t="str">
        <f t="shared" si="61"/>
        <v/>
      </c>
      <c r="AN179" s="46" t="str">
        <f t="shared" si="61"/>
        <v/>
      </c>
      <c r="AO179" s="46" t="str">
        <f t="shared" si="61"/>
        <v/>
      </c>
      <c r="AP179" s="46" t="str">
        <f t="shared" si="61"/>
        <v/>
      </c>
      <c r="AQ179" s="46" t="str">
        <f t="shared" si="61"/>
        <v/>
      </c>
      <c r="AR179" s="46" t="str">
        <f t="shared" si="61"/>
        <v/>
      </c>
      <c r="AS179" s="46" t="str">
        <f t="shared" si="61"/>
        <v/>
      </c>
      <c r="AT179" s="46" t="str">
        <f t="shared" si="61"/>
        <v/>
      </c>
      <c r="AU179" s="46" t="str">
        <f t="shared" si="61"/>
        <v/>
      </c>
      <c r="AV179" s="46" t="str">
        <f t="shared" si="61"/>
        <v/>
      </c>
      <c r="AW179" s="46" t="str">
        <f t="shared" si="61"/>
        <v/>
      </c>
      <c r="AX179" s="46" t="str">
        <f t="shared" si="61"/>
        <v/>
      </c>
      <c r="AY179" s="46" t="str">
        <f t="shared" si="61"/>
        <v/>
      </c>
      <c r="AZ179" s="46" t="str">
        <f t="shared" si="61"/>
        <v/>
      </c>
      <c r="BA179" s="46" t="str">
        <f t="shared" si="61"/>
        <v/>
      </c>
      <c r="BB179" s="46" t="str">
        <f t="shared" si="61"/>
        <v/>
      </c>
      <c r="BC179" s="46" t="str">
        <f t="shared" si="61"/>
        <v/>
      </c>
      <c r="BD179" s="46" t="str">
        <f t="shared" si="61"/>
        <v/>
      </c>
      <c r="BE179" s="46" t="str">
        <f t="shared" si="61"/>
        <v/>
      </c>
      <c r="BF179" s="46" t="str">
        <f t="shared" si="61"/>
        <v/>
      </c>
      <c r="BG179" s="46" t="str">
        <f t="shared" si="61"/>
        <v/>
      </c>
      <c r="BH179" s="46" t="str">
        <f t="shared" si="61"/>
        <v/>
      </c>
      <c r="BI179" s="46" t="str">
        <f t="shared" si="61"/>
        <v/>
      </c>
      <c r="BJ179" s="46" t="str">
        <f t="shared" si="61"/>
        <v/>
      </c>
      <c r="BK179" s="46" t="str">
        <f t="shared" si="61"/>
        <v/>
      </c>
      <c r="BL179" s="46" t="str">
        <f t="shared" si="61"/>
        <v/>
      </c>
      <c r="BM179" s="46" t="str">
        <f t="shared" si="61"/>
        <v/>
      </c>
      <c r="BN179" s="46" t="str">
        <f t="shared" si="61"/>
        <v/>
      </c>
      <c r="BO179" s="46" t="str">
        <f t="shared" si="61"/>
        <v/>
      </c>
      <c r="BP179" s="46" t="str">
        <f t="shared" si="61"/>
        <v/>
      </c>
      <c r="BQ179" s="46" t="str">
        <f t="shared" si="61"/>
        <v/>
      </c>
      <c r="BR179" s="46" t="str">
        <f t="shared" si="61"/>
        <v/>
      </c>
      <c r="BS179" s="46" t="str">
        <f t="shared" si="61"/>
        <v/>
      </c>
      <c r="BT179" s="46" t="str">
        <f t="shared" si="61"/>
        <v/>
      </c>
      <c r="BU179" s="46" t="str">
        <f t="shared" si="61"/>
        <v/>
      </c>
      <c r="BV179" s="46" t="str">
        <f t="shared" si="61"/>
        <v/>
      </c>
      <c r="BW179" s="46" t="str">
        <f t="shared" si="61"/>
        <v/>
      </c>
      <c r="BX179" s="46" t="str">
        <f t="shared" si="61"/>
        <v/>
      </c>
      <c r="BY179" s="46" t="str">
        <f t="shared" si="61"/>
        <v/>
      </c>
      <c r="BZ179" s="46" t="str">
        <f t="shared" si="61"/>
        <v/>
      </c>
      <c r="CA179" s="46" t="str">
        <f t="shared" si="61"/>
        <v/>
      </c>
      <c r="CB179" s="46" t="str">
        <f t="shared" si="61"/>
        <v/>
      </c>
      <c r="CC179" s="46" t="str">
        <f t="shared" si="61"/>
        <v/>
      </c>
      <c r="CD179" s="46" t="str">
        <f t="shared" si="61"/>
        <v/>
      </c>
      <c r="CE179" s="46" t="str">
        <f t="shared" si="61"/>
        <v/>
      </c>
      <c r="CF179" s="46" t="str">
        <f t="shared" si="61"/>
        <v/>
      </c>
      <c r="CG179" s="46" t="str">
        <f t="shared" si="61"/>
        <v/>
      </c>
      <c r="CH179" s="46" t="str">
        <f t="shared" si="61"/>
        <v/>
      </c>
      <c r="CI179" s="46" t="str">
        <f t="shared" si="61"/>
        <v/>
      </c>
      <c r="CJ179" s="46" t="str">
        <f t="shared" si="61"/>
        <v/>
      </c>
      <c r="CK179" s="46" t="str">
        <f t="shared" si="61"/>
        <v/>
      </c>
      <c r="CL179" s="46" t="str">
        <f t="shared" si="61"/>
        <v/>
      </c>
      <c r="CM179" s="46" t="str">
        <f t="shared" si="61"/>
        <v/>
      </c>
      <c r="CN179" s="46" t="str">
        <f t="shared" si="61"/>
        <v/>
      </c>
      <c r="CO179" s="46" t="str">
        <f t="shared" si="61"/>
        <v/>
      </c>
      <c r="CP179" s="46" t="str">
        <f t="shared" si="61"/>
        <v/>
      </c>
      <c r="CQ179" s="46" t="str">
        <f t="shared" si="61"/>
        <v/>
      </c>
      <c r="CR179" s="46" t="str">
        <f t="shared" si="61"/>
        <v/>
      </c>
      <c r="CS179" s="46" t="str">
        <f t="shared" si="61"/>
        <v/>
      </c>
      <c r="CT179" s="46" t="str">
        <f t="shared" si="61"/>
        <v/>
      </c>
      <c r="CU179" s="46" t="str">
        <f t="shared" si="61"/>
        <v/>
      </c>
      <c r="CV179" s="46" t="str">
        <f t="shared" ref="CV179:DH179" si="62">IF(CV23="X",$DK23,"")</f>
        <v/>
      </c>
      <c r="CW179" s="46" t="str">
        <f t="shared" si="62"/>
        <v/>
      </c>
      <c r="CX179" s="46" t="str">
        <f t="shared" si="62"/>
        <v/>
      </c>
      <c r="CY179" s="46" t="str">
        <f t="shared" si="62"/>
        <v/>
      </c>
      <c r="CZ179" s="46" t="str">
        <f t="shared" si="62"/>
        <v/>
      </c>
      <c r="DA179" s="46" t="str">
        <f t="shared" si="62"/>
        <v/>
      </c>
      <c r="DB179" s="46" t="str">
        <f t="shared" si="62"/>
        <v/>
      </c>
      <c r="DC179" s="46" t="str">
        <f t="shared" si="62"/>
        <v/>
      </c>
      <c r="DD179" s="46" t="str">
        <f t="shared" si="62"/>
        <v/>
      </c>
      <c r="DE179" s="46" t="str">
        <f t="shared" si="62"/>
        <v/>
      </c>
      <c r="DF179" s="46" t="str">
        <f t="shared" si="62"/>
        <v/>
      </c>
      <c r="DG179" s="46" t="str">
        <f t="shared" si="62"/>
        <v/>
      </c>
      <c r="DH179" s="46">
        <f t="shared" si="62"/>
        <v>1</v>
      </c>
      <c r="DL179" s="6"/>
    </row>
    <row r="180" spans="1:116" x14ac:dyDescent="0.25">
      <c r="B180" s="91"/>
      <c r="C180" s="46" t="str">
        <f t="shared" si="50"/>
        <v/>
      </c>
      <c r="D180" s="46" t="str">
        <f t="shared" ref="D180:AI180" si="63">IF(D24="X",$DK24,"")</f>
        <v/>
      </c>
      <c r="E180" s="46" t="str">
        <f t="shared" si="63"/>
        <v/>
      </c>
      <c r="F180" s="46" t="str">
        <f t="shared" si="63"/>
        <v/>
      </c>
      <c r="G180" s="46" t="str">
        <f t="shared" si="63"/>
        <v/>
      </c>
      <c r="H180" s="46" t="str">
        <f t="shared" si="63"/>
        <v/>
      </c>
      <c r="I180" s="46" t="str">
        <f t="shared" si="63"/>
        <v/>
      </c>
      <c r="J180" s="46" t="str">
        <f t="shared" si="63"/>
        <v/>
      </c>
      <c r="K180" s="46" t="str">
        <f t="shared" si="63"/>
        <v/>
      </c>
      <c r="L180" s="46" t="str">
        <f t="shared" si="63"/>
        <v/>
      </c>
      <c r="M180" s="46" t="str">
        <f t="shared" si="63"/>
        <v/>
      </c>
      <c r="N180" s="46" t="str">
        <f t="shared" si="63"/>
        <v/>
      </c>
      <c r="O180" s="46" t="str">
        <f t="shared" si="63"/>
        <v/>
      </c>
      <c r="P180" s="46" t="str">
        <f t="shared" si="63"/>
        <v/>
      </c>
      <c r="Q180" s="46" t="str">
        <f t="shared" si="63"/>
        <v/>
      </c>
      <c r="R180" s="46" t="str">
        <f t="shared" si="63"/>
        <v/>
      </c>
      <c r="S180" s="46" t="str">
        <f t="shared" si="63"/>
        <v/>
      </c>
      <c r="T180" s="46" t="str">
        <f t="shared" si="63"/>
        <v/>
      </c>
      <c r="U180" s="46" t="str">
        <f t="shared" si="63"/>
        <v/>
      </c>
      <c r="V180" s="46" t="str">
        <f t="shared" si="63"/>
        <v/>
      </c>
      <c r="W180" s="46" t="str">
        <f t="shared" si="63"/>
        <v/>
      </c>
      <c r="X180" s="46" t="str">
        <f t="shared" si="63"/>
        <v/>
      </c>
      <c r="Y180" s="46" t="str">
        <f t="shared" si="63"/>
        <v/>
      </c>
      <c r="Z180" s="46" t="str">
        <f t="shared" si="63"/>
        <v/>
      </c>
      <c r="AA180" s="46" t="str">
        <f t="shared" si="63"/>
        <v/>
      </c>
      <c r="AB180" s="46" t="str">
        <f t="shared" si="63"/>
        <v/>
      </c>
      <c r="AC180" s="46" t="str">
        <f t="shared" si="63"/>
        <v/>
      </c>
      <c r="AD180" s="46" t="str">
        <f t="shared" si="63"/>
        <v/>
      </c>
      <c r="AE180" s="46" t="str">
        <f t="shared" si="63"/>
        <v/>
      </c>
      <c r="AF180" s="46" t="str">
        <f t="shared" si="63"/>
        <v/>
      </c>
      <c r="AG180" s="46" t="str">
        <f t="shared" si="63"/>
        <v/>
      </c>
      <c r="AH180" s="46" t="str">
        <f t="shared" si="63"/>
        <v/>
      </c>
      <c r="AI180" s="46" t="str">
        <f t="shared" si="63"/>
        <v/>
      </c>
      <c r="AJ180" s="46" t="str">
        <f t="shared" ref="AJ180:CU180" si="64">IF(AJ24="X",$DK24,"")</f>
        <v/>
      </c>
      <c r="AK180" s="46" t="str">
        <f t="shared" si="64"/>
        <v/>
      </c>
      <c r="AL180" s="46" t="str">
        <f t="shared" si="64"/>
        <v/>
      </c>
      <c r="AM180" s="46" t="str">
        <f t="shared" si="64"/>
        <v/>
      </c>
      <c r="AN180" s="46" t="str">
        <f t="shared" si="64"/>
        <v/>
      </c>
      <c r="AO180" s="46">
        <f t="shared" si="64"/>
        <v>4</v>
      </c>
      <c r="AP180" s="46" t="str">
        <f t="shared" si="64"/>
        <v/>
      </c>
      <c r="AQ180" s="46" t="str">
        <f t="shared" si="64"/>
        <v/>
      </c>
      <c r="AR180" s="46" t="str">
        <f t="shared" si="64"/>
        <v/>
      </c>
      <c r="AS180" s="46" t="str">
        <f t="shared" si="64"/>
        <v/>
      </c>
      <c r="AT180" s="46" t="str">
        <f t="shared" si="64"/>
        <v/>
      </c>
      <c r="AU180" s="46" t="str">
        <f t="shared" si="64"/>
        <v/>
      </c>
      <c r="AV180" s="46" t="str">
        <f t="shared" si="64"/>
        <v/>
      </c>
      <c r="AW180" s="46" t="str">
        <f t="shared" si="64"/>
        <v/>
      </c>
      <c r="AX180" s="46" t="str">
        <f t="shared" si="64"/>
        <v/>
      </c>
      <c r="AY180" s="46" t="str">
        <f t="shared" si="64"/>
        <v/>
      </c>
      <c r="AZ180" s="46" t="str">
        <f t="shared" si="64"/>
        <v/>
      </c>
      <c r="BA180" s="46" t="str">
        <f t="shared" si="64"/>
        <v/>
      </c>
      <c r="BB180" s="46" t="str">
        <f t="shared" si="64"/>
        <v/>
      </c>
      <c r="BC180" s="46" t="str">
        <f t="shared" si="64"/>
        <v/>
      </c>
      <c r="BD180" s="46" t="str">
        <f t="shared" si="64"/>
        <v/>
      </c>
      <c r="BE180" s="46" t="str">
        <f t="shared" si="64"/>
        <v/>
      </c>
      <c r="BF180" s="46" t="str">
        <f t="shared" si="64"/>
        <v/>
      </c>
      <c r="BG180" s="46" t="str">
        <f t="shared" si="64"/>
        <v/>
      </c>
      <c r="BH180" s="46" t="str">
        <f t="shared" si="64"/>
        <v/>
      </c>
      <c r="BI180" s="46" t="str">
        <f t="shared" si="64"/>
        <v/>
      </c>
      <c r="BJ180" s="46" t="str">
        <f t="shared" si="64"/>
        <v/>
      </c>
      <c r="BK180" s="46" t="str">
        <f t="shared" si="64"/>
        <v/>
      </c>
      <c r="BL180" s="46" t="str">
        <f t="shared" si="64"/>
        <v/>
      </c>
      <c r="BM180" s="46" t="str">
        <f t="shared" si="64"/>
        <v/>
      </c>
      <c r="BN180" s="46" t="str">
        <f t="shared" si="64"/>
        <v/>
      </c>
      <c r="BO180" s="46" t="str">
        <f t="shared" si="64"/>
        <v/>
      </c>
      <c r="BP180" s="46" t="str">
        <f t="shared" si="64"/>
        <v/>
      </c>
      <c r="BQ180" s="46" t="str">
        <f t="shared" si="64"/>
        <v/>
      </c>
      <c r="BR180" s="46" t="str">
        <f t="shared" si="64"/>
        <v/>
      </c>
      <c r="BS180" s="46" t="str">
        <f t="shared" si="64"/>
        <v/>
      </c>
      <c r="BT180" s="46" t="str">
        <f t="shared" si="64"/>
        <v/>
      </c>
      <c r="BU180" s="46" t="str">
        <f t="shared" si="64"/>
        <v/>
      </c>
      <c r="BV180" s="46" t="str">
        <f t="shared" si="64"/>
        <v/>
      </c>
      <c r="BW180" s="46" t="str">
        <f t="shared" si="64"/>
        <v/>
      </c>
      <c r="BX180" s="46" t="str">
        <f t="shared" si="64"/>
        <v/>
      </c>
      <c r="BY180" s="46" t="str">
        <f t="shared" si="64"/>
        <v/>
      </c>
      <c r="BZ180" s="46" t="str">
        <f t="shared" si="64"/>
        <v/>
      </c>
      <c r="CA180" s="46" t="str">
        <f t="shared" si="64"/>
        <v/>
      </c>
      <c r="CB180" s="46" t="str">
        <f t="shared" si="64"/>
        <v/>
      </c>
      <c r="CC180" s="46" t="str">
        <f t="shared" si="64"/>
        <v/>
      </c>
      <c r="CD180" s="46" t="str">
        <f t="shared" si="64"/>
        <v/>
      </c>
      <c r="CE180" s="46" t="str">
        <f t="shared" si="64"/>
        <v/>
      </c>
      <c r="CF180" s="46" t="str">
        <f t="shared" si="64"/>
        <v/>
      </c>
      <c r="CG180" s="46" t="str">
        <f t="shared" si="64"/>
        <v/>
      </c>
      <c r="CH180" s="46" t="str">
        <f t="shared" si="64"/>
        <v/>
      </c>
      <c r="CI180" s="46" t="str">
        <f t="shared" si="64"/>
        <v/>
      </c>
      <c r="CJ180" s="46" t="str">
        <f t="shared" si="64"/>
        <v/>
      </c>
      <c r="CK180" s="46" t="str">
        <f t="shared" si="64"/>
        <v/>
      </c>
      <c r="CL180" s="46" t="str">
        <f t="shared" si="64"/>
        <v/>
      </c>
      <c r="CM180" s="46" t="str">
        <f t="shared" si="64"/>
        <v/>
      </c>
      <c r="CN180" s="46" t="str">
        <f t="shared" si="64"/>
        <v/>
      </c>
      <c r="CO180" s="46" t="str">
        <f t="shared" si="64"/>
        <v/>
      </c>
      <c r="CP180" s="46" t="str">
        <f t="shared" si="64"/>
        <v/>
      </c>
      <c r="CQ180" s="46" t="str">
        <f t="shared" si="64"/>
        <v/>
      </c>
      <c r="CR180" s="46" t="str">
        <f t="shared" si="64"/>
        <v/>
      </c>
      <c r="CS180" s="46" t="str">
        <f t="shared" si="64"/>
        <v/>
      </c>
      <c r="CT180" s="46" t="str">
        <f t="shared" si="64"/>
        <v/>
      </c>
      <c r="CU180" s="46" t="str">
        <f t="shared" si="64"/>
        <v/>
      </c>
      <c r="CV180" s="46" t="str">
        <f t="shared" ref="CV180:DH180" si="65">IF(CV24="X",$DK24,"")</f>
        <v/>
      </c>
      <c r="CW180" s="46" t="str">
        <f t="shared" si="65"/>
        <v/>
      </c>
      <c r="CX180" s="46" t="str">
        <f t="shared" si="65"/>
        <v/>
      </c>
      <c r="CY180" s="46" t="str">
        <f t="shared" si="65"/>
        <v/>
      </c>
      <c r="CZ180" s="46" t="str">
        <f t="shared" si="65"/>
        <v/>
      </c>
      <c r="DA180" s="46" t="str">
        <f t="shared" si="65"/>
        <v/>
      </c>
      <c r="DB180" s="46" t="str">
        <f t="shared" si="65"/>
        <v/>
      </c>
      <c r="DC180" s="46" t="str">
        <f t="shared" si="65"/>
        <v/>
      </c>
      <c r="DD180" s="46" t="str">
        <f t="shared" si="65"/>
        <v/>
      </c>
      <c r="DE180" s="46" t="str">
        <f t="shared" si="65"/>
        <v/>
      </c>
      <c r="DF180" s="46" t="str">
        <f t="shared" si="65"/>
        <v/>
      </c>
      <c r="DG180" s="46" t="str">
        <f t="shared" si="65"/>
        <v/>
      </c>
      <c r="DH180" s="46" t="str">
        <f t="shared" si="65"/>
        <v/>
      </c>
      <c r="DL180" s="6"/>
    </row>
    <row r="181" spans="1:116" x14ac:dyDescent="0.25">
      <c r="B181" s="91"/>
      <c r="C181" s="46" t="str">
        <f t="shared" si="50"/>
        <v/>
      </c>
      <c r="D181" s="46" t="str">
        <f t="shared" ref="D181:AI181" si="66">IF(D25="X",$DK25,"")</f>
        <v/>
      </c>
      <c r="E181" s="46" t="str">
        <f t="shared" si="66"/>
        <v/>
      </c>
      <c r="F181" s="46" t="str">
        <f t="shared" si="66"/>
        <v/>
      </c>
      <c r="G181" s="46" t="str">
        <f t="shared" si="66"/>
        <v/>
      </c>
      <c r="H181" s="46" t="str">
        <f t="shared" si="66"/>
        <v/>
      </c>
      <c r="I181" s="46" t="str">
        <f t="shared" si="66"/>
        <v/>
      </c>
      <c r="J181" s="46" t="str">
        <f t="shared" si="66"/>
        <v/>
      </c>
      <c r="K181" s="46" t="str">
        <f t="shared" si="66"/>
        <v/>
      </c>
      <c r="L181" s="46" t="str">
        <f t="shared" si="66"/>
        <v/>
      </c>
      <c r="M181" s="46" t="str">
        <f t="shared" si="66"/>
        <v/>
      </c>
      <c r="N181" s="46" t="str">
        <f t="shared" si="66"/>
        <v/>
      </c>
      <c r="O181" s="46" t="str">
        <f t="shared" si="66"/>
        <v/>
      </c>
      <c r="P181" s="46" t="str">
        <f t="shared" si="66"/>
        <v/>
      </c>
      <c r="Q181" s="46" t="str">
        <f t="shared" si="66"/>
        <v/>
      </c>
      <c r="R181" s="46" t="str">
        <f t="shared" si="66"/>
        <v/>
      </c>
      <c r="S181" s="46" t="str">
        <f t="shared" si="66"/>
        <v/>
      </c>
      <c r="T181" s="46" t="str">
        <f t="shared" si="66"/>
        <v/>
      </c>
      <c r="U181" s="46" t="str">
        <f t="shared" si="66"/>
        <v/>
      </c>
      <c r="V181" s="46" t="str">
        <f t="shared" si="66"/>
        <v/>
      </c>
      <c r="W181" s="46" t="str">
        <f t="shared" si="66"/>
        <v/>
      </c>
      <c r="X181" s="46" t="str">
        <f t="shared" si="66"/>
        <v/>
      </c>
      <c r="Y181" s="46" t="str">
        <f t="shared" si="66"/>
        <v/>
      </c>
      <c r="Z181" s="46" t="str">
        <f t="shared" si="66"/>
        <v/>
      </c>
      <c r="AA181" s="46" t="str">
        <f t="shared" si="66"/>
        <v/>
      </c>
      <c r="AB181" s="46" t="str">
        <f t="shared" si="66"/>
        <v/>
      </c>
      <c r="AC181" s="46" t="str">
        <f t="shared" si="66"/>
        <v/>
      </c>
      <c r="AD181" s="46" t="str">
        <f t="shared" si="66"/>
        <v/>
      </c>
      <c r="AE181" s="46" t="str">
        <f t="shared" si="66"/>
        <v/>
      </c>
      <c r="AF181" s="46" t="str">
        <f t="shared" si="66"/>
        <v/>
      </c>
      <c r="AG181" s="46" t="str">
        <f t="shared" si="66"/>
        <v/>
      </c>
      <c r="AH181" s="46" t="str">
        <f t="shared" si="66"/>
        <v/>
      </c>
      <c r="AI181" s="46" t="str">
        <f t="shared" si="66"/>
        <v/>
      </c>
      <c r="AJ181" s="46" t="str">
        <f t="shared" ref="AJ181:CU181" si="67">IF(AJ25="X",$DK25,"")</f>
        <v/>
      </c>
      <c r="AK181" s="46" t="str">
        <f t="shared" si="67"/>
        <v/>
      </c>
      <c r="AL181" s="46" t="str">
        <f t="shared" si="67"/>
        <v/>
      </c>
      <c r="AM181" s="46" t="str">
        <f t="shared" si="67"/>
        <v/>
      </c>
      <c r="AN181" s="46" t="str">
        <f t="shared" si="67"/>
        <v/>
      </c>
      <c r="AO181" s="46">
        <f t="shared" si="67"/>
        <v>4</v>
      </c>
      <c r="AP181" s="46" t="str">
        <f t="shared" si="67"/>
        <v/>
      </c>
      <c r="AQ181" s="46" t="str">
        <f t="shared" si="67"/>
        <v/>
      </c>
      <c r="AR181" s="46" t="str">
        <f t="shared" si="67"/>
        <v/>
      </c>
      <c r="AS181" s="46" t="str">
        <f t="shared" si="67"/>
        <v/>
      </c>
      <c r="AT181" s="46" t="str">
        <f t="shared" si="67"/>
        <v/>
      </c>
      <c r="AU181" s="46" t="str">
        <f t="shared" si="67"/>
        <v/>
      </c>
      <c r="AV181" s="46" t="str">
        <f t="shared" si="67"/>
        <v/>
      </c>
      <c r="AW181" s="46" t="str">
        <f t="shared" si="67"/>
        <v/>
      </c>
      <c r="AX181" s="46" t="str">
        <f t="shared" si="67"/>
        <v/>
      </c>
      <c r="AY181" s="46" t="str">
        <f t="shared" si="67"/>
        <v/>
      </c>
      <c r="AZ181" s="46" t="str">
        <f t="shared" si="67"/>
        <v/>
      </c>
      <c r="BA181" s="46" t="str">
        <f t="shared" si="67"/>
        <v/>
      </c>
      <c r="BB181" s="46" t="str">
        <f t="shared" si="67"/>
        <v/>
      </c>
      <c r="BC181" s="46" t="str">
        <f t="shared" si="67"/>
        <v/>
      </c>
      <c r="BD181" s="46" t="str">
        <f t="shared" si="67"/>
        <v/>
      </c>
      <c r="BE181" s="46" t="str">
        <f t="shared" si="67"/>
        <v/>
      </c>
      <c r="BF181" s="46" t="str">
        <f t="shared" si="67"/>
        <v/>
      </c>
      <c r="BG181" s="46" t="str">
        <f t="shared" si="67"/>
        <v/>
      </c>
      <c r="BH181" s="46" t="str">
        <f t="shared" si="67"/>
        <v/>
      </c>
      <c r="BI181" s="46" t="str">
        <f t="shared" si="67"/>
        <v/>
      </c>
      <c r="BJ181" s="46" t="str">
        <f t="shared" si="67"/>
        <v/>
      </c>
      <c r="BK181" s="46" t="str">
        <f t="shared" si="67"/>
        <v/>
      </c>
      <c r="BL181" s="46" t="str">
        <f t="shared" si="67"/>
        <v/>
      </c>
      <c r="BM181" s="46" t="str">
        <f t="shared" si="67"/>
        <v/>
      </c>
      <c r="BN181" s="46" t="str">
        <f t="shared" si="67"/>
        <v/>
      </c>
      <c r="BO181" s="46" t="str">
        <f t="shared" si="67"/>
        <v/>
      </c>
      <c r="BP181" s="46" t="str">
        <f t="shared" si="67"/>
        <v/>
      </c>
      <c r="BQ181" s="46" t="str">
        <f t="shared" si="67"/>
        <v/>
      </c>
      <c r="BR181" s="46" t="str">
        <f t="shared" si="67"/>
        <v/>
      </c>
      <c r="BS181" s="46" t="str">
        <f t="shared" si="67"/>
        <v/>
      </c>
      <c r="BT181" s="46" t="str">
        <f t="shared" si="67"/>
        <v/>
      </c>
      <c r="BU181" s="46" t="str">
        <f t="shared" si="67"/>
        <v/>
      </c>
      <c r="BV181" s="46" t="str">
        <f t="shared" si="67"/>
        <v/>
      </c>
      <c r="BW181" s="46" t="str">
        <f t="shared" si="67"/>
        <v/>
      </c>
      <c r="BX181" s="46" t="str">
        <f t="shared" si="67"/>
        <v/>
      </c>
      <c r="BY181" s="46" t="str">
        <f t="shared" si="67"/>
        <v/>
      </c>
      <c r="BZ181" s="46" t="str">
        <f t="shared" si="67"/>
        <v/>
      </c>
      <c r="CA181" s="46" t="str">
        <f t="shared" si="67"/>
        <v/>
      </c>
      <c r="CB181" s="46" t="str">
        <f t="shared" si="67"/>
        <v/>
      </c>
      <c r="CC181" s="46" t="str">
        <f t="shared" si="67"/>
        <v/>
      </c>
      <c r="CD181" s="46" t="str">
        <f t="shared" si="67"/>
        <v/>
      </c>
      <c r="CE181" s="46" t="str">
        <f t="shared" si="67"/>
        <v/>
      </c>
      <c r="CF181" s="46" t="str">
        <f t="shared" si="67"/>
        <v/>
      </c>
      <c r="CG181" s="46" t="str">
        <f t="shared" si="67"/>
        <v/>
      </c>
      <c r="CH181" s="46" t="str">
        <f t="shared" si="67"/>
        <v/>
      </c>
      <c r="CI181" s="46" t="str">
        <f t="shared" si="67"/>
        <v/>
      </c>
      <c r="CJ181" s="46" t="str">
        <f t="shared" si="67"/>
        <v/>
      </c>
      <c r="CK181" s="46" t="str">
        <f t="shared" si="67"/>
        <v/>
      </c>
      <c r="CL181" s="46" t="str">
        <f t="shared" si="67"/>
        <v/>
      </c>
      <c r="CM181" s="46" t="str">
        <f t="shared" si="67"/>
        <v/>
      </c>
      <c r="CN181" s="46" t="str">
        <f t="shared" si="67"/>
        <v/>
      </c>
      <c r="CO181" s="46" t="str">
        <f t="shared" si="67"/>
        <v/>
      </c>
      <c r="CP181" s="46" t="str">
        <f t="shared" si="67"/>
        <v/>
      </c>
      <c r="CQ181" s="46" t="str">
        <f t="shared" si="67"/>
        <v/>
      </c>
      <c r="CR181" s="46" t="str">
        <f t="shared" si="67"/>
        <v/>
      </c>
      <c r="CS181" s="46" t="str">
        <f t="shared" si="67"/>
        <v/>
      </c>
      <c r="CT181" s="46" t="str">
        <f t="shared" si="67"/>
        <v/>
      </c>
      <c r="CU181" s="46" t="str">
        <f t="shared" si="67"/>
        <v/>
      </c>
      <c r="CV181" s="46" t="str">
        <f t="shared" ref="CV181:DH181" si="68">IF(CV25="X",$DK25,"")</f>
        <v/>
      </c>
      <c r="CW181" s="46" t="str">
        <f t="shared" si="68"/>
        <v/>
      </c>
      <c r="CX181" s="46" t="str">
        <f t="shared" si="68"/>
        <v/>
      </c>
      <c r="CY181" s="46" t="str">
        <f t="shared" si="68"/>
        <v/>
      </c>
      <c r="CZ181" s="46" t="str">
        <f t="shared" si="68"/>
        <v/>
      </c>
      <c r="DA181" s="46" t="str">
        <f t="shared" si="68"/>
        <v/>
      </c>
      <c r="DB181" s="46" t="str">
        <f t="shared" si="68"/>
        <v/>
      </c>
      <c r="DC181" s="46" t="str">
        <f t="shared" si="68"/>
        <v/>
      </c>
      <c r="DD181" s="46" t="str">
        <f t="shared" si="68"/>
        <v/>
      </c>
      <c r="DE181" s="46">
        <f t="shared" si="68"/>
        <v>4</v>
      </c>
      <c r="DF181" s="46">
        <f t="shared" si="68"/>
        <v>4</v>
      </c>
      <c r="DG181" s="46">
        <f t="shared" si="68"/>
        <v>4</v>
      </c>
      <c r="DH181" s="46" t="str">
        <f t="shared" si="68"/>
        <v/>
      </c>
      <c r="DL181" s="6"/>
    </row>
    <row r="182" spans="1:116" x14ac:dyDescent="0.25">
      <c r="B182" s="91"/>
      <c r="C182" s="46" t="str">
        <f t="shared" si="50"/>
        <v/>
      </c>
      <c r="D182" s="46" t="str">
        <f t="shared" ref="D182:AI182" si="69">IF(D26="X",$DK26,"")</f>
        <v/>
      </c>
      <c r="E182" s="46" t="str">
        <f t="shared" si="69"/>
        <v/>
      </c>
      <c r="F182" s="46" t="str">
        <f t="shared" si="69"/>
        <v/>
      </c>
      <c r="G182" s="46" t="str">
        <f t="shared" si="69"/>
        <v/>
      </c>
      <c r="H182" s="46" t="str">
        <f t="shared" si="69"/>
        <v/>
      </c>
      <c r="I182" s="46" t="str">
        <f t="shared" si="69"/>
        <v/>
      </c>
      <c r="J182" s="46" t="str">
        <f t="shared" si="69"/>
        <v/>
      </c>
      <c r="K182" s="46" t="str">
        <f t="shared" si="69"/>
        <v/>
      </c>
      <c r="L182" s="46" t="str">
        <f t="shared" si="69"/>
        <v/>
      </c>
      <c r="M182" s="46" t="str">
        <f t="shared" si="69"/>
        <v/>
      </c>
      <c r="N182" s="46" t="str">
        <f t="shared" si="69"/>
        <v/>
      </c>
      <c r="O182" s="46" t="str">
        <f t="shared" si="69"/>
        <v/>
      </c>
      <c r="P182" s="46" t="str">
        <f t="shared" si="69"/>
        <v/>
      </c>
      <c r="Q182" s="46" t="str">
        <f t="shared" si="69"/>
        <v/>
      </c>
      <c r="R182" s="46" t="str">
        <f t="shared" si="69"/>
        <v/>
      </c>
      <c r="S182" s="46" t="str">
        <f t="shared" si="69"/>
        <v/>
      </c>
      <c r="T182" s="46" t="str">
        <f t="shared" si="69"/>
        <v/>
      </c>
      <c r="U182" s="46" t="str">
        <f t="shared" si="69"/>
        <v/>
      </c>
      <c r="V182" s="46" t="str">
        <f t="shared" si="69"/>
        <v/>
      </c>
      <c r="W182" s="46" t="str">
        <f t="shared" si="69"/>
        <v/>
      </c>
      <c r="X182" s="46" t="str">
        <f t="shared" si="69"/>
        <v/>
      </c>
      <c r="Y182" s="46" t="str">
        <f t="shared" si="69"/>
        <v/>
      </c>
      <c r="Z182" s="46" t="str">
        <f t="shared" si="69"/>
        <v/>
      </c>
      <c r="AA182" s="46" t="str">
        <f t="shared" si="69"/>
        <v/>
      </c>
      <c r="AB182" s="46" t="str">
        <f t="shared" si="69"/>
        <v/>
      </c>
      <c r="AC182" s="46" t="str">
        <f t="shared" si="69"/>
        <v/>
      </c>
      <c r="AD182" s="46" t="str">
        <f t="shared" si="69"/>
        <v/>
      </c>
      <c r="AE182" s="46" t="str">
        <f t="shared" si="69"/>
        <v/>
      </c>
      <c r="AF182" s="46" t="str">
        <f t="shared" si="69"/>
        <v/>
      </c>
      <c r="AG182" s="46" t="str">
        <f t="shared" si="69"/>
        <v/>
      </c>
      <c r="AH182" s="46" t="str">
        <f t="shared" si="69"/>
        <v/>
      </c>
      <c r="AI182" s="46" t="str">
        <f t="shared" si="69"/>
        <v/>
      </c>
      <c r="AJ182" s="46" t="str">
        <f t="shared" ref="AJ182:CU182" si="70">IF(AJ26="X",$DK26,"")</f>
        <v/>
      </c>
      <c r="AK182" s="46" t="str">
        <f t="shared" si="70"/>
        <v/>
      </c>
      <c r="AL182" s="46" t="str">
        <f t="shared" si="70"/>
        <v/>
      </c>
      <c r="AM182" s="46" t="str">
        <f t="shared" si="70"/>
        <v/>
      </c>
      <c r="AN182" s="46" t="str">
        <f t="shared" si="70"/>
        <v/>
      </c>
      <c r="AO182" s="46" t="str">
        <f t="shared" si="70"/>
        <v/>
      </c>
      <c r="AP182" s="46" t="str">
        <f t="shared" si="70"/>
        <v/>
      </c>
      <c r="AQ182" s="46" t="str">
        <f t="shared" si="70"/>
        <v/>
      </c>
      <c r="AR182" s="46" t="str">
        <f t="shared" si="70"/>
        <v/>
      </c>
      <c r="AS182" s="46" t="str">
        <f t="shared" si="70"/>
        <v/>
      </c>
      <c r="AT182" s="46">
        <f t="shared" si="70"/>
        <v>16</v>
      </c>
      <c r="AU182" s="46" t="str">
        <f t="shared" si="70"/>
        <v/>
      </c>
      <c r="AV182" s="46" t="str">
        <f t="shared" si="70"/>
        <v/>
      </c>
      <c r="AW182" s="46" t="str">
        <f t="shared" si="70"/>
        <v/>
      </c>
      <c r="AX182" s="46" t="str">
        <f t="shared" si="70"/>
        <v/>
      </c>
      <c r="AY182" s="46" t="str">
        <f t="shared" si="70"/>
        <v/>
      </c>
      <c r="AZ182" s="46" t="str">
        <f t="shared" si="70"/>
        <v/>
      </c>
      <c r="BA182" s="46" t="str">
        <f t="shared" si="70"/>
        <v/>
      </c>
      <c r="BB182" s="46" t="str">
        <f t="shared" si="70"/>
        <v/>
      </c>
      <c r="BC182" s="46" t="str">
        <f t="shared" si="70"/>
        <v/>
      </c>
      <c r="BD182" s="46" t="str">
        <f t="shared" si="70"/>
        <v/>
      </c>
      <c r="BE182" s="46" t="str">
        <f t="shared" si="70"/>
        <v/>
      </c>
      <c r="BF182" s="46" t="str">
        <f t="shared" si="70"/>
        <v/>
      </c>
      <c r="BG182" s="46" t="str">
        <f t="shared" si="70"/>
        <v/>
      </c>
      <c r="BH182" s="46" t="str">
        <f t="shared" si="70"/>
        <v/>
      </c>
      <c r="BI182" s="46" t="str">
        <f t="shared" si="70"/>
        <v/>
      </c>
      <c r="BJ182" s="46" t="str">
        <f t="shared" si="70"/>
        <v/>
      </c>
      <c r="BK182" s="46" t="str">
        <f t="shared" si="70"/>
        <v/>
      </c>
      <c r="BL182" s="46" t="str">
        <f t="shared" si="70"/>
        <v/>
      </c>
      <c r="BM182" s="46">
        <f t="shared" si="70"/>
        <v>16</v>
      </c>
      <c r="BN182" s="46" t="str">
        <f t="shared" si="70"/>
        <v/>
      </c>
      <c r="BO182" s="46" t="str">
        <f t="shared" si="70"/>
        <v/>
      </c>
      <c r="BP182" s="46" t="str">
        <f t="shared" si="70"/>
        <v/>
      </c>
      <c r="BQ182" s="46" t="str">
        <f t="shared" si="70"/>
        <v/>
      </c>
      <c r="BR182" s="46" t="str">
        <f t="shared" si="70"/>
        <v/>
      </c>
      <c r="BS182" s="46" t="str">
        <f t="shared" si="70"/>
        <v/>
      </c>
      <c r="BT182" s="46" t="str">
        <f t="shared" si="70"/>
        <v/>
      </c>
      <c r="BU182" s="46" t="str">
        <f t="shared" si="70"/>
        <v/>
      </c>
      <c r="BV182" s="46" t="str">
        <f t="shared" si="70"/>
        <v/>
      </c>
      <c r="BW182" s="46" t="str">
        <f t="shared" si="70"/>
        <v/>
      </c>
      <c r="BX182" s="46" t="str">
        <f t="shared" si="70"/>
        <v/>
      </c>
      <c r="BY182" s="46" t="str">
        <f t="shared" si="70"/>
        <v/>
      </c>
      <c r="BZ182" s="46" t="str">
        <f t="shared" si="70"/>
        <v/>
      </c>
      <c r="CA182" s="46" t="str">
        <f t="shared" si="70"/>
        <v/>
      </c>
      <c r="CB182" s="46" t="str">
        <f t="shared" si="70"/>
        <v/>
      </c>
      <c r="CC182" s="46" t="str">
        <f t="shared" si="70"/>
        <v/>
      </c>
      <c r="CD182" s="46" t="str">
        <f t="shared" si="70"/>
        <v/>
      </c>
      <c r="CE182" s="46" t="str">
        <f t="shared" si="70"/>
        <v/>
      </c>
      <c r="CF182" s="46" t="str">
        <f t="shared" si="70"/>
        <v/>
      </c>
      <c r="CG182" s="46" t="str">
        <f t="shared" si="70"/>
        <v/>
      </c>
      <c r="CH182" s="46" t="str">
        <f t="shared" si="70"/>
        <v/>
      </c>
      <c r="CI182" s="46" t="str">
        <f t="shared" si="70"/>
        <v/>
      </c>
      <c r="CJ182" s="46" t="str">
        <f t="shared" si="70"/>
        <v/>
      </c>
      <c r="CK182" s="46" t="str">
        <f t="shared" si="70"/>
        <v/>
      </c>
      <c r="CL182" s="46" t="str">
        <f t="shared" si="70"/>
        <v/>
      </c>
      <c r="CM182" s="46" t="str">
        <f t="shared" si="70"/>
        <v/>
      </c>
      <c r="CN182" s="46" t="str">
        <f t="shared" si="70"/>
        <v/>
      </c>
      <c r="CO182" s="46" t="str">
        <f t="shared" si="70"/>
        <v/>
      </c>
      <c r="CP182" s="46" t="str">
        <f t="shared" si="70"/>
        <v/>
      </c>
      <c r="CQ182" s="46" t="str">
        <f t="shared" si="70"/>
        <v/>
      </c>
      <c r="CR182" s="46" t="str">
        <f t="shared" si="70"/>
        <v/>
      </c>
      <c r="CS182" s="46" t="str">
        <f t="shared" si="70"/>
        <v/>
      </c>
      <c r="CT182" s="46" t="str">
        <f t="shared" si="70"/>
        <v/>
      </c>
      <c r="CU182" s="46" t="str">
        <f t="shared" si="70"/>
        <v/>
      </c>
      <c r="CV182" s="46" t="str">
        <f t="shared" ref="CV182:DH182" si="71">IF(CV26="X",$DK26,"")</f>
        <v/>
      </c>
      <c r="CW182" s="46" t="str">
        <f t="shared" si="71"/>
        <v/>
      </c>
      <c r="CX182" s="46">
        <f t="shared" si="71"/>
        <v>16</v>
      </c>
      <c r="CY182" s="46" t="str">
        <f t="shared" si="71"/>
        <v/>
      </c>
      <c r="CZ182" s="46" t="str">
        <f t="shared" si="71"/>
        <v/>
      </c>
      <c r="DA182" s="46" t="str">
        <f t="shared" si="71"/>
        <v/>
      </c>
      <c r="DB182" s="46" t="str">
        <f t="shared" si="71"/>
        <v/>
      </c>
      <c r="DC182" s="46">
        <f t="shared" si="71"/>
        <v>16</v>
      </c>
      <c r="DD182" s="46">
        <f t="shared" si="71"/>
        <v>16</v>
      </c>
      <c r="DE182" s="46" t="str">
        <f t="shared" si="71"/>
        <v/>
      </c>
      <c r="DF182" s="46" t="str">
        <f t="shared" si="71"/>
        <v/>
      </c>
      <c r="DG182" s="46">
        <f t="shared" si="71"/>
        <v>16</v>
      </c>
      <c r="DH182" s="46" t="str">
        <f t="shared" si="71"/>
        <v/>
      </c>
      <c r="DL182" s="6"/>
    </row>
    <row r="183" spans="1:116" x14ac:dyDescent="0.25">
      <c r="B183" s="91"/>
      <c r="C183" s="46" t="str">
        <f t="shared" si="50"/>
        <v/>
      </c>
      <c r="D183" s="46" t="str">
        <f t="shared" ref="D183:AI183" si="72">IF(D27="X",$DK27,"")</f>
        <v/>
      </c>
      <c r="E183" s="46" t="str">
        <f t="shared" si="72"/>
        <v/>
      </c>
      <c r="F183" s="46" t="str">
        <f t="shared" si="72"/>
        <v/>
      </c>
      <c r="G183" s="46" t="str">
        <f t="shared" si="72"/>
        <v/>
      </c>
      <c r="H183" s="46" t="str">
        <f t="shared" si="72"/>
        <v/>
      </c>
      <c r="I183" s="46" t="str">
        <f t="shared" si="72"/>
        <v/>
      </c>
      <c r="J183" s="46" t="str">
        <f t="shared" si="72"/>
        <v/>
      </c>
      <c r="K183" s="46" t="str">
        <f t="shared" si="72"/>
        <v/>
      </c>
      <c r="L183" s="46" t="str">
        <f t="shared" si="72"/>
        <v/>
      </c>
      <c r="M183" s="46" t="str">
        <f t="shared" si="72"/>
        <v/>
      </c>
      <c r="N183" s="46" t="str">
        <f t="shared" si="72"/>
        <v/>
      </c>
      <c r="O183" s="46" t="str">
        <f t="shared" si="72"/>
        <v/>
      </c>
      <c r="P183" s="46" t="str">
        <f t="shared" si="72"/>
        <v/>
      </c>
      <c r="Q183" s="46" t="str">
        <f t="shared" si="72"/>
        <v/>
      </c>
      <c r="R183" s="46" t="str">
        <f t="shared" si="72"/>
        <v/>
      </c>
      <c r="S183" s="46" t="str">
        <f t="shared" si="72"/>
        <v/>
      </c>
      <c r="T183" s="46" t="str">
        <f t="shared" si="72"/>
        <v/>
      </c>
      <c r="U183" s="46" t="str">
        <f t="shared" si="72"/>
        <v/>
      </c>
      <c r="V183" s="46" t="str">
        <f t="shared" si="72"/>
        <v/>
      </c>
      <c r="W183" s="46" t="str">
        <f t="shared" si="72"/>
        <v/>
      </c>
      <c r="X183" s="46" t="str">
        <f t="shared" si="72"/>
        <v/>
      </c>
      <c r="Y183" s="46" t="str">
        <f t="shared" si="72"/>
        <v/>
      </c>
      <c r="Z183" s="46" t="str">
        <f t="shared" si="72"/>
        <v/>
      </c>
      <c r="AA183" s="46">
        <f t="shared" si="72"/>
        <v>8</v>
      </c>
      <c r="AB183" s="46" t="str">
        <f t="shared" si="72"/>
        <v/>
      </c>
      <c r="AC183" s="46" t="str">
        <f t="shared" si="72"/>
        <v/>
      </c>
      <c r="AD183" s="46" t="str">
        <f t="shared" si="72"/>
        <v/>
      </c>
      <c r="AE183" s="46" t="str">
        <f t="shared" si="72"/>
        <v/>
      </c>
      <c r="AF183" s="46" t="str">
        <f t="shared" si="72"/>
        <v/>
      </c>
      <c r="AG183" s="46" t="str">
        <f t="shared" si="72"/>
        <v/>
      </c>
      <c r="AH183" s="46" t="str">
        <f t="shared" si="72"/>
        <v/>
      </c>
      <c r="AI183" s="46" t="str">
        <f t="shared" si="72"/>
        <v/>
      </c>
      <c r="AJ183" s="46" t="str">
        <f t="shared" ref="AJ183:CU183" si="73">IF(AJ27="X",$DK27,"")</f>
        <v/>
      </c>
      <c r="AK183" s="46" t="str">
        <f t="shared" si="73"/>
        <v/>
      </c>
      <c r="AL183" s="46" t="str">
        <f t="shared" si="73"/>
        <v/>
      </c>
      <c r="AM183" s="46" t="str">
        <f t="shared" si="73"/>
        <v/>
      </c>
      <c r="AN183" s="46" t="str">
        <f t="shared" si="73"/>
        <v/>
      </c>
      <c r="AO183" s="46" t="str">
        <f t="shared" si="73"/>
        <v/>
      </c>
      <c r="AP183" s="46" t="str">
        <f t="shared" si="73"/>
        <v/>
      </c>
      <c r="AQ183" s="46" t="str">
        <f t="shared" si="73"/>
        <v/>
      </c>
      <c r="AR183" s="46" t="str">
        <f t="shared" si="73"/>
        <v/>
      </c>
      <c r="AS183" s="46" t="str">
        <f t="shared" si="73"/>
        <v/>
      </c>
      <c r="AT183" s="46" t="str">
        <f t="shared" si="73"/>
        <v/>
      </c>
      <c r="AU183" s="46" t="str">
        <f t="shared" si="73"/>
        <v/>
      </c>
      <c r="AV183" s="46" t="str">
        <f t="shared" si="73"/>
        <v/>
      </c>
      <c r="AW183" s="46" t="str">
        <f t="shared" si="73"/>
        <v/>
      </c>
      <c r="AX183" s="46" t="str">
        <f t="shared" si="73"/>
        <v/>
      </c>
      <c r="AY183" s="46" t="str">
        <f t="shared" si="73"/>
        <v/>
      </c>
      <c r="AZ183" s="46" t="str">
        <f t="shared" si="73"/>
        <v/>
      </c>
      <c r="BA183" s="46" t="str">
        <f t="shared" si="73"/>
        <v/>
      </c>
      <c r="BB183" s="46" t="str">
        <f t="shared" si="73"/>
        <v/>
      </c>
      <c r="BC183" s="46" t="str">
        <f t="shared" si="73"/>
        <v/>
      </c>
      <c r="BD183" s="46" t="str">
        <f t="shared" si="73"/>
        <v/>
      </c>
      <c r="BE183" s="46" t="str">
        <f t="shared" si="73"/>
        <v/>
      </c>
      <c r="BF183" s="46" t="str">
        <f t="shared" si="73"/>
        <v/>
      </c>
      <c r="BG183" s="46" t="str">
        <f t="shared" si="73"/>
        <v/>
      </c>
      <c r="BH183" s="46" t="str">
        <f t="shared" si="73"/>
        <v/>
      </c>
      <c r="BI183" s="46" t="str">
        <f t="shared" si="73"/>
        <v/>
      </c>
      <c r="BJ183" s="46" t="str">
        <f t="shared" si="73"/>
        <v/>
      </c>
      <c r="BK183" s="46">
        <f t="shared" si="73"/>
        <v>8</v>
      </c>
      <c r="BL183" s="46" t="str">
        <f t="shared" si="73"/>
        <v/>
      </c>
      <c r="BM183" s="46" t="str">
        <f t="shared" si="73"/>
        <v/>
      </c>
      <c r="BN183" s="46" t="str">
        <f t="shared" si="73"/>
        <v/>
      </c>
      <c r="BO183" s="46" t="str">
        <f t="shared" si="73"/>
        <v/>
      </c>
      <c r="BP183" s="46" t="str">
        <f t="shared" si="73"/>
        <v/>
      </c>
      <c r="BQ183" s="46" t="str">
        <f t="shared" si="73"/>
        <v/>
      </c>
      <c r="BR183" s="46" t="str">
        <f t="shared" si="73"/>
        <v/>
      </c>
      <c r="BS183" s="46" t="str">
        <f t="shared" si="73"/>
        <v/>
      </c>
      <c r="BT183" s="46" t="str">
        <f t="shared" si="73"/>
        <v/>
      </c>
      <c r="BU183" s="46" t="str">
        <f t="shared" si="73"/>
        <v/>
      </c>
      <c r="BV183" s="46" t="str">
        <f t="shared" si="73"/>
        <v/>
      </c>
      <c r="BW183" s="46" t="str">
        <f t="shared" si="73"/>
        <v/>
      </c>
      <c r="BX183" s="46" t="str">
        <f t="shared" si="73"/>
        <v/>
      </c>
      <c r="BY183" s="46" t="str">
        <f t="shared" si="73"/>
        <v/>
      </c>
      <c r="BZ183" s="46" t="str">
        <f t="shared" si="73"/>
        <v/>
      </c>
      <c r="CA183" s="46" t="str">
        <f t="shared" si="73"/>
        <v/>
      </c>
      <c r="CB183" s="46" t="str">
        <f t="shared" si="73"/>
        <v/>
      </c>
      <c r="CC183" s="46" t="str">
        <f t="shared" si="73"/>
        <v/>
      </c>
      <c r="CD183" s="46" t="str">
        <f t="shared" si="73"/>
        <v/>
      </c>
      <c r="CE183" s="46" t="str">
        <f t="shared" si="73"/>
        <v/>
      </c>
      <c r="CF183" s="46" t="str">
        <f t="shared" si="73"/>
        <v/>
      </c>
      <c r="CG183" s="46" t="str">
        <f t="shared" si="73"/>
        <v/>
      </c>
      <c r="CH183" s="46" t="str">
        <f t="shared" si="73"/>
        <v/>
      </c>
      <c r="CI183" s="46" t="str">
        <f t="shared" si="73"/>
        <v/>
      </c>
      <c r="CJ183" s="46" t="str">
        <f t="shared" si="73"/>
        <v/>
      </c>
      <c r="CK183" s="46" t="str">
        <f t="shared" si="73"/>
        <v/>
      </c>
      <c r="CL183" s="46" t="str">
        <f t="shared" si="73"/>
        <v/>
      </c>
      <c r="CM183" s="46" t="str">
        <f t="shared" si="73"/>
        <v/>
      </c>
      <c r="CN183" s="46" t="str">
        <f t="shared" si="73"/>
        <v/>
      </c>
      <c r="CO183" s="46" t="str">
        <f t="shared" si="73"/>
        <v/>
      </c>
      <c r="CP183" s="46" t="str">
        <f t="shared" si="73"/>
        <v/>
      </c>
      <c r="CQ183" s="46" t="str">
        <f t="shared" si="73"/>
        <v/>
      </c>
      <c r="CR183" s="46">
        <f t="shared" si="73"/>
        <v>8</v>
      </c>
      <c r="CS183" s="46" t="str">
        <f t="shared" si="73"/>
        <v/>
      </c>
      <c r="CT183" s="46" t="str">
        <f t="shared" si="73"/>
        <v/>
      </c>
      <c r="CU183" s="46" t="str">
        <f t="shared" si="73"/>
        <v/>
      </c>
      <c r="CV183" s="46" t="str">
        <f t="shared" ref="CV183:DH183" si="74">IF(CV27="X",$DK27,"")</f>
        <v/>
      </c>
      <c r="CW183" s="46" t="str">
        <f t="shared" si="74"/>
        <v/>
      </c>
      <c r="CX183" s="46">
        <f t="shared" si="74"/>
        <v>8</v>
      </c>
      <c r="CY183" s="46" t="str">
        <f t="shared" si="74"/>
        <v/>
      </c>
      <c r="CZ183" s="46" t="str">
        <f t="shared" si="74"/>
        <v/>
      </c>
      <c r="DA183" s="46" t="str">
        <f t="shared" si="74"/>
        <v/>
      </c>
      <c r="DB183" s="46" t="str">
        <f t="shared" si="74"/>
        <v/>
      </c>
      <c r="DC183" s="46" t="str">
        <f t="shared" si="74"/>
        <v/>
      </c>
      <c r="DD183" s="46" t="str">
        <f t="shared" si="74"/>
        <v/>
      </c>
      <c r="DE183" s="46" t="str">
        <f t="shared" si="74"/>
        <v/>
      </c>
      <c r="DF183" s="46" t="str">
        <f t="shared" si="74"/>
        <v/>
      </c>
      <c r="DG183" s="46" t="str">
        <f t="shared" si="74"/>
        <v/>
      </c>
      <c r="DH183" s="46" t="str">
        <f t="shared" si="74"/>
        <v/>
      </c>
      <c r="DL183" s="6"/>
    </row>
    <row r="184" spans="1:116" s="47" customFormat="1" x14ac:dyDescent="0.25">
      <c r="A184" s="86"/>
      <c r="B184" s="97"/>
      <c r="D184" s="48"/>
      <c r="E184" s="48"/>
      <c r="F184" s="48"/>
      <c r="G184" s="48"/>
      <c r="H184" s="48"/>
      <c r="I184" s="48"/>
      <c r="J184" s="48"/>
      <c r="K184" s="48"/>
      <c r="L184" s="48"/>
      <c r="M184" s="48"/>
      <c r="N184" s="48"/>
      <c r="O184" s="48"/>
      <c r="P184" s="48"/>
      <c r="Q184" s="48"/>
      <c r="R184" s="48"/>
      <c r="S184" s="48"/>
      <c r="T184" s="48"/>
      <c r="U184" s="49"/>
      <c r="V184" s="49"/>
      <c r="W184" s="49"/>
      <c r="X184" s="49"/>
      <c r="Y184" s="49"/>
      <c r="Z184" s="49"/>
      <c r="AA184" s="49"/>
      <c r="AB184" s="49"/>
      <c r="AC184" s="49"/>
      <c r="AD184" s="49"/>
      <c r="AE184" s="49"/>
      <c r="AF184" s="49"/>
      <c r="AG184" s="49"/>
      <c r="AH184" s="49"/>
      <c r="AI184" s="49"/>
      <c r="AJ184" s="49"/>
      <c r="AK184" s="49"/>
      <c r="AL184" s="49"/>
      <c r="AM184" s="49"/>
      <c r="AN184" s="49"/>
      <c r="AO184" s="49"/>
      <c r="AP184" s="49"/>
      <c r="AQ184" s="49"/>
      <c r="AR184" s="49"/>
      <c r="AS184" s="49"/>
      <c r="AT184" s="49"/>
      <c r="AU184" s="49"/>
      <c r="AV184" s="49"/>
      <c r="AW184" s="49"/>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c r="CD184" s="49"/>
      <c r="CE184" s="49"/>
      <c r="CF184" s="49"/>
      <c r="CG184" s="49"/>
      <c r="CH184" s="49"/>
      <c r="CI184" s="49"/>
      <c r="CJ184" s="49"/>
      <c r="CK184" s="49"/>
      <c r="CL184" s="49"/>
      <c r="CM184" s="49"/>
      <c r="CN184" s="49"/>
      <c r="CO184" s="49"/>
      <c r="CP184" s="49"/>
      <c r="CQ184" s="49"/>
      <c r="CR184" s="49"/>
      <c r="CS184" s="49"/>
      <c r="CT184" s="49"/>
      <c r="CU184" s="49"/>
      <c r="CV184" s="49"/>
      <c r="CW184" s="49"/>
      <c r="CX184" s="49"/>
      <c r="CY184" s="49"/>
      <c r="CZ184" s="49"/>
      <c r="DA184" s="49"/>
      <c r="DB184" s="49"/>
      <c r="DC184" s="49"/>
      <c r="DD184" s="49"/>
      <c r="DE184" s="49"/>
      <c r="DF184" s="49"/>
      <c r="DG184" s="49"/>
      <c r="DH184" s="49"/>
      <c r="DI184" s="49"/>
      <c r="DJ184" s="104"/>
    </row>
  </sheetData>
  <phoneticPr fontId="19" type="noConversion"/>
  <conditionalFormatting sqref="DL185:XFD1048576 C9 B185:DI1048576 D8:DH8 AN21:DH21 C22:DH27 B32:DI162 B29:B31 DI29:DI31 DL28:XFD162 B28:DI28 C30:DH31 C17:AJ17 AN17:DH17 G9:DH9 DM8:DM27 DO8:XFD27 C18:DH20 B8:B27 DI8:DI27 C10:DH16">
    <cfRule type="containsText" dxfId="127" priority="65" operator="containsText" text="x">
      <formula>NOT(ISERROR(SEARCH("x",B8)))</formula>
    </cfRule>
  </conditionalFormatting>
  <conditionalFormatting sqref="DA3:DI3">
    <cfRule type="cellIs" dxfId="126" priority="61" operator="equal">
      <formula>"CM"</formula>
    </cfRule>
    <cfRule type="cellIs" dxfId="125" priority="62" operator="equal">
      <formula>"CA"</formula>
    </cfRule>
    <cfRule type="cellIs" dxfId="124" priority="63" operator="equal">
      <formula>"CMA"</formula>
    </cfRule>
  </conditionalFormatting>
  <conditionalFormatting sqref="AX3:BB3 BD3:CX3 M3:N3 AE3:AV3 R3:AC3">
    <cfRule type="cellIs" dxfId="123" priority="57" operator="equal">
      <formula>"CM"</formula>
    </cfRule>
    <cfRule type="cellIs" dxfId="122" priority="58" operator="equal">
      <formula>"CA"</formula>
    </cfRule>
    <cfRule type="cellIs" dxfId="121" priority="59" operator="equal">
      <formula>"CMA"</formula>
    </cfRule>
  </conditionalFormatting>
  <conditionalFormatting sqref="BC3">
    <cfRule type="cellIs" dxfId="120" priority="54" operator="equal">
      <formula>"CM"</formula>
    </cfRule>
    <cfRule type="cellIs" dxfId="119" priority="55" operator="equal">
      <formula>"CA"</formula>
    </cfRule>
    <cfRule type="cellIs" dxfId="118" priority="56" operator="equal">
      <formula>"CMA"</formula>
    </cfRule>
  </conditionalFormatting>
  <conditionalFormatting sqref="AW3">
    <cfRule type="cellIs" dxfId="117" priority="51" operator="equal">
      <formula>"CM"</formula>
    </cfRule>
    <cfRule type="cellIs" dxfId="116" priority="52" operator="equal">
      <formula>"CA"</formula>
    </cfRule>
    <cfRule type="cellIs" dxfId="115" priority="53" operator="equal">
      <formula>"CMA"</formula>
    </cfRule>
  </conditionalFormatting>
  <conditionalFormatting sqref="CY3:CZ3">
    <cfRule type="cellIs" dxfId="114" priority="48" operator="equal">
      <formula>"CM"</formula>
    </cfRule>
    <cfRule type="cellIs" dxfId="113" priority="49" operator="equal">
      <formula>"CA"</formula>
    </cfRule>
    <cfRule type="cellIs" dxfId="112" priority="50" operator="equal">
      <formula>"CMA"</formula>
    </cfRule>
  </conditionalFormatting>
  <conditionalFormatting sqref="AD3">
    <cfRule type="cellIs" dxfId="111" priority="45" operator="equal">
      <formula>"CM"</formula>
    </cfRule>
    <cfRule type="cellIs" dxfId="110" priority="46" operator="equal">
      <formula>"CA"</formula>
    </cfRule>
    <cfRule type="cellIs" dxfId="109" priority="47" operator="equal">
      <formula>"CMA"</formula>
    </cfRule>
  </conditionalFormatting>
  <conditionalFormatting sqref="G9">
    <cfRule type="cellIs" dxfId="108" priority="40" operator="equal">
      <formula>"CM"</formula>
    </cfRule>
    <cfRule type="cellIs" dxfId="107" priority="43" operator="equal">
      <formula>"CA"</formula>
    </cfRule>
    <cfRule type="cellIs" dxfId="106" priority="44" operator="equal">
      <formula>"CMA"</formula>
    </cfRule>
  </conditionalFormatting>
  <conditionalFormatting sqref="G9">
    <cfRule type="cellIs" dxfId="105" priority="41" operator="equal">
      <formula>"CA"</formula>
    </cfRule>
    <cfRule type="cellIs" dxfId="104" priority="42" operator="equal">
      <formula>"CMA"</formula>
    </cfRule>
  </conditionalFormatting>
  <conditionalFormatting sqref="E9">
    <cfRule type="cellIs" dxfId="103" priority="35" operator="equal">
      <formula>"CM"</formula>
    </cfRule>
    <cfRule type="cellIs" dxfId="102" priority="38" operator="equal">
      <formula>"CA"</formula>
    </cfRule>
    <cfRule type="cellIs" dxfId="101" priority="39" operator="equal">
      <formula>"CMA"</formula>
    </cfRule>
  </conditionalFormatting>
  <conditionalFormatting sqref="E9">
    <cfRule type="cellIs" dxfId="100" priority="36" operator="equal">
      <formula>"CA"</formula>
    </cfRule>
    <cfRule type="cellIs" dxfId="99" priority="37" operator="equal">
      <formula>"CMA"</formula>
    </cfRule>
  </conditionalFormatting>
  <conditionalFormatting sqref="F9">
    <cfRule type="cellIs" dxfId="98" priority="30" operator="equal">
      <formula>"CM"</formula>
    </cfRule>
    <cfRule type="cellIs" dxfId="97" priority="33" operator="equal">
      <formula>"CA"</formula>
    </cfRule>
    <cfRule type="cellIs" dxfId="96" priority="34" operator="equal">
      <formula>"CMA"</formula>
    </cfRule>
  </conditionalFormatting>
  <conditionalFormatting sqref="F9">
    <cfRule type="cellIs" dxfId="95" priority="31" operator="equal">
      <formula>"CA"</formula>
    </cfRule>
    <cfRule type="cellIs" dxfId="94" priority="32" operator="equal">
      <formula>"CMA"</formula>
    </cfRule>
  </conditionalFormatting>
  <conditionalFormatting sqref="D9">
    <cfRule type="cellIs" dxfId="93" priority="27" operator="equal">
      <formula>"CM"</formula>
    </cfRule>
    <cfRule type="cellIs" dxfId="92" priority="28" operator="equal">
      <formula>"CA"</formula>
    </cfRule>
    <cfRule type="cellIs" dxfId="91" priority="29" operator="equal">
      <formula>"CMA"</formula>
    </cfRule>
  </conditionalFormatting>
  <conditionalFormatting sqref="C3:L3">
    <cfRule type="cellIs" dxfId="90" priority="22" operator="equal">
      <formula>"CM"</formula>
    </cfRule>
    <cfRule type="cellIs" dxfId="89" priority="25" operator="equal">
      <formula>"CA"</formula>
    </cfRule>
    <cfRule type="cellIs" dxfId="88" priority="26" operator="equal">
      <formula>"CMA"</formula>
    </cfRule>
  </conditionalFormatting>
  <conditionalFormatting sqref="C3:L3">
    <cfRule type="cellIs" dxfId="87" priority="23" operator="equal">
      <formula>"CA"</formula>
    </cfRule>
    <cfRule type="cellIs" dxfId="86" priority="24" operator="equal">
      <formula>"CMA"</formula>
    </cfRule>
  </conditionalFormatting>
  <conditionalFormatting sqref="O3:Q3">
    <cfRule type="cellIs" dxfId="85" priority="17" operator="equal">
      <formula>"CM"</formula>
    </cfRule>
    <cfRule type="cellIs" dxfId="84" priority="20" operator="equal">
      <formula>"CA"</formula>
    </cfRule>
    <cfRule type="cellIs" dxfId="83" priority="21" operator="equal">
      <formula>"CMA"</formula>
    </cfRule>
  </conditionalFormatting>
  <conditionalFormatting sqref="O3:Q3">
    <cfRule type="cellIs" dxfId="82" priority="18" operator="equal">
      <formula>"CA"</formula>
    </cfRule>
    <cfRule type="cellIs" dxfId="81" priority="19" operator="equal">
      <formula>"CMA"</formula>
    </cfRule>
  </conditionalFormatting>
  <conditionalFormatting sqref="AK17:AM17">
    <cfRule type="containsText" dxfId="80" priority="6" operator="containsText" text="x">
      <formula>NOT(ISERROR(SEARCH("x",AK17)))</formula>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Z1032308"/>
  <sheetViews>
    <sheetView zoomScale="80" zoomScaleNormal="80" workbookViewId="0">
      <selection activeCell="L17" sqref="L17"/>
    </sheetView>
  </sheetViews>
  <sheetFormatPr baseColWidth="10" defaultRowHeight="15" x14ac:dyDescent="0.25"/>
  <cols>
    <col min="6" max="6" width="11.42578125" style="6"/>
    <col min="9" max="10" width="11.42578125" style="40"/>
    <col min="11" max="13" width="11.42578125" style="4"/>
    <col min="18" max="19" width="11" style="54" customWidth="1"/>
    <col min="20" max="20" width="11.42578125" style="55"/>
  </cols>
  <sheetData>
    <row r="1" spans="1:26" s="4" customFormat="1" ht="33" customHeight="1" x14ac:dyDescent="0.25">
      <c r="A1" s="80" t="s">
        <v>146</v>
      </c>
      <c r="B1" s="14" t="s">
        <v>149</v>
      </c>
      <c r="C1" s="22"/>
      <c r="D1" s="22" t="s">
        <v>353</v>
      </c>
      <c r="E1" s="79" t="s">
        <v>353</v>
      </c>
      <c r="F1" s="9">
        <v>4</v>
      </c>
      <c r="I1" s="40" t="s">
        <v>0</v>
      </c>
      <c r="J1" s="40" t="s">
        <v>312</v>
      </c>
      <c r="K1" s="56" t="s">
        <v>164</v>
      </c>
      <c r="L1" s="57" t="s">
        <v>163</v>
      </c>
      <c r="M1" s="4" t="s">
        <v>270</v>
      </c>
      <c r="N1" s="4" t="s">
        <v>271</v>
      </c>
      <c r="O1" s="46" t="s">
        <v>272</v>
      </c>
      <c r="P1" s="46" t="s">
        <v>133</v>
      </c>
      <c r="Q1" s="46" t="s">
        <v>134</v>
      </c>
      <c r="R1" s="5" t="s">
        <v>177</v>
      </c>
      <c r="S1" s="5" t="s">
        <v>178</v>
      </c>
      <c r="T1" s="5" t="s">
        <v>267</v>
      </c>
      <c r="U1" s="5" t="s">
        <v>268</v>
      </c>
      <c r="V1" s="58"/>
    </row>
    <row r="2" spans="1:26" x14ac:dyDescent="0.25">
      <c r="A2" s="80" t="s">
        <v>151</v>
      </c>
      <c r="B2" s="14" t="s">
        <v>149</v>
      </c>
      <c r="C2" s="22" t="s">
        <v>556</v>
      </c>
      <c r="D2" s="22" t="s">
        <v>356</v>
      </c>
      <c r="E2" s="79" t="s">
        <v>355</v>
      </c>
      <c r="F2" s="9">
        <v>6</v>
      </c>
      <c r="I2" s="68">
        <v>2</v>
      </c>
      <c r="J2" s="68">
        <v>1</v>
      </c>
      <c r="K2" s="22" t="s">
        <v>24</v>
      </c>
      <c r="L2" s="18" t="str">
        <f ca="1">OFFSET(Barreras!C6,0,0)</f>
        <v>DEC-01</v>
      </c>
      <c r="M2" s="14" t="e">
        <f ca="1">OFFSET(#REF!,0,ROW()-2)</f>
        <v>#REF!</v>
      </c>
      <c r="N2" s="14" t="e">
        <f ca="1">OFFSET(#REF!,0,ROW()-2)</f>
        <v>#REF!</v>
      </c>
      <c r="O2" s="14" t="e">
        <f ca="1">OFFSET(#REF!,0,ROW()-2)</f>
        <v>#REF!</v>
      </c>
      <c r="P2" s="14">
        <f ca="1">OFFSET(RF!$C$7,0,ROW()-2)</f>
        <v>6</v>
      </c>
      <c r="Q2" s="14" t="e">
        <f ca="1">OFFSET(#REF!,0,ROW()-2)</f>
        <v>#REF!</v>
      </c>
      <c r="R2" s="18" t="e">
        <f ca="1">OFFSET(#REF!,0,ROW()-2)</f>
        <v>#REF!</v>
      </c>
      <c r="S2" s="18" t="e">
        <f ca="1">OFFSET(#REF!,0,ROW()-2)</f>
        <v>#REF!</v>
      </c>
      <c r="T2" s="18" t="e">
        <f ca="1">OFFSET(#REF!,0,ROW()-2)</f>
        <v>#REF!</v>
      </c>
      <c r="U2" s="18" t="s">
        <v>175</v>
      </c>
      <c r="V2" s="75" t="e">
        <f ca="1">OFFSET(#REF!,0,ROW()-2)</f>
        <v>#REF!</v>
      </c>
    </row>
    <row r="3" spans="1:26" x14ac:dyDescent="0.25">
      <c r="A3" s="80" t="s">
        <v>151</v>
      </c>
      <c r="B3" s="14" t="s">
        <v>149</v>
      </c>
      <c r="C3" s="22"/>
      <c r="D3" s="22" t="s">
        <v>540</v>
      </c>
      <c r="E3" s="79" t="s">
        <v>356</v>
      </c>
      <c r="F3" s="9">
        <v>6</v>
      </c>
      <c r="I3" s="68">
        <v>2</v>
      </c>
      <c r="J3" s="68">
        <v>1</v>
      </c>
      <c r="K3" s="22" t="s">
        <v>25</v>
      </c>
      <c r="L3" s="18" t="str">
        <f ca="1">OFFSET(Barreras!C6,0,1)</f>
        <v>DEC-02</v>
      </c>
      <c r="M3" s="14" t="e">
        <f ca="1">OFFSET(#REF!,0,ROW()-2)</f>
        <v>#REF!</v>
      </c>
      <c r="N3" s="14" t="e">
        <f ca="1">OFFSET(#REF!,0,ROW()-2)</f>
        <v>#REF!</v>
      </c>
      <c r="O3" s="14" t="e">
        <f ca="1">OFFSET(#REF!,0,ROW()-2)</f>
        <v>#REF!</v>
      </c>
      <c r="P3" s="14">
        <f ca="1">OFFSET(RF!$C$7,0,ROW()-2)</f>
        <v>5</v>
      </c>
      <c r="Q3" s="14" t="e">
        <f ca="1">OFFSET(#REF!,0,ROW()-2)</f>
        <v>#REF!</v>
      </c>
      <c r="R3" s="18" t="e">
        <f ca="1">OFFSET(#REF!,0,ROW()-2)</f>
        <v>#REF!</v>
      </c>
      <c r="S3" s="18" t="e">
        <f ca="1">OFFSET(#REF!,0,ROW()-2)</f>
        <v>#REF!</v>
      </c>
      <c r="T3" s="18" t="e">
        <f ca="1">OFFSET(#REF!,0,ROW()-2)</f>
        <v>#REF!</v>
      </c>
      <c r="U3" s="18" t="s">
        <v>175</v>
      </c>
      <c r="V3" s="75" t="e">
        <f ca="1">OFFSET(#REF!,0,ROW()-2)</f>
        <v>#REF!</v>
      </c>
    </row>
    <row r="4" spans="1:26" x14ac:dyDescent="0.25">
      <c r="A4" s="80" t="s">
        <v>151</v>
      </c>
      <c r="B4" s="14" t="s">
        <v>149</v>
      </c>
      <c r="C4" s="22" t="s">
        <v>557</v>
      </c>
      <c r="D4" s="22" t="s">
        <v>362</v>
      </c>
      <c r="E4" s="79" t="s">
        <v>358</v>
      </c>
      <c r="F4" s="9">
        <v>6</v>
      </c>
      <c r="I4" s="68">
        <v>2</v>
      </c>
      <c r="J4" s="68">
        <v>1</v>
      </c>
      <c r="K4" s="22" t="s">
        <v>26</v>
      </c>
      <c r="L4" s="18" t="str">
        <f ca="1">OFFSET(Barreras!C6,0,2)</f>
        <v>DEC-03</v>
      </c>
      <c r="M4" s="14" t="e">
        <f ca="1">OFFSET(#REF!,0,ROW()-2)</f>
        <v>#REF!</v>
      </c>
      <c r="N4" s="14" t="e">
        <f ca="1">OFFSET(#REF!,0,ROW()-2)</f>
        <v>#REF!</v>
      </c>
      <c r="O4" s="14" t="e">
        <f ca="1">OFFSET(#REF!,0,ROW()-2)</f>
        <v>#REF!</v>
      </c>
      <c r="P4" s="14">
        <f ca="1">OFFSET(RF!$C$7,0,ROW()-2)</f>
        <v>4</v>
      </c>
      <c r="Q4" s="14" t="e">
        <f ca="1">OFFSET(#REF!,0,ROW()-2)</f>
        <v>#REF!</v>
      </c>
      <c r="R4" s="18" t="e">
        <f ca="1">OFFSET(#REF!,0,ROW()-2)</f>
        <v>#REF!</v>
      </c>
      <c r="S4" s="18" t="e">
        <f ca="1">OFFSET(#REF!,0,ROW()-2)</f>
        <v>#REF!</v>
      </c>
      <c r="T4" s="18" t="e">
        <f ca="1">OFFSET(#REF!,0,ROW()-2)</f>
        <v>#REF!</v>
      </c>
      <c r="U4" s="18" t="s">
        <v>185</v>
      </c>
      <c r="V4" s="75" t="e">
        <f ca="1">OFFSET(#REF!,0,ROW()-2)</f>
        <v>#REF!</v>
      </c>
      <c r="Z4" t="s">
        <v>893</v>
      </c>
    </row>
    <row r="5" spans="1:26" x14ac:dyDescent="0.25">
      <c r="A5" s="80" t="s">
        <v>146</v>
      </c>
      <c r="B5" s="14" t="s">
        <v>149</v>
      </c>
      <c r="C5" s="22" t="s">
        <v>558</v>
      </c>
      <c r="D5" s="22" t="s">
        <v>363</v>
      </c>
      <c r="E5" s="79" t="s">
        <v>359</v>
      </c>
      <c r="F5" s="9">
        <v>4</v>
      </c>
      <c r="I5" s="68">
        <v>2</v>
      </c>
      <c r="J5" s="68">
        <v>1</v>
      </c>
      <c r="K5" s="22" t="s">
        <v>27</v>
      </c>
      <c r="L5" s="18">
        <f ca="1">OFFSET(Barreras!C9,0,0)</f>
        <v>0</v>
      </c>
      <c r="M5" s="14" t="e">
        <f ca="1">OFFSET(#REF!,0,ROW()-2)</f>
        <v>#REF!</v>
      </c>
      <c r="N5" s="14" t="e">
        <f ca="1">OFFSET(#REF!,0,ROW()-2)</f>
        <v>#REF!</v>
      </c>
      <c r="O5" s="14" t="e">
        <f ca="1">OFFSET(#REF!,0,ROW()-2)</f>
        <v>#REF!</v>
      </c>
      <c r="P5" s="14">
        <f ca="1">OFFSET(RF!$C$7,0,ROW()-2)</f>
        <v>4</v>
      </c>
      <c r="Q5" s="14" t="e">
        <f ca="1">OFFSET(#REF!,0,ROW()-2)</f>
        <v>#REF!</v>
      </c>
      <c r="R5" s="18" t="e">
        <f ca="1">OFFSET(#REF!,0,ROW()-2)</f>
        <v>#REF!</v>
      </c>
      <c r="S5" s="18" t="e">
        <f ca="1">OFFSET(#REF!,0,ROW()-2)</f>
        <v>#REF!</v>
      </c>
      <c r="T5" s="18" t="e">
        <f ca="1">OFFSET(#REF!,0,ROW()-2)</f>
        <v>#REF!</v>
      </c>
      <c r="U5" s="18" t="s">
        <v>185</v>
      </c>
      <c r="V5" s="75" t="e">
        <f ca="1">OFFSET(#REF!,0,ROW()-2)</f>
        <v>#REF!</v>
      </c>
    </row>
    <row r="6" spans="1:26" x14ac:dyDescent="0.25">
      <c r="A6" s="80" t="s">
        <v>151</v>
      </c>
      <c r="B6" s="14" t="s">
        <v>149</v>
      </c>
      <c r="C6" s="22" t="s">
        <v>559</v>
      </c>
      <c r="D6" s="22" t="s">
        <v>541</v>
      </c>
      <c r="E6" s="79" t="s">
        <v>360</v>
      </c>
      <c r="F6" s="9">
        <v>4</v>
      </c>
      <c r="I6" s="68">
        <v>2</v>
      </c>
      <c r="J6" s="68">
        <v>1</v>
      </c>
      <c r="K6" s="22" t="s">
        <v>28</v>
      </c>
      <c r="L6" s="18" t="str">
        <f>Barreras!C10</f>
        <v>X</v>
      </c>
      <c r="M6" s="14" t="e">
        <f ca="1">OFFSET(#REF!,0,ROW()-2)</f>
        <v>#REF!</v>
      </c>
      <c r="N6" s="14" t="e">
        <f ca="1">OFFSET(#REF!,0,ROW()-2)</f>
        <v>#REF!</v>
      </c>
      <c r="O6" s="14" t="e">
        <f ca="1">OFFSET(#REF!,0,ROW()-2)</f>
        <v>#REF!</v>
      </c>
      <c r="P6" s="14">
        <f ca="1">OFFSET(RF!$C$7,0,ROW()-2)</f>
        <v>3</v>
      </c>
      <c r="Q6" s="14" t="e">
        <f ca="1">OFFSET(#REF!,0,ROW()-2)</f>
        <v>#REF!</v>
      </c>
      <c r="R6" s="18" t="e">
        <f ca="1">OFFSET(#REF!,0,ROW()-2)</f>
        <v>#REF!</v>
      </c>
      <c r="S6" s="18" t="e">
        <f ca="1">OFFSET(#REF!,0,ROW()-2)</f>
        <v>#REF!</v>
      </c>
      <c r="T6" s="18" t="e">
        <f ca="1">OFFSET(#REF!,0,ROW()-2)</f>
        <v>#REF!</v>
      </c>
      <c r="U6" s="18" t="s">
        <v>185</v>
      </c>
      <c r="V6" s="75" t="e">
        <f ca="1">OFFSET(#REF!,0,ROW()-2)</f>
        <v>#REF!</v>
      </c>
    </row>
    <row r="7" spans="1:26" x14ac:dyDescent="0.25">
      <c r="A7" s="80" t="s">
        <v>151</v>
      </c>
      <c r="B7" s="14" t="s">
        <v>149</v>
      </c>
      <c r="C7" s="22" t="s">
        <v>560</v>
      </c>
      <c r="D7" s="22" t="s">
        <v>542</v>
      </c>
      <c r="E7" s="79" t="s">
        <v>362</v>
      </c>
      <c r="F7" s="9">
        <v>5</v>
      </c>
      <c r="I7" s="68">
        <v>2</v>
      </c>
      <c r="J7" s="68">
        <v>1</v>
      </c>
      <c r="K7" s="22" t="s">
        <v>29</v>
      </c>
      <c r="L7" s="18" t="e">
        <f>Barreras!#REF!</f>
        <v>#REF!</v>
      </c>
      <c r="M7" s="14" t="e">
        <f ca="1">OFFSET(#REF!,0,ROW()-2)</f>
        <v>#REF!</v>
      </c>
      <c r="N7" s="14" t="e">
        <f ca="1">OFFSET(#REF!,0,ROW()-2)</f>
        <v>#REF!</v>
      </c>
      <c r="O7" s="14" t="e">
        <f ca="1">OFFSET(#REF!,0,ROW()-2)</f>
        <v>#REF!</v>
      </c>
      <c r="P7" s="14">
        <f ca="1">OFFSET(RF!$C$7,0,ROW()-2)</f>
        <v>4</v>
      </c>
      <c r="Q7" s="14" t="e">
        <f ca="1">OFFSET(#REF!,0,ROW()-2)</f>
        <v>#REF!</v>
      </c>
      <c r="R7" s="18" t="e">
        <f ca="1">OFFSET(#REF!,0,ROW()-2)</f>
        <v>#REF!</v>
      </c>
      <c r="S7" s="18" t="e">
        <f ca="1">OFFSET(#REF!,0,ROW()-2)</f>
        <v>#REF!</v>
      </c>
      <c r="T7" s="18" t="e">
        <f ca="1">OFFSET(#REF!,0,ROW()-2)</f>
        <v>#REF!</v>
      </c>
      <c r="U7" s="18" t="s">
        <v>175</v>
      </c>
      <c r="V7" s="75" t="e">
        <f ca="1">OFFSET(#REF!,0,ROW()-2)</f>
        <v>#REF!</v>
      </c>
    </row>
    <row r="8" spans="1:26" x14ac:dyDescent="0.25">
      <c r="A8" s="80" t="s">
        <v>146</v>
      </c>
      <c r="B8" s="14" t="s">
        <v>149</v>
      </c>
      <c r="C8" s="22"/>
      <c r="D8" s="22" t="s">
        <v>543</v>
      </c>
      <c r="E8" s="79" t="s">
        <v>363</v>
      </c>
      <c r="F8" s="9">
        <v>5</v>
      </c>
      <c r="I8" s="68">
        <v>2</v>
      </c>
      <c r="J8" s="68">
        <v>1</v>
      </c>
      <c r="K8" s="22" t="s">
        <v>30</v>
      </c>
      <c r="L8" s="18" t="e">
        <f>Barreras!#REF!</f>
        <v>#REF!</v>
      </c>
      <c r="M8" s="14" t="e">
        <f ca="1">OFFSET(#REF!,0,ROW()-2)</f>
        <v>#REF!</v>
      </c>
      <c r="N8" s="14" t="e">
        <f ca="1">OFFSET(#REF!,0,ROW()-2)</f>
        <v>#REF!</v>
      </c>
      <c r="O8" s="14" t="e">
        <f ca="1">OFFSET(#REF!,0,ROW()-2)</f>
        <v>#REF!</v>
      </c>
      <c r="P8" s="14">
        <f ca="1">OFFSET(RF!$C$7,0,ROW()-2)</f>
        <v>4</v>
      </c>
      <c r="Q8" s="14" t="e">
        <f ca="1">OFFSET(#REF!,0,ROW()-2)</f>
        <v>#REF!</v>
      </c>
      <c r="R8" s="18" t="e">
        <f ca="1">OFFSET(#REF!,0,ROW()-2)</f>
        <v>#REF!</v>
      </c>
      <c r="S8" s="18" t="e">
        <f ca="1">OFFSET(#REF!,0,ROW()-2)</f>
        <v>#REF!</v>
      </c>
      <c r="T8" s="18" t="e">
        <f ca="1">OFFSET(#REF!,0,ROW()-2)</f>
        <v>#REF!</v>
      </c>
      <c r="U8" s="18" t="s">
        <v>175</v>
      </c>
      <c r="V8" s="75" t="e">
        <f ca="1">OFFSET(#REF!,0,ROW()-2)</f>
        <v>#REF!</v>
      </c>
    </row>
    <row r="9" spans="1:26" x14ac:dyDescent="0.25">
      <c r="A9" s="80" t="s">
        <v>146</v>
      </c>
      <c r="B9" s="14" t="s">
        <v>149</v>
      </c>
      <c r="C9" s="22" t="s">
        <v>561</v>
      </c>
      <c r="D9" s="22" t="s">
        <v>364</v>
      </c>
      <c r="E9" s="79" t="s">
        <v>364</v>
      </c>
      <c r="F9" s="9">
        <v>10</v>
      </c>
      <c r="I9" s="68">
        <v>2</v>
      </c>
      <c r="J9" s="68">
        <v>1</v>
      </c>
      <c r="K9" s="22" t="s">
        <v>31</v>
      </c>
      <c r="L9" s="18" t="e">
        <f>Barreras!#REF!</f>
        <v>#REF!</v>
      </c>
      <c r="M9" s="14" t="e">
        <f ca="1">OFFSET(#REF!,0,ROW()-2)</f>
        <v>#REF!</v>
      </c>
      <c r="N9" s="14" t="e">
        <f ca="1">OFFSET(#REF!,0,ROW()-2)</f>
        <v>#REF!</v>
      </c>
      <c r="O9" s="14" t="e">
        <f ca="1">OFFSET(#REF!,0,ROW()-2)</f>
        <v>#REF!</v>
      </c>
      <c r="P9" s="14">
        <f ca="1">OFFSET(RF!$C$7,0,ROW()-2)</f>
        <v>3</v>
      </c>
      <c r="Q9" s="14" t="e">
        <f ca="1">OFFSET(#REF!,0,ROW()-2)</f>
        <v>#REF!</v>
      </c>
      <c r="R9" s="18" t="e">
        <f ca="1">OFFSET(#REF!,0,ROW()-2)</f>
        <v>#REF!</v>
      </c>
      <c r="S9" s="18" t="e">
        <f ca="1">OFFSET(#REF!,0,ROW()-2)</f>
        <v>#REF!</v>
      </c>
      <c r="T9" s="18" t="e">
        <f ca="1">OFFSET(#REF!,0,ROW()-2)</f>
        <v>#REF!</v>
      </c>
      <c r="U9" s="18" t="s">
        <v>185</v>
      </c>
      <c r="V9" s="75" t="e">
        <f ca="1">OFFSET(#REF!,0,ROW()-2)</f>
        <v>#REF!</v>
      </c>
    </row>
    <row r="10" spans="1:26" x14ac:dyDescent="0.25">
      <c r="A10" s="80" t="s">
        <v>151</v>
      </c>
      <c r="B10" s="14" t="s">
        <v>149</v>
      </c>
      <c r="C10" s="22"/>
      <c r="D10" s="22" t="s">
        <v>366</v>
      </c>
      <c r="E10" s="79" t="s">
        <v>366</v>
      </c>
      <c r="F10" s="9">
        <v>8</v>
      </c>
      <c r="I10" s="68">
        <v>2</v>
      </c>
      <c r="J10" s="68">
        <v>1</v>
      </c>
      <c r="K10" s="22" t="s">
        <v>32</v>
      </c>
      <c r="L10" s="18" t="e">
        <f>Barreras!#REF!</f>
        <v>#REF!</v>
      </c>
      <c r="M10" s="14" t="e">
        <f ca="1">OFFSET(#REF!,0,ROW()-2)</f>
        <v>#REF!</v>
      </c>
      <c r="N10" s="14" t="e">
        <f ca="1">OFFSET(#REF!,0,ROW()-2)</f>
        <v>#REF!</v>
      </c>
      <c r="O10" s="14" t="e">
        <f ca="1">OFFSET(#REF!,0,ROW()-2)</f>
        <v>#REF!</v>
      </c>
      <c r="P10" s="14">
        <f ca="1">OFFSET(RF!$C$7,0,ROW()-2)</f>
        <v>3</v>
      </c>
      <c r="Q10" s="14" t="e">
        <f ca="1">OFFSET(#REF!,0,ROW()-2)</f>
        <v>#REF!</v>
      </c>
      <c r="R10" s="18" t="e">
        <f ca="1">OFFSET(#REF!,0,ROW()-2)</f>
        <v>#REF!</v>
      </c>
      <c r="S10" s="18" t="e">
        <f ca="1">OFFSET(#REF!,0,ROW()-2)</f>
        <v>#REF!</v>
      </c>
      <c r="T10" s="18" t="e">
        <f ca="1">OFFSET(#REF!,0,ROW()-2)</f>
        <v>#REF!</v>
      </c>
      <c r="U10" s="18" t="s">
        <v>185</v>
      </c>
      <c r="V10" s="75" t="e">
        <f ca="1">OFFSET(#REF!,0,ROW()-2)</f>
        <v>#REF!</v>
      </c>
    </row>
    <row r="11" spans="1:26" x14ac:dyDescent="0.25">
      <c r="A11" s="80" t="s">
        <v>151</v>
      </c>
      <c r="B11" s="105" t="s">
        <v>148</v>
      </c>
      <c r="C11" s="22"/>
      <c r="D11" s="22" t="s">
        <v>368</v>
      </c>
      <c r="E11" s="79" t="s">
        <v>368</v>
      </c>
      <c r="F11" s="9">
        <v>9</v>
      </c>
      <c r="I11" s="68">
        <v>2</v>
      </c>
      <c r="J11" s="68">
        <v>1</v>
      </c>
      <c r="K11" s="22" t="s">
        <v>33</v>
      </c>
      <c r="L11" s="18">
        <f>Barreras!C14</f>
        <v>0</v>
      </c>
      <c r="M11" s="14" t="e">
        <f ca="1">OFFSET(#REF!,0,ROW()-2)</f>
        <v>#REF!</v>
      </c>
      <c r="N11" s="14" t="e">
        <f ca="1">OFFSET(#REF!,0,ROW()-2)</f>
        <v>#REF!</v>
      </c>
      <c r="O11" s="14" t="e">
        <f ca="1">OFFSET(#REF!,0,ROW()-2)</f>
        <v>#REF!</v>
      </c>
      <c r="P11" s="14">
        <f ca="1">OFFSET(RF!$C$7,0,ROW()-2)</f>
        <v>6</v>
      </c>
      <c r="Q11" s="14" t="e">
        <f ca="1">OFFSET(#REF!,0,ROW()-2)</f>
        <v>#REF!</v>
      </c>
      <c r="R11" s="18" t="e">
        <f ca="1">OFFSET(#REF!,0,ROW()-2)</f>
        <v>#REF!</v>
      </c>
      <c r="S11" s="18" t="e">
        <f ca="1">OFFSET(#REF!,0,ROW()-2)</f>
        <v>#REF!</v>
      </c>
      <c r="T11" s="18" t="e">
        <f ca="1">OFFSET(#REF!,0,ROW()-2)</f>
        <v>#REF!</v>
      </c>
      <c r="U11" s="18" t="s">
        <v>185</v>
      </c>
      <c r="V11" s="75" t="e">
        <f ca="1">OFFSET(#REF!,0,ROW()-2)</f>
        <v>#REF!</v>
      </c>
    </row>
    <row r="12" spans="1:26" x14ac:dyDescent="0.25">
      <c r="A12" s="80" t="s">
        <v>151</v>
      </c>
      <c r="B12" s="105" t="s">
        <v>148</v>
      </c>
      <c r="C12" s="22"/>
      <c r="D12" s="22" t="s">
        <v>370</v>
      </c>
      <c r="E12" s="79" t="s">
        <v>370</v>
      </c>
      <c r="F12" s="9">
        <v>8</v>
      </c>
      <c r="I12" s="68">
        <v>2</v>
      </c>
      <c r="J12" s="68">
        <v>1</v>
      </c>
      <c r="K12" s="22" t="s">
        <v>34</v>
      </c>
      <c r="L12" s="18">
        <f>Barreras!C15</f>
        <v>0</v>
      </c>
      <c r="M12" s="14" t="e">
        <f ca="1">OFFSET(#REF!,0,ROW()-2)</f>
        <v>#REF!</v>
      </c>
      <c r="N12" s="14" t="e">
        <f ca="1">OFFSET(#REF!,0,ROW()-2)</f>
        <v>#REF!</v>
      </c>
      <c r="O12" s="14" t="e">
        <f ca="1">OFFSET(#REF!,0,ROW()-2)</f>
        <v>#REF!</v>
      </c>
      <c r="P12" s="14">
        <f ca="1">OFFSET(RF!$C$7,0,ROW()-2)</f>
        <v>4</v>
      </c>
      <c r="Q12" s="14" t="e">
        <f ca="1">OFFSET(#REF!,0,ROW()-2)</f>
        <v>#REF!</v>
      </c>
      <c r="R12" s="18" t="e">
        <f ca="1">OFFSET(#REF!,0,ROW()-2)</f>
        <v>#REF!</v>
      </c>
      <c r="S12" s="18" t="e">
        <f ca="1">OFFSET(#REF!,0,ROW()-2)</f>
        <v>#REF!</v>
      </c>
      <c r="T12" s="18" t="e">
        <f ca="1">OFFSET(#REF!,0,ROW()-2)</f>
        <v>#REF!</v>
      </c>
      <c r="U12" s="18" t="s">
        <v>175</v>
      </c>
      <c r="V12" s="75" t="e">
        <f ca="1">OFFSET(#REF!,0,ROW()-2)</f>
        <v>#REF!</v>
      </c>
    </row>
    <row r="13" spans="1:26" x14ac:dyDescent="0.25">
      <c r="A13" s="80" t="s">
        <v>151</v>
      </c>
      <c r="B13" s="14" t="s">
        <v>149</v>
      </c>
      <c r="C13" s="22" t="s">
        <v>562</v>
      </c>
      <c r="D13" s="22" t="s">
        <v>372</v>
      </c>
      <c r="E13" s="79" t="s">
        <v>372</v>
      </c>
      <c r="F13" s="9">
        <v>8</v>
      </c>
      <c r="I13" s="68">
        <v>2</v>
      </c>
      <c r="J13" s="68">
        <v>1</v>
      </c>
      <c r="K13" s="22" t="s">
        <v>35</v>
      </c>
      <c r="L13" s="18">
        <f>Barreras!D15</f>
        <v>0</v>
      </c>
      <c r="M13" s="14" t="e">
        <f ca="1">OFFSET(#REF!,0,ROW()-2)</f>
        <v>#REF!</v>
      </c>
      <c r="N13" s="14" t="e">
        <f ca="1">OFFSET(#REF!,0,ROW()-2)</f>
        <v>#REF!</v>
      </c>
      <c r="O13" s="14" t="e">
        <f ca="1">OFFSET(#REF!,0,ROW()-2)</f>
        <v>#REF!</v>
      </c>
      <c r="P13" s="14">
        <f ca="1">OFFSET(RF!$C$7,0,ROW()-2)</f>
        <v>5</v>
      </c>
      <c r="Q13" s="14" t="e">
        <f ca="1">OFFSET(#REF!,0,ROW()-2)</f>
        <v>#REF!</v>
      </c>
      <c r="R13" s="18" t="e">
        <f ca="1">OFFSET(#REF!,0,ROW()-2)</f>
        <v>#REF!</v>
      </c>
      <c r="S13" s="18" t="e">
        <f ca="1">OFFSET(#REF!,0,ROW()-2)</f>
        <v>#REF!</v>
      </c>
      <c r="T13" s="18" t="e">
        <f ca="1">OFFSET(#REF!,0,ROW()-2)</f>
        <v>#REF!</v>
      </c>
      <c r="U13" s="18" t="s">
        <v>175</v>
      </c>
      <c r="V13" s="75" t="e">
        <f ca="1">OFFSET(#REF!,0,ROW()-2)</f>
        <v>#REF!</v>
      </c>
    </row>
    <row r="14" spans="1:26" x14ac:dyDescent="0.25">
      <c r="A14" s="80" t="s">
        <v>151</v>
      </c>
      <c r="B14" s="14" t="s">
        <v>149</v>
      </c>
      <c r="C14" s="22" t="s">
        <v>563</v>
      </c>
      <c r="D14" s="22" t="s">
        <v>374</v>
      </c>
      <c r="E14" s="79" t="s">
        <v>374</v>
      </c>
      <c r="F14" s="9">
        <v>8</v>
      </c>
      <c r="I14" s="68">
        <v>2</v>
      </c>
      <c r="J14" s="68">
        <v>1</v>
      </c>
      <c r="K14" s="22" t="s">
        <v>36</v>
      </c>
      <c r="L14" s="18" t="e">
        <f ca="1">OFFSET(#REF!,0,ROW()-2)</f>
        <v>#REF!</v>
      </c>
      <c r="M14" s="14" t="e">
        <f ca="1">OFFSET(#REF!,0,ROW()-2)</f>
        <v>#REF!</v>
      </c>
      <c r="N14" s="14" t="e">
        <f ca="1">OFFSET(#REF!,0,ROW()-2)</f>
        <v>#REF!</v>
      </c>
      <c r="O14" s="14" t="e">
        <f ca="1">OFFSET(#REF!,0,ROW()-2)</f>
        <v>#REF!</v>
      </c>
      <c r="P14" s="14">
        <f ca="1">OFFSET(RF!$C$7,0,ROW()-2)</f>
        <v>6</v>
      </c>
      <c r="Q14" s="14" t="e">
        <f ca="1">OFFSET(#REF!,0,ROW()-2)</f>
        <v>#REF!</v>
      </c>
      <c r="R14" s="18" t="e">
        <f ca="1">OFFSET(#REF!,0,ROW()-2)</f>
        <v>#REF!</v>
      </c>
      <c r="S14" s="18" t="e">
        <f ca="1">OFFSET(#REF!,0,ROW()-2)</f>
        <v>#REF!</v>
      </c>
      <c r="T14" s="18" t="e">
        <f ca="1">OFFSET(#REF!,0,ROW()-2)</f>
        <v>#REF!</v>
      </c>
      <c r="U14" s="18" t="s">
        <v>185</v>
      </c>
      <c r="V14" s="75" t="e">
        <f ca="1">OFFSET(#REF!,0,ROW()-2)</f>
        <v>#REF!</v>
      </c>
    </row>
    <row r="15" spans="1:26" x14ac:dyDescent="0.25">
      <c r="A15" s="80" t="s">
        <v>151</v>
      </c>
      <c r="B15" s="14" t="s">
        <v>149</v>
      </c>
      <c r="C15" s="22" t="s">
        <v>564</v>
      </c>
      <c r="D15" s="22" t="s">
        <v>376</v>
      </c>
      <c r="E15" s="79" t="s">
        <v>376</v>
      </c>
      <c r="F15" s="9">
        <v>8</v>
      </c>
      <c r="I15" s="68">
        <v>2</v>
      </c>
      <c r="J15" s="68">
        <v>1</v>
      </c>
      <c r="K15" s="22" t="s">
        <v>37</v>
      </c>
      <c r="L15" s="18" t="e">
        <f ca="1">OFFSET(#REF!,0,ROW()-2)</f>
        <v>#REF!</v>
      </c>
      <c r="M15" s="14" t="e">
        <f ca="1">OFFSET(#REF!,0,ROW()-2)</f>
        <v>#REF!</v>
      </c>
      <c r="N15" s="14" t="e">
        <f ca="1">OFFSET(#REF!,0,ROW()-2)</f>
        <v>#REF!</v>
      </c>
      <c r="O15" s="14" t="e">
        <f ca="1">OFFSET(#REF!,0,ROW()-2)</f>
        <v>#REF!</v>
      </c>
      <c r="P15" s="14">
        <f ca="1">OFFSET(RF!$C$7,0,ROW()-2)</f>
        <v>5</v>
      </c>
      <c r="Q15" s="14" t="e">
        <f ca="1">OFFSET(#REF!,0,ROW()-2)</f>
        <v>#REF!</v>
      </c>
      <c r="R15" s="18" t="e">
        <f ca="1">OFFSET(#REF!,0,ROW()-2)</f>
        <v>#REF!</v>
      </c>
      <c r="S15" s="18" t="e">
        <f ca="1">OFFSET(#REF!,0,ROW()-2)</f>
        <v>#REF!</v>
      </c>
      <c r="T15" s="18" t="e">
        <f ca="1">OFFSET(#REF!,0,ROW()-2)</f>
        <v>#REF!</v>
      </c>
      <c r="U15" s="18" t="s">
        <v>175</v>
      </c>
      <c r="V15" s="75" t="e">
        <f ca="1">OFFSET(#REF!,0,ROW()-2)</f>
        <v>#REF!</v>
      </c>
    </row>
    <row r="16" spans="1:26" x14ac:dyDescent="0.25">
      <c r="A16" s="80" t="s">
        <v>151</v>
      </c>
      <c r="B16" s="106" t="s">
        <v>147</v>
      </c>
      <c r="C16" s="22" t="s">
        <v>565</v>
      </c>
      <c r="D16" s="22" t="s">
        <v>378</v>
      </c>
      <c r="E16" s="79" t="s">
        <v>378</v>
      </c>
      <c r="F16" s="9">
        <v>5</v>
      </c>
      <c r="I16" s="68">
        <v>2</v>
      </c>
      <c r="J16" s="68">
        <v>1</v>
      </c>
      <c r="K16" s="22" t="s">
        <v>38</v>
      </c>
      <c r="L16" s="18" t="e">
        <f ca="1">OFFSET(#REF!,0,ROW()-2)</f>
        <v>#REF!</v>
      </c>
      <c r="M16" s="14" t="e">
        <f ca="1">OFFSET(#REF!,0,ROW()-2)</f>
        <v>#REF!</v>
      </c>
      <c r="N16" s="14" t="e">
        <f ca="1">OFFSET(#REF!,0,ROW()-2)</f>
        <v>#REF!</v>
      </c>
      <c r="O16" s="14" t="e">
        <f ca="1">OFFSET(#REF!,0,ROW()-2)</f>
        <v>#REF!</v>
      </c>
      <c r="P16" s="14">
        <f ca="1">OFFSET(RF!$C$7,0,ROW()-2)</f>
        <v>5</v>
      </c>
      <c r="Q16" s="14" t="e">
        <f ca="1">OFFSET(#REF!,0,ROW()-2)</f>
        <v>#REF!</v>
      </c>
      <c r="R16" s="18" t="e">
        <f ca="1">OFFSET(#REF!,0,ROW()-2)</f>
        <v>#REF!</v>
      </c>
      <c r="S16" s="18" t="e">
        <f ca="1">OFFSET(#REF!,0,ROW()-2)</f>
        <v>#REF!</v>
      </c>
      <c r="T16" s="18" t="e">
        <f ca="1">OFFSET(#REF!,0,ROW()-2)</f>
        <v>#REF!</v>
      </c>
      <c r="U16" s="18" t="s">
        <v>185</v>
      </c>
      <c r="V16" s="75" t="e">
        <f ca="1">OFFSET(#REF!,0,ROW()-2)</f>
        <v>#REF!</v>
      </c>
    </row>
    <row r="17" spans="1:22" x14ac:dyDescent="0.25">
      <c r="A17" s="80" t="s">
        <v>151</v>
      </c>
      <c r="B17" s="105" t="s">
        <v>149</v>
      </c>
      <c r="C17" s="22" t="s">
        <v>566</v>
      </c>
      <c r="D17" s="22" t="s">
        <v>380</v>
      </c>
      <c r="E17" s="79" t="s">
        <v>380</v>
      </c>
      <c r="F17" s="9">
        <v>5</v>
      </c>
      <c r="I17" s="68">
        <v>2</v>
      </c>
      <c r="J17" s="68">
        <v>1</v>
      </c>
      <c r="K17" s="22" t="s">
        <v>39</v>
      </c>
      <c r="L17" s="18" t="e">
        <f ca="1">OFFSET(#REF!,0,ROW()-2)</f>
        <v>#REF!</v>
      </c>
      <c r="M17" s="14" t="e">
        <f ca="1">OFFSET(#REF!,0,ROW()-2)</f>
        <v>#REF!</v>
      </c>
      <c r="N17" s="14" t="e">
        <f ca="1">OFFSET(#REF!,0,ROW()-2)</f>
        <v>#REF!</v>
      </c>
      <c r="O17" s="14" t="e">
        <f ca="1">OFFSET(#REF!,0,ROW()-2)</f>
        <v>#REF!</v>
      </c>
      <c r="P17" s="14">
        <f ca="1">OFFSET(RF!$C$7,0,ROW()-2)</f>
        <v>5</v>
      </c>
      <c r="Q17" s="14" t="e">
        <f ca="1">OFFSET(#REF!,0,ROW()-2)</f>
        <v>#REF!</v>
      </c>
      <c r="R17" s="18" t="e">
        <f ca="1">OFFSET(#REF!,0,ROW()-2)</f>
        <v>#REF!</v>
      </c>
      <c r="S17" s="18" t="e">
        <f ca="1">OFFSET(#REF!,0,ROW()-2)</f>
        <v>#REF!</v>
      </c>
      <c r="T17" s="18" t="e">
        <f ca="1">OFFSET(#REF!,0,ROW()-2)</f>
        <v>#REF!</v>
      </c>
      <c r="U17" s="18" t="s">
        <v>175</v>
      </c>
      <c r="V17" s="75" t="e">
        <f ca="1">OFFSET(#REF!,0,ROW()-2)</f>
        <v>#REF!</v>
      </c>
    </row>
    <row r="18" spans="1:22" x14ac:dyDescent="0.25">
      <c r="A18" s="80" t="s">
        <v>146</v>
      </c>
      <c r="B18" s="106" t="s">
        <v>147</v>
      </c>
      <c r="C18" s="22" t="s">
        <v>567</v>
      </c>
      <c r="D18" s="22" t="s">
        <v>382</v>
      </c>
      <c r="E18" s="79" t="s">
        <v>382</v>
      </c>
      <c r="F18" s="9">
        <v>7</v>
      </c>
      <c r="I18" s="68">
        <v>2</v>
      </c>
      <c r="J18" s="68">
        <v>2</v>
      </c>
      <c r="K18" s="22" t="s">
        <v>40</v>
      </c>
      <c r="L18" s="18" t="e">
        <f ca="1">OFFSET(#REF!,0,ROW()-2)</f>
        <v>#REF!</v>
      </c>
      <c r="M18" s="14" t="e">
        <f ca="1">OFFSET(#REF!,0,ROW()-2)</f>
        <v>#REF!</v>
      </c>
      <c r="N18" s="14" t="e">
        <f ca="1">OFFSET(#REF!,0,ROW()-2)</f>
        <v>#REF!</v>
      </c>
      <c r="O18" s="14" t="e">
        <f ca="1">OFFSET(#REF!,0,ROW()-2)</f>
        <v>#REF!</v>
      </c>
      <c r="P18" s="14">
        <f ca="1">OFFSET(RF!$C$7,0,ROW()-2)</f>
        <v>5</v>
      </c>
      <c r="Q18" s="14" t="e">
        <f ca="1">OFFSET(#REF!,0,ROW()-2)</f>
        <v>#REF!</v>
      </c>
      <c r="R18" s="18" t="e">
        <f ca="1">OFFSET(#REF!,0,ROW()-2)</f>
        <v>#REF!</v>
      </c>
      <c r="S18" s="18" t="e">
        <f ca="1">OFFSET(#REF!,0,ROW()-2)</f>
        <v>#REF!</v>
      </c>
      <c r="T18" s="18" t="e">
        <f ca="1">OFFSET(#REF!,0,ROW()-2)</f>
        <v>#REF!</v>
      </c>
      <c r="U18" s="18" t="s">
        <v>185</v>
      </c>
      <c r="V18" s="75" t="e">
        <f ca="1">OFFSET(#REF!,0,ROW()-2)</f>
        <v>#REF!</v>
      </c>
    </row>
    <row r="19" spans="1:22" x14ac:dyDescent="0.25">
      <c r="A19" s="80" t="s">
        <v>146</v>
      </c>
      <c r="B19" s="106" t="s">
        <v>149</v>
      </c>
      <c r="C19" s="22"/>
      <c r="D19" s="22" t="s">
        <v>384</v>
      </c>
      <c r="E19" s="79" t="s">
        <v>384</v>
      </c>
      <c r="F19" s="9">
        <v>5</v>
      </c>
      <c r="I19" s="68">
        <v>2</v>
      </c>
      <c r="J19" s="68">
        <v>2</v>
      </c>
      <c r="K19" s="22" t="s">
        <v>41</v>
      </c>
      <c r="L19" s="18" t="e">
        <f ca="1">OFFSET(#REF!,0,ROW()-2)</f>
        <v>#REF!</v>
      </c>
      <c r="M19" s="14" t="e">
        <f ca="1">OFFSET(#REF!,0,ROW()-2)</f>
        <v>#REF!</v>
      </c>
      <c r="N19" s="14" t="e">
        <f ca="1">OFFSET(#REF!,0,ROW()-2)</f>
        <v>#REF!</v>
      </c>
      <c r="O19" s="14" t="e">
        <f ca="1">OFFSET(#REF!,0,ROW()-2)</f>
        <v>#REF!</v>
      </c>
      <c r="P19" s="14">
        <f ca="1">OFFSET(RF!$C$7,0,ROW()-2)</f>
        <v>1</v>
      </c>
      <c r="Q19" s="14" t="e">
        <f ca="1">OFFSET(#REF!,0,ROW()-2)</f>
        <v>#REF!</v>
      </c>
      <c r="R19" s="18" t="e">
        <f ca="1">OFFSET(#REF!,0,ROW()-2)</f>
        <v>#REF!</v>
      </c>
      <c r="S19" s="18" t="e">
        <f ca="1">OFFSET(#REF!,0,ROW()-2)</f>
        <v>#REF!</v>
      </c>
      <c r="T19" s="18" t="e">
        <f ca="1">OFFSET(#REF!,0,ROW()-2)</f>
        <v>#REF!</v>
      </c>
      <c r="U19" s="18" t="s">
        <v>185</v>
      </c>
      <c r="V19" s="75" t="e">
        <f ca="1">OFFSET(#REF!,0,ROW()-2)</f>
        <v>#REF!</v>
      </c>
    </row>
    <row r="20" spans="1:22" x14ac:dyDescent="0.25">
      <c r="A20" s="80" t="s">
        <v>146</v>
      </c>
      <c r="B20" s="105" t="s">
        <v>149</v>
      </c>
      <c r="C20" s="22"/>
      <c r="D20" s="22" t="s">
        <v>386</v>
      </c>
      <c r="E20" s="79" t="s">
        <v>386</v>
      </c>
      <c r="F20" s="9">
        <v>5</v>
      </c>
      <c r="I20" s="68">
        <v>2</v>
      </c>
      <c r="J20" s="68">
        <v>2</v>
      </c>
      <c r="K20" s="22" t="s">
        <v>42</v>
      </c>
      <c r="L20" s="18" t="e">
        <f ca="1">OFFSET(#REF!,0,ROW()-2)</f>
        <v>#REF!</v>
      </c>
      <c r="M20" s="14" t="e">
        <f ca="1">OFFSET(#REF!,0,ROW()-2)</f>
        <v>#REF!</v>
      </c>
      <c r="N20" s="14" t="e">
        <f ca="1">OFFSET(#REF!,0,ROW()-2)</f>
        <v>#REF!</v>
      </c>
      <c r="O20" s="14" t="e">
        <f ca="1">OFFSET(#REF!,0,ROW()-2)</f>
        <v>#REF!</v>
      </c>
      <c r="P20" s="14">
        <f ca="1">OFFSET(RF!$C$7,0,ROW()-2)</f>
        <v>5</v>
      </c>
      <c r="Q20" s="14" t="e">
        <f ca="1">OFFSET(#REF!,0,ROW()-2)</f>
        <v>#REF!</v>
      </c>
      <c r="R20" s="18" t="e">
        <f ca="1">OFFSET(#REF!,0,ROW()-2)</f>
        <v>#REF!</v>
      </c>
      <c r="S20" s="18" t="e">
        <f ca="1">OFFSET(#REF!,0,ROW()-2)</f>
        <v>#REF!</v>
      </c>
      <c r="T20" s="18" t="e">
        <f ca="1">OFFSET(#REF!,0,ROW()-2)</f>
        <v>#REF!</v>
      </c>
      <c r="U20" s="18" t="s">
        <v>185</v>
      </c>
      <c r="V20" s="75" t="e">
        <f ca="1">OFFSET(#REF!,0,ROW()-2)</f>
        <v>#REF!</v>
      </c>
    </row>
    <row r="21" spans="1:22" x14ac:dyDescent="0.25">
      <c r="A21" s="80" t="s">
        <v>146</v>
      </c>
      <c r="B21" s="105" t="s">
        <v>148</v>
      </c>
      <c r="C21" s="22"/>
      <c r="D21" s="22" t="s">
        <v>388</v>
      </c>
      <c r="E21" s="79" t="s">
        <v>388</v>
      </c>
      <c r="F21" s="9">
        <v>5</v>
      </c>
      <c r="I21" s="68">
        <v>2</v>
      </c>
      <c r="J21" s="68">
        <v>2</v>
      </c>
      <c r="K21" s="22" t="s">
        <v>43</v>
      </c>
      <c r="L21" s="18" t="e">
        <f ca="1">OFFSET(#REF!,0,ROW()-2)</f>
        <v>#REF!</v>
      </c>
      <c r="M21" s="14" t="e">
        <f ca="1">OFFSET(#REF!,0,ROW()-2)</f>
        <v>#REF!</v>
      </c>
      <c r="N21" s="14" t="e">
        <f ca="1">OFFSET(#REF!,0,ROW()-2)</f>
        <v>#REF!</v>
      </c>
      <c r="O21" s="14" t="e">
        <f ca="1">OFFSET(#REF!,0,ROW()-2)</f>
        <v>#REF!</v>
      </c>
      <c r="P21" s="14">
        <f ca="1">OFFSET(RF!$C$7,0,ROW()-2)</f>
        <v>2</v>
      </c>
      <c r="Q21" s="14" t="e">
        <f ca="1">OFFSET(#REF!,0,ROW()-2)</f>
        <v>#REF!</v>
      </c>
      <c r="R21" s="18" t="e">
        <f ca="1">OFFSET(#REF!,0,ROW()-2)</f>
        <v>#REF!</v>
      </c>
      <c r="S21" s="18" t="e">
        <f ca="1">OFFSET(#REF!,0,ROW()-2)</f>
        <v>#REF!</v>
      </c>
      <c r="T21" s="18" t="e">
        <f ca="1">OFFSET(#REF!,0,ROW()-2)</f>
        <v>#REF!</v>
      </c>
      <c r="U21" s="18" t="s">
        <v>185</v>
      </c>
      <c r="V21" s="75" t="e">
        <f ca="1">OFFSET(#REF!,0,ROW()-2)</f>
        <v>#REF!</v>
      </c>
    </row>
    <row r="22" spans="1:22" x14ac:dyDescent="0.25">
      <c r="A22" s="80" t="s">
        <v>146</v>
      </c>
      <c r="B22" s="105" t="s">
        <v>149</v>
      </c>
      <c r="C22" s="22"/>
      <c r="D22" s="22" t="s">
        <v>390</v>
      </c>
      <c r="E22" s="79" t="s">
        <v>390</v>
      </c>
      <c r="F22" s="9">
        <v>4</v>
      </c>
      <c r="I22" s="68">
        <v>2</v>
      </c>
      <c r="J22" s="68">
        <v>2</v>
      </c>
      <c r="K22" s="22" t="s">
        <v>44</v>
      </c>
      <c r="L22" s="18" t="e">
        <f ca="1">OFFSET(#REF!,0,ROW()-2)</f>
        <v>#REF!</v>
      </c>
      <c r="M22" s="14" t="e">
        <f ca="1">OFFSET(#REF!,0,ROW()-2)</f>
        <v>#REF!</v>
      </c>
      <c r="N22" s="14" t="e">
        <f ca="1">OFFSET(#REF!,0,ROW()-2)</f>
        <v>#REF!</v>
      </c>
      <c r="O22" s="14" t="e">
        <f ca="1">OFFSET(#REF!,0,ROW()-2)</f>
        <v>#REF!</v>
      </c>
      <c r="P22" s="14">
        <f ca="1">OFFSET(RF!$C$7,0,ROW()-2)</f>
        <v>5</v>
      </c>
      <c r="Q22" s="14" t="e">
        <f ca="1">OFFSET(#REF!,0,ROW()-2)</f>
        <v>#REF!</v>
      </c>
      <c r="R22" s="18" t="e">
        <f ca="1">OFFSET(#REF!,0,ROW()-2)</f>
        <v>#REF!</v>
      </c>
      <c r="S22" s="18" t="e">
        <f ca="1">OFFSET(#REF!,0,ROW()-2)</f>
        <v>#REF!</v>
      </c>
      <c r="T22" s="18" t="e">
        <f ca="1">OFFSET(#REF!,0,ROW()-2)</f>
        <v>#REF!</v>
      </c>
      <c r="U22" s="18" t="s">
        <v>185</v>
      </c>
      <c r="V22" s="75" t="e">
        <f ca="1">OFFSET(#REF!,0,ROW()-2)</f>
        <v>#REF!</v>
      </c>
    </row>
    <row r="23" spans="1:22" x14ac:dyDescent="0.25">
      <c r="A23" s="80" t="s">
        <v>146</v>
      </c>
      <c r="B23" s="105" t="s">
        <v>148</v>
      </c>
      <c r="C23" s="22"/>
      <c r="D23" s="22" t="s">
        <v>392</v>
      </c>
      <c r="E23" s="79" t="s">
        <v>392</v>
      </c>
      <c r="F23" s="9">
        <v>6</v>
      </c>
      <c r="I23" s="68">
        <v>2</v>
      </c>
      <c r="J23" s="68">
        <v>2</v>
      </c>
      <c r="K23" s="22" t="s">
        <v>45</v>
      </c>
      <c r="L23" s="18" t="e">
        <f ca="1">OFFSET(#REF!,0,ROW()-2)</f>
        <v>#REF!</v>
      </c>
      <c r="M23" s="14" t="e">
        <f ca="1">OFFSET(#REF!,0,ROW()-2)</f>
        <v>#REF!</v>
      </c>
      <c r="N23" s="14" t="e">
        <f ca="1">OFFSET(#REF!,0,ROW()-2)</f>
        <v>#REF!</v>
      </c>
      <c r="O23" s="14" t="e">
        <f ca="1">OFFSET(#REF!,0,ROW()-2)</f>
        <v>#REF!</v>
      </c>
      <c r="P23" s="14">
        <f ca="1">OFFSET(RF!$C$7,0,ROW()-2)</f>
        <v>3</v>
      </c>
      <c r="Q23" s="14" t="e">
        <f ca="1">OFFSET(#REF!,0,ROW()-2)</f>
        <v>#REF!</v>
      </c>
      <c r="R23" s="18" t="e">
        <f ca="1">OFFSET(#REF!,0,ROW()-2)</f>
        <v>#REF!</v>
      </c>
      <c r="S23" s="18" t="e">
        <f ca="1">OFFSET(#REF!,0,ROW()-2)</f>
        <v>#REF!</v>
      </c>
      <c r="T23" s="18" t="e">
        <f ca="1">OFFSET(#REF!,0,ROW()-2)</f>
        <v>#REF!</v>
      </c>
      <c r="U23" s="18" t="s">
        <v>185</v>
      </c>
      <c r="V23" s="75" t="e">
        <f ca="1">OFFSET(#REF!,0,ROW()-2)</f>
        <v>#REF!</v>
      </c>
    </row>
    <row r="24" spans="1:22" x14ac:dyDescent="0.25">
      <c r="A24" s="80" t="s">
        <v>151</v>
      </c>
      <c r="B24" s="105" t="s">
        <v>149</v>
      </c>
      <c r="C24" s="22" t="s">
        <v>568</v>
      </c>
      <c r="D24" s="22" t="s">
        <v>394</v>
      </c>
      <c r="E24" s="79" t="s">
        <v>394</v>
      </c>
      <c r="F24" s="9">
        <v>4</v>
      </c>
      <c r="I24" s="68">
        <v>2</v>
      </c>
      <c r="J24" s="68">
        <v>2</v>
      </c>
      <c r="K24" s="22" t="s">
        <v>46</v>
      </c>
      <c r="L24" s="18" t="e">
        <f ca="1">OFFSET(#REF!,0,ROW()-2)</f>
        <v>#REF!</v>
      </c>
      <c r="M24" s="14" t="e">
        <f ca="1">OFFSET(#REF!,0,ROW()-2)</f>
        <v>#REF!</v>
      </c>
      <c r="N24" s="14" t="e">
        <f ca="1">OFFSET(#REF!,0,ROW()-2)</f>
        <v>#REF!</v>
      </c>
      <c r="O24" s="14" t="e">
        <f ca="1">OFFSET(#REF!,0,ROW()-2)</f>
        <v>#REF!</v>
      </c>
      <c r="P24" s="14">
        <f ca="1">OFFSET(RF!$C$7,0,ROW()-2)</f>
        <v>5</v>
      </c>
      <c r="Q24" s="14" t="e">
        <f ca="1">OFFSET(#REF!,0,ROW()-2)</f>
        <v>#REF!</v>
      </c>
      <c r="R24" s="18" t="e">
        <f ca="1">OFFSET(#REF!,0,ROW()-2)</f>
        <v>#REF!</v>
      </c>
      <c r="S24" s="18" t="e">
        <f ca="1">OFFSET(#REF!,0,ROW()-2)</f>
        <v>#REF!</v>
      </c>
      <c r="T24" s="18" t="e">
        <f ca="1">OFFSET(#REF!,0,ROW()-2)</f>
        <v>#REF!</v>
      </c>
      <c r="U24" s="18" t="s">
        <v>185</v>
      </c>
      <c r="V24" s="75" t="e">
        <f ca="1">OFFSET(#REF!,0,ROW()-2)</f>
        <v>#REF!</v>
      </c>
    </row>
    <row r="25" spans="1:22" x14ac:dyDescent="0.25">
      <c r="A25" s="80" t="s">
        <v>146</v>
      </c>
      <c r="B25" s="107" t="s">
        <v>149</v>
      </c>
      <c r="C25" s="22"/>
      <c r="D25" s="22" t="s">
        <v>544</v>
      </c>
      <c r="E25" s="79" t="s">
        <v>396</v>
      </c>
      <c r="F25" s="9">
        <v>4</v>
      </c>
      <c r="I25" s="68">
        <v>2</v>
      </c>
      <c r="J25" s="68">
        <v>2</v>
      </c>
      <c r="K25" s="22" t="s">
        <v>47</v>
      </c>
      <c r="L25" s="18" t="e">
        <f ca="1">OFFSET(#REF!,0,ROW()-2)</f>
        <v>#REF!</v>
      </c>
      <c r="M25" s="14" t="e">
        <f ca="1">OFFSET(#REF!,0,ROW()-2)</f>
        <v>#REF!</v>
      </c>
      <c r="N25" s="14" t="e">
        <f ca="1">OFFSET(#REF!,0,ROW()-2)</f>
        <v>#REF!</v>
      </c>
      <c r="O25" s="14" t="e">
        <f ca="1">OFFSET(#REF!,0,ROW()-2)</f>
        <v>#REF!</v>
      </c>
      <c r="P25" s="14">
        <f ca="1">OFFSET(RF!$C$7,0,ROW()-2)</f>
        <v>5</v>
      </c>
      <c r="Q25" s="14" t="e">
        <f ca="1">OFFSET(#REF!,0,ROW()-2)</f>
        <v>#REF!</v>
      </c>
      <c r="R25" s="18" t="e">
        <f ca="1">OFFSET(#REF!,0,ROW()-2)</f>
        <v>#REF!</v>
      </c>
      <c r="S25" s="18" t="e">
        <f ca="1">OFFSET(#REF!,0,ROW()-2)</f>
        <v>#REF!</v>
      </c>
      <c r="T25" s="18" t="e">
        <f ca="1">OFFSET(#REF!,0,ROW()-2)</f>
        <v>#REF!</v>
      </c>
      <c r="U25" s="18" t="s">
        <v>185</v>
      </c>
      <c r="V25" s="75" t="e">
        <f ca="1">OFFSET(#REF!,0,ROW()-2)</f>
        <v>#REF!</v>
      </c>
    </row>
    <row r="26" spans="1:22" x14ac:dyDescent="0.25">
      <c r="A26" s="80" t="s">
        <v>151</v>
      </c>
      <c r="B26" s="105" t="s">
        <v>149</v>
      </c>
      <c r="C26" s="22" t="s">
        <v>569</v>
      </c>
      <c r="D26" s="22" t="s">
        <v>396</v>
      </c>
      <c r="E26" s="79" t="s">
        <v>398</v>
      </c>
      <c r="F26" s="9">
        <v>6</v>
      </c>
      <c r="I26" s="68">
        <v>2</v>
      </c>
      <c r="J26" s="68">
        <v>3</v>
      </c>
      <c r="K26" s="22" t="s">
        <v>48</v>
      </c>
      <c r="L26" s="18" t="e">
        <f ca="1">OFFSET(#REF!,0,ROW()-2)</f>
        <v>#REF!</v>
      </c>
      <c r="M26" s="14" t="e">
        <f ca="1">OFFSET(#REF!,0,ROW()-2)</f>
        <v>#REF!</v>
      </c>
      <c r="N26" s="14" t="e">
        <f ca="1">OFFSET(#REF!,0,ROW()-2)</f>
        <v>#REF!</v>
      </c>
      <c r="O26" s="14" t="e">
        <f ca="1">OFFSET(#REF!,0,ROW()-2)</f>
        <v>#REF!</v>
      </c>
      <c r="P26" s="14">
        <f ca="1">OFFSET(RF!$C$7,0,ROW()-2)</f>
        <v>5</v>
      </c>
      <c r="Q26" s="14" t="e">
        <f ca="1">OFFSET(#REF!,0,ROW()-2)</f>
        <v>#REF!</v>
      </c>
      <c r="R26" s="18" t="e">
        <f ca="1">OFFSET(#REF!,0,ROW()-2)</f>
        <v>#REF!</v>
      </c>
      <c r="S26" s="18" t="e">
        <f ca="1">OFFSET(#REF!,0,ROW()-2)</f>
        <v>#REF!</v>
      </c>
      <c r="T26" s="18" t="e">
        <f ca="1">OFFSET(#REF!,0,ROW()-2)</f>
        <v>#REF!</v>
      </c>
      <c r="U26" s="18" t="s">
        <v>185</v>
      </c>
      <c r="V26" s="75" t="e">
        <f ca="1">OFFSET(#REF!,0,ROW()-2)</f>
        <v>#REF!</v>
      </c>
    </row>
    <row r="27" spans="1:22" x14ac:dyDescent="0.25">
      <c r="A27" s="80" t="s">
        <v>151</v>
      </c>
      <c r="B27" s="105" t="s">
        <v>149</v>
      </c>
      <c r="C27" s="22" t="s">
        <v>570</v>
      </c>
      <c r="D27" s="22" t="s">
        <v>398</v>
      </c>
      <c r="E27" s="79" t="s">
        <v>400</v>
      </c>
      <c r="F27" s="9">
        <v>4</v>
      </c>
      <c r="I27" s="68">
        <v>2</v>
      </c>
      <c r="J27" s="68">
        <v>4</v>
      </c>
      <c r="K27" s="22" t="s">
        <v>49</v>
      </c>
      <c r="L27" s="18" t="e">
        <f ca="1">OFFSET(#REF!,0,ROW()-2)</f>
        <v>#REF!</v>
      </c>
      <c r="M27" s="14" t="e">
        <f ca="1">OFFSET(#REF!,0,ROW()-2)</f>
        <v>#REF!</v>
      </c>
      <c r="N27" s="14" t="e">
        <f ca="1">OFFSET(#REF!,0,ROW()-2)</f>
        <v>#REF!</v>
      </c>
      <c r="O27" s="14" t="e">
        <f ca="1">OFFSET(#REF!,0,ROW()-2)</f>
        <v>#REF!</v>
      </c>
      <c r="P27" s="14">
        <f ca="1">OFFSET(RF!$C$7,0,ROW()-2)</f>
        <v>4</v>
      </c>
      <c r="Q27" s="14" t="e">
        <f ca="1">OFFSET(#REF!,0,ROW()-2)</f>
        <v>#REF!</v>
      </c>
      <c r="R27" s="18" t="e">
        <f ca="1">OFFSET(#REF!,0,ROW()-2)</f>
        <v>#REF!</v>
      </c>
      <c r="S27" s="18" t="e">
        <f ca="1">OFFSET(#REF!,0,ROW()-2)</f>
        <v>#REF!</v>
      </c>
      <c r="T27" s="18" t="e">
        <f ca="1">OFFSET(#REF!,0,ROW()-2)</f>
        <v>#REF!</v>
      </c>
      <c r="U27" s="18" t="s">
        <v>185</v>
      </c>
      <c r="V27" s="75" t="e">
        <f ca="1">OFFSET(#REF!,0,ROW()-2)</f>
        <v>#REF!</v>
      </c>
    </row>
    <row r="28" spans="1:22" x14ac:dyDescent="0.25">
      <c r="A28" s="80" t="s">
        <v>150</v>
      </c>
      <c r="B28" s="105" t="s">
        <v>149</v>
      </c>
      <c r="C28" s="22" t="s">
        <v>571</v>
      </c>
      <c r="D28" s="22" t="s">
        <v>400</v>
      </c>
      <c r="E28" s="79" t="s">
        <v>402</v>
      </c>
      <c r="F28" s="9">
        <v>6</v>
      </c>
      <c r="I28" s="68">
        <v>2</v>
      </c>
      <c r="J28" s="68">
        <v>4</v>
      </c>
      <c r="K28" s="22" t="s">
        <v>50</v>
      </c>
      <c r="L28" s="18" t="e">
        <f ca="1">OFFSET(#REF!,0,ROW()-2)</f>
        <v>#REF!</v>
      </c>
      <c r="M28" s="14" t="e">
        <f ca="1">OFFSET(#REF!,0,ROW()-2)</f>
        <v>#REF!</v>
      </c>
      <c r="N28" s="14" t="e">
        <f ca="1">OFFSET(#REF!,0,ROW()-2)</f>
        <v>#REF!</v>
      </c>
      <c r="O28" s="14" t="e">
        <f ca="1">OFFSET(#REF!,0,ROW()-2)</f>
        <v>#REF!</v>
      </c>
      <c r="P28" s="14">
        <f ca="1">OFFSET(RF!$C$7,0,ROW()-2)</f>
        <v>6</v>
      </c>
      <c r="Q28" s="14" t="e">
        <f ca="1">OFFSET(#REF!,0,ROW()-2)</f>
        <v>#REF!</v>
      </c>
      <c r="R28" s="18" t="e">
        <f ca="1">OFFSET(#REF!,0,ROW()-2)</f>
        <v>#REF!</v>
      </c>
      <c r="S28" s="18" t="e">
        <f ca="1">OFFSET(#REF!,0,ROW()-2)</f>
        <v>#REF!</v>
      </c>
      <c r="T28" s="18" t="e">
        <f ca="1">OFFSET(#REF!,0,ROW()-2)</f>
        <v>#REF!</v>
      </c>
      <c r="U28" s="18" t="s">
        <v>175</v>
      </c>
      <c r="V28" s="75" t="e">
        <f ca="1">OFFSET(#REF!,0,ROW()-2)</f>
        <v>#REF!</v>
      </c>
    </row>
    <row r="29" spans="1:22" x14ac:dyDescent="0.25">
      <c r="A29" s="80" t="s">
        <v>146</v>
      </c>
      <c r="B29" s="105" t="s">
        <v>149</v>
      </c>
      <c r="C29" s="22"/>
      <c r="D29" s="22" t="s">
        <v>402</v>
      </c>
      <c r="E29" s="79" t="s">
        <v>404</v>
      </c>
      <c r="F29" s="9">
        <v>4</v>
      </c>
      <c r="I29" s="68">
        <v>3</v>
      </c>
      <c r="J29" s="68"/>
      <c r="K29" s="22" t="s">
        <v>51</v>
      </c>
      <c r="L29" s="18" t="e">
        <f ca="1">OFFSET(#REF!,0,ROW()-2)</f>
        <v>#REF!</v>
      </c>
      <c r="M29" s="14" t="e">
        <f ca="1">OFFSET(#REF!,0,ROW()-2)</f>
        <v>#REF!</v>
      </c>
      <c r="N29" s="14" t="e">
        <f ca="1">OFFSET(#REF!,0,ROW()-2)</f>
        <v>#REF!</v>
      </c>
      <c r="O29" s="14" t="e">
        <f ca="1">OFFSET(#REF!,0,ROW()-2)</f>
        <v>#REF!</v>
      </c>
      <c r="P29" s="14">
        <f ca="1">OFFSET(RF!$C$7,0,ROW()-2)</f>
        <v>0</v>
      </c>
      <c r="Q29" s="14" t="e">
        <f ca="1">OFFSET(#REF!,0,ROW()-2)</f>
        <v>#REF!</v>
      </c>
      <c r="R29" s="18" t="e">
        <f ca="1">OFFSET(#REF!,0,ROW()-2)</f>
        <v>#REF!</v>
      </c>
      <c r="S29" s="18" t="e">
        <f ca="1">OFFSET(#REF!,0,ROW()-2)</f>
        <v>#REF!</v>
      </c>
      <c r="T29" s="18" t="e">
        <f ca="1">OFFSET(#REF!,0,ROW()-2)</f>
        <v>#REF!</v>
      </c>
      <c r="U29" s="18" t="s">
        <v>175</v>
      </c>
      <c r="V29" s="75" t="e">
        <f ca="1">OFFSET(#REF!,0,ROW()-2)</f>
        <v>#REF!</v>
      </c>
    </row>
    <row r="30" spans="1:22" x14ac:dyDescent="0.25">
      <c r="A30" s="80" t="s">
        <v>146</v>
      </c>
      <c r="B30" s="105" t="s">
        <v>149</v>
      </c>
      <c r="C30" s="22"/>
      <c r="D30" s="22" t="s">
        <v>404</v>
      </c>
      <c r="E30" s="79" t="s">
        <v>405</v>
      </c>
      <c r="F30" s="9">
        <v>6</v>
      </c>
      <c r="I30" s="68">
        <v>3</v>
      </c>
      <c r="J30" s="68"/>
      <c r="K30" s="22" t="s">
        <v>52</v>
      </c>
      <c r="L30" s="18" t="e">
        <f ca="1">OFFSET(#REF!,0,ROW()-2)</f>
        <v>#REF!</v>
      </c>
      <c r="M30" s="14" t="e">
        <f ca="1">OFFSET(#REF!,0,ROW()-2)</f>
        <v>#REF!</v>
      </c>
      <c r="N30" s="14" t="e">
        <f ca="1">OFFSET(#REF!,0,ROW()-2)</f>
        <v>#REF!</v>
      </c>
      <c r="O30" s="14" t="e">
        <f ca="1">OFFSET(#REF!,0,ROW()-2)</f>
        <v>#REF!</v>
      </c>
      <c r="P30" s="14">
        <f ca="1">OFFSET(RF!$C$7,0,ROW()-2)</f>
        <v>4</v>
      </c>
      <c r="Q30" s="14" t="e">
        <f ca="1">OFFSET(#REF!,0,ROW()-2)</f>
        <v>#REF!</v>
      </c>
      <c r="R30" s="18" t="e">
        <f ca="1">OFFSET(#REF!,0,ROW()-2)</f>
        <v>#REF!</v>
      </c>
      <c r="S30" s="18" t="e">
        <f ca="1">OFFSET(#REF!,0,ROW()-2)</f>
        <v>#REF!</v>
      </c>
      <c r="T30" s="18" t="e">
        <f ca="1">OFFSET(#REF!,0,ROW()-2)</f>
        <v>#REF!</v>
      </c>
      <c r="U30" s="18" t="s">
        <v>185</v>
      </c>
      <c r="V30" s="75" t="e">
        <f ca="1">OFFSET(#REF!,0,ROW()-2)</f>
        <v>#REF!</v>
      </c>
    </row>
    <row r="31" spans="1:22" x14ac:dyDescent="0.25">
      <c r="A31" s="80" t="s">
        <v>146</v>
      </c>
      <c r="B31" s="105" t="s">
        <v>149</v>
      </c>
      <c r="C31" s="22"/>
      <c r="D31" s="22" t="s">
        <v>405</v>
      </c>
      <c r="E31" s="79" t="s">
        <v>407</v>
      </c>
      <c r="F31" s="9">
        <v>4</v>
      </c>
      <c r="I31" s="68">
        <v>4</v>
      </c>
      <c r="J31" s="68"/>
      <c r="K31" s="22" t="s">
        <v>53</v>
      </c>
      <c r="L31" s="18" t="e">
        <f ca="1">OFFSET(#REF!,0,ROW()-2)</f>
        <v>#REF!</v>
      </c>
      <c r="M31" s="14" t="e">
        <f ca="1">OFFSET(#REF!,0,ROW()-2)</f>
        <v>#REF!</v>
      </c>
      <c r="N31" s="14" t="e">
        <f ca="1">OFFSET(#REF!,0,ROW()-2)</f>
        <v>#REF!</v>
      </c>
      <c r="O31" s="14" t="e">
        <f ca="1">OFFSET(#REF!,0,ROW()-2)</f>
        <v>#REF!</v>
      </c>
      <c r="P31" s="14">
        <f ca="1">OFFSET(RF!$C$7,0,ROW()-2)</f>
        <v>3</v>
      </c>
      <c r="Q31" s="14" t="e">
        <f ca="1">OFFSET(#REF!,0,ROW()-2)</f>
        <v>#REF!</v>
      </c>
      <c r="R31" s="18" t="e">
        <f ca="1">OFFSET(#REF!,0,ROW()-2)</f>
        <v>#REF!</v>
      </c>
      <c r="S31" s="18" t="e">
        <f ca="1">OFFSET(#REF!,0,ROW()-2)</f>
        <v>#REF!</v>
      </c>
      <c r="T31" s="18" t="e">
        <f ca="1">OFFSET(#REF!,0,ROW()-2)</f>
        <v>#REF!</v>
      </c>
      <c r="U31" s="18" t="s">
        <v>185</v>
      </c>
      <c r="V31" s="75" t="e">
        <f ca="1">OFFSET(#REF!,0,ROW()-2)</f>
        <v>#REF!</v>
      </c>
    </row>
    <row r="32" spans="1:22" x14ac:dyDescent="0.25">
      <c r="A32" s="80" t="s">
        <v>151</v>
      </c>
      <c r="B32" s="105" t="s">
        <v>149</v>
      </c>
      <c r="C32" s="22" t="s">
        <v>572</v>
      </c>
      <c r="D32" s="22" t="s">
        <v>410</v>
      </c>
      <c r="E32" s="79" t="s">
        <v>408</v>
      </c>
      <c r="F32" s="9">
        <v>6</v>
      </c>
      <c r="I32" s="68">
        <v>4</v>
      </c>
      <c r="J32" s="68"/>
      <c r="K32" s="22" t="s">
        <v>54</v>
      </c>
      <c r="L32" s="18" t="e">
        <f ca="1">OFFSET(#REF!,0,ROW()-2)</f>
        <v>#REF!</v>
      </c>
      <c r="M32" s="14" t="e">
        <f ca="1">OFFSET(#REF!,0,ROW()-2)</f>
        <v>#REF!</v>
      </c>
      <c r="N32" s="14" t="e">
        <f ca="1">OFFSET(#REF!,0,ROW()-2)</f>
        <v>#REF!</v>
      </c>
      <c r="O32" s="14" t="e">
        <f ca="1">OFFSET(#REF!,0,ROW()-2)</f>
        <v>#REF!</v>
      </c>
      <c r="P32" s="14">
        <f ca="1">OFFSET(RF!$C$7,0,ROW()-2)</f>
        <v>4</v>
      </c>
      <c r="Q32" s="14" t="e">
        <f ca="1">OFFSET(#REF!,0,ROW()-2)</f>
        <v>#REF!</v>
      </c>
      <c r="R32" s="18" t="e">
        <f ca="1">OFFSET(#REF!,0,ROW()-2)</f>
        <v>#REF!</v>
      </c>
      <c r="S32" s="18" t="e">
        <f ca="1">OFFSET(#REF!,0,ROW()-2)</f>
        <v>#REF!</v>
      </c>
      <c r="T32" s="18" t="e">
        <f ca="1">OFFSET(#REF!,0,ROW()-2)</f>
        <v>#REF!</v>
      </c>
      <c r="U32" s="18" t="s">
        <v>185</v>
      </c>
      <c r="V32" s="75" t="e">
        <f ca="1">OFFSET(#REF!,0,ROW()-2)</f>
        <v>#REF!</v>
      </c>
    </row>
    <row r="33" spans="1:22" x14ac:dyDescent="0.25">
      <c r="A33" s="80" t="s">
        <v>151</v>
      </c>
      <c r="B33" s="105" t="s">
        <v>149</v>
      </c>
      <c r="C33" s="22" t="s">
        <v>572</v>
      </c>
      <c r="D33" s="22" t="s">
        <v>412</v>
      </c>
      <c r="E33" s="79" t="s">
        <v>410</v>
      </c>
      <c r="F33" s="9">
        <v>6</v>
      </c>
      <c r="I33" s="68">
        <v>4</v>
      </c>
      <c r="J33" s="68"/>
      <c r="K33" s="22" t="s">
        <v>55</v>
      </c>
      <c r="L33" s="18" t="e">
        <f ca="1">OFFSET(#REF!,0,ROW()-2)</f>
        <v>#REF!</v>
      </c>
      <c r="M33" s="14" t="e">
        <f ca="1">OFFSET(#REF!,0,ROW()-2)</f>
        <v>#REF!</v>
      </c>
      <c r="N33" s="14" t="e">
        <f ca="1">OFFSET(#REF!,0,ROW()-2)</f>
        <v>#REF!</v>
      </c>
      <c r="O33" s="14" t="e">
        <f ca="1">OFFSET(#REF!,0,ROW()-2)</f>
        <v>#REF!</v>
      </c>
      <c r="P33" s="14">
        <f ca="1">OFFSET(RF!$C$7,0,ROW()-2)</f>
        <v>5</v>
      </c>
      <c r="Q33" s="14" t="e">
        <f ca="1">OFFSET(#REF!,0,ROW()-2)</f>
        <v>#REF!</v>
      </c>
      <c r="R33" s="18" t="e">
        <f ca="1">OFFSET(#REF!,0,ROW()-2)</f>
        <v>#REF!</v>
      </c>
      <c r="S33" s="18" t="e">
        <f ca="1">OFFSET(#REF!,0,ROW()-2)</f>
        <v>#REF!</v>
      </c>
      <c r="T33" s="18" t="e">
        <f ca="1">OFFSET(#REF!,0,ROW()-2)</f>
        <v>#REF!</v>
      </c>
      <c r="U33" s="18" t="s">
        <v>185</v>
      </c>
      <c r="V33" s="75" t="e">
        <f ca="1">OFFSET(#REF!,0,ROW()-2)</f>
        <v>#REF!</v>
      </c>
    </row>
    <row r="34" spans="1:22" x14ac:dyDescent="0.25">
      <c r="A34" s="80" t="s">
        <v>146</v>
      </c>
      <c r="B34" s="105" t="s">
        <v>149</v>
      </c>
      <c r="C34" s="22" t="s">
        <v>573</v>
      </c>
      <c r="D34" s="22" t="s">
        <v>413</v>
      </c>
      <c r="E34" s="79" t="s">
        <v>412</v>
      </c>
      <c r="F34" s="9">
        <v>5</v>
      </c>
      <c r="I34" s="68">
        <v>4</v>
      </c>
      <c r="J34" s="68"/>
      <c r="K34" s="22" t="s">
        <v>56</v>
      </c>
      <c r="L34" s="18" t="e">
        <f ca="1">OFFSET(#REF!,0,ROW()-2)</f>
        <v>#REF!</v>
      </c>
      <c r="M34" s="14" t="e">
        <f ca="1">OFFSET(#REF!,0,ROW()-2)</f>
        <v>#REF!</v>
      </c>
      <c r="N34" s="14" t="e">
        <f ca="1">OFFSET(#REF!,0,ROW()-2)</f>
        <v>#REF!</v>
      </c>
      <c r="O34" s="14" t="e">
        <f ca="1">OFFSET(#REF!,0,ROW()-2)</f>
        <v>#REF!</v>
      </c>
      <c r="P34" s="14">
        <f ca="1">OFFSET(RF!$C$7,0,ROW()-2)</f>
        <v>5</v>
      </c>
      <c r="Q34" s="14" t="e">
        <f ca="1">OFFSET(#REF!,0,ROW()-2)</f>
        <v>#REF!</v>
      </c>
      <c r="R34" s="18" t="e">
        <f ca="1">OFFSET(#REF!,0,ROW()-2)</f>
        <v>#REF!</v>
      </c>
      <c r="S34" s="18" t="e">
        <f ca="1">OFFSET(#REF!,0,ROW()-2)</f>
        <v>#REF!</v>
      </c>
      <c r="T34" s="18" t="e">
        <f ca="1">OFFSET(#REF!,0,ROW()-2)</f>
        <v>#REF!</v>
      </c>
      <c r="U34" s="18" t="s">
        <v>185</v>
      </c>
      <c r="V34" s="75" t="e">
        <f ca="1">OFFSET(#REF!,0,ROW()-2)</f>
        <v>#REF!</v>
      </c>
    </row>
    <row r="35" spans="1:22" x14ac:dyDescent="0.25">
      <c r="A35" s="80" t="s">
        <v>151</v>
      </c>
      <c r="B35" s="105" t="s">
        <v>149</v>
      </c>
      <c r="C35" s="22" t="s">
        <v>574</v>
      </c>
      <c r="D35" s="22" t="s">
        <v>415</v>
      </c>
      <c r="E35" s="79" t="s">
        <v>413</v>
      </c>
      <c r="F35" s="9">
        <v>3</v>
      </c>
      <c r="I35" s="68">
        <v>4</v>
      </c>
      <c r="J35" s="68"/>
      <c r="K35" s="22" t="s">
        <v>57</v>
      </c>
      <c r="L35" s="18" t="e">
        <f ca="1">OFFSET(#REF!,0,ROW()-2)</f>
        <v>#REF!</v>
      </c>
      <c r="M35" s="14" t="e">
        <f ca="1">OFFSET(#REF!,0,ROW()-2)</f>
        <v>#REF!</v>
      </c>
      <c r="N35" s="14" t="e">
        <f ca="1">OFFSET(#REF!,0,ROW()-2)</f>
        <v>#REF!</v>
      </c>
      <c r="O35" s="14" t="e">
        <f ca="1">OFFSET(#REF!,0,ROW()-2)</f>
        <v>#REF!</v>
      </c>
      <c r="P35" s="14">
        <f ca="1">OFFSET(RF!$C$7,0,ROW()-2)</f>
        <v>3</v>
      </c>
      <c r="Q35" s="14" t="e">
        <f ca="1">OFFSET(#REF!,0,ROW()-2)</f>
        <v>#REF!</v>
      </c>
      <c r="R35" s="18" t="e">
        <f ca="1">OFFSET(#REF!,0,ROW()-2)</f>
        <v>#REF!</v>
      </c>
      <c r="S35" s="18" t="e">
        <f ca="1">OFFSET(#REF!,0,ROW()-2)</f>
        <v>#REF!</v>
      </c>
      <c r="T35" s="18" t="e">
        <f ca="1">OFFSET(#REF!,0,ROW()-2)</f>
        <v>#REF!</v>
      </c>
      <c r="U35" s="18" t="s">
        <v>185</v>
      </c>
      <c r="V35" s="75" t="e">
        <f ca="1">OFFSET(#REF!,0,ROW()-2)</f>
        <v>#REF!</v>
      </c>
    </row>
    <row r="36" spans="1:22" x14ac:dyDescent="0.25">
      <c r="A36" s="80" t="s">
        <v>151</v>
      </c>
      <c r="B36" s="105" t="s">
        <v>149</v>
      </c>
      <c r="C36" s="22" t="s">
        <v>575</v>
      </c>
      <c r="D36" s="22" t="s">
        <v>417</v>
      </c>
      <c r="E36" s="79" t="s">
        <v>415</v>
      </c>
      <c r="F36" s="9">
        <v>4</v>
      </c>
      <c r="I36" s="68">
        <v>4</v>
      </c>
      <c r="J36" s="68"/>
      <c r="K36" s="22" t="s">
        <v>58</v>
      </c>
      <c r="L36" s="18" t="e">
        <f ca="1">OFFSET(#REF!,0,ROW()-2)</f>
        <v>#REF!</v>
      </c>
      <c r="M36" s="14" t="e">
        <f ca="1">OFFSET(#REF!,0,ROW()-2)</f>
        <v>#REF!</v>
      </c>
      <c r="N36" s="14" t="e">
        <f ca="1">OFFSET(#REF!,0,ROW()-2)</f>
        <v>#REF!</v>
      </c>
      <c r="O36" s="14" t="e">
        <f ca="1">OFFSET(#REF!,0,ROW()-2)</f>
        <v>#REF!</v>
      </c>
      <c r="P36" s="14">
        <f ca="1">OFFSET(RF!$C$7,0,ROW()-2)</f>
        <v>5</v>
      </c>
      <c r="Q36" s="14" t="e">
        <f ca="1">OFFSET(#REF!,0,ROW()-2)</f>
        <v>#REF!</v>
      </c>
      <c r="R36" s="18" t="e">
        <f ca="1">OFFSET(#REF!,0,ROW()-2)</f>
        <v>#REF!</v>
      </c>
      <c r="S36" s="18" t="e">
        <f ca="1">OFFSET(#REF!,0,ROW()-2)</f>
        <v>#REF!</v>
      </c>
      <c r="T36" s="18" t="e">
        <f ca="1">OFFSET(#REF!,0,ROW()-2)</f>
        <v>#REF!</v>
      </c>
      <c r="U36" s="18" t="s">
        <v>185</v>
      </c>
      <c r="V36" s="75" t="e">
        <f ca="1">OFFSET(#REF!,0,ROW()-2)</f>
        <v>#REF!</v>
      </c>
    </row>
    <row r="37" spans="1:22" x14ac:dyDescent="0.25">
      <c r="A37" s="80" t="s">
        <v>151</v>
      </c>
      <c r="B37" s="105" t="s">
        <v>149</v>
      </c>
      <c r="C37" s="22" t="s">
        <v>576</v>
      </c>
      <c r="D37" s="22" t="s">
        <v>545</v>
      </c>
      <c r="E37" s="79" t="s">
        <v>417</v>
      </c>
      <c r="F37" s="9">
        <v>4</v>
      </c>
      <c r="I37" s="68">
        <v>4</v>
      </c>
      <c r="J37" s="68"/>
      <c r="K37" s="22" t="s">
        <v>59</v>
      </c>
      <c r="L37" s="18" t="e">
        <f ca="1">OFFSET(#REF!,0,ROW()-2)</f>
        <v>#REF!</v>
      </c>
      <c r="M37" s="15" t="e">
        <f ca="1">OFFSET(#REF!,0,ROW()-2)</f>
        <v>#REF!</v>
      </c>
      <c r="N37" s="14" t="e">
        <f ca="1">OFFSET(#REF!,0,ROW()-2)</f>
        <v>#REF!</v>
      </c>
      <c r="O37" s="15" t="e">
        <f ca="1">OFFSET(#REF!,0,ROW()-2)</f>
        <v>#REF!</v>
      </c>
      <c r="P37" s="15">
        <f ca="1">OFFSET(RF!$C$7,0,ROW()-2)</f>
        <v>5</v>
      </c>
      <c r="Q37" s="15" t="e">
        <f ca="1">OFFSET(#REF!,0,ROW()-2)</f>
        <v>#REF!</v>
      </c>
      <c r="R37" s="18" t="e">
        <f ca="1">OFFSET(#REF!,0,ROW()-2)</f>
        <v>#REF!</v>
      </c>
      <c r="S37" s="18" t="e">
        <f ca="1">OFFSET(#REF!,0,ROW()-2)</f>
        <v>#REF!</v>
      </c>
      <c r="T37" s="18" t="e">
        <f ca="1">OFFSET(#REF!,0,ROW()-2)</f>
        <v>#REF!</v>
      </c>
      <c r="U37" s="18" t="s">
        <v>174</v>
      </c>
      <c r="V37" s="75" t="e">
        <f ca="1">OFFSET(#REF!,0,ROW()-2)</f>
        <v>#REF!</v>
      </c>
    </row>
    <row r="38" spans="1:22" x14ac:dyDescent="0.25">
      <c r="A38" s="80" t="s">
        <v>146</v>
      </c>
      <c r="B38" s="105" t="s">
        <v>149</v>
      </c>
      <c r="C38" s="22" t="s">
        <v>577</v>
      </c>
      <c r="D38" s="22" t="s">
        <v>419</v>
      </c>
      <c r="E38" s="79" t="s">
        <v>419</v>
      </c>
      <c r="F38" s="9">
        <v>5</v>
      </c>
      <c r="I38" s="68">
        <v>4</v>
      </c>
      <c r="J38" s="68"/>
      <c r="K38" s="22" t="s">
        <v>60</v>
      </c>
      <c r="L38" s="18" t="e">
        <f ca="1">OFFSET(#REF!,0,ROW()-2)</f>
        <v>#REF!</v>
      </c>
      <c r="M38" s="15" t="e">
        <f ca="1">OFFSET(#REF!,0,ROW()-2)</f>
        <v>#REF!</v>
      </c>
      <c r="N38" s="14" t="e">
        <f ca="1">OFFSET(#REF!,0,ROW()-2)</f>
        <v>#REF!</v>
      </c>
      <c r="O38" s="15" t="e">
        <f ca="1">OFFSET(#REF!,0,ROW()-2)</f>
        <v>#REF!</v>
      </c>
      <c r="P38" s="15">
        <f ca="1">OFFSET(RF!$C$7,0,ROW()-2)</f>
        <v>4</v>
      </c>
      <c r="Q38" s="15" t="e">
        <f ca="1">OFFSET(#REF!,0,ROW()-2)</f>
        <v>#REF!</v>
      </c>
      <c r="R38" s="18" t="e">
        <f ca="1">OFFSET(#REF!,0,ROW()-2)</f>
        <v>#REF!</v>
      </c>
      <c r="S38" s="18" t="e">
        <f ca="1">OFFSET(#REF!,0,ROW()-2)</f>
        <v>#REF!</v>
      </c>
      <c r="T38" s="18" t="e">
        <f ca="1">OFFSET(#REF!,0,ROW()-2)</f>
        <v>#REF!</v>
      </c>
      <c r="U38" s="18" t="s">
        <v>175</v>
      </c>
      <c r="V38" s="75" t="e">
        <f ca="1">OFFSET(#REF!,0,ROW()-2)</f>
        <v>#REF!</v>
      </c>
    </row>
    <row r="39" spans="1:22" x14ac:dyDescent="0.25">
      <c r="A39" s="80" t="s">
        <v>151</v>
      </c>
      <c r="B39" s="105" t="s">
        <v>149</v>
      </c>
      <c r="C39" s="22" t="s">
        <v>578</v>
      </c>
      <c r="D39" s="22" t="s">
        <v>420</v>
      </c>
      <c r="E39" s="79" t="s">
        <v>420</v>
      </c>
      <c r="F39" s="9">
        <v>5</v>
      </c>
      <c r="I39" s="68">
        <v>5</v>
      </c>
      <c r="J39" s="68"/>
      <c r="K39" s="22" t="s">
        <v>61</v>
      </c>
      <c r="L39" s="18" t="e">
        <f ca="1">OFFSET(#REF!,0,ROW()-2)</f>
        <v>#REF!</v>
      </c>
      <c r="M39" s="14" t="e">
        <f ca="1">OFFSET(#REF!,0,ROW()-2)</f>
        <v>#REF!</v>
      </c>
      <c r="N39" s="14" t="e">
        <f ca="1">OFFSET(#REF!,0,ROW()-2)</f>
        <v>#REF!</v>
      </c>
      <c r="O39" s="14" t="e">
        <f ca="1">OFFSET(#REF!,0,ROW()-2)</f>
        <v>#REF!</v>
      </c>
      <c r="P39" s="14">
        <f ca="1">OFFSET(RF!$C$7,0,ROW()-2)</f>
        <v>2</v>
      </c>
      <c r="Q39" s="14" t="e">
        <f ca="1">OFFSET(#REF!,0,ROW()-2)</f>
        <v>#REF!</v>
      </c>
      <c r="R39" s="18" t="e">
        <f ca="1">OFFSET(#REF!,0,ROW()-2)</f>
        <v>#REF!</v>
      </c>
      <c r="S39" s="18" t="e">
        <f ca="1">OFFSET(#REF!,0,ROW()-2)</f>
        <v>#REF!</v>
      </c>
      <c r="T39" s="18" t="e">
        <f ca="1">OFFSET(#REF!,0,ROW()-2)</f>
        <v>#REF!</v>
      </c>
      <c r="U39" s="18" t="s">
        <v>185</v>
      </c>
      <c r="V39" s="75" t="e">
        <f ca="1">OFFSET(#REF!,0,ROW()-2)</f>
        <v>#REF!</v>
      </c>
    </row>
    <row r="40" spans="1:22" x14ac:dyDescent="0.25">
      <c r="A40" s="80" t="s">
        <v>151</v>
      </c>
      <c r="B40" s="105" t="s">
        <v>149</v>
      </c>
      <c r="C40" s="22"/>
      <c r="D40" s="22" t="s">
        <v>421</v>
      </c>
      <c r="E40" s="79" t="s">
        <v>421</v>
      </c>
      <c r="F40" s="9">
        <v>2</v>
      </c>
      <c r="I40" s="68">
        <v>5</v>
      </c>
      <c r="J40" s="68"/>
      <c r="K40" s="22" t="s">
        <v>62</v>
      </c>
      <c r="L40" s="18" t="e">
        <f ca="1">OFFSET(#REF!,0,ROW()-2)</f>
        <v>#REF!</v>
      </c>
      <c r="M40" s="14" t="e">
        <f ca="1">OFFSET(#REF!,0,ROW()-2)</f>
        <v>#REF!</v>
      </c>
      <c r="N40" s="14" t="e">
        <f ca="1">OFFSET(#REF!,0,ROW()-2)</f>
        <v>#REF!</v>
      </c>
      <c r="O40" s="14" t="e">
        <f ca="1">OFFSET(#REF!,0,ROW()-2)</f>
        <v>#REF!</v>
      </c>
      <c r="P40" s="14">
        <f ca="1">OFFSET(RF!$C$7,0,ROW()-2)</f>
        <v>5</v>
      </c>
      <c r="Q40" s="14" t="e">
        <f ca="1">OFFSET(#REF!,0,ROW()-2)</f>
        <v>#REF!</v>
      </c>
      <c r="R40" s="18" t="e">
        <f ca="1">OFFSET(#REF!,0,ROW()-2)</f>
        <v>#REF!</v>
      </c>
      <c r="S40" s="18" t="e">
        <f ca="1">OFFSET(#REF!,0,ROW()-2)</f>
        <v>#REF!</v>
      </c>
      <c r="T40" s="18" t="e">
        <f ca="1">OFFSET(#REF!,0,ROW()-2)</f>
        <v>#REF!</v>
      </c>
      <c r="U40" s="18" t="s">
        <v>185</v>
      </c>
      <c r="V40" s="75" t="e">
        <f ca="1">OFFSET(#REF!,0,ROW()-2)</f>
        <v>#REF!</v>
      </c>
    </row>
    <row r="41" spans="1:22" x14ac:dyDescent="0.25">
      <c r="A41" s="80" t="s">
        <v>146</v>
      </c>
      <c r="B41" s="105" t="s">
        <v>148</v>
      </c>
      <c r="C41" s="22"/>
      <c r="D41" s="22" t="s">
        <v>422</v>
      </c>
      <c r="E41" s="79" t="s">
        <v>422</v>
      </c>
      <c r="F41" s="9">
        <v>6</v>
      </c>
      <c r="I41" s="68">
        <v>5</v>
      </c>
      <c r="J41" s="68"/>
      <c r="K41" s="22" t="s">
        <v>63</v>
      </c>
      <c r="L41" s="18" t="e">
        <f ca="1">OFFSET(#REF!,0,ROW()-2)</f>
        <v>#REF!</v>
      </c>
      <c r="M41" s="14" t="e">
        <f ca="1">OFFSET(#REF!,0,ROW()-2)</f>
        <v>#REF!</v>
      </c>
      <c r="N41" s="14" t="e">
        <f ca="1">OFFSET(#REF!,0,ROW()-2)</f>
        <v>#REF!</v>
      </c>
      <c r="O41" s="14" t="e">
        <f ca="1">OFFSET(#REF!,0,ROW()-2)</f>
        <v>#REF!</v>
      </c>
      <c r="P41" s="14">
        <f ca="1">OFFSET(RF!$C$7,0,ROW()-2)</f>
        <v>4</v>
      </c>
      <c r="Q41" s="14" t="e">
        <f ca="1">OFFSET(#REF!,0,ROW()-2)</f>
        <v>#REF!</v>
      </c>
      <c r="R41" s="18" t="e">
        <f ca="1">OFFSET(#REF!,0,ROW()-2)</f>
        <v>#REF!</v>
      </c>
      <c r="S41" s="18" t="e">
        <f ca="1">OFFSET(#REF!,0,ROW()-2)</f>
        <v>#REF!</v>
      </c>
      <c r="T41" s="18" t="e">
        <f ca="1">OFFSET(#REF!,0,ROW()-2)</f>
        <v>#REF!</v>
      </c>
      <c r="U41" s="18" t="s">
        <v>185</v>
      </c>
      <c r="V41" s="75" t="e">
        <f ca="1">OFFSET(#REF!,0,ROW()-2)</f>
        <v>#REF!</v>
      </c>
    </row>
    <row r="42" spans="1:22" x14ac:dyDescent="0.25">
      <c r="A42" s="80" t="s">
        <v>151</v>
      </c>
      <c r="B42" s="105" t="s">
        <v>149</v>
      </c>
      <c r="C42" s="22"/>
      <c r="D42" s="22" t="s">
        <v>424</v>
      </c>
      <c r="E42" s="79" t="s">
        <v>424</v>
      </c>
      <c r="F42" s="9">
        <v>7</v>
      </c>
      <c r="I42" s="68">
        <v>5</v>
      </c>
      <c r="J42" s="68"/>
      <c r="K42" s="22" t="s">
        <v>64</v>
      </c>
      <c r="L42" s="18" t="e">
        <f ca="1">OFFSET(#REF!,0,ROW()-2)</f>
        <v>#REF!</v>
      </c>
      <c r="M42" s="14" t="e">
        <f ca="1">OFFSET(#REF!,0,ROW()-2)</f>
        <v>#REF!</v>
      </c>
      <c r="N42" s="14" t="e">
        <f ca="1">OFFSET(#REF!,0,ROW()-2)</f>
        <v>#REF!</v>
      </c>
      <c r="O42" s="14" t="e">
        <f ca="1">OFFSET(#REF!,0,ROW()-2)</f>
        <v>#REF!</v>
      </c>
      <c r="P42" s="14">
        <f ca="1">OFFSET(RF!$C$7,0,ROW()-2)</f>
        <v>5</v>
      </c>
      <c r="Q42" s="14" t="e">
        <f ca="1">OFFSET(#REF!,0,ROW()-2)</f>
        <v>#REF!</v>
      </c>
      <c r="R42" s="18" t="e">
        <f ca="1">OFFSET(#REF!,0,ROW()-2)</f>
        <v>#REF!</v>
      </c>
      <c r="S42" s="18" t="e">
        <f ca="1">OFFSET(#REF!,0,ROW()-2)</f>
        <v>#REF!</v>
      </c>
      <c r="T42" s="18" t="e">
        <f ca="1">OFFSET(#REF!,0,ROW()-2)</f>
        <v>#REF!</v>
      </c>
      <c r="U42" s="18" t="s">
        <v>185</v>
      </c>
      <c r="V42" s="75" t="e">
        <f ca="1">OFFSET(#REF!,0,ROW()-2)</f>
        <v>#REF!</v>
      </c>
    </row>
    <row r="43" spans="1:22" x14ac:dyDescent="0.25">
      <c r="A43" s="80" t="s">
        <v>151</v>
      </c>
      <c r="B43" s="105" t="s">
        <v>148</v>
      </c>
      <c r="C43" s="22"/>
      <c r="D43" s="22" t="s">
        <v>426</v>
      </c>
      <c r="E43" s="79" t="s">
        <v>426</v>
      </c>
      <c r="F43" s="9">
        <v>3</v>
      </c>
      <c r="I43" s="68">
        <v>5</v>
      </c>
      <c r="J43" s="68"/>
      <c r="K43" s="22" t="s">
        <v>65</v>
      </c>
      <c r="L43" s="18" t="e">
        <f ca="1">OFFSET(#REF!,0,ROW()-2)</f>
        <v>#REF!</v>
      </c>
      <c r="M43" s="14" t="e">
        <f ca="1">OFFSET(#REF!,0,ROW()-2)</f>
        <v>#REF!</v>
      </c>
      <c r="N43" s="14" t="e">
        <f ca="1">OFFSET(#REF!,0,ROW()-2)</f>
        <v>#REF!</v>
      </c>
      <c r="O43" s="14" t="e">
        <f ca="1">OFFSET(#REF!,0,ROW()-2)</f>
        <v>#REF!</v>
      </c>
      <c r="P43" s="14">
        <f ca="1">OFFSET(RF!$C$7,0,ROW()-2)</f>
        <v>4</v>
      </c>
      <c r="Q43" s="14" t="e">
        <f ca="1">OFFSET(#REF!,0,ROW()-2)</f>
        <v>#REF!</v>
      </c>
      <c r="R43" s="18" t="e">
        <f ca="1">OFFSET(#REF!,0,ROW()-2)</f>
        <v>#REF!</v>
      </c>
      <c r="S43" s="18" t="e">
        <f ca="1">OFFSET(#REF!,0,ROW()-2)</f>
        <v>#REF!</v>
      </c>
      <c r="T43" s="18" t="e">
        <f ca="1">OFFSET(#REF!,0,ROW()-2)</f>
        <v>#REF!</v>
      </c>
      <c r="U43" s="18" t="s">
        <v>185</v>
      </c>
      <c r="V43" s="75" t="e">
        <f ca="1">OFFSET(#REF!,0,ROW()-2)</f>
        <v>#REF!</v>
      </c>
    </row>
    <row r="44" spans="1:22" x14ac:dyDescent="0.25">
      <c r="A44" s="80" t="s">
        <v>151</v>
      </c>
      <c r="B44" s="105" t="s">
        <v>149</v>
      </c>
      <c r="C44" s="22"/>
      <c r="D44" s="22" t="s">
        <v>428</v>
      </c>
      <c r="E44" s="79" t="s">
        <v>428</v>
      </c>
      <c r="F44" s="9">
        <v>3</v>
      </c>
      <c r="I44" s="68">
        <v>5</v>
      </c>
      <c r="J44" s="68"/>
      <c r="K44" s="22" t="s">
        <v>66</v>
      </c>
      <c r="L44" s="18" t="e">
        <f ca="1">OFFSET(#REF!,0,ROW()-2)</f>
        <v>#REF!</v>
      </c>
      <c r="M44" s="14" t="e">
        <f ca="1">OFFSET(#REF!,0,ROW()-2)</f>
        <v>#REF!</v>
      </c>
      <c r="N44" s="14" t="e">
        <f ca="1">OFFSET(#REF!,0,ROW()-2)</f>
        <v>#REF!</v>
      </c>
      <c r="O44" s="14" t="e">
        <f ca="1">OFFSET(#REF!,0,ROW()-2)</f>
        <v>#REF!</v>
      </c>
      <c r="P44" s="14">
        <f ca="1">OFFSET(RF!$C$7,0,ROW()-2)</f>
        <v>6</v>
      </c>
      <c r="Q44" s="14" t="e">
        <f ca="1">OFFSET(#REF!,0,ROW()-2)</f>
        <v>#REF!</v>
      </c>
      <c r="R44" s="18" t="e">
        <f ca="1">OFFSET(#REF!,0,ROW()-2)</f>
        <v>#REF!</v>
      </c>
      <c r="S44" s="18" t="e">
        <f ca="1">OFFSET(#REF!,0,ROW()-2)</f>
        <v>#REF!</v>
      </c>
      <c r="T44" s="18" t="e">
        <f ca="1">OFFSET(#REF!,0,ROW()-2)</f>
        <v>#REF!</v>
      </c>
      <c r="U44" s="18" t="s">
        <v>185</v>
      </c>
      <c r="V44" s="75" t="e">
        <f ca="1">OFFSET(#REF!,0,ROW()-2)</f>
        <v>#REF!</v>
      </c>
    </row>
    <row r="45" spans="1:22" x14ac:dyDescent="0.25">
      <c r="A45" s="80" t="s">
        <v>151</v>
      </c>
      <c r="B45" s="105" t="s">
        <v>148</v>
      </c>
      <c r="C45" s="22"/>
      <c r="D45" s="22" t="s">
        <v>430</v>
      </c>
      <c r="E45" s="79" t="s">
        <v>430</v>
      </c>
      <c r="F45" s="9">
        <v>3</v>
      </c>
      <c r="I45" s="68">
        <v>5</v>
      </c>
      <c r="J45" s="68"/>
      <c r="K45" s="22" t="s">
        <v>67</v>
      </c>
      <c r="L45" s="18" t="e">
        <f ca="1">OFFSET(#REF!,0,ROW()-2)</f>
        <v>#REF!</v>
      </c>
      <c r="M45" s="14" t="e">
        <f ca="1">OFFSET(#REF!,0,ROW()-2)</f>
        <v>#REF!</v>
      </c>
      <c r="N45" s="14" t="e">
        <f ca="1">OFFSET(#REF!,0,ROW()-2)</f>
        <v>#REF!</v>
      </c>
      <c r="O45" s="14" t="e">
        <f ca="1">OFFSET(#REF!,0,ROW()-2)</f>
        <v>#REF!</v>
      </c>
      <c r="P45" s="14">
        <f ca="1">OFFSET(RF!$C$7,0,ROW()-2)</f>
        <v>5</v>
      </c>
      <c r="Q45" s="14" t="e">
        <f ca="1">OFFSET(#REF!,0,ROW()-2)</f>
        <v>#REF!</v>
      </c>
      <c r="R45" s="18" t="e">
        <f ca="1">OFFSET(#REF!,0,ROW()-2)</f>
        <v>#REF!</v>
      </c>
      <c r="S45" s="18" t="e">
        <f ca="1">OFFSET(#REF!,0,ROW()-2)</f>
        <v>#REF!</v>
      </c>
      <c r="T45" s="18" t="e">
        <f ca="1">OFFSET(#REF!,0,ROW()-2)</f>
        <v>#REF!</v>
      </c>
      <c r="U45" s="18" t="s">
        <v>185</v>
      </c>
      <c r="V45" s="75" t="e">
        <f ca="1">OFFSET(#REF!,0,ROW()-2)</f>
        <v>#REF!</v>
      </c>
    </row>
    <row r="46" spans="1:22" x14ac:dyDescent="0.25">
      <c r="A46" s="80" t="s">
        <v>151</v>
      </c>
      <c r="B46" s="105" t="s">
        <v>149</v>
      </c>
      <c r="C46" s="22" t="s">
        <v>579</v>
      </c>
      <c r="D46" s="22" t="s">
        <v>432</v>
      </c>
      <c r="E46" s="79" t="s">
        <v>432</v>
      </c>
      <c r="F46" s="9">
        <v>3</v>
      </c>
      <c r="I46" s="68">
        <v>5</v>
      </c>
      <c r="J46" s="68"/>
      <c r="K46" s="22" t="s">
        <v>68</v>
      </c>
      <c r="L46" s="18" t="e">
        <f ca="1">OFFSET(#REF!,0,ROW()-2)</f>
        <v>#REF!</v>
      </c>
      <c r="M46" s="14" t="e">
        <f ca="1">OFFSET(#REF!,0,ROW()-2)</f>
        <v>#REF!</v>
      </c>
      <c r="N46" s="14" t="e">
        <f ca="1">OFFSET(#REF!,0,ROW()-2)</f>
        <v>#REF!</v>
      </c>
      <c r="O46" s="14" t="e">
        <f ca="1">OFFSET(#REF!,0,ROW()-2)</f>
        <v>#REF!</v>
      </c>
      <c r="P46" s="14">
        <f ca="1">OFFSET(RF!$C$7,0,ROW()-2)</f>
        <v>5</v>
      </c>
      <c r="Q46" s="14" t="e">
        <f ca="1">OFFSET(#REF!,0,ROW()-2)</f>
        <v>#REF!</v>
      </c>
      <c r="R46" s="18" t="e">
        <f ca="1">OFFSET(#REF!,0,ROW()-2)</f>
        <v>#REF!</v>
      </c>
      <c r="S46" s="18" t="e">
        <f ca="1">OFFSET(#REF!,0,ROW()-2)</f>
        <v>#REF!</v>
      </c>
      <c r="T46" s="18" t="e">
        <f ca="1">OFFSET(#REF!,0,ROW()-2)</f>
        <v>#REF!</v>
      </c>
      <c r="U46" s="18" t="s">
        <v>185</v>
      </c>
      <c r="V46" s="75" t="e">
        <f ca="1">OFFSET(#REF!,0,ROW()-2)</f>
        <v>#REF!</v>
      </c>
    </row>
    <row r="47" spans="1:22" x14ac:dyDescent="0.25">
      <c r="A47" s="80" t="s">
        <v>151</v>
      </c>
      <c r="B47" s="105" t="s">
        <v>149</v>
      </c>
      <c r="C47" s="22"/>
      <c r="D47" s="22" t="s">
        <v>434</v>
      </c>
      <c r="E47" s="79" t="s">
        <v>434</v>
      </c>
      <c r="F47" s="9">
        <v>6</v>
      </c>
      <c r="I47" s="68">
        <v>5</v>
      </c>
      <c r="J47" s="68"/>
      <c r="K47" s="22" t="s">
        <v>69</v>
      </c>
      <c r="L47" s="18" t="e">
        <f ca="1">OFFSET(#REF!,0,ROW()-2)</f>
        <v>#REF!</v>
      </c>
      <c r="M47" s="14" t="e">
        <f ca="1">OFFSET(#REF!,0,ROW()-2)</f>
        <v>#REF!</v>
      </c>
      <c r="N47" s="14" t="e">
        <f ca="1">OFFSET(#REF!,0,ROW()-2)</f>
        <v>#REF!</v>
      </c>
      <c r="O47" s="14" t="e">
        <f ca="1">OFFSET(#REF!,0,ROW()-2)</f>
        <v>#REF!</v>
      </c>
      <c r="P47" s="14">
        <f ca="1">OFFSET(RF!$C$7,0,ROW()-2)</f>
        <v>3</v>
      </c>
      <c r="Q47" s="14" t="e">
        <f ca="1">OFFSET(#REF!,0,ROW()-2)</f>
        <v>#REF!</v>
      </c>
      <c r="R47" s="18" t="e">
        <f ca="1">OFFSET(#REF!,0,ROW()-2)</f>
        <v>#REF!</v>
      </c>
      <c r="S47" s="18" t="e">
        <f ca="1">OFFSET(#REF!,0,ROW()-2)</f>
        <v>#REF!</v>
      </c>
      <c r="T47" s="18" t="e">
        <f ca="1">OFFSET(#REF!,0,ROW()-2)</f>
        <v>#REF!</v>
      </c>
      <c r="U47" s="18" t="s">
        <v>185</v>
      </c>
      <c r="V47" s="75" t="e">
        <f ca="1">OFFSET(#REF!,0,ROW()-2)</f>
        <v>#REF!</v>
      </c>
    </row>
    <row r="48" spans="1:22" x14ac:dyDescent="0.25">
      <c r="A48" s="80" t="s">
        <v>151</v>
      </c>
      <c r="B48" s="107" t="s">
        <v>149</v>
      </c>
      <c r="C48" s="22"/>
      <c r="D48" s="22" t="s">
        <v>546</v>
      </c>
      <c r="E48" s="79" t="s">
        <v>436</v>
      </c>
      <c r="F48" s="9">
        <v>1</v>
      </c>
      <c r="I48" s="68">
        <v>5</v>
      </c>
      <c r="J48" s="68"/>
      <c r="K48" s="22" t="s">
        <v>70</v>
      </c>
      <c r="L48" s="18" t="e">
        <f ca="1">OFFSET(#REF!,0,ROW()-2)</f>
        <v>#REF!</v>
      </c>
      <c r="M48" s="14" t="e">
        <f ca="1">OFFSET(#REF!,0,ROW()-2)</f>
        <v>#REF!</v>
      </c>
      <c r="N48" s="14" t="e">
        <f ca="1">OFFSET(#REF!,0,ROW()-2)</f>
        <v>#REF!</v>
      </c>
      <c r="O48" s="14" t="e">
        <f ca="1">OFFSET(#REF!,0,ROW()-2)</f>
        <v>#REF!</v>
      </c>
      <c r="P48" s="14">
        <f ca="1">OFFSET(RF!$C$7,0,ROW()-2)</f>
        <v>5</v>
      </c>
      <c r="Q48" s="14" t="e">
        <f ca="1">OFFSET(#REF!,0,ROW()-2)</f>
        <v>#REF!</v>
      </c>
      <c r="R48" s="18" t="e">
        <f ca="1">OFFSET(#REF!,0,ROW()-2)</f>
        <v>#REF!</v>
      </c>
      <c r="S48" s="18" t="e">
        <f ca="1">OFFSET(#REF!,0,ROW()-2)</f>
        <v>#REF!</v>
      </c>
      <c r="T48" s="18" t="e">
        <f ca="1">OFFSET(#REF!,0,ROW()-2)</f>
        <v>#REF!</v>
      </c>
      <c r="U48" s="18" t="s">
        <v>175</v>
      </c>
      <c r="V48" s="75" t="e">
        <f ca="1">OFFSET(#REF!,0,ROW()-2)</f>
        <v>#REF!</v>
      </c>
    </row>
    <row r="49" spans="1:22" x14ac:dyDescent="0.25">
      <c r="A49" s="80" t="s">
        <v>146</v>
      </c>
      <c r="B49" s="105" t="s">
        <v>147</v>
      </c>
      <c r="C49" s="22" t="s">
        <v>580</v>
      </c>
      <c r="D49" s="22" t="s">
        <v>436</v>
      </c>
      <c r="E49" s="79" t="s">
        <v>437</v>
      </c>
      <c r="F49" s="9">
        <v>5</v>
      </c>
      <c r="I49" s="68">
        <v>6</v>
      </c>
      <c r="J49" s="68"/>
      <c r="K49" s="22" t="s">
        <v>71</v>
      </c>
      <c r="L49" s="18" t="e">
        <f ca="1">OFFSET(#REF!,0,ROW()-2)</f>
        <v>#REF!</v>
      </c>
      <c r="M49" s="14" t="e">
        <f ca="1">OFFSET(#REF!,0,ROW()-2)</f>
        <v>#REF!</v>
      </c>
      <c r="N49" s="14" t="e">
        <f ca="1">OFFSET(#REF!,0,ROW()-2)</f>
        <v>#REF!</v>
      </c>
      <c r="O49" s="14" t="e">
        <f ca="1">OFFSET(#REF!,0,ROW()-2)</f>
        <v>#REF!</v>
      </c>
      <c r="P49" s="14">
        <f ca="1">OFFSET(RF!$C$7,0,ROW()-2)</f>
        <v>4</v>
      </c>
      <c r="Q49" s="14" t="e">
        <f ca="1">OFFSET(#REF!,0,ROW()-2)</f>
        <v>#REF!</v>
      </c>
      <c r="R49" s="18" t="e">
        <f ca="1">OFFSET(#REF!,0,ROW()-2)</f>
        <v>#REF!</v>
      </c>
      <c r="S49" s="18" t="e">
        <f ca="1">OFFSET(#REF!,0,ROW()-2)</f>
        <v>#REF!</v>
      </c>
      <c r="T49" s="18" t="e">
        <f ca="1">OFFSET(#REF!,0,ROW()-2)</f>
        <v>#REF!</v>
      </c>
      <c r="U49" s="18" t="s">
        <v>185</v>
      </c>
      <c r="V49" s="75" t="e">
        <f ca="1">OFFSET(#REF!,0,ROW()-2)</f>
        <v>#REF!</v>
      </c>
    </row>
    <row r="50" spans="1:22" x14ac:dyDescent="0.25">
      <c r="A50" s="80" t="s">
        <v>146</v>
      </c>
      <c r="B50" s="105" t="s">
        <v>149</v>
      </c>
      <c r="C50" s="22" t="s">
        <v>581</v>
      </c>
      <c r="D50" s="22" t="s">
        <v>439</v>
      </c>
      <c r="E50" s="79" t="s">
        <v>439</v>
      </c>
      <c r="F50" s="9">
        <v>6</v>
      </c>
      <c r="I50" s="68">
        <v>6</v>
      </c>
      <c r="J50" s="68"/>
      <c r="K50" s="22" t="s">
        <v>73</v>
      </c>
      <c r="L50" s="18" t="e">
        <f ca="1">OFFSET(#REF!,0,ROW()-2)</f>
        <v>#REF!</v>
      </c>
      <c r="M50" s="14" t="e">
        <f ca="1">OFFSET(#REF!,0,ROW()-2)</f>
        <v>#REF!</v>
      </c>
      <c r="N50" s="14" t="e">
        <f ca="1">OFFSET(#REF!,0,ROW()-2)</f>
        <v>#REF!</v>
      </c>
      <c r="O50" s="14" t="e">
        <f ca="1">OFFSET(#REF!,0,ROW()-2)</f>
        <v>#REF!</v>
      </c>
      <c r="P50" s="14">
        <f ca="1">OFFSET(RF!$C$7,0,ROW()-2)</f>
        <v>6</v>
      </c>
      <c r="Q50" s="14" t="e">
        <f ca="1">OFFSET(#REF!,0,ROW()-2)</f>
        <v>#REF!</v>
      </c>
      <c r="R50" s="18" t="e">
        <f ca="1">OFFSET(#REF!,0,ROW()-2)</f>
        <v>#REF!</v>
      </c>
      <c r="S50" s="18" t="e">
        <f ca="1">OFFSET(#REF!,0,ROW()-2)</f>
        <v>#REF!</v>
      </c>
      <c r="T50" s="18" t="e">
        <f ca="1">OFFSET(#REF!,0,ROW()-2)</f>
        <v>#REF!</v>
      </c>
      <c r="U50" s="18" t="s">
        <v>174</v>
      </c>
      <c r="V50" s="75" t="e">
        <f ca="1">OFFSET(#REF!,0,ROW()-2)</f>
        <v>#REF!</v>
      </c>
    </row>
    <row r="51" spans="1:22" x14ac:dyDescent="0.25">
      <c r="A51" s="80" t="s">
        <v>151</v>
      </c>
      <c r="B51" s="105" t="s">
        <v>149</v>
      </c>
      <c r="C51" s="22"/>
      <c r="D51" s="22" t="s">
        <v>441</v>
      </c>
      <c r="E51" s="79" t="s">
        <v>441</v>
      </c>
      <c r="F51" s="9">
        <v>4</v>
      </c>
      <c r="I51" s="68">
        <v>6</v>
      </c>
      <c r="J51" s="68"/>
      <c r="K51" s="22" t="s">
        <v>74</v>
      </c>
      <c r="L51" s="18" t="e">
        <f ca="1">OFFSET(#REF!,0,ROW()-2)</f>
        <v>#REF!</v>
      </c>
      <c r="M51" s="14" t="e">
        <f ca="1">OFFSET(#REF!,0,ROW()-2)</f>
        <v>#REF!</v>
      </c>
      <c r="N51" s="14" t="e">
        <f ca="1">OFFSET(#REF!,0,ROW()-2)</f>
        <v>#REF!</v>
      </c>
      <c r="O51" s="14" t="e">
        <f ca="1">OFFSET(#REF!,0,ROW()-2)</f>
        <v>#REF!</v>
      </c>
      <c r="P51" s="14">
        <f ca="1">OFFSET(RF!$C$7,0,ROW()-2)</f>
        <v>4</v>
      </c>
      <c r="Q51" s="14" t="e">
        <f ca="1">OFFSET(#REF!,0,ROW()-2)</f>
        <v>#REF!</v>
      </c>
      <c r="R51" s="18" t="e">
        <f ca="1">OFFSET(#REF!,0,ROW()-2)</f>
        <v>#REF!</v>
      </c>
      <c r="S51" s="18" t="e">
        <f ca="1">OFFSET(#REF!,0,ROW()-2)</f>
        <v>#REF!</v>
      </c>
      <c r="T51" s="18" t="e">
        <f ca="1">OFFSET(#REF!,0,ROW()-2)</f>
        <v>#REF!</v>
      </c>
      <c r="U51" s="18" t="s">
        <v>185</v>
      </c>
      <c r="V51" s="75" t="e">
        <f ca="1">OFFSET(#REF!,0,ROW()-2)</f>
        <v>#REF!</v>
      </c>
    </row>
    <row r="52" spans="1:22" x14ac:dyDescent="0.25">
      <c r="A52" s="80" t="s">
        <v>150</v>
      </c>
      <c r="B52" s="105" t="s">
        <v>149</v>
      </c>
      <c r="C52" s="22" t="s">
        <v>582</v>
      </c>
      <c r="D52" s="22" t="s">
        <v>442</v>
      </c>
      <c r="E52" s="79" t="s">
        <v>442</v>
      </c>
      <c r="F52" s="9">
        <v>3</v>
      </c>
      <c r="I52" s="68">
        <v>6</v>
      </c>
      <c r="J52" s="68"/>
      <c r="K52" s="22" t="s">
        <v>75</v>
      </c>
      <c r="L52" s="18" t="e">
        <f ca="1">OFFSET(#REF!,0,ROW()-2)</f>
        <v>#REF!</v>
      </c>
      <c r="M52" s="14" t="e">
        <f ca="1">OFFSET(#REF!,0,ROW()-2)</f>
        <v>#REF!</v>
      </c>
      <c r="N52" s="14" t="e">
        <f ca="1">OFFSET(#REF!,0,ROW()-2)</f>
        <v>#REF!</v>
      </c>
      <c r="O52" s="14" t="e">
        <f ca="1">OFFSET(#REF!,0,ROW()-2)</f>
        <v>#REF!</v>
      </c>
      <c r="P52" s="14">
        <f ca="1">OFFSET(RF!$C$7,0,ROW()-2)</f>
        <v>3</v>
      </c>
      <c r="Q52" s="14" t="e">
        <f ca="1">OFFSET(#REF!,0,ROW()-2)</f>
        <v>#REF!</v>
      </c>
      <c r="R52" s="18" t="e">
        <f ca="1">OFFSET(#REF!,0,ROW()-2)</f>
        <v>#REF!</v>
      </c>
      <c r="S52" s="18" t="e">
        <f ca="1">OFFSET(#REF!,0,ROW()-2)</f>
        <v>#REF!</v>
      </c>
      <c r="T52" s="18" t="e">
        <f ca="1">OFFSET(#REF!,0,ROW()-2)</f>
        <v>#REF!</v>
      </c>
      <c r="U52" s="18" t="s">
        <v>185</v>
      </c>
      <c r="V52" s="75" t="e">
        <f ca="1">OFFSET(#REF!,0,ROW()-2)</f>
        <v>#REF!</v>
      </c>
    </row>
    <row r="53" spans="1:22" x14ac:dyDescent="0.25">
      <c r="A53" s="80" t="s">
        <v>151</v>
      </c>
      <c r="B53" s="105" t="s">
        <v>149</v>
      </c>
      <c r="C53" s="22"/>
      <c r="D53" s="22" t="s">
        <v>444</v>
      </c>
      <c r="E53" s="79" t="s">
        <v>444</v>
      </c>
      <c r="F53" s="9">
        <v>4</v>
      </c>
      <c r="I53" s="68">
        <v>6</v>
      </c>
      <c r="J53" s="68"/>
      <c r="K53" s="22" t="s">
        <v>76</v>
      </c>
      <c r="L53" s="18" t="e">
        <f ca="1">OFFSET(#REF!,0,ROW()-2)</f>
        <v>#REF!</v>
      </c>
      <c r="M53" s="14" t="e">
        <f ca="1">OFFSET(#REF!,0,ROW()-2)</f>
        <v>#REF!</v>
      </c>
      <c r="N53" s="27" t="e">
        <f ca="1">OFFSET(#REF!,0,ROW()-2)</f>
        <v>#REF!</v>
      </c>
      <c r="O53" s="14" t="e">
        <f ca="1">OFFSET(#REF!,0,ROW()-2)</f>
        <v>#REF!</v>
      </c>
      <c r="P53" s="14">
        <f ca="1">OFFSET(RF!$C$7,0,ROW()-2)</f>
        <v>2</v>
      </c>
      <c r="Q53" s="14" t="e">
        <f ca="1">OFFSET(#REF!,0,ROW()-2)</f>
        <v>#REF!</v>
      </c>
      <c r="R53" s="18" t="e">
        <f ca="1">OFFSET(#REF!,0,ROW()-2)</f>
        <v>#REF!</v>
      </c>
      <c r="S53" s="18" t="e">
        <f ca="1">OFFSET(#REF!,0,ROW()-2)</f>
        <v>#REF!</v>
      </c>
      <c r="T53" s="18" t="e">
        <f ca="1">OFFSET(#REF!,0,ROW()-2)</f>
        <v>#REF!</v>
      </c>
      <c r="U53" s="18" t="s">
        <v>175</v>
      </c>
      <c r="V53" s="75" t="e">
        <f ca="1">OFFSET(#REF!,0,ROW()-2)</f>
        <v>#REF!</v>
      </c>
    </row>
    <row r="54" spans="1:22" x14ac:dyDescent="0.25">
      <c r="A54" s="80" t="s">
        <v>151</v>
      </c>
      <c r="B54" s="105" t="s">
        <v>149</v>
      </c>
      <c r="C54" s="22"/>
      <c r="D54" s="22" t="s">
        <v>445</v>
      </c>
      <c r="E54" s="79" t="s">
        <v>445</v>
      </c>
      <c r="F54" s="9">
        <v>3</v>
      </c>
      <c r="I54" s="68">
        <v>7</v>
      </c>
      <c r="J54" s="68"/>
      <c r="K54" s="22" t="s">
        <v>77</v>
      </c>
      <c r="L54" s="18" t="e">
        <f ca="1">OFFSET(#REF!,0,ROW()-2)</f>
        <v>#REF!</v>
      </c>
      <c r="M54" s="26" t="e">
        <f ca="1">OFFSET(#REF!,0,ROW()-2)</f>
        <v>#REF!</v>
      </c>
      <c r="N54" s="27" t="e">
        <f ca="1">OFFSET(#REF!,0,ROW()-2)</f>
        <v>#REF!</v>
      </c>
      <c r="O54" s="26" t="e">
        <f ca="1">OFFSET(#REF!,0,ROW()-2)</f>
        <v>#REF!</v>
      </c>
      <c r="P54" s="26">
        <f ca="1">OFFSET(RF!$C$7,0,ROW()-2)</f>
        <v>2</v>
      </c>
      <c r="Q54" s="26" t="e">
        <f ca="1">OFFSET(#REF!,0,ROW()-2)</f>
        <v>#REF!</v>
      </c>
      <c r="R54" s="18" t="e">
        <f ca="1">OFFSET(#REF!,0,ROW()-2)</f>
        <v>#REF!</v>
      </c>
      <c r="S54" s="18" t="e">
        <f ca="1">OFFSET(#REF!,0,ROW()-2)</f>
        <v>#REF!</v>
      </c>
      <c r="T54" s="18" t="e">
        <f ca="1">OFFSET(#REF!,0,ROW()-2)</f>
        <v>#REF!</v>
      </c>
      <c r="U54" s="18" t="s">
        <v>185</v>
      </c>
      <c r="V54" s="75" t="e">
        <f ca="1">OFFSET(#REF!,0,ROW()-2)</f>
        <v>#REF!</v>
      </c>
    </row>
    <row r="55" spans="1:22" x14ac:dyDescent="0.25">
      <c r="A55" s="80" t="s">
        <v>151</v>
      </c>
      <c r="B55" s="105" t="s">
        <v>149</v>
      </c>
      <c r="C55" s="22"/>
      <c r="D55" s="22" t="s">
        <v>446</v>
      </c>
      <c r="E55" s="79" t="s">
        <v>446</v>
      </c>
      <c r="F55" s="9">
        <v>1</v>
      </c>
      <c r="I55" s="68">
        <v>7</v>
      </c>
      <c r="J55" s="68"/>
      <c r="K55" s="22" t="s">
        <v>78</v>
      </c>
      <c r="L55" s="18" t="e">
        <f ca="1">OFFSET(#REF!,0,ROW()-2)</f>
        <v>#REF!</v>
      </c>
      <c r="M55" s="14" t="e">
        <f ca="1">OFFSET(#REF!,0,ROW()-2)</f>
        <v>#REF!</v>
      </c>
      <c r="N55" s="14" t="e">
        <f ca="1">OFFSET(#REF!,0,ROW()-2)</f>
        <v>#REF!</v>
      </c>
      <c r="O55" s="14" t="e">
        <f ca="1">OFFSET(#REF!,0,ROW()-2)</f>
        <v>#REF!</v>
      </c>
      <c r="P55" s="14">
        <f ca="1">OFFSET(RF!$C$7,0,ROW()-2)</f>
        <v>2</v>
      </c>
      <c r="Q55" s="14" t="e">
        <f ca="1">OFFSET(#REF!,0,ROW()-2)</f>
        <v>#REF!</v>
      </c>
      <c r="R55" s="18" t="e">
        <f ca="1">OFFSET(#REF!,0,ROW()-2)</f>
        <v>#REF!</v>
      </c>
      <c r="S55" s="18" t="e">
        <f ca="1">OFFSET(#REF!,0,ROW()-2)</f>
        <v>#REF!</v>
      </c>
      <c r="T55" s="18" t="e">
        <f ca="1">OFFSET(#REF!,0,ROW()-2)</f>
        <v>#REF!</v>
      </c>
      <c r="U55" s="18" t="s">
        <v>185</v>
      </c>
      <c r="V55" s="75" t="e">
        <f ca="1">OFFSET(#REF!,0,ROW()-2)</f>
        <v>#REF!</v>
      </c>
    </row>
    <row r="56" spans="1:22" x14ac:dyDescent="0.25">
      <c r="A56" s="80" t="s">
        <v>146</v>
      </c>
      <c r="B56" s="105" t="s">
        <v>149</v>
      </c>
      <c r="C56" s="22" t="s">
        <v>583</v>
      </c>
      <c r="D56" s="22" t="s">
        <v>447</v>
      </c>
      <c r="E56" s="79" t="s">
        <v>447</v>
      </c>
      <c r="F56" s="9">
        <v>5</v>
      </c>
      <c r="I56" s="68">
        <v>7</v>
      </c>
      <c r="J56" s="68"/>
      <c r="K56" s="22" t="s">
        <v>79</v>
      </c>
      <c r="L56" s="18" t="e">
        <f ca="1">OFFSET(#REF!,0,ROW()-2)</f>
        <v>#REF!</v>
      </c>
      <c r="M56" s="14" t="e">
        <f ca="1">OFFSET(#REF!,0,ROW()-2)</f>
        <v>#REF!</v>
      </c>
      <c r="N56" s="14" t="e">
        <f ca="1">OFFSET(#REF!,0,ROW()-2)</f>
        <v>#REF!</v>
      </c>
      <c r="O56" s="14" t="e">
        <f ca="1">OFFSET(#REF!,0,ROW()-2)</f>
        <v>#REF!</v>
      </c>
      <c r="P56" s="14">
        <f ca="1">OFFSET(RF!$C$7,0,ROW()-2)</f>
        <v>6</v>
      </c>
      <c r="Q56" s="14" t="e">
        <f ca="1">OFFSET(#REF!,0,ROW()-2)</f>
        <v>#REF!</v>
      </c>
      <c r="R56" s="18" t="e">
        <f ca="1">OFFSET(#REF!,0,ROW()-2)</f>
        <v>#REF!</v>
      </c>
      <c r="S56" s="18" t="e">
        <f ca="1">OFFSET(#REF!,0,ROW()-2)</f>
        <v>#REF!</v>
      </c>
      <c r="T56" s="18" t="e">
        <f ca="1">OFFSET(#REF!,0,ROW()-2)</f>
        <v>#REF!</v>
      </c>
      <c r="U56" s="18" t="s">
        <v>185</v>
      </c>
      <c r="V56" s="75" t="e">
        <f ca="1">OFFSET(#REF!,0,ROW()-2)</f>
        <v>#REF!</v>
      </c>
    </row>
    <row r="57" spans="1:22" x14ac:dyDescent="0.25">
      <c r="A57" s="80" t="s">
        <v>151</v>
      </c>
      <c r="B57" s="107" t="s">
        <v>149</v>
      </c>
      <c r="C57" s="22"/>
      <c r="D57" s="22" t="s">
        <v>547</v>
      </c>
      <c r="E57" s="79" t="s">
        <v>449</v>
      </c>
      <c r="F57" s="9">
        <v>4</v>
      </c>
      <c r="I57" s="68">
        <v>7</v>
      </c>
      <c r="J57" s="68"/>
      <c r="K57" s="22" t="s">
        <v>80</v>
      </c>
      <c r="L57" s="18" t="e">
        <f ca="1">OFFSET(#REF!,0,ROW()-2)</f>
        <v>#REF!</v>
      </c>
      <c r="M57" s="14" t="e">
        <f ca="1">OFFSET(#REF!,0,ROW()-2)</f>
        <v>#REF!</v>
      </c>
      <c r="N57" s="14" t="e">
        <f ca="1">OFFSET(#REF!,0,ROW()-2)</f>
        <v>#REF!</v>
      </c>
      <c r="O57" s="14" t="e">
        <f ca="1">OFFSET(#REF!,0,ROW()-2)</f>
        <v>#REF!</v>
      </c>
      <c r="P57" s="14">
        <f ca="1">OFFSET(RF!$C$7,0,ROW()-2)</f>
        <v>1</v>
      </c>
      <c r="Q57" s="14" t="e">
        <f ca="1">OFFSET(#REF!,0,ROW()-2)</f>
        <v>#REF!</v>
      </c>
      <c r="R57" s="18" t="e">
        <f ca="1">OFFSET(#REF!,0,ROW()-2)</f>
        <v>#REF!</v>
      </c>
      <c r="S57" s="18" t="e">
        <f ca="1">OFFSET(#REF!,0,ROW()-2)</f>
        <v>#REF!</v>
      </c>
      <c r="T57" s="18" t="e">
        <f ca="1">OFFSET(#REF!,0,ROW()-2)</f>
        <v>#REF!</v>
      </c>
      <c r="U57" s="18" t="s">
        <v>175</v>
      </c>
      <c r="V57" s="75" t="e">
        <f ca="1">OFFSET(#REF!,0,ROW()-2)</f>
        <v>#REF!</v>
      </c>
    </row>
    <row r="58" spans="1:22" x14ac:dyDescent="0.25">
      <c r="A58" s="80" t="s">
        <v>151</v>
      </c>
      <c r="B58" s="105" t="s">
        <v>149</v>
      </c>
      <c r="C58" s="22"/>
      <c r="D58" s="22" t="s">
        <v>449</v>
      </c>
      <c r="E58" s="79" t="s">
        <v>451</v>
      </c>
      <c r="F58" s="9">
        <v>6</v>
      </c>
      <c r="I58" s="68">
        <v>7</v>
      </c>
      <c r="J58" s="68"/>
      <c r="K58" s="22" t="s">
        <v>81</v>
      </c>
      <c r="L58" s="18" t="e">
        <f ca="1">OFFSET(#REF!,0,ROW()-2)</f>
        <v>#REF!</v>
      </c>
      <c r="M58" s="14" t="e">
        <f ca="1">OFFSET(#REF!,0,ROW()-2)</f>
        <v>#REF!</v>
      </c>
      <c r="N58" s="14" t="e">
        <f ca="1">OFFSET(#REF!,0,ROW()-2)</f>
        <v>#REF!</v>
      </c>
      <c r="O58" s="14" t="e">
        <f ca="1">OFFSET(#REF!,0,ROW()-2)</f>
        <v>#REF!</v>
      </c>
      <c r="P58" s="14">
        <f ca="1">OFFSET(RF!$C$7,0,ROW()-2)</f>
        <v>4</v>
      </c>
      <c r="Q58" s="14" t="e">
        <f ca="1">OFFSET(#REF!,0,ROW()-2)</f>
        <v>#REF!</v>
      </c>
      <c r="R58" s="18" t="e">
        <f ca="1">OFFSET(#REF!,0,ROW()-2)</f>
        <v>#REF!</v>
      </c>
      <c r="S58" s="18" t="e">
        <f ca="1">OFFSET(#REF!,0,ROW()-2)</f>
        <v>#REF!</v>
      </c>
      <c r="T58" s="18" t="e">
        <f ca="1">OFFSET(#REF!,0,ROW()-2)</f>
        <v>#REF!</v>
      </c>
      <c r="U58" s="18" t="s">
        <v>185</v>
      </c>
      <c r="V58" s="75" t="e">
        <f ca="1">OFFSET(#REF!,0,ROW()-2)</f>
        <v>#REF!</v>
      </c>
    </row>
    <row r="59" spans="1:22" x14ac:dyDescent="0.25">
      <c r="A59" s="80" t="s">
        <v>146</v>
      </c>
      <c r="B59" s="105" t="s">
        <v>149</v>
      </c>
      <c r="C59" s="22"/>
      <c r="D59" s="22" t="s">
        <v>451</v>
      </c>
      <c r="E59" s="79" t="s">
        <v>453</v>
      </c>
      <c r="F59" s="9">
        <v>2</v>
      </c>
      <c r="I59" s="68">
        <v>7</v>
      </c>
      <c r="J59" s="68"/>
      <c r="K59" s="23" t="s">
        <v>82</v>
      </c>
      <c r="L59" s="18" t="e">
        <f ca="1">OFFSET(#REF!,0,ROW()-2)</f>
        <v>#REF!</v>
      </c>
      <c r="M59" s="14" t="e">
        <f ca="1">OFFSET(#REF!,0,ROW()-2)</f>
        <v>#REF!</v>
      </c>
      <c r="N59" s="14" t="e">
        <f ca="1">OFFSET(#REF!,0,ROW()-2)</f>
        <v>#REF!</v>
      </c>
      <c r="O59" s="14" t="e">
        <f ca="1">OFFSET(#REF!,0,ROW()-2)</f>
        <v>#REF!</v>
      </c>
      <c r="P59" s="14">
        <f ca="1">OFFSET(RF!$C$7,0,ROW()-2)</f>
        <v>5</v>
      </c>
      <c r="Q59" s="14" t="e">
        <f ca="1">OFFSET(#REF!,0,ROW()-2)</f>
        <v>#REF!</v>
      </c>
      <c r="R59" s="18" t="e">
        <f ca="1">OFFSET(#REF!,0,ROW()-2)</f>
        <v>#REF!</v>
      </c>
      <c r="S59" s="18" t="e">
        <f ca="1">OFFSET(#REF!,0,ROW()-2)</f>
        <v>#REF!</v>
      </c>
      <c r="T59" s="18" t="e">
        <f ca="1">OFFSET(#REF!,0,ROW()-2)</f>
        <v>#REF!</v>
      </c>
      <c r="U59" s="18" t="s">
        <v>175</v>
      </c>
      <c r="V59" s="75" t="e">
        <f ca="1">OFFSET(#REF!,0,ROW()-2)</f>
        <v>#REF!</v>
      </c>
    </row>
    <row r="60" spans="1:22" x14ac:dyDescent="0.25">
      <c r="A60" s="80" t="s">
        <v>151</v>
      </c>
      <c r="B60" s="107" t="s">
        <v>149</v>
      </c>
      <c r="C60" s="22"/>
      <c r="D60" s="22" t="s">
        <v>548</v>
      </c>
      <c r="E60" s="79" t="s">
        <v>455</v>
      </c>
      <c r="F60" s="9">
        <v>2</v>
      </c>
      <c r="I60" s="68">
        <v>7</v>
      </c>
      <c r="J60" s="68"/>
      <c r="K60" s="23" t="s">
        <v>83</v>
      </c>
      <c r="L60" s="18" t="e">
        <f ca="1">OFFSET(#REF!,0,ROW()-2)</f>
        <v>#REF!</v>
      </c>
      <c r="M60" s="14" t="e">
        <f ca="1">OFFSET(#REF!,0,ROW()-2)</f>
        <v>#REF!</v>
      </c>
      <c r="N60" s="14" t="e">
        <f ca="1">OFFSET(#REF!,0,ROW()-2)</f>
        <v>#REF!</v>
      </c>
      <c r="O60" s="14" t="e">
        <f ca="1">OFFSET(#REF!,0,ROW()-2)</f>
        <v>#REF!</v>
      </c>
      <c r="P60" s="14">
        <f ca="1">OFFSET(RF!$C$7,0,ROW()-2)</f>
        <v>3</v>
      </c>
      <c r="Q60" s="14" t="e">
        <f ca="1">OFFSET(#REF!,0,ROW()-2)</f>
        <v>#REF!</v>
      </c>
      <c r="R60" s="18" t="e">
        <f ca="1">OFFSET(#REF!,0,ROW()-2)</f>
        <v>#REF!</v>
      </c>
      <c r="S60" s="18" t="e">
        <f ca="1">OFFSET(#REF!,0,ROW()-2)</f>
        <v>#REF!</v>
      </c>
      <c r="T60" s="18" t="e">
        <f ca="1">OFFSET(#REF!,0,ROW()-2)</f>
        <v>#REF!</v>
      </c>
      <c r="U60" s="18" t="s">
        <v>185</v>
      </c>
      <c r="V60" s="75" t="e">
        <f ca="1">OFFSET(#REF!,0,ROW()-2)</f>
        <v>#REF!</v>
      </c>
    </row>
    <row r="61" spans="1:22" x14ac:dyDescent="0.25">
      <c r="A61" s="80" t="s">
        <v>146</v>
      </c>
      <c r="B61" s="107" t="s">
        <v>149</v>
      </c>
      <c r="C61" s="22"/>
      <c r="D61" s="22" t="s">
        <v>549</v>
      </c>
      <c r="E61" s="79" t="s">
        <v>457</v>
      </c>
      <c r="F61" s="9">
        <v>4</v>
      </c>
      <c r="I61" s="69">
        <v>7</v>
      </c>
      <c r="J61" s="68"/>
      <c r="K61" s="22" t="s">
        <v>84</v>
      </c>
      <c r="L61" s="18" t="e">
        <f ca="1">OFFSET(#REF!,0,ROW()-2)</f>
        <v>#REF!</v>
      </c>
      <c r="M61" s="14" t="e">
        <f ca="1">OFFSET(#REF!,0,ROW()-2)</f>
        <v>#REF!</v>
      </c>
      <c r="N61" s="14" t="e">
        <f ca="1">OFFSET(#REF!,0,ROW()-2)</f>
        <v>#REF!</v>
      </c>
      <c r="O61" s="14" t="e">
        <f ca="1">OFFSET(#REF!,0,ROW()-2)</f>
        <v>#REF!</v>
      </c>
      <c r="P61" s="14">
        <f ca="1">OFFSET(RF!$C$7,0,ROW()-2)</f>
        <v>3</v>
      </c>
      <c r="Q61" s="14" t="e">
        <f ca="1">OFFSET(#REF!,0,ROW()-2)</f>
        <v>#REF!</v>
      </c>
      <c r="R61" s="18" t="e">
        <f ca="1">OFFSET(#REF!,0,ROW()-2)</f>
        <v>#REF!</v>
      </c>
      <c r="S61" s="18" t="e">
        <f ca="1">OFFSET(#REF!,0,ROW()-2)</f>
        <v>#REF!</v>
      </c>
      <c r="T61" s="18" t="e">
        <f ca="1">OFFSET(#REF!,0,ROW()-2)</f>
        <v>#REF!</v>
      </c>
      <c r="U61" s="18" t="s">
        <v>185</v>
      </c>
      <c r="V61" s="75" t="e">
        <f ca="1">OFFSET(#REF!,0,ROW()-2)</f>
        <v>#REF!</v>
      </c>
    </row>
    <row r="62" spans="1:22" x14ac:dyDescent="0.25">
      <c r="A62" s="80" t="s">
        <v>151</v>
      </c>
      <c r="B62" s="105" t="s">
        <v>149</v>
      </c>
      <c r="C62" s="22"/>
      <c r="D62" s="22" t="s">
        <v>538</v>
      </c>
      <c r="E62" s="79" t="s">
        <v>459</v>
      </c>
      <c r="F62" s="9">
        <v>3</v>
      </c>
      <c r="I62" s="68">
        <v>7</v>
      </c>
      <c r="J62" s="68"/>
      <c r="K62" s="22" t="s">
        <v>85</v>
      </c>
      <c r="L62" s="18" t="e">
        <f ca="1">OFFSET(#REF!,0,ROW()-2)</f>
        <v>#REF!</v>
      </c>
      <c r="M62" s="14" t="e">
        <f ca="1">OFFSET(#REF!,0,ROW()-2)</f>
        <v>#REF!</v>
      </c>
      <c r="N62" s="14" t="e">
        <f ca="1">OFFSET(#REF!,0,ROW()-2)</f>
        <v>#REF!</v>
      </c>
      <c r="O62" s="14" t="e">
        <f ca="1">OFFSET(#REF!,0,ROW()-2)</f>
        <v>#REF!</v>
      </c>
      <c r="P62" s="14">
        <f ca="1">OFFSET(RF!$C$7,0,ROW()-2)</f>
        <v>5</v>
      </c>
      <c r="Q62" s="14" t="e">
        <f ca="1">OFFSET(#REF!,0,ROW()-2)</f>
        <v>#REF!</v>
      </c>
      <c r="R62" s="18" t="e">
        <f ca="1">OFFSET(#REF!,0,ROW()-2)</f>
        <v>#REF!</v>
      </c>
      <c r="S62" s="18" t="e">
        <f ca="1">OFFSET(#REF!,0,ROW()-2)</f>
        <v>#REF!</v>
      </c>
      <c r="T62" s="18" t="e">
        <f ca="1">OFFSET(#REF!,0,ROW()-2)</f>
        <v>#REF!</v>
      </c>
      <c r="U62" s="18" t="s">
        <v>185</v>
      </c>
      <c r="V62" s="75" t="e">
        <f ca="1">OFFSET(#REF!,0,ROW()-2)</f>
        <v>#REF!</v>
      </c>
    </row>
    <row r="63" spans="1:22" x14ac:dyDescent="0.25">
      <c r="A63" s="80" t="s">
        <v>151</v>
      </c>
      <c r="B63" s="105" t="s">
        <v>149</v>
      </c>
      <c r="C63" s="22"/>
      <c r="D63" s="22" t="s">
        <v>550</v>
      </c>
      <c r="E63" s="79" t="s">
        <v>461</v>
      </c>
      <c r="F63" s="9">
        <v>2</v>
      </c>
      <c r="I63" s="68">
        <v>7</v>
      </c>
      <c r="J63" s="68"/>
      <c r="K63" s="22" t="s">
        <v>86</v>
      </c>
      <c r="L63" s="18" t="e">
        <f ca="1">OFFSET(#REF!,0,ROW()-2)</f>
        <v>#REF!</v>
      </c>
      <c r="M63" s="14" t="e">
        <f ca="1">OFFSET(#REF!,0,ROW()-2)</f>
        <v>#REF!</v>
      </c>
      <c r="N63" s="14" t="e">
        <f ca="1">OFFSET(#REF!,0,ROW()-2)</f>
        <v>#REF!</v>
      </c>
      <c r="O63" s="14" t="e">
        <f ca="1">OFFSET(#REF!,0,ROW()-2)</f>
        <v>#REF!</v>
      </c>
      <c r="P63" s="14">
        <f ca="1">OFFSET(RF!$C$7,0,ROW()-2)</f>
        <v>6</v>
      </c>
      <c r="Q63" s="14" t="e">
        <f ca="1">OFFSET(#REF!,0,ROW()-2)</f>
        <v>#REF!</v>
      </c>
      <c r="R63" s="18" t="e">
        <f ca="1">OFFSET(#REF!,0,ROW()-2)</f>
        <v>#REF!</v>
      </c>
      <c r="S63" s="18" t="e">
        <f ca="1">OFFSET(#REF!,0,ROW()-2)</f>
        <v>#REF!</v>
      </c>
      <c r="T63" s="18" t="e">
        <f ca="1">OFFSET(#REF!,0,ROW()-2)</f>
        <v>#REF!</v>
      </c>
      <c r="U63" s="18" t="s">
        <v>185</v>
      </c>
      <c r="V63" s="75" t="e">
        <f ca="1">OFFSET(#REF!,0,ROW()-2)</f>
        <v>#REF!</v>
      </c>
    </row>
    <row r="64" spans="1:22" x14ac:dyDescent="0.25">
      <c r="A64" s="80" t="s">
        <v>151</v>
      </c>
      <c r="B64" s="105" t="s">
        <v>149</v>
      </c>
      <c r="C64" s="22"/>
      <c r="D64" s="22" t="s">
        <v>457</v>
      </c>
      <c r="E64" s="79" t="s">
        <v>463</v>
      </c>
      <c r="F64" s="9">
        <v>7</v>
      </c>
      <c r="I64" s="68">
        <v>7</v>
      </c>
      <c r="J64" s="68"/>
      <c r="K64" s="23" t="s">
        <v>87</v>
      </c>
      <c r="L64" s="18" t="e">
        <f ca="1">OFFSET(#REF!,0,ROW()-2)</f>
        <v>#REF!</v>
      </c>
      <c r="M64" s="14" t="e">
        <f ca="1">OFFSET(#REF!,0,ROW()-2)</f>
        <v>#REF!</v>
      </c>
      <c r="N64" s="14" t="e">
        <f ca="1">OFFSET(#REF!,0,ROW()-2)</f>
        <v>#REF!</v>
      </c>
      <c r="O64" s="14" t="e">
        <f ca="1">OFFSET(#REF!,0,ROW()-2)</f>
        <v>#REF!</v>
      </c>
      <c r="P64" s="14">
        <f ca="1">OFFSET(RF!$C$7,0,ROW()-2)</f>
        <v>5</v>
      </c>
      <c r="Q64" s="14" t="e">
        <f ca="1">OFFSET(#REF!,0,ROW()-2)</f>
        <v>#REF!</v>
      </c>
      <c r="R64" s="18" t="e">
        <f ca="1">OFFSET(#REF!,0,ROW()-2)</f>
        <v>#REF!</v>
      </c>
      <c r="S64" s="18" t="e">
        <f ca="1">OFFSET(#REF!,0,ROW()-2)</f>
        <v>#REF!</v>
      </c>
      <c r="T64" s="18" t="e">
        <f ca="1">OFFSET(#REF!,0,ROW()-2)</f>
        <v>#REF!</v>
      </c>
      <c r="U64" s="18" t="s">
        <v>185</v>
      </c>
      <c r="V64" s="75" t="e">
        <f ca="1">OFFSET(#REF!,0,ROW()-2)</f>
        <v>#REF!</v>
      </c>
    </row>
    <row r="65" spans="1:22" x14ac:dyDescent="0.25">
      <c r="A65" s="80" t="s">
        <v>146</v>
      </c>
      <c r="B65" s="105" t="s">
        <v>149</v>
      </c>
      <c r="C65" s="22" t="s">
        <v>584</v>
      </c>
      <c r="D65" s="22" t="s">
        <v>455</v>
      </c>
      <c r="E65" s="79" t="s">
        <v>465</v>
      </c>
      <c r="F65" s="9">
        <v>8</v>
      </c>
      <c r="I65" s="68">
        <v>7</v>
      </c>
      <c r="J65" s="68"/>
      <c r="K65" s="22" t="s">
        <v>72</v>
      </c>
      <c r="L65" s="18" t="e">
        <f ca="1">OFFSET(#REF!,0,ROW()-2)</f>
        <v>#REF!</v>
      </c>
      <c r="M65" s="14" t="e">
        <f ca="1">OFFSET(#REF!,0,ROW()-2)</f>
        <v>#REF!</v>
      </c>
      <c r="N65" s="14" t="e">
        <f ca="1">OFFSET(#REF!,0,ROW()-2)</f>
        <v>#REF!</v>
      </c>
      <c r="O65" s="14" t="e">
        <f ca="1">OFFSET(#REF!,0,ROW()-2)</f>
        <v>#REF!</v>
      </c>
      <c r="P65" s="14">
        <f ca="1">OFFSET(RF!$C$7,0,ROW()-2)</f>
        <v>5</v>
      </c>
      <c r="Q65" s="14" t="e">
        <f ca="1">OFFSET(#REF!,0,ROW()-2)</f>
        <v>#REF!</v>
      </c>
      <c r="R65" s="18" t="e">
        <f ca="1">OFFSET(#REF!,0,ROW()-2)</f>
        <v>#REF!</v>
      </c>
      <c r="S65" s="18" t="e">
        <f ca="1">OFFSET(#REF!,0,ROW()-2)</f>
        <v>#REF!</v>
      </c>
      <c r="T65" s="18" t="e">
        <f ca="1">OFFSET(#REF!,0,ROW()-2)</f>
        <v>#REF!</v>
      </c>
      <c r="U65" s="18" t="s">
        <v>185</v>
      </c>
      <c r="V65" s="75" t="e">
        <f ca="1">OFFSET(#REF!,0,ROW()-2)</f>
        <v>#REF!</v>
      </c>
    </row>
    <row r="66" spans="1:22" x14ac:dyDescent="0.25">
      <c r="A66" s="80" t="s">
        <v>151</v>
      </c>
      <c r="B66" s="105" t="s">
        <v>149</v>
      </c>
      <c r="C66" s="22" t="s">
        <v>585</v>
      </c>
      <c r="D66" s="22" t="s">
        <v>459</v>
      </c>
      <c r="E66" s="79" t="s">
        <v>467</v>
      </c>
      <c r="F66" s="9">
        <v>7</v>
      </c>
      <c r="I66" s="68">
        <v>8</v>
      </c>
      <c r="J66" s="68"/>
      <c r="K66" s="22" t="s">
        <v>88</v>
      </c>
      <c r="L66" s="18" t="e">
        <f ca="1">OFFSET(#REF!,0,ROW()-2)</f>
        <v>#REF!</v>
      </c>
      <c r="M66" s="14" t="e">
        <f ca="1">OFFSET(#REF!,0,ROW()-2)</f>
        <v>#REF!</v>
      </c>
      <c r="N66" s="14" t="e">
        <f ca="1">OFFSET(#REF!,0,ROW()-2)</f>
        <v>#REF!</v>
      </c>
      <c r="O66" s="14" t="e">
        <f ca="1">OFFSET(#REF!,0,ROW()-2)</f>
        <v>#REF!</v>
      </c>
      <c r="P66" s="14">
        <f ca="1">OFFSET(RF!$C$7,0,ROW()-2)</f>
        <v>4</v>
      </c>
      <c r="Q66" s="14" t="e">
        <f ca="1">OFFSET(#REF!,0,ROW()-2)</f>
        <v>#REF!</v>
      </c>
      <c r="R66" s="18" t="e">
        <f ca="1">OFFSET(#REF!,0,ROW()-2)</f>
        <v>#REF!</v>
      </c>
      <c r="S66" s="18" t="e">
        <f ca="1">OFFSET(#REF!,0,ROW()-2)</f>
        <v>#REF!</v>
      </c>
      <c r="T66" s="18" t="e">
        <f ca="1">OFFSET(#REF!,0,ROW()-2)</f>
        <v>#REF!</v>
      </c>
      <c r="U66" s="18" t="s">
        <v>185</v>
      </c>
      <c r="V66" s="75" t="e">
        <f ca="1">OFFSET(#REF!,0,ROW()-2)</f>
        <v>#REF!</v>
      </c>
    </row>
    <row r="67" spans="1:22" x14ac:dyDescent="0.25">
      <c r="A67" s="80" t="s">
        <v>151</v>
      </c>
      <c r="B67" s="105" t="s">
        <v>149</v>
      </c>
      <c r="C67" s="22"/>
      <c r="D67" s="22" t="s">
        <v>461</v>
      </c>
      <c r="E67" s="79" t="s">
        <v>469</v>
      </c>
      <c r="F67" s="9">
        <v>6</v>
      </c>
      <c r="I67" s="68">
        <v>8</v>
      </c>
      <c r="J67" s="68"/>
      <c r="K67" s="23" t="s">
        <v>89</v>
      </c>
      <c r="L67" s="18" t="e">
        <f ca="1">OFFSET(#REF!,0,ROW()-2)</f>
        <v>#REF!</v>
      </c>
      <c r="M67" s="46" t="e">
        <f ca="1">OFFSET(#REF!,0,ROW()-2)</f>
        <v>#REF!</v>
      </c>
      <c r="N67" s="14" t="e">
        <f ca="1">OFFSET(#REF!,0,ROW()-2)</f>
        <v>#REF!</v>
      </c>
      <c r="O67" s="46" t="e">
        <f ca="1">OFFSET(#REF!,0,ROW()-2)</f>
        <v>#REF!</v>
      </c>
      <c r="P67" s="46">
        <f ca="1">OFFSET(RF!$C$7,0,ROW()-2)</f>
        <v>6</v>
      </c>
      <c r="Q67" s="46" t="e">
        <f ca="1">OFFSET(#REF!,0,ROW()-2)</f>
        <v>#REF!</v>
      </c>
      <c r="R67" s="18" t="e">
        <f ca="1">OFFSET(#REF!,0,ROW()-2)</f>
        <v>#REF!</v>
      </c>
      <c r="S67" s="18" t="e">
        <f ca="1">OFFSET(#REF!,0,ROW()-2)</f>
        <v>#REF!</v>
      </c>
      <c r="T67" s="18" t="e">
        <f ca="1">OFFSET(#REF!,0,ROW()-2)</f>
        <v>#REF!</v>
      </c>
      <c r="U67" s="18" t="s">
        <v>185</v>
      </c>
      <c r="V67" s="75" t="e">
        <f ca="1">OFFSET(#REF!,0,ROW()-2)</f>
        <v>#REF!</v>
      </c>
    </row>
    <row r="68" spans="1:22" x14ac:dyDescent="0.25">
      <c r="A68" s="80" t="s">
        <v>151</v>
      </c>
      <c r="B68" s="105" t="s">
        <v>148</v>
      </c>
      <c r="C68" s="22" t="s">
        <v>586</v>
      </c>
      <c r="D68" s="22" t="s">
        <v>463</v>
      </c>
      <c r="E68" s="79" t="s">
        <v>471</v>
      </c>
      <c r="F68" s="9">
        <v>3</v>
      </c>
      <c r="I68" s="68">
        <v>8</v>
      </c>
      <c r="J68" s="68"/>
      <c r="K68" s="23" t="s">
        <v>90</v>
      </c>
      <c r="L68" s="18" t="e">
        <f ca="1">OFFSET(#REF!,0,ROW()-2)</f>
        <v>#REF!</v>
      </c>
      <c r="M68" s="46" t="e">
        <f ca="1">OFFSET(#REF!,0,ROW()-2)</f>
        <v>#REF!</v>
      </c>
      <c r="N68" s="14" t="e">
        <f ca="1">OFFSET(#REF!,0,ROW()-2)</f>
        <v>#REF!</v>
      </c>
      <c r="O68" s="46" t="e">
        <f ca="1">OFFSET(#REF!,0,ROW()-2)</f>
        <v>#REF!</v>
      </c>
      <c r="P68" s="46">
        <f ca="1">OFFSET(RF!$C$7,0,ROW()-2)</f>
        <v>3</v>
      </c>
      <c r="Q68" s="46" t="e">
        <f ca="1">OFFSET(#REF!,0,ROW()-2)</f>
        <v>#REF!</v>
      </c>
      <c r="R68" s="18" t="e">
        <f ca="1">OFFSET(#REF!,0,ROW()-2)</f>
        <v>#REF!</v>
      </c>
      <c r="S68" s="18" t="e">
        <f ca="1">OFFSET(#REF!,0,ROW()-2)</f>
        <v>#REF!</v>
      </c>
      <c r="T68" s="18" t="e">
        <f ca="1">OFFSET(#REF!,0,ROW()-2)</f>
        <v>#REF!</v>
      </c>
      <c r="U68" s="18" t="s">
        <v>175</v>
      </c>
      <c r="V68" s="75" t="e">
        <f ca="1">OFFSET(#REF!,0,ROW()-2)</f>
        <v>#REF!</v>
      </c>
    </row>
    <row r="69" spans="1:22" x14ac:dyDescent="0.25">
      <c r="A69" s="80" t="s">
        <v>151</v>
      </c>
      <c r="B69" s="105" t="s">
        <v>149</v>
      </c>
      <c r="C69" s="22"/>
      <c r="D69" s="22" t="s">
        <v>465</v>
      </c>
      <c r="E69" s="79" t="s">
        <v>472</v>
      </c>
      <c r="F69" s="9">
        <v>6</v>
      </c>
      <c r="I69" s="68">
        <v>9</v>
      </c>
      <c r="J69" s="68"/>
      <c r="K69" s="22" t="s">
        <v>91</v>
      </c>
      <c r="L69" s="18" t="e">
        <f ca="1">OFFSET(#REF!,0,ROW()-2)</f>
        <v>#REF!</v>
      </c>
      <c r="M69" s="16" t="e">
        <f ca="1">OFFSET(#REF!,0,ROW()-2)</f>
        <v>#REF!</v>
      </c>
      <c r="N69" s="14" t="e">
        <f ca="1">OFFSET(#REF!,0,ROW()-2)</f>
        <v>#REF!</v>
      </c>
      <c r="O69" s="16" t="e">
        <f ca="1">OFFSET(#REF!,0,ROW()-2)</f>
        <v>#REF!</v>
      </c>
      <c r="P69" s="16">
        <f ca="1">OFFSET(RF!$C$7,0,ROW()-2)</f>
        <v>2</v>
      </c>
      <c r="Q69" s="16" t="e">
        <f ca="1">OFFSET(#REF!,0,ROW()-2)</f>
        <v>#REF!</v>
      </c>
      <c r="R69" s="18" t="e">
        <f ca="1">OFFSET(#REF!,0,ROW()-2)</f>
        <v>#REF!</v>
      </c>
      <c r="S69" s="18" t="e">
        <f ca="1">OFFSET(#REF!,0,ROW()-2)</f>
        <v>#REF!</v>
      </c>
      <c r="T69" s="18" t="e">
        <f ca="1">OFFSET(#REF!,0,ROW()-2)</f>
        <v>#REF!</v>
      </c>
      <c r="U69" s="18" t="s">
        <v>175</v>
      </c>
      <c r="V69" s="75" t="e">
        <f ca="1">OFFSET(#REF!,0,ROW()-2)</f>
        <v>#REF!</v>
      </c>
    </row>
    <row r="70" spans="1:22" x14ac:dyDescent="0.25">
      <c r="A70" s="80" t="s">
        <v>151</v>
      </c>
      <c r="B70" s="105" t="s">
        <v>149</v>
      </c>
      <c r="C70" s="22" t="s">
        <v>587</v>
      </c>
      <c r="D70" s="22" t="s">
        <v>467</v>
      </c>
      <c r="E70" s="79" t="s">
        <v>474</v>
      </c>
      <c r="F70" s="9">
        <v>3</v>
      </c>
      <c r="I70" s="68">
        <v>9</v>
      </c>
      <c r="J70" s="68"/>
      <c r="K70" s="22" t="s">
        <v>92</v>
      </c>
      <c r="L70" s="18" t="e">
        <f ca="1">OFFSET(#REF!,0,ROW()-2)</f>
        <v>#REF!</v>
      </c>
      <c r="M70" s="14" t="e">
        <f ca="1">OFFSET(#REF!,0,ROW()-2)</f>
        <v>#REF!</v>
      </c>
      <c r="N70" s="14" t="e">
        <f ca="1">OFFSET(#REF!,0,ROW()-2)</f>
        <v>#REF!</v>
      </c>
      <c r="O70" s="14" t="e">
        <f ca="1">OFFSET(#REF!,0,ROW()-2)</f>
        <v>#REF!</v>
      </c>
      <c r="P70" s="14">
        <f ca="1">OFFSET(RF!$C$7,0,ROW()-2)</f>
        <v>4</v>
      </c>
      <c r="Q70" s="14" t="e">
        <f ca="1">OFFSET(#REF!,0,ROW()-2)</f>
        <v>#REF!</v>
      </c>
      <c r="R70" s="18" t="e">
        <f ca="1">OFFSET(#REF!,0,ROW()-2)</f>
        <v>#REF!</v>
      </c>
      <c r="S70" s="18" t="e">
        <f ca="1">OFFSET(#REF!,0,ROW()-2)</f>
        <v>#REF!</v>
      </c>
      <c r="T70" s="18" t="e">
        <f ca="1">OFFSET(#REF!,0,ROW()-2)</f>
        <v>#REF!</v>
      </c>
      <c r="U70" s="18" t="s">
        <v>185</v>
      </c>
      <c r="V70" s="75" t="e">
        <f ca="1">OFFSET(#REF!,0,ROW()-2)</f>
        <v>#REF!</v>
      </c>
    </row>
    <row r="71" spans="1:22" x14ac:dyDescent="0.25">
      <c r="A71" s="80" t="s">
        <v>146</v>
      </c>
      <c r="B71" s="105" t="s">
        <v>149</v>
      </c>
      <c r="C71" s="22" t="s">
        <v>588</v>
      </c>
      <c r="D71" s="22" t="s">
        <v>469</v>
      </c>
      <c r="E71" s="79" t="s">
        <v>476</v>
      </c>
      <c r="F71" s="9">
        <v>2</v>
      </c>
      <c r="I71" s="68">
        <v>9</v>
      </c>
      <c r="J71" s="68"/>
      <c r="K71" s="22" t="s">
        <v>93</v>
      </c>
      <c r="L71" s="18" t="e">
        <f ca="1">OFFSET(#REF!,0,ROW()-2)</f>
        <v>#REF!</v>
      </c>
      <c r="M71" s="14" t="e">
        <f ca="1">OFFSET(#REF!,0,ROW()-2)</f>
        <v>#REF!</v>
      </c>
      <c r="N71" s="14" t="e">
        <f ca="1">OFFSET(#REF!,0,ROW()-2)</f>
        <v>#REF!</v>
      </c>
      <c r="O71" s="14" t="e">
        <f ca="1">OFFSET(#REF!,0,ROW()-2)</f>
        <v>#REF!</v>
      </c>
      <c r="P71" s="14">
        <f ca="1">OFFSET(RF!$C$7,0,ROW()-2)</f>
        <v>2</v>
      </c>
      <c r="Q71" s="14" t="e">
        <f ca="1">OFFSET(#REF!,0,ROW()-2)</f>
        <v>#REF!</v>
      </c>
      <c r="R71" s="18" t="e">
        <f ca="1">OFFSET(#REF!,0,ROW()-2)</f>
        <v>#REF!</v>
      </c>
      <c r="S71" s="18" t="e">
        <f ca="1">OFFSET(#REF!,0,ROW()-2)</f>
        <v>#REF!</v>
      </c>
      <c r="T71" s="18" t="e">
        <f ca="1">OFFSET(#REF!,0,ROW()-2)</f>
        <v>#REF!</v>
      </c>
      <c r="U71" s="18" t="s">
        <v>175</v>
      </c>
      <c r="V71" s="75" t="e">
        <f ca="1">OFFSET(#REF!,0,ROW()-2)</f>
        <v>#REF!</v>
      </c>
    </row>
    <row r="72" spans="1:22" x14ac:dyDescent="0.25">
      <c r="A72" s="80" t="s">
        <v>151</v>
      </c>
      <c r="B72" s="105" t="s">
        <v>149</v>
      </c>
      <c r="C72" s="22"/>
      <c r="D72" s="22" t="s">
        <v>474</v>
      </c>
      <c r="E72" s="79" t="s">
        <v>478</v>
      </c>
      <c r="F72" s="9">
        <v>5</v>
      </c>
      <c r="I72" s="68">
        <v>9</v>
      </c>
      <c r="J72" s="68"/>
      <c r="K72" s="22" t="s">
        <v>94</v>
      </c>
      <c r="L72" s="18" t="e">
        <f ca="1">OFFSET(#REF!,0,ROW()-2)</f>
        <v>#REF!</v>
      </c>
      <c r="M72" s="14" t="e">
        <f ca="1">OFFSET(#REF!,0,ROW()-2)</f>
        <v>#REF!</v>
      </c>
      <c r="N72" s="14" t="e">
        <f ca="1">OFFSET(#REF!,0,ROW()-2)</f>
        <v>#REF!</v>
      </c>
      <c r="O72" s="14" t="e">
        <f ca="1">OFFSET(#REF!,0,ROW()-2)</f>
        <v>#REF!</v>
      </c>
      <c r="P72" s="14">
        <f ca="1">OFFSET(RF!$C$7,0,ROW()-2)</f>
        <v>2</v>
      </c>
      <c r="Q72" s="14" t="e">
        <f ca="1">OFFSET(#REF!,0,ROW()-2)</f>
        <v>#REF!</v>
      </c>
      <c r="R72" s="18" t="e">
        <f ca="1">OFFSET(#REF!,0,ROW()-2)</f>
        <v>#REF!</v>
      </c>
      <c r="S72" s="18" t="e">
        <f ca="1">OFFSET(#REF!,0,ROW()-2)</f>
        <v>#REF!</v>
      </c>
      <c r="T72" s="18" t="e">
        <f ca="1">OFFSET(#REF!,0,ROW()-2)</f>
        <v>#REF!</v>
      </c>
      <c r="U72" s="18" t="s">
        <v>185</v>
      </c>
      <c r="V72" s="75" t="e">
        <f ca="1">OFFSET(#REF!,0,ROW()-2)</f>
        <v>#REF!</v>
      </c>
    </row>
    <row r="73" spans="1:22" x14ac:dyDescent="0.25">
      <c r="A73" s="80" t="s">
        <v>146</v>
      </c>
      <c r="B73" s="105" t="s">
        <v>149</v>
      </c>
      <c r="C73" s="22" t="s">
        <v>589</v>
      </c>
      <c r="D73" s="22" t="s">
        <v>476</v>
      </c>
      <c r="E73" s="79" t="s">
        <v>480</v>
      </c>
      <c r="F73" s="9">
        <v>3</v>
      </c>
      <c r="I73" s="68">
        <v>9</v>
      </c>
      <c r="J73" s="68"/>
      <c r="K73" s="22" t="s">
        <v>95</v>
      </c>
      <c r="L73" s="18" t="e">
        <f ca="1">OFFSET(#REF!,0,ROW()-2)</f>
        <v>#REF!</v>
      </c>
      <c r="M73" s="14" t="e">
        <f ca="1">OFFSET(#REF!,0,ROW()-2)</f>
        <v>#REF!</v>
      </c>
      <c r="N73" s="14" t="e">
        <f ca="1">OFFSET(#REF!,0,ROW()-2)</f>
        <v>#REF!</v>
      </c>
      <c r="O73" s="14" t="e">
        <f ca="1">OFFSET(#REF!,0,ROW()-2)</f>
        <v>#REF!</v>
      </c>
      <c r="P73" s="14">
        <f ca="1">OFFSET(RF!$C$7,0,ROW()-2)</f>
        <v>3</v>
      </c>
      <c r="Q73" s="14" t="e">
        <f ca="1">OFFSET(#REF!,0,ROW()-2)</f>
        <v>#REF!</v>
      </c>
      <c r="R73" s="18" t="e">
        <f ca="1">OFFSET(#REF!,0,ROW()-2)</f>
        <v>#REF!</v>
      </c>
      <c r="S73" s="18" t="e">
        <f ca="1">OFFSET(#REF!,0,ROW()-2)</f>
        <v>#REF!</v>
      </c>
      <c r="T73" s="18" t="e">
        <f ca="1">OFFSET(#REF!,0,ROW()-2)</f>
        <v>#REF!</v>
      </c>
      <c r="U73" s="18" t="s">
        <v>185</v>
      </c>
      <c r="V73" s="75" t="e">
        <f ca="1">OFFSET(#REF!,0,ROW()-2)</f>
        <v>#REF!</v>
      </c>
    </row>
    <row r="74" spans="1:22" x14ac:dyDescent="0.25">
      <c r="A74" s="80" t="s">
        <v>150</v>
      </c>
      <c r="B74" s="105" t="s">
        <v>149</v>
      </c>
      <c r="C74" s="22"/>
      <c r="D74" s="22" t="s">
        <v>480</v>
      </c>
      <c r="E74" s="79" t="s">
        <v>481</v>
      </c>
      <c r="F74" s="9">
        <v>4</v>
      </c>
      <c r="I74" s="68">
        <v>9</v>
      </c>
      <c r="J74" s="68"/>
      <c r="K74" s="22" t="s">
        <v>96</v>
      </c>
      <c r="L74" s="18" t="e">
        <f ca="1">OFFSET(#REF!,0,ROW()-2)</f>
        <v>#REF!</v>
      </c>
      <c r="M74" s="14" t="e">
        <f ca="1">OFFSET(#REF!,0,ROW()-2)</f>
        <v>#REF!</v>
      </c>
      <c r="N74" s="14" t="e">
        <f ca="1">OFFSET(#REF!,0,ROW()-2)</f>
        <v>#REF!</v>
      </c>
      <c r="O74" s="14" t="e">
        <f ca="1">OFFSET(#REF!,0,ROW()-2)</f>
        <v>#REF!</v>
      </c>
      <c r="P74" s="14">
        <f ca="1">OFFSET(RF!$C$7,0,ROW()-2)</f>
        <v>5</v>
      </c>
      <c r="Q74" s="14" t="e">
        <f ca="1">OFFSET(#REF!,0,ROW()-2)</f>
        <v>#REF!</v>
      </c>
      <c r="R74" s="18" t="e">
        <f ca="1">OFFSET(#REF!,0,ROW()-2)</f>
        <v>#REF!</v>
      </c>
      <c r="S74" s="18" t="e">
        <f ca="1">OFFSET(#REF!,0,ROW()-2)</f>
        <v>#REF!</v>
      </c>
      <c r="T74" s="18" t="e">
        <f ca="1">OFFSET(#REF!,0,ROW()-2)</f>
        <v>#REF!</v>
      </c>
      <c r="U74" s="18" t="s">
        <v>185</v>
      </c>
      <c r="V74" s="75" t="e">
        <f ca="1">OFFSET(#REF!,0,ROW()-2)</f>
        <v>#REF!</v>
      </c>
    </row>
    <row r="75" spans="1:22" x14ac:dyDescent="0.25">
      <c r="A75" s="80" t="s">
        <v>150</v>
      </c>
      <c r="B75" s="105" t="s">
        <v>149</v>
      </c>
      <c r="C75" s="22"/>
      <c r="D75" s="22" t="s">
        <v>481</v>
      </c>
      <c r="E75" s="79" t="s">
        <v>483</v>
      </c>
      <c r="F75" s="9">
        <v>2</v>
      </c>
      <c r="I75" s="68">
        <v>9</v>
      </c>
      <c r="J75" s="68"/>
      <c r="K75" s="22" t="s">
        <v>97</v>
      </c>
      <c r="L75" s="18" t="e">
        <f ca="1">OFFSET(#REF!,0,ROW()-2)</f>
        <v>#REF!</v>
      </c>
      <c r="M75" s="14" t="e">
        <f ca="1">OFFSET(#REF!,0,ROW()-2)</f>
        <v>#REF!</v>
      </c>
      <c r="N75" s="14" t="e">
        <f ca="1">OFFSET(#REF!,0,ROW()-2)</f>
        <v>#REF!</v>
      </c>
      <c r="O75" s="14" t="e">
        <f ca="1">OFFSET(#REF!,0,ROW()-2)</f>
        <v>#REF!</v>
      </c>
      <c r="P75" s="14">
        <f ca="1">OFFSET(RF!$C$7,0,ROW()-2)</f>
        <v>3</v>
      </c>
      <c r="Q75" s="14" t="e">
        <f ca="1">OFFSET(#REF!,0,ROW()-2)</f>
        <v>#REF!</v>
      </c>
      <c r="R75" s="18" t="e">
        <f ca="1">OFFSET(#REF!,0,ROW()-2)</f>
        <v>#REF!</v>
      </c>
      <c r="S75" s="18" t="e">
        <f ca="1">OFFSET(#REF!,0,ROW()-2)</f>
        <v>#REF!</v>
      </c>
      <c r="T75" s="18" t="e">
        <f ca="1">OFFSET(#REF!,0,ROW()-2)</f>
        <v>#REF!</v>
      </c>
      <c r="U75" s="18" t="s">
        <v>185</v>
      </c>
      <c r="V75" s="75" t="e">
        <f ca="1">OFFSET(#REF!,0,ROW()-2)</f>
        <v>#REF!</v>
      </c>
    </row>
    <row r="76" spans="1:22" x14ac:dyDescent="0.25">
      <c r="A76" s="80" t="s">
        <v>151</v>
      </c>
      <c r="B76" s="105" t="s">
        <v>149</v>
      </c>
      <c r="C76" s="22"/>
      <c r="D76" s="22" t="s">
        <v>485</v>
      </c>
      <c r="E76" s="79" t="s">
        <v>485</v>
      </c>
      <c r="F76" s="9">
        <v>4</v>
      </c>
      <c r="I76" s="68">
        <v>9</v>
      </c>
      <c r="J76" s="68"/>
      <c r="K76" s="22" t="s">
        <v>98</v>
      </c>
      <c r="L76" s="18" t="e">
        <f ca="1">OFFSET(#REF!,0,ROW()-2)</f>
        <v>#REF!</v>
      </c>
      <c r="M76" s="14" t="e">
        <f ca="1">OFFSET(#REF!,0,ROW()-2)</f>
        <v>#REF!</v>
      </c>
      <c r="N76" s="14" t="e">
        <f ca="1">OFFSET(#REF!,0,ROW()-2)</f>
        <v>#REF!</v>
      </c>
      <c r="O76" s="14" t="e">
        <f ca="1">OFFSET(#REF!,0,ROW()-2)</f>
        <v>#REF!</v>
      </c>
      <c r="P76" s="14">
        <f ca="1">OFFSET(RF!$C$7,0,ROW()-2)</f>
        <v>2</v>
      </c>
      <c r="Q76" s="14" t="e">
        <f ca="1">OFFSET(#REF!,0,ROW()-2)</f>
        <v>#REF!</v>
      </c>
      <c r="R76" s="18" t="e">
        <f ca="1">OFFSET(#REF!,0,ROW()-2)</f>
        <v>#REF!</v>
      </c>
      <c r="S76" s="18" t="e">
        <f ca="1">OFFSET(#REF!,0,ROW()-2)</f>
        <v>#REF!</v>
      </c>
      <c r="T76" s="18" t="e">
        <f ca="1">OFFSET(#REF!,0,ROW()-2)</f>
        <v>#REF!</v>
      </c>
      <c r="U76" s="18" t="s">
        <v>185</v>
      </c>
      <c r="V76" s="75" t="e">
        <f ca="1">OFFSET(#REF!,0,ROW()-2)</f>
        <v>#REF!</v>
      </c>
    </row>
    <row r="77" spans="1:22" x14ac:dyDescent="0.25">
      <c r="A77" s="80" t="s">
        <v>151</v>
      </c>
      <c r="B77" s="105" t="s">
        <v>149</v>
      </c>
      <c r="C77" s="22"/>
      <c r="D77" s="22" t="s">
        <v>487</v>
      </c>
      <c r="E77" s="79" t="s">
        <v>487</v>
      </c>
      <c r="F77" s="9">
        <v>3</v>
      </c>
      <c r="I77" s="68">
        <v>9</v>
      </c>
      <c r="J77" s="68"/>
      <c r="K77" s="22" t="s">
        <v>99</v>
      </c>
      <c r="L77" s="18" t="e">
        <f ca="1">OFFSET(#REF!,0,ROW()-2)</f>
        <v>#REF!</v>
      </c>
      <c r="M77" s="8" t="e">
        <f ca="1">OFFSET(#REF!,0,ROW()-2)</f>
        <v>#REF!</v>
      </c>
      <c r="N77" s="14" t="e">
        <f ca="1">OFFSET(#REF!,0,ROW()-2)</f>
        <v>#REF!</v>
      </c>
      <c r="O77" s="8" t="e">
        <f ca="1">OFFSET(#REF!,0,ROW()-2)</f>
        <v>#REF!</v>
      </c>
      <c r="P77" s="8">
        <f ca="1">OFFSET(RF!$C$7,0,ROW()-2)</f>
        <v>5</v>
      </c>
      <c r="Q77" s="8" t="e">
        <f ca="1">OFFSET(#REF!,0,ROW()-2)</f>
        <v>#REF!</v>
      </c>
      <c r="R77" s="18" t="e">
        <f ca="1">OFFSET(#REF!,0,ROW()-2)</f>
        <v>#REF!</v>
      </c>
      <c r="S77" s="18" t="e">
        <f ca="1">OFFSET(#REF!,0,ROW()-2)</f>
        <v>#REF!</v>
      </c>
      <c r="T77" s="18" t="e">
        <f ca="1">OFFSET(#REF!,0,ROW()-2)</f>
        <v>#REF!</v>
      </c>
      <c r="U77" s="18" t="s">
        <v>185</v>
      </c>
      <c r="V77" s="75" t="e">
        <f ca="1">OFFSET(#REF!,0,ROW()-2)</f>
        <v>#REF!</v>
      </c>
    </row>
    <row r="78" spans="1:22" x14ac:dyDescent="0.25">
      <c r="A78" s="80" t="s">
        <v>150</v>
      </c>
      <c r="B78" s="105" t="s">
        <v>149</v>
      </c>
      <c r="C78" s="22"/>
      <c r="D78" s="22" t="s">
        <v>489</v>
      </c>
      <c r="E78" s="79" t="s">
        <v>489</v>
      </c>
      <c r="F78" s="9">
        <v>3</v>
      </c>
      <c r="I78" s="68">
        <v>9</v>
      </c>
      <c r="J78" s="68"/>
      <c r="K78" s="22" t="s">
        <v>100</v>
      </c>
      <c r="L78" s="18" t="e">
        <f ca="1">OFFSET(#REF!,0,ROW()-2)</f>
        <v>#REF!</v>
      </c>
      <c r="M78" s="14" t="e">
        <f ca="1">OFFSET(#REF!,0,ROW()-2)</f>
        <v>#REF!</v>
      </c>
      <c r="N78" s="14" t="e">
        <f ca="1">OFFSET(#REF!,0,ROW()-2)</f>
        <v>#REF!</v>
      </c>
      <c r="O78" s="14" t="e">
        <f ca="1">OFFSET(#REF!,0,ROW()-2)</f>
        <v>#REF!</v>
      </c>
      <c r="P78" s="14">
        <f ca="1">OFFSET(RF!$C$7,0,ROW()-2)</f>
        <v>4</v>
      </c>
      <c r="Q78" s="14" t="e">
        <f ca="1">OFFSET(#REF!,0,ROW()-2)</f>
        <v>#REF!</v>
      </c>
      <c r="R78" s="18" t="e">
        <f ca="1">OFFSET(#REF!,0,ROW()-2)</f>
        <v>#REF!</v>
      </c>
      <c r="S78" s="18" t="e">
        <f ca="1">OFFSET(#REF!,0,ROW()-2)</f>
        <v>#REF!</v>
      </c>
      <c r="T78" s="18" t="e">
        <f ca="1">OFFSET(#REF!,0,ROW()-2)</f>
        <v>#REF!</v>
      </c>
      <c r="U78" s="18" t="s">
        <v>185</v>
      </c>
      <c r="V78" s="75" t="e">
        <f ca="1">OFFSET(#REF!,0,ROW()-2)</f>
        <v>#REF!</v>
      </c>
    </row>
    <row r="79" spans="1:22" x14ac:dyDescent="0.25">
      <c r="A79" s="80" t="s">
        <v>146</v>
      </c>
      <c r="B79" s="105" t="s">
        <v>149</v>
      </c>
      <c r="C79" s="22" t="s">
        <v>590</v>
      </c>
      <c r="D79" s="22" t="s">
        <v>491</v>
      </c>
      <c r="E79" s="79" t="s">
        <v>491</v>
      </c>
      <c r="F79" s="9">
        <v>4</v>
      </c>
      <c r="I79" s="68">
        <v>9</v>
      </c>
      <c r="J79" s="68"/>
      <c r="K79" s="22" t="s">
        <v>101</v>
      </c>
      <c r="L79" s="18" t="e">
        <f ca="1">OFFSET(#REF!,0,ROW()-2)</f>
        <v>#REF!</v>
      </c>
      <c r="M79" s="14" t="e">
        <f ca="1">OFFSET(#REF!,0,ROW()-2)</f>
        <v>#REF!</v>
      </c>
      <c r="N79" s="14" t="e">
        <f ca="1">OFFSET(#REF!,0,ROW()-2)</f>
        <v>#REF!</v>
      </c>
      <c r="O79" s="14" t="e">
        <f ca="1">OFFSET(#REF!,0,ROW()-2)</f>
        <v>#REF!</v>
      </c>
      <c r="P79" s="14">
        <f ca="1">OFFSET(RF!$C$7,0,ROW()-2)</f>
        <v>3</v>
      </c>
      <c r="Q79" s="14" t="e">
        <f ca="1">OFFSET(#REF!,0,ROW()-2)</f>
        <v>#REF!</v>
      </c>
      <c r="R79" s="18" t="e">
        <f ca="1">OFFSET(#REF!,0,ROW()-2)</f>
        <v>#REF!</v>
      </c>
      <c r="S79" s="18" t="e">
        <f ca="1">OFFSET(#REF!,0,ROW()-2)</f>
        <v>#REF!</v>
      </c>
      <c r="T79" s="18" t="e">
        <f ca="1">OFFSET(#REF!,0,ROW()-2)</f>
        <v>#REF!</v>
      </c>
      <c r="U79" s="18" t="s">
        <v>185</v>
      </c>
      <c r="V79" s="75" t="e">
        <f ca="1">OFFSET(#REF!,0,ROW()-2)</f>
        <v>#REF!</v>
      </c>
    </row>
    <row r="80" spans="1:22" x14ac:dyDescent="0.25">
      <c r="A80" s="80" t="s">
        <v>146</v>
      </c>
      <c r="B80" s="105" t="s">
        <v>149</v>
      </c>
      <c r="C80" s="22" t="s">
        <v>591</v>
      </c>
      <c r="D80" s="22" t="s">
        <v>493</v>
      </c>
      <c r="E80" s="79" t="s">
        <v>493</v>
      </c>
      <c r="F80" s="9">
        <v>3</v>
      </c>
      <c r="I80" s="68">
        <v>9</v>
      </c>
      <c r="J80" s="68"/>
      <c r="K80" s="22" t="s">
        <v>102</v>
      </c>
      <c r="L80" s="18" t="e">
        <f ca="1">OFFSET(#REF!,0,ROW()-2)</f>
        <v>#REF!</v>
      </c>
      <c r="M80" s="14" t="e">
        <f ca="1">OFFSET(#REF!,0,ROW()-2)</f>
        <v>#REF!</v>
      </c>
      <c r="N80" s="14" t="e">
        <f ca="1">OFFSET(#REF!,0,ROW()-2)</f>
        <v>#REF!</v>
      </c>
      <c r="O80" s="14" t="e">
        <f ca="1">OFFSET(#REF!,0,ROW()-2)</f>
        <v>#REF!</v>
      </c>
      <c r="P80" s="14">
        <f ca="1">OFFSET(RF!$C$7,0,ROW()-2)</f>
        <v>3</v>
      </c>
      <c r="Q80" s="14" t="e">
        <f ca="1">OFFSET(#REF!,0,ROW()-2)</f>
        <v>#REF!</v>
      </c>
      <c r="R80" s="18" t="e">
        <f ca="1">OFFSET(#REF!,0,ROW()-2)</f>
        <v>#REF!</v>
      </c>
      <c r="S80" s="18" t="e">
        <f ca="1">OFFSET(#REF!,0,ROW()-2)</f>
        <v>#REF!</v>
      </c>
      <c r="T80" s="18" t="e">
        <f ca="1">OFFSET(#REF!,0,ROW()-2)</f>
        <v>#REF!</v>
      </c>
      <c r="U80" s="18" t="s">
        <v>185</v>
      </c>
      <c r="V80" s="75" t="e">
        <f ca="1">OFFSET(#REF!,0,ROW()-2)</f>
        <v>#REF!</v>
      </c>
    </row>
    <row r="81" spans="1:22" x14ac:dyDescent="0.25">
      <c r="A81" s="80" t="s">
        <v>151</v>
      </c>
      <c r="B81" s="105" t="s">
        <v>149</v>
      </c>
      <c r="C81" s="22" t="s">
        <v>592</v>
      </c>
      <c r="D81" s="22" t="s">
        <v>494</v>
      </c>
      <c r="E81" s="79" t="s">
        <v>494</v>
      </c>
      <c r="F81" s="9">
        <v>2</v>
      </c>
      <c r="I81" s="68">
        <v>9</v>
      </c>
      <c r="J81" s="68"/>
      <c r="K81" s="22" t="s">
        <v>160</v>
      </c>
      <c r="L81" s="18" t="e">
        <f ca="1">OFFSET(#REF!,0,ROW()-2)</f>
        <v>#REF!</v>
      </c>
      <c r="M81" s="14" t="e">
        <f ca="1">OFFSET(#REF!,0,ROW()-2)</f>
        <v>#REF!</v>
      </c>
      <c r="N81" s="14" t="e">
        <f ca="1">OFFSET(#REF!,0,ROW()-2)</f>
        <v>#REF!</v>
      </c>
      <c r="O81" s="14" t="e">
        <f ca="1">OFFSET(#REF!,0,ROW()-2)</f>
        <v>#REF!</v>
      </c>
      <c r="P81" s="14">
        <f ca="1">OFFSET(RF!$C$7,0,ROW()-2)</f>
        <v>3</v>
      </c>
      <c r="Q81" s="14" t="e">
        <f ca="1">OFFSET(#REF!,0,ROW()-2)</f>
        <v>#REF!</v>
      </c>
      <c r="R81" s="18" t="e">
        <f ca="1">OFFSET(#REF!,0,ROW()-2)</f>
        <v>#REF!</v>
      </c>
      <c r="S81" s="18" t="e">
        <f ca="1">OFFSET(#REF!,0,ROW()-2)</f>
        <v>#REF!</v>
      </c>
      <c r="T81" s="18" t="e">
        <f ca="1">OFFSET(#REF!,0,ROW()-2)</f>
        <v>#REF!</v>
      </c>
      <c r="U81" s="18" t="s">
        <v>185</v>
      </c>
      <c r="V81" s="75" t="e">
        <f ca="1">OFFSET(#REF!,0,ROW()-2)</f>
        <v>#REF!</v>
      </c>
    </row>
    <row r="82" spans="1:22" x14ac:dyDescent="0.25">
      <c r="A82" s="80" t="s">
        <v>151</v>
      </c>
      <c r="B82" s="105" t="s">
        <v>149</v>
      </c>
      <c r="C82" s="22" t="s">
        <v>593</v>
      </c>
      <c r="D82" s="22" t="s">
        <v>496</v>
      </c>
      <c r="E82" s="79" t="s">
        <v>496</v>
      </c>
      <c r="F82" s="9">
        <v>3</v>
      </c>
      <c r="I82" s="68">
        <v>9</v>
      </c>
      <c r="J82" s="68"/>
      <c r="K82" s="22" t="s">
        <v>103</v>
      </c>
      <c r="L82" s="18" t="e">
        <f ca="1">OFFSET(#REF!,0,ROW()-2)</f>
        <v>#REF!</v>
      </c>
      <c r="M82" s="14" t="e">
        <f ca="1">OFFSET(#REF!,0,ROW()-2)</f>
        <v>#REF!</v>
      </c>
      <c r="N82" s="14" t="e">
        <f ca="1">OFFSET(#REF!,0,ROW()-2)</f>
        <v>#REF!</v>
      </c>
      <c r="O82" s="14" t="e">
        <f ca="1">OFFSET(#REF!,0,ROW()-2)</f>
        <v>#REF!</v>
      </c>
      <c r="P82" s="14">
        <f ca="1">OFFSET(RF!$C$7,0,ROW()-2)</f>
        <v>1</v>
      </c>
      <c r="Q82" s="14" t="e">
        <f ca="1">OFFSET(#REF!,0,ROW()-2)</f>
        <v>#REF!</v>
      </c>
      <c r="R82" s="18" t="e">
        <f ca="1">OFFSET(#REF!,0,ROW()-2)</f>
        <v>#REF!</v>
      </c>
      <c r="S82" s="18" t="e">
        <f ca="1">OFFSET(#REF!,0,ROW()-2)</f>
        <v>#REF!</v>
      </c>
      <c r="T82" s="18" t="e">
        <f ca="1">OFFSET(#REF!,0,ROW()-2)</f>
        <v>#REF!</v>
      </c>
      <c r="U82" s="18" t="s">
        <v>175</v>
      </c>
      <c r="V82" s="75" t="e">
        <f ca="1">OFFSET(#REF!,0,ROW()-2)</f>
        <v>#REF!</v>
      </c>
    </row>
    <row r="83" spans="1:22" x14ac:dyDescent="0.25">
      <c r="A83" s="80" t="s">
        <v>153</v>
      </c>
      <c r="B83" s="105" t="s">
        <v>149</v>
      </c>
      <c r="C83" s="22" t="s">
        <v>594</v>
      </c>
      <c r="D83" s="22" t="s">
        <v>500</v>
      </c>
      <c r="E83" s="79" t="s">
        <v>498</v>
      </c>
      <c r="F83" s="9">
        <v>7</v>
      </c>
      <c r="I83" s="68">
        <v>9</v>
      </c>
      <c r="J83" s="68"/>
      <c r="K83" s="23" t="s">
        <v>105</v>
      </c>
      <c r="L83" s="18" t="e">
        <f ca="1">OFFSET(#REF!,0,ROW()-2)</f>
        <v>#REF!</v>
      </c>
      <c r="M83" s="14" t="e">
        <f ca="1">OFFSET(#REF!,0,ROW()-2)</f>
        <v>#REF!</v>
      </c>
      <c r="N83" s="14" t="e">
        <f ca="1">OFFSET(#REF!,0,ROW()-2)</f>
        <v>#REF!</v>
      </c>
      <c r="O83" s="14" t="e">
        <f ca="1">OFFSET(#REF!,0,ROW()-2)</f>
        <v>#REF!</v>
      </c>
      <c r="P83" s="14">
        <f ca="1">OFFSET(RF!$C$7,0,ROW()-2)</f>
        <v>1</v>
      </c>
      <c r="Q83" s="14" t="e">
        <f ca="1">OFFSET(#REF!,0,ROW()-2)</f>
        <v>#REF!</v>
      </c>
      <c r="R83" s="18" t="e">
        <f ca="1">OFFSET(#REF!,0,ROW()-2)</f>
        <v>#REF!</v>
      </c>
      <c r="S83" s="18" t="e">
        <f ca="1">OFFSET(#REF!,0,ROW()-2)</f>
        <v>#REF!</v>
      </c>
      <c r="T83" s="18" t="e">
        <f ca="1">OFFSET(#REF!,0,ROW()-2)</f>
        <v>#REF!</v>
      </c>
      <c r="U83" s="18" t="s">
        <v>175</v>
      </c>
      <c r="V83" s="75" t="e">
        <f ca="1">OFFSET(#REF!,0,ROW()-2)</f>
        <v>#REF!</v>
      </c>
    </row>
    <row r="84" spans="1:22" x14ac:dyDescent="0.25">
      <c r="A84" s="80" t="s">
        <v>153</v>
      </c>
      <c r="B84" s="105" t="s">
        <v>149</v>
      </c>
      <c r="C84" s="22"/>
      <c r="D84" s="22" t="s">
        <v>498</v>
      </c>
      <c r="E84" s="79" t="s">
        <v>500</v>
      </c>
      <c r="F84" s="9">
        <v>6</v>
      </c>
      <c r="I84" s="68">
        <v>10</v>
      </c>
      <c r="J84" s="68"/>
      <c r="K84" s="22" t="s">
        <v>16</v>
      </c>
      <c r="L84" s="18" t="e">
        <f ca="1">OFFSET(#REF!,0,ROW()-2)</f>
        <v>#REF!</v>
      </c>
      <c r="M84" s="14" t="e">
        <f ca="1">OFFSET(#REF!,0,ROW()-2)</f>
        <v>#REF!</v>
      </c>
      <c r="N84" s="14" t="e">
        <f ca="1">OFFSET(#REF!,0,ROW()-2)</f>
        <v>#REF!</v>
      </c>
      <c r="O84" s="14" t="e">
        <f ca="1">OFFSET(#REF!,0,ROW()-2)</f>
        <v>#REF!</v>
      </c>
      <c r="P84" s="14">
        <f ca="1">OFFSET(RF!$C$7,0,ROW()-2)</f>
        <v>4</v>
      </c>
      <c r="Q84" s="14" t="e">
        <f ca="1">OFFSET(#REF!,0,ROW()-2)</f>
        <v>#REF!</v>
      </c>
      <c r="R84" s="18" t="e">
        <f ca="1">OFFSET(#REF!,0,ROW()-2)</f>
        <v>#REF!</v>
      </c>
      <c r="S84" s="18" t="e">
        <f ca="1">OFFSET(#REF!,0,ROW()-2)</f>
        <v>#REF!</v>
      </c>
      <c r="T84" s="18" t="e">
        <f ca="1">OFFSET(#REF!,0,ROW()-2)</f>
        <v>#REF!</v>
      </c>
      <c r="U84" s="18" t="s">
        <v>185</v>
      </c>
      <c r="V84" s="75" t="e">
        <f ca="1">OFFSET(#REF!,0,ROW()-2)</f>
        <v>#REF!</v>
      </c>
    </row>
    <row r="85" spans="1:22" x14ac:dyDescent="0.25">
      <c r="A85" s="80" t="s">
        <v>153</v>
      </c>
      <c r="B85" s="105" t="s">
        <v>149</v>
      </c>
      <c r="C85" s="22" t="s">
        <v>595</v>
      </c>
      <c r="D85" s="22" t="s">
        <v>501</v>
      </c>
      <c r="E85" s="79" t="s">
        <v>501</v>
      </c>
      <c r="F85" s="9">
        <v>5</v>
      </c>
      <c r="I85" s="68">
        <v>10</v>
      </c>
      <c r="J85" s="68"/>
      <c r="K85" s="22" t="s">
        <v>106</v>
      </c>
      <c r="L85" s="18" t="e">
        <f ca="1">OFFSET(#REF!,0,ROW()-2)</f>
        <v>#REF!</v>
      </c>
      <c r="M85" s="14" t="e">
        <f ca="1">OFFSET(#REF!,0,ROW()-2)</f>
        <v>#REF!</v>
      </c>
      <c r="N85" s="14" t="e">
        <f ca="1">OFFSET(#REF!,0,ROW()-2)</f>
        <v>#REF!</v>
      </c>
      <c r="O85" s="14" t="e">
        <f ca="1">OFFSET(#REF!,0,ROW()-2)</f>
        <v>#REF!</v>
      </c>
      <c r="P85" s="14">
        <f ca="1">OFFSET(RF!$C$7,0,ROW()-2)</f>
        <v>4</v>
      </c>
      <c r="Q85" s="14" t="e">
        <f ca="1">OFFSET(#REF!,0,ROW()-2)</f>
        <v>#REF!</v>
      </c>
      <c r="R85" s="18" t="e">
        <f ca="1">OFFSET(#REF!,0,ROW()-2)</f>
        <v>#REF!</v>
      </c>
      <c r="S85" s="18" t="e">
        <f ca="1">OFFSET(#REF!,0,ROW()-2)</f>
        <v>#REF!</v>
      </c>
      <c r="T85" s="18" t="e">
        <f ca="1">OFFSET(#REF!,0,ROW()-2)</f>
        <v>#REF!</v>
      </c>
      <c r="U85" s="18" t="s">
        <v>185</v>
      </c>
      <c r="V85" s="75" t="e">
        <f ca="1">OFFSET(#REF!,0,ROW()-2)</f>
        <v>#REF!</v>
      </c>
    </row>
    <row r="86" spans="1:22" x14ac:dyDescent="0.25">
      <c r="A86" s="80" t="s">
        <v>153</v>
      </c>
      <c r="B86" s="105" t="s">
        <v>148</v>
      </c>
      <c r="C86" s="22"/>
      <c r="D86" s="22" t="s">
        <v>503</v>
      </c>
      <c r="E86" s="79" t="s">
        <v>503</v>
      </c>
      <c r="F86" s="9">
        <v>5</v>
      </c>
      <c r="I86" s="68">
        <v>10</v>
      </c>
      <c r="J86" s="68"/>
      <c r="K86" s="22" t="s">
        <v>107</v>
      </c>
      <c r="L86" s="18" t="e">
        <f ca="1">OFFSET(#REF!,0,ROW()-2)</f>
        <v>#REF!</v>
      </c>
      <c r="M86" s="14" t="e">
        <f ca="1">OFFSET(#REF!,0,ROW()-2)</f>
        <v>#REF!</v>
      </c>
      <c r="N86" s="14" t="e">
        <f ca="1">OFFSET(#REF!,0,ROW()-2)</f>
        <v>#REF!</v>
      </c>
      <c r="O86" s="14" t="e">
        <f ca="1">OFFSET(#REF!,0,ROW()-2)</f>
        <v>#REF!</v>
      </c>
      <c r="P86" s="14">
        <f ca="1">OFFSET(RF!$C$7,0,ROW()-2)</f>
        <v>5</v>
      </c>
      <c r="Q86" s="14" t="e">
        <f ca="1">OFFSET(#REF!,0,ROW()-2)</f>
        <v>#REF!</v>
      </c>
      <c r="R86" s="18" t="e">
        <f ca="1">OFFSET(#REF!,0,ROW()-2)</f>
        <v>#REF!</v>
      </c>
      <c r="S86" s="18" t="e">
        <f ca="1">OFFSET(#REF!,0,ROW()-2)</f>
        <v>#REF!</v>
      </c>
      <c r="T86" s="18" t="e">
        <f ca="1">OFFSET(#REF!,0,ROW()-2)</f>
        <v>#REF!</v>
      </c>
      <c r="U86" s="18" t="s">
        <v>185</v>
      </c>
      <c r="V86" s="75" t="e">
        <f ca="1">OFFSET(#REF!,0,ROW()-2)</f>
        <v>#REF!</v>
      </c>
    </row>
    <row r="87" spans="1:22" x14ac:dyDescent="0.25">
      <c r="A87" s="80" t="s">
        <v>151</v>
      </c>
      <c r="B87" s="105" t="s">
        <v>148</v>
      </c>
      <c r="C87" s="22" t="s">
        <v>586</v>
      </c>
      <c r="D87" s="22" t="s">
        <v>504</v>
      </c>
      <c r="E87" s="79" t="s">
        <v>504</v>
      </c>
      <c r="F87" s="9">
        <v>4</v>
      </c>
      <c r="I87" s="68">
        <v>10</v>
      </c>
      <c r="J87" s="68"/>
      <c r="K87" s="22" t="s">
        <v>17</v>
      </c>
      <c r="L87" s="18" t="e">
        <f ca="1">OFFSET(#REF!,0,ROW()-2)</f>
        <v>#REF!</v>
      </c>
      <c r="M87" s="14" t="e">
        <f ca="1">OFFSET(#REF!,0,ROW()-2)</f>
        <v>#REF!</v>
      </c>
      <c r="N87" s="14" t="e">
        <f ca="1">OFFSET(#REF!,0,ROW()-2)</f>
        <v>#REF!</v>
      </c>
      <c r="O87" s="14" t="e">
        <f ca="1">OFFSET(#REF!,0,ROW()-2)</f>
        <v>#REF!</v>
      </c>
      <c r="P87" s="14">
        <f ca="1">OFFSET(RF!$C$7,0,ROW()-2)</f>
        <v>3</v>
      </c>
      <c r="Q87" s="14" t="e">
        <f ca="1">OFFSET(#REF!,0,ROW()-2)</f>
        <v>#REF!</v>
      </c>
      <c r="R87" s="18" t="e">
        <f ca="1">OFFSET(#REF!,0,ROW()-2)</f>
        <v>#REF!</v>
      </c>
      <c r="S87" s="18" t="e">
        <f ca="1">OFFSET(#REF!,0,ROW()-2)</f>
        <v>#REF!</v>
      </c>
      <c r="T87" s="18" t="e">
        <f ca="1">OFFSET(#REF!,0,ROW()-2)</f>
        <v>#REF!</v>
      </c>
      <c r="U87" s="18" t="s">
        <v>185</v>
      </c>
      <c r="V87" s="75" t="e">
        <f ca="1">OFFSET(#REF!,0,ROW()-2)</f>
        <v>#REF!</v>
      </c>
    </row>
    <row r="88" spans="1:22" x14ac:dyDescent="0.25">
      <c r="A88" s="80" t="s">
        <v>153</v>
      </c>
      <c r="B88" s="105" t="s">
        <v>148</v>
      </c>
      <c r="C88" s="22"/>
      <c r="D88" s="22" t="s">
        <v>505</v>
      </c>
      <c r="E88" s="79" t="s">
        <v>505</v>
      </c>
      <c r="F88" s="9">
        <v>5</v>
      </c>
      <c r="I88" s="68">
        <v>10</v>
      </c>
      <c r="J88" s="68"/>
      <c r="K88" s="24" t="s">
        <v>125</v>
      </c>
      <c r="L88" s="18" t="e">
        <f ca="1">OFFSET(#REF!,0,ROW()-2)</f>
        <v>#REF!</v>
      </c>
      <c r="M88" s="28" t="e">
        <f ca="1">OFFSET(#REF!,0,ROW()-2)</f>
        <v>#REF!</v>
      </c>
      <c r="N88" s="14" t="e">
        <f ca="1">OFFSET(#REF!,0,ROW()-2)</f>
        <v>#REF!</v>
      </c>
      <c r="O88" s="28" t="e">
        <f ca="1">OFFSET(#REF!,0,ROW()-2)</f>
        <v>#REF!</v>
      </c>
      <c r="P88" s="28">
        <f ca="1">OFFSET(RF!$C$7,0,ROW()-2)</f>
        <v>2</v>
      </c>
      <c r="Q88" s="28" t="e">
        <f ca="1">OFFSET(#REF!,0,ROW()-2)</f>
        <v>#REF!</v>
      </c>
      <c r="R88" s="18" t="e">
        <f ca="1">OFFSET(#REF!,0,ROW()-2)</f>
        <v>#REF!</v>
      </c>
      <c r="S88" s="18" t="e">
        <f ca="1">OFFSET(#REF!,0,ROW()-2)</f>
        <v>#REF!</v>
      </c>
      <c r="T88" s="18" t="e">
        <f ca="1">OFFSET(#REF!,0,ROW()-2)</f>
        <v>#REF!</v>
      </c>
      <c r="U88" s="18" t="s">
        <v>175</v>
      </c>
      <c r="V88" s="75" t="e">
        <f ca="1">OFFSET(#REF!,0,ROW()-2)</f>
        <v>#REF!</v>
      </c>
    </row>
    <row r="89" spans="1:22" x14ac:dyDescent="0.25">
      <c r="A89" s="80" t="s">
        <v>153</v>
      </c>
      <c r="B89" s="105" t="s">
        <v>149</v>
      </c>
      <c r="C89" s="22" t="s">
        <v>596</v>
      </c>
      <c r="D89" s="22" t="s">
        <v>506</v>
      </c>
      <c r="E89" s="79" t="s">
        <v>506</v>
      </c>
      <c r="F89" s="9">
        <v>5</v>
      </c>
      <c r="I89" s="68">
        <v>10</v>
      </c>
      <c r="J89" s="68"/>
      <c r="K89" s="22" t="s">
        <v>108</v>
      </c>
      <c r="L89" s="18" t="e">
        <f ca="1">OFFSET(#REF!,0,ROW()-2)</f>
        <v>#REF!</v>
      </c>
      <c r="M89" s="14" t="e">
        <f ca="1">OFFSET(#REF!,0,ROW()-2)</f>
        <v>#REF!</v>
      </c>
      <c r="N89" s="14" t="e">
        <f ca="1">OFFSET(#REF!,0,ROW()-2)</f>
        <v>#REF!</v>
      </c>
      <c r="O89" s="14" t="e">
        <f ca="1">OFFSET(#REF!,0,ROW()-2)</f>
        <v>#REF!</v>
      </c>
      <c r="P89" s="14">
        <f ca="1">OFFSET(RF!$C$7,0,ROW()-2)</f>
        <v>4</v>
      </c>
      <c r="Q89" s="14" t="e">
        <f ca="1">OFFSET(#REF!,0,ROW()-2)</f>
        <v>#REF!</v>
      </c>
      <c r="R89" s="18" t="e">
        <f ca="1">OFFSET(#REF!,0,ROW()-2)</f>
        <v>#REF!</v>
      </c>
      <c r="S89" s="18" t="e">
        <f ca="1">OFFSET(#REF!,0,ROW()-2)</f>
        <v>#REF!</v>
      </c>
      <c r="T89" s="18" t="e">
        <f ca="1">OFFSET(#REF!,0,ROW()-2)</f>
        <v>#REF!</v>
      </c>
      <c r="U89" s="18" t="s">
        <v>185</v>
      </c>
      <c r="V89" s="75" t="e">
        <f ca="1">OFFSET(#REF!,0,ROW()-2)</f>
        <v>#REF!</v>
      </c>
    </row>
    <row r="90" spans="1:22" x14ac:dyDescent="0.25">
      <c r="A90" s="80" t="s">
        <v>146</v>
      </c>
      <c r="B90" s="105" t="s">
        <v>148</v>
      </c>
      <c r="C90" s="22" t="s">
        <v>597</v>
      </c>
      <c r="D90" s="22" t="s">
        <v>508</v>
      </c>
      <c r="E90" s="79" t="s">
        <v>508</v>
      </c>
      <c r="F90" s="9">
        <v>2</v>
      </c>
      <c r="I90" s="68">
        <v>10</v>
      </c>
      <c r="J90" s="68"/>
      <c r="K90" s="22" t="s">
        <v>18</v>
      </c>
      <c r="L90" s="18" t="e">
        <f ca="1">OFFSET(#REF!,0,ROW()-2)</f>
        <v>#REF!</v>
      </c>
      <c r="M90" s="14" t="e">
        <f ca="1">OFFSET(#REF!,0,ROW()-2)</f>
        <v>#REF!</v>
      </c>
      <c r="N90" s="14" t="e">
        <f ca="1">OFFSET(#REF!,0,ROW()-2)</f>
        <v>#REF!</v>
      </c>
      <c r="O90" s="14" t="e">
        <f ca="1">OFFSET(#REF!,0,ROW()-2)</f>
        <v>#REF!</v>
      </c>
      <c r="P90" s="14">
        <f ca="1">OFFSET(RF!$C$7,0,ROW()-2)</f>
        <v>4</v>
      </c>
      <c r="Q90" s="14" t="e">
        <f ca="1">OFFSET(#REF!,0,ROW()-2)</f>
        <v>#REF!</v>
      </c>
      <c r="R90" s="18" t="e">
        <f ca="1">OFFSET(#REF!,0,ROW()-2)</f>
        <v>#REF!</v>
      </c>
      <c r="S90" s="18" t="e">
        <f ca="1">OFFSET(#REF!,0,ROW()-2)</f>
        <v>#REF!</v>
      </c>
      <c r="T90" s="18" t="e">
        <f ca="1">OFFSET(#REF!,0,ROW()-2)</f>
        <v>#REF!</v>
      </c>
      <c r="U90" s="18" t="s">
        <v>185</v>
      </c>
      <c r="V90" s="75" t="e">
        <f ca="1">OFFSET(#REF!,0,ROW()-2)</f>
        <v>#REF!</v>
      </c>
    </row>
    <row r="91" spans="1:22" x14ac:dyDescent="0.25">
      <c r="A91" s="80" t="s">
        <v>151</v>
      </c>
      <c r="B91" s="105" t="s">
        <v>148</v>
      </c>
      <c r="C91" s="22" t="s">
        <v>587</v>
      </c>
      <c r="D91" s="22" t="s">
        <v>510</v>
      </c>
      <c r="E91" s="79" t="s">
        <v>510</v>
      </c>
      <c r="F91" s="9">
        <v>3</v>
      </c>
      <c r="I91" s="68">
        <v>10</v>
      </c>
      <c r="J91" s="68"/>
      <c r="K91" s="22" t="s">
        <v>19</v>
      </c>
      <c r="L91" s="18" t="e">
        <f ca="1">OFFSET(#REF!,0,ROW()-2)</f>
        <v>#REF!</v>
      </c>
      <c r="M91" s="14" t="e">
        <f ca="1">OFFSET(#REF!,0,ROW()-2)</f>
        <v>#REF!</v>
      </c>
      <c r="N91" s="14" t="e">
        <f ca="1">OFFSET(#REF!,0,ROW()-2)</f>
        <v>#REF!</v>
      </c>
      <c r="O91" s="14" t="e">
        <f ca="1">OFFSET(#REF!,0,ROW()-2)</f>
        <v>#REF!</v>
      </c>
      <c r="P91" s="14">
        <f ca="1">OFFSET(RF!$C$7,0,ROW()-2)</f>
        <v>7</v>
      </c>
      <c r="Q91" s="14" t="e">
        <f ca="1">OFFSET(#REF!,0,ROW()-2)</f>
        <v>#REF!</v>
      </c>
      <c r="R91" s="18" t="e">
        <f ca="1">OFFSET(#REF!,0,ROW()-2)</f>
        <v>#REF!</v>
      </c>
      <c r="S91" s="18" t="e">
        <f ca="1">OFFSET(#REF!,0,ROW()-2)</f>
        <v>#REF!</v>
      </c>
      <c r="T91" s="18" t="e">
        <f ca="1">OFFSET(#REF!,0,ROW()-2)</f>
        <v>#REF!</v>
      </c>
      <c r="U91" s="18" t="s">
        <v>185</v>
      </c>
      <c r="V91" s="75" t="e">
        <f ca="1">OFFSET(#REF!,0,ROW()-2)</f>
        <v>#REF!</v>
      </c>
    </row>
    <row r="92" spans="1:22" x14ac:dyDescent="0.25">
      <c r="A92" s="80" t="s">
        <v>146</v>
      </c>
      <c r="B92" s="105" t="s">
        <v>148</v>
      </c>
      <c r="C92" s="22" t="s">
        <v>588</v>
      </c>
      <c r="D92" s="22" t="s">
        <v>511</v>
      </c>
      <c r="E92" s="79" t="s">
        <v>511</v>
      </c>
      <c r="F92" s="9">
        <v>2</v>
      </c>
      <c r="I92" s="68">
        <v>10</v>
      </c>
      <c r="J92" s="68"/>
      <c r="K92" s="22" t="s">
        <v>20</v>
      </c>
      <c r="L92" s="18" t="e">
        <f ca="1">OFFSET(#REF!,0,ROW()-2)</f>
        <v>#REF!</v>
      </c>
      <c r="M92" s="14" t="e">
        <f ca="1">OFFSET(#REF!,0,ROW()-2)</f>
        <v>#REF!</v>
      </c>
      <c r="N92" s="14" t="e">
        <f ca="1">OFFSET(#REF!,0,ROW()-2)</f>
        <v>#REF!</v>
      </c>
      <c r="O92" s="14" t="e">
        <f ca="1">OFFSET(#REF!,0,ROW()-2)</f>
        <v>#REF!</v>
      </c>
      <c r="P92" s="14">
        <f ca="1">OFFSET(RF!$C$7,0,ROW()-2)</f>
        <v>2</v>
      </c>
      <c r="Q92" s="14" t="e">
        <f ca="1">OFFSET(#REF!,0,ROW()-2)</f>
        <v>#REF!</v>
      </c>
      <c r="R92" s="18" t="e">
        <f ca="1">OFFSET(#REF!,0,ROW()-2)</f>
        <v>#REF!</v>
      </c>
      <c r="S92" s="18" t="e">
        <f ca="1">OFFSET(#REF!,0,ROW()-2)</f>
        <v>#REF!</v>
      </c>
      <c r="T92" s="18" t="e">
        <f ca="1">OFFSET(#REF!,0,ROW()-2)</f>
        <v>#REF!</v>
      </c>
      <c r="U92" s="18" t="s">
        <v>185</v>
      </c>
      <c r="V92" s="75" t="e">
        <f ca="1">OFFSET(#REF!,0,ROW()-2)</f>
        <v>#REF!</v>
      </c>
    </row>
    <row r="93" spans="1:22" x14ac:dyDescent="0.25">
      <c r="A93" s="80" t="s">
        <v>151</v>
      </c>
      <c r="B93" s="105" t="s">
        <v>148</v>
      </c>
      <c r="C93" s="22"/>
      <c r="D93" s="22" t="s">
        <v>513</v>
      </c>
      <c r="E93" s="79" t="s">
        <v>512</v>
      </c>
      <c r="F93" s="9">
        <v>3</v>
      </c>
      <c r="I93" s="68">
        <v>10</v>
      </c>
      <c r="J93" s="68"/>
      <c r="K93" s="22" t="s">
        <v>21</v>
      </c>
      <c r="L93" s="18" t="e">
        <f ca="1">OFFSET(#REF!,0,ROW()-2)</f>
        <v>#REF!</v>
      </c>
      <c r="M93" s="14" t="e">
        <f ca="1">OFFSET(#REF!,0,ROW()-2)</f>
        <v>#REF!</v>
      </c>
      <c r="N93" s="14" t="e">
        <f ca="1">OFFSET(#REF!,0,ROW()-2)</f>
        <v>#REF!</v>
      </c>
      <c r="O93" s="14" t="e">
        <f ca="1">OFFSET(#REF!,0,ROW()-2)</f>
        <v>#REF!</v>
      </c>
      <c r="P93" s="14">
        <f ca="1">OFFSET(RF!$C$7,0,ROW()-2)</f>
        <v>2</v>
      </c>
      <c r="Q93" s="14" t="e">
        <f ca="1">OFFSET(#REF!,0,ROW()-2)</f>
        <v>#REF!</v>
      </c>
      <c r="R93" s="18" t="e">
        <f ca="1">OFFSET(#REF!,0,ROW()-2)</f>
        <v>#REF!</v>
      </c>
      <c r="S93" s="18" t="e">
        <f ca="1">OFFSET(#REF!,0,ROW()-2)</f>
        <v>#REF!</v>
      </c>
      <c r="T93" s="18" t="e">
        <f ca="1">OFFSET(#REF!,0,ROW()-2)</f>
        <v>#REF!</v>
      </c>
      <c r="U93" s="18" t="s">
        <v>185</v>
      </c>
      <c r="V93" s="75" t="e">
        <f ca="1">OFFSET(#REF!,0,ROW()-2)</f>
        <v>#REF!</v>
      </c>
    </row>
    <row r="94" spans="1:22" x14ac:dyDescent="0.25">
      <c r="A94" s="80" t="s">
        <v>151</v>
      </c>
      <c r="B94" s="105" t="s">
        <v>148</v>
      </c>
      <c r="C94" s="22"/>
      <c r="D94" s="22" t="s">
        <v>515</v>
      </c>
      <c r="E94" s="79" t="s">
        <v>513</v>
      </c>
      <c r="F94" s="9">
        <v>4</v>
      </c>
      <c r="I94" s="68">
        <v>10</v>
      </c>
      <c r="J94" s="68"/>
      <c r="K94" s="22" t="s">
        <v>22</v>
      </c>
      <c r="L94" s="18" t="e">
        <f ca="1">OFFSET(#REF!,0,ROW()-2)</f>
        <v>#REF!</v>
      </c>
      <c r="M94" s="14" t="e">
        <f ca="1">OFFSET(#REF!,0,ROW()-2)</f>
        <v>#REF!</v>
      </c>
      <c r="N94" s="14" t="e">
        <f ca="1">OFFSET(#REF!,0,ROW()-2)</f>
        <v>#REF!</v>
      </c>
      <c r="O94" s="14" t="e">
        <f ca="1">OFFSET(#REF!,0,ROW()-2)</f>
        <v>#REF!</v>
      </c>
      <c r="P94" s="14">
        <f ca="1">OFFSET(RF!$C$7,0,ROW()-2)</f>
        <v>4</v>
      </c>
      <c r="Q94" s="14" t="e">
        <f ca="1">OFFSET(#REF!,0,ROW()-2)</f>
        <v>#REF!</v>
      </c>
      <c r="R94" s="18" t="e">
        <f ca="1">OFFSET(#REF!,0,ROW()-2)</f>
        <v>#REF!</v>
      </c>
      <c r="S94" s="18" t="e">
        <f ca="1">OFFSET(#REF!,0,ROW()-2)</f>
        <v>#REF!</v>
      </c>
      <c r="T94" s="18" t="e">
        <f ca="1">OFFSET(#REF!,0,ROW()-2)</f>
        <v>#REF!</v>
      </c>
      <c r="U94" s="18" t="s">
        <v>175</v>
      </c>
      <c r="V94" s="75" t="e">
        <f ca="1">OFFSET(#REF!,0,ROW()-2)</f>
        <v>#REF!</v>
      </c>
    </row>
    <row r="95" spans="1:22" x14ac:dyDescent="0.25">
      <c r="A95" s="80" t="s">
        <v>146</v>
      </c>
      <c r="B95" s="106" t="s">
        <v>149</v>
      </c>
      <c r="C95" s="22"/>
      <c r="D95" s="22" t="s">
        <v>516</v>
      </c>
      <c r="E95" s="79" t="s">
        <v>515</v>
      </c>
      <c r="F95" s="9">
        <v>4</v>
      </c>
      <c r="I95" s="68">
        <v>10</v>
      </c>
      <c r="J95" s="68"/>
      <c r="K95" s="22" t="s">
        <v>23</v>
      </c>
      <c r="L95" s="18" t="e">
        <f ca="1">OFFSET(#REF!,0,ROW()-2)</f>
        <v>#REF!</v>
      </c>
      <c r="M95" s="14" t="e">
        <f ca="1">OFFSET(#REF!,0,ROW()-2)</f>
        <v>#REF!</v>
      </c>
      <c r="N95" s="14" t="e">
        <f ca="1">OFFSET(#REF!,0,ROW()-2)</f>
        <v>#REF!</v>
      </c>
      <c r="O95" s="14" t="e">
        <f ca="1">OFFSET(#REF!,0,ROW()-2)</f>
        <v>#REF!</v>
      </c>
      <c r="P95" s="14">
        <f ca="1">OFFSET(RF!$C$7,0,ROW()-2)</f>
        <v>7</v>
      </c>
      <c r="Q95" s="14" t="e">
        <f ca="1">OFFSET(#REF!,0,ROW()-2)</f>
        <v>#REF!</v>
      </c>
      <c r="R95" s="18" t="e">
        <f ca="1">OFFSET(#REF!,0,ROW()-2)</f>
        <v>#REF!</v>
      </c>
      <c r="S95" s="18" t="e">
        <f ca="1">OFFSET(#REF!,0,ROW()-2)</f>
        <v>#REF!</v>
      </c>
      <c r="T95" s="18" t="e">
        <f ca="1">OFFSET(#REF!,0,ROW()-2)</f>
        <v>#REF!</v>
      </c>
      <c r="U95" s="18" t="s">
        <v>185</v>
      </c>
      <c r="V95" s="75" t="e">
        <f ca="1">OFFSET(#REF!,0,ROW()-2)</f>
        <v>#REF!</v>
      </c>
    </row>
    <row r="96" spans="1:22" x14ac:dyDescent="0.25">
      <c r="A96" s="80" t="s">
        <v>150</v>
      </c>
      <c r="B96" s="105" t="s">
        <v>149</v>
      </c>
      <c r="C96" s="22"/>
      <c r="D96" s="22" t="s">
        <v>517</v>
      </c>
      <c r="E96" s="79" t="s">
        <v>516</v>
      </c>
      <c r="F96" s="9">
        <v>2</v>
      </c>
      <c r="I96" s="68">
        <v>10</v>
      </c>
      <c r="J96" s="68"/>
      <c r="K96" s="22" t="s">
        <v>104</v>
      </c>
      <c r="L96" s="18" t="e">
        <f ca="1">OFFSET(#REF!,0,ROW()-2)</f>
        <v>#REF!</v>
      </c>
      <c r="M96" s="14" t="e">
        <f ca="1">OFFSET(#REF!,0,ROW()-2)</f>
        <v>#REF!</v>
      </c>
      <c r="N96" s="14" t="e">
        <f ca="1">OFFSET(#REF!,0,ROW()-2)</f>
        <v>#REF!</v>
      </c>
      <c r="O96" s="14" t="e">
        <f ca="1">OFFSET(#REF!,0,ROW()-2)</f>
        <v>#REF!</v>
      </c>
      <c r="P96" s="14">
        <f ca="1">OFFSET(RF!$C$7,0,ROW()-2)</f>
        <v>3</v>
      </c>
      <c r="Q96" s="14" t="e">
        <f ca="1">OFFSET(#REF!,0,ROW()-2)</f>
        <v>#REF!</v>
      </c>
      <c r="R96" s="18" t="e">
        <f ca="1">OFFSET(#REF!,0,ROW()-2)</f>
        <v>#REF!</v>
      </c>
      <c r="S96" s="18" t="e">
        <f ca="1">OFFSET(#REF!,0,ROW()-2)</f>
        <v>#REF!</v>
      </c>
      <c r="T96" s="18" t="e">
        <f ca="1">OFFSET(#REF!,0,ROW()-2)</f>
        <v>#REF!</v>
      </c>
      <c r="U96" s="18" t="s">
        <v>185</v>
      </c>
      <c r="V96" s="75" t="e">
        <f ca="1">OFFSET(#REF!,0,ROW()-2)</f>
        <v>#REF!</v>
      </c>
    </row>
    <row r="97" spans="1:22" x14ac:dyDescent="0.25">
      <c r="A97" s="80" t="s">
        <v>151</v>
      </c>
      <c r="B97" s="105" t="s">
        <v>148</v>
      </c>
      <c r="C97" s="22"/>
      <c r="D97" s="22" t="s">
        <v>519</v>
      </c>
      <c r="E97" s="79" t="s">
        <v>517</v>
      </c>
      <c r="F97" s="9">
        <v>3</v>
      </c>
      <c r="I97" s="68">
        <v>11</v>
      </c>
      <c r="J97" s="68">
        <v>5</v>
      </c>
      <c r="K97" s="22" t="s">
        <v>111</v>
      </c>
      <c r="L97" s="18" t="e">
        <f ca="1">OFFSET(#REF!,0,ROW()-2)</f>
        <v>#REF!</v>
      </c>
      <c r="M97" s="14" t="e">
        <f ca="1">OFFSET(#REF!,0,ROW()-2)</f>
        <v>#REF!</v>
      </c>
      <c r="N97" s="14" t="e">
        <f ca="1">OFFSET(#REF!,0,ROW()-2)</f>
        <v>#REF!</v>
      </c>
      <c r="O97" s="14" t="e">
        <f ca="1">OFFSET(#REF!,0,ROW()-2)</f>
        <v>#REF!</v>
      </c>
      <c r="P97" s="14">
        <f ca="1">OFFSET(RF!$C$7,0,ROW()-2)</f>
        <v>3</v>
      </c>
      <c r="Q97" s="14" t="e">
        <f ca="1">OFFSET(#REF!,0,ROW()-2)</f>
        <v>#REF!</v>
      </c>
      <c r="R97" s="18" t="e">
        <f ca="1">OFFSET(#REF!,0,ROW()-2)</f>
        <v>#REF!</v>
      </c>
      <c r="S97" s="18" t="e">
        <f ca="1">OFFSET(#REF!,0,ROW()-2)</f>
        <v>#REF!</v>
      </c>
      <c r="T97" s="18" t="e">
        <f ca="1">OFFSET(#REF!,0,ROW()-2)</f>
        <v>#REF!</v>
      </c>
      <c r="U97" s="18" t="s">
        <v>185</v>
      </c>
      <c r="V97" s="75" t="e">
        <f ca="1">OFFSET(#REF!,0,ROW()-2)</f>
        <v>#REF!</v>
      </c>
    </row>
    <row r="98" spans="1:22" x14ac:dyDescent="0.25">
      <c r="A98" s="80" t="s">
        <v>151</v>
      </c>
      <c r="B98" s="105" t="s">
        <v>149</v>
      </c>
      <c r="C98" s="22"/>
      <c r="D98" s="22" t="s">
        <v>520</v>
      </c>
      <c r="E98" s="79" t="s">
        <v>518</v>
      </c>
      <c r="F98" s="9">
        <v>3</v>
      </c>
      <c r="I98" s="68">
        <v>11</v>
      </c>
      <c r="J98" s="68">
        <v>5</v>
      </c>
      <c r="K98" s="22" t="s">
        <v>112</v>
      </c>
      <c r="L98" s="18" t="e">
        <f ca="1">OFFSET(#REF!,0,ROW()-2)</f>
        <v>#REF!</v>
      </c>
      <c r="M98" s="14" t="e">
        <f ca="1">OFFSET(#REF!,0,ROW()-2)</f>
        <v>#REF!</v>
      </c>
      <c r="N98" s="14" t="e">
        <f ca="1">OFFSET(#REF!,0,ROW()-2)</f>
        <v>#REF!</v>
      </c>
      <c r="O98" s="14" t="e">
        <f ca="1">OFFSET(#REF!,0,ROW()-2)</f>
        <v>#REF!</v>
      </c>
      <c r="P98" s="14">
        <f ca="1">OFFSET(RF!$C$7,0,ROW()-2)</f>
        <v>4</v>
      </c>
      <c r="Q98" s="14" t="e">
        <f ca="1">OFFSET(#REF!,0,ROW()-2)</f>
        <v>#REF!</v>
      </c>
      <c r="R98" s="18" t="e">
        <f ca="1">OFFSET(#REF!,0,ROW()-2)</f>
        <v>#REF!</v>
      </c>
      <c r="S98" s="18" t="e">
        <f ca="1">OFFSET(#REF!,0,ROW()-2)</f>
        <v>#REF!</v>
      </c>
      <c r="T98" s="18" t="e">
        <f ca="1">OFFSET(#REF!,0,ROW()-2)</f>
        <v>#REF!</v>
      </c>
      <c r="U98" s="18" t="s">
        <v>185</v>
      </c>
      <c r="V98" s="75" t="e">
        <f ca="1">OFFSET(#REF!,0,ROW()-2)</f>
        <v>#REF!</v>
      </c>
    </row>
    <row r="99" spans="1:22" x14ac:dyDescent="0.25">
      <c r="A99" s="80" t="s">
        <v>146</v>
      </c>
      <c r="B99" s="106" t="s">
        <v>147</v>
      </c>
      <c r="C99" s="22"/>
      <c r="D99" s="22" t="s">
        <v>521</v>
      </c>
      <c r="E99" s="79" t="s">
        <v>519</v>
      </c>
      <c r="F99" s="9">
        <v>3</v>
      </c>
      <c r="I99" s="68">
        <v>11</v>
      </c>
      <c r="J99" s="68">
        <v>5</v>
      </c>
      <c r="K99" s="22" t="s">
        <v>113</v>
      </c>
      <c r="L99" s="18" t="e">
        <f ca="1">OFFSET(#REF!,0,ROW()-2)</f>
        <v>#REF!</v>
      </c>
      <c r="M99" s="14" t="e">
        <f ca="1">OFFSET(#REF!,0,ROW()-2)</f>
        <v>#REF!</v>
      </c>
      <c r="N99" s="14" t="e">
        <f ca="1">OFFSET(#REF!,0,ROW()-2)</f>
        <v>#REF!</v>
      </c>
      <c r="O99" s="14" t="e">
        <f ca="1">OFFSET(#REF!,0,ROW()-2)</f>
        <v>#REF!</v>
      </c>
      <c r="P99" s="14">
        <f ca="1">OFFSET(RF!$C$7,0,ROW()-2)</f>
        <v>4</v>
      </c>
      <c r="Q99" s="14" t="e">
        <f ca="1">OFFSET(#REF!,0,ROW()-2)</f>
        <v>#REF!</v>
      </c>
      <c r="R99" s="18" t="e">
        <f ca="1">OFFSET(#REF!,0,ROW()-2)</f>
        <v>#REF!</v>
      </c>
      <c r="S99" s="18" t="e">
        <f ca="1">OFFSET(#REF!,0,ROW()-2)</f>
        <v>#REF!</v>
      </c>
      <c r="T99" s="18" t="e">
        <f ca="1">OFFSET(#REF!,0,ROW()-2)</f>
        <v>#REF!</v>
      </c>
      <c r="U99" s="18" t="s">
        <v>175</v>
      </c>
      <c r="V99" s="75" t="e">
        <f ca="1">OFFSET(#REF!,0,ROW()-2)</f>
        <v>#REF!</v>
      </c>
    </row>
    <row r="100" spans="1:22" x14ac:dyDescent="0.25">
      <c r="A100" s="80" t="s">
        <v>146</v>
      </c>
      <c r="B100" s="107" t="s">
        <v>147</v>
      </c>
      <c r="C100" s="22"/>
      <c r="D100" s="22" t="s">
        <v>551</v>
      </c>
      <c r="E100" s="79" t="s">
        <v>520</v>
      </c>
      <c r="F100" s="9">
        <v>2</v>
      </c>
      <c r="I100" s="68">
        <v>11</v>
      </c>
      <c r="J100" s="68">
        <v>5</v>
      </c>
      <c r="K100" s="22" t="s">
        <v>114</v>
      </c>
      <c r="L100" s="18" t="e">
        <f ca="1">OFFSET(#REF!,0,ROW()-2)</f>
        <v>#REF!</v>
      </c>
      <c r="M100" s="14" t="e">
        <f ca="1">OFFSET(#REF!,0,ROW()-2)</f>
        <v>#REF!</v>
      </c>
      <c r="N100" s="14" t="e">
        <f ca="1">OFFSET(#REF!,0,ROW()-2)</f>
        <v>#REF!</v>
      </c>
      <c r="O100" s="14" t="e">
        <f ca="1">OFFSET(#REF!,0,ROW()-2)</f>
        <v>#REF!</v>
      </c>
      <c r="P100" s="14">
        <f ca="1">OFFSET(RF!$C$7,0,ROW()-2)</f>
        <v>3</v>
      </c>
      <c r="Q100" s="14" t="e">
        <f ca="1">OFFSET(#REF!,0,ROW()-2)</f>
        <v>#REF!</v>
      </c>
      <c r="R100" s="18" t="e">
        <f ca="1">OFFSET(#REF!,0,ROW()-2)</f>
        <v>#REF!</v>
      </c>
      <c r="S100" s="18" t="e">
        <f ca="1">OFFSET(#REF!,0,ROW()-2)</f>
        <v>#REF!</v>
      </c>
      <c r="T100" s="18" t="e">
        <f ca="1">OFFSET(#REF!,0,ROW()-2)</f>
        <v>#REF!</v>
      </c>
      <c r="U100" s="18" t="s">
        <v>185</v>
      </c>
      <c r="V100" s="75" t="e">
        <f ca="1">OFFSET(#REF!,0,ROW()-2)</f>
        <v>#REF!</v>
      </c>
    </row>
    <row r="101" spans="1:22" x14ac:dyDescent="0.25">
      <c r="A101" s="80" t="s">
        <v>151</v>
      </c>
      <c r="B101" s="107" t="s">
        <v>148</v>
      </c>
      <c r="C101" s="22"/>
      <c r="D101" s="22" t="s">
        <v>552</v>
      </c>
      <c r="E101" s="79" t="s">
        <v>521</v>
      </c>
      <c r="F101" s="9">
        <v>3</v>
      </c>
      <c r="I101" s="68">
        <v>11</v>
      </c>
      <c r="J101" s="68">
        <v>5</v>
      </c>
      <c r="K101" s="22" t="s">
        <v>115</v>
      </c>
      <c r="L101" s="18" t="e">
        <f ca="1">OFFSET(#REF!,0,ROW()-2)</f>
        <v>#REF!</v>
      </c>
      <c r="M101" s="29" t="e">
        <f ca="1">OFFSET(#REF!,0,ROW()-2)</f>
        <v>#REF!</v>
      </c>
      <c r="N101" s="14" t="e">
        <f ca="1">OFFSET(#REF!,0,ROW()-2)</f>
        <v>#REF!</v>
      </c>
      <c r="O101" s="29" t="e">
        <f ca="1">OFFSET(#REF!,0,ROW()-2)</f>
        <v>#REF!</v>
      </c>
      <c r="P101" s="29">
        <f ca="1">OFFSET(RF!$C$7,0,ROW()-2)</f>
        <v>3</v>
      </c>
      <c r="Q101" s="29" t="e">
        <f ca="1">OFFSET(#REF!,0,ROW()-2)</f>
        <v>#REF!</v>
      </c>
      <c r="R101" s="18" t="e">
        <f ca="1">OFFSET(#REF!,0,ROW()-2)</f>
        <v>#REF!</v>
      </c>
      <c r="S101" s="18" t="e">
        <f ca="1">OFFSET(#REF!,0,ROW()-2)</f>
        <v>#REF!</v>
      </c>
      <c r="T101" s="18" t="e">
        <f ca="1">OFFSET(#REF!,0,ROW()-2)</f>
        <v>#REF!</v>
      </c>
      <c r="U101" s="18" t="s">
        <v>174</v>
      </c>
      <c r="V101" s="75" t="e">
        <f ca="1">OFFSET(#REF!,0,ROW()-2)</f>
        <v>#REF!</v>
      </c>
    </row>
    <row r="102" spans="1:22" x14ac:dyDescent="0.25">
      <c r="A102" s="80" t="s">
        <v>151</v>
      </c>
      <c r="B102" s="105" t="s">
        <v>149</v>
      </c>
      <c r="C102" s="22" t="s">
        <v>598</v>
      </c>
      <c r="D102" s="22" t="s">
        <v>523</v>
      </c>
      <c r="E102" s="79" t="s">
        <v>523</v>
      </c>
      <c r="F102" s="9">
        <v>3</v>
      </c>
      <c r="I102" s="68">
        <v>11</v>
      </c>
      <c r="J102" s="68">
        <v>5</v>
      </c>
      <c r="K102" s="22" t="s">
        <v>116</v>
      </c>
      <c r="L102" s="18" t="e">
        <f ca="1">OFFSET(#REF!,0,ROW()-2)</f>
        <v>#REF!</v>
      </c>
      <c r="M102" s="14" t="e">
        <f ca="1">OFFSET(#REF!,0,ROW()-2)</f>
        <v>#REF!</v>
      </c>
      <c r="N102" s="14" t="e">
        <f ca="1">OFFSET(#REF!,0,ROW()-2)</f>
        <v>#REF!</v>
      </c>
      <c r="O102" s="14" t="e">
        <f ca="1">OFFSET(#REF!,0,ROW()-2)</f>
        <v>#REF!</v>
      </c>
      <c r="P102" s="14">
        <f ca="1">OFFSET(RF!$C$7,0,ROW()-2)</f>
        <v>5</v>
      </c>
      <c r="Q102" s="14" t="e">
        <f ca="1">OFFSET(#REF!,0,ROW()-2)</f>
        <v>#REF!</v>
      </c>
      <c r="R102" s="18" t="e">
        <f ca="1">OFFSET(#REF!,0,ROW()-2)</f>
        <v>#REF!</v>
      </c>
      <c r="S102" s="18" t="e">
        <f ca="1">OFFSET(#REF!,0,ROW()-2)</f>
        <v>#REF!</v>
      </c>
      <c r="T102" s="18" t="e">
        <f ca="1">OFFSET(#REF!,0,ROW()-2)</f>
        <v>#REF!</v>
      </c>
      <c r="U102" s="18" t="s">
        <v>185</v>
      </c>
      <c r="V102" s="75" t="e">
        <f ca="1">OFFSET(#REF!,0,ROW()-2)</f>
        <v>#REF!</v>
      </c>
    </row>
    <row r="103" spans="1:22" x14ac:dyDescent="0.25">
      <c r="A103" s="80" t="s">
        <v>151</v>
      </c>
      <c r="B103" s="105" t="s">
        <v>149</v>
      </c>
      <c r="C103" s="22" t="s">
        <v>599</v>
      </c>
      <c r="D103" s="22" t="s">
        <v>525</v>
      </c>
      <c r="E103" s="79" t="s">
        <v>525</v>
      </c>
      <c r="F103" s="9">
        <v>3</v>
      </c>
      <c r="I103" s="68">
        <v>11</v>
      </c>
      <c r="J103" s="68">
        <v>5</v>
      </c>
      <c r="K103" s="22" t="s">
        <v>117</v>
      </c>
      <c r="L103" s="18" t="e">
        <f ca="1">OFFSET(#REF!,0,ROW()-2)</f>
        <v>#REF!</v>
      </c>
      <c r="M103" s="14" t="e">
        <f ca="1">OFFSET(#REF!,0,ROW()-2)</f>
        <v>#REF!</v>
      </c>
      <c r="N103" s="14" t="e">
        <f ca="1">OFFSET(#REF!,0,ROW()-2)</f>
        <v>#REF!</v>
      </c>
      <c r="O103" s="14" t="e">
        <f ca="1">OFFSET(#REF!,0,ROW()-2)</f>
        <v>#REF!</v>
      </c>
      <c r="P103" s="14">
        <f ca="1">OFFSET(RF!$C$7,0,ROW()-2)</f>
        <v>4</v>
      </c>
      <c r="Q103" s="14" t="e">
        <f ca="1">OFFSET(#REF!,0,ROW()-2)</f>
        <v>#REF!</v>
      </c>
      <c r="R103" s="18" t="e">
        <f ca="1">OFFSET(#REF!,0,ROW()-2)</f>
        <v>#REF!</v>
      </c>
      <c r="S103" s="18" t="e">
        <f ca="1">OFFSET(#REF!,0,ROW()-2)</f>
        <v>#REF!</v>
      </c>
      <c r="T103" s="18" t="e">
        <f ca="1">OFFSET(#REF!,0,ROW()-2)</f>
        <v>#REF!</v>
      </c>
      <c r="U103" s="18" t="s">
        <v>175</v>
      </c>
      <c r="V103" s="75" t="e">
        <f ca="1">OFFSET(#REF!,0,ROW()-2)</f>
        <v>#REF!</v>
      </c>
    </row>
    <row r="104" spans="1:22" x14ac:dyDescent="0.25">
      <c r="A104" s="80" t="s">
        <v>151</v>
      </c>
      <c r="B104" s="105" t="s">
        <v>148</v>
      </c>
      <c r="C104" s="22" t="s">
        <v>600</v>
      </c>
      <c r="D104" s="22" t="s">
        <v>526</v>
      </c>
      <c r="E104" s="79" t="s">
        <v>526</v>
      </c>
      <c r="F104" s="9">
        <v>4</v>
      </c>
      <c r="I104" s="68">
        <v>11</v>
      </c>
      <c r="J104" s="68">
        <v>5</v>
      </c>
      <c r="K104" s="23" t="s">
        <v>118</v>
      </c>
      <c r="L104" s="18" t="e">
        <f ca="1">OFFSET(#REF!,0,ROW()-2)</f>
        <v>#REF!</v>
      </c>
      <c r="M104" s="14" t="e">
        <f ca="1">OFFSET(#REF!,0,ROW()-2)</f>
        <v>#REF!</v>
      </c>
      <c r="N104" s="14" t="e">
        <f ca="1">OFFSET(#REF!,0,ROW()-2)</f>
        <v>#REF!</v>
      </c>
      <c r="O104" s="14" t="e">
        <f ca="1">OFFSET(#REF!,0,ROW()-2)</f>
        <v>#REF!</v>
      </c>
      <c r="P104" s="14">
        <f ca="1">OFFSET(RF!$C$7,0,ROW()-2)</f>
        <v>3</v>
      </c>
      <c r="Q104" s="14" t="e">
        <f ca="1">OFFSET(#REF!,0,ROW()-2)</f>
        <v>#REF!</v>
      </c>
      <c r="R104" s="18" t="e">
        <f ca="1">OFFSET(#REF!,0,ROW()-2)</f>
        <v>#REF!</v>
      </c>
      <c r="S104" s="18" t="e">
        <f ca="1">OFFSET(#REF!,0,ROW()-2)</f>
        <v>#REF!</v>
      </c>
      <c r="T104" s="18" t="e">
        <f ca="1">OFFSET(#REF!,0,ROW()-2)</f>
        <v>#REF!</v>
      </c>
      <c r="U104" s="18" t="s">
        <v>175</v>
      </c>
      <c r="V104" s="75" t="e">
        <f ca="1">OFFSET(#REF!,0,ROW()-2)</f>
        <v>#REF!</v>
      </c>
    </row>
    <row r="105" spans="1:22" x14ac:dyDescent="0.25">
      <c r="A105" s="80" t="s">
        <v>153</v>
      </c>
      <c r="B105" s="105" t="s">
        <v>148</v>
      </c>
      <c r="C105" s="22" t="s">
        <v>601</v>
      </c>
      <c r="D105" s="22" t="s">
        <v>528</v>
      </c>
      <c r="E105" s="79" t="s">
        <v>528</v>
      </c>
      <c r="F105" s="9">
        <v>4</v>
      </c>
      <c r="I105" s="68">
        <v>11</v>
      </c>
      <c r="J105" s="68">
        <v>5</v>
      </c>
      <c r="K105" s="22" t="s">
        <v>119</v>
      </c>
      <c r="L105" s="18" t="e">
        <f ca="1">OFFSET(#REF!,0,ROW()-2)</f>
        <v>#REF!</v>
      </c>
      <c r="M105" s="14" t="e">
        <f ca="1">OFFSET(#REF!,0,ROW()-2)</f>
        <v>#REF!</v>
      </c>
      <c r="N105" s="14" t="e">
        <f ca="1">OFFSET(#REF!,0,ROW()-2)</f>
        <v>#REF!</v>
      </c>
      <c r="O105" s="14" t="e">
        <f ca="1">OFFSET(#REF!,0,ROW()-2)</f>
        <v>#REF!</v>
      </c>
      <c r="P105" s="14">
        <f ca="1">OFFSET(RF!$C$7,0,ROW()-2)</f>
        <v>3</v>
      </c>
      <c r="Q105" s="14" t="e">
        <f ca="1">OFFSET(#REF!,0,ROW()-2)</f>
        <v>#REF!</v>
      </c>
      <c r="R105" s="18" t="e">
        <f ca="1">OFFSET(#REF!,0,ROW()-2)</f>
        <v>#REF!</v>
      </c>
      <c r="S105" s="18" t="e">
        <f ca="1">OFFSET(#REF!,0,ROW()-2)</f>
        <v>#REF!</v>
      </c>
      <c r="T105" s="18" t="e">
        <f ca="1">OFFSET(#REF!,0,ROW()-2)</f>
        <v>#REF!</v>
      </c>
      <c r="U105" s="18" t="s">
        <v>175</v>
      </c>
      <c r="V105" s="75" t="e">
        <f ca="1">OFFSET(#REF!,0,ROW()-2)</f>
        <v>#REF!</v>
      </c>
    </row>
    <row r="106" spans="1:22" x14ac:dyDescent="0.25">
      <c r="A106" s="80" t="s">
        <v>151</v>
      </c>
      <c r="B106" s="105" t="s">
        <v>148</v>
      </c>
      <c r="C106" s="22" t="s">
        <v>602</v>
      </c>
      <c r="D106" s="22" t="s">
        <v>530</v>
      </c>
      <c r="E106" s="79" t="s">
        <v>530</v>
      </c>
      <c r="F106" s="9">
        <v>2</v>
      </c>
      <c r="I106" s="68">
        <v>11</v>
      </c>
      <c r="J106" s="68">
        <v>5</v>
      </c>
      <c r="K106" s="22" t="s">
        <v>120</v>
      </c>
      <c r="L106" s="18" t="e">
        <f ca="1">OFFSET(#REF!,0,ROW()-2)</f>
        <v>#REF!</v>
      </c>
      <c r="M106" s="14" t="e">
        <f ca="1">OFFSET(#REF!,0,ROW()-2)</f>
        <v>#REF!</v>
      </c>
      <c r="N106" s="14" t="e">
        <f ca="1">OFFSET(#REF!,0,ROW()-2)</f>
        <v>#REF!</v>
      </c>
      <c r="O106" s="14" t="e">
        <f ca="1">OFFSET(#REF!,0,ROW()-2)</f>
        <v>#REF!</v>
      </c>
      <c r="P106" s="14">
        <f ca="1">OFFSET(RF!$C$7,0,ROW()-2)</f>
        <v>6</v>
      </c>
      <c r="Q106" s="14" t="e">
        <f ca="1">OFFSET(#REF!,0,ROW()-2)</f>
        <v>#REF!</v>
      </c>
      <c r="R106" s="18" t="e">
        <f ca="1">OFFSET(#REF!,0,ROW()-2)</f>
        <v>#REF!</v>
      </c>
      <c r="S106" s="18" t="e">
        <f ca="1">OFFSET(#REF!,0,ROW()-2)</f>
        <v>#REF!</v>
      </c>
      <c r="T106" s="18" t="e">
        <f ca="1">OFFSET(#REF!,0,ROW()-2)</f>
        <v>#REF!</v>
      </c>
      <c r="U106" s="18" t="s">
        <v>175</v>
      </c>
      <c r="V106" s="75" t="e">
        <f ca="1">OFFSET(#REF!,0,ROW()-2)</f>
        <v>#REF!</v>
      </c>
    </row>
    <row r="107" spans="1:22" x14ac:dyDescent="0.25">
      <c r="A107" s="80" t="s">
        <v>151</v>
      </c>
      <c r="B107" s="105" t="s">
        <v>149</v>
      </c>
      <c r="C107" s="22" t="s">
        <v>603</v>
      </c>
      <c r="D107" s="22" t="s">
        <v>532</v>
      </c>
      <c r="E107" s="79" t="s">
        <v>532</v>
      </c>
      <c r="F107" s="9">
        <v>3</v>
      </c>
      <c r="I107" s="68">
        <v>11</v>
      </c>
      <c r="J107" s="68">
        <v>5</v>
      </c>
      <c r="K107" s="22" t="s">
        <v>121</v>
      </c>
      <c r="L107" s="18" t="e">
        <f ca="1">OFFSET(#REF!,0,ROW()-2)</f>
        <v>#REF!</v>
      </c>
      <c r="M107" s="14" t="e">
        <f ca="1">OFFSET(#REF!,0,ROW()-2)</f>
        <v>#REF!</v>
      </c>
      <c r="N107" s="14" t="e">
        <f ca="1">OFFSET(#REF!,0,ROW()-2)</f>
        <v>#REF!</v>
      </c>
      <c r="O107" s="14" t="e">
        <f ca="1">OFFSET(#REF!,0,ROW()-2)</f>
        <v>#REF!</v>
      </c>
      <c r="P107" s="14">
        <f ca="1">OFFSET(RF!$C$7,0,ROW()-2)</f>
        <v>4</v>
      </c>
      <c r="Q107" s="14" t="e">
        <f ca="1">OFFSET(#REF!,0,ROW()-2)</f>
        <v>#REF!</v>
      </c>
      <c r="R107" s="18" t="e">
        <f ca="1">OFFSET(#REF!,0,ROW()-2)</f>
        <v>#REF!</v>
      </c>
      <c r="S107" s="18" t="e">
        <f ca="1">OFFSET(#REF!,0,ROW()-2)</f>
        <v>#REF!</v>
      </c>
      <c r="T107" s="18" t="e">
        <f ca="1">OFFSET(#REF!,0,ROW()-2)</f>
        <v>#REF!</v>
      </c>
      <c r="U107" s="18" t="s">
        <v>175</v>
      </c>
      <c r="V107" s="75" t="e">
        <f ca="1">OFFSET(#REF!,0,ROW()-2)</f>
        <v>#REF!</v>
      </c>
    </row>
    <row r="108" spans="1:22" x14ac:dyDescent="0.25">
      <c r="A108" s="80" t="s">
        <v>146</v>
      </c>
      <c r="B108" s="105" t="s">
        <v>148</v>
      </c>
      <c r="C108" s="22" t="s">
        <v>604</v>
      </c>
      <c r="D108" s="22" t="s">
        <v>534</v>
      </c>
      <c r="E108" s="79" t="s">
        <v>534</v>
      </c>
      <c r="F108" s="9">
        <v>1</v>
      </c>
      <c r="I108" s="68">
        <v>11</v>
      </c>
      <c r="J108" s="68">
        <v>6</v>
      </c>
      <c r="K108" s="22" t="s">
        <v>122</v>
      </c>
      <c r="L108" s="18" t="e">
        <f ca="1">OFFSET(#REF!,0,ROW()-2)</f>
        <v>#REF!</v>
      </c>
      <c r="M108" s="14" t="e">
        <f ca="1">OFFSET(#REF!,0,ROW()-2)</f>
        <v>#REF!</v>
      </c>
      <c r="N108" s="14" t="e">
        <f ca="1">OFFSET(#REF!,0,ROW()-2)</f>
        <v>#REF!</v>
      </c>
      <c r="O108" s="14" t="e">
        <f ca="1">OFFSET(#REF!,0,ROW()-2)</f>
        <v>#REF!</v>
      </c>
      <c r="P108" s="14">
        <f ca="1">OFFSET(RF!$C$7,0,ROW()-2)</f>
        <v>3</v>
      </c>
      <c r="Q108" s="14" t="e">
        <f ca="1">OFFSET(#REF!,0,ROW()-2)</f>
        <v>#REF!</v>
      </c>
      <c r="R108" s="18" t="e">
        <f ca="1">OFFSET(#REF!,0,ROW()-2)</f>
        <v>#REF!</v>
      </c>
      <c r="S108" s="18" t="e">
        <f ca="1">OFFSET(#REF!,0,ROW()-2)</f>
        <v>#REF!</v>
      </c>
      <c r="T108" s="18" t="e">
        <f ca="1">OFFSET(#REF!,0,ROW()-2)</f>
        <v>#REF!</v>
      </c>
      <c r="U108" s="18" t="s">
        <v>175</v>
      </c>
      <c r="V108" s="75" t="e">
        <f ca="1">OFFSET(#REF!,0,ROW()-2)</f>
        <v>#REF!</v>
      </c>
    </row>
    <row r="109" spans="1:22" x14ac:dyDescent="0.25">
      <c r="A109" s="80" t="s">
        <v>151</v>
      </c>
      <c r="B109" s="105" t="s">
        <v>148</v>
      </c>
      <c r="C109" s="22" t="s">
        <v>605</v>
      </c>
      <c r="D109" s="22" t="s">
        <v>536</v>
      </c>
      <c r="E109" s="79" t="s">
        <v>536</v>
      </c>
      <c r="F109" s="9">
        <v>1</v>
      </c>
      <c r="I109" s="68">
        <v>11</v>
      </c>
      <c r="J109" s="68">
        <v>6</v>
      </c>
      <c r="K109" s="24" t="s">
        <v>123</v>
      </c>
      <c r="L109" s="18" t="e">
        <f ca="1">OFFSET(#REF!,0,ROW()-2)</f>
        <v>#REF!</v>
      </c>
      <c r="M109" s="14" t="e">
        <f ca="1">OFFSET(#REF!,0,ROW()-2)</f>
        <v>#REF!</v>
      </c>
      <c r="N109" s="14" t="e">
        <f ca="1">OFFSET(#REF!,0,ROW()-2)</f>
        <v>#REF!</v>
      </c>
      <c r="O109" s="14" t="e">
        <f ca="1">OFFSET(#REF!,0,ROW()-2)</f>
        <v>#REF!</v>
      </c>
      <c r="P109" s="14">
        <f ca="1">OFFSET(RF!$C$7,0,ROW()-2)</f>
        <v>4</v>
      </c>
      <c r="Q109" s="14" t="e">
        <f ca="1">OFFSET(#REF!,0,ROW()-2)</f>
        <v>#REF!</v>
      </c>
      <c r="R109" s="18" t="e">
        <f ca="1">OFFSET(#REF!,0,ROW()-2)</f>
        <v>#REF!</v>
      </c>
      <c r="S109" s="18" t="e">
        <f ca="1">OFFSET(#REF!,0,ROW()-2)</f>
        <v>#REF!</v>
      </c>
      <c r="T109" s="18" t="e">
        <f ca="1">OFFSET(#REF!,0,ROW()-2)</f>
        <v>#REF!</v>
      </c>
      <c r="U109" s="18" t="s">
        <v>175</v>
      </c>
      <c r="V109" s="75" t="e">
        <f ca="1">OFFSET(#REF!,0,ROW()-2)</f>
        <v>#REF!</v>
      </c>
    </row>
    <row r="110" spans="1:22" x14ac:dyDescent="0.25">
      <c r="A110" s="80" t="s">
        <v>153</v>
      </c>
      <c r="B110" s="105" t="s">
        <v>148</v>
      </c>
      <c r="C110" s="22" t="s">
        <v>606</v>
      </c>
      <c r="D110" s="22" t="s">
        <v>553</v>
      </c>
      <c r="E110" s="79" t="s">
        <v>538</v>
      </c>
      <c r="F110" s="9">
        <v>1</v>
      </c>
      <c r="I110" s="68">
        <v>11</v>
      </c>
      <c r="J110" s="68">
        <v>6</v>
      </c>
      <c r="K110" s="24" t="s">
        <v>124</v>
      </c>
      <c r="L110" s="18" t="e">
        <f ca="1">OFFSET(#REF!,0,ROW()-2)</f>
        <v>#REF!</v>
      </c>
      <c r="M110" s="14" t="e">
        <f ca="1">OFFSET(#REF!,0,ROW()-2)</f>
        <v>#REF!</v>
      </c>
      <c r="N110" s="14" t="e">
        <f ca="1">OFFSET(#REF!,0,ROW()-2)</f>
        <v>#REF!</v>
      </c>
      <c r="O110" s="14" t="e">
        <f ca="1">OFFSET(#REF!,0,ROW()-2)</f>
        <v>#REF!</v>
      </c>
      <c r="P110" s="14">
        <f ca="1">OFFSET(RF!$C$7,0,ROW()-2)</f>
        <v>5</v>
      </c>
      <c r="Q110" s="14" t="e">
        <f ca="1">OFFSET(#REF!,0,ROW()-2)</f>
        <v>#REF!</v>
      </c>
      <c r="R110" s="18" t="e">
        <f ca="1">OFFSET(#REF!,0,ROW()-2)</f>
        <v>#REF!</v>
      </c>
      <c r="S110" s="18" t="e">
        <f ca="1">OFFSET(#REF!,0,ROW()-2)</f>
        <v>#REF!</v>
      </c>
      <c r="T110" s="18" t="e">
        <f ca="1">OFFSET(#REF!,0,ROW()-2)</f>
        <v>#REF!</v>
      </c>
      <c r="U110" s="18" t="s">
        <v>175</v>
      </c>
      <c r="V110" s="75" t="e">
        <f ca="1">OFFSET(#REF!,0,ROW()-2)</f>
        <v>#REF!</v>
      </c>
    </row>
    <row r="111" spans="1:22" x14ac:dyDescent="0.25">
      <c r="F111" s="9" t="s">
        <v>133</v>
      </c>
      <c r="I111" s="68">
        <v>11</v>
      </c>
      <c r="J111" s="68">
        <v>6</v>
      </c>
      <c r="K111" s="24" t="s">
        <v>15</v>
      </c>
      <c r="L111" s="18" t="e">
        <f ca="1">OFFSET(#REF!,0,ROW()-2)</f>
        <v>#REF!</v>
      </c>
      <c r="M111" s="14" t="e">
        <f ca="1">OFFSET(#REF!,0,ROW()-2)</f>
        <v>#REF!</v>
      </c>
      <c r="N111" s="14" t="e">
        <f ca="1">OFFSET(#REF!,0,ROW()-2)</f>
        <v>#REF!</v>
      </c>
      <c r="O111" s="14" t="e">
        <f ca="1">OFFSET(#REF!,0,ROW()-2)</f>
        <v>#REF!</v>
      </c>
      <c r="P111" s="14">
        <f ca="1">OFFSET(RF!$C$7,0,ROW()-2)</f>
        <v>3</v>
      </c>
      <c r="Q111" s="14" t="e">
        <f ca="1">OFFSET(#REF!,0,ROW()-2)</f>
        <v>#REF!</v>
      </c>
      <c r="R111" s="18" t="e">
        <f ca="1">OFFSET(#REF!,0,ROW()-2)</f>
        <v>#REF!</v>
      </c>
      <c r="S111" s="18" t="e">
        <f ca="1">OFFSET(#REF!,0,ROW()-2)</f>
        <v>#REF!</v>
      </c>
      <c r="T111" s="18" t="e">
        <f ca="1">OFFSET(#REF!,0,ROW()-2)</f>
        <v>#REF!</v>
      </c>
      <c r="U111" s="18" t="s">
        <v>175</v>
      </c>
      <c r="V111" s="75" t="e">
        <f ca="1">OFFSET(#REF!,0,ROW()-2)</f>
        <v>#REF!</v>
      </c>
    </row>
    <row r="112" spans="1:22" x14ac:dyDescent="0.25">
      <c r="F112" s="6" t="s">
        <v>172</v>
      </c>
      <c r="I112" s="68">
        <v>11</v>
      </c>
      <c r="J112" s="68">
        <v>6</v>
      </c>
      <c r="K112" s="24" t="s">
        <v>14</v>
      </c>
      <c r="L112" s="18" t="e">
        <f ca="1">OFFSET(#REF!,0,ROW()-2)</f>
        <v>#REF!</v>
      </c>
      <c r="M112" s="14" t="e">
        <f ca="1">OFFSET(#REF!,0,ROW()-2)</f>
        <v>#REF!</v>
      </c>
      <c r="N112" s="14" t="e">
        <f ca="1">OFFSET(#REF!,0,ROW()-2)</f>
        <v>#REF!</v>
      </c>
      <c r="O112" s="14" t="e">
        <f ca="1">OFFSET(#REF!,0,ROW()-2)</f>
        <v>#REF!</v>
      </c>
      <c r="P112" s="14" t="str">
        <f ca="1">OFFSET(RF!$C$7,0,ROW()-2)</f>
        <v>RF</v>
      </c>
      <c r="Q112" s="14" t="e">
        <f ca="1">OFFSET(#REF!,0,ROW()-2)</f>
        <v>#REF!</v>
      </c>
      <c r="R112" s="18" t="e">
        <f ca="1">OFFSET(#REF!,0,ROW()-2)</f>
        <v>#REF!</v>
      </c>
      <c r="S112" s="18" t="e">
        <f ca="1">OFFSET(#REF!,0,ROW()-2)</f>
        <v>#REF!</v>
      </c>
      <c r="T112" s="18" t="e">
        <f ca="1">OFFSET(#REF!,0,ROW()-2)</f>
        <v>#REF!</v>
      </c>
      <c r="U112" s="18" t="s">
        <v>175</v>
      </c>
      <c r="V112" s="75" t="e">
        <f ca="1">OFFSET(#REF!,0,ROW()-2)</f>
        <v>#REF!</v>
      </c>
    </row>
    <row r="113" spans="6:22" x14ac:dyDescent="0.25">
      <c r="F113" s="9" t="s">
        <v>263</v>
      </c>
      <c r="I113" s="68">
        <v>11</v>
      </c>
      <c r="J113" s="68">
        <v>6</v>
      </c>
      <c r="K113" s="24" t="s">
        <v>13</v>
      </c>
      <c r="L113" s="18" t="e">
        <f ca="1">OFFSET(#REF!,0,ROW()-2)</f>
        <v>#REF!</v>
      </c>
      <c r="M113" s="14" t="e">
        <f ca="1">OFFSET(#REF!,0,ROW()-2)</f>
        <v>#REF!</v>
      </c>
      <c r="N113" s="14" t="e">
        <f ca="1">OFFSET(#REF!,0,ROW()-2)</f>
        <v>#REF!</v>
      </c>
      <c r="O113" s="14" t="e">
        <f ca="1">OFFSET(#REF!,0,ROW()-2)</f>
        <v>#REF!</v>
      </c>
      <c r="P113" s="14" t="str">
        <f ca="1">OFFSET(RF!$C$7,0,ROW()-2)</f>
        <v>Aparece en</v>
      </c>
      <c r="Q113" s="14" t="e">
        <f ca="1">OFFSET(#REF!,0,ROW()-2)</f>
        <v>#REF!</v>
      </c>
      <c r="R113" s="18" t="e">
        <f ca="1">OFFSET(#REF!,0,ROW()-2)</f>
        <v>#REF!</v>
      </c>
      <c r="S113" s="18" t="e">
        <f ca="1">OFFSET(#REF!,0,ROW()-2)</f>
        <v>#REF!</v>
      </c>
      <c r="T113" s="18" t="e">
        <f ca="1">OFFSET(#REF!,0,ROW()-2)</f>
        <v>#REF!</v>
      </c>
      <c r="U113" s="18" t="s">
        <v>175</v>
      </c>
      <c r="V113" s="75" t="e">
        <f ca="1">OFFSET(#REF!,0,ROW()-2)</f>
        <v>#REF!</v>
      </c>
    </row>
    <row r="114" spans="6:22" x14ac:dyDescent="0.25">
      <c r="F114" s="33" t="s">
        <v>264</v>
      </c>
      <c r="I114" s="68">
        <v>11</v>
      </c>
      <c r="J114" s="68">
        <v>6</v>
      </c>
      <c r="K114" s="24" t="s">
        <v>12</v>
      </c>
      <c r="L114" s="18" t="e">
        <f ca="1">OFFSET(#REF!,0,ROW()-2)</f>
        <v>#REF!</v>
      </c>
      <c r="M114" s="14" t="e">
        <f ca="1">OFFSET(#REF!,0,ROW()-2)</f>
        <v>#REF!</v>
      </c>
      <c r="N114" s="14" t="e">
        <f ca="1">OFFSET(#REF!,0,ROW()-2)</f>
        <v>#REF!</v>
      </c>
      <c r="O114" s="14" t="e">
        <f ca="1">OFFSET(#REF!,0,ROW()-2)</f>
        <v>#REF!</v>
      </c>
      <c r="P114" s="14" t="str">
        <f ca="1">OFFSET(RF!$C$7,0,ROW()-2)</f>
        <v>Fortaleza</v>
      </c>
      <c r="Q114" s="14" t="e">
        <f ca="1">OFFSET(#REF!,0,ROW()-2)</f>
        <v>#REF!</v>
      </c>
      <c r="R114" s="18" t="e">
        <f ca="1">OFFSET(#REF!,0,ROW()-2)</f>
        <v>#REF!</v>
      </c>
      <c r="S114" s="18" t="e">
        <f ca="1">OFFSET(#REF!,0,ROW()-2)</f>
        <v>#REF!</v>
      </c>
      <c r="T114" s="18" t="e">
        <f ca="1">OFFSET(#REF!,0,ROW()-2)</f>
        <v>#REF!</v>
      </c>
      <c r="U114" s="18" t="s">
        <v>175</v>
      </c>
      <c r="V114" s="75" t="e">
        <f ca="1">OFFSET(#REF!,0,ROW()-2)</f>
        <v>#REF!</v>
      </c>
    </row>
    <row r="115" spans="6:22" x14ac:dyDescent="0.25">
      <c r="F115"/>
      <c r="I115" s="68">
        <v>11</v>
      </c>
      <c r="J115" s="68">
        <v>6</v>
      </c>
      <c r="K115" s="24" t="s">
        <v>11</v>
      </c>
      <c r="L115" s="18" t="e">
        <f ca="1">OFFSET(#REF!,0,ROW()-2)</f>
        <v>#REF!</v>
      </c>
      <c r="M115" s="14" t="e">
        <f ca="1">OFFSET(#REF!,0,ROW()-2)</f>
        <v>#REF!</v>
      </c>
      <c r="N115" s="14" t="e">
        <f ca="1">OFFSET(#REF!,0,ROW()-2)</f>
        <v>#REF!</v>
      </c>
      <c r="O115" s="14" t="e">
        <f ca="1">OFFSET(#REF!,0,ROW()-2)</f>
        <v>#REF!</v>
      </c>
      <c r="P115" s="14" t="str">
        <f ca="1">OFFSET(RF!$C$7,0,ROW()-2)</f>
        <v>Desc Final</v>
      </c>
      <c r="Q115" s="14" t="e">
        <f ca="1">OFFSET(#REF!,0,ROW()-2)</f>
        <v>#REF!</v>
      </c>
      <c r="R115" s="18" t="e">
        <f ca="1">OFFSET(#REF!,0,ROW()-2)</f>
        <v>#REF!</v>
      </c>
      <c r="S115" s="18" t="e">
        <f ca="1">OFFSET(#REF!,0,ROW()-2)</f>
        <v>#REF!</v>
      </c>
      <c r="T115" s="18" t="e">
        <f ca="1">OFFSET(#REF!,0,ROW()-2)</f>
        <v>#REF!</v>
      </c>
      <c r="U115" s="18" t="s">
        <v>175</v>
      </c>
      <c r="V115" s="75" t="e">
        <f ca="1">OFFSET(#REF!,0,ROW()-2)</f>
        <v>#REF!</v>
      </c>
    </row>
    <row r="116" spans="6:22" x14ac:dyDescent="0.25">
      <c r="F116"/>
      <c r="I116" s="68">
        <v>11</v>
      </c>
      <c r="J116" s="68">
        <v>6</v>
      </c>
      <c r="K116" s="24" t="s">
        <v>10</v>
      </c>
      <c r="L116" s="18" t="e">
        <f ca="1">OFFSET(#REF!,0,ROW()-2)</f>
        <v>#REF!</v>
      </c>
      <c r="M116" s="14" t="e">
        <f ca="1">OFFSET(#REF!,0,ROW()-2)</f>
        <v>#REF!</v>
      </c>
      <c r="N116" s="14" t="e">
        <f ca="1">OFFSET(#REF!,0,ROW()-2)</f>
        <v>#REF!</v>
      </c>
      <c r="O116" s="14" t="e">
        <f ca="1">OFFSET(#REF!,0,ROW()-2)</f>
        <v>#REF!</v>
      </c>
      <c r="P116" s="14">
        <f ca="1">OFFSET(RF!$C$7,0,ROW()-2)</f>
        <v>0</v>
      </c>
      <c r="Q116" s="14" t="e">
        <f ca="1">OFFSET(#REF!,0,ROW()-2)</f>
        <v>#REF!</v>
      </c>
      <c r="R116" s="18" t="e">
        <f ca="1">OFFSET(#REF!,0,ROW()-2)</f>
        <v>#REF!</v>
      </c>
      <c r="S116" s="18" t="e">
        <f ca="1">OFFSET(#REF!,0,ROW()-2)</f>
        <v>#REF!</v>
      </c>
      <c r="T116" s="18" t="e">
        <f ca="1">OFFSET(#REF!,0,ROW()-2)</f>
        <v>#REF!</v>
      </c>
      <c r="U116" s="18" t="s">
        <v>175</v>
      </c>
      <c r="V116" s="75" t="e">
        <f ca="1">OFFSET(#REF!,0,ROW()-2)</f>
        <v>#REF!</v>
      </c>
    </row>
    <row r="117" spans="6:22" x14ac:dyDescent="0.25">
      <c r="I117" s="68">
        <v>11</v>
      </c>
      <c r="J117" s="68">
        <v>6</v>
      </c>
      <c r="K117" s="24" t="s">
        <v>9</v>
      </c>
      <c r="L117" s="18" t="e">
        <f ca="1">OFFSET(#REF!,0,ROW()-2)</f>
        <v>#REF!</v>
      </c>
      <c r="M117" s="14" t="e">
        <f ca="1">OFFSET(#REF!,0,ROW()-2)</f>
        <v>#REF!</v>
      </c>
      <c r="N117" s="14" t="e">
        <f ca="1">OFFSET(#REF!,0,ROW()-2)</f>
        <v>#REF!</v>
      </c>
      <c r="O117" s="14" t="e">
        <f ca="1">OFFSET(#REF!,0,ROW()-2)</f>
        <v>#REF!</v>
      </c>
      <c r="P117" s="14">
        <f ca="1">OFFSET(RF!$C$7,0,ROW()-2)</f>
        <v>0</v>
      </c>
      <c r="Q117" s="14" t="e">
        <f ca="1">OFFSET(#REF!,0,ROW()-2)</f>
        <v>#REF!</v>
      </c>
      <c r="R117" s="18" t="e">
        <f ca="1">OFFSET(#REF!,0,ROW()-2)</f>
        <v>#REF!</v>
      </c>
      <c r="S117" s="18" t="e">
        <f ca="1">OFFSET(#REF!,0,ROW()-2)</f>
        <v>#REF!</v>
      </c>
      <c r="T117" s="18" t="e">
        <f ca="1">OFFSET(#REF!,0,ROW()-2)</f>
        <v>#REF!</v>
      </c>
      <c r="U117" s="18" t="s">
        <v>175</v>
      </c>
      <c r="V117" s="75" t="e">
        <f ca="1">OFFSET(#REF!,0,ROW()-2)</f>
        <v>#REF!</v>
      </c>
    </row>
    <row r="118" spans="6:22" x14ac:dyDescent="0.25">
      <c r="I118" s="68">
        <v>11</v>
      </c>
      <c r="J118" s="68">
        <v>6</v>
      </c>
      <c r="K118" s="24" t="s">
        <v>8</v>
      </c>
      <c r="L118" s="18" t="e">
        <f ca="1">OFFSET(#REF!,0,ROW()-2)</f>
        <v>#REF!</v>
      </c>
      <c r="M118" s="14" t="e">
        <f ca="1">OFFSET(#REF!,0,ROW()-2)</f>
        <v>#REF!</v>
      </c>
      <c r="N118" s="14" t="e">
        <f ca="1">OFFSET(#REF!,0,ROW()-2)</f>
        <v>#REF!</v>
      </c>
      <c r="O118" s="14" t="e">
        <f ca="1">OFFSET(#REF!,0,ROW()-2)</f>
        <v>#REF!</v>
      </c>
      <c r="P118" s="14">
        <f ca="1">OFFSET(RF!$C$7,0,ROW()-2)</f>
        <v>0</v>
      </c>
      <c r="Q118" s="14" t="e">
        <f ca="1">OFFSET(#REF!,0,ROW()-2)</f>
        <v>#REF!</v>
      </c>
      <c r="R118" s="18" t="e">
        <f ca="1">OFFSET(#REF!,0,ROW()-2)</f>
        <v>#REF!</v>
      </c>
      <c r="S118" s="18" t="e">
        <f ca="1">OFFSET(#REF!,0,ROW()-2)</f>
        <v>#REF!</v>
      </c>
      <c r="T118" s="18" t="e">
        <f ca="1">OFFSET(#REF!,0,ROW()-2)</f>
        <v>#REF!</v>
      </c>
      <c r="U118" s="18" t="s">
        <v>175</v>
      </c>
      <c r="V118" s="75" t="e">
        <f ca="1">OFFSET(#REF!,0,ROW()-2)</f>
        <v>#REF!</v>
      </c>
    </row>
    <row r="119" spans="6:22" x14ac:dyDescent="0.25">
      <c r="I119" s="68">
        <v>11</v>
      </c>
      <c r="J119" s="68">
        <v>6</v>
      </c>
      <c r="K119" s="24" t="s">
        <v>7</v>
      </c>
      <c r="L119" s="18" t="e">
        <f ca="1">OFFSET(#REF!,0,ROW()-2)</f>
        <v>#REF!</v>
      </c>
      <c r="M119" s="14" t="e">
        <f ca="1">OFFSET(#REF!,0,ROW()-2)</f>
        <v>#REF!</v>
      </c>
      <c r="N119" s="14" t="e">
        <f ca="1">OFFSET(#REF!,0,ROW()-2)</f>
        <v>#REF!</v>
      </c>
      <c r="O119" s="14" t="e">
        <f ca="1">OFFSET(#REF!,0,ROW()-2)</f>
        <v>#REF!</v>
      </c>
      <c r="P119" s="14">
        <f ca="1">OFFSET(RF!$C$7,0,ROW()-2)</f>
        <v>0</v>
      </c>
      <c r="Q119" s="14" t="e">
        <f ca="1">OFFSET(#REF!,0,ROW()-2)</f>
        <v>#REF!</v>
      </c>
      <c r="R119" s="18" t="e">
        <f ca="1">OFFSET(#REF!,0,ROW()-2)</f>
        <v>#REF!</v>
      </c>
      <c r="S119" s="18" t="e">
        <f ca="1">OFFSET(#REF!,0,ROW()-2)</f>
        <v>#REF!</v>
      </c>
      <c r="T119" s="18" t="e">
        <f ca="1">OFFSET(#REF!,0,ROW()-2)</f>
        <v>#REF!</v>
      </c>
      <c r="U119" s="18" t="s">
        <v>185</v>
      </c>
      <c r="V119" s="75" t="e">
        <f ca="1">OFFSET(#REF!,0,ROW()-2)</f>
        <v>#REF!</v>
      </c>
    </row>
    <row r="120" spans="6:22" x14ac:dyDescent="0.25">
      <c r="I120" s="68">
        <v>11</v>
      </c>
      <c r="J120" s="68">
        <v>6</v>
      </c>
      <c r="K120" s="24" t="s">
        <v>6</v>
      </c>
      <c r="L120" s="18" t="e">
        <f ca="1">OFFSET(#REF!,0,ROW()-2)</f>
        <v>#REF!</v>
      </c>
      <c r="M120" s="14" t="e">
        <f ca="1">OFFSET(#REF!,0,ROW()-2)</f>
        <v>#REF!</v>
      </c>
      <c r="N120" s="14" t="e">
        <f ca="1">OFFSET(#REF!,0,ROW()-2)</f>
        <v>#REF!</v>
      </c>
      <c r="O120" s="14" t="e">
        <f ca="1">OFFSET(#REF!,0,ROW()-2)</f>
        <v>#REF!</v>
      </c>
      <c r="P120" s="14">
        <f ca="1">OFFSET(RF!$C$7,0,ROW()-2)</f>
        <v>0</v>
      </c>
      <c r="Q120" s="14" t="e">
        <f ca="1">OFFSET(#REF!,0,ROW()-2)</f>
        <v>#REF!</v>
      </c>
      <c r="R120" s="18" t="e">
        <f ca="1">OFFSET(#REF!,0,ROW()-2)</f>
        <v>#REF!</v>
      </c>
      <c r="S120" s="18" t="e">
        <f ca="1">OFFSET(#REF!,0,ROW()-2)</f>
        <v>#REF!</v>
      </c>
      <c r="T120" s="18" t="e">
        <f ca="1">OFFSET(#REF!,0,ROW()-2)</f>
        <v>#REF!</v>
      </c>
      <c r="U120" s="18" t="s">
        <v>185</v>
      </c>
      <c r="V120" s="75" t="e">
        <f ca="1">OFFSET(#REF!,0,ROW()-2)</f>
        <v>#REF!</v>
      </c>
    </row>
    <row r="121" spans="6:22" x14ac:dyDescent="0.25">
      <c r="I121" s="68">
        <v>11</v>
      </c>
      <c r="J121" s="68">
        <v>6</v>
      </c>
      <c r="K121" s="24" t="s">
        <v>5</v>
      </c>
      <c r="L121" s="18" t="e">
        <f ca="1">OFFSET(#REF!,0,ROW()-2)</f>
        <v>#REF!</v>
      </c>
      <c r="M121" s="14" t="e">
        <f ca="1">OFFSET(#REF!,0,ROW()-2)</f>
        <v>#REF!</v>
      </c>
      <c r="N121" s="14" t="e">
        <f ca="1">OFFSET(#REF!,0,ROW()-2)</f>
        <v>#REF!</v>
      </c>
      <c r="O121" s="14" t="e">
        <f ca="1">OFFSET(#REF!,0,ROW()-2)</f>
        <v>#REF!</v>
      </c>
      <c r="P121" s="14">
        <f ca="1">OFFSET(RF!$C$7,0,ROW()-2)</f>
        <v>0</v>
      </c>
      <c r="Q121" s="14" t="e">
        <f ca="1">OFFSET(#REF!,0,ROW()-2)</f>
        <v>#REF!</v>
      </c>
      <c r="R121" s="18" t="e">
        <f ca="1">OFFSET(#REF!,0,ROW()-2)</f>
        <v>#REF!</v>
      </c>
      <c r="S121" s="18" t="e">
        <f ca="1">OFFSET(#REF!,0,ROW()-2)</f>
        <v>#REF!</v>
      </c>
      <c r="T121" s="18" t="e">
        <f ca="1">OFFSET(#REF!,0,ROW()-2)</f>
        <v>#REF!</v>
      </c>
      <c r="U121" s="18" t="s">
        <v>175</v>
      </c>
      <c r="V121" s="75" t="e">
        <f ca="1">OFFSET(#REF!,0,ROW()-2)</f>
        <v>#REF!</v>
      </c>
    </row>
    <row r="122" spans="6:22" x14ac:dyDescent="0.25">
      <c r="I122" s="68">
        <v>11</v>
      </c>
      <c r="J122" s="68">
        <v>6</v>
      </c>
      <c r="K122" s="24" t="s">
        <v>3</v>
      </c>
      <c r="L122" s="18" t="e">
        <f ca="1">OFFSET(#REF!,0,ROW()-2)</f>
        <v>#REF!</v>
      </c>
      <c r="M122" s="14" t="e">
        <f ca="1">OFFSET(#REF!,0,ROW()-2)</f>
        <v>#REF!</v>
      </c>
      <c r="N122" s="14" t="e">
        <f ca="1">OFFSET(#REF!,0,ROW()-2)</f>
        <v>#REF!</v>
      </c>
      <c r="O122" s="14" t="e">
        <f ca="1">OFFSET(#REF!,0,ROW()-2)</f>
        <v>#REF!</v>
      </c>
      <c r="P122" s="14">
        <f ca="1">OFFSET(RF!$C$7,0,ROW()-2)</f>
        <v>0</v>
      </c>
      <c r="Q122" s="14" t="e">
        <f ca="1">OFFSET(#REF!,0,ROW()-2)</f>
        <v>#REF!</v>
      </c>
      <c r="R122" s="18" t="e">
        <f ca="1">OFFSET(#REF!,0,ROW()-2)</f>
        <v>#REF!</v>
      </c>
      <c r="S122" s="18" t="e">
        <f ca="1">OFFSET(#REF!,0,ROW()-2)</f>
        <v>#REF!</v>
      </c>
      <c r="T122" s="18" t="e">
        <f ca="1">OFFSET(#REF!,0,ROW()-2)</f>
        <v>#REF!</v>
      </c>
      <c r="U122" s="18" t="s">
        <v>175</v>
      </c>
      <c r="V122" s="75" t="e">
        <f ca="1">OFFSET(#REF!,0,ROW()-2)</f>
        <v>#REF!</v>
      </c>
    </row>
    <row r="123" spans="6:22" x14ac:dyDescent="0.25">
      <c r="I123" s="68">
        <v>11</v>
      </c>
      <c r="J123" s="68">
        <v>6</v>
      </c>
      <c r="K123" s="24" t="s">
        <v>2</v>
      </c>
      <c r="L123" s="18" t="e">
        <f ca="1">OFFSET(#REF!,0,ROW()-2)</f>
        <v>#REF!</v>
      </c>
      <c r="M123" s="14" t="e">
        <f ca="1">OFFSET(#REF!,0,ROW()-2)</f>
        <v>#REF!</v>
      </c>
      <c r="N123" s="14" t="e">
        <f ca="1">OFFSET(#REF!,0,ROW()-2)</f>
        <v>#REF!</v>
      </c>
      <c r="O123" s="14" t="e">
        <f ca="1">OFFSET(#REF!,0,ROW()-2)</f>
        <v>#REF!</v>
      </c>
      <c r="P123" s="14">
        <f ca="1">OFFSET(RF!$C$7,0,ROW()-2)</f>
        <v>0</v>
      </c>
      <c r="Q123" s="14" t="e">
        <f ca="1">OFFSET(#REF!,0,ROW()-2)</f>
        <v>#REF!</v>
      </c>
      <c r="R123" s="18" t="e">
        <f ca="1">OFFSET(#REF!,0,ROW()-2)</f>
        <v>#REF!</v>
      </c>
      <c r="S123" s="18" t="e">
        <f ca="1">OFFSET(#REF!,0,ROW()-2)</f>
        <v>#REF!</v>
      </c>
      <c r="T123" s="18" t="e">
        <f ca="1">OFFSET(#REF!,0,ROW()-2)</f>
        <v>#REF!</v>
      </c>
      <c r="U123" s="18" t="s">
        <v>175</v>
      </c>
      <c r="V123" s="75" t="e">
        <f ca="1">OFFSET(#REF!,0,ROW()-2)</f>
        <v>#REF!</v>
      </c>
    </row>
    <row r="124" spans="6:22" x14ac:dyDescent="0.25">
      <c r="I124" s="68">
        <v>11</v>
      </c>
      <c r="J124" s="68">
        <v>6</v>
      </c>
      <c r="K124" s="24" t="s">
        <v>1</v>
      </c>
      <c r="L124" s="18" t="e">
        <f ca="1">OFFSET(#REF!,0,ROW()-2)</f>
        <v>#REF!</v>
      </c>
      <c r="M124" s="14" t="e">
        <f ca="1">OFFSET(#REF!,0,ROW()-2)</f>
        <v>#REF!</v>
      </c>
      <c r="N124" s="14" t="e">
        <f ca="1">OFFSET(#REF!,0,ROW()-2)</f>
        <v>#REF!</v>
      </c>
      <c r="O124" s="14" t="e">
        <f ca="1">OFFSET(#REF!,0,ROW()-2)</f>
        <v>#REF!</v>
      </c>
      <c r="P124" s="14">
        <f ca="1">OFFSET(RF!$C$7,0,ROW()-2)</f>
        <v>0</v>
      </c>
      <c r="Q124" s="14" t="e">
        <f ca="1">OFFSET(#REF!,0,ROW()-2)</f>
        <v>#REF!</v>
      </c>
      <c r="R124" s="18" t="e">
        <f ca="1">OFFSET(#REF!,0,ROW()-2)</f>
        <v>#REF!</v>
      </c>
      <c r="S124" s="18" t="e">
        <f ca="1">OFFSET(#REF!,0,ROW()-2)</f>
        <v>#REF!</v>
      </c>
      <c r="T124" s="18" t="e">
        <f ca="1">OFFSET(#REF!,0,ROW()-2)</f>
        <v>#REF!</v>
      </c>
      <c r="U124" s="18" t="s">
        <v>175</v>
      </c>
      <c r="V124" s="75" t="e">
        <f ca="1">OFFSET(#REF!,0,ROW()-2)</f>
        <v>#REF!</v>
      </c>
    </row>
    <row r="125" spans="6:22" x14ac:dyDescent="0.25">
      <c r="I125" s="68">
        <v>11</v>
      </c>
      <c r="J125" s="68">
        <v>6</v>
      </c>
      <c r="K125" s="24" t="s">
        <v>110</v>
      </c>
      <c r="L125" s="18" t="e">
        <f ca="1">OFFSET(#REF!,0,ROW()-2)</f>
        <v>#REF!</v>
      </c>
      <c r="M125" s="14" t="e">
        <f ca="1">OFFSET(#REF!,0,ROW()-2)</f>
        <v>#REF!</v>
      </c>
      <c r="N125" s="14" t="e">
        <f ca="1">OFFSET(#REF!,0,ROW()-2)</f>
        <v>#REF!</v>
      </c>
      <c r="O125" s="14" t="e">
        <f ca="1">OFFSET(#REF!,0,ROW()-2)</f>
        <v>#REF!</v>
      </c>
      <c r="P125" s="14">
        <f ca="1">OFFSET(RF!$C$7,0,ROW()-2)</f>
        <v>0</v>
      </c>
      <c r="Q125" s="14" t="e">
        <f ca="1">OFFSET(#REF!,0,ROW()-2)</f>
        <v>#REF!</v>
      </c>
      <c r="R125" s="18" t="e">
        <f ca="1">OFFSET(#REF!,0,ROW()-2)</f>
        <v>#REF!</v>
      </c>
      <c r="S125" s="18" t="e">
        <f ca="1">OFFSET(#REF!,0,ROW()-2)</f>
        <v>#REF!</v>
      </c>
      <c r="T125" s="18" t="e">
        <f ca="1">OFFSET(#REF!,0,ROW()-2)</f>
        <v>#REF!</v>
      </c>
      <c r="U125" s="18" t="s">
        <v>174</v>
      </c>
      <c r="V125" s="75" t="e">
        <f ca="1">OFFSET(#REF!,0,ROW()-2)</f>
        <v>#REF!</v>
      </c>
    </row>
    <row r="126" spans="6:22" x14ac:dyDescent="0.25">
      <c r="I126" s="68">
        <v>11</v>
      </c>
      <c r="J126" s="68">
        <v>6</v>
      </c>
      <c r="K126" s="22" t="s">
        <v>109</v>
      </c>
      <c r="L126" s="18" t="e">
        <f ca="1">OFFSET(#REF!,0,ROW()-2)</f>
        <v>#REF!</v>
      </c>
      <c r="M126" s="26" t="e">
        <f ca="1">OFFSET(#REF!,0,ROW()-2)</f>
        <v>#REF!</v>
      </c>
      <c r="N126" s="14" t="e">
        <f ca="1">OFFSET(#REF!,0,ROW()-2)</f>
        <v>#REF!</v>
      </c>
      <c r="O126" s="26" t="e">
        <f ca="1">OFFSET(#REF!,0,ROW()-2)</f>
        <v>#REF!</v>
      </c>
      <c r="P126" s="26">
        <f ca="1">OFFSET(RF!$C$7,0,ROW()-2)</f>
        <v>0</v>
      </c>
      <c r="Q126" s="26" t="e">
        <f ca="1">OFFSET(#REF!,0,ROW()-2)</f>
        <v>#REF!</v>
      </c>
      <c r="R126" s="18" t="e">
        <f ca="1">OFFSET(#REF!,0,ROW()-2)</f>
        <v>#REF!</v>
      </c>
      <c r="S126" s="18" t="e">
        <f ca="1">OFFSET(#REF!,0,ROW()-2)</f>
        <v>#REF!</v>
      </c>
      <c r="T126" s="18" t="e">
        <f ca="1">OFFSET(#REF!,0,ROW()-2)</f>
        <v>#REF!</v>
      </c>
      <c r="U126" s="18" t="s">
        <v>175</v>
      </c>
      <c r="V126" s="75" t="e">
        <f ca="1">OFFSET(#REF!,0,ROW()-2)</f>
        <v>#REF!</v>
      </c>
    </row>
    <row r="127" spans="6:22" x14ac:dyDescent="0.25">
      <c r="K127" s="26"/>
      <c r="L127" s="26"/>
      <c r="M127" s="9"/>
      <c r="R127" s="52"/>
      <c r="S127" s="52"/>
    </row>
    <row r="128" spans="6:22" x14ac:dyDescent="0.25">
      <c r="I128" s="30"/>
      <c r="J128" s="70"/>
      <c r="K128" s="30"/>
      <c r="L128" s="30"/>
      <c r="M128" s="33"/>
      <c r="R128" s="53"/>
      <c r="S128" s="53"/>
    </row>
    <row r="129" spans="9:19" x14ac:dyDescent="0.25">
      <c r="I129" s="31"/>
      <c r="J129" s="32"/>
      <c r="M129" s="46"/>
      <c r="R129" s="51"/>
      <c r="S129" s="51"/>
    </row>
    <row r="130" spans="9:19" x14ac:dyDescent="0.25">
      <c r="I130" s="1"/>
      <c r="J130" s="71"/>
      <c r="M130" s="46"/>
      <c r="R130" s="51"/>
      <c r="S130" s="51"/>
    </row>
    <row r="131" spans="9:19" x14ac:dyDescent="0.25">
      <c r="I131" s="1"/>
      <c r="J131" s="71"/>
      <c r="M131" s="46"/>
      <c r="R131" s="51"/>
      <c r="S131" s="51"/>
    </row>
    <row r="132" spans="9:19" x14ac:dyDescent="0.25">
      <c r="I132" s="1"/>
      <c r="J132" s="71"/>
      <c r="M132" s="46"/>
      <c r="R132" s="51"/>
      <c r="S132" s="51"/>
    </row>
    <row r="133" spans="9:19" x14ac:dyDescent="0.25">
      <c r="I133" s="1"/>
      <c r="J133" s="71"/>
      <c r="M133" s="46"/>
      <c r="R133" s="51"/>
      <c r="S133" s="51"/>
    </row>
    <row r="134" spans="9:19" x14ac:dyDescent="0.25">
      <c r="I134" s="1"/>
      <c r="J134" s="71"/>
      <c r="M134" s="46"/>
      <c r="R134" s="51"/>
      <c r="S134" s="51"/>
    </row>
    <row r="135" spans="9:19" x14ac:dyDescent="0.25">
      <c r="I135" s="1"/>
      <c r="J135" s="71"/>
    </row>
    <row r="136" spans="9:19" x14ac:dyDescent="0.25">
      <c r="K136" s="21"/>
      <c r="L136" s="21"/>
      <c r="M136" s="21"/>
      <c r="N136" s="21"/>
    </row>
    <row r="137" spans="9:19" x14ac:dyDescent="0.25">
      <c r="J137" s="1"/>
      <c r="K137" s="17"/>
      <c r="L137" s="17"/>
      <c r="M137" s="17"/>
      <c r="N137" s="17"/>
    </row>
    <row r="138" spans="9:19" x14ac:dyDescent="0.25">
      <c r="I138" s="1"/>
      <c r="J138" s="71"/>
      <c r="N138" s="4"/>
    </row>
    <row r="139" spans="9:19" x14ac:dyDescent="0.25">
      <c r="I139" s="1"/>
      <c r="J139" s="30"/>
      <c r="N139" s="4"/>
    </row>
    <row r="140" spans="9:19" x14ac:dyDescent="0.25">
      <c r="I140" s="1"/>
      <c r="J140" s="30"/>
      <c r="K140" s="46"/>
      <c r="L140" s="46"/>
      <c r="M140" s="46"/>
      <c r="N140" s="46"/>
    </row>
    <row r="141" spans="9:19" x14ac:dyDescent="0.25">
      <c r="I141" s="1"/>
      <c r="J141" s="33"/>
      <c r="K141"/>
      <c r="L141"/>
      <c r="M141"/>
    </row>
    <row r="142" spans="9:19" x14ac:dyDescent="0.25">
      <c r="I142" s="1"/>
      <c r="K142"/>
      <c r="L142"/>
      <c r="M142"/>
    </row>
    <row r="143" spans="9:19" x14ac:dyDescent="0.25">
      <c r="I143" s="1"/>
      <c r="K143"/>
      <c r="L143"/>
      <c r="M143"/>
    </row>
    <row r="144" spans="9:19" x14ac:dyDescent="0.25">
      <c r="I144" s="1"/>
      <c r="K144" s="51"/>
      <c r="L144" s="51"/>
      <c r="M144" s="51"/>
      <c r="N144" s="51"/>
    </row>
    <row r="145" spans="9:14" x14ac:dyDescent="0.25">
      <c r="I145" s="1"/>
      <c r="J145" s="53"/>
      <c r="K145" s="55"/>
      <c r="L145" s="55"/>
      <c r="M145" s="55"/>
      <c r="N145" s="55"/>
    </row>
    <row r="146" spans="9:14" x14ac:dyDescent="0.25">
      <c r="I146" s="1"/>
      <c r="J146" s="72"/>
      <c r="K146"/>
      <c r="L146"/>
      <c r="M146"/>
    </row>
    <row r="147" spans="9:14" x14ac:dyDescent="0.25">
      <c r="I147" s="1"/>
      <c r="K147"/>
      <c r="L147"/>
      <c r="M147"/>
    </row>
    <row r="148" spans="9:14" x14ac:dyDescent="0.25">
      <c r="I148" s="1"/>
      <c r="K148"/>
      <c r="L148"/>
      <c r="M148"/>
    </row>
    <row r="149" spans="9:14" x14ac:dyDescent="0.25">
      <c r="I149" s="1"/>
      <c r="K149"/>
      <c r="L149"/>
      <c r="M149"/>
    </row>
    <row r="150" spans="9:14" x14ac:dyDescent="0.25">
      <c r="I150" s="1"/>
      <c r="K150"/>
      <c r="L150"/>
      <c r="M150"/>
    </row>
    <row r="151" spans="9:14" x14ac:dyDescent="0.25">
      <c r="I151" s="1"/>
      <c r="K151"/>
      <c r="L151"/>
      <c r="M151"/>
    </row>
    <row r="152" spans="9:14" x14ac:dyDescent="0.25">
      <c r="I152" s="1"/>
      <c r="K152"/>
      <c r="L152"/>
      <c r="M152"/>
    </row>
    <row r="153" spans="9:14" x14ac:dyDescent="0.25">
      <c r="I153" s="1"/>
      <c r="K153"/>
      <c r="L153"/>
      <c r="M153"/>
    </row>
    <row r="154" spans="9:14" x14ac:dyDescent="0.25">
      <c r="I154" s="1"/>
      <c r="K154"/>
      <c r="L154"/>
      <c r="M154"/>
    </row>
    <row r="155" spans="9:14" x14ac:dyDescent="0.25">
      <c r="I155" s="1"/>
      <c r="K155"/>
      <c r="L155"/>
      <c r="M155"/>
    </row>
    <row r="156" spans="9:14" x14ac:dyDescent="0.25">
      <c r="I156" s="1"/>
      <c r="K156"/>
      <c r="L156"/>
      <c r="M156"/>
    </row>
    <row r="157" spans="9:14" x14ac:dyDescent="0.25">
      <c r="I157" s="1"/>
      <c r="K157"/>
      <c r="L157"/>
      <c r="M157"/>
    </row>
    <row r="158" spans="9:14" x14ac:dyDescent="0.25">
      <c r="I158" s="1"/>
      <c r="K158"/>
      <c r="L158"/>
      <c r="M158"/>
    </row>
    <row r="159" spans="9:14" x14ac:dyDescent="0.25">
      <c r="I159" s="1"/>
      <c r="K159"/>
      <c r="L159"/>
      <c r="M159"/>
    </row>
    <row r="160" spans="9:14" x14ac:dyDescent="0.25">
      <c r="I160" s="1"/>
      <c r="K160"/>
      <c r="L160"/>
      <c r="M160"/>
    </row>
    <row r="161" spans="9:13" x14ac:dyDescent="0.25">
      <c r="I161" s="1"/>
      <c r="K161"/>
      <c r="L161"/>
      <c r="M161"/>
    </row>
    <row r="162" spans="9:13" x14ac:dyDescent="0.25">
      <c r="I162" s="1"/>
      <c r="K162"/>
      <c r="L162"/>
      <c r="M162"/>
    </row>
    <row r="163" spans="9:13" x14ac:dyDescent="0.25">
      <c r="I163" s="1"/>
      <c r="K163"/>
      <c r="L163"/>
      <c r="M163"/>
    </row>
    <row r="164" spans="9:13" x14ac:dyDescent="0.25">
      <c r="I164" s="1"/>
      <c r="K164"/>
      <c r="L164"/>
      <c r="M164"/>
    </row>
    <row r="165" spans="9:13" x14ac:dyDescent="0.25">
      <c r="I165" s="1"/>
      <c r="K165"/>
      <c r="L165"/>
      <c r="M165"/>
    </row>
    <row r="166" spans="9:13" x14ac:dyDescent="0.25">
      <c r="I166" s="1"/>
      <c r="K166"/>
      <c r="L166"/>
      <c r="M166"/>
    </row>
    <row r="167" spans="9:13" x14ac:dyDescent="0.25">
      <c r="I167" s="1"/>
      <c r="K167"/>
      <c r="L167"/>
      <c r="M167"/>
    </row>
    <row r="168" spans="9:13" x14ac:dyDescent="0.25">
      <c r="I168" s="1"/>
      <c r="K168"/>
      <c r="L168"/>
      <c r="M168"/>
    </row>
    <row r="169" spans="9:13" x14ac:dyDescent="0.25">
      <c r="I169" s="1"/>
      <c r="K169"/>
      <c r="L169"/>
      <c r="M169"/>
    </row>
    <row r="170" spans="9:13" x14ac:dyDescent="0.25">
      <c r="I170" s="1"/>
      <c r="K170"/>
      <c r="L170"/>
      <c r="M170"/>
    </row>
    <row r="171" spans="9:13" x14ac:dyDescent="0.25">
      <c r="I171" s="1"/>
      <c r="K171"/>
      <c r="L171"/>
      <c r="M171"/>
    </row>
    <row r="172" spans="9:13" x14ac:dyDescent="0.25">
      <c r="I172" s="1"/>
      <c r="K172"/>
      <c r="L172"/>
      <c r="M172"/>
    </row>
    <row r="173" spans="9:13" x14ac:dyDescent="0.25">
      <c r="I173" s="1"/>
      <c r="K173"/>
      <c r="L173"/>
      <c r="M173"/>
    </row>
    <row r="174" spans="9:13" x14ac:dyDescent="0.25">
      <c r="I174" s="1"/>
      <c r="K174"/>
      <c r="L174"/>
      <c r="M174"/>
    </row>
    <row r="175" spans="9:13" x14ac:dyDescent="0.25">
      <c r="I175" s="1"/>
      <c r="K175"/>
      <c r="L175"/>
      <c r="M175"/>
    </row>
    <row r="176" spans="9:13" x14ac:dyDescent="0.25">
      <c r="I176" s="1"/>
      <c r="K176"/>
      <c r="L176"/>
      <c r="M176"/>
    </row>
    <row r="177" spans="9:13" x14ac:dyDescent="0.25">
      <c r="I177" s="1"/>
      <c r="K177"/>
      <c r="L177"/>
      <c r="M177"/>
    </row>
    <row r="178" spans="9:13" x14ac:dyDescent="0.25">
      <c r="I178" s="1"/>
      <c r="K178"/>
      <c r="L178"/>
      <c r="M178"/>
    </row>
    <row r="179" spans="9:13" x14ac:dyDescent="0.25">
      <c r="I179" s="1"/>
      <c r="K179"/>
      <c r="L179"/>
      <c r="M179"/>
    </row>
    <row r="180" spans="9:13" x14ac:dyDescent="0.25">
      <c r="I180" s="1"/>
      <c r="K180"/>
      <c r="L180"/>
      <c r="M180"/>
    </row>
    <row r="181" spans="9:13" x14ac:dyDescent="0.25">
      <c r="I181" s="1"/>
      <c r="K181"/>
      <c r="L181"/>
      <c r="M181"/>
    </row>
    <row r="182" spans="9:13" x14ac:dyDescent="0.25">
      <c r="I182" s="1"/>
      <c r="K182"/>
      <c r="L182"/>
      <c r="M182"/>
    </row>
    <row r="183" spans="9:13" x14ac:dyDescent="0.25">
      <c r="I183" s="1"/>
      <c r="K183"/>
      <c r="L183"/>
      <c r="M183"/>
    </row>
    <row r="184" spans="9:13" x14ac:dyDescent="0.25">
      <c r="I184" s="1"/>
      <c r="K184"/>
      <c r="L184"/>
      <c r="M184"/>
    </row>
    <row r="185" spans="9:13" x14ac:dyDescent="0.25">
      <c r="I185" s="1"/>
      <c r="K185"/>
      <c r="L185"/>
      <c r="M185"/>
    </row>
    <row r="186" spans="9:13" x14ac:dyDescent="0.25">
      <c r="I186" s="1"/>
      <c r="K186"/>
      <c r="L186"/>
      <c r="M186"/>
    </row>
    <row r="187" spans="9:13" x14ac:dyDescent="0.25">
      <c r="I187" s="1"/>
      <c r="K187"/>
      <c r="L187"/>
      <c r="M187"/>
    </row>
    <row r="188" spans="9:13" x14ac:dyDescent="0.25">
      <c r="I188" s="1"/>
      <c r="K188"/>
      <c r="L188"/>
      <c r="M188"/>
    </row>
    <row r="189" spans="9:13" x14ac:dyDescent="0.25">
      <c r="I189" s="1"/>
      <c r="K189"/>
      <c r="L189"/>
      <c r="M189"/>
    </row>
    <row r="190" spans="9:13" x14ac:dyDescent="0.25">
      <c r="I190" s="1"/>
      <c r="K190"/>
      <c r="L190"/>
      <c r="M190"/>
    </row>
    <row r="191" spans="9:13" x14ac:dyDescent="0.25">
      <c r="I191" s="1"/>
      <c r="K191"/>
      <c r="L191"/>
      <c r="M191"/>
    </row>
    <row r="192" spans="9:13" x14ac:dyDescent="0.25">
      <c r="I192" s="1"/>
      <c r="K192"/>
      <c r="L192"/>
      <c r="M192"/>
    </row>
    <row r="193" spans="9:13" x14ac:dyDescent="0.25">
      <c r="I193" s="1"/>
      <c r="K193"/>
      <c r="L193"/>
      <c r="M193"/>
    </row>
    <row r="194" spans="9:13" x14ac:dyDescent="0.25">
      <c r="I194" s="1"/>
      <c r="K194"/>
      <c r="L194"/>
      <c r="M194"/>
    </row>
    <row r="195" spans="9:13" x14ac:dyDescent="0.25">
      <c r="I195" s="1"/>
      <c r="K195"/>
      <c r="L195"/>
      <c r="M195"/>
    </row>
    <row r="196" spans="9:13" x14ac:dyDescent="0.25">
      <c r="I196" s="1"/>
      <c r="K196"/>
      <c r="L196"/>
      <c r="M196"/>
    </row>
    <row r="197" spans="9:13" x14ac:dyDescent="0.25">
      <c r="I197" s="1"/>
      <c r="K197"/>
      <c r="L197"/>
      <c r="M197"/>
    </row>
    <row r="198" spans="9:13" x14ac:dyDescent="0.25">
      <c r="I198" s="1"/>
      <c r="K198"/>
      <c r="L198"/>
      <c r="M198"/>
    </row>
    <row r="199" spans="9:13" x14ac:dyDescent="0.25">
      <c r="I199" s="1"/>
      <c r="K199"/>
      <c r="L199"/>
      <c r="M199"/>
    </row>
    <row r="200" spans="9:13" x14ac:dyDescent="0.25">
      <c r="I200" s="1"/>
      <c r="K200"/>
      <c r="L200"/>
      <c r="M200"/>
    </row>
    <row r="201" spans="9:13" x14ac:dyDescent="0.25">
      <c r="I201" s="1"/>
      <c r="K201"/>
      <c r="L201"/>
      <c r="M201"/>
    </row>
    <row r="202" spans="9:13" x14ac:dyDescent="0.25">
      <c r="I202" s="1"/>
      <c r="K202"/>
      <c r="L202"/>
      <c r="M202"/>
    </row>
    <row r="203" spans="9:13" x14ac:dyDescent="0.25">
      <c r="I203" s="1"/>
      <c r="K203"/>
      <c r="L203"/>
      <c r="M203"/>
    </row>
    <row r="204" spans="9:13" x14ac:dyDescent="0.25">
      <c r="I204" s="1"/>
      <c r="K204"/>
      <c r="L204"/>
      <c r="M204"/>
    </row>
    <row r="205" spans="9:13" x14ac:dyDescent="0.25">
      <c r="I205" s="1"/>
      <c r="K205"/>
      <c r="L205"/>
      <c r="M205"/>
    </row>
    <row r="206" spans="9:13" x14ac:dyDescent="0.25">
      <c r="I206" s="1"/>
      <c r="K206"/>
      <c r="L206"/>
      <c r="M206"/>
    </row>
    <row r="207" spans="9:13" x14ac:dyDescent="0.25">
      <c r="I207" s="1"/>
      <c r="K207"/>
      <c r="L207"/>
      <c r="M207"/>
    </row>
    <row r="208" spans="9:13" x14ac:dyDescent="0.25">
      <c r="I208" s="1"/>
      <c r="K208"/>
      <c r="L208"/>
      <c r="M208"/>
    </row>
    <row r="209" spans="9:13" x14ac:dyDescent="0.25">
      <c r="I209" s="1"/>
      <c r="K209"/>
      <c r="L209"/>
      <c r="M209"/>
    </row>
    <row r="210" spans="9:13" x14ac:dyDescent="0.25">
      <c r="I210" s="1"/>
      <c r="K210"/>
      <c r="L210"/>
      <c r="M210"/>
    </row>
    <row r="211" spans="9:13" x14ac:dyDescent="0.25">
      <c r="I211" s="1"/>
      <c r="K211"/>
      <c r="L211"/>
      <c r="M211"/>
    </row>
    <row r="212" spans="9:13" x14ac:dyDescent="0.25">
      <c r="I212" s="1"/>
      <c r="K212"/>
      <c r="L212"/>
      <c r="M212"/>
    </row>
    <row r="213" spans="9:13" x14ac:dyDescent="0.25">
      <c r="I213" s="1"/>
      <c r="K213"/>
      <c r="L213"/>
      <c r="M213"/>
    </row>
    <row r="214" spans="9:13" x14ac:dyDescent="0.25">
      <c r="I214" s="1"/>
      <c r="K214"/>
      <c r="L214"/>
      <c r="M214"/>
    </row>
    <row r="215" spans="9:13" x14ac:dyDescent="0.25">
      <c r="I215" s="1"/>
      <c r="K215"/>
      <c r="L215"/>
      <c r="M215"/>
    </row>
    <row r="216" spans="9:13" x14ac:dyDescent="0.25">
      <c r="I216" s="1"/>
      <c r="K216"/>
      <c r="L216"/>
      <c r="M216"/>
    </row>
    <row r="217" spans="9:13" x14ac:dyDescent="0.25">
      <c r="I217" s="1"/>
      <c r="K217"/>
      <c r="L217"/>
      <c r="M217"/>
    </row>
    <row r="218" spans="9:13" x14ac:dyDescent="0.25">
      <c r="I218" s="1"/>
      <c r="K218"/>
      <c r="L218"/>
      <c r="M218"/>
    </row>
    <row r="219" spans="9:13" x14ac:dyDescent="0.25">
      <c r="I219" s="1"/>
      <c r="K219"/>
      <c r="L219"/>
      <c r="M219"/>
    </row>
    <row r="220" spans="9:13" x14ac:dyDescent="0.25">
      <c r="I220" s="1"/>
      <c r="K220"/>
      <c r="L220"/>
      <c r="M220"/>
    </row>
    <row r="221" spans="9:13" x14ac:dyDescent="0.25">
      <c r="I221" s="1"/>
      <c r="K221"/>
      <c r="L221"/>
      <c r="M221"/>
    </row>
    <row r="222" spans="9:13" x14ac:dyDescent="0.25">
      <c r="I222" s="1"/>
      <c r="K222"/>
      <c r="L222"/>
      <c r="M222"/>
    </row>
    <row r="223" spans="9:13" x14ac:dyDescent="0.25">
      <c r="I223" s="1"/>
      <c r="K223"/>
      <c r="L223"/>
      <c r="M223"/>
    </row>
    <row r="224" spans="9:13" x14ac:dyDescent="0.25">
      <c r="I224" s="1"/>
      <c r="K224"/>
      <c r="L224"/>
      <c r="M224"/>
    </row>
    <row r="225" spans="9:13" x14ac:dyDescent="0.25">
      <c r="I225" s="1"/>
      <c r="K225"/>
      <c r="L225"/>
      <c r="M225"/>
    </row>
    <row r="226" spans="9:13" x14ac:dyDescent="0.25">
      <c r="I226" s="1"/>
      <c r="K226"/>
      <c r="L226"/>
      <c r="M226"/>
    </row>
    <row r="227" spans="9:13" x14ac:dyDescent="0.25">
      <c r="I227" s="1"/>
      <c r="K227"/>
      <c r="L227"/>
      <c r="M227"/>
    </row>
    <row r="228" spans="9:13" x14ac:dyDescent="0.25">
      <c r="I228" s="1"/>
      <c r="K228"/>
      <c r="L228"/>
      <c r="M228"/>
    </row>
    <row r="229" spans="9:13" x14ac:dyDescent="0.25">
      <c r="I229" s="1"/>
      <c r="K229"/>
      <c r="L229"/>
      <c r="M229"/>
    </row>
    <row r="230" spans="9:13" x14ac:dyDescent="0.25">
      <c r="I230" s="1"/>
      <c r="K230"/>
      <c r="L230"/>
      <c r="M230"/>
    </row>
    <row r="231" spans="9:13" x14ac:dyDescent="0.25">
      <c r="I231" s="1"/>
      <c r="K231"/>
      <c r="L231"/>
      <c r="M231"/>
    </row>
    <row r="232" spans="9:13" x14ac:dyDescent="0.25">
      <c r="I232" s="1"/>
      <c r="K232"/>
      <c r="L232"/>
      <c r="M232"/>
    </row>
    <row r="233" spans="9:13" x14ac:dyDescent="0.25">
      <c r="I233" s="1"/>
      <c r="K233"/>
      <c r="L233"/>
      <c r="M233"/>
    </row>
    <row r="234" spans="9:13" x14ac:dyDescent="0.25">
      <c r="I234" s="1"/>
      <c r="K234"/>
      <c r="L234"/>
      <c r="M234"/>
    </row>
    <row r="235" spans="9:13" x14ac:dyDescent="0.25">
      <c r="I235" s="1"/>
      <c r="K235"/>
      <c r="L235"/>
      <c r="M235"/>
    </row>
    <row r="236" spans="9:13" x14ac:dyDescent="0.25">
      <c r="I236" s="1"/>
      <c r="K236"/>
      <c r="L236"/>
      <c r="M236"/>
    </row>
    <row r="237" spans="9:13" x14ac:dyDescent="0.25">
      <c r="I237" s="1"/>
      <c r="K237"/>
      <c r="L237"/>
      <c r="M237"/>
    </row>
    <row r="238" spans="9:13" x14ac:dyDescent="0.25">
      <c r="I238" s="1"/>
      <c r="K238"/>
      <c r="L238"/>
      <c r="M238"/>
    </row>
    <row r="239" spans="9:13" x14ac:dyDescent="0.25">
      <c r="I239" s="1"/>
      <c r="K239"/>
      <c r="L239"/>
      <c r="M239"/>
    </row>
    <row r="240" spans="9:13" x14ac:dyDescent="0.25">
      <c r="I240" s="1"/>
      <c r="K240"/>
      <c r="L240"/>
      <c r="M240"/>
    </row>
    <row r="241" spans="9:13" x14ac:dyDescent="0.25">
      <c r="I241" s="1"/>
      <c r="K241"/>
      <c r="L241"/>
      <c r="M241"/>
    </row>
    <row r="242" spans="9:13" x14ac:dyDescent="0.25">
      <c r="I242" s="1"/>
      <c r="K242"/>
      <c r="L242"/>
      <c r="M242"/>
    </row>
    <row r="243" spans="9:13" x14ac:dyDescent="0.25">
      <c r="I243" s="1"/>
      <c r="K243"/>
      <c r="L243"/>
      <c r="M243"/>
    </row>
    <row r="244" spans="9:13" x14ac:dyDescent="0.25">
      <c r="I244" s="1"/>
      <c r="K244"/>
      <c r="L244"/>
      <c r="M244"/>
    </row>
    <row r="245" spans="9:13" x14ac:dyDescent="0.25">
      <c r="I245" s="1"/>
      <c r="K245"/>
      <c r="L245"/>
      <c r="M245"/>
    </row>
    <row r="246" spans="9:13" x14ac:dyDescent="0.25">
      <c r="I246" s="1"/>
      <c r="K246"/>
      <c r="L246"/>
      <c r="M246"/>
    </row>
    <row r="247" spans="9:13" x14ac:dyDescent="0.25">
      <c r="I247" s="1"/>
      <c r="K247"/>
      <c r="L247"/>
      <c r="M247"/>
    </row>
    <row r="248" spans="9:13" x14ac:dyDescent="0.25">
      <c r="I248" s="1"/>
      <c r="K248"/>
      <c r="L248"/>
      <c r="M248"/>
    </row>
    <row r="249" spans="9:13" x14ac:dyDescent="0.25">
      <c r="I249" s="1"/>
      <c r="K249"/>
      <c r="L249"/>
      <c r="M249"/>
    </row>
    <row r="250" spans="9:13" x14ac:dyDescent="0.25">
      <c r="I250" s="1"/>
      <c r="K250"/>
      <c r="L250"/>
      <c r="M250"/>
    </row>
    <row r="251" spans="9:13" x14ac:dyDescent="0.25">
      <c r="I251" s="1"/>
      <c r="K251"/>
      <c r="L251"/>
      <c r="M251"/>
    </row>
    <row r="252" spans="9:13" x14ac:dyDescent="0.25">
      <c r="I252" s="1"/>
      <c r="K252"/>
      <c r="L252"/>
      <c r="M252"/>
    </row>
    <row r="253" spans="9:13" x14ac:dyDescent="0.25">
      <c r="I253" s="1"/>
      <c r="K253"/>
      <c r="L253"/>
      <c r="M253"/>
    </row>
    <row r="254" spans="9:13" x14ac:dyDescent="0.25">
      <c r="I254" s="1"/>
      <c r="K254"/>
      <c r="L254"/>
      <c r="M254"/>
    </row>
    <row r="255" spans="9:13" x14ac:dyDescent="0.25">
      <c r="I255" s="1"/>
      <c r="K255"/>
      <c r="L255"/>
      <c r="M255"/>
    </row>
    <row r="256" spans="9:13" x14ac:dyDescent="0.25">
      <c r="I256" s="1"/>
      <c r="K256"/>
      <c r="L256"/>
      <c r="M256"/>
    </row>
    <row r="257" spans="9:19" x14ac:dyDescent="0.25">
      <c r="I257" s="1"/>
      <c r="K257"/>
      <c r="L257"/>
      <c r="M257"/>
    </row>
    <row r="258" spans="9:19" x14ac:dyDescent="0.25">
      <c r="I258" s="1"/>
      <c r="K258"/>
      <c r="L258"/>
      <c r="M258"/>
    </row>
    <row r="259" spans="9:19" x14ac:dyDescent="0.25">
      <c r="I259" s="1"/>
      <c r="K259"/>
      <c r="L259"/>
      <c r="M259"/>
    </row>
    <row r="260" spans="9:19" x14ac:dyDescent="0.25">
      <c r="I260" s="1"/>
      <c r="K260"/>
      <c r="L260"/>
      <c r="M260"/>
    </row>
    <row r="261" spans="9:19" x14ac:dyDescent="0.25">
      <c r="I261" s="1"/>
      <c r="M261" s="46"/>
    </row>
    <row r="262" spans="9:19" x14ac:dyDescent="0.25">
      <c r="I262" s="1"/>
      <c r="J262" s="71"/>
      <c r="M262" s="46"/>
      <c r="R262" s="51"/>
      <c r="S262" s="51"/>
    </row>
    <row r="263" spans="9:19" x14ac:dyDescent="0.25">
      <c r="I263" s="1"/>
      <c r="J263" s="71"/>
      <c r="M263" s="46"/>
      <c r="R263" s="51"/>
      <c r="S263" s="51"/>
    </row>
    <row r="264" spans="9:19" x14ac:dyDescent="0.25">
      <c r="I264" s="1"/>
      <c r="J264" s="71"/>
      <c r="M264" s="46"/>
      <c r="R264" s="51"/>
      <c r="S264" s="51"/>
    </row>
    <row r="265" spans="9:19" x14ac:dyDescent="0.25">
      <c r="I265" s="1"/>
      <c r="J265" s="71"/>
      <c r="M265" s="46"/>
      <c r="R265" s="51"/>
      <c r="S265" s="51"/>
    </row>
    <row r="266" spans="9:19" x14ac:dyDescent="0.25">
      <c r="I266" s="1"/>
      <c r="J266" s="71"/>
      <c r="M266" s="46"/>
      <c r="R266" s="51"/>
      <c r="S266" s="51"/>
    </row>
    <row r="267" spans="9:19" x14ac:dyDescent="0.25">
      <c r="I267" s="1"/>
      <c r="J267" s="71"/>
      <c r="M267" s="46"/>
      <c r="R267" s="51"/>
      <c r="S267" s="51"/>
    </row>
    <row r="268" spans="9:19" x14ac:dyDescent="0.25">
      <c r="I268" s="1"/>
      <c r="J268" s="71"/>
      <c r="M268" s="46"/>
      <c r="R268" s="51"/>
      <c r="S268" s="51"/>
    </row>
    <row r="269" spans="9:19" x14ac:dyDescent="0.25">
      <c r="I269" s="1"/>
      <c r="J269" s="71"/>
      <c r="M269" s="46"/>
      <c r="R269" s="51"/>
      <c r="S269" s="51"/>
    </row>
    <row r="270" spans="9:19" x14ac:dyDescent="0.25">
      <c r="I270" s="1"/>
      <c r="J270" s="71"/>
      <c r="M270" s="46"/>
      <c r="R270" s="51"/>
      <c r="S270" s="51"/>
    </row>
    <row r="271" spans="9:19" x14ac:dyDescent="0.25">
      <c r="I271" s="1"/>
      <c r="J271" s="71"/>
      <c r="M271" s="46"/>
      <c r="R271" s="51"/>
      <c r="S271" s="51"/>
    </row>
    <row r="272" spans="9:19" x14ac:dyDescent="0.25">
      <c r="I272" s="1"/>
      <c r="J272" s="71"/>
      <c r="M272" s="46"/>
      <c r="R272" s="51"/>
      <c r="S272" s="51"/>
    </row>
    <row r="273" spans="9:19" x14ac:dyDescent="0.25">
      <c r="I273" s="1"/>
      <c r="J273" s="71"/>
      <c r="M273" s="46"/>
      <c r="R273" s="51"/>
      <c r="S273" s="51"/>
    </row>
    <row r="274" spans="9:19" x14ac:dyDescent="0.25">
      <c r="I274" s="1"/>
      <c r="J274" s="71"/>
      <c r="M274" s="46"/>
      <c r="R274" s="51"/>
      <c r="S274" s="51"/>
    </row>
    <row r="275" spans="9:19" x14ac:dyDescent="0.25">
      <c r="I275" s="1"/>
      <c r="J275" s="71"/>
      <c r="M275" s="46"/>
      <c r="R275" s="51"/>
      <c r="S275" s="51"/>
    </row>
    <row r="276" spans="9:19" x14ac:dyDescent="0.25">
      <c r="I276" s="1"/>
      <c r="J276" s="71"/>
      <c r="M276" s="46"/>
      <c r="R276" s="51"/>
      <c r="S276" s="51"/>
    </row>
    <row r="277" spans="9:19" x14ac:dyDescent="0.25">
      <c r="I277" s="1"/>
      <c r="J277" s="71"/>
      <c r="M277" s="46"/>
      <c r="R277" s="51"/>
      <c r="S277" s="51"/>
    </row>
    <row r="278" spans="9:19" x14ac:dyDescent="0.25">
      <c r="I278" s="1"/>
      <c r="J278" s="71"/>
      <c r="M278" s="46"/>
      <c r="R278" s="51"/>
      <c r="S278" s="51"/>
    </row>
    <row r="279" spans="9:19" x14ac:dyDescent="0.25">
      <c r="I279" s="1"/>
      <c r="J279" s="71"/>
      <c r="M279" s="46"/>
      <c r="R279" s="51"/>
      <c r="S279" s="51"/>
    </row>
    <row r="280" spans="9:19" x14ac:dyDescent="0.25">
      <c r="I280" s="1"/>
      <c r="J280" s="71"/>
      <c r="M280" s="46"/>
      <c r="R280" s="51"/>
      <c r="S280" s="51"/>
    </row>
    <row r="281" spans="9:19" x14ac:dyDescent="0.25">
      <c r="I281" s="1"/>
      <c r="J281" s="71"/>
      <c r="M281" s="46"/>
      <c r="R281" s="51"/>
      <c r="S281" s="51"/>
    </row>
    <row r="282" spans="9:19" x14ac:dyDescent="0.25">
      <c r="I282" s="1"/>
      <c r="J282" s="71"/>
      <c r="M282" s="46"/>
      <c r="R282" s="51"/>
      <c r="S282" s="51"/>
    </row>
    <row r="283" spans="9:19" x14ac:dyDescent="0.25">
      <c r="I283" s="1"/>
      <c r="J283" s="71"/>
      <c r="M283" s="46"/>
      <c r="R283" s="51"/>
      <c r="S283" s="51"/>
    </row>
    <row r="284" spans="9:19" x14ac:dyDescent="0.25">
      <c r="I284" s="1"/>
      <c r="J284" s="71"/>
      <c r="M284" s="46"/>
      <c r="R284" s="51"/>
      <c r="S284" s="51"/>
    </row>
    <row r="285" spans="9:19" x14ac:dyDescent="0.25">
      <c r="I285" s="1"/>
      <c r="J285" s="71"/>
      <c r="M285" s="46"/>
      <c r="R285" s="51"/>
      <c r="S285" s="51"/>
    </row>
    <row r="286" spans="9:19" x14ac:dyDescent="0.25">
      <c r="I286" s="1"/>
      <c r="J286" s="71"/>
      <c r="M286" s="46"/>
      <c r="R286" s="51"/>
      <c r="S286" s="51"/>
    </row>
    <row r="287" spans="9:19" x14ac:dyDescent="0.25">
      <c r="I287" s="1"/>
      <c r="J287" s="71"/>
      <c r="M287" s="46"/>
      <c r="R287" s="51"/>
      <c r="S287" s="51"/>
    </row>
    <row r="288" spans="9:19" x14ac:dyDescent="0.25">
      <c r="I288" s="1"/>
      <c r="J288" s="71"/>
      <c r="M288" s="46"/>
      <c r="R288" s="51"/>
      <c r="S288" s="51"/>
    </row>
    <row r="289" spans="9:19" x14ac:dyDescent="0.25">
      <c r="I289" s="1"/>
      <c r="J289" s="71"/>
      <c r="M289" s="46"/>
      <c r="R289" s="51"/>
      <c r="S289" s="51"/>
    </row>
    <row r="290" spans="9:19" x14ac:dyDescent="0.25">
      <c r="I290" s="1"/>
      <c r="J290" s="71"/>
      <c r="M290" s="46"/>
      <c r="R290" s="51"/>
      <c r="S290" s="51"/>
    </row>
    <row r="291" spans="9:19" x14ac:dyDescent="0.25">
      <c r="I291" s="1"/>
      <c r="J291" s="71"/>
      <c r="M291" s="46"/>
      <c r="R291" s="51"/>
      <c r="S291" s="51"/>
    </row>
    <row r="292" spans="9:19" x14ac:dyDescent="0.25">
      <c r="I292" s="1"/>
      <c r="J292" s="71"/>
      <c r="M292" s="46"/>
      <c r="R292" s="51"/>
      <c r="S292" s="51"/>
    </row>
    <row r="293" spans="9:19" x14ac:dyDescent="0.25">
      <c r="I293" s="1"/>
      <c r="J293" s="71"/>
      <c r="M293" s="46"/>
      <c r="R293" s="51"/>
      <c r="S293" s="51"/>
    </row>
    <row r="294" spans="9:19" x14ac:dyDescent="0.25">
      <c r="I294" s="1"/>
      <c r="J294" s="71"/>
      <c r="M294" s="46"/>
      <c r="R294" s="51"/>
      <c r="S294" s="51"/>
    </row>
    <row r="295" spans="9:19" x14ac:dyDescent="0.25">
      <c r="I295" s="1"/>
      <c r="J295" s="71"/>
      <c r="M295" s="46"/>
      <c r="R295" s="51"/>
      <c r="S295" s="51"/>
    </row>
    <row r="296" spans="9:19" x14ac:dyDescent="0.25">
      <c r="I296" s="1"/>
      <c r="J296" s="71"/>
      <c r="M296" s="46"/>
      <c r="R296" s="51"/>
      <c r="S296" s="51"/>
    </row>
    <row r="297" spans="9:19" x14ac:dyDescent="0.25">
      <c r="I297" s="1"/>
      <c r="J297" s="71"/>
      <c r="M297" s="46"/>
      <c r="R297" s="51"/>
      <c r="S297" s="51"/>
    </row>
    <row r="298" spans="9:19" x14ac:dyDescent="0.25">
      <c r="I298" s="1"/>
      <c r="J298" s="71"/>
      <c r="M298" s="46"/>
      <c r="R298" s="51"/>
      <c r="S298" s="51"/>
    </row>
    <row r="299" spans="9:19" x14ac:dyDescent="0.25">
      <c r="I299" s="1"/>
      <c r="J299" s="71"/>
      <c r="M299" s="46"/>
      <c r="R299" s="51"/>
      <c r="S299" s="51"/>
    </row>
    <row r="300" spans="9:19" x14ac:dyDescent="0.25">
      <c r="I300" s="1"/>
      <c r="J300" s="71"/>
      <c r="M300" s="46"/>
      <c r="R300" s="51"/>
      <c r="S300" s="51"/>
    </row>
    <row r="301" spans="9:19" x14ac:dyDescent="0.25">
      <c r="I301" s="1"/>
      <c r="J301" s="71"/>
      <c r="M301" s="46"/>
      <c r="R301" s="51"/>
      <c r="S301" s="51"/>
    </row>
    <row r="302" spans="9:19" x14ac:dyDescent="0.25">
      <c r="I302" s="1"/>
      <c r="J302" s="71"/>
      <c r="M302" s="46"/>
      <c r="R302" s="51"/>
      <c r="S302" s="51"/>
    </row>
    <row r="303" spans="9:19" x14ac:dyDescent="0.25">
      <c r="I303" s="1"/>
      <c r="J303" s="71"/>
      <c r="M303" s="46"/>
      <c r="R303" s="51"/>
      <c r="S303" s="51"/>
    </row>
    <row r="304" spans="9:19" x14ac:dyDescent="0.25">
      <c r="I304" s="1"/>
      <c r="J304" s="71"/>
      <c r="M304" s="46"/>
      <c r="R304" s="51"/>
      <c r="S304" s="51"/>
    </row>
    <row r="305" spans="9:19" x14ac:dyDescent="0.25">
      <c r="I305" s="1"/>
      <c r="J305" s="71"/>
      <c r="M305" s="46"/>
      <c r="R305" s="51"/>
      <c r="S305" s="51"/>
    </row>
    <row r="306" spans="9:19" x14ac:dyDescent="0.25">
      <c r="I306" s="1"/>
      <c r="J306" s="71"/>
      <c r="M306" s="46"/>
      <c r="R306" s="51"/>
      <c r="S306" s="51"/>
    </row>
    <row r="307" spans="9:19" x14ac:dyDescent="0.25">
      <c r="I307" s="1"/>
      <c r="J307" s="71"/>
      <c r="M307" s="46"/>
      <c r="R307" s="51"/>
      <c r="S307" s="51"/>
    </row>
    <row r="308" spans="9:19" x14ac:dyDescent="0.25">
      <c r="I308" s="1"/>
      <c r="J308" s="71"/>
      <c r="M308" s="46"/>
      <c r="R308" s="51"/>
      <c r="S308" s="51"/>
    </row>
    <row r="309" spans="9:19" x14ac:dyDescent="0.25">
      <c r="I309" s="1"/>
      <c r="J309" s="71"/>
      <c r="M309" s="46"/>
      <c r="R309" s="51"/>
      <c r="S309" s="51"/>
    </row>
    <row r="310" spans="9:19" x14ac:dyDescent="0.25">
      <c r="I310" s="1"/>
      <c r="J310" s="71"/>
      <c r="M310" s="46"/>
      <c r="R310" s="51"/>
      <c r="S310" s="51"/>
    </row>
    <row r="311" spans="9:19" x14ac:dyDescent="0.25">
      <c r="I311" s="1"/>
      <c r="J311" s="71"/>
      <c r="M311" s="46"/>
      <c r="R311" s="51"/>
      <c r="S311" s="51"/>
    </row>
    <row r="312" spans="9:19" x14ac:dyDescent="0.25">
      <c r="I312" s="1"/>
      <c r="J312" s="71"/>
      <c r="M312" s="46"/>
      <c r="R312" s="51"/>
      <c r="S312" s="51"/>
    </row>
    <row r="313" spans="9:19" x14ac:dyDescent="0.25">
      <c r="I313" s="1"/>
      <c r="J313" s="71"/>
      <c r="M313" s="46"/>
      <c r="R313" s="51"/>
      <c r="S313" s="51"/>
    </row>
    <row r="314" spans="9:19" x14ac:dyDescent="0.25">
      <c r="I314" s="1"/>
      <c r="J314" s="71"/>
      <c r="M314" s="46"/>
      <c r="R314" s="51"/>
      <c r="S314" s="51"/>
    </row>
    <row r="315" spans="9:19" x14ac:dyDescent="0.25">
      <c r="I315" s="1"/>
      <c r="J315" s="71"/>
      <c r="M315" s="46"/>
      <c r="R315" s="51"/>
      <c r="S315" s="51"/>
    </row>
    <row r="316" spans="9:19" x14ac:dyDescent="0.25">
      <c r="I316" s="1"/>
      <c r="J316" s="71"/>
      <c r="M316" s="46"/>
      <c r="R316" s="51"/>
      <c r="S316" s="51"/>
    </row>
    <row r="317" spans="9:19" x14ac:dyDescent="0.25">
      <c r="I317" s="1"/>
      <c r="J317" s="71"/>
      <c r="M317" s="46"/>
      <c r="R317" s="51"/>
      <c r="S317" s="51"/>
    </row>
    <row r="318" spans="9:19" x14ac:dyDescent="0.25">
      <c r="I318" s="1"/>
      <c r="J318" s="71"/>
      <c r="M318" s="46"/>
      <c r="R318" s="51"/>
      <c r="S318" s="51"/>
    </row>
    <row r="319" spans="9:19" x14ac:dyDescent="0.25">
      <c r="I319" s="1"/>
      <c r="J319" s="71"/>
      <c r="M319" s="46"/>
      <c r="R319" s="51"/>
      <c r="S319" s="51"/>
    </row>
    <row r="320" spans="9:19" x14ac:dyDescent="0.25">
      <c r="I320" s="1"/>
      <c r="J320" s="71"/>
      <c r="M320" s="46"/>
      <c r="R320" s="51"/>
      <c r="S320" s="51"/>
    </row>
    <row r="321" spans="9:19" x14ac:dyDescent="0.25">
      <c r="I321" s="1"/>
      <c r="J321" s="71"/>
      <c r="M321" s="46"/>
      <c r="R321" s="51"/>
      <c r="S321" s="51"/>
    </row>
    <row r="322" spans="9:19" x14ac:dyDescent="0.25">
      <c r="I322" s="1"/>
      <c r="J322" s="71"/>
      <c r="M322" s="46"/>
      <c r="R322" s="51"/>
      <c r="S322" s="51"/>
    </row>
    <row r="323" spans="9:19" x14ac:dyDescent="0.25">
      <c r="I323" s="1"/>
      <c r="J323" s="71"/>
      <c r="M323" s="46"/>
      <c r="R323" s="51"/>
      <c r="S323" s="51"/>
    </row>
    <row r="324" spans="9:19" x14ac:dyDescent="0.25">
      <c r="I324" s="1"/>
      <c r="J324" s="71"/>
      <c r="M324" s="46"/>
      <c r="R324" s="51"/>
      <c r="S324" s="51"/>
    </row>
    <row r="325" spans="9:19" x14ac:dyDescent="0.25">
      <c r="I325" s="1"/>
      <c r="J325" s="71"/>
      <c r="M325" s="46"/>
      <c r="R325" s="51"/>
      <c r="S325" s="51"/>
    </row>
    <row r="326" spans="9:19" x14ac:dyDescent="0.25">
      <c r="I326" s="1"/>
      <c r="J326" s="71"/>
      <c r="M326" s="46"/>
      <c r="R326" s="51"/>
      <c r="S326" s="51"/>
    </row>
    <row r="327" spans="9:19" x14ac:dyDescent="0.25">
      <c r="I327" s="1"/>
      <c r="J327" s="71"/>
      <c r="M327" s="46"/>
      <c r="R327" s="51"/>
      <c r="S327" s="51"/>
    </row>
    <row r="328" spans="9:19" x14ac:dyDescent="0.25">
      <c r="I328" s="1"/>
      <c r="J328" s="71"/>
      <c r="M328" s="46"/>
      <c r="R328" s="51"/>
      <c r="S328" s="51"/>
    </row>
    <row r="329" spans="9:19" x14ac:dyDescent="0.25">
      <c r="I329" s="1"/>
      <c r="J329" s="71"/>
      <c r="M329" s="46"/>
      <c r="R329" s="51"/>
      <c r="S329" s="51"/>
    </row>
    <row r="330" spans="9:19" x14ac:dyDescent="0.25">
      <c r="I330" s="1"/>
      <c r="J330" s="71"/>
      <c r="M330" s="46"/>
      <c r="R330" s="51"/>
      <c r="S330" s="51"/>
    </row>
    <row r="331" spans="9:19" x14ac:dyDescent="0.25">
      <c r="I331" s="1"/>
      <c r="J331" s="71"/>
      <c r="M331" s="46"/>
      <c r="R331" s="51"/>
      <c r="S331" s="51"/>
    </row>
    <row r="332" spans="9:19" x14ac:dyDescent="0.25">
      <c r="I332" s="1"/>
      <c r="J332" s="71"/>
      <c r="M332" s="46"/>
      <c r="R332" s="51"/>
      <c r="S332" s="51"/>
    </row>
    <row r="333" spans="9:19" x14ac:dyDescent="0.25">
      <c r="I333" s="1"/>
      <c r="J333" s="71"/>
      <c r="M333" s="46"/>
      <c r="R333" s="51"/>
      <c r="S333" s="51"/>
    </row>
    <row r="334" spans="9:19" x14ac:dyDescent="0.25">
      <c r="I334" s="1"/>
      <c r="J334" s="71"/>
      <c r="M334" s="46"/>
      <c r="R334" s="51"/>
      <c r="S334" s="51"/>
    </row>
    <row r="335" spans="9:19" x14ac:dyDescent="0.25">
      <c r="I335" s="1"/>
      <c r="J335" s="71"/>
      <c r="M335" s="46"/>
      <c r="R335" s="51"/>
      <c r="S335" s="51"/>
    </row>
    <row r="336" spans="9:19" x14ac:dyDescent="0.25">
      <c r="I336" s="1"/>
      <c r="J336" s="71"/>
      <c r="M336" s="46"/>
      <c r="R336" s="51"/>
      <c r="S336" s="51"/>
    </row>
    <row r="337" spans="9:19" x14ac:dyDescent="0.25">
      <c r="I337" s="1"/>
      <c r="J337" s="71"/>
      <c r="M337" s="46"/>
      <c r="R337" s="51"/>
      <c r="S337" s="51"/>
    </row>
    <row r="338" spans="9:19" x14ac:dyDescent="0.25">
      <c r="I338" s="1"/>
      <c r="J338" s="71"/>
      <c r="M338" s="46"/>
      <c r="R338" s="51"/>
      <c r="S338" s="51"/>
    </row>
    <row r="339" spans="9:19" x14ac:dyDescent="0.25">
      <c r="I339" s="1"/>
      <c r="J339" s="71"/>
      <c r="M339" s="46"/>
      <c r="R339" s="51"/>
      <c r="S339" s="51"/>
    </row>
    <row r="340" spans="9:19" x14ac:dyDescent="0.25">
      <c r="I340" s="1"/>
      <c r="J340" s="71"/>
      <c r="M340" s="46"/>
      <c r="R340" s="51"/>
      <c r="S340" s="51"/>
    </row>
    <row r="341" spans="9:19" x14ac:dyDescent="0.25">
      <c r="I341" s="1"/>
      <c r="J341" s="71"/>
      <c r="M341" s="46"/>
      <c r="R341" s="51"/>
      <c r="S341" s="51"/>
    </row>
    <row r="342" spans="9:19" x14ac:dyDescent="0.25">
      <c r="I342" s="1"/>
      <c r="J342" s="71"/>
      <c r="M342" s="46"/>
      <c r="R342" s="51"/>
      <c r="S342" s="51"/>
    </row>
    <row r="343" spans="9:19" x14ac:dyDescent="0.25">
      <c r="I343" s="1"/>
      <c r="J343" s="71"/>
      <c r="M343" s="46"/>
      <c r="R343" s="51"/>
      <c r="S343" s="51"/>
    </row>
    <row r="344" spans="9:19" x14ac:dyDescent="0.25">
      <c r="I344" s="1"/>
      <c r="J344" s="71"/>
      <c r="M344" s="46"/>
      <c r="R344" s="51"/>
      <c r="S344" s="51"/>
    </row>
    <row r="345" spans="9:19" x14ac:dyDescent="0.25">
      <c r="I345" s="1"/>
      <c r="J345" s="71"/>
      <c r="M345" s="46"/>
      <c r="R345" s="51"/>
      <c r="S345" s="51"/>
    </row>
    <row r="346" spans="9:19" x14ac:dyDescent="0.25">
      <c r="I346" s="1"/>
      <c r="J346" s="71"/>
      <c r="M346" s="46"/>
      <c r="R346" s="51"/>
      <c r="S346" s="51"/>
    </row>
    <row r="347" spans="9:19" x14ac:dyDescent="0.25">
      <c r="I347" s="1"/>
      <c r="J347" s="71"/>
      <c r="M347" s="46"/>
      <c r="R347" s="51"/>
      <c r="S347" s="51"/>
    </row>
    <row r="348" spans="9:19" x14ac:dyDescent="0.25">
      <c r="I348" s="1"/>
      <c r="J348" s="71"/>
      <c r="M348" s="46"/>
      <c r="R348" s="51"/>
      <c r="S348" s="51"/>
    </row>
    <row r="349" spans="9:19" x14ac:dyDescent="0.25">
      <c r="I349" s="1"/>
      <c r="J349" s="71"/>
      <c r="M349" s="46"/>
      <c r="R349" s="51"/>
      <c r="S349" s="51"/>
    </row>
    <row r="350" spans="9:19" x14ac:dyDescent="0.25">
      <c r="I350" s="1"/>
      <c r="J350" s="71"/>
      <c r="M350" s="46"/>
      <c r="R350" s="51"/>
      <c r="S350" s="51"/>
    </row>
    <row r="351" spans="9:19" x14ac:dyDescent="0.25">
      <c r="I351" s="1"/>
      <c r="J351" s="71"/>
      <c r="M351" s="46"/>
      <c r="R351" s="51"/>
      <c r="S351" s="51"/>
    </row>
    <row r="352" spans="9:19" x14ac:dyDescent="0.25">
      <c r="I352" s="1"/>
      <c r="J352" s="71"/>
      <c r="M352" s="46"/>
      <c r="R352" s="51"/>
      <c r="S352" s="51"/>
    </row>
    <row r="353" spans="9:19" x14ac:dyDescent="0.25">
      <c r="I353" s="1"/>
      <c r="J353" s="71"/>
      <c r="M353" s="46"/>
      <c r="R353" s="51"/>
      <c r="S353" s="51"/>
    </row>
    <row r="354" spans="9:19" x14ac:dyDescent="0.25">
      <c r="I354" s="1"/>
      <c r="J354" s="71"/>
      <c r="M354" s="46"/>
      <c r="R354" s="51"/>
      <c r="S354" s="51"/>
    </row>
    <row r="355" spans="9:19" x14ac:dyDescent="0.25">
      <c r="I355" s="1"/>
      <c r="J355" s="71"/>
      <c r="M355" s="46"/>
      <c r="R355" s="51"/>
      <c r="S355" s="51"/>
    </row>
    <row r="356" spans="9:19" x14ac:dyDescent="0.25">
      <c r="I356" s="1"/>
      <c r="J356" s="71"/>
      <c r="M356" s="46"/>
      <c r="R356" s="51"/>
      <c r="S356" s="51"/>
    </row>
    <row r="357" spans="9:19" x14ac:dyDescent="0.25">
      <c r="I357" s="1"/>
      <c r="J357" s="71"/>
      <c r="M357" s="46"/>
      <c r="R357" s="51"/>
      <c r="S357" s="51"/>
    </row>
    <row r="358" spans="9:19" x14ac:dyDescent="0.25">
      <c r="I358" s="1"/>
      <c r="J358" s="71"/>
      <c r="M358" s="46"/>
      <c r="R358" s="51"/>
      <c r="S358" s="51"/>
    </row>
    <row r="359" spans="9:19" x14ac:dyDescent="0.25">
      <c r="I359" s="1"/>
      <c r="J359" s="71"/>
      <c r="M359" s="46"/>
      <c r="R359" s="51"/>
      <c r="S359" s="51"/>
    </row>
    <row r="360" spans="9:19" x14ac:dyDescent="0.25">
      <c r="I360" s="1"/>
      <c r="J360" s="71"/>
      <c r="M360" s="46"/>
      <c r="R360" s="51"/>
      <c r="S360" s="51"/>
    </row>
    <row r="361" spans="9:19" x14ac:dyDescent="0.25">
      <c r="I361" s="1"/>
      <c r="J361" s="71"/>
      <c r="M361" s="46"/>
      <c r="R361" s="51"/>
      <c r="S361" s="51"/>
    </row>
    <row r="362" spans="9:19" x14ac:dyDescent="0.25">
      <c r="I362" s="1"/>
      <c r="J362" s="71"/>
      <c r="M362" s="46"/>
      <c r="R362" s="51"/>
      <c r="S362" s="51"/>
    </row>
    <row r="363" spans="9:19" x14ac:dyDescent="0.25">
      <c r="I363" s="1"/>
      <c r="J363" s="71"/>
      <c r="M363" s="46"/>
      <c r="R363" s="51"/>
      <c r="S363" s="51"/>
    </row>
    <row r="364" spans="9:19" x14ac:dyDescent="0.25">
      <c r="I364" s="1"/>
      <c r="J364" s="71"/>
      <c r="M364" s="46"/>
      <c r="R364" s="51"/>
      <c r="S364" s="51"/>
    </row>
    <row r="365" spans="9:19" x14ac:dyDescent="0.25">
      <c r="I365" s="1"/>
      <c r="J365" s="71"/>
      <c r="M365" s="46"/>
      <c r="R365" s="51"/>
      <c r="S365" s="51"/>
    </row>
    <row r="366" spans="9:19" x14ac:dyDescent="0.25">
      <c r="I366" s="1"/>
      <c r="J366" s="71"/>
      <c r="M366" s="46"/>
      <c r="R366" s="51"/>
      <c r="S366" s="51"/>
    </row>
    <row r="367" spans="9:19" x14ac:dyDescent="0.25">
      <c r="I367" s="1"/>
      <c r="J367" s="71"/>
      <c r="M367" s="46"/>
      <c r="R367" s="51"/>
      <c r="S367" s="51"/>
    </row>
    <row r="368" spans="9:19" x14ac:dyDescent="0.25">
      <c r="I368" s="1"/>
      <c r="J368" s="71"/>
      <c r="M368" s="46"/>
      <c r="R368" s="51"/>
      <c r="S368" s="51"/>
    </row>
    <row r="369" spans="9:19" x14ac:dyDescent="0.25">
      <c r="I369" s="1"/>
      <c r="J369" s="71"/>
      <c r="M369" s="46"/>
      <c r="R369" s="51"/>
      <c r="S369" s="51"/>
    </row>
    <row r="370" spans="9:19" x14ac:dyDescent="0.25">
      <c r="I370" s="1"/>
      <c r="J370" s="71"/>
      <c r="M370" s="46"/>
      <c r="R370" s="51"/>
      <c r="S370" s="51"/>
    </row>
    <row r="371" spans="9:19" x14ac:dyDescent="0.25">
      <c r="I371" s="1"/>
      <c r="J371" s="71"/>
      <c r="M371" s="46"/>
      <c r="R371" s="51"/>
      <c r="S371" s="51"/>
    </row>
    <row r="372" spans="9:19" x14ac:dyDescent="0.25">
      <c r="I372" s="1"/>
      <c r="J372" s="71"/>
      <c r="M372" s="46"/>
      <c r="R372" s="51"/>
      <c r="S372" s="51"/>
    </row>
    <row r="373" spans="9:19" x14ac:dyDescent="0.25">
      <c r="I373" s="1"/>
      <c r="J373" s="71"/>
      <c r="M373" s="46"/>
      <c r="R373" s="51"/>
      <c r="S373" s="51"/>
    </row>
    <row r="374" spans="9:19" x14ac:dyDescent="0.25">
      <c r="I374" s="1"/>
      <c r="J374" s="71"/>
      <c r="M374" s="46"/>
      <c r="R374" s="51"/>
      <c r="S374" s="51"/>
    </row>
    <row r="375" spans="9:19" x14ac:dyDescent="0.25">
      <c r="I375" s="1"/>
      <c r="J375" s="71"/>
      <c r="M375" s="46"/>
      <c r="R375" s="51"/>
      <c r="S375" s="51"/>
    </row>
    <row r="376" spans="9:19" x14ac:dyDescent="0.25">
      <c r="I376" s="1"/>
      <c r="J376" s="71"/>
      <c r="M376" s="46"/>
      <c r="R376" s="51"/>
      <c r="S376" s="51"/>
    </row>
    <row r="377" spans="9:19" x14ac:dyDescent="0.25">
      <c r="I377" s="1"/>
      <c r="J377" s="71"/>
      <c r="M377" s="46"/>
      <c r="R377" s="51"/>
      <c r="S377" s="51"/>
    </row>
    <row r="378" spans="9:19" x14ac:dyDescent="0.25">
      <c r="I378" s="1"/>
      <c r="J378" s="71"/>
      <c r="M378" s="46"/>
      <c r="R378" s="51"/>
      <c r="S378" s="51"/>
    </row>
    <row r="379" spans="9:19" x14ac:dyDescent="0.25">
      <c r="I379" s="1"/>
      <c r="J379" s="71"/>
      <c r="M379" s="46"/>
      <c r="R379" s="51"/>
      <c r="S379" s="51"/>
    </row>
    <row r="380" spans="9:19" x14ac:dyDescent="0.25">
      <c r="I380" s="1"/>
      <c r="J380" s="71"/>
      <c r="M380" s="46"/>
      <c r="R380" s="51"/>
      <c r="S380" s="51"/>
    </row>
    <row r="381" spans="9:19" x14ac:dyDescent="0.25">
      <c r="I381" s="1"/>
      <c r="J381" s="71"/>
      <c r="M381" s="46"/>
      <c r="R381" s="51"/>
      <c r="S381" s="51"/>
    </row>
    <row r="382" spans="9:19" x14ac:dyDescent="0.25">
      <c r="I382" s="1"/>
      <c r="J382" s="71"/>
      <c r="M382" s="46"/>
      <c r="R382" s="51"/>
      <c r="S382" s="51"/>
    </row>
    <row r="383" spans="9:19" x14ac:dyDescent="0.25">
      <c r="I383" s="1"/>
      <c r="J383" s="71"/>
      <c r="M383" s="46"/>
      <c r="R383" s="51"/>
      <c r="S383" s="51"/>
    </row>
    <row r="384" spans="9:19" x14ac:dyDescent="0.25">
      <c r="I384" s="1"/>
      <c r="J384" s="71"/>
      <c r="M384" s="46"/>
      <c r="R384" s="51"/>
      <c r="S384" s="51"/>
    </row>
    <row r="385" spans="9:19" x14ac:dyDescent="0.25">
      <c r="I385" s="1"/>
      <c r="J385" s="71"/>
      <c r="M385" s="46"/>
      <c r="R385" s="51"/>
      <c r="S385" s="51"/>
    </row>
    <row r="386" spans="9:19" x14ac:dyDescent="0.25">
      <c r="I386" s="1"/>
      <c r="J386" s="71"/>
      <c r="M386" s="46"/>
      <c r="R386" s="51"/>
      <c r="S386" s="51"/>
    </row>
    <row r="387" spans="9:19" x14ac:dyDescent="0.25">
      <c r="I387" s="1"/>
      <c r="J387" s="71"/>
      <c r="M387" s="46"/>
      <c r="R387" s="51"/>
      <c r="S387" s="51"/>
    </row>
    <row r="388" spans="9:19" x14ac:dyDescent="0.25">
      <c r="I388" s="1"/>
      <c r="J388" s="71"/>
      <c r="M388" s="46"/>
      <c r="R388" s="51"/>
      <c r="S388" s="51"/>
    </row>
    <row r="389" spans="9:19" x14ac:dyDescent="0.25">
      <c r="I389" s="1"/>
      <c r="J389" s="71"/>
      <c r="M389" s="46"/>
      <c r="R389" s="51"/>
      <c r="S389" s="51"/>
    </row>
    <row r="390" spans="9:19" x14ac:dyDescent="0.25">
      <c r="I390" s="1"/>
      <c r="J390" s="71"/>
      <c r="M390" s="46"/>
      <c r="R390" s="51"/>
      <c r="S390" s="51"/>
    </row>
    <row r="391" spans="9:19" x14ac:dyDescent="0.25">
      <c r="I391" s="1"/>
      <c r="J391" s="71"/>
      <c r="M391" s="46"/>
      <c r="R391" s="51"/>
      <c r="S391" s="51"/>
    </row>
    <row r="392" spans="9:19" x14ac:dyDescent="0.25">
      <c r="I392" s="1"/>
      <c r="J392" s="71"/>
      <c r="M392" s="46"/>
      <c r="R392" s="51"/>
      <c r="S392" s="51"/>
    </row>
    <row r="393" spans="9:19" x14ac:dyDescent="0.25">
      <c r="I393" s="1"/>
      <c r="J393" s="71"/>
      <c r="M393" s="46"/>
      <c r="R393" s="51"/>
      <c r="S393" s="51"/>
    </row>
    <row r="394" spans="9:19" x14ac:dyDescent="0.25">
      <c r="I394" s="1"/>
      <c r="J394" s="71"/>
      <c r="M394" s="46"/>
      <c r="R394" s="51"/>
      <c r="S394" s="51"/>
    </row>
    <row r="395" spans="9:19" x14ac:dyDescent="0.25">
      <c r="I395" s="1"/>
      <c r="J395" s="71"/>
      <c r="M395" s="46"/>
      <c r="R395" s="51"/>
      <c r="S395" s="51"/>
    </row>
    <row r="396" spans="9:19" x14ac:dyDescent="0.25">
      <c r="I396" s="1"/>
      <c r="J396" s="71"/>
      <c r="M396" s="46"/>
      <c r="R396" s="51"/>
      <c r="S396" s="51"/>
    </row>
    <row r="397" spans="9:19" x14ac:dyDescent="0.25">
      <c r="I397" s="1"/>
      <c r="J397" s="71"/>
      <c r="M397" s="46"/>
      <c r="R397" s="51"/>
      <c r="S397" s="51"/>
    </row>
    <row r="398" spans="9:19" x14ac:dyDescent="0.25">
      <c r="I398" s="1"/>
      <c r="J398" s="71"/>
      <c r="M398" s="46"/>
      <c r="R398" s="51"/>
      <c r="S398" s="51"/>
    </row>
    <row r="399" spans="9:19" x14ac:dyDescent="0.25">
      <c r="I399" s="1"/>
      <c r="J399" s="71"/>
      <c r="M399" s="46"/>
      <c r="R399" s="51"/>
      <c r="S399" s="51"/>
    </row>
    <row r="400" spans="9:19" x14ac:dyDescent="0.25">
      <c r="I400" s="1"/>
      <c r="J400" s="71"/>
      <c r="M400" s="46"/>
      <c r="R400" s="51"/>
      <c r="S400" s="51"/>
    </row>
    <row r="401" spans="9:19" x14ac:dyDescent="0.25">
      <c r="I401" s="1"/>
      <c r="J401" s="71"/>
      <c r="M401" s="46"/>
      <c r="R401" s="51"/>
      <c r="S401" s="51"/>
    </row>
    <row r="402" spans="9:19" x14ac:dyDescent="0.25">
      <c r="I402" s="1"/>
      <c r="J402" s="71"/>
      <c r="M402" s="46"/>
      <c r="R402" s="51"/>
      <c r="S402" s="51"/>
    </row>
    <row r="403" spans="9:19" x14ac:dyDescent="0.25">
      <c r="I403" s="1"/>
      <c r="J403" s="71"/>
      <c r="M403" s="46"/>
      <c r="R403" s="51"/>
      <c r="S403" s="51"/>
    </row>
    <row r="404" spans="9:19" x14ac:dyDescent="0.25">
      <c r="I404" s="1"/>
      <c r="J404" s="71"/>
      <c r="M404" s="46"/>
      <c r="R404" s="51"/>
      <c r="S404" s="51"/>
    </row>
    <row r="405" spans="9:19" x14ac:dyDescent="0.25">
      <c r="I405" s="1"/>
      <c r="J405" s="71"/>
      <c r="M405" s="46"/>
      <c r="R405" s="51"/>
      <c r="S405" s="51"/>
    </row>
    <row r="406" spans="9:19" x14ac:dyDescent="0.25">
      <c r="I406" s="1"/>
      <c r="J406" s="71"/>
      <c r="M406" s="46"/>
      <c r="R406" s="51"/>
      <c r="S406" s="51"/>
    </row>
    <row r="407" spans="9:19" x14ac:dyDescent="0.25">
      <c r="I407" s="1"/>
      <c r="J407" s="71"/>
      <c r="M407" s="46"/>
      <c r="R407" s="51"/>
      <c r="S407" s="51"/>
    </row>
    <row r="408" spans="9:19" x14ac:dyDescent="0.25">
      <c r="I408" s="1"/>
      <c r="J408" s="71"/>
      <c r="M408" s="46"/>
      <c r="R408" s="51"/>
      <c r="S408" s="51"/>
    </row>
    <row r="409" spans="9:19" x14ac:dyDescent="0.25">
      <c r="I409" s="1"/>
      <c r="J409" s="71"/>
      <c r="M409" s="46"/>
      <c r="R409" s="51"/>
      <c r="S409" s="51"/>
    </row>
    <row r="410" spans="9:19" x14ac:dyDescent="0.25">
      <c r="I410" s="1"/>
      <c r="J410" s="71"/>
      <c r="M410" s="46"/>
      <c r="R410" s="51"/>
      <c r="S410" s="51"/>
    </row>
    <row r="411" spans="9:19" x14ac:dyDescent="0.25">
      <c r="I411" s="1"/>
      <c r="J411" s="71"/>
      <c r="M411" s="46"/>
      <c r="R411" s="51"/>
      <c r="S411" s="51"/>
    </row>
    <row r="412" spans="9:19" x14ac:dyDescent="0.25">
      <c r="I412" s="1"/>
      <c r="J412" s="71"/>
      <c r="M412" s="46"/>
      <c r="R412" s="51"/>
      <c r="S412" s="51"/>
    </row>
    <row r="413" spans="9:19" x14ac:dyDescent="0.25">
      <c r="I413" s="1"/>
      <c r="J413" s="71"/>
      <c r="M413" s="46"/>
      <c r="R413" s="51"/>
      <c r="S413" s="51"/>
    </row>
    <row r="414" spans="9:19" x14ac:dyDescent="0.25">
      <c r="I414" s="1"/>
      <c r="J414" s="71"/>
      <c r="M414" s="46"/>
      <c r="R414" s="51"/>
      <c r="S414" s="51"/>
    </row>
    <row r="415" spans="9:19" x14ac:dyDescent="0.25">
      <c r="I415" s="1"/>
      <c r="J415" s="71"/>
      <c r="M415" s="46"/>
      <c r="R415" s="51"/>
      <c r="S415" s="51"/>
    </row>
    <row r="416" spans="9:19" x14ac:dyDescent="0.25">
      <c r="I416" s="1"/>
      <c r="J416" s="71"/>
      <c r="M416" s="46"/>
      <c r="R416" s="51"/>
      <c r="S416" s="51"/>
    </row>
    <row r="417" spans="9:19" x14ac:dyDescent="0.25">
      <c r="I417" s="1"/>
      <c r="J417" s="71"/>
      <c r="M417" s="46"/>
      <c r="R417" s="51"/>
      <c r="S417" s="51"/>
    </row>
    <row r="418" spans="9:19" x14ac:dyDescent="0.25">
      <c r="I418" s="1"/>
      <c r="J418" s="71"/>
      <c r="M418" s="46"/>
      <c r="R418" s="51"/>
      <c r="S418" s="51"/>
    </row>
    <row r="419" spans="9:19" x14ac:dyDescent="0.25">
      <c r="I419" s="1"/>
      <c r="J419" s="71"/>
      <c r="M419" s="46"/>
      <c r="R419" s="51"/>
      <c r="S419" s="51"/>
    </row>
    <row r="420" spans="9:19" x14ac:dyDescent="0.25">
      <c r="I420" s="1"/>
      <c r="J420" s="71"/>
      <c r="M420" s="46"/>
      <c r="R420" s="51"/>
      <c r="S420" s="51"/>
    </row>
    <row r="421" spans="9:19" x14ac:dyDescent="0.25">
      <c r="I421" s="1"/>
      <c r="J421" s="71"/>
      <c r="M421" s="46"/>
      <c r="R421" s="51"/>
      <c r="S421" s="51"/>
    </row>
    <row r="422" spans="9:19" x14ac:dyDescent="0.25">
      <c r="I422" s="1"/>
      <c r="J422" s="71"/>
      <c r="M422" s="46"/>
      <c r="R422" s="51"/>
      <c r="S422" s="51"/>
    </row>
    <row r="423" spans="9:19" x14ac:dyDescent="0.25">
      <c r="I423" s="1"/>
      <c r="J423" s="71"/>
      <c r="M423" s="46"/>
      <c r="R423" s="51"/>
      <c r="S423" s="51"/>
    </row>
    <row r="424" spans="9:19" x14ac:dyDescent="0.25">
      <c r="I424" s="1"/>
      <c r="J424" s="71"/>
      <c r="M424" s="46"/>
      <c r="R424" s="51"/>
      <c r="S424" s="51"/>
    </row>
    <row r="425" spans="9:19" x14ac:dyDescent="0.25">
      <c r="I425" s="1"/>
      <c r="J425" s="71"/>
      <c r="M425" s="46"/>
      <c r="R425" s="51"/>
      <c r="S425" s="51"/>
    </row>
    <row r="426" spans="9:19" x14ac:dyDescent="0.25">
      <c r="I426" s="1"/>
      <c r="J426" s="71"/>
      <c r="M426" s="46"/>
      <c r="R426" s="51"/>
      <c r="S426" s="51"/>
    </row>
    <row r="427" spans="9:19" x14ac:dyDescent="0.25">
      <c r="I427" s="1"/>
      <c r="J427" s="71"/>
      <c r="M427" s="46"/>
      <c r="R427" s="51"/>
      <c r="S427" s="51"/>
    </row>
    <row r="428" spans="9:19" x14ac:dyDescent="0.25">
      <c r="I428" s="1"/>
      <c r="J428" s="71"/>
      <c r="M428" s="46"/>
      <c r="R428" s="51"/>
      <c r="S428" s="51"/>
    </row>
    <row r="429" spans="9:19" x14ac:dyDescent="0.25">
      <c r="I429" s="1"/>
      <c r="J429" s="71"/>
      <c r="M429" s="46"/>
      <c r="R429" s="51"/>
      <c r="S429" s="51"/>
    </row>
    <row r="430" spans="9:19" x14ac:dyDescent="0.25">
      <c r="I430" s="1"/>
      <c r="J430" s="71"/>
      <c r="M430" s="46"/>
      <c r="R430" s="51"/>
      <c r="S430" s="51"/>
    </row>
    <row r="431" spans="9:19" x14ac:dyDescent="0.25">
      <c r="I431" s="1"/>
      <c r="J431" s="71"/>
      <c r="M431" s="46"/>
      <c r="R431" s="51"/>
      <c r="S431" s="51"/>
    </row>
    <row r="432" spans="9:19" x14ac:dyDescent="0.25">
      <c r="I432" s="1"/>
      <c r="J432" s="71"/>
      <c r="M432" s="46"/>
      <c r="R432" s="51"/>
      <c r="S432" s="51"/>
    </row>
    <row r="433" spans="9:19" x14ac:dyDescent="0.25">
      <c r="I433" s="1"/>
      <c r="J433" s="71"/>
      <c r="M433" s="46"/>
      <c r="R433" s="51"/>
      <c r="S433" s="51"/>
    </row>
    <row r="434" spans="9:19" x14ac:dyDescent="0.25">
      <c r="I434" s="1"/>
      <c r="J434" s="71"/>
      <c r="M434" s="46"/>
      <c r="R434" s="51"/>
      <c r="S434" s="51"/>
    </row>
    <row r="435" spans="9:19" x14ac:dyDescent="0.25">
      <c r="I435" s="1"/>
      <c r="J435" s="71"/>
      <c r="M435" s="46"/>
      <c r="R435" s="51"/>
      <c r="S435" s="51"/>
    </row>
    <row r="436" spans="9:19" x14ac:dyDescent="0.25">
      <c r="I436" s="1"/>
      <c r="J436" s="71"/>
      <c r="M436" s="46"/>
      <c r="R436" s="51"/>
      <c r="S436" s="51"/>
    </row>
    <row r="437" spans="9:19" x14ac:dyDescent="0.25">
      <c r="I437" s="1"/>
      <c r="J437" s="71"/>
      <c r="M437" s="46"/>
      <c r="R437" s="51"/>
      <c r="S437" s="51"/>
    </row>
    <row r="438" spans="9:19" x14ac:dyDescent="0.25">
      <c r="I438" s="1"/>
      <c r="J438" s="71"/>
      <c r="M438" s="46"/>
      <c r="R438" s="51"/>
      <c r="S438" s="51"/>
    </row>
    <row r="439" spans="9:19" x14ac:dyDescent="0.25">
      <c r="I439" s="1"/>
      <c r="J439" s="71"/>
      <c r="M439" s="46"/>
      <c r="R439" s="51"/>
      <c r="S439" s="51"/>
    </row>
    <row r="440" spans="9:19" x14ac:dyDescent="0.25">
      <c r="I440" s="1"/>
      <c r="J440" s="71"/>
      <c r="M440" s="46"/>
      <c r="R440" s="51"/>
      <c r="S440" s="51"/>
    </row>
    <row r="441" spans="9:19" x14ac:dyDescent="0.25">
      <c r="I441" s="1"/>
      <c r="J441" s="71"/>
      <c r="M441" s="46"/>
      <c r="R441" s="51"/>
      <c r="S441" s="51"/>
    </row>
    <row r="442" spans="9:19" x14ac:dyDescent="0.25">
      <c r="I442" s="1"/>
      <c r="J442" s="71"/>
      <c r="M442" s="46"/>
      <c r="R442" s="51"/>
      <c r="S442" s="51"/>
    </row>
    <row r="443" spans="9:19" x14ac:dyDescent="0.25">
      <c r="I443" s="1"/>
      <c r="J443" s="71"/>
      <c r="M443" s="46"/>
      <c r="R443" s="51"/>
      <c r="S443" s="51"/>
    </row>
    <row r="444" spans="9:19" x14ac:dyDescent="0.25">
      <c r="I444" s="1"/>
      <c r="J444" s="71"/>
      <c r="M444" s="46"/>
      <c r="R444" s="51"/>
      <c r="S444" s="51"/>
    </row>
    <row r="445" spans="9:19" x14ac:dyDescent="0.25">
      <c r="I445" s="1"/>
      <c r="J445" s="71"/>
      <c r="M445" s="46"/>
      <c r="R445" s="51"/>
      <c r="S445" s="51"/>
    </row>
    <row r="446" spans="9:19" x14ac:dyDescent="0.25">
      <c r="I446" s="1"/>
      <c r="J446" s="71"/>
      <c r="M446" s="46"/>
      <c r="R446" s="51"/>
      <c r="S446" s="51"/>
    </row>
    <row r="447" spans="9:19" x14ac:dyDescent="0.25">
      <c r="I447" s="1"/>
      <c r="J447" s="71"/>
      <c r="M447" s="46"/>
      <c r="R447" s="51"/>
      <c r="S447" s="51"/>
    </row>
    <row r="448" spans="9:19" x14ac:dyDescent="0.25">
      <c r="I448" s="1"/>
      <c r="J448" s="71"/>
      <c r="M448" s="46"/>
      <c r="R448" s="51"/>
      <c r="S448" s="51"/>
    </row>
    <row r="449" spans="9:19" x14ac:dyDescent="0.25">
      <c r="I449" s="1"/>
      <c r="J449" s="71"/>
      <c r="M449" s="46"/>
      <c r="R449" s="51"/>
      <c r="S449" s="51"/>
    </row>
    <row r="450" spans="9:19" x14ac:dyDescent="0.25">
      <c r="I450" s="1"/>
      <c r="J450" s="71"/>
      <c r="M450" s="46"/>
      <c r="R450" s="51"/>
      <c r="S450" s="51"/>
    </row>
    <row r="451" spans="9:19" x14ac:dyDescent="0.25">
      <c r="I451" s="1"/>
      <c r="J451" s="71"/>
      <c r="M451" s="46"/>
      <c r="R451" s="51"/>
      <c r="S451" s="51"/>
    </row>
    <row r="452" spans="9:19" x14ac:dyDescent="0.25">
      <c r="I452" s="1"/>
      <c r="J452" s="71"/>
      <c r="M452" s="46"/>
      <c r="R452" s="51"/>
      <c r="S452" s="51"/>
    </row>
    <row r="453" spans="9:19" x14ac:dyDescent="0.25">
      <c r="I453" s="1"/>
      <c r="J453" s="71"/>
      <c r="M453" s="46"/>
      <c r="R453" s="51"/>
      <c r="S453" s="51"/>
    </row>
    <row r="454" spans="9:19" x14ac:dyDescent="0.25">
      <c r="I454" s="1"/>
      <c r="J454" s="71"/>
      <c r="M454" s="46"/>
      <c r="R454" s="51"/>
      <c r="S454" s="51"/>
    </row>
    <row r="455" spans="9:19" x14ac:dyDescent="0.25">
      <c r="I455" s="1"/>
      <c r="J455" s="71"/>
      <c r="M455" s="46"/>
      <c r="R455" s="51"/>
      <c r="S455" s="51"/>
    </row>
    <row r="456" spans="9:19" x14ac:dyDescent="0.25">
      <c r="I456" s="1"/>
      <c r="J456" s="71"/>
      <c r="M456" s="46"/>
      <c r="R456" s="51"/>
      <c r="S456" s="51"/>
    </row>
    <row r="457" spans="9:19" x14ac:dyDescent="0.25">
      <c r="I457" s="1"/>
      <c r="J457" s="71"/>
      <c r="M457" s="46"/>
      <c r="R457" s="51"/>
      <c r="S457" s="51"/>
    </row>
    <row r="458" spans="9:19" x14ac:dyDescent="0.25">
      <c r="I458" s="1"/>
      <c r="J458" s="71"/>
      <c r="M458" s="46"/>
      <c r="R458" s="51"/>
      <c r="S458" s="51"/>
    </row>
    <row r="459" spans="9:19" x14ac:dyDescent="0.25">
      <c r="I459" s="1"/>
      <c r="J459" s="71"/>
      <c r="M459" s="46"/>
      <c r="R459" s="51"/>
      <c r="S459" s="51"/>
    </row>
    <row r="460" spans="9:19" x14ac:dyDescent="0.25">
      <c r="I460" s="1"/>
      <c r="J460" s="71"/>
      <c r="M460" s="46"/>
      <c r="R460" s="51"/>
      <c r="S460" s="51"/>
    </row>
    <row r="461" spans="9:19" x14ac:dyDescent="0.25">
      <c r="I461" s="1"/>
      <c r="J461" s="71"/>
      <c r="M461" s="46"/>
      <c r="R461" s="51"/>
      <c r="S461" s="51"/>
    </row>
    <row r="462" spans="9:19" x14ac:dyDescent="0.25">
      <c r="I462" s="1"/>
      <c r="J462" s="71"/>
      <c r="M462" s="46"/>
      <c r="R462" s="51"/>
      <c r="S462" s="51"/>
    </row>
    <row r="463" spans="9:19" x14ac:dyDescent="0.25">
      <c r="I463" s="1"/>
      <c r="J463" s="71"/>
      <c r="M463" s="46"/>
      <c r="R463" s="51"/>
      <c r="S463" s="51"/>
    </row>
    <row r="464" spans="9:19" x14ac:dyDescent="0.25">
      <c r="I464" s="1"/>
      <c r="J464" s="71"/>
      <c r="M464" s="46"/>
      <c r="R464" s="51"/>
      <c r="S464" s="51"/>
    </row>
    <row r="465" spans="9:19" x14ac:dyDescent="0.25">
      <c r="I465" s="1"/>
      <c r="J465" s="71"/>
      <c r="M465" s="46"/>
      <c r="R465" s="51"/>
      <c r="S465" s="51"/>
    </row>
    <row r="466" spans="9:19" x14ac:dyDescent="0.25">
      <c r="I466" s="1"/>
      <c r="J466" s="71"/>
      <c r="M466" s="46"/>
      <c r="R466" s="51"/>
      <c r="S466" s="51"/>
    </row>
    <row r="467" spans="9:19" x14ac:dyDescent="0.25">
      <c r="I467" s="1"/>
      <c r="J467" s="71"/>
      <c r="M467" s="46"/>
      <c r="R467" s="51"/>
      <c r="S467" s="51"/>
    </row>
    <row r="468" spans="9:19" x14ac:dyDescent="0.25">
      <c r="I468" s="1"/>
      <c r="J468" s="71"/>
      <c r="M468" s="46"/>
      <c r="R468" s="51"/>
      <c r="S468" s="51"/>
    </row>
    <row r="469" spans="9:19" x14ac:dyDescent="0.25">
      <c r="I469" s="1"/>
      <c r="J469" s="71"/>
      <c r="M469" s="46"/>
      <c r="R469" s="51"/>
      <c r="S469" s="51"/>
    </row>
    <row r="470" spans="9:19" x14ac:dyDescent="0.25">
      <c r="I470" s="1"/>
      <c r="J470" s="71"/>
      <c r="M470" s="46"/>
      <c r="R470" s="51"/>
      <c r="S470" s="51"/>
    </row>
    <row r="471" spans="9:19" x14ac:dyDescent="0.25">
      <c r="I471" s="1"/>
      <c r="J471" s="71"/>
      <c r="M471" s="46"/>
      <c r="R471" s="51"/>
      <c r="S471" s="51"/>
    </row>
    <row r="472" spans="9:19" x14ac:dyDescent="0.25">
      <c r="I472" s="1"/>
      <c r="J472" s="71"/>
      <c r="M472" s="46"/>
      <c r="R472" s="51"/>
      <c r="S472" s="51"/>
    </row>
    <row r="473" spans="9:19" x14ac:dyDescent="0.25">
      <c r="I473" s="1"/>
      <c r="J473" s="71"/>
      <c r="M473" s="46"/>
      <c r="R473" s="51"/>
      <c r="S473" s="51"/>
    </row>
    <row r="474" spans="9:19" x14ac:dyDescent="0.25">
      <c r="I474" s="1"/>
      <c r="J474" s="71"/>
      <c r="M474" s="46"/>
      <c r="R474" s="51"/>
      <c r="S474" s="51"/>
    </row>
    <row r="475" spans="9:19" x14ac:dyDescent="0.25">
      <c r="I475" s="1"/>
      <c r="J475" s="71"/>
      <c r="M475" s="46"/>
      <c r="R475" s="51"/>
      <c r="S475" s="51"/>
    </row>
    <row r="476" spans="9:19" x14ac:dyDescent="0.25">
      <c r="I476" s="1"/>
      <c r="J476" s="71"/>
      <c r="M476" s="46"/>
      <c r="R476" s="51"/>
      <c r="S476" s="51"/>
    </row>
    <row r="477" spans="9:19" x14ac:dyDescent="0.25">
      <c r="I477" s="1"/>
      <c r="J477" s="71"/>
      <c r="M477" s="46"/>
      <c r="R477" s="51"/>
      <c r="S477" s="51"/>
    </row>
    <row r="478" spans="9:19" x14ac:dyDescent="0.25">
      <c r="I478" s="1"/>
      <c r="J478" s="71"/>
      <c r="M478" s="46"/>
      <c r="R478" s="51"/>
      <c r="S478" s="51"/>
    </row>
    <row r="479" spans="9:19" x14ac:dyDescent="0.25">
      <c r="I479" s="1"/>
      <c r="J479" s="71"/>
      <c r="M479" s="46"/>
      <c r="R479" s="51"/>
      <c r="S479" s="51"/>
    </row>
    <row r="480" spans="9:19" x14ac:dyDescent="0.25">
      <c r="I480" s="1"/>
      <c r="J480" s="71"/>
      <c r="M480" s="46"/>
      <c r="R480" s="51"/>
      <c r="S480" s="51"/>
    </row>
    <row r="481" spans="9:19" x14ac:dyDescent="0.25">
      <c r="I481" s="1"/>
      <c r="J481" s="71"/>
      <c r="M481" s="46"/>
      <c r="R481" s="51"/>
      <c r="S481" s="51"/>
    </row>
    <row r="482" spans="9:19" x14ac:dyDescent="0.25">
      <c r="I482" s="1"/>
      <c r="J482" s="71"/>
      <c r="M482" s="46"/>
      <c r="R482" s="51"/>
      <c r="S482" s="51"/>
    </row>
    <row r="483" spans="9:19" x14ac:dyDescent="0.25">
      <c r="I483" s="1"/>
      <c r="J483" s="71"/>
      <c r="M483" s="46"/>
      <c r="R483" s="51"/>
      <c r="S483" s="51"/>
    </row>
    <row r="484" spans="9:19" x14ac:dyDescent="0.25">
      <c r="I484" s="1"/>
      <c r="J484" s="71"/>
      <c r="M484" s="46"/>
      <c r="R484" s="51"/>
      <c r="S484" s="51"/>
    </row>
    <row r="485" spans="9:19" x14ac:dyDescent="0.25">
      <c r="I485" s="1"/>
      <c r="J485" s="71"/>
      <c r="M485" s="46"/>
      <c r="R485" s="51"/>
      <c r="S485" s="51"/>
    </row>
    <row r="486" spans="9:19" x14ac:dyDescent="0.25">
      <c r="I486" s="1"/>
      <c r="J486" s="71"/>
      <c r="M486" s="46"/>
      <c r="R486" s="51"/>
      <c r="S486" s="51"/>
    </row>
    <row r="487" spans="9:19" x14ac:dyDescent="0.25">
      <c r="I487" s="1"/>
      <c r="J487" s="71"/>
      <c r="M487" s="46"/>
      <c r="R487" s="51"/>
      <c r="S487" s="51"/>
    </row>
    <row r="488" spans="9:19" x14ac:dyDescent="0.25">
      <c r="I488" s="1"/>
      <c r="J488" s="71"/>
      <c r="M488" s="46"/>
      <c r="R488" s="51"/>
      <c r="S488" s="51"/>
    </row>
    <row r="489" spans="9:19" x14ac:dyDescent="0.25">
      <c r="I489" s="1"/>
      <c r="J489" s="71"/>
      <c r="M489" s="46"/>
      <c r="R489" s="51"/>
      <c r="S489" s="51"/>
    </row>
    <row r="490" spans="9:19" x14ac:dyDescent="0.25">
      <c r="I490" s="1"/>
      <c r="J490" s="71"/>
      <c r="M490" s="46"/>
      <c r="R490" s="51"/>
      <c r="S490" s="51"/>
    </row>
    <row r="491" spans="9:19" x14ac:dyDescent="0.25">
      <c r="I491" s="1"/>
      <c r="J491" s="71"/>
      <c r="M491" s="46"/>
      <c r="R491" s="51"/>
      <c r="S491" s="51"/>
    </row>
    <row r="492" spans="9:19" x14ac:dyDescent="0.25">
      <c r="I492" s="1"/>
      <c r="J492" s="71"/>
      <c r="M492" s="46"/>
      <c r="R492" s="51"/>
      <c r="S492" s="51"/>
    </row>
    <row r="493" spans="9:19" x14ac:dyDescent="0.25">
      <c r="I493" s="1"/>
      <c r="J493" s="71"/>
      <c r="M493" s="46"/>
      <c r="R493" s="51"/>
      <c r="S493" s="51"/>
    </row>
    <row r="494" spans="9:19" x14ac:dyDescent="0.25">
      <c r="I494" s="1"/>
      <c r="J494" s="71"/>
      <c r="M494" s="46"/>
      <c r="R494" s="51"/>
      <c r="S494" s="51"/>
    </row>
    <row r="495" spans="9:19" x14ac:dyDescent="0.25">
      <c r="I495" s="1"/>
      <c r="J495" s="71"/>
      <c r="M495" s="46"/>
      <c r="R495" s="51"/>
      <c r="S495" s="51"/>
    </row>
    <row r="496" spans="9:19" x14ac:dyDescent="0.25">
      <c r="I496" s="1"/>
      <c r="J496" s="71"/>
      <c r="M496" s="46"/>
      <c r="R496" s="51"/>
      <c r="S496" s="51"/>
    </row>
    <row r="497" spans="9:19" x14ac:dyDescent="0.25">
      <c r="I497" s="1"/>
      <c r="J497" s="71"/>
      <c r="M497" s="46"/>
      <c r="R497" s="51"/>
      <c r="S497" s="51"/>
    </row>
    <row r="498" spans="9:19" x14ac:dyDescent="0.25">
      <c r="I498" s="1"/>
      <c r="J498" s="71"/>
      <c r="M498" s="46"/>
      <c r="R498" s="51"/>
      <c r="S498" s="51"/>
    </row>
    <row r="499" spans="9:19" x14ac:dyDescent="0.25">
      <c r="I499" s="1"/>
      <c r="J499" s="71"/>
      <c r="M499" s="46"/>
      <c r="R499" s="51"/>
      <c r="S499" s="51"/>
    </row>
    <row r="500" spans="9:19" x14ac:dyDescent="0.25">
      <c r="I500" s="1"/>
      <c r="J500" s="71"/>
      <c r="M500" s="46"/>
      <c r="R500" s="51"/>
      <c r="S500" s="51"/>
    </row>
    <row r="501" spans="9:19" x14ac:dyDescent="0.25">
      <c r="I501" s="1"/>
      <c r="J501" s="71"/>
      <c r="M501" s="46"/>
      <c r="R501" s="51"/>
      <c r="S501" s="51"/>
    </row>
    <row r="502" spans="9:19" x14ac:dyDescent="0.25">
      <c r="I502" s="1"/>
      <c r="J502" s="71"/>
      <c r="M502" s="46"/>
      <c r="R502" s="51"/>
      <c r="S502" s="51"/>
    </row>
    <row r="503" spans="9:19" x14ac:dyDescent="0.25">
      <c r="I503" s="1"/>
      <c r="J503" s="71"/>
      <c r="M503" s="46"/>
      <c r="R503" s="51"/>
      <c r="S503" s="51"/>
    </row>
    <row r="504" spans="9:19" x14ac:dyDescent="0.25">
      <c r="I504" s="1"/>
      <c r="J504" s="71"/>
      <c r="M504" s="46"/>
      <c r="R504" s="51"/>
      <c r="S504" s="51"/>
    </row>
    <row r="505" spans="9:19" x14ac:dyDescent="0.25">
      <c r="I505" s="1"/>
      <c r="J505" s="71"/>
      <c r="M505" s="46"/>
      <c r="R505" s="51"/>
      <c r="S505" s="51"/>
    </row>
    <row r="506" spans="9:19" x14ac:dyDescent="0.25">
      <c r="I506" s="1"/>
      <c r="J506" s="71"/>
      <c r="M506" s="46"/>
      <c r="R506" s="51"/>
      <c r="S506" s="51"/>
    </row>
    <row r="507" spans="9:19" x14ac:dyDescent="0.25">
      <c r="I507" s="1"/>
      <c r="J507" s="71"/>
      <c r="M507" s="46"/>
      <c r="R507" s="51"/>
      <c r="S507" s="51"/>
    </row>
    <row r="508" spans="9:19" x14ac:dyDescent="0.25">
      <c r="I508" s="1"/>
      <c r="J508" s="71"/>
      <c r="M508" s="46"/>
      <c r="R508" s="51"/>
      <c r="S508" s="51"/>
    </row>
    <row r="509" spans="9:19" x14ac:dyDescent="0.25">
      <c r="I509" s="1"/>
      <c r="J509" s="71"/>
      <c r="M509" s="46"/>
      <c r="R509" s="51"/>
      <c r="S509" s="51"/>
    </row>
    <row r="510" spans="9:19" x14ac:dyDescent="0.25">
      <c r="I510" s="1"/>
      <c r="J510" s="71"/>
      <c r="M510" s="46"/>
      <c r="R510" s="51"/>
      <c r="S510" s="51"/>
    </row>
    <row r="511" spans="9:19" x14ac:dyDescent="0.25">
      <c r="I511" s="1"/>
      <c r="J511" s="71"/>
      <c r="M511" s="46"/>
      <c r="R511" s="51"/>
      <c r="S511" s="51"/>
    </row>
    <row r="512" spans="9:19" x14ac:dyDescent="0.25">
      <c r="I512" s="1"/>
      <c r="J512" s="71"/>
      <c r="M512" s="46"/>
      <c r="R512" s="51"/>
      <c r="S512" s="51"/>
    </row>
    <row r="513" spans="9:19" x14ac:dyDescent="0.25">
      <c r="I513" s="1"/>
      <c r="J513" s="71"/>
      <c r="M513" s="46"/>
      <c r="R513" s="51"/>
      <c r="S513" s="51"/>
    </row>
    <row r="514" spans="9:19" x14ac:dyDescent="0.25">
      <c r="I514" s="1"/>
      <c r="J514" s="71"/>
      <c r="M514" s="46"/>
      <c r="R514" s="51"/>
      <c r="S514" s="51"/>
    </row>
    <row r="515" spans="9:19" x14ac:dyDescent="0.25">
      <c r="I515" s="1"/>
      <c r="J515" s="71"/>
      <c r="M515" s="46"/>
      <c r="R515" s="51"/>
      <c r="S515" s="51"/>
    </row>
    <row r="516" spans="9:19" x14ac:dyDescent="0.25">
      <c r="I516" s="1"/>
      <c r="J516" s="71"/>
      <c r="M516" s="46"/>
      <c r="R516" s="51"/>
      <c r="S516" s="51"/>
    </row>
    <row r="517" spans="9:19" x14ac:dyDescent="0.25">
      <c r="I517" s="1"/>
      <c r="J517" s="71"/>
      <c r="M517" s="46"/>
      <c r="R517" s="51"/>
      <c r="S517" s="51"/>
    </row>
    <row r="518" spans="9:19" x14ac:dyDescent="0.25">
      <c r="I518" s="1"/>
      <c r="J518" s="71"/>
      <c r="M518" s="46"/>
      <c r="R518" s="51"/>
      <c r="S518" s="51"/>
    </row>
    <row r="519" spans="9:19" x14ac:dyDescent="0.25">
      <c r="I519" s="1"/>
      <c r="J519" s="71"/>
      <c r="M519" s="46"/>
      <c r="R519" s="51"/>
      <c r="S519" s="51"/>
    </row>
    <row r="520" spans="9:19" x14ac:dyDescent="0.25">
      <c r="I520" s="1"/>
      <c r="J520" s="71"/>
      <c r="M520" s="46"/>
      <c r="R520" s="51"/>
      <c r="S520" s="51"/>
    </row>
    <row r="521" spans="9:19" x14ac:dyDescent="0.25">
      <c r="I521" s="1"/>
      <c r="J521" s="71"/>
      <c r="M521" s="46"/>
      <c r="R521" s="51"/>
      <c r="S521" s="51"/>
    </row>
    <row r="522" spans="9:19" x14ac:dyDescent="0.25">
      <c r="I522" s="1"/>
      <c r="J522" s="71"/>
      <c r="M522" s="46"/>
      <c r="R522" s="51"/>
      <c r="S522" s="51"/>
    </row>
    <row r="523" spans="9:19" x14ac:dyDescent="0.25">
      <c r="I523" s="1"/>
      <c r="J523" s="71"/>
      <c r="M523" s="46"/>
      <c r="R523" s="51"/>
      <c r="S523" s="51"/>
    </row>
    <row r="524" spans="9:19" x14ac:dyDescent="0.25">
      <c r="I524" s="1"/>
      <c r="J524" s="71"/>
      <c r="M524" s="46"/>
      <c r="R524" s="51"/>
      <c r="S524" s="51"/>
    </row>
    <row r="525" spans="9:19" x14ac:dyDescent="0.25">
      <c r="I525" s="1"/>
      <c r="J525" s="71"/>
      <c r="M525" s="46"/>
      <c r="R525" s="51"/>
      <c r="S525" s="51"/>
    </row>
    <row r="526" spans="9:19" x14ac:dyDescent="0.25">
      <c r="I526" s="1"/>
      <c r="J526" s="71"/>
      <c r="M526" s="46"/>
      <c r="R526" s="51"/>
      <c r="S526" s="51"/>
    </row>
    <row r="527" spans="9:19" x14ac:dyDescent="0.25">
      <c r="I527" s="1"/>
      <c r="J527" s="71"/>
      <c r="M527" s="46"/>
      <c r="R527" s="51"/>
      <c r="S527" s="51"/>
    </row>
    <row r="528" spans="9:19" x14ac:dyDescent="0.25">
      <c r="I528" s="1"/>
      <c r="J528" s="71"/>
      <c r="M528" s="46"/>
      <c r="R528" s="51"/>
      <c r="S528" s="51"/>
    </row>
    <row r="529" spans="9:19" x14ac:dyDescent="0.25">
      <c r="I529" s="1"/>
      <c r="J529" s="71"/>
      <c r="M529" s="46"/>
      <c r="R529" s="51"/>
      <c r="S529" s="51"/>
    </row>
    <row r="530" spans="9:19" x14ac:dyDescent="0.25">
      <c r="I530" s="1"/>
      <c r="J530" s="71"/>
      <c r="M530" s="46"/>
      <c r="R530" s="51"/>
      <c r="S530" s="51"/>
    </row>
    <row r="531" spans="9:19" x14ac:dyDescent="0.25">
      <c r="I531" s="1"/>
      <c r="J531" s="71"/>
      <c r="M531" s="46"/>
      <c r="R531" s="51"/>
      <c r="S531" s="51"/>
    </row>
    <row r="532" spans="9:19" x14ac:dyDescent="0.25">
      <c r="I532" s="1"/>
      <c r="J532" s="71"/>
      <c r="M532" s="46"/>
      <c r="R532" s="51"/>
      <c r="S532" s="51"/>
    </row>
    <row r="533" spans="9:19" x14ac:dyDescent="0.25">
      <c r="I533" s="1"/>
      <c r="J533" s="71"/>
      <c r="M533" s="46"/>
      <c r="R533" s="51"/>
      <c r="S533" s="51"/>
    </row>
    <row r="534" spans="9:19" x14ac:dyDescent="0.25">
      <c r="I534" s="1"/>
      <c r="J534" s="71"/>
      <c r="M534" s="46"/>
      <c r="R534" s="51"/>
      <c r="S534" s="51"/>
    </row>
    <row r="535" spans="9:19" x14ac:dyDescent="0.25">
      <c r="I535" s="1"/>
      <c r="J535" s="71"/>
      <c r="M535" s="46"/>
      <c r="R535" s="51"/>
      <c r="S535" s="51"/>
    </row>
    <row r="536" spans="9:19" x14ac:dyDescent="0.25">
      <c r="I536" s="1"/>
      <c r="J536" s="71"/>
      <c r="M536" s="46"/>
      <c r="R536" s="51"/>
      <c r="S536" s="51"/>
    </row>
    <row r="537" spans="9:19" x14ac:dyDescent="0.25">
      <c r="I537" s="1"/>
      <c r="J537" s="71"/>
      <c r="M537" s="46"/>
      <c r="R537" s="51"/>
      <c r="S537" s="51"/>
    </row>
    <row r="538" spans="9:19" x14ac:dyDescent="0.25">
      <c r="I538" s="1"/>
      <c r="J538" s="71"/>
      <c r="M538" s="46"/>
      <c r="R538" s="51"/>
      <c r="S538" s="51"/>
    </row>
    <row r="539" spans="9:19" x14ac:dyDescent="0.25">
      <c r="I539" s="1"/>
      <c r="J539" s="71"/>
      <c r="M539" s="46"/>
      <c r="R539" s="51"/>
      <c r="S539" s="51"/>
    </row>
    <row r="540" spans="9:19" x14ac:dyDescent="0.25">
      <c r="I540" s="1"/>
      <c r="J540" s="71"/>
      <c r="M540" s="46"/>
      <c r="R540" s="51"/>
      <c r="S540" s="51"/>
    </row>
    <row r="541" spans="9:19" x14ac:dyDescent="0.25">
      <c r="I541" s="1"/>
      <c r="J541" s="71"/>
      <c r="M541" s="46"/>
      <c r="R541" s="51"/>
      <c r="S541" s="51"/>
    </row>
    <row r="542" spans="9:19" x14ac:dyDescent="0.25">
      <c r="I542" s="1"/>
      <c r="J542" s="71"/>
      <c r="M542" s="46"/>
      <c r="R542" s="51"/>
      <c r="S542" s="51"/>
    </row>
    <row r="543" spans="9:19" x14ac:dyDescent="0.25">
      <c r="I543" s="1"/>
      <c r="J543" s="71"/>
      <c r="M543" s="46"/>
      <c r="R543" s="51"/>
      <c r="S543" s="51"/>
    </row>
    <row r="544" spans="9:19" x14ac:dyDescent="0.25">
      <c r="I544" s="1"/>
      <c r="J544" s="71"/>
      <c r="M544" s="46"/>
      <c r="R544" s="51"/>
      <c r="S544" s="51"/>
    </row>
    <row r="545" spans="9:19" x14ac:dyDescent="0.25">
      <c r="I545" s="1"/>
      <c r="J545" s="71"/>
      <c r="M545" s="46"/>
      <c r="R545" s="51"/>
      <c r="S545" s="51"/>
    </row>
    <row r="546" spans="9:19" x14ac:dyDescent="0.25">
      <c r="I546" s="1"/>
      <c r="J546" s="71"/>
      <c r="M546" s="46"/>
      <c r="R546" s="51"/>
      <c r="S546" s="51"/>
    </row>
    <row r="547" spans="9:19" x14ac:dyDescent="0.25">
      <c r="I547" s="1"/>
      <c r="J547" s="71"/>
      <c r="M547" s="46"/>
      <c r="R547" s="51"/>
      <c r="S547" s="51"/>
    </row>
    <row r="548" spans="9:19" x14ac:dyDescent="0.25">
      <c r="I548" s="1"/>
      <c r="J548" s="71"/>
      <c r="M548" s="46"/>
      <c r="R548" s="51"/>
      <c r="S548" s="51"/>
    </row>
    <row r="549" spans="9:19" x14ac:dyDescent="0.25">
      <c r="I549" s="1"/>
      <c r="J549" s="71"/>
      <c r="M549" s="46"/>
      <c r="R549" s="51"/>
      <c r="S549" s="51"/>
    </row>
    <row r="550" spans="9:19" x14ac:dyDescent="0.25">
      <c r="I550" s="1"/>
      <c r="J550" s="71"/>
      <c r="M550" s="46"/>
      <c r="R550" s="51"/>
      <c r="S550" s="51"/>
    </row>
    <row r="551" spans="9:19" x14ac:dyDescent="0.25">
      <c r="I551" s="1"/>
      <c r="J551" s="71"/>
      <c r="M551" s="46"/>
      <c r="R551" s="51"/>
      <c r="S551" s="51"/>
    </row>
    <row r="552" spans="9:19" x14ac:dyDescent="0.25">
      <c r="I552" s="1"/>
      <c r="J552" s="71"/>
      <c r="M552" s="46"/>
      <c r="R552" s="51"/>
      <c r="S552" s="51"/>
    </row>
    <row r="553" spans="9:19" x14ac:dyDescent="0.25">
      <c r="I553" s="1"/>
      <c r="J553" s="71"/>
      <c r="M553" s="46"/>
      <c r="R553" s="51"/>
      <c r="S553" s="51"/>
    </row>
    <row r="554" spans="9:19" x14ac:dyDescent="0.25">
      <c r="I554" s="1"/>
      <c r="J554" s="71"/>
      <c r="M554" s="46"/>
      <c r="R554" s="51"/>
      <c r="S554" s="51"/>
    </row>
    <row r="555" spans="9:19" x14ac:dyDescent="0.25">
      <c r="I555" s="1"/>
      <c r="J555" s="71"/>
      <c r="M555" s="46"/>
      <c r="R555" s="51"/>
      <c r="S555" s="51"/>
    </row>
    <row r="556" spans="9:19" x14ac:dyDescent="0.25">
      <c r="I556" s="1"/>
      <c r="J556" s="71"/>
      <c r="M556" s="46"/>
      <c r="R556" s="51"/>
      <c r="S556" s="51"/>
    </row>
    <row r="557" spans="9:19" x14ac:dyDescent="0.25">
      <c r="I557" s="1"/>
      <c r="J557" s="71"/>
      <c r="M557" s="46"/>
      <c r="R557" s="51"/>
      <c r="S557" s="51"/>
    </row>
    <row r="558" spans="9:19" x14ac:dyDescent="0.25">
      <c r="I558" s="1"/>
      <c r="J558" s="71"/>
      <c r="M558" s="46"/>
      <c r="R558" s="51"/>
      <c r="S558" s="51"/>
    </row>
    <row r="559" spans="9:19" x14ac:dyDescent="0.25">
      <c r="I559" s="1"/>
      <c r="J559" s="71"/>
      <c r="M559" s="46"/>
      <c r="R559" s="51"/>
      <c r="S559" s="51"/>
    </row>
    <row r="560" spans="9:19" x14ac:dyDescent="0.25">
      <c r="I560" s="1"/>
      <c r="J560" s="71"/>
      <c r="M560" s="46"/>
      <c r="R560" s="51"/>
      <c r="S560" s="51"/>
    </row>
    <row r="561" spans="9:19" x14ac:dyDescent="0.25">
      <c r="I561" s="1"/>
      <c r="J561" s="71"/>
      <c r="M561" s="46"/>
      <c r="R561" s="51"/>
      <c r="S561" s="51"/>
    </row>
    <row r="562" spans="9:19" x14ac:dyDescent="0.25">
      <c r="I562" s="1"/>
      <c r="J562" s="71"/>
      <c r="M562" s="46"/>
      <c r="R562" s="51"/>
      <c r="S562" s="51"/>
    </row>
    <row r="563" spans="9:19" x14ac:dyDescent="0.25">
      <c r="I563" s="1"/>
      <c r="J563" s="71"/>
      <c r="M563" s="46"/>
      <c r="R563" s="51"/>
      <c r="S563" s="51"/>
    </row>
    <row r="564" spans="9:19" x14ac:dyDescent="0.25">
      <c r="I564" s="1"/>
      <c r="J564" s="71"/>
      <c r="M564" s="46"/>
      <c r="R564" s="51"/>
      <c r="S564" s="51"/>
    </row>
    <row r="565" spans="9:19" x14ac:dyDescent="0.25">
      <c r="I565" s="1"/>
      <c r="J565" s="71"/>
      <c r="M565" s="46"/>
      <c r="R565" s="51"/>
      <c r="S565" s="51"/>
    </row>
    <row r="566" spans="9:19" x14ac:dyDescent="0.25">
      <c r="I566" s="1"/>
      <c r="J566" s="71"/>
      <c r="M566" s="46"/>
      <c r="R566" s="51"/>
      <c r="S566" s="51"/>
    </row>
    <row r="567" spans="9:19" x14ac:dyDescent="0.25">
      <c r="I567" s="1"/>
      <c r="J567" s="71"/>
      <c r="M567" s="46"/>
      <c r="R567" s="51"/>
      <c r="S567" s="51"/>
    </row>
    <row r="568" spans="9:19" x14ac:dyDescent="0.25">
      <c r="I568" s="1"/>
      <c r="J568" s="71"/>
      <c r="M568" s="46"/>
      <c r="R568" s="51"/>
      <c r="S568" s="51"/>
    </row>
    <row r="569" spans="9:19" x14ac:dyDescent="0.25">
      <c r="I569" s="1"/>
      <c r="J569" s="71"/>
      <c r="M569" s="46"/>
      <c r="R569" s="51"/>
      <c r="S569" s="51"/>
    </row>
    <row r="570" spans="9:19" x14ac:dyDescent="0.25">
      <c r="I570" s="1"/>
      <c r="J570" s="71"/>
      <c r="M570" s="46"/>
      <c r="R570" s="51"/>
      <c r="S570" s="51"/>
    </row>
    <row r="571" spans="9:19" x14ac:dyDescent="0.25">
      <c r="I571" s="1"/>
      <c r="J571" s="71"/>
      <c r="M571" s="46"/>
      <c r="R571" s="51"/>
      <c r="S571" s="51"/>
    </row>
    <row r="572" spans="9:19" x14ac:dyDescent="0.25">
      <c r="I572" s="1"/>
      <c r="J572" s="71"/>
      <c r="M572" s="46"/>
      <c r="R572" s="51"/>
      <c r="S572" s="51"/>
    </row>
    <row r="573" spans="9:19" x14ac:dyDescent="0.25">
      <c r="I573" s="1"/>
      <c r="J573" s="71"/>
      <c r="M573" s="46"/>
      <c r="R573" s="51"/>
      <c r="S573" s="51"/>
    </row>
    <row r="574" spans="9:19" x14ac:dyDescent="0.25">
      <c r="I574" s="1"/>
      <c r="J574" s="71"/>
      <c r="M574" s="46"/>
      <c r="R574" s="51"/>
      <c r="S574" s="51"/>
    </row>
    <row r="575" spans="9:19" x14ac:dyDescent="0.25">
      <c r="I575" s="1"/>
      <c r="J575" s="71"/>
      <c r="M575" s="46"/>
      <c r="R575" s="51"/>
      <c r="S575" s="51"/>
    </row>
    <row r="576" spans="9:19" x14ac:dyDescent="0.25">
      <c r="I576" s="1"/>
      <c r="J576" s="71"/>
      <c r="M576" s="46"/>
      <c r="R576" s="51"/>
      <c r="S576" s="51"/>
    </row>
    <row r="577" spans="9:19" x14ac:dyDescent="0.25">
      <c r="I577" s="1"/>
      <c r="J577" s="71"/>
      <c r="M577" s="46"/>
      <c r="R577" s="51"/>
      <c r="S577" s="51"/>
    </row>
    <row r="578" spans="9:19" x14ac:dyDescent="0.25">
      <c r="I578" s="1"/>
      <c r="J578" s="71"/>
      <c r="M578" s="46"/>
      <c r="R578" s="51"/>
      <c r="S578" s="51"/>
    </row>
    <row r="579" spans="9:19" x14ac:dyDescent="0.25">
      <c r="I579" s="1"/>
      <c r="J579" s="71"/>
      <c r="M579" s="46"/>
      <c r="R579" s="51"/>
      <c r="S579" s="51"/>
    </row>
    <row r="580" spans="9:19" x14ac:dyDescent="0.25">
      <c r="I580" s="1"/>
      <c r="J580" s="71"/>
      <c r="M580" s="46"/>
      <c r="R580" s="51"/>
      <c r="S580" s="51"/>
    </row>
    <row r="581" spans="9:19" x14ac:dyDescent="0.25">
      <c r="I581" s="1"/>
      <c r="J581" s="71"/>
      <c r="M581" s="46"/>
      <c r="R581" s="51"/>
      <c r="S581" s="51"/>
    </row>
    <row r="582" spans="9:19" x14ac:dyDescent="0.25">
      <c r="I582" s="1"/>
      <c r="J582" s="71"/>
      <c r="M582" s="46"/>
      <c r="R582" s="51"/>
      <c r="S582" s="51"/>
    </row>
    <row r="583" spans="9:19" x14ac:dyDescent="0.25">
      <c r="I583" s="1"/>
      <c r="J583" s="71"/>
      <c r="M583" s="46"/>
      <c r="R583" s="51"/>
      <c r="S583" s="51"/>
    </row>
    <row r="584" spans="9:19" x14ac:dyDescent="0.25">
      <c r="I584" s="1"/>
      <c r="J584" s="71"/>
      <c r="M584" s="46"/>
      <c r="R584" s="51"/>
      <c r="S584" s="51"/>
    </row>
    <row r="585" spans="9:19" x14ac:dyDescent="0.25">
      <c r="I585" s="1"/>
      <c r="J585" s="71"/>
      <c r="M585" s="46"/>
      <c r="R585" s="51"/>
      <c r="S585" s="51"/>
    </row>
    <row r="586" spans="9:19" x14ac:dyDescent="0.25">
      <c r="I586" s="1"/>
      <c r="J586" s="71"/>
      <c r="M586" s="46"/>
      <c r="R586" s="51"/>
      <c r="S586" s="51"/>
    </row>
    <row r="587" spans="9:19" x14ac:dyDescent="0.25">
      <c r="I587" s="1"/>
      <c r="J587" s="71"/>
      <c r="M587" s="46"/>
      <c r="R587" s="51"/>
      <c r="S587" s="51"/>
    </row>
    <row r="588" spans="9:19" x14ac:dyDescent="0.25">
      <c r="I588" s="1"/>
      <c r="J588" s="71"/>
      <c r="M588" s="46"/>
      <c r="R588" s="51"/>
      <c r="S588" s="51"/>
    </row>
    <row r="589" spans="9:19" x14ac:dyDescent="0.25">
      <c r="I589" s="1"/>
      <c r="J589" s="71"/>
      <c r="M589" s="46"/>
      <c r="R589" s="51"/>
      <c r="S589" s="51"/>
    </row>
    <row r="590" spans="9:19" x14ac:dyDescent="0.25">
      <c r="I590" s="1"/>
      <c r="J590" s="71"/>
      <c r="M590" s="46"/>
      <c r="R590" s="51"/>
      <c r="S590" s="51"/>
    </row>
    <row r="591" spans="9:19" x14ac:dyDescent="0.25">
      <c r="I591" s="1"/>
      <c r="J591" s="71"/>
      <c r="M591" s="46"/>
      <c r="R591" s="51"/>
      <c r="S591" s="51"/>
    </row>
    <row r="592" spans="9:19" x14ac:dyDescent="0.25">
      <c r="I592" s="1"/>
      <c r="J592" s="71"/>
      <c r="M592" s="46"/>
      <c r="R592" s="51"/>
      <c r="S592" s="51"/>
    </row>
    <row r="593" spans="9:19" x14ac:dyDescent="0.25">
      <c r="I593" s="1"/>
      <c r="J593" s="71"/>
      <c r="M593" s="46"/>
      <c r="R593" s="51"/>
      <c r="S593" s="51"/>
    </row>
    <row r="594" spans="9:19" x14ac:dyDescent="0.25">
      <c r="I594" s="1"/>
      <c r="J594" s="71"/>
      <c r="M594" s="46"/>
      <c r="R594" s="51"/>
      <c r="S594" s="51"/>
    </row>
    <row r="595" spans="9:19" x14ac:dyDescent="0.25">
      <c r="I595" s="1"/>
      <c r="J595" s="71"/>
      <c r="M595" s="46"/>
      <c r="R595" s="51"/>
      <c r="S595" s="51"/>
    </row>
    <row r="596" spans="9:19" x14ac:dyDescent="0.25">
      <c r="I596" s="1"/>
      <c r="J596" s="71"/>
      <c r="M596" s="46"/>
      <c r="R596" s="51"/>
      <c r="S596" s="51"/>
    </row>
    <row r="597" spans="9:19" x14ac:dyDescent="0.25">
      <c r="I597" s="1"/>
      <c r="J597" s="71"/>
      <c r="M597" s="46"/>
      <c r="R597" s="51"/>
      <c r="S597" s="51"/>
    </row>
    <row r="598" spans="9:19" x14ac:dyDescent="0.25">
      <c r="I598" s="1"/>
      <c r="J598" s="71"/>
      <c r="M598" s="46"/>
      <c r="R598" s="51"/>
      <c r="S598" s="51"/>
    </row>
    <row r="599" spans="9:19" x14ac:dyDescent="0.25">
      <c r="I599" s="1"/>
      <c r="J599" s="71"/>
      <c r="M599" s="46"/>
      <c r="R599" s="51"/>
      <c r="S599" s="51"/>
    </row>
    <row r="600" spans="9:19" x14ac:dyDescent="0.25">
      <c r="I600" s="1"/>
      <c r="J600" s="71"/>
      <c r="M600" s="46"/>
      <c r="R600" s="51"/>
      <c r="S600" s="51"/>
    </row>
    <row r="601" spans="9:19" x14ac:dyDescent="0.25">
      <c r="I601" s="1"/>
      <c r="J601" s="71"/>
      <c r="M601" s="46"/>
      <c r="R601" s="51"/>
      <c r="S601" s="51"/>
    </row>
    <row r="602" spans="9:19" x14ac:dyDescent="0.25">
      <c r="I602" s="1"/>
      <c r="J602" s="71"/>
      <c r="M602" s="46"/>
      <c r="R602" s="51"/>
      <c r="S602" s="51"/>
    </row>
    <row r="603" spans="9:19" x14ac:dyDescent="0.25">
      <c r="I603" s="1"/>
      <c r="J603" s="71"/>
      <c r="M603" s="46"/>
      <c r="R603" s="51"/>
      <c r="S603" s="51"/>
    </row>
    <row r="604" spans="9:19" x14ac:dyDescent="0.25">
      <c r="I604" s="1"/>
      <c r="J604" s="71"/>
      <c r="M604" s="46"/>
      <c r="R604" s="51"/>
      <c r="S604" s="51"/>
    </row>
    <row r="605" spans="9:19" x14ac:dyDescent="0.25">
      <c r="I605" s="1"/>
      <c r="J605" s="71"/>
      <c r="M605" s="46"/>
      <c r="R605" s="51"/>
      <c r="S605" s="51"/>
    </row>
    <row r="606" spans="9:19" x14ac:dyDescent="0.25">
      <c r="I606" s="1"/>
      <c r="J606" s="71"/>
      <c r="M606" s="46"/>
      <c r="R606" s="51"/>
      <c r="S606" s="51"/>
    </row>
    <row r="607" spans="9:19" x14ac:dyDescent="0.25">
      <c r="I607" s="1"/>
      <c r="J607" s="71"/>
      <c r="M607" s="46"/>
      <c r="R607" s="51"/>
      <c r="S607" s="51"/>
    </row>
    <row r="608" spans="9:19" x14ac:dyDescent="0.25">
      <c r="I608" s="1"/>
      <c r="J608" s="71"/>
      <c r="M608" s="46"/>
      <c r="R608" s="51"/>
      <c r="S608" s="51"/>
    </row>
    <row r="609" spans="9:19" x14ac:dyDescent="0.25">
      <c r="I609" s="1"/>
      <c r="J609" s="71"/>
      <c r="M609" s="46"/>
      <c r="R609" s="51"/>
      <c r="S609" s="51"/>
    </row>
    <row r="610" spans="9:19" x14ac:dyDescent="0.25">
      <c r="I610" s="1"/>
      <c r="J610" s="71"/>
      <c r="M610" s="46"/>
      <c r="R610" s="51"/>
      <c r="S610" s="51"/>
    </row>
    <row r="611" spans="9:19" x14ac:dyDescent="0.25">
      <c r="I611" s="1"/>
      <c r="J611" s="71"/>
      <c r="M611" s="46"/>
      <c r="R611" s="51"/>
      <c r="S611" s="51"/>
    </row>
    <row r="612" spans="9:19" x14ac:dyDescent="0.25">
      <c r="I612" s="1"/>
      <c r="J612" s="71"/>
      <c r="M612" s="46"/>
      <c r="R612" s="51"/>
      <c r="S612" s="51"/>
    </row>
    <row r="613" spans="9:19" x14ac:dyDescent="0.25">
      <c r="I613" s="1"/>
      <c r="J613" s="71"/>
      <c r="M613" s="46"/>
      <c r="R613" s="51"/>
      <c r="S613" s="51"/>
    </row>
    <row r="614" spans="9:19" x14ac:dyDescent="0.25">
      <c r="I614" s="1"/>
      <c r="J614" s="71"/>
      <c r="M614" s="46"/>
      <c r="R614" s="51"/>
      <c r="S614" s="51"/>
    </row>
    <row r="615" spans="9:19" x14ac:dyDescent="0.25">
      <c r="I615" s="1"/>
      <c r="J615" s="71"/>
      <c r="M615" s="46"/>
      <c r="R615" s="51"/>
      <c r="S615" s="51"/>
    </row>
    <row r="616" spans="9:19" x14ac:dyDescent="0.25">
      <c r="I616" s="1"/>
      <c r="J616" s="71"/>
      <c r="M616" s="46"/>
      <c r="R616" s="51"/>
      <c r="S616" s="51"/>
    </row>
    <row r="617" spans="9:19" x14ac:dyDescent="0.25">
      <c r="I617" s="1"/>
      <c r="J617" s="71"/>
      <c r="M617" s="46"/>
      <c r="R617" s="51"/>
      <c r="S617" s="51"/>
    </row>
    <row r="618" spans="9:19" x14ac:dyDescent="0.25">
      <c r="I618" s="1"/>
      <c r="J618" s="71"/>
      <c r="M618" s="46"/>
      <c r="R618" s="51"/>
      <c r="S618" s="51"/>
    </row>
    <row r="619" spans="9:19" x14ac:dyDescent="0.25">
      <c r="I619" s="1"/>
      <c r="J619" s="71"/>
      <c r="M619" s="46"/>
      <c r="R619" s="51"/>
      <c r="S619" s="51"/>
    </row>
    <row r="620" spans="9:19" x14ac:dyDescent="0.25">
      <c r="I620" s="1"/>
      <c r="J620" s="71"/>
      <c r="M620" s="46"/>
      <c r="R620" s="51"/>
      <c r="S620" s="51"/>
    </row>
    <row r="621" spans="9:19" x14ac:dyDescent="0.25">
      <c r="I621" s="1"/>
      <c r="J621" s="71"/>
      <c r="M621" s="46"/>
      <c r="R621" s="51"/>
      <c r="S621" s="51"/>
    </row>
    <row r="622" spans="9:19" x14ac:dyDescent="0.25">
      <c r="I622" s="1"/>
      <c r="J622" s="71"/>
      <c r="M622" s="46"/>
      <c r="R622" s="51"/>
      <c r="S622" s="51"/>
    </row>
    <row r="623" spans="9:19" x14ac:dyDescent="0.25">
      <c r="I623" s="1"/>
      <c r="J623" s="71"/>
      <c r="M623" s="46"/>
      <c r="R623" s="51"/>
      <c r="S623" s="51"/>
    </row>
    <row r="624" spans="9:19" x14ac:dyDescent="0.25">
      <c r="I624" s="1"/>
      <c r="J624" s="71"/>
      <c r="M624" s="46"/>
      <c r="R624" s="51"/>
      <c r="S624" s="51"/>
    </row>
    <row r="625" spans="9:19" x14ac:dyDescent="0.25">
      <c r="I625" s="1"/>
      <c r="J625" s="71"/>
      <c r="M625" s="46"/>
      <c r="R625" s="51"/>
      <c r="S625" s="51"/>
    </row>
    <row r="626" spans="9:19" x14ac:dyDescent="0.25">
      <c r="I626" s="1"/>
      <c r="J626" s="71"/>
      <c r="M626" s="46"/>
      <c r="R626" s="51"/>
      <c r="S626" s="51"/>
    </row>
    <row r="627" spans="9:19" x14ac:dyDescent="0.25">
      <c r="I627" s="1"/>
      <c r="J627" s="71"/>
      <c r="M627" s="46"/>
      <c r="R627" s="51"/>
      <c r="S627" s="51"/>
    </row>
    <row r="628" spans="9:19" x14ac:dyDescent="0.25">
      <c r="I628" s="1"/>
      <c r="J628" s="71"/>
      <c r="M628" s="46"/>
      <c r="R628" s="51"/>
      <c r="S628" s="51"/>
    </row>
    <row r="629" spans="9:19" x14ac:dyDescent="0.25">
      <c r="I629" s="1"/>
      <c r="J629" s="71"/>
      <c r="M629" s="46"/>
      <c r="R629" s="51"/>
      <c r="S629" s="51"/>
    </row>
    <row r="630" spans="9:19" x14ac:dyDescent="0.25">
      <c r="I630" s="1"/>
      <c r="J630" s="71"/>
      <c r="M630" s="46"/>
      <c r="R630" s="51"/>
      <c r="S630" s="51"/>
    </row>
    <row r="631" spans="9:19" x14ac:dyDescent="0.25">
      <c r="I631" s="1"/>
      <c r="J631" s="71"/>
      <c r="M631" s="46"/>
      <c r="R631" s="51"/>
      <c r="S631" s="51"/>
    </row>
    <row r="632" spans="9:19" x14ac:dyDescent="0.25">
      <c r="I632" s="1"/>
      <c r="J632" s="71"/>
      <c r="M632" s="46"/>
      <c r="R632" s="51"/>
      <c r="S632" s="51"/>
    </row>
    <row r="633" spans="9:19" x14ac:dyDescent="0.25">
      <c r="I633" s="1"/>
      <c r="J633" s="71"/>
      <c r="M633" s="46"/>
      <c r="R633" s="51"/>
      <c r="S633" s="51"/>
    </row>
    <row r="634" spans="9:19" x14ac:dyDescent="0.25">
      <c r="I634" s="1"/>
      <c r="J634" s="71"/>
      <c r="M634" s="46"/>
      <c r="R634" s="51"/>
      <c r="S634" s="51"/>
    </row>
    <row r="635" spans="9:19" x14ac:dyDescent="0.25">
      <c r="I635" s="1"/>
      <c r="J635" s="71"/>
      <c r="M635" s="46"/>
      <c r="R635" s="51"/>
      <c r="S635" s="51"/>
    </row>
    <row r="636" spans="9:19" x14ac:dyDescent="0.25">
      <c r="I636" s="1"/>
      <c r="J636" s="71"/>
      <c r="M636" s="46"/>
      <c r="R636" s="51"/>
      <c r="S636" s="51"/>
    </row>
    <row r="637" spans="9:19" x14ac:dyDescent="0.25">
      <c r="I637" s="1"/>
      <c r="J637" s="71"/>
      <c r="M637" s="46"/>
      <c r="R637" s="51"/>
      <c r="S637" s="51"/>
    </row>
    <row r="638" spans="9:19" x14ac:dyDescent="0.25">
      <c r="I638" s="1"/>
      <c r="J638" s="71"/>
      <c r="M638" s="46"/>
      <c r="R638" s="51"/>
      <c r="S638" s="51"/>
    </row>
    <row r="639" spans="9:19" x14ac:dyDescent="0.25">
      <c r="I639" s="1"/>
      <c r="J639" s="71"/>
      <c r="M639" s="46"/>
      <c r="R639" s="51"/>
      <c r="S639" s="51"/>
    </row>
    <row r="640" spans="9:19" x14ac:dyDescent="0.25">
      <c r="I640" s="1"/>
      <c r="J640" s="71"/>
      <c r="M640" s="46"/>
      <c r="R640" s="51"/>
      <c r="S640" s="51"/>
    </row>
    <row r="641" spans="9:19" x14ac:dyDescent="0.25">
      <c r="I641" s="1"/>
      <c r="J641" s="71"/>
      <c r="M641" s="46"/>
      <c r="R641" s="51"/>
      <c r="S641" s="51"/>
    </row>
    <row r="642" spans="9:19" x14ac:dyDescent="0.25">
      <c r="I642" s="1"/>
      <c r="J642" s="71"/>
      <c r="M642" s="46"/>
      <c r="R642" s="51"/>
      <c r="S642" s="51"/>
    </row>
    <row r="643" spans="9:19" x14ac:dyDescent="0.25">
      <c r="I643" s="1"/>
      <c r="J643" s="71"/>
      <c r="M643" s="46"/>
      <c r="R643" s="51"/>
      <c r="S643" s="51"/>
    </row>
    <row r="644" spans="9:19" x14ac:dyDescent="0.25">
      <c r="I644" s="1"/>
      <c r="J644" s="71"/>
      <c r="M644" s="46"/>
      <c r="R644" s="51"/>
      <c r="S644" s="51"/>
    </row>
    <row r="645" spans="9:19" x14ac:dyDescent="0.25">
      <c r="I645" s="1"/>
      <c r="J645" s="71"/>
      <c r="M645" s="46"/>
      <c r="R645" s="51"/>
      <c r="S645" s="51"/>
    </row>
    <row r="646" spans="9:19" x14ac:dyDescent="0.25">
      <c r="I646" s="1"/>
      <c r="J646" s="71"/>
      <c r="M646" s="46"/>
      <c r="R646" s="51"/>
      <c r="S646" s="51"/>
    </row>
    <row r="647" spans="9:19" x14ac:dyDescent="0.25">
      <c r="I647" s="1"/>
      <c r="J647" s="71"/>
      <c r="M647" s="46"/>
      <c r="R647" s="51"/>
      <c r="S647" s="51"/>
    </row>
    <row r="648" spans="9:19" x14ac:dyDescent="0.25">
      <c r="I648" s="1"/>
      <c r="J648" s="71"/>
      <c r="M648" s="46"/>
      <c r="R648" s="51"/>
      <c r="S648" s="51"/>
    </row>
    <row r="649" spans="9:19" x14ac:dyDescent="0.25">
      <c r="I649" s="1"/>
      <c r="J649" s="71"/>
      <c r="M649" s="46"/>
      <c r="R649" s="51"/>
      <c r="S649" s="51"/>
    </row>
    <row r="650" spans="9:19" x14ac:dyDescent="0.25">
      <c r="I650" s="1"/>
      <c r="J650" s="71"/>
      <c r="M650" s="46"/>
      <c r="R650" s="51"/>
      <c r="S650" s="51"/>
    </row>
    <row r="651" spans="9:19" x14ac:dyDescent="0.25">
      <c r="I651" s="1"/>
      <c r="J651" s="71"/>
      <c r="M651" s="46"/>
      <c r="R651" s="51"/>
      <c r="S651" s="51"/>
    </row>
    <row r="652" spans="9:19" x14ac:dyDescent="0.25">
      <c r="I652" s="1"/>
      <c r="J652" s="71"/>
      <c r="M652" s="46"/>
      <c r="R652" s="51"/>
      <c r="S652" s="51"/>
    </row>
    <row r="653" spans="9:19" x14ac:dyDescent="0.25">
      <c r="I653" s="1"/>
      <c r="J653" s="71"/>
      <c r="M653" s="46"/>
      <c r="R653" s="51"/>
      <c r="S653" s="51"/>
    </row>
    <row r="654" spans="9:19" x14ac:dyDescent="0.25">
      <c r="I654" s="1"/>
      <c r="J654" s="71"/>
      <c r="M654" s="46"/>
      <c r="R654" s="51"/>
      <c r="S654" s="51"/>
    </row>
    <row r="655" spans="9:19" x14ac:dyDescent="0.25">
      <c r="I655" s="1"/>
      <c r="J655" s="71"/>
      <c r="M655" s="46"/>
      <c r="R655" s="51"/>
      <c r="S655" s="51"/>
    </row>
    <row r="656" spans="9:19" x14ac:dyDescent="0.25">
      <c r="I656" s="1"/>
      <c r="J656" s="71"/>
      <c r="M656" s="46"/>
      <c r="R656" s="51"/>
      <c r="S656" s="51"/>
    </row>
    <row r="657" spans="9:19" x14ac:dyDescent="0.25">
      <c r="I657" s="1"/>
      <c r="J657" s="71"/>
      <c r="M657" s="46"/>
      <c r="R657" s="51"/>
      <c r="S657" s="51"/>
    </row>
    <row r="658" spans="9:19" x14ac:dyDescent="0.25">
      <c r="I658" s="1"/>
      <c r="J658" s="71"/>
      <c r="M658" s="46"/>
      <c r="R658" s="51"/>
      <c r="S658" s="51"/>
    </row>
    <row r="659" spans="9:19" x14ac:dyDescent="0.25">
      <c r="I659" s="1"/>
      <c r="J659" s="71"/>
      <c r="M659" s="46"/>
      <c r="R659" s="51"/>
      <c r="S659" s="51"/>
    </row>
    <row r="660" spans="9:19" x14ac:dyDescent="0.25">
      <c r="I660" s="1"/>
      <c r="J660" s="71"/>
      <c r="M660" s="46"/>
      <c r="R660" s="51"/>
      <c r="S660" s="51"/>
    </row>
    <row r="661" spans="9:19" x14ac:dyDescent="0.25">
      <c r="I661" s="1"/>
      <c r="J661" s="71"/>
      <c r="M661" s="46"/>
      <c r="R661" s="51"/>
      <c r="S661" s="51"/>
    </row>
    <row r="662" spans="9:19" x14ac:dyDescent="0.25">
      <c r="I662" s="1"/>
      <c r="J662" s="71"/>
      <c r="M662" s="46"/>
      <c r="R662" s="51"/>
      <c r="S662" s="51"/>
    </row>
    <row r="663" spans="9:19" x14ac:dyDescent="0.25">
      <c r="I663" s="1"/>
      <c r="J663" s="71"/>
      <c r="M663" s="46"/>
      <c r="R663" s="51"/>
      <c r="S663" s="51"/>
    </row>
    <row r="664" spans="9:19" x14ac:dyDescent="0.25">
      <c r="I664" s="1"/>
      <c r="J664" s="71"/>
      <c r="M664" s="46"/>
      <c r="R664" s="51"/>
      <c r="S664" s="51"/>
    </row>
    <row r="665" spans="9:19" x14ac:dyDescent="0.25">
      <c r="I665" s="1"/>
      <c r="J665" s="71"/>
      <c r="M665" s="46"/>
      <c r="R665" s="51"/>
      <c r="S665" s="51"/>
    </row>
    <row r="666" spans="9:19" x14ac:dyDescent="0.25">
      <c r="I666" s="1"/>
      <c r="J666" s="71"/>
      <c r="M666" s="46"/>
      <c r="R666" s="51"/>
      <c r="S666" s="51"/>
    </row>
    <row r="667" spans="9:19" x14ac:dyDescent="0.25">
      <c r="I667" s="1"/>
      <c r="J667" s="71"/>
      <c r="M667" s="46"/>
      <c r="R667" s="51"/>
      <c r="S667" s="51"/>
    </row>
    <row r="668" spans="9:19" x14ac:dyDescent="0.25">
      <c r="I668" s="1"/>
      <c r="J668" s="71"/>
      <c r="M668" s="46"/>
      <c r="R668" s="51"/>
      <c r="S668" s="51"/>
    </row>
    <row r="669" spans="9:19" x14ac:dyDescent="0.25">
      <c r="I669" s="1"/>
      <c r="J669" s="71"/>
      <c r="M669" s="46"/>
      <c r="R669" s="51"/>
      <c r="S669" s="51"/>
    </row>
    <row r="670" spans="9:19" x14ac:dyDescent="0.25">
      <c r="I670" s="1"/>
      <c r="J670" s="71"/>
      <c r="M670" s="46"/>
      <c r="R670" s="51"/>
      <c r="S670" s="51"/>
    </row>
    <row r="671" spans="9:19" x14ac:dyDescent="0.25">
      <c r="I671" s="1"/>
      <c r="J671" s="71"/>
      <c r="M671" s="46"/>
      <c r="R671" s="51"/>
      <c r="S671" s="51"/>
    </row>
    <row r="672" spans="9:19" x14ac:dyDescent="0.25">
      <c r="I672" s="1"/>
      <c r="J672" s="71"/>
      <c r="M672" s="46"/>
      <c r="R672" s="51"/>
      <c r="S672" s="51"/>
    </row>
    <row r="673" spans="9:19" x14ac:dyDescent="0.25">
      <c r="I673" s="1"/>
      <c r="J673" s="71"/>
      <c r="M673" s="46"/>
      <c r="R673" s="51"/>
      <c r="S673" s="51"/>
    </row>
    <row r="674" spans="9:19" x14ac:dyDescent="0.25">
      <c r="I674" s="1"/>
      <c r="J674" s="71"/>
      <c r="M674" s="46"/>
      <c r="R674" s="51"/>
      <c r="S674" s="51"/>
    </row>
    <row r="675" spans="9:19" x14ac:dyDescent="0.25">
      <c r="I675" s="1"/>
      <c r="J675" s="71"/>
      <c r="M675" s="46"/>
      <c r="R675" s="51"/>
      <c r="S675" s="51"/>
    </row>
    <row r="676" spans="9:19" x14ac:dyDescent="0.25">
      <c r="I676" s="1"/>
      <c r="J676" s="71"/>
      <c r="M676" s="46"/>
      <c r="R676" s="51"/>
      <c r="S676" s="51"/>
    </row>
    <row r="677" spans="9:19" x14ac:dyDescent="0.25">
      <c r="I677" s="1"/>
      <c r="J677" s="71"/>
      <c r="M677" s="46"/>
      <c r="R677" s="51"/>
      <c r="S677" s="51"/>
    </row>
    <row r="678" spans="9:19" x14ac:dyDescent="0.25">
      <c r="I678" s="1"/>
      <c r="J678" s="71"/>
      <c r="M678" s="46"/>
      <c r="R678" s="51"/>
      <c r="S678" s="51"/>
    </row>
    <row r="679" spans="9:19" x14ac:dyDescent="0.25">
      <c r="I679" s="1"/>
      <c r="J679" s="71"/>
      <c r="M679" s="46"/>
      <c r="R679" s="51"/>
      <c r="S679" s="51"/>
    </row>
    <row r="680" spans="9:19" x14ac:dyDescent="0.25">
      <c r="I680" s="1"/>
      <c r="J680" s="71"/>
      <c r="M680" s="46"/>
      <c r="R680" s="51"/>
      <c r="S680" s="51"/>
    </row>
    <row r="681" spans="9:19" x14ac:dyDescent="0.25">
      <c r="I681" s="1"/>
      <c r="J681" s="71"/>
      <c r="M681" s="46"/>
      <c r="R681" s="51"/>
      <c r="S681" s="51"/>
    </row>
    <row r="682" spans="9:19" x14ac:dyDescent="0.25">
      <c r="I682" s="1"/>
      <c r="J682" s="71"/>
      <c r="M682" s="46"/>
      <c r="R682" s="51"/>
      <c r="S682" s="51"/>
    </row>
    <row r="683" spans="9:19" x14ac:dyDescent="0.25">
      <c r="I683" s="1"/>
      <c r="J683" s="71"/>
      <c r="M683" s="46"/>
      <c r="R683" s="51"/>
      <c r="S683" s="51"/>
    </row>
    <row r="684" spans="9:19" x14ac:dyDescent="0.25">
      <c r="I684" s="1"/>
      <c r="J684" s="71"/>
      <c r="M684" s="46"/>
      <c r="R684" s="51"/>
      <c r="S684" s="51"/>
    </row>
    <row r="685" spans="9:19" x14ac:dyDescent="0.25">
      <c r="I685" s="1"/>
      <c r="J685" s="71"/>
      <c r="M685" s="46"/>
      <c r="R685" s="51"/>
      <c r="S685" s="51"/>
    </row>
    <row r="686" spans="9:19" x14ac:dyDescent="0.25">
      <c r="I686" s="1"/>
      <c r="J686" s="71"/>
      <c r="M686" s="46"/>
      <c r="R686" s="51"/>
      <c r="S686" s="51"/>
    </row>
    <row r="687" spans="9:19" x14ac:dyDescent="0.25">
      <c r="I687" s="1"/>
      <c r="J687" s="71"/>
      <c r="M687" s="46"/>
      <c r="R687" s="51"/>
      <c r="S687" s="51"/>
    </row>
    <row r="688" spans="9:19" x14ac:dyDescent="0.25">
      <c r="I688" s="1"/>
      <c r="J688" s="71"/>
      <c r="M688" s="46"/>
      <c r="R688" s="51"/>
      <c r="S688" s="51"/>
    </row>
    <row r="689" spans="9:19" x14ac:dyDescent="0.25">
      <c r="I689" s="1"/>
      <c r="J689" s="71"/>
      <c r="M689" s="46"/>
      <c r="R689" s="51"/>
      <c r="S689" s="51"/>
    </row>
    <row r="690" spans="9:19" x14ac:dyDescent="0.25">
      <c r="I690" s="1"/>
      <c r="J690" s="71"/>
      <c r="M690" s="46"/>
      <c r="R690" s="51"/>
      <c r="S690" s="51"/>
    </row>
    <row r="691" spans="9:19" x14ac:dyDescent="0.25">
      <c r="I691" s="1"/>
      <c r="J691" s="71"/>
      <c r="M691" s="46"/>
      <c r="R691" s="51"/>
      <c r="S691" s="51"/>
    </row>
    <row r="692" spans="9:19" x14ac:dyDescent="0.25">
      <c r="I692" s="1"/>
      <c r="J692" s="71"/>
      <c r="M692" s="46"/>
      <c r="R692" s="51"/>
      <c r="S692" s="51"/>
    </row>
    <row r="693" spans="9:19" x14ac:dyDescent="0.25">
      <c r="I693" s="1"/>
      <c r="J693" s="71"/>
      <c r="M693" s="46"/>
      <c r="R693" s="51"/>
      <c r="S693" s="51"/>
    </row>
    <row r="694" spans="9:19" x14ac:dyDescent="0.25">
      <c r="I694" s="1"/>
      <c r="J694" s="71"/>
      <c r="M694" s="46"/>
      <c r="R694" s="51"/>
      <c r="S694" s="51"/>
    </row>
    <row r="695" spans="9:19" x14ac:dyDescent="0.25">
      <c r="I695" s="1"/>
      <c r="J695" s="71"/>
      <c r="M695" s="46"/>
      <c r="R695" s="51"/>
      <c r="S695" s="51"/>
    </row>
    <row r="696" spans="9:19" x14ac:dyDescent="0.25">
      <c r="I696" s="1"/>
      <c r="J696" s="71"/>
      <c r="M696" s="46"/>
      <c r="R696" s="51"/>
      <c r="S696" s="51"/>
    </row>
    <row r="697" spans="9:19" x14ac:dyDescent="0.25">
      <c r="I697" s="1"/>
      <c r="J697" s="71"/>
      <c r="M697" s="46"/>
      <c r="R697" s="51"/>
      <c r="S697" s="51"/>
    </row>
    <row r="698" spans="9:19" x14ac:dyDescent="0.25">
      <c r="I698" s="1"/>
      <c r="J698" s="71"/>
      <c r="M698" s="46"/>
      <c r="R698" s="51"/>
      <c r="S698" s="51"/>
    </row>
    <row r="699" spans="9:19" x14ac:dyDescent="0.25">
      <c r="I699" s="1"/>
      <c r="J699" s="71"/>
      <c r="M699" s="46"/>
      <c r="R699" s="51"/>
      <c r="S699" s="51"/>
    </row>
    <row r="700" spans="9:19" x14ac:dyDescent="0.25">
      <c r="I700" s="1"/>
      <c r="J700" s="71"/>
      <c r="M700" s="46"/>
      <c r="R700" s="51"/>
      <c r="S700" s="51"/>
    </row>
    <row r="701" spans="9:19" x14ac:dyDescent="0.25">
      <c r="I701" s="1"/>
      <c r="J701" s="71"/>
      <c r="M701" s="46"/>
      <c r="R701" s="51"/>
      <c r="S701" s="51"/>
    </row>
    <row r="702" spans="9:19" x14ac:dyDescent="0.25">
      <c r="I702" s="1"/>
      <c r="J702" s="71"/>
      <c r="M702" s="46"/>
      <c r="R702" s="51"/>
      <c r="S702" s="51"/>
    </row>
    <row r="703" spans="9:19" x14ac:dyDescent="0.25">
      <c r="I703" s="1"/>
      <c r="J703" s="71"/>
      <c r="M703" s="46"/>
      <c r="R703" s="51"/>
      <c r="S703" s="51"/>
    </row>
    <row r="704" spans="9:19" x14ac:dyDescent="0.25">
      <c r="I704" s="1"/>
      <c r="J704" s="71"/>
      <c r="M704" s="46"/>
      <c r="R704" s="51"/>
      <c r="S704" s="51"/>
    </row>
    <row r="705" spans="9:19" x14ac:dyDescent="0.25">
      <c r="I705" s="1"/>
      <c r="J705" s="71"/>
      <c r="M705" s="46"/>
      <c r="R705" s="51"/>
      <c r="S705" s="51"/>
    </row>
    <row r="706" spans="9:19" x14ac:dyDescent="0.25">
      <c r="I706" s="1"/>
      <c r="J706" s="71"/>
      <c r="M706" s="46"/>
      <c r="R706" s="51"/>
      <c r="S706" s="51"/>
    </row>
    <row r="707" spans="9:19" x14ac:dyDescent="0.25">
      <c r="I707" s="1"/>
      <c r="J707" s="71"/>
      <c r="M707" s="46"/>
      <c r="R707" s="51"/>
      <c r="S707" s="51"/>
    </row>
    <row r="708" spans="9:19" x14ac:dyDescent="0.25">
      <c r="I708" s="1"/>
      <c r="J708" s="71"/>
      <c r="M708" s="46"/>
      <c r="R708" s="51"/>
      <c r="S708" s="51"/>
    </row>
    <row r="709" spans="9:19" x14ac:dyDescent="0.25">
      <c r="I709" s="1"/>
      <c r="J709" s="71"/>
      <c r="M709" s="46"/>
      <c r="R709" s="51"/>
      <c r="S709" s="51"/>
    </row>
    <row r="710" spans="9:19" x14ac:dyDescent="0.25">
      <c r="I710" s="1"/>
      <c r="J710" s="71"/>
      <c r="M710" s="46"/>
      <c r="R710" s="51"/>
      <c r="S710" s="51"/>
    </row>
    <row r="711" spans="9:19" x14ac:dyDescent="0.25">
      <c r="I711" s="1"/>
      <c r="J711" s="71"/>
      <c r="M711" s="46"/>
      <c r="R711" s="51"/>
      <c r="S711" s="51"/>
    </row>
    <row r="712" spans="9:19" x14ac:dyDescent="0.25">
      <c r="I712" s="1"/>
      <c r="J712" s="71"/>
      <c r="M712" s="46"/>
      <c r="R712" s="51"/>
      <c r="S712" s="51"/>
    </row>
    <row r="713" spans="9:19" x14ac:dyDescent="0.25">
      <c r="I713" s="1"/>
      <c r="J713" s="71"/>
      <c r="M713" s="46"/>
      <c r="R713" s="51"/>
      <c r="S713" s="51"/>
    </row>
    <row r="714" spans="9:19" x14ac:dyDescent="0.25">
      <c r="I714" s="1"/>
      <c r="J714" s="71"/>
      <c r="M714" s="46"/>
      <c r="R714" s="51"/>
      <c r="S714" s="51"/>
    </row>
    <row r="715" spans="9:19" x14ac:dyDescent="0.25">
      <c r="I715" s="1"/>
      <c r="J715" s="71"/>
      <c r="M715" s="46"/>
      <c r="R715" s="51"/>
      <c r="S715" s="51"/>
    </row>
    <row r="716" spans="9:19" x14ac:dyDescent="0.25">
      <c r="I716" s="1"/>
      <c r="J716" s="71"/>
      <c r="M716" s="46"/>
      <c r="R716" s="51"/>
      <c r="S716" s="51"/>
    </row>
    <row r="717" spans="9:19" x14ac:dyDescent="0.25">
      <c r="I717" s="1"/>
      <c r="J717" s="71"/>
      <c r="M717" s="46"/>
      <c r="R717" s="51"/>
      <c r="S717" s="51"/>
    </row>
    <row r="718" spans="9:19" x14ac:dyDescent="0.25">
      <c r="I718" s="1"/>
      <c r="J718" s="71"/>
      <c r="M718" s="46"/>
      <c r="R718" s="51"/>
      <c r="S718" s="51"/>
    </row>
    <row r="719" spans="9:19" x14ac:dyDescent="0.25">
      <c r="I719" s="1"/>
      <c r="J719" s="71"/>
      <c r="M719" s="46"/>
      <c r="R719" s="51"/>
      <c r="S719" s="51"/>
    </row>
    <row r="720" spans="9:19" x14ac:dyDescent="0.25">
      <c r="I720" s="1"/>
      <c r="J720" s="71"/>
      <c r="M720" s="46"/>
      <c r="R720" s="51"/>
      <c r="S720" s="51"/>
    </row>
    <row r="721" spans="9:19" x14ac:dyDescent="0.25">
      <c r="I721" s="1"/>
      <c r="J721" s="71"/>
      <c r="M721" s="46"/>
      <c r="R721" s="51"/>
      <c r="S721" s="51"/>
    </row>
    <row r="722" spans="9:19" x14ac:dyDescent="0.25">
      <c r="I722" s="1"/>
      <c r="J722" s="71"/>
      <c r="M722" s="46"/>
      <c r="R722" s="51"/>
      <c r="S722" s="51"/>
    </row>
    <row r="723" spans="9:19" x14ac:dyDescent="0.25">
      <c r="I723" s="1"/>
      <c r="J723" s="71"/>
      <c r="M723" s="46"/>
      <c r="R723" s="51"/>
      <c r="S723" s="51"/>
    </row>
    <row r="724" spans="9:19" x14ac:dyDescent="0.25">
      <c r="I724" s="1"/>
      <c r="J724" s="71"/>
      <c r="M724" s="46"/>
      <c r="R724" s="51"/>
      <c r="S724" s="51"/>
    </row>
    <row r="725" spans="9:19" x14ac:dyDescent="0.25">
      <c r="I725" s="1"/>
      <c r="J725" s="71"/>
      <c r="M725" s="46"/>
      <c r="R725" s="51"/>
      <c r="S725" s="51"/>
    </row>
    <row r="726" spans="9:19" x14ac:dyDescent="0.25">
      <c r="I726" s="1"/>
      <c r="J726" s="71"/>
      <c r="M726" s="46"/>
      <c r="R726" s="51"/>
      <c r="S726" s="51"/>
    </row>
    <row r="727" spans="9:19" x14ac:dyDescent="0.25">
      <c r="I727" s="1"/>
      <c r="J727" s="71"/>
      <c r="M727" s="46"/>
      <c r="R727" s="51"/>
      <c r="S727" s="51"/>
    </row>
    <row r="728" spans="9:19" x14ac:dyDescent="0.25">
      <c r="I728" s="1"/>
      <c r="J728" s="71"/>
      <c r="M728" s="46"/>
      <c r="R728" s="51"/>
      <c r="S728" s="51"/>
    </row>
    <row r="729" spans="9:19" x14ac:dyDescent="0.25">
      <c r="I729" s="1"/>
      <c r="J729" s="71"/>
      <c r="M729" s="46"/>
      <c r="R729" s="51"/>
      <c r="S729" s="51"/>
    </row>
    <row r="730" spans="9:19" x14ac:dyDescent="0.25">
      <c r="I730" s="1"/>
      <c r="J730" s="71"/>
      <c r="M730" s="46"/>
      <c r="R730" s="51"/>
      <c r="S730" s="51"/>
    </row>
    <row r="731" spans="9:19" x14ac:dyDescent="0.25">
      <c r="I731" s="1"/>
      <c r="J731" s="71"/>
      <c r="M731" s="46"/>
      <c r="R731" s="51"/>
      <c r="S731" s="51"/>
    </row>
    <row r="732" spans="9:19" x14ac:dyDescent="0.25">
      <c r="I732" s="1"/>
      <c r="J732" s="71"/>
      <c r="M732" s="46"/>
      <c r="R732" s="51"/>
      <c r="S732" s="51"/>
    </row>
    <row r="733" spans="9:19" x14ac:dyDescent="0.25">
      <c r="I733" s="1"/>
      <c r="J733" s="71"/>
      <c r="M733" s="46"/>
      <c r="R733" s="51"/>
      <c r="S733" s="51"/>
    </row>
    <row r="734" spans="9:19" x14ac:dyDescent="0.25">
      <c r="I734" s="1"/>
      <c r="J734" s="71"/>
      <c r="M734" s="46"/>
      <c r="R734" s="51"/>
      <c r="S734" s="51"/>
    </row>
    <row r="735" spans="9:19" x14ac:dyDescent="0.25">
      <c r="I735" s="1"/>
      <c r="J735" s="71"/>
      <c r="M735" s="46"/>
      <c r="R735" s="51"/>
      <c r="S735" s="51"/>
    </row>
    <row r="736" spans="9:19" x14ac:dyDescent="0.25">
      <c r="I736" s="1"/>
      <c r="J736" s="71"/>
      <c r="M736" s="46"/>
      <c r="R736" s="51"/>
      <c r="S736" s="51"/>
    </row>
    <row r="737" spans="9:19" x14ac:dyDescent="0.25">
      <c r="I737" s="1"/>
      <c r="J737" s="71"/>
      <c r="M737" s="46"/>
      <c r="R737" s="51"/>
      <c r="S737" s="51"/>
    </row>
    <row r="738" spans="9:19" x14ac:dyDescent="0.25">
      <c r="I738" s="1"/>
      <c r="J738" s="71"/>
      <c r="M738" s="46"/>
      <c r="R738" s="51"/>
      <c r="S738" s="51"/>
    </row>
    <row r="739" spans="9:19" x14ac:dyDescent="0.25">
      <c r="I739" s="1"/>
      <c r="J739" s="71"/>
      <c r="M739" s="46"/>
      <c r="R739" s="51"/>
      <c r="S739" s="51"/>
    </row>
    <row r="740" spans="9:19" x14ac:dyDescent="0.25">
      <c r="I740" s="1"/>
      <c r="J740" s="71"/>
      <c r="M740" s="46"/>
      <c r="R740" s="51"/>
      <c r="S740" s="51"/>
    </row>
    <row r="741" spans="9:19" x14ac:dyDescent="0.25">
      <c r="I741" s="1"/>
      <c r="J741" s="71"/>
      <c r="M741" s="46"/>
      <c r="R741" s="51"/>
      <c r="S741" s="51"/>
    </row>
    <row r="742" spans="9:19" x14ac:dyDescent="0.25">
      <c r="I742" s="1"/>
      <c r="J742" s="71"/>
      <c r="M742" s="46"/>
      <c r="R742" s="51"/>
      <c r="S742" s="51"/>
    </row>
    <row r="743" spans="9:19" x14ac:dyDescent="0.25">
      <c r="I743" s="1"/>
      <c r="J743" s="71"/>
      <c r="M743" s="46"/>
      <c r="R743" s="51"/>
      <c r="S743" s="51"/>
    </row>
    <row r="744" spans="9:19" x14ac:dyDescent="0.25">
      <c r="I744" s="1"/>
      <c r="J744" s="71"/>
      <c r="M744" s="46"/>
      <c r="R744" s="51"/>
      <c r="S744" s="51"/>
    </row>
    <row r="745" spans="9:19" x14ac:dyDescent="0.25">
      <c r="I745" s="1"/>
      <c r="J745" s="71"/>
      <c r="M745" s="46"/>
      <c r="R745" s="51"/>
      <c r="S745" s="51"/>
    </row>
    <row r="746" spans="9:19" x14ac:dyDescent="0.25">
      <c r="I746" s="1"/>
      <c r="J746" s="71"/>
      <c r="M746" s="46"/>
      <c r="R746" s="51"/>
      <c r="S746" s="51"/>
    </row>
    <row r="747" spans="9:19" x14ac:dyDescent="0.25">
      <c r="I747" s="1"/>
      <c r="J747" s="71"/>
      <c r="M747" s="46"/>
      <c r="R747" s="51"/>
      <c r="S747" s="51"/>
    </row>
    <row r="748" spans="9:19" x14ac:dyDescent="0.25">
      <c r="I748" s="1"/>
      <c r="J748" s="71"/>
      <c r="M748" s="46"/>
      <c r="R748" s="51"/>
      <c r="S748" s="51"/>
    </row>
    <row r="749" spans="9:19" x14ac:dyDescent="0.25">
      <c r="I749" s="1"/>
      <c r="J749" s="71"/>
      <c r="M749" s="46"/>
      <c r="R749" s="51"/>
      <c r="S749" s="51"/>
    </row>
    <row r="750" spans="9:19" x14ac:dyDescent="0.25">
      <c r="I750" s="1"/>
      <c r="J750" s="71"/>
      <c r="M750" s="46"/>
      <c r="R750" s="51"/>
      <c r="S750" s="51"/>
    </row>
    <row r="751" spans="9:19" x14ac:dyDescent="0.25">
      <c r="I751" s="1"/>
      <c r="J751" s="71"/>
      <c r="M751" s="46"/>
      <c r="R751" s="51"/>
      <c r="S751" s="51"/>
    </row>
    <row r="752" spans="9:19" x14ac:dyDescent="0.25">
      <c r="I752" s="1"/>
      <c r="J752" s="71"/>
      <c r="M752" s="46"/>
      <c r="R752" s="51"/>
      <c r="S752" s="51"/>
    </row>
    <row r="753" spans="9:19" x14ac:dyDescent="0.25">
      <c r="I753" s="1"/>
      <c r="J753" s="71"/>
      <c r="M753" s="46"/>
      <c r="R753" s="51"/>
      <c r="S753" s="51"/>
    </row>
    <row r="754" spans="9:19" x14ac:dyDescent="0.25">
      <c r="I754" s="1"/>
      <c r="J754" s="71"/>
      <c r="M754" s="46"/>
      <c r="R754" s="51"/>
      <c r="S754" s="51"/>
    </row>
    <row r="755" spans="9:19" x14ac:dyDescent="0.25">
      <c r="I755" s="1"/>
      <c r="J755" s="71"/>
      <c r="M755" s="46"/>
      <c r="R755" s="51"/>
      <c r="S755" s="51"/>
    </row>
    <row r="756" spans="9:19" x14ac:dyDescent="0.25">
      <c r="I756" s="1"/>
      <c r="J756" s="71"/>
      <c r="M756" s="46"/>
      <c r="R756" s="51"/>
      <c r="S756" s="51"/>
    </row>
    <row r="757" spans="9:19" x14ac:dyDescent="0.25">
      <c r="I757" s="1"/>
      <c r="J757" s="71"/>
      <c r="M757" s="46"/>
      <c r="R757" s="51"/>
      <c r="S757" s="51"/>
    </row>
    <row r="758" spans="9:19" x14ac:dyDescent="0.25">
      <c r="I758" s="1"/>
      <c r="J758" s="71"/>
      <c r="M758" s="46"/>
      <c r="R758" s="51"/>
      <c r="S758" s="51"/>
    </row>
    <row r="759" spans="9:19" x14ac:dyDescent="0.25">
      <c r="I759" s="1"/>
      <c r="J759" s="71"/>
      <c r="M759" s="46"/>
      <c r="R759" s="51"/>
      <c r="S759" s="51"/>
    </row>
    <row r="760" spans="9:19" x14ac:dyDescent="0.25">
      <c r="I760" s="1"/>
      <c r="J760" s="71"/>
      <c r="M760" s="46"/>
      <c r="R760" s="51"/>
      <c r="S760" s="51"/>
    </row>
    <row r="761" spans="9:19" x14ac:dyDescent="0.25">
      <c r="I761" s="1"/>
      <c r="J761" s="71"/>
      <c r="M761" s="46"/>
      <c r="R761" s="51"/>
      <c r="S761" s="51"/>
    </row>
    <row r="762" spans="9:19" x14ac:dyDescent="0.25">
      <c r="I762" s="1"/>
      <c r="J762" s="71"/>
      <c r="M762" s="46"/>
      <c r="R762" s="51"/>
      <c r="S762" s="51"/>
    </row>
    <row r="763" spans="9:19" x14ac:dyDescent="0.25">
      <c r="I763" s="1"/>
      <c r="J763" s="71"/>
      <c r="M763" s="46"/>
      <c r="R763" s="51"/>
      <c r="S763" s="51"/>
    </row>
    <row r="764" spans="9:19" x14ac:dyDescent="0.25">
      <c r="I764" s="1"/>
      <c r="J764" s="71"/>
      <c r="M764" s="46"/>
      <c r="R764" s="51"/>
      <c r="S764" s="51"/>
    </row>
    <row r="765" spans="9:19" x14ac:dyDescent="0.25">
      <c r="I765" s="1"/>
      <c r="J765" s="71"/>
      <c r="M765" s="46"/>
      <c r="R765" s="51"/>
      <c r="S765" s="51"/>
    </row>
    <row r="766" spans="9:19" x14ac:dyDescent="0.25">
      <c r="I766" s="1"/>
      <c r="J766" s="71"/>
      <c r="M766" s="46"/>
      <c r="R766" s="51"/>
      <c r="S766" s="51"/>
    </row>
    <row r="767" spans="9:19" x14ac:dyDescent="0.25">
      <c r="I767" s="1"/>
      <c r="J767" s="71"/>
      <c r="M767" s="46"/>
      <c r="R767" s="51"/>
      <c r="S767" s="51"/>
    </row>
    <row r="768" spans="9:19" x14ac:dyDescent="0.25">
      <c r="I768" s="1"/>
      <c r="J768" s="71"/>
      <c r="M768" s="46"/>
      <c r="R768" s="51"/>
      <c r="S768" s="51"/>
    </row>
    <row r="769" spans="9:19" x14ac:dyDescent="0.25">
      <c r="I769" s="1"/>
      <c r="J769" s="71"/>
      <c r="M769" s="46"/>
      <c r="R769" s="51"/>
      <c r="S769" s="51"/>
    </row>
    <row r="770" spans="9:19" x14ac:dyDescent="0.25">
      <c r="I770" s="1"/>
      <c r="J770" s="71"/>
      <c r="M770" s="46"/>
      <c r="R770" s="51"/>
      <c r="S770" s="51"/>
    </row>
    <row r="771" spans="9:19" x14ac:dyDescent="0.25">
      <c r="I771" s="1"/>
      <c r="J771" s="71"/>
      <c r="M771" s="46"/>
      <c r="R771" s="51"/>
      <c r="S771" s="51"/>
    </row>
    <row r="772" spans="9:19" x14ac:dyDescent="0.25">
      <c r="I772" s="1"/>
      <c r="J772" s="71"/>
      <c r="M772" s="46"/>
      <c r="R772" s="51"/>
      <c r="S772" s="51"/>
    </row>
    <row r="773" spans="9:19" x14ac:dyDescent="0.25">
      <c r="I773" s="1"/>
      <c r="J773" s="71"/>
      <c r="M773" s="46"/>
      <c r="R773" s="51"/>
      <c r="S773" s="51"/>
    </row>
    <row r="774" spans="9:19" x14ac:dyDescent="0.25">
      <c r="I774" s="1"/>
      <c r="J774" s="71"/>
      <c r="M774" s="46"/>
      <c r="R774" s="51"/>
      <c r="S774" s="51"/>
    </row>
    <row r="775" spans="9:19" x14ac:dyDescent="0.25">
      <c r="I775" s="1"/>
      <c r="J775" s="71"/>
      <c r="M775" s="46"/>
      <c r="R775" s="51"/>
      <c r="S775" s="51"/>
    </row>
    <row r="776" spans="9:19" x14ac:dyDescent="0.25">
      <c r="I776" s="1"/>
      <c r="J776" s="71"/>
      <c r="M776" s="46"/>
      <c r="R776" s="51"/>
      <c r="S776" s="51"/>
    </row>
    <row r="777" spans="9:19" x14ac:dyDescent="0.25">
      <c r="I777" s="1"/>
      <c r="J777" s="71"/>
      <c r="M777" s="46"/>
      <c r="R777" s="51"/>
      <c r="S777" s="51"/>
    </row>
    <row r="778" spans="9:19" x14ac:dyDescent="0.25">
      <c r="I778" s="1"/>
      <c r="J778" s="71"/>
      <c r="M778" s="46"/>
      <c r="R778" s="51"/>
      <c r="S778" s="51"/>
    </row>
    <row r="779" spans="9:19" x14ac:dyDescent="0.25">
      <c r="I779" s="1"/>
      <c r="J779" s="71"/>
      <c r="M779" s="46"/>
      <c r="R779" s="51"/>
      <c r="S779" s="51"/>
    </row>
    <row r="780" spans="9:19" x14ac:dyDescent="0.25">
      <c r="I780" s="1"/>
      <c r="J780" s="71"/>
      <c r="M780" s="46"/>
      <c r="R780" s="51"/>
      <c r="S780" s="51"/>
    </row>
    <row r="781" spans="9:19" x14ac:dyDescent="0.25">
      <c r="I781" s="1"/>
      <c r="J781" s="71"/>
      <c r="M781" s="46"/>
      <c r="R781" s="51"/>
      <c r="S781" s="51"/>
    </row>
    <row r="782" spans="9:19" x14ac:dyDescent="0.25">
      <c r="I782" s="1"/>
      <c r="J782" s="71"/>
      <c r="M782" s="46"/>
      <c r="R782" s="51"/>
      <c r="S782" s="51"/>
    </row>
    <row r="783" spans="9:19" x14ac:dyDescent="0.25">
      <c r="I783" s="1"/>
      <c r="J783" s="71"/>
      <c r="M783" s="46"/>
      <c r="R783" s="51"/>
      <c r="S783" s="51"/>
    </row>
    <row r="784" spans="9:19" x14ac:dyDescent="0.25">
      <c r="I784" s="1"/>
      <c r="J784" s="71"/>
      <c r="M784" s="46"/>
      <c r="R784" s="51"/>
      <c r="S784" s="51"/>
    </row>
    <row r="785" spans="9:19" x14ac:dyDescent="0.25">
      <c r="I785" s="1"/>
      <c r="J785" s="71"/>
      <c r="M785" s="46"/>
      <c r="R785" s="51"/>
      <c r="S785" s="51"/>
    </row>
    <row r="786" spans="9:19" x14ac:dyDescent="0.25">
      <c r="I786" s="1"/>
      <c r="J786" s="71"/>
      <c r="M786" s="46"/>
      <c r="R786" s="51"/>
      <c r="S786" s="51"/>
    </row>
    <row r="787" spans="9:19" x14ac:dyDescent="0.25">
      <c r="I787" s="1"/>
      <c r="J787" s="71"/>
      <c r="M787" s="46"/>
      <c r="R787" s="51"/>
      <c r="S787" s="51"/>
    </row>
    <row r="788" spans="9:19" x14ac:dyDescent="0.25">
      <c r="I788" s="1"/>
      <c r="J788" s="71"/>
      <c r="M788" s="46"/>
      <c r="R788" s="51"/>
      <c r="S788" s="51"/>
    </row>
    <row r="789" spans="9:19" x14ac:dyDescent="0.25">
      <c r="I789" s="1"/>
      <c r="J789" s="71"/>
      <c r="M789" s="46"/>
      <c r="R789" s="51"/>
      <c r="S789" s="51"/>
    </row>
    <row r="790" spans="9:19" x14ac:dyDescent="0.25">
      <c r="I790" s="1"/>
      <c r="J790" s="71"/>
      <c r="M790" s="46"/>
      <c r="R790" s="51"/>
      <c r="S790" s="51"/>
    </row>
    <row r="791" spans="9:19" x14ac:dyDescent="0.25">
      <c r="I791" s="1"/>
      <c r="J791" s="71"/>
      <c r="M791" s="46"/>
      <c r="R791" s="51"/>
      <c r="S791" s="51"/>
    </row>
    <row r="792" spans="9:19" x14ac:dyDescent="0.25">
      <c r="I792" s="1"/>
      <c r="J792" s="71"/>
      <c r="M792" s="46"/>
      <c r="R792" s="51"/>
      <c r="S792" s="51"/>
    </row>
    <row r="793" spans="9:19" x14ac:dyDescent="0.25">
      <c r="I793" s="1"/>
      <c r="J793" s="71"/>
      <c r="M793" s="46"/>
      <c r="R793" s="51"/>
      <c r="S793" s="51"/>
    </row>
    <row r="794" spans="9:19" x14ac:dyDescent="0.25">
      <c r="I794" s="1"/>
      <c r="J794" s="71"/>
      <c r="M794" s="46"/>
      <c r="R794" s="51"/>
      <c r="S794" s="51"/>
    </row>
    <row r="795" spans="9:19" x14ac:dyDescent="0.25">
      <c r="I795" s="1"/>
      <c r="J795" s="71"/>
      <c r="M795" s="46"/>
      <c r="R795" s="51"/>
      <c r="S795" s="51"/>
    </row>
    <row r="796" spans="9:19" x14ac:dyDescent="0.25">
      <c r="I796" s="1"/>
      <c r="J796" s="71"/>
      <c r="M796" s="46"/>
      <c r="R796" s="51"/>
      <c r="S796" s="51"/>
    </row>
    <row r="797" spans="9:19" x14ac:dyDescent="0.25">
      <c r="I797" s="1"/>
      <c r="J797" s="71"/>
      <c r="M797" s="46"/>
      <c r="R797" s="51"/>
      <c r="S797" s="51"/>
    </row>
    <row r="798" spans="9:19" x14ac:dyDescent="0.25">
      <c r="I798" s="1"/>
      <c r="J798" s="71"/>
      <c r="M798" s="46"/>
      <c r="R798" s="51"/>
      <c r="S798" s="51"/>
    </row>
    <row r="799" spans="9:19" x14ac:dyDescent="0.25">
      <c r="I799" s="1"/>
      <c r="J799" s="71"/>
      <c r="M799" s="46"/>
      <c r="R799" s="51"/>
      <c r="S799" s="51"/>
    </row>
    <row r="800" spans="9:19" x14ac:dyDescent="0.25">
      <c r="I800" s="1"/>
      <c r="J800" s="71"/>
      <c r="M800" s="46"/>
      <c r="R800" s="51"/>
      <c r="S800" s="51"/>
    </row>
    <row r="801" spans="9:19" x14ac:dyDescent="0.25">
      <c r="I801" s="1"/>
      <c r="J801" s="71"/>
      <c r="M801" s="46"/>
      <c r="R801" s="51"/>
      <c r="S801" s="51"/>
    </row>
    <row r="802" spans="9:19" x14ac:dyDescent="0.25">
      <c r="I802" s="1"/>
      <c r="J802" s="71"/>
      <c r="M802" s="46"/>
      <c r="R802" s="51"/>
      <c r="S802" s="51"/>
    </row>
    <row r="803" spans="9:19" x14ac:dyDescent="0.25">
      <c r="I803" s="1"/>
      <c r="J803" s="71"/>
      <c r="M803" s="46"/>
      <c r="R803" s="51"/>
      <c r="S803" s="51"/>
    </row>
    <row r="804" spans="9:19" x14ac:dyDescent="0.25">
      <c r="I804" s="1"/>
      <c r="J804" s="71"/>
      <c r="M804" s="46"/>
      <c r="R804" s="51"/>
      <c r="S804" s="51"/>
    </row>
    <row r="805" spans="9:19" x14ac:dyDescent="0.25">
      <c r="I805" s="1"/>
      <c r="J805" s="71"/>
      <c r="M805" s="46"/>
      <c r="R805" s="51"/>
      <c r="S805" s="51"/>
    </row>
    <row r="806" spans="9:19" x14ac:dyDescent="0.25">
      <c r="I806" s="1"/>
      <c r="J806" s="71"/>
      <c r="M806" s="46"/>
      <c r="R806" s="51"/>
      <c r="S806" s="51"/>
    </row>
    <row r="807" spans="9:19" x14ac:dyDescent="0.25">
      <c r="I807" s="1"/>
      <c r="J807" s="71"/>
      <c r="M807" s="46"/>
      <c r="R807" s="51"/>
      <c r="S807" s="51"/>
    </row>
    <row r="808" spans="9:19" x14ac:dyDescent="0.25">
      <c r="I808" s="1"/>
      <c r="J808" s="71"/>
      <c r="M808" s="46"/>
      <c r="R808" s="51"/>
      <c r="S808" s="51"/>
    </row>
    <row r="809" spans="9:19" x14ac:dyDescent="0.25">
      <c r="I809" s="1"/>
      <c r="J809" s="71"/>
      <c r="M809" s="46"/>
      <c r="R809" s="51"/>
      <c r="S809" s="51"/>
    </row>
    <row r="810" spans="9:19" x14ac:dyDescent="0.25">
      <c r="I810" s="1"/>
      <c r="J810" s="71"/>
      <c r="M810" s="46"/>
      <c r="R810" s="51"/>
      <c r="S810" s="51"/>
    </row>
    <row r="811" spans="9:19" x14ac:dyDescent="0.25">
      <c r="I811" s="1"/>
      <c r="J811" s="71"/>
      <c r="M811" s="46"/>
      <c r="R811" s="51"/>
      <c r="S811" s="51"/>
    </row>
    <row r="812" spans="9:19" x14ac:dyDescent="0.25">
      <c r="I812" s="1"/>
      <c r="J812" s="71"/>
      <c r="M812" s="46"/>
      <c r="R812" s="51"/>
      <c r="S812" s="51"/>
    </row>
    <row r="813" spans="9:19" x14ac:dyDescent="0.25">
      <c r="I813" s="1"/>
      <c r="J813" s="71"/>
      <c r="M813" s="46"/>
      <c r="R813" s="51"/>
      <c r="S813" s="51"/>
    </row>
    <row r="814" spans="9:19" x14ac:dyDescent="0.25">
      <c r="I814" s="1"/>
      <c r="J814" s="71"/>
      <c r="M814" s="46"/>
      <c r="R814" s="51"/>
      <c r="S814" s="51"/>
    </row>
    <row r="815" spans="9:19" x14ac:dyDescent="0.25">
      <c r="I815" s="1"/>
      <c r="J815" s="71"/>
      <c r="M815" s="46"/>
      <c r="R815" s="51"/>
      <c r="S815" s="51"/>
    </row>
    <row r="816" spans="9:19" x14ac:dyDescent="0.25">
      <c r="I816" s="1"/>
      <c r="J816" s="71"/>
      <c r="M816" s="46"/>
      <c r="R816" s="51"/>
      <c r="S816" s="51"/>
    </row>
    <row r="817" spans="9:19" x14ac:dyDescent="0.25">
      <c r="I817" s="1"/>
      <c r="J817" s="71"/>
      <c r="M817" s="46"/>
      <c r="R817" s="51"/>
      <c r="S817" s="51"/>
    </row>
    <row r="818" spans="9:19" x14ac:dyDescent="0.25">
      <c r="I818" s="1"/>
      <c r="J818" s="71"/>
      <c r="M818" s="46"/>
      <c r="R818" s="51"/>
      <c r="S818" s="51"/>
    </row>
    <row r="819" spans="9:19" x14ac:dyDescent="0.25">
      <c r="I819" s="1"/>
      <c r="J819" s="71"/>
      <c r="M819" s="46"/>
      <c r="R819" s="51"/>
      <c r="S819" s="51"/>
    </row>
    <row r="820" spans="9:19" x14ac:dyDescent="0.25">
      <c r="I820" s="1"/>
      <c r="J820" s="71"/>
      <c r="M820" s="46"/>
      <c r="R820" s="51"/>
      <c r="S820" s="51"/>
    </row>
    <row r="821" spans="9:19" x14ac:dyDescent="0.25">
      <c r="I821" s="1"/>
      <c r="J821" s="71"/>
      <c r="M821" s="46"/>
      <c r="R821" s="51"/>
      <c r="S821" s="51"/>
    </row>
    <row r="822" spans="9:19" x14ac:dyDescent="0.25">
      <c r="I822" s="1"/>
      <c r="J822" s="71"/>
      <c r="M822" s="46"/>
      <c r="R822" s="51"/>
      <c r="S822" s="51"/>
    </row>
    <row r="823" spans="9:19" x14ac:dyDescent="0.25">
      <c r="I823" s="1"/>
      <c r="J823" s="71"/>
      <c r="M823" s="46"/>
      <c r="R823" s="51"/>
      <c r="S823" s="51"/>
    </row>
    <row r="824" spans="9:19" x14ac:dyDescent="0.25">
      <c r="I824" s="1"/>
      <c r="J824" s="71"/>
      <c r="M824" s="46"/>
      <c r="R824" s="51"/>
      <c r="S824" s="51"/>
    </row>
    <row r="825" spans="9:19" x14ac:dyDescent="0.25">
      <c r="I825" s="1"/>
      <c r="J825" s="71"/>
      <c r="M825" s="46"/>
      <c r="R825" s="51"/>
      <c r="S825" s="51"/>
    </row>
    <row r="826" spans="9:19" x14ac:dyDescent="0.25">
      <c r="I826" s="1"/>
      <c r="J826" s="71"/>
      <c r="M826" s="46"/>
      <c r="R826" s="51"/>
      <c r="S826" s="51"/>
    </row>
    <row r="827" spans="9:19" x14ac:dyDescent="0.25">
      <c r="I827" s="1"/>
      <c r="J827" s="71"/>
      <c r="M827" s="46"/>
      <c r="R827" s="51"/>
      <c r="S827" s="51"/>
    </row>
    <row r="828" spans="9:19" x14ac:dyDescent="0.25">
      <c r="I828" s="1"/>
      <c r="J828" s="71"/>
      <c r="M828" s="46"/>
      <c r="R828" s="51"/>
      <c r="S828" s="51"/>
    </row>
    <row r="829" spans="9:19" x14ac:dyDescent="0.25">
      <c r="I829" s="1"/>
      <c r="J829" s="71"/>
      <c r="M829" s="46"/>
      <c r="R829" s="51"/>
      <c r="S829" s="51"/>
    </row>
    <row r="830" spans="9:19" x14ac:dyDescent="0.25">
      <c r="I830" s="1"/>
      <c r="J830" s="71"/>
      <c r="M830" s="46"/>
      <c r="R830" s="51"/>
      <c r="S830" s="51"/>
    </row>
    <row r="831" spans="9:19" x14ac:dyDescent="0.25">
      <c r="I831" s="1"/>
      <c r="J831" s="71"/>
      <c r="M831" s="46"/>
      <c r="R831" s="51"/>
      <c r="S831" s="51"/>
    </row>
    <row r="832" spans="9:19" x14ac:dyDescent="0.25">
      <c r="I832" s="1"/>
      <c r="J832" s="71"/>
      <c r="M832" s="46"/>
      <c r="R832" s="51"/>
      <c r="S832" s="51"/>
    </row>
    <row r="833" spans="9:19" x14ac:dyDescent="0.25">
      <c r="I833" s="1"/>
      <c r="J833" s="71"/>
      <c r="M833" s="46"/>
      <c r="R833" s="51"/>
      <c r="S833" s="51"/>
    </row>
    <row r="834" spans="9:19" x14ac:dyDescent="0.25">
      <c r="I834" s="1"/>
      <c r="J834" s="71"/>
      <c r="M834" s="46"/>
      <c r="R834" s="51"/>
      <c r="S834" s="51"/>
    </row>
    <row r="835" spans="9:19" x14ac:dyDescent="0.25">
      <c r="I835" s="1"/>
      <c r="J835" s="71"/>
      <c r="M835" s="46"/>
      <c r="R835" s="51"/>
      <c r="S835" s="51"/>
    </row>
    <row r="836" spans="9:19" x14ac:dyDescent="0.25">
      <c r="I836" s="1"/>
      <c r="J836" s="71"/>
      <c r="M836" s="46"/>
      <c r="R836" s="51"/>
      <c r="S836" s="51"/>
    </row>
    <row r="837" spans="9:19" x14ac:dyDescent="0.25">
      <c r="I837" s="1"/>
      <c r="J837" s="71"/>
      <c r="M837" s="46"/>
      <c r="R837" s="51"/>
      <c r="S837" s="51"/>
    </row>
    <row r="838" spans="9:19" x14ac:dyDescent="0.25">
      <c r="I838" s="1"/>
      <c r="J838" s="71"/>
      <c r="M838" s="46"/>
      <c r="R838" s="51"/>
      <c r="S838" s="51"/>
    </row>
    <row r="839" spans="9:19" x14ac:dyDescent="0.25">
      <c r="I839" s="1"/>
      <c r="J839" s="71"/>
      <c r="M839" s="46"/>
      <c r="R839" s="51"/>
      <c r="S839" s="51"/>
    </row>
    <row r="840" spans="9:19" x14ac:dyDescent="0.25">
      <c r="I840" s="1"/>
      <c r="J840" s="71"/>
      <c r="M840" s="46"/>
      <c r="R840" s="51"/>
      <c r="S840" s="51"/>
    </row>
    <row r="841" spans="9:19" x14ac:dyDescent="0.25">
      <c r="I841" s="1"/>
      <c r="J841" s="71"/>
      <c r="M841" s="46"/>
      <c r="R841" s="51"/>
      <c r="S841" s="51"/>
    </row>
    <row r="842" spans="9:19" x14ac:dyDescent="0.25">
      <c r="I842" s="1"/>
      <c r="J842" s="71"/>
      <c r="M842" s="46"/>
      <c r="R842" s="51"/>
      <c r="S842" s="51"/>
    </row>
    <row r="843" spans="9:19" x14ac:dyDescent="0.25">
      <c r="I843" s="1"/>
      <c r="J843" s="71"/>
      <c r="M843" s="46"/>
      <c r="R843" s="51"/>
      <c r="S843" s="51"/>
    </row>
    <row r="844" spans="9:19" x14ac:dyDescent="0.25">
      <c r="I844" s="1"/>
      <c r="J844" s="71"/>
      <c r="M844" s="46"/>
      <c r="R844" s="51"/>
      <c r="S844" s="51"/>
    </row>
    <row r="845" spans="9:19" x14ac:dyDescent="0.25">
      <c r="I845" s="1"/>
      <c r="J845" s="71"/>
      <c r="M845" s="46"/>
      <c r="R845" s="51"/>
      <c r="S845" s="51"/>
    </row>
    <row r="846" spans="9:19" x14ac:dyDescent="0.25">
      <c r="I846" s="1"/>
      <c r="J846" s="71"/>
      <c r="M846" s="46"/>
      <c r="R846" s="51"/>
      <c r="S846" s="51"/>
    </row>
    <row r="847" spans="9:19" x14ac:dyDescent="0.25">
      <c r="I847" s="1"/>
      <c r="J847" s="71"/>
      <c r="M847" s="46"/>
      <c r="R847" s="51"/>
      <c r="S847" s="51"/>
    </row>
    <row r="848" spans="9:19" x14ac:dyDescent="0.25">
      <c r="I848" s="1"/>
      <c r="J848" s="71"/>
      <c r="M848" s="46"/>
      <c r="R848" s="51"/>
      <c r="S848" s="51"/>
    </row>
    <row r="849" spans="9:19" x14ac:dyDescent="0.25">
      <c r="I849" s="1"/>
      <c r="J849" s="71"/>
      <c r="M849" s="46"/>
      <c r="R849" s="51"/>
      <c r="S849" s="51"/>
    </row>
    <row r="850" spans="9:19" x14ac:dyDescent="0.25">
      <c r="I850" s="1"/>
      <c r="J850" s="71"/>
      <c r="M850" s="46"/>
      <c r="R850" s="51"/>
      <c r="S850" s="51"/>
    </row>
    <row r="851" spans="9:19" x14ac:dyDescent="0.25">
      <c r="I851" s="1"/>
      <c r="J851" s="71"/>
      <c r="M851" s="46"/>
      <c r="R851" s="51"/>
      <c r="S851" s="51"/>
    </row>
    <row r="852" spans="9:19" x14ac:dyDescent="0.25">
      <c r="I852" s="1"/>
      <c r="J852" s="71"/>
      <c r="M852" s="46"/>
      <c r="R852" s="51"/>
      <c r="S852" s="51"/>
    </row>
    <row r="853" spans="9:19" x14ac:dyDescent="0.25">
      <c r="I853" s="1"/>
      <c r="J853" s="71"/>
      <c r="M853" s="46"/>
      <c r="R853" s="51"/>
      <c r="S853" s="51"/>
    </row>
    <row r="854" spans="9:19" x14ac:dyDescent="0.25">
      <c r="I854" s="1"/>
      <c r="J854" s="71"/>
      <c r="M854" s="46"/>
      <c r="R854" s="51"/>
      <c r="S854" s="51"/>
    </row>
    <row r="855" spans="9:19" x14ac:dyDescent="0.25">
      <c r="I855" s="1"/>
      <c r="J855" s="71"/>
      <c r="M855" s="46"/>
      <c r="R855" s="51"/>
      <c r="S855" s="51"/>
    </row>
    <row r="856" spans="9:19" x14ac:dyDescent="0.25">
      <c r="I856" s="1"/>
      <c r="J856" s="71"/>
      <c r="M856" s="46"/>
      <c r="R856" s="51"/>
      <c r="S856" s="51"/>
    </row>
    <row r="857" spans="9:19" x14ac:dyDescent="0.25">
      <c r="I857" s="1"/>
      <c r="J857" s="71"/>
      <c r="M857" s="46"/>
      <c r="R857" s="51"/>
      <c r="S857" s="51"/>
    </row>
    <row r="858" spans="9:19" x14ac:dyDescent="0.25">
      <c r="I858" s="1"/>
      <c r="J858" s="71"/>
      <c r="M858" s="46"/>
      <c r="R858" s="51"/>
      <c r="S858" s="51"/>
    </row>
    <row r="859" spans="9:19" x14ac:dyDescent="0.25">
      <c r="I859" s="1"/>
      <c r="J859" s="71"/>
      <c r="M859" s="46"/>
      <c r="R859" s="51"/>
      <c r="S859" s="51"/>
    </row>
    <row r="860" spans="9:19" x14ac:dyDescent="0.25">
      <c r="I860" s="1"/>
      <c r="J860" s="71"/>
      <c r="M860" s="46"/>
      <c r="R860" s="51"/>
      <c r="S860" s="51"/>
    </row>
    <row r="861" spans="9:19" x14ac:dyDescent="0.25">
      <c r="I861" s="1"/>
      <c r="J861" s="71"/>
      <c r="M861" s="46"/>
      <c r="R861" s="51"/>
      <c r="S861" s="51"/>
    </row>
    <row r="862" spans="9:19" x14ac:dyDescent="0.25">
      <c r="I862" s="1"/>
      <c r="J862" s="71"/>
      <c r="M862" s="46"/>
      <c r="R862" s="51"/>
      <c r="S862" s="51"/>
    </row>
    <row r="863" spans="9:19" x14ac:dyDescent="0.25">
      <c r="I863" s="1"/>
      <c r="J863" s="71"/>
      <c r="M863" s="46"/>
      <c r="R863" s="51"/>
      <c r="S863" s="51"/>
    </row>
    <row r="864" spans="9:19" x14ac:dyDescent="0.25">
      <c r="I864" s="1"/>
      <c r="J864" s="71"/>
      <c r="M864" s="46"/>
      <c r="R864" s="51"/>
      <c r="S864" s="51"/>
    </row>
    <row r="865" spans="9:19" x14ac:dyDescent="0.25">
      <c r="I865" s="1"/>
      <c r="J865" s="71"/>
      <c r="M865" s="46"/>
      <c r="R865" s="51"/>
      <c r="S865" s="51"/>
    </row>
    <row r="866" spans="9:19" x14ac:dyDescent="0.25">
      <c r="I866" s="1"/>
      <c r="J866" s="71"/>
      <c r="M866" s="46"/>
      <c r="R866" s="51"/>
      <c r="S866" s="51"/>
    </row>
    <row r="867" spans="9:19" x14ac:dyDescent="0.25">
      <c r="I867" s="1"/>
      <c r="J867" s="71"/>
      <c r="M867" s="46"/>
      <c r="R867" s="51"/>
      <c r="S867" s="51"/>
    </row>
    <row r="868" spans="9:19" x14ac:dyDescent="0.25">
      <c r="I868" s="1"/>
      <c r="J868" s="71"/>
      <c r="M868" s="46"/>
      <c r="R868" s="51"/>
      <c r="S868" s="51"/>
    </row>
    <row r="869" spans="9:19" x14ac:dyDescent="0.25">
      <c r="I869" s="1"/>
      <c r="J869" s="71"/>
      <c r="M869" s="46"/>
      <c r="R869" s="51"/>
      <c r="S869" s="51"/>
    </row>
    <row r="870" spans="9:19" x14ac:dyDescent="0.25">
      <c r="I870" s="1"/>
      <c r="J870" s="71"/>
      <c r="M870" s="46"/>
      <c r="R870" s="51"/>
      <c r="S870" s="51"/>
    </row>
    <row r="871" spans="9:19" x14ac:dyDescent="0.25">
      <c r="I871" s="1"/>
      <c r="J871" s="71"/>
      <c r="M871" s="46"/>
      <c r="R871" s="51"/>
      <c r="S871" s="51"/>
    </row>
    <row r="872" spans="9:19" x14ac:dyDescent="0.25">
      <c r="I872" s="1"/>
      <c r="J872" s="71"/>
      <c r="M872" s="46"/>
      <c r="R872" s="51"/>
      <c r="S872" s="51"/>
    </row>
    <row r="873" spans="9:19" x14ac:dyDescent="0.25">
      <c r="I873" s="1"/>
      <c r="J873" s="71"/>
      <c r="M873" s="46"/>
      <c r="R873" s="51"/>
      <c r="S873" s="51"/>
    </row>
    <row r="874" spans="9:19" x14ac:dyDescent="0.25">
      <c r="I874" s="1"/>
      <c r="J874" s="71"/>
      <c r="M874" s="46"/>
      <c r="R874" s="51"/>
      <c r="S874" s="51"/>
    </row>
    <row r="875" spans="9:19" x14ac:dyDescent="0.25">
      <c r="I875" s="1"/>
      <c r="J875" s="71"/>
      <c r="M875" s="46"/>
      <c r="R875" s="51"/>
      <c r="S875" s="51"/>
    </row>
    <row r="876" spans="9:19" x14ac:dyDescent="0.25">
      <c r="I876" s="1"/>
      <c r="J876" s="71"/>
      <c r="M876" s="46"/>
      <c r="R876" s="51"/>
      <c r="S876" s="51"/>
    </row>
    <row r="877" spans="9:19" x14ac:dyDescent="0.25">
      <c r="I877" s="1"/>
      <c r="J877" s="71"/>
      <c r="M877" s="46"/>
      <c r="R877" s="51"/>
      <c r="S877" s="51"/>
    </row>
    <row r="878" spans="9:19" x14ac:dyDescent="0.25">
      <c r="I878" s="1"/>
      <c r="J878" s="71"/>
      <c r="M878" s="46"/>
      <c r="R878" s="51"/>
      <c r="S878" s="51"/>
    </row>
    <row r="879" spans="9:19" x14ac:dyDescent="0.25">
      <c r="I879" s="1"/>
      <c r="J879" s="71"/>
      <c r="M879" s="46"/>
      <c r="R879" s="51"/>
      <c r="S879" s="51"/>
    </row>
    <row r="880" spans="9:19" x14ac:dyDescent="0.25">
      <c r="I880" s="1"/>
      <c r="J880" s="71"/>
      <c r="M880" s="46"/>
      <c r="R880" s="51"/>
      <c r="S880" s="51"/>
    </row>
    <row r="881" spans="9:19" x14ac:dyDescent="0.25">
      <c r="I881" s="1"/>
      <c r="J881" s="71"/>
      <c r="M881" s="46"/>
      <c r="R881" s="51"/>
      <c r="S881" s="51"/>
    </row>
    <row r="882" spans="9:19" x14ac:dyDescent="0.25">
      <c r="I882" s="1"/>
      <c r="J882" s="71"/>
      <c r="M882" s="46"/>
      <c r="R882" s="51"/>
      <c r="S882" s="51"/>
    </row>
    <row r="883" spans="9:19" x14ac:dyDescent="0.25">
      <c r="I883" s="1"/>
      <c r="J883" s="71"/>
      <c r="M883" s="46"/>
      <c r="R883" s="51"/>
      <c r="S883" s="51"/>
    </row>
    <row r="884" spans="9:19" x14ac:dyDescent="0.25">
      <c r="I884" s="1"/>
      <c r="J884" s="71"/>
      <c r="M884" s="46"/>
      <c r="R884" s="51"/>
      <c r="S884" s="51"/>
    </row>
    <row r="885" spans="9:19" x14ac:dyDescent="0.25">
      <c r="I885" s="1"/>
      <c r="J885" s="71"/>
      <c r="M885" s="46"/>
      <c r="R885" s="51"/>
      <c r="S885" s="51"/>
    </row>
    <row r="886" spans="9:19" x14ac:dyDescent="0.25">
      <c r="I886" s="1"/>
      <c r="J886" s="71"/>
      <c r="M886" s="46"/>
      <c r="R886" s="51"/>
      <c r="S886" s="51"/>
    </row>
    <row r="887" spans="9:19" x14ac:dyDescent="0.25">
      <c r="I887" s="1"/>
      <c r="J887" s="71"/>
      <c r="M887" s="46"/>
      <c r="R887" s="51"/>
      <c r="S887" s="51"/>
    </row>
    <row r="888" spans="9:19" x14ac:dyDescent="0.25">
      <c r="I888" s="1"/>
      <c r="J888" s="71"/>
      <c r="M888" s="46"/>
      <c r="R888" s="51"/>
      <c r="S888" s="51"/>
    </row>
    <row r="889" spans="9:19" x14ac:dyDescent="0.25">
      <c r="I889" s="1"/>
      <c r="J889" s="71"/>
      <c r="M889" s="46"/>
      <c r="R889" s="51"/>
      <c r="S889" s="51"/>
    </row>
    <row r="890" spans="9:19" x14ac:dyDescent="0.25">
      <c r="I890" s="1"/>
      <c r="J890" s="71"/>
      <c r="M890" s="46"/>
      <c r="R890" s="51"/>
      <c r="S890" s="51"/>
    </row>
    <row r="891" spans="9:19" x14ac:dyDescent="0.25">
      <c r="I891" s="1"/>
      <c r="J891" s="71"/>
      <c r="M891" s="46"/>
      <c r="R891" s="51"/>
      <c r="S891" s="51"/>
    </row>
    <row r="892" spans="9:19" x14ac:dyDescent="0.25">
      <c r="I892" s="1"/>
      <c r="J892" s="71"/>
      <c r="M892" s="46"/>
      <c r="R892" s="51"/>
      <c r="S892" s="51"/>
    </row>
    <row r="893" spans="9:19" x14ac:dyDescent="0.25">
      <c r="I893" s="1"/>
      <c r="J893" s="71"/>
      <c r="M893" s="46"/>
      <c r="R893" s="51"/>
      <c r="S893" s="51"/>
    </row>
    <row r="894" spans="9:19" x14ac:dyDescent="0.25">
      <c r="I894" s="1"/>
      <c r="J894" s="71"/>
      <c r="M894" s="46"/>
      <c r="R894" s="51"/>
      <c r="S894" s="51"/>
    </row>
    <row r="895" spans="9:19" x14ac:dyDescent="0.25">
      <c r="I895" s="1"/>
      <c r="J895" s="71"/>
      <c r="M895" s="46"/>
      <c r="R895" s="51"/>
      <c r="S895" s="51"/>
    </row>
    <row r="896" spans="9:19" x14ac:dyDescent="0.25">
      <c r="I896" s="1"/>
      <c r="J896" s="71"/>
      <c r="M896" s="46"/>
      <c r="R896" s="51"/>
      <c r="S896" s="51"/>
    </row>
    <row r="897" spans="9:19" x14ac:dyDescent="0.25">
      <c r="I897" s="1"/>
      <c r="J897" s="71"/>
      <c r="M897" s="46"/>
      <c r="R897" s="51"/>
      <c r="S897" s="51"/>
    </row>
    <row r="898" spans="9:19" x14ac:dyDescent="0.25">
      <c r="I898" s="1"/>
      <c r="J898" s="71"/>
      <c r="M898" s="46"/>
      <c r="R898" s="51"/>
      <c r="S898" s="51"/>
    </row>
    <row r="899" spans="9:19" x14ac:dyDescent="0.25">
      <c r="I899" s="1"/>
      <c r="J899" s="71"/>
      <c r="M899" s="46"/>
      <c r="R899" s="51"/>
      <c r="S899" s="51"/>
    </row>
    <row r="900" spans="9:19" x14ac:dyDescent="0.25">
      <c r="I900" s="1"/>
      <c r="J900" s="71"/>
      <c r="M900" s="46"/>
      <c r="R900" s="51"/>
      <c r="S900" s="51"/>
    </row>
    <row r="901" spans="9:19" x14ac:dyDescent="0.25">
      <c r="I901" s="1"/>
      <c r="J901" s="71"/>
      <c r="M901" s="46"/>
      <c r="R901" s="51"/>
      <c r="S901" s="51"/>
    </row>
    <row r="902" spans="9:19" x14ac:dyDescent="0.25">
      <c r="I902" s="1"/>
      <c r="J902" s="71"/>
      <c r="M902" s="46"/>
      <c r="R902" s="51"/>
      <c r="S902" s="51"/>
    </row>
    <row r="903" spans="9:19" x14ac:dyDescent="0.25">
      <c r="I903" s="1"/>
      <c r="J903" s="71"/>
      <c r="M903" s="46"/>
      <c r="R903" s="51"/>
      <c r="S903" s="51"/>
    </row>
    <row r="904" spans="9:19" x14ac:dyDescent="0.25">
      <c r="I904" s="1"/>
      <c r="J904" s="71"/>
      <c r="M904" s="46"/>
      <c r="R904" s="51"/>
      <c r="S904" s="51"/>
    </row>
    <row r="905" spans="9:19" x14ac:dyDescent="0.25">
      <c r="I905" s="1"/>
      <c r="J905" s="71"/>
      <c r="M905" s="46"/>
      <c r="R905" s="51"/>
      <c r="S905" s="51"/>
    </row>
    <row r="906" spans="9:19" x14ac:dyDescent="0.25">
      <c r="I906" s="1"/>
      <c r="J906" s="71"/>
      <c r="M906" s="46"/>
      <c r="R906" s="51"/>
      <c r="S906" s="51"/>
    </row>
    <row r="907" spans="9:19" x14ac:dyDescent="0.25">
      <c r="I907" s="1"/>
      <c r="J907" s="71"/>
      <c r="M907" s="46"/>
      <c r="R907" s="51"/>
      <c r="S907" s="51"/>
    </row>
    <row r="908" spans="9:19" x14ac:dyDescent="0.25">
      <c r="I908" s="1"/>
      <c r="J908" s="71"/>
      <c r="M908" s="46"/>
      <c r="R908" s="51"/>
      <c r="S908" s="51"/>
    </row>
    <row r="909" spans="9:19" x14ac:dyDescent="0.25">
      <c r="I909" s="1"/>
      <c r="J909" s="71"/>
      <c r="M909" s="46"/>
      <c r="R909" s="51"/>
      <c r="S909" s="51"/>
    </row>
    <row r="910" spans="9:19" x14ac:dyDescent="0.25">
      <c r="I910" s="1"/>
      <c r="J910" s="71"/>
      <c r="M910" s="46"/>
      <c r="R910" s="51"/>
      <c r="S910" s="51"/>
    </row>
    <row r="911" spans="9:19" x14ac:dyDescent="0.25">
      <c r="I911" s="1"/>
      <c r="J911" s="71"/>
      <c r="M911" s="46"/>
      <c r="R911" s="51"/>
      <c r="S911" s="51"/>
    </row>
    <row r="912" spans="9:19" x14ac:dyDescent="0.25">
      <c r="I912" s="1"/>
      <c r="J912" s="71"/>
      <c r="M912" s="46"/>
      <c r="R912" s="51"/>
      <c r="S912" s="51"/>
    </row>
    <row r="913" spans="9:19" x14ac:dyDescent="0.25">
      <c r="I913" s="1"/>
      <c r="J913" s="71"/>
      <c r="M913" s="46"/>
      <c r="R913" s="51"/>
      <c r="S913" s="51"/>
    </row>
    <row r="914" spans="9:19" x14ac:dyDescent="0.25">
      <c r="I914" s="1"/>
      <c r="J914" s="71"/>
      <c r="M914" s="46"/>
      <c r="R914" s="51"/>
      <c r="S914" s="51"/>
    </row>
    <row r="915" spans="9:19" x14ac:dyDescent="0.25">
      <c r="I915" s="1"/>
      <c r="J915" s="71"/>
      <c r="M915" s="46"/>
      <c r="R915" s="51"/>
      <c r="S915" s="51"/>
    </row>
    <row r="916" spans="9:19" x14ac:dyDescent="0.25">
      <c r="I916" s="1"/>
      <c r="J916" s="71"/>
      <c r="M916" s="46"/>
      <c r="R916" s="51"/>
      <c r="S916" s="51"/>
    </row>
    <row r="917" spans="9:19" x14ac:dyDescent="0.25">
      <c r="I917" s="1"/>
      <c r="J917" s="71"/>
      <c r="M917" s="46"/>
      <c r="R917" s="51"/>
      <c r="S917" s="51"/>
    </row>
    <row r="918" spans="9:19" x14ac:dyDescent="0.25">
      <c r="I918" s="1"/>
      <c r="J918" s="71"/>
      <c r="M918" s="46"/>
      <c r="R918" s="51"/>
      <c r="S918" s="51"/>
    </row>
    <row r="919" spans="9:19" x14ac:dyDescent="0.25">
      <c r="I919" s="1"/>
      <c r="J919" s="71"/>
      <c r="M919" s="46"/>
      <c r="R919" s="51"/>
      <c r="S919" s="51"/>
    </row>
    <row r="920" spans="9:19" x14ac:dyDescent="0.25">
      <c r="I920" s="1"/>
      <c r="J920" s="71"/>
      <c r="M920" s="46"/>
      <c r="R920" s="51"/>
      <c r="S920" s="51"/>
    </row>
    <row r="921" spans="9:19" x14ac:dyDescent="0.25">
      <c r="I921" s="1"/>
      <c r="J921" s="71"/>
      <c r="M921" s="46"/>
      <c r="R921" s="51"/>
      <c r="S921" s="51"/>
    </row>
    <row r="922" spans="9:19" x14ac:dyDescent="0.25">
      <c r="I922" s="1"/>
      <c r="J922" s="71"/>
      <c r="M922" s="46"/>
      <c r="R922" s="51"/>
      <c r="S922" s="51"/>
    </row>
    <row r="923" spans="9:19" x14ac:dyDescent="0.25">
      <c r="I923" s="1"/>
      <c r="J923" s="71"/>
      <c r="M923" s="46"/>
      <c r="R923" s="51"/>
      <c r="S923" s="51"/>
    </row>
    <row r="924" spans="9:19" x14ac:dyDescent="0.25">
      <c r="I924" s="1"/>
      <c r="J924" s="71"/>
      <c r="M924" s="46"/>
      <c r="R924" s="51"/>
      <c r="S924" s="51"/>
    </row>
    <row r="925" spans="9:19" x14ac:dyDescent="0.25">
      <c r="I925" s="1"/>
      <c r="J925" s="71"/>
      <c r="M925" s="46"/>
      <c r="R925" s="51"/>
      <c r="S925" s="51"/>
    </row>
    <row r="926" spans="9:19" x14ac:dyDescent="0.25">
      <c r="I926" s="1"/>
      <c r="J926" s="71"/>
      <c r="M926" s="46"/>
      <c r="R926" s="51"/>
      <c r="S926" s="51"/>
    </row>
    <row r="927" spans="9:19" x14ac:dyDescent="0.25">
      <c r="I927" s="1"/>
      <c r="J927" s="71"/>
      <c r="M927" s="46"/>
      <c r="R927" s="51"/>
      <c r="S927" s="51"/>
    </row>
    <row r="928" spans="9:19" x14ac:dyDescent="0.25">
      <c r="I928" s="1"/>
      <c r="J928" s="71"/>
      <c r="M928" s="46"/>
      <c r="R928" s="51"/>
      <c r="S928" s="51"/>
    </row>
    <row r="929" spans="9:19" x14ac:dyDescent="0.25">
      <c r="I929" s="1"/>
      <c r="J929" s="71"/>
      <c r="M929" s="46"/>
      <c r="R929" s="51"/>
      <c r="S929" s="51"/>
    </row>
    <row r="930" spans="9:19" x14ac:dyDescent="0.25">
      <c r="I930" s="1"/>
      <c r="J930" s="71"/>
      <c r="M930" s="46"/>
      <c r="R930" s="51"/>
      <c r="S930" s="51"/>
    </row>
    <row r="931" spans="9:19" x14ac:dyDescent="0.25">
      <c r="I931" s="1"/>
      <c r="J931" s="71"/>
      <c r="M931" s="46"/>
      <c r="R931" s="51"/>
      <c r="S931" s="51"/>
    </row>
    <row r="932" spans="9:19" x14ac:dyDescent="0.25">
      <c r="I932" s="1"/>
      <c r="J932" s="71"/>
      <c r="M932" s="46"/>
      <c r="R932" s="51"/>
      <c r="S932" s="51"/>
    </row>
    <row r="933" spans="9:19" x14ac:dyDescent="0.25">
      <c r="I933" s="1"/>
      <c r="J933" s="71"/>
      <c r="M933" s="46"/>
      <c r="R933" s="51"/>
      <c r="S933" s="51"/>
    </row>
    <row r="934" spans="9:19" x14ac:dyDescent="0.25">
      <c r="I934" s="1"/>
      <c r="J934" s="71"/>
      <c r="M934" s="46"/>
      <c r="R934" s="51"/>
      <c r="S934" s="51"/>
    </row>
    <row r="935" spans="9:19" x14ac:dyDescent="0.25">
      <c r="I935" s="1"/>
      <c r="J935" s="71"/>
      <c r="M935" s="46"/>
      <c r="R935" s="51"/>
      <c r="S935" s="51"/>
    </row>
    <row r="936" spans="9:19" x14ac:dyDescent="0.25">
      <c r="I936" s="1"/>
      <c r="J936" s="71"/>
      <c r="M936" s="46"/>
      <c r="R936" s="51"/>
      <c r="S936" s="51"/>
    </row>
    <row r="937" spans="9:19" x14ac:dyDescent="0.25">
      <c r="I937" s="1"/>
      <c r="J937" s="71"/>
      <c r="M937" s="46"/>
      <c r="R937" s="51"/>
      <c r="S937" s="51"/>
    </row>
    <row r="938" spans="9:19" x14ac:dyDescent="0.25">
      <c r="I938" s="1"/>
      <c r="J938" s="71"/>
      <c r="M938" s="46"/>
      <c r="R938" s="51"/>
      <c r="S938" s="51"/>
    </row>
    <row r="939" spans="9:19" x14ac:dyDescent="0.25">
      <c r="I939" s="1"/>
      <c r="J939" s="71"/>
      <c r="M939" s="46"/>
      <c r="R939" s="51"/>
      <c r="S939" s="51"/>
    </row>
    <row r="940" spans="9:19" x14ac:dyDescent="0.25">
      <c r="I940" s="1"/>
      <c r="J940" s="71"/>
      <c r="M940" s="46"/>
      <c r="R940" s="51"/>
      <c r="S940" s="51"/>
    </row>
    <row r="941" spans="9:19" x14ac:dyDescent="0.25">
      <c r="I941" s="1"/>
      <c r="J941" s="71"/>
      <c r="M941" s="46"/>
      <c r="R941" s="51"/>
      <c r="S941" s="51"/>
    </row>
    <row r="942" spans="9:19" x14ac:dyDescent="0.25">
      <c r="I942" s="1"/>
      <c r="J942" s="71"/>
      <c r="M942" s="46"/>
      <c r="R942" s="51"/>
      <c r="S942" s="51"/>
    </row>
    <row r="943" spans="9:19" x14ac:dyDescent="0.25">
      <c r="I943" s="1"/>
      <c r="J943" s="71"/>
      <c r="M943" s="46"/>
      <c r="R943" s="51"/>
      <c r="S943" s="51"/>
    </row>
    <row r="944" spans="9:19" x14ac:dyDescent="0.25">
      <c r="I944" s="1"/>
      <c r="J944" s="71"/>
      <c r="M944" s="46"/>
      <c r="R944" s="51"/>
      <c r="S944" s="51"/>
    </row>
    <row r="945" spans="9:19" x14ac:dyDescent="0.25">
      <c r="I945" s="1"/>
      <c r="J945" s="71"/>
      <c r="M945" s="46"/>
      <c r="R945" s="51"/>
      <c r="S945" s="51"/>
    </row>
    <row r="946" spans="9:19" x14ac:dyDescent="0.25">
      <c r="I946" s="1"/>
      <c r="J946" s="71"/>
      <c r="M946" s="46"/>
      <c r="R946" s="51"/>
      <c r="S946" s="51"/>
    </row>
    <row r="947" spans="9:19" x14ac:dyDescent="0.25">
      <c r="I947" s="1"/>
      <c r="J947" s="71"/>
      <c r="M947" s="46"/>
      <c r="R947" s="51"/>
      <c r="S947" s="51"/>
    </row>
    <row r="948" spans="9:19" x14ac:dyDescent="0.25">
      <c r="I948" s="1"/>
      <c r="J948" s="71"/>
      <c r="M948" s="46"/>
      <c r="R948" s="51"/>
      <c r="S948" s="51"/>
    </row>
    <row r="949" spans="9:19" x14ac:dyDescent="0.25">
      <c r="I949" s="1"/>
      <c r="J949" s="71"/>
      <c r="M949" s="46"/>
      <c r="R949" s="51"/>
      <c r="S949" s="51"/>
    </row>
    <row r="950" spans="9:19" x14ac:dyDescent="0.25">
      <c r="I950" s="1"/>
      <c r="J950" s="71"/>
      <c r="M950" s="46"/>
      <c r="R950" s="51"/>
      <c r="S950" s="51"/>
    </row>
    <row r="951" spans="9:19" x14ac:dyDescent="0.25">
      <c r="I951" s="1"/>
      <c r="J951" s="71"/>
      <c r="M951" s="46"/>
      <c r="R951" s="51"/>
      <c r="S951" s="51"/>
    </row>
    <row r="952" spans="9:19" x14ac:dyDescent="0.25">
      <c r="I952" s="1"/>
      <c r="J952" s="71"/>
      <c r="M952" s="46"/>
      <c r="R952" s="51"/>
      <c r="S952" s="51"/>
    </row>
    <row r="953" spans="9:19" x14ac:dyDescent="0.25">
      <c r="I953" s="1"/>
      <c r="J953" s="71"/>
      <c r="M953" s="46"/>
      <c r="R953" s="51"/>
      <c r="S953" s="51"/>
    </row>
    <row r="954" spans="9:19" x14ac:dyDescent="0.25">
      <c r="I954" s="1"/>
      <c r="J954" s="71"/>
      <c r="M954" s="46"/>
      <c r="R954" s="51"/>
      <c r="S954" s="51"/>
    </row>
    <row r="955" spans="9:19" x14ac:dyDescent="0.25">
      <c r="I955" s="1"/>
      <c r="J955" s="71"/>
      <c r="M955" s="46"/>
      <c r="R955" s="51"/>
      <c r="S955" s="51"/>
    </row>
    <row r="956" spans="9:19" x14ac:dyDescent="0.25">
      <c r="I956" s="1"/>
      <c r="J956" s="71"/>
      <c r="M956" s="46"/>
      <c r="R956" s="51"/>
      <c r="S956" s="51"/>
    </row>
    <row r="957" spans="9:19" x14ac:dyDescent="0.25">
      <c r="I957" s="1"/>
      <c r="J957" s="71"/>
      <c r="M957" s="46"/>
      <c r="R957" s="51"/>
      <c r="S957" s="51"/>
    </row>
    <row r="958" spans="9:19" x14ac:dyDescent="0.25">
      <c r="I958" s="1"/>
      <c r="J958" s="71"/>
      <c r="M958" s="46"/>
      <c r="R958" s="51"/>
      <c r="S958" s="51"/>
    </row>
    <row r="959" spans="9:19" x14ac:dyDescent="0.25">
      <c r="I959" s="1"/>
      <c r="J959" s="71"/>
      <c r="M959" s="46"/>
      <c r="R959" s="51"/>
      <c r="S959" s="51"/>
    </row>
    <row r="960" spans="9:19" x14ac:dyDescent="0.25">
      <c r="I960" s="1"/>
      <c r="J960" s="71"/>
      <c r="M960" s="46"/>
      <c r="R960" s="51"/>
      <c r="S960" s="51"/>
    </row>
    <row r="961" spans="9:19" x14ac:dyDescent="0.25">
      <c r="I961" s="1"/>
      <c r="J961" s="71"/>
      <c r="M961" s="46"/>
      <c r="R961" s="51"/>
      <c r="S961" s="51"/>
    </row>
    <row r="962" spans="9:19" x14ac:dyDescent="0.25">
      <c r="I962" s="1"/>
      <c r="J962" s="71"/>
      <c r="M962" s="46"/>
      <c r="R962" s="51"/>
      <c r="S962" s="51"/>
    </row>
    <row r="963" spans="9:19" x14ac:dyDescent="0.25">
      <c r="I963" s="1"/>
      <c r="J963" s="71"/>
      <c r="M963" s="46"/>
      <c r="R963" s="51"/>
      <c r="S963" s="51"/>
    </row>
    <row r="964" spans="9:19" x14ac:dyDescent="0.25">
      <c r="I964" s="1"/>
      <c r="J964" s="71"/>
      <c r="M964" s="46"/>
      <c r="R964" s="51"/>
      <c r="S964" s="51"/>
    </row>
    <row r="965" spans="9:19" x14ac:dyDescent="0.25">
      <c r="I965" s="1"/>
      <c r="J965" s="71"/>
      <c r="M965" s="46"/>
      <c r="R965" s="51"/>
      <c r="S965" s="51"/>
    </row>
    <row r="966" spans="9:19" x14ac:dyDescent="0.25">
      <c r="I966" s="1"/>
      <c r="J966" s="71"/>
      <c r="M966" s="46"/>
      <c r="R966" s="51"/>
      <c r="S966" s="51"/>
    </row>
    <row r="967" spans="9:19" x14ac:dyDescent="0.25">
      <c r="I967" s="1"/>
      <c r="J967" s="71"/>
      <c r="M967" s="46"/>
      <c r="R967" s="51"/>
      <c r="S967" s="51"/>
    </row>
    <row r="968" spans="9:19" x14ac:dyDescent="0.25">
      <c r="I968" s="1"/>
      <c r="J968" s="71"/>
      <c r="M968" s="46"/>
      <c r="R968" s="51"/>
      <c r="S968" s="51"/>
    </row>
    <row r="969" spans="9:19" x14ac:dyDescent="0.25">
      <c r="I969" s="1"/>
      <c r="J969" s="71"/>
      <c r="M969" s="46"/>
      <c r="R969" s="51"/>
      <c r="S969" s="51"/>
    </row>
    <row r="970" spans="9:19" x14ac:dyDescent="0.25">
      <c r="I970" s="1"/>
      <c r="J970" s="71"/>
      <c r="M970" s="46"/>
      <c r="R970" s="51"/>
      <c r="S970" s="51"/>
    </row>
    <row r="971" spans="9:19" x14ac:dyDescent="0.25">
      <c r="I971" s="1"/>
      <c r="J971" s="71"/>
      <c r="M971" s="46"/>
      <c r="R971" s="51"/>
      <c r="S971" s="51"/>
    </row>
    <row r="972" spans="9:19" x14ac:dyDescent="0.25">
      <c r="I972" s="1"/>
      <c r="J972" s="71"/>
      <c r="M972" s="46"/>
      <c r="R972" s="51"/>
      <c r="S972" s="51"/>
    </row>
    <row r="973" spans="9:19" x14ac:dyDescent="0.25">
      <c r="I973" s="1"/>
      <c r="J973" s="71"/>
      <c r="M973" s="46"/>
      <c r="R973" s="51"/>
      <c r="S973" s="51"/>
    </row>
    <row r="974" spans="9:19" x14ac:dyDescent="0.25">
      <c r="I974" s="1"/>
      <c r="J974" s="71"/>
      <c r="M974" s="46"/>
      <c r="R974" s="51"/>
      <c r="S974" s="51"/>
    </row>
    <row r="975" spans="9:19" x14ac:dyDescent="0.25">
      <c r="I975" s="1"/>
      <c r="J975" s="71"/>
      <c r="M975" s="46"/>
      <c r="R975" s="51"/>
      <c r="S975" s="51"/>
    </row>
    <row r="976" spans="9:19" x14ac:dyDescent="0.25">
      <c r="I976" s="1"/>
      <c r="J976" s="71"/>
      <c r="M976" s="46"/>
      <c r="R976" s="51"/>
      <c r="S976" s="51"/>
    </row>
    <row r="977" spans="9:19" x14ac:dyDescent="0.25">
      <c r="I977" s="1"/>
      <c r="J977" s="71"/>
      <c r="M977" s="46"/>
      <c r="R977" s="51"/>
      <c r="S977" s="51"/>
    </row>
    <row r="978" spans="9:19" x14ac:dyDescent="0.25">
      <c r="I978" s="1"/>
      <c r="J978" s="71"/>
      <c r="M978" s="46"/>
      <c r="R978" s="51"/>
      <c r="S978" s="51"/>
    </row>
    <row r="979" spans="9:19" x14ac:dyDescent="0.25">
      <c r="I979" s="1"/>
      <c r="J979" s="71"/>
      <c r="M979" s="46"/>
      <c r="R979" s="51"/>
      <c r="S979" s="51"/>
    </row>
    <row r="980" spans="9:19" x14ac:dyDescent="0.25">
      <c r="I980" s="1"/>
      <c r="J980" s="71"/>
      <c r="M980" s="46"/>
      <c r="R980" s="51"/>
      <c r="S980" s="51"/>
    </row>
    <row r="981" spans="9:19" x14ac:dyDescent="0.25">
      <c r="I981" s="1"/>
      <c r="J981" s="71"/>
      <c r="M981" s="46"/>
      <c r="R981" s="51"/>
      <c r="S981" s="51"/>
    </row>
    <row r="982" spans="9:19" x14ac:dyDescent="0.25">
      <c r="I982" s="1"/>
      <c r="J982" s="71"/>
      <c r="M982" s="46"/>
      <c r="R982" s="51"/>
      <c r="S982" s="51"/>
    </row>
    <row r="983" spans="9:19" x14ac:dyDescent="0.25">
      <c r="I983" s="1"/>
      <c r="J983" s="71"/>
      <c r="M983" s="46"/>
      <c r="R983" s="51"/>
      <c r="S983" s="51"/>
    </row>
    <row r="984" spans="9:19" x14ac:dyDescent="0.25">
      <c r="I984" s="1"/>
      <c r="J984" s="71"/>
      <c r="M984" s="46"/>
      <c r="R984" s="51"/>
      <c r="S984" s="51"/>
    </row>
    <row r="985" spans="9:19" x14ac:dyDescent="0.25">
      <c r="I985" s="1"/>
      <c r="J985" s="71"/>
      <c r="M985" s="46"/>
      <c r="R985" s="51"/>
      <c r="S985" s="51"/>
    </row>
    <row r="986" spans="9:19" x14ac:dyDescent="0.25">
      <c r="I986" s="1"/>
      <c r="J986" s="71"/>
      <c r="M986" s="46"/>
      <c r="R986" s="51"/>
      <c r="S986" s="51"/>
    </row>
    <row r="987" spans="9:19" x14ac:dyDescent="0.25">
      <c r="I987" s="1"/>
      <c r="J987" s="71"/>
      <c r="M987" s="46"/>
      <c r="R987" s="51"/>
      <c r="S987" s="51"/>
    </row>
    <row r="988" spans="9:19" x14ac:dyDescent="0.25">
      <c r="I988" s="1"/>
      <c r="J988" s="71"/>
      <c r="M988" s="46"/>
      <c r="R988" s="51"/>
      <c r="S988" s="51"/>
    </row>
    <row r="989" spans="9:19" x14ac:dyDescent="0.25">
      <c r="I989" s="1"/>
      <c r="J989" s="71"/>
      <c r="M989" s="46"/>
      <c r="R989" s="51"/>
      <c r="S989" s="51"/>
    </row>
    <row r="990" spans="9:19" x14ac:dyDescent="0.25">
      <c r="I990" s="1"/>
      <c r="J990" s="71"/>
      <c r="M990" s="46"/>
      <c r="R990" s="51"/>
      <c r="S990" s="51"/>
    </row>
    <row r="991" spans="9:19" x14ac:dyDescent="0.25">
      <c r="I991" s="1"/>
      <c r="J991" s="71"/>
      <c r="M991" s="46"/>
      <c r="R991" s="51"/>
      <c r="S991" s="51"/>
    </row>
    <row r="992" spans="9:19" x14ac:dyDescent="0.25">
      <c r="I992" s="1"/>
      <c r="J992" s="71"/>
      <c r="M992" s="46"/>
      <c r="R992" s="51"/>
      <c r="S992" s="51"/>
    </row>
    <row r="993" spans="9:19" x14ac:dyDescent="0.25">
      <c r="I993" s="1"/>
      <c r="J993" s="71"/>
      <c r="M993" s="46"/>
      <c r="R993" s="51"/>
      <c r="S993" s="51"/>
    </row>
    <row r="994" spans="9:19" x14ac:dyDescent="0.25">
      <c r="I994" s="1"/>
      <c r="J994" s="71"/>
      <c r="M994" s="46"/>
      <c r="R994" s="51"/>
      <c r="S994" s="51"/>
    </row>
    <row r="995" spans="9:19" x14ac:dyDescent="0.25">
      <c r="I995" s="1"/>
      <c r="J995" s="71"/>
      <c r="M995" s="46"/>
      <c r="R995" s="51"/>
      <c r="S995" s="51"/>
    </row>
    <row r="996" spans="9:19" x14ac:dyDescent="0.25">
      <c r="I996" s="1"/>
      <c r="J996" s="71"/>
      <c r="M996" s="46"/>
      <c r="R996" s="51"/>
      <c r="S996" s="51"/>
    </row>
    <row r="997" spans="9:19" x14ac:dyDescent="0.25">
      <c r="I997" s="1"/>
      <c r="J997" s="71"/>
      <c r="M997" s="46"/>
      <c r="R997" s="51"/>
      <c r="S997" s="51"/>
    </row>
    <row r="998" spans="9:19" x14ac:dyDescent="0.25">
      <c r="I998" s="1"/>
      <c r="J998" s="71"/>
      <c r="M998" s="46"/>
      <c r="R998" s="51"/>
      <c r="S998" s="51"/>
    </row>
    <row r="999" spans="9:19" x14ac:dyDescent="0.25">
      <c r="I999" s="1"/>
      <c r="J999" s="71"/>
      <c r="M999" s="46"/>
      <c r="R999" s="51"/>
      <c r="S999" s="51"/>
    </row>
    <row r="1000" spans="9:19" x14ac:dyDescent="0.25">
      <c r="I1000" s="1"/>
      <c r="J1000" s="71"/>
      <c r="M1000" s="46"/>
      <c r="R1000" s="51"/>
      <c r="S1000" s="51"/>
    </row>
    <row r="1001" spans="9:19" x14ac:dyDescent="0.25">
      <c r="I1001" s="1"/>
      <c r="J1001" s="71"/>
      <c r="M1001" s="46"/>
      <c r="R1001" s="51"/>
      <c r="S1001" s="51"/>
    </row>
    <row r="1002" spans="9:19" x14ac:dyDescent="0.25">
      <c r="I1002" s="1"/>
      <c r="J1002" s="71"/>
      <c r="M1002" s="46"/>
      <c r="R1002" s="51"/>
      <c r="S1002" s="51"/>
    </row>
    <row r="1003" spans="9:19" x14ac:dyDescent="0.25">
      <c r="I1003" s="1"/>
      <c r="J1003" s="71"/>
      <c r="M1003" s="46"/>
      <c r="R1003" s="51"/>
      <c r="S1003" s="51"/>
    </row>
    <row r="1004" spans="9:19" x14ac:dyDescent="0.25">
      <c r="I1004" s="1"/>
      <c r="J1004" s="71"/>
      <c r="M1004" s="46"/>
      <c r="R1004" s="51"/>
      <c r="S1004" s="51"/>
    </row>
    <row r="1005" spans="9:19" x14ac:dyDescent="0.25">
      <c r="I1005" s="1"/>
      <c r="J1005" s="71"/>
      <c r="M1005" s="46"/>
      <c r="R1005" s="51"/>
      <c r="S1005" s="51"/>
    </row>
    <row r="1006" spans="9:19" x14ac:dyDescent="0.25">
      <c r="I1006" s="1"/>
      <c r="J1006" s="71"/>
      <c r="M1006" s="46"/>
      <c r="R1006" s="51"/>
      <c r="S1006" s="51"/>
    </row>
    <row r="1007" spans="9:19" x14ac:dyDescent="0.25">
      <c r="I1007" s="1"/>
      <c r="J1007" s="71"/>
      <c r="M1007" s="46"/>
      <c r="R1007" s="51"/>
      <c r="S1007" s="51"/>
    </row>
    <row r="1008" spans="9:19" x14ac:dyDescent="0.25">
      <c r="I1008" s="1"/>
      <c r="J1008" s="71"/>
      <c r="M1008" s="46"/>
      <c r="R1008" s="51"/>
      <c r="S1008" s="51"/>
    </row>
    <row r="1009" spans="9:19" x14ac:dyDescent="0.25">
      <c r="I1009" s="1"/>
      <c r="J1009" s="71"/>
      <c r="M1009" s="46"/>
      <c r="R1009" s="51"/>
      <c r="S1009" s="51"/>
    </row>
    <row r="1010" spans="9:19" x14ac:dyDescent="0.25">
      <c r="I1010" s="1"/>
      <c r="J1010" s="71"/>
      <c r="M1010" s="46"/>
      <c r="R1010" s="51"/>
      <c r="S1010" s="51"/>
    </row>
    <row r="1011" spans="9:19" x14ac:dyDescent="0.25">
      <c r="I1011" s="1"/>
      <c r="J1011" s="71"/>
      <c r="M1011" s="46"/>
      <c r="R1011" s="51"/>
      <c r="S1011" s="51"/>
    </row>
    <row r="1012" spans="9:19" x14ac:dyDescent="0.25">
      <c r="I1012" s="1"/>
      <c r="J1012" s="71"/>
      <c r="M1012" s="46"/>
      <c r="R1012" s="51"/>
      <c r="S1012" s="51"/>
    </row>
    <row r="1013" spans="9:19" x14ac:dyDescent="0.25">
      <c r="I1013" s="1"/>
      <c r="J1013" s="71"/>
      <c r="M1013" s="46"/>
      <c r="R1013" s="51"/>
      <c r="S1013" s="51"/>
    </row>
    <row r="1014" spans="9:19" x14ac:dyDescent="0.25">
      <c r="I1014" s="1"/>
      <c r="J1014" s="71"/>
      <c r="M1014" s="46"/>
      <c r="R1014" s="51"/>
      <c r="S1014" s="51"/>
    </row>
    <row r="1015" spans="9:19" x14ac:dyDescent="0.25">
      <c r="I1015" s="1"/>
      <c r="J1015" s="71"/>
      <c r="M1015" s="46"/>
      <c r="R1015" s="51"/>
      <c r="S1015" s="51"/>
    </row>
    <row r="1016" spans="9:19" x14ac:dyDescent="0.25">
      <c r="I1016" s="1"/>
      <c r="J1016" s="71"/>
      <c r="M1016" s="46"/>
      <c r="R1016" s="51"/>
      <c r="S1016" s="51"/>
    </row>
    <row r="1017" spans="9:19" x14ac:dyDescent="0.25">
      <c r="I1017" s="1"/>
      <c r="J1017" s="71"/>
      <c r="M1017" s="46"/>
      <c r="R1017" s="51"/>
      <c r="S1017" s="51"/>
    </row>
    <row r="1018" spans="9:19" x14ac:dyDescent="0.25">
      <c r="I1018" s="1"/>
      <c r="J1018" s="71"/>
      <c r="M1018" s="46"/>
      <c r="R1018" s="51"/>
      <c r="S1018" s="51"/>
    </row>
    <row r="1019" spans="9:19" x14ac:dyDescent="0.25">
      <c r="I1019" s="1"/>
      <c r="J1019" s="71"/>
      <c r="M1019" s="46"/>
      <c r="R1019" s="51"/>
      <c r="S1019" s="51"/>
    </row>
    <row r="1020" spans="9:19" x14ac:dyDescent="0.25">
      <c r="I1020" s="1"/>
      <c r="J1020" s="71"/>
      <c r="M1020" s="46"/>
      <c r="R1020" s="51"/>
      <c r="S1020" s="51"/>
    </row>
    <row r="1021" spans="9:19" x14ac:dyDescent="0.25">
      <c r="I1021" s="1"/>
      <c r="J1021" s="71"/>
      <c r="M1021" s="46"/>
      <c r="R1021" s="51"/>
      <c r="S1021" s="51"/>
    </row>
    <row r="1022" spans="9:19" x14ac:dyDescent="0.25">
      <c r="I1022" s="1"/>
      <c r="J1022" s="71"/>
      <c r="M1022" s="46"/>
      <c r="R1022" s="51"/>
      <c r="S1022" s="51"/>
    </row>
    <row r="1023" spans="9:19" x14ac:dyDescent="0.25">
      <c r="I1023" s="1"/>
      <c r="J1023" s="71"/>
      <c r="M1023" s="46"/>
      <c r="R1023" s="51"/>
      <c r="S1023" s="51"/>
    </row>
    <row r="1024" spans="9:19" x14ac:dyDescent="0.25">
      <c r="I1024" s="1"/>
      <c r="J1024" s="71"/>
      <c r="M1024" s="46"/>
      <c r="R1024" s="51"/>
      <c r="S1024" s="51"/>
    </row>
    <row r="1025" spans="9:19" x14ac:dyDescent="0.25">
      <c r="I1025" s="1"/>
      <c r="J1025" s="71"/>
      <c r="M1025" s="46"/>
      <c r="R1025" s="51"/>
      <c r="S1025" s="51"/>
    </row>
    <row r="1026" spans="9:19" x14ac:dyDescent="0.25">
      <c r="I1026" s="1"/>
      <c r="J1026" s="71"/>
      <c r="M1026" s="46"/>
      <c r="R1026" s="51"/>
      <c r="S1026" s="51"/>
    </row>
    <row r="1027" spans="9:19" x14ac:dyDescent="0.25">
      <c r="I1027" s="1"/>
      <c r="J1027" s="71"/>
      <c r="M1027" s="46"/>
      <c r="R1027" s="51"/>
      <c r="S1027" s="51"/>
    </row>
    <row r="1028" spans="9:19" x14ac:dyDescent="0.25">
      <c r="I1028" s="1"/>
      <c r="J1028" s="71"/>
      <c r="M1028" s="46"/>
      <c r="R1028" s="51"/>
      <c r="S1028" s="51"/>
    </row>
    <row r="1029" spans="9:19" x14ac:dyDescent="0.25">
      <c r="I1029" s="1"/>
      <c r="J1029" s="71"/>
      <c r="M1029" s="46"/>
      <c r="R1029" s="51"/>
      <c r="S1029" s="51"/>
    </row>
    <row r="1030" spans="9:19" x14ac:dyDescent="0.25">
      <c r="I1030" s="1"/>
      <c r="J1030" s="71"/>
      <c r="M1030" s="46"/>
      <c r="R1030" s="51"/>
      <c r="S1030" s="51"/>
    </row>
    <row r="1031" spans="9:19" x14ac:dyDescent="0.25">
      <c r="I1031" s="1"/>
      <c r="J1031" s="71"/>
      <c r="M1031" s="46"/>
      <c r="R1031" s="51"/>
      <c r="S1031" s="51"/>
    </row>
    <row r="1032" spans="9:19" x14ac:dyDescent="0.25">
      <c r="I1032" s="1"/>
      <c r="J1032" s="71"/>
      <c r="M1032" s="46"/>
      <c r="R1032" s="51"/>
      <c r="S1032" s="51"/>
    </row>
    <row r="1033" spans="9:19" x14ac:dyDescent="0.25">
      <c r="I1033" s="1"/>
      <c r="J1033" s="71"/>
      <c r="M1033" s="46"/>
      <c r="R1033" s="51"/>
      <c r="S1033" s="51"/>
    </row>
    <row r="1034" spans="9:19" x14ac:dyDescent="0.25">
      <c r="I1034" s="1"/>
      <c r="J1034" s="71"/>
      <c r="M1034" s="46"/>
      <c r="R1034" s="51"/>
      <c r="S1034" s="51"/>
    </row>
    <row r="1035" spans="9:19" x14ac:dyDescent="0.25">
      <c r="I1035" s="1"/>
      <c r="J1035" s="71"/>
      <c r="M1035" s="46"/>
      <c r="R1035" s="51"/>
      <c r="S1035" s="51"/>
    </row>
    <row r="1036" spans="9:19" x14ac:dyDescent="0.25">
      <c r="I1036" s="1"/>
      <c r="J1036" s="71"/>
      <c r="M1036" s="46"/>
      <c r="R1036" s="51"/>
      <c r="S1036" s="51"/>
    </row>
    <row r="1037" spans="9:19" x14ac:dyDescent="0.25">
      <c r="I1037" s="1"/>
      <c r="J1037" s="71"/>
      <c r="M1037" s="46"/>
      <c r="R1037" s="51"/>
      <c r="S1037" s="51"/>
    </row>
    <row r="1038" spans="9:19" x14ac:dyDescent="0.25">
      <c r="I1038" s="1"/>
      <c r="J1038" s="71"/>
      <c r="M1038" s="46"/>
      <c r="R1038" s="51"/>
      <c r="S1038" s="51"/>
    </row>
    <row r="1039" spans="9:19" x14ac:dyDescent="0.25">
      <c r="I1039" s="1"/>
      <c r="J1039" s="71"/>
      <c r="M1039" s="46"/>
      <c r="R1039" s="51"/>
      <c r="S1039" s="51"/>
    </row>
    <row r="1040" spans="9:19" x14ac:dyDescent="0.25">
      <c r="I1040" s="1"/>
      <c r="J1040" s="71"/>
      <c r="M1040" s="46"/>
      <c r="R1040" s="51"/>
      <c r="S1040" s="51"/>
    </row>
    <row r="1041" spans="9:19" x14ac:dyDescent="0.25">
      <c r="I1041" s="1"/>
      <c r="J1041" s="71"/>
      <c r="M1041" s="46"/>
      <c r="R1041" s="51"/>
      <c r="S1041" s="51"/>
    </row>
    <row r="1042" spans="9:19" x14ac:dyDescent="0.25">
      <c r="I1042" s="1"/>
      <c r="J1042" s="71"/>
      <c r="M1042" s="46"/>
      <c r="R1042" s="51"/>
      <c r="S1042" s="51"/>
    </row>
    <row r="1043" spans="9:19" x14ac:dyDescent="0.25">
      <c r="I1043" s="1"/>
      <c r="J1043" s="71"/>
      <c r="M1043" s="46"/>
      <c r="R1043" s="51"/>
      <c r="S1043" s="51"/>
    </row>
    <row r="1044" spans="9:19" x14ac:dyDescent="0.25">
      <c r="I1044" s="1"/>
      <c r="J1044" s="71"/>
      <c r="M1044" s="46"/>
      <c r="R1044" s="51"/>
      <c r="S1044" s="51"/>
    </row>
    <row r="1045" spans="9:19" x14ac:dyDescent="0.25">
      <c r="I1045" s="1"/>
      <c r="J1045" s="71"/>
      <c r="M1045" s="46"/>
      <c r="R1045" s="51"/>
      <c r="S1045" s="51"/>
    </row>
    <row r="1046" spans="9:19" x14ac:dyDescent="0.25">
      <c r="I1046" s="1"/>
      <c r="J1046" s="71"/>
      <c r="M1046" s="46"/>
      <c r="R1046" s="51"/>
      <c r="S1046" s="51"/>
    </row>
    <row r="1047" spans="9:19" x14ac:dyDescent="0.25">
      <c r="I1047" s="1"/>
      <c r="J1047" s="71"/>
      <c r="M1047" s="46"/>
      <c r="R1047" s="51"/>
      <c r="S1047" s="51"/>
    </row>
    <row r="1048" spans="9:19" x14ac:dyDescent="0.25">
      <c r="I1048" s="1"/>
      <c r="J1048" s="71"/>
      <c r="M1048" s="46"/>
      <c r="R1048" s="51"/>
      <c r="S1048" s="51"/>
    </row>
    <row r="1049" spans="9:19" x14ac:dyDescent="0.25">
      <c r="I1049" s="1"/>
      <c r="J1049" s="71"/>
      <c r="M1049" s="46"/>
      <c r="R1049" s="51"/>
      <c r="S1049" s="51"/>
    </row>
    <row r="1050" spans="9:19" x14ac:dyDescent="0.25">
      <c r="I1050" s="1"/>
      <c r="J1050" s="71"/>
      <c r="M1050" s="46"/>
      <c r="R1050" s="51"/>
      <c r="S1050" s="51"/>
    </row>
    <row r="1051" spans="9:19" x14ac:dyDescent="0.25">
      <c r="I1051" s="1"/>
      <c r="J1051" s="71"/>
      <c r="M1051" s="46"/>
      <c r="R1051" s="51"/>
      <c r="S1051" s="51"/>
    </row>
    <row r="1052" spans="9:19" x14ac:dyDescent="0.25">
      <c r="I1052" s="1"/>
      <c r="J1052" s="71"/>
      <c r="M1052" s="46"/>
      <c r="R1052" s="51"/>
      <c r="S1052" s="51"/>
    </row>
    <row r="1053" spans="9:19" x14ac:dyDescent="0.25">
      <c r="I1053" s="1"/>
      <c r="J1053" s="71"/>
      <c r="M1053" s="46"/>
      <c r="R1053" s="51"/>
      <c r="S1053" s="51"/>
    </row>
    <row r="1054" spans="9:19" x14ac:dyDescent="0.25">
      <c r="I1054" s="1"/>
      <c r="J1054" s="71"/>
      <c r="M1054" s="46"/>
      <c r="R1054" s="51"/>
      <c r="S1054" s="51"/>
    </row>
    <row r="1055" spans="9:19" x14ac:dyDescent="0.25">
      <c r="I1055" s="1"/>
      <c r="J1055" s="71"/>
      <c r="M1055" s="46"/>
      <c r="R1055" s="51"/>
      <c r="S1055" s="51"/>
    </row>
    <row r="1056" spans="9:19" x14ac:dyDescent="0.25">
      <c r="I1056" s="1"/>
      <c r="J1056" s="71"/>
      <c r="M1056" s="46"/>
      <c r="R1056" s="51"/>
      <c r="S1056" s="51"/>
    </row>
    <row r="1057" spans="9:19" x14ac:dyDescent="0.25">
      <c r="I1057" s="1"/>
      <c r="J1057" s="71"/>
      <c r="M1057" s="46"/>
      <c r="R1057" s="51"/>
      <c r="S1057" s="51"/>
    </row>
    <row r="1058" spans="9:19" x14ac:dyDescent="0.25">
      <c r="I1058" s="1"/>
      <c r="J1058" s="71"/>
      <c r="M1058" s="46"/>
      <c r="R1058" s="51"/>
      <c r="S1058" s="51"/>
    </row>
    <row r="1059" spans="9:19" x14ac:dyDescent="0.25">
      <c r="I1059" s="1"/>
      <c r="J1059" s="71"/>
      <c r="M1059" s="46"/>
      <c r="R1059" s="51"/>
      <c r="S1059" s="51"/>
    </row>
    <row r="1060" spans="9:19" x14ac:dyDescent="0.25">
      <c r="I1060" s="1"/>
      <c r="J1060" s="71"/>
      <c r="M1060" s="46"/>
      <c r="R1060" s="51"/>
      <c r="S1060" s="51"/>
    </row>
    <row r="1061" spans="9:19" x14ac:dyDescent="0.25">
      <c r="I1061" s="1"/>
      <c r="J1061" s="71"/>
      <c r="M1061" s="46"/>
      <c r="R1061" s="51"/>
      <c r="S1061" s="51"/>
    </row>
    <row r="1062" spans="9:19" x14ac:dyDescent="0.25">
      <c r="I1062" s="1"/>
      <c r="J1062" s="71"/>
      <c r="M1062" s="46"/>
      <c r="R1062" s="51"/>
      <c r="S1062" s="51"/>
    </row>
    <row r="1063" spans="9:19" x14ac:dyDescent="0.25">
      <c r="I1063" s="1"/>
      <c r="J1063" s="71"/>
      <c r="M1063" s="46"/>
      <c r="R1063" s="51"/>
      <c r="S1063" s="51"/>
    </row>
    <row r="1064" spans="9:19" x14ac:dyDescent="0.25">
      <c r="I1064" s="1"/>
      <c r="J1064" s="71"/>
      <c r="M1064" s="46"/>
      <c r="R1064" s="51"/>
      <c r="S1064" s="51"/>
    </row>
    <row r="1065" spans="9:19" x14ac:dyDescent="0.25">
      <c r="I1065" s="1"/>
      <c r="J1065" s="71"/>
      <c r="M1065" s="46"/>
      <c r="R1065" s="51"/>
      <c r="S1065" s="51"/>
    </row>
    <row r="1066" spans="9:19" x14ac:dyDescent="0.25">
      <c r="I1066" s="1"/>
      <c r="J1066" s="71"/>
      <c r="M1066" s="46"/>
      <c r="R1066" s="51"/>
      <c r="S1066" s="51"/>
    </row>
    <row r="1067" spans="9:19" x14ac:dyDescent="0.25">
      <c r="I1067" s="1"/>
      <c r="J1067" s="71"/>
      <c r="M1067" s="46"/>
      <c r="R1067" s="51"/>
      <c r="S1067" s="51"/>
    </row>
    <row r="1068" spans="9:19" x14ac:dyDescent="0.25">
      <c r="I1068" s="1"/>
      <c r="J1068" s="71"/>
      <c r="M1068" s="46"/>
      <c r="R1068" s="51"/>
      <c r="S1068" s="51"/>
    </row>
    <row r="1069" spans="9:19" x14ac:dyDescent="0.25">
      <c r="I1069" s="1"/>
      <c r="J1069" s="71"/>
      <c r="M1069" s="46"/>
      <c r="R1069" s="51"/>
      <c r="S1069" s="51"/>
    </row>
    <row r="1070" spans="9:19" x14ac:dyDescent="0.25">
      <c r="I1070" s="1"/>
      <c r="J1070" s="71"/>
      <c r="M1070" s="46"/>
      <c r="R1070" s="51"/>
      <c r="S1070" s="51"/>
    </row>
    <row r="1071" spans="9:19" x14ac:dyDescent="0.25">
      <c r="I1071" s="1"/>
      <c r="J1071" s="71"/>
      <c r="M1071" s="46"/>
      <c r="R1071" s="51"/>
      <c r="S1071" s="51"/>
    </row>
    <row r="1072" spans="9:19" x14ac:dyDescent="0.25">
      <c r="I1072" s="1"/>
      <c r="J1072" s="71"/>
      <c r="M1072" s="46"/>
      <c r="R1072" s="51"/>
      <c r="S1072" s="51"/>
    </row>
    <row r="1073" spans="9:19" x14ac:dyDescent="0.25">
      <c r="I1073" s="1"/>
      <c r="J1073" s="71"/>
      <c r="M1073" s="46"/>
      <c r="R1073" s="51"/>
      <c r="S1073" s="51"/>
    </row>
    <row r="1074" spans="9:19" x14ac:dyDescent="0.25">
      <c r="I1074" s="1"/>
      <c r="J1074" s="71"/>
      <c r="M1074" s="46"/>
      <c r="R1074" s="51"/>
      <c r="S1074" s="51"/>
    </row>
    <row r="1075" spans="9:19" x14ac:dyDescent="0.25">
      <c r="I1075" s="1"/>
      <c r="J1075" s="71"/>
      <c r="M1075" s="46"/>
      <c r="R1075" s="51"/>
      <c r="S1075" s="51"/>
    </row>
    <row r="1076" spans="9:19" x14ac:dyDescent="0.25">
      <c r="I1076" s="1"/>
      <c r="J1076" s="71"/>
      <c r="M1076" s="46"/>
      <c r="R1076" s="51"/>
      <c r="S1076" s="51"/>
    </row>
    <row r="1077" spans="9:19" x14ac:dyDescent="0.25">
      <c r="I1077" s="1"/>
      <c r="J1077" s="71"/>
      <c r="M1077" s="46"/>
      <c r="R1077" s="51"/>
      <c r="S1077" s="51"/>
    </row>
    <row r="1078" spans="9:19" x14ac:dyDescent="0.25">
      <c r="I1078" s="1"/>
      <c r="J1078" s="71"/>
      <c r="M1078" s="46"/>
      <c r="R1078" s="51"/>
      <c r="S1078" s="51"/>
    </row>
    <row r="1079" spans="9:19" x14ac:dyDescent="0.25">
      <c r="I1079" s="1"/>
      <c r="J1079" s="71"/>
      <c r="M1079" s="46"/>
      <c r="R1079" s="51"/>
      <c r="S1079" s="51"/>
    </row>
    <row r="1080" spans="9:19" x14ac:dyDescent="0.25">
      <c r="I1080" s="1"/>
      <c r="J1080" s="71"/>
      <c r="M1080" s="46"/>
      <c r="R1080" s="51"/>
      <c r="S1080" s="51"/>
    </row>
    <row r="1081" spans="9:19" x14ac:dyDescent="0.25">
      <c r="I1081" s="1"/>
      <c r="J1081" s="71"/>
      <c r="M1081" s="46"/>
      <c r="R1081" s="51"/>
      <c r="S1081" s="51"/>
    </row>
    <row r="1082" spans="9:19" x14ac:dyDescent="0.25">
      <c r="I1082" s="1"/>
      <c r="J1082" s="71"/>
      <c r="M1082" s="46"/>
      <c r="R1082" s="51"/>
      <c r="S1082" s="51"/>
    </row>
    <row r="1083" spans="9:19" x14ac:dyDescent="0.25">
      <c r="I1083" s="1"/>
      <c r="J1083" s="71"/>
      <c r="M1083" s="46"/>
      <c r="R1083" s="51"/>
      <c r="S1083" s="51"/>
    </row>
    <row r="1084" spans="9:19" x14ac:dyDescent="0.25">
      <c r="I1084" s="1"/>
      <c r="J1084" s="71"/>
      <c r="M1084" s="46"/>
      <c r="R1084" s="51"/>
      <c r="S1084" s="51"/>
    </row>
    <row r="1085" spans="9:19" x14ac:dyDescent="0.25">
      <c r="I1085" s="1"/>
      <c r="J1085" s="71"/>
      <c r="M1085" s="46"/>
      <c r="R1085" s="51"/>
      <c r="S1085" s="51"/>
    </row>
    <row r="1086" spans="9:19" x14ac:dyDescent="0.25">
      <c r="I1086" s="1"/>
      <c r="J1086" s="71"/>
      <c r="M1086" s="46"/>
      <c r="R1086" s="51"/>
      <c r="S1086" s="51"/>
    </row>
    <row r="1087" spans="9:19" x14ac:dyDescent="0.25">
      <c r="I1087" s="1"/>
      <c r="J1087" s="71"/>
      <c r="M1087" s="46"/>
      <c r="R1087" s="51"/>
      <c r="S1087" s="51"/>
    </row>
    <row r="1088" spans="9:19" x14ac:dyDescent="0.25">
      <c r="I1088" s="1"/>
      <c r="J1088" s="71"/>
      <c r="M1088" s="46"/>
      <c r="R1088" s="51"/>
      <c r="S1088" s="51"/>
    </row>
    <row r="1089" spans="9:19" x14ac:dyDescent="0.25">
      <c r="I1089" s="1"/>
      <c r="J1089" s="71"/>
      <c r="M1089" s="46"/>
      <c r="R1089" s="51"/>
      <c r="S1089" s="51"/>
    </row>
    <row r="1090" spans="9:19" x14ac:dyDescent="0.25">
      <c r="I1090" s="1"/>
      <c r="J1090" s="71"/>
      <c r="M1090" s="46"/>
      <c r="R1090" s="51"/>
      <c r="S1090" s="51"/>
    </row>
    <row r="1091" spans="9:19" x14ac:dyDescent="0.25">
      <c r="I1091" s="1"/>
      <c r="J1091" s="71"/>
      <c r="M1091" s="46"/>
      <c r="R1091" s="51"/>
      <c r="S1091" s="51"/>
    </row>
    <row r="1092" spans="9:19" x14ac:dyDescent="0.25">
      <c r="I1092" s="1"/>
      <c r="J1092" s="71"/>
      <c r="M1092" s="46"/>
      <c r="R1092" s="51"/>
      <c r="S1092" s="51"/>
    </row>
    <row r="1093" spans="9:19" x14ac:dyDescent="0.25">
      <c r="I1093" s="1"/>
      <c r="J1093" s="71"/>
      <c r="M1093" s="46"/>
      <c r="R1093" s="51"/>
      <c r="S1093" s="51"/>
    </row>
    <row r="1094" spans="9:19" x14ac:dyDescent="0.25">
      <c r="I1094" s="1"/>
      <c r="J1094" s="71"/>
      <c r="M1094" s="46"/>
      <c r="R1094" s="51"/>
      <c r="S1094" s="51"/>
    </row>
    <row r="1095" spans="9:19" x14ac:dyDescent="0.25">
      <c r="I1095" s="1"/>
      <c r="J1095" s="71"/>
      <c r="M1095" s="46"/>
      <c r="R1095" s="51"/>
      <c r="S1095" s="51"/>
    </row>
    <row r="1096" spans="9:19" x14ac:dyDescent="0.25">
      <c r="I1096" s="1"/>
      <c r="J1096" s="71"/>
      <c r="M1096" s="46"/>
      <c r="R1096" s="51"/>
      <c r="S1096" s="51"/>
    </row>
    <row r="1097" spans="9:19" x14ac:dyDescent="0.25">
      <c r="I1097" s="1"/>
      <c r="J1097" s="71"/>
      <c r="M1097" s="46"/>
      <c r="R1097" s="51"/>
      <c r="S1097" s="51"/>
    </row>
    <row r="1098" spans="9:19" x14ac:dyDescent="0.25">
      <c r="I1098" s="1"/>
      <c r="J1098" s="71"/>
      <c r="M1098" s="46"/>
      <c r="R1098" s="51"/>
      <c r="S1098" s="51"/>
    </row>
    <row r="1099" spans="9:19" x14ac:dyDescent="0.25">
      <c r="I1099" s="1"/>
      <c r="J1099" s="71"/>
      <c r="M1099" s="46"/>
      <c r="R1099" s="51"/>
      <c r="S1099" s="51"/>
    </row>
    <row r="1100" spans="9:19" x14ac:dyDescent="0.25">
      <c r="I1100" s="1"/>
      <c r="J1100" s="71"/>
      <c r="M1100" s="46"/>
      <c r="R1100" s="51"/>
      <c r="S1100" s="51"/>
    </row>
    <row r="1101" spans="9:19" x14ac:dyDescent="0.25">
      <c r="I1101" s="1"/>
      <c r="J1101" s="71"/>
      <c r="M1101" s="46"/>
      <c r="R1101" s="51"/>
      <c r="S1101" s="51"/>
    </row>
    <row r="1102" spans="9:19" x14ac:dyDescent="0.25">
      <c r="I1102" s="1"/>
      <c r="J1102" s="71"/>
      <c r="M1102" s="46"/>
      <c r="R1102" s="51"/>
      <c r="S1102" s="51"/>
    </row>
    <row r="1103" spans="9:19" x14ac:dyDescent="0.25">
      <c r="I1103" s="1"/>
      <c r="J1103" s="71"/>
      <c r="M1103" s="46"/>
      <c r="R1103" s="51"/>
      <c r="S1103" s="51"/>
    </row>
    <row r="1104" spans="9:19" x14ac:dyDescent="0.25">
      <c r="I1104" s="1"/>
      <c r="J1104" s="71"/>
      <c r="M1104" s="46"/>
      <c r="R1104" s="51"/>
      <c r="S1104" s="51"/>
    </row>
    <row r="1105" spans="9:19" x14ac:dyDescent="0.25">
      <c r="I1105" s="1"/>
      <c r="J1105" s="71"/>
      <c r="M1105" s="46"/>
      <c r="R1105" s="51"/>
      <c r="S1105" s="51"/>
    </row>
    <row r="1106" spans="9:19" x14ac:dyDescent="0.25">
      <c r="I1106" s="1"/>
      <c r="J1106" s="71"/>
      <c r="M1106" s="46"/>
      <c r="R1106" s="51"/>
      <c r="S1106" s="51"/>
    </row>
    <row r="1107" spans="9:19" x14ac:dyDescent="0.25">
      <c r="I1107" s="1"/>
      <c r="J1107" s="71"/>
      <c r="M1107" s="46"/>
      <c r="R1107" s="51"/>
      <c r="S1107" s="51"/>
    </row>
    <row r="1108" spans="9:19" x14ac:dyDescent="0.25">
      <c r="I1108" s="1"/>
      <c r="J1108" s="71"/>
      <c r="M1108" s="46"/>
      <c r="R1108" s="51"/>
      <c r="S1108" s="51"/>
    </row>
    <row r="1109" spans="9:19" x14ac:dyDescent="0.25">
      <c r="I1109" s="1"/>
      <c r="J1109" s="71"/>
      <c r="M1109" s="46"/>
      <c r="R1109" s="51"/>
      <c r="S1109" s="51"/>
    </row>
    <row r="1110" spans="9:19" x14ac:dyDescent="0.25">
      <c r="I1110" s="1"/>
      <c r="J1110" s="71"/>
      <c r="M1110" s="46"/>
      <c r="R1110" s="51"/>
      <c r="S1110" s="51"/>
    </row>
    <row r="1111" spans="9:19" x14ac:dyDescent="0.25">
      <c r="I1111" s="1"/>
      <c r="J1111" s="71"/>
      <c r="M1111" s="46"/>
      <c r="R1111" s="51"/>
      <c r="S1111" s="51"/>
    </row>
    <row r="1112" spans="9:19" x14ac:dyDescent="0.25">
      <c r="I1112" s="1"/>
      <c r="J1112" s="71"/>
      <c r="M1112" s="46"/>
      <c r="R1112" s="51"/>
      <c r="S1112" s="51"/>
    </row>
    <row r="1113" spans="9:19" x14ac:dyDescent="0.25">
      <c r="I1113" s="1"/>
      <c r="J1113" s="71"/>
      <c r="M1113" s="46"/>
      <c r="R1113" s="51"/>
      <c r="S1113" s="51"/>
    </row>
    <row r="1114" spans="9:19" x14ac:dyDescent="0.25">
      <c r="I1114" s="1"/>
      <c r="J1114" s="71"/>
      <c r="M1114" s="46"/>
      <c r="R1114" s="51"/>
      <c r="S1114" s="51"/>
    </row>
    <row r="1115" spans="9:19" x14ac:dyDescent="0.25">
      <c r="I1115" s="1"/>
      <c r="J1115" s="71"/>
      <c r="M1115" s="46"/>
      <c r="R1115" s="51"/>
      <c r="S1115" s="51"/>
    </row>
    <row r="1116" spans="9:19" x14ac:dyDescent="0.25">
      <c r="I1116" s="1"/>
      <c r="J1116" s="71"/>
      <c r="M1116" s="46"/>
      <c r="R1116" s="51"/>
      <c r="S1116" s="51"/>
    </row>
    <row r="1117" spans="9:19" x14ac:dyDescent="0.25">
      <c r="I1117" s="1"/>
      <c r="J1117" s="71"/>
      <c r="M1117" s="46"/>
      <c r="R1117" s="51"/>
      <c r="S1117" s="51"/>
    </row>
    <row r="1118" spans="9:19" x14ac:dyDescent="0.25">
      <c r="I1118" s="1"/>
      <c r="J1118" s="71"/>
      <c r="M1118" s="46"/>
      <c r="R1118" s="51"/>
      <c r="S1118" s="51"/>
    </row>
    <row r="1119" spans="9:19" x14ac:dyDescent="0.25">
      <c r="I1119" s="1"/>
      <c r="J1119" s="71"/>
      <c r="M1119" s="46"/>
      <c r="R1119" s="51"/>
      <c r="S1119" s="51"/>
    </row>
    <row r="1120" spans="9:19" x14ac:dyDescent="0.25">
      <c r="I1120" s="1"/>
      <c r="J1120" s="71"/>
      <c r="M1120" s="46"/>
      <c r="R1120" s="51"/>
      <c r="S1120" s="51"/>
    </row>
    <row r="1121" spans="9:19" x14ac:dyDescent="0.25">
      <c r="I1121" s="1"/>
      <c r="J1121" s="71"/>
      <c r="M1121" s="46"/>
      <c r="R1121" s="51"/>
      <c r="S1121" s="51"/>
    </row>
    <row r="1122" spans="9:19" x14ac:dyDescent="0.25">
      <c r="I1122" s="1"/>
      <c r="J1122" s="71"/>
      <c r="M1122" s="46"/>
      <c r="R1122" s="51"/>
      <c r="S1122" s="51"/>
    </row>
    <row r="1123" spans="9:19" x14ac:dyDescent="0.25">
      <c r="I1123" s="1"/>
      <c r="J1123" s="71"/>
      <c r="M1123" s="46"/>
      <c r="R1123" s="51"/>
      <c r="S1123" s="51"/>
    </row>
    <row r="1124" spans="9:19" x14ac:dyDescent="0.25">
      <c r="I1124" s="1"/>
      <c r="J1124" s="71"/>
      <c r="M1124" s="46"/>
      <c r="R1124" s="51"/>
      <c r="S1124" s="51"/>
    </row>
    <row r="1125" spans="9:19" x14ac:dyDescent="0.25">
      <c r="I1125" s="1"/>
      <c r="J1125" s="71"/>
      <c r="M1125" s="46"/>
      <c r="R1125" s="51"/>
      <c r="S1125" s="51"/>
    </row>
    <row r="1126" spans="9:19" x14ac:dyDescent="0.25">
      <c r="I1126" s="1"/>
      <c r="J1126" s="71"/>
      <c r="M1126" s="46"/>
      <c r="R1126" s="51"/>
      <c r="S1126" s="51"/>
    </row>
    <row r="1127" spans="9:19" x14ac:dyDescent="0.25">
      <c r="I1127" s="1"/>
      <c r="J1127" s="71"/>
      <c r="M1127" s="46"/>
      <c r="R1127" s="51"/>
      <c r="S1127" s="51"/>
    </row>
    <row r="1128" spans="9:19" x14ac:dyDescent="0.25">
      <c r="I1128" s="1"/>
      <c r="J1128" s="71"/>
      <c r="M1128" s="46"/>
      <c r="R1128" s="51"/>
      <c r="S1128" s="51"/>
    </row>
    <row r="1129" spans="9:19" x14ac:dyDescent="0.25">
      <c r="I1129" s="1"/>
      <c r="J1129" s="71"/>
      <c r="M1129" s="46"/>
      <c r="R1129" s="51"/>
      <c r="S1129" s="51"/>
    </row>
    <row r="1130" spans="9:19" x14ac:dyDescent="0.25">
      <c r="I1130" s="1"/>
      <c r="J1130" s="71"/>
      <c r="M1130" s="46"/>
      <c r="R1130" s="51"/>
      <c r="S1130" s="51"/>
    </row>
    <row r="1131" spans="9:19" x14ac:dyDescent="0.25">
      <c r="I1131" s="1"/>
      <c r="J1131" s="71"/>
      <c r="M1131" s="46"/>
      <c r="R1131" s="51"/>
      <c r="S1131" s="51"/>
    </row>
    <row r="1132" spans="9:19" x14ac:dyDescent="0.25">
      <c r="I1132" s="1"/>
      <c r="J1132" s="71"/>
      <c r="M1132" s="46"/>
      <c r="R1132" s="51"/>
      <c r="S1132" s="51"/>
    </row>
    <row r="1133" spans="9:19" x14ac:dyDescent="0.25">
      <c r="I1133" s="1"/>
      <c r="J1133" s="71"/>
      <c r="M1133" s="46"/>
      <c r="R1133" s="51"/>
      <c r="S1133" s="51"/>
    </row>
    <row r="1134" spans="9:19" x14ac:dyDescent="0.25">
      <c r="I1134" s="1"/>
      <c r="J1134" s="71"/>
      <c r="M1134" s="46"/>
      <c r="R1134" s="51"/>
      <c r="S1134" s="51"/>
    </row>
    <row r="1135" spans="9:19" x14ac:dyDescent="0.25">
      <c r="I1135" s="1"/>
      <c r="J1135" s="71"/>
      <c r="M1135" s="46"/>
      <c r="R1135" s="51"/>
      <c r="S1135" s="51"/>
    </row>
    <row r="1136" spans="9:19" x14ac:dyDescent="0.25">
      <c r="I1136" s="1"/>
      <c r="J1136" s="71"/>
      <c r="M1136" s="46"/>
      <c r="R1136" s="51"/>
      <c r="S1136" s="51"/>
    </row>
    <row r="1137" spans="9:19" x14ac:dyDescent="0.25">
      <c r="I1137" s="1"/>
      <c r="J1137" s="71"/>
      <c r="M1137" s="46"/>
      <c r="R1137" s="51"/>
      <c r="S1137" s="51"/>
    </row>
    <row r="1138" spans="9:19" x14ac:dyDescent="0.25">
      <c r="I1138" s="1"/>
      <c r="J1138" s="71"/>
      <c r="M1138" s="46"/>
      <c r="R1138" s="51"/>
      <c r="S1138" s="51"/>
    </row>
    <row r="1139" spans="9:19" x14ac:dyDescent="0.25">
      <c r="I1139" s="1"/>
      <c r="J1139" s="71"/>
      <c r="M1139" s="46"/>
      <c r="R1139" s="51"/>
      <c r="S1139" s="51"/>
    </row>
    <row r="1140" spans="9:19" x14ac:dyDescent="0.25">
      <c r="I1140" s="1"/>
      <c r="J1140" s="71"/>
      <c r="M1140" s="46"/>
      <c r="R1140" s="51"/>
      <c r="S1140" s="51"/>
    </row>
    <row r="1141" spans="9:19" x14ac:dyDescent="0.25">
      <c r="I1141" s="1"/>
      <c r="J1141" s="71"/>
      <c r="M1141" s="46"/>
      <c r="R1141" s="51"/>
      <c r="S1141" s="51"/>
    </row>
    <row r="1142" spans="9:19" x14ac:dyDescent="0.25">
      <c r="I1142" s="1"/>
      <c r="J1142" s="71"/>
      <c r="M1142" s="46"/>
      <c r="R1142" s="51"/>
      <c r="S1142" s="51"/>
    </row>
    <row r="1143" spans="9:19" x14ac:dyDescent="0.25">
      <c r="I1143" s="1"/>
      <c r="J1143" s="71"/>
      <c r="M1143" s="46"/>
      <c r="R1143" s="51"/>
      <c r="S1143" s="51"/>
    </row>
    <row r="1144" spans="9:19" x14ac:dyDescent="0.25">
      <c r="I1144" s="1"/>
      <c r="J1144" s="71"/>
      <c r="M1144" s="46"/>
      <c r="R1144" s="51"/>
      <c r="S1144" s="51"/>
    </row>
    <row r="1145" spans="9:19" x14ac:dyDescent="0.25">
      <c r="I1145" s="1"/>
      <c r="J1145" s="71"/>
      <c r="M1145" s="46"/>
      <c r="R1145" s="51"/>
      <c r="S1145" s="51"/>
    </row>
    <row r="1146" spans="9:19" x14ac:dyDescent="0.25">
      <c r="I1146" s="1"/>
      <c r="J1146" s="71"/>
      <c r="M1146" s="46"/>
      <c r="R1146" s="51"/>
      <c r="S1146" s="51"/>
    </row>
    <row r="1147" spans="9:19" x14ac:dyDescent="0.25">
      <c r="I1147" s="1"/>
      <c r="J1147" s="71"/>
      <c r="M1147" s="46"/>
      <c r="R1147" s="51"/>
      <c r="S1147" s="51"/>
    </row>
    <row r="1148" spans="9:19" x14ac:dyDescent="0.25">
      <c r="I1148" s="1"/>
      <c r="J1148" s="71"/>
      <c r="M1148" s="46"/>
      <c r="R1148" s="51"/>
      <c r="S1148" s="51"/>
    </row>
    <row r="1149" spans="9:19" x14ac:dyDescent="0.25">
      <c r="I1149" s="1"/>
      <c r="J1149" s="71"/>
      <c r="M1149" s="46"/>
      <c r="R1149" s="51"/>
      <c r="S1149" s="51"/>
    </row>
    <row r="1150" spans="9:19" x14ac:dyDescent="0.25">
      <c r="I1150" s="1"/>
      <c r="J1150" s="71"/>
      <c r="M1150" s="46"/>
      <c r="R1150" s="51"/>
      <c r="S1150" s="51"/>
    </row>
    <row r="1151" spans="9:19" x14ac:dyDescent="0.25">
      <c r="I1151" s="1"/>
      <c r="J1151" s="71"/>
      <c r="M1151" s="46"/>
      <c r="R1151" s="51"/>
      <c r="S1151" s="51"/>
    </row>
    <row r="1152" spans="9:19" x14ac:dyDescent="0.25">
      <c r="I1152" s="1"/>
      <c r="J1152" s="71"/>
      <c r="M1152" s="46"/>
      <c r="R1152" s="51"/>
      <c r="S1152" s="51"/>
    </row>
    <row r="1153" spans="9:19" x14ac:dyDescent="0.25">
      <c r="I1153" s="1"/>
      <c r="J1153" s="71"/>
      <c r="M1153" s="46"/>
      <c r="R1153" s="51"/>
      <c r="S1153" s="51"/>
    </row>
    <row r="1154" spans="9:19" x14ac:dyDescent="0.25">
      <c r="I1154" s="1"/>
      <c r="J1154" s="71"/>
      <c r="M1154" s="46"/>
      <c r="R1154" s="51"/>
      <c r="S1154" s="51"/>
    </row>
    <row r="1155" spans="9:19" x14ac:dyDescent="0.25">
      <c r="I1155" s="1"/>
      <c r="J1155" s="71"/>
      <c r="M1155" s="46"/>
      <c r="R1155" s="51"/>
      <c r="S1155" s="51"/>
    </row>
    <row r="1156" spans="9:19" x14ac:dyDescent="0.25">
      <c r="I1156" s="1"/>
      <c r="J1156" s="71"/>
      <c r="M1156" s="46"/>
      <c r="R1156" s="51"/>
      <c r="S1156" s="51"/>
    </row>
    <row r="1157" spans="9:19" x14ac:dyDescent="0.25">
      <c r="I1157" s="1"/>
      <c r="J1157" s="71"/>
      <c r="M1157" s="46"/>
      <c r="R1157" s="51"/>
      <c r="S1157" s="51"/>
    </row>
    <row r="1158" spans="9:19" x14ac:dyDescent="0.25">
      <c r="I1158" s="1"/>
      <c r="J1158" s="71"/>
      <c r="M1158" s="46"/>
      <c r="R1158" s="51"/>
      <c r="S1158" s="51"/>
    </row>
    <row r="1159" spans="9:19" x14ac:dyDescent="0.25">
      <c r="I1159" s="1"/>
      <c r="J1159" s="71"/>
      <c r="M1159" s="46"/>
      <c r="R1159" s="51"/>
      <c r="S1159" s="51"/>
    </row>
    <row r="1160" spans="9:19" x14ac:dyDescent="0.25">
      <c r="I1160" s="1"/>
      <c r="J1160" s="71"/>
      <c r="M1160" s="46"/>
      <c r="R1160" s="51"/>
      <c r="S1160" s="51"/>
    </row>
    <row r="1161" spans="9:19" x14ac:dyDescent="0.25">
      <c r="I1161" s="1"/>
      <c r="J1161" s="71"/>
      <c r="M1161" s="46"/>
      <c r="R1161" s="51"/>
      <c r="S1161" s="51"/>
    </row>
    <row r="1162" spans="9:19" x14ac:dyDescent="0.25">
      <c r="I1162" s="1"/>
      <c r="J1162" s="71"/>
      <c r="M1162" s="46"/>
      <c r="R1162" s="51"/>
      <c r="S1162" s="51"/>
    </row>
    <row r="1163" spans="9:19" x14ac:dyDescent="0.25">
      <c r="I1163" s="1"/>
      <c r="J1163" s="71"/>
      <c r="M1163" s="46"/>
      <c r="R1163" s="51"/>
      <c r="S1163" s="51"/>
    </row>
    <row r="1164" spans="9:19" x14ac:dyDescent="0.25">
      <c r="I1164" s="1"/>
      <c r="J1164" s="71"/>
      <c r="M1164" s="46"/>
      <c r="R1164" s="51"/>
      <c r="S1164" s="51"/>
    </row>
    <row r="1165" spans="9:19" x14ac:dyDescent="0.25">
      <c r="I1165" s="1"/>
      <c r="J1165" s="71"/>
      <c r="M1165" s="46"/>
      <c r="R1165" s="51"/>
      <c r="S1165" s="51"/>
    </row>
    <row r="1166" spans="9:19" x14ac:dyDescent="0.25">
      <c r="I1166" s="1"/>
      <c r="J1166" s="71"/>
      <c r="M1166" s="46"/>
      <c r="R1166" s="51"/>
      <c r="S1166" s="51"/>
    </row>
    <row r="1167" spans="9:19" x14ac:dyDescent="0.25">
      <c r="I1167" s="1"/>
      <c r="J1167" s="71"/>
      <c r="M1167" s="46"/>
      <c r="R1167" s="51"/>
      <c r="S1167" s="51"/>
    </row>
    <row r="1168" spans="9:19" x14ac:dyDescent="0.25">
      <c r="I1168" s="1"/>
      <c r="J1168" s="71"/>
      <c r="M1168" s="46"/>
      <c r="R1168" s="51"/>
      <c r="S1168" s="51"/>
    </row>
    <row r="1169" spans="9:19" x14ac:dyDescent="0.25">
      <c r="I1169" s="1"/>
      <c r="J1169" s="71"/>
      <c r="M1169" s="46"/>
      <c r="R1169" s="51"/>
      <c r="S1169" s="51"/>
    </row>
    <row r="1170" spans="9:19" x14ac:dyDescent="0.25">
      <c r="I1170" s="1"/>
      <c r="J1170" s="71"/>
      <c r="M1170" s="46"/>
      <c r="R1170" s="51"/>
      <c r="S1170" s="51"/>
    </row>
    <row r="1171" spans="9:19" x14ac:dyDescent="0.25">
      <c r="I1171" s="1"/>
      <c r="J1171" s="71"/>
      <c r="M1171" s="46"/>
      <c r="R1171" s="51"/>
      <c r="S1171" s="51"/>
    </row>
    <row r="1172" spans="9:19" x14ac:dyDescent="0.25">
      <c r="I1172" s="1"/>
      <c r="J1172" s="71"/>
      <c r="M1172" s="46"/>
      <c r="R1172" s="51"/>
      <c r="S1172" s="51"/>
    </row>
    <row r="1173" spans="9:19" x14ac:dyDescent="0.25">
      <c r="I1173" s="1"/>
      <c r="J1173" s="71"/>
      <c r="M1173" s="46"/>
      <c r="R1173" s="51"/>
      <c r="S1173" s="51"/>
    </row>
    <row r="1174" spans="9:19" x14ac:dyDescent="0.25">
      <c r="I1174" s="1"/>
      <c r="J1174" s="71"/>
      <c r="M1174" s="46"/>
      <c r="R1174" s="51"/>
      <c r="S1174" s="51"/>
    </row>
    <row r="1175" spans="9:19" x14ac:dyDescent="0.25">
      <c r="I1175" s="1"/>
      <c r="J1175" s="71"/>
      <c r="M1175" s="46"/>
      <c r="R1175" s="51"/>
      <c r="S1175" s="51"/>
    </row>
    <row r="1176" spans="9:19" x14ac:dyDescent="0.25">
      <c r="I1176" s="1"/>
      <c r="J1176" s="71"/>
      <c r="M1176" s="46"/>
      <c r="R1176" s="51"/>
      <c r="S1176" s="51"/>
    </row>
    <row r="1177" spans="9:19" x14ac:dyDescent="0.25">
      <c r="I1177" s="1"/>
      <c r="J1177" s="71"/>
      <c r="M1177" s="46"/>
      <c r="R1177" s="51"/>
      <c r="S1177" s="51"/>
    </row>
    <row r="1178" spans="9:19" x14ac:dyDescent="0.25">
      <c r="I1178" s="1"/>
      <c r="J1178" s="71"/>
      <c r="M1178" s="46"/>
      <c r="R1178" s="51"/>
      <c r="S1178" s="51"/>
    </row>
    <row r="1179" spans="9:19" x14ac:dyDescent="0.25">
      <c r="I1179" s="1"/>
      <c r="J1179" s="71"/>
      <c r="M1179" s="46"/>
      <c r="R1179" s="51"/>
      <c r="S1179" s="51"/>
    </row>
    <row r="1180" spans="9:19" x14ac:dyDescent="0.25">
      <c r="I1180" s="1"/>
      <c r="J1180" s="71"/>
      <c r="M1180" s="46"/>
      <c r="R1180" s="51"/>
      <c r="S1180" s="51"/>
    </row>
    <row r="1181" spans="9:19" x14ac:dyDescent="0.25">
      <c r="I1181" s="1"/>
      <c r="J1181" s="71"/>
      <c r="M1181" s="46"/>
      <c r="R1181" s="51"/>
      <c r="S1181" s="51"/>
    </row>
    <row r="1182" spans="9:19" x14ac:dyDescent="0.25">
      <c r="I1182" s="1"/>
      <c r="J1182" s="71"/>
      <c r="M1182" s="46"/>
      <c r="R1182" s="51"/>
      <c r="S1182" s="51"/>
    </row>
    <row r="1183" spans="9:19" x14ac:dyDescent="0.25">
      <c r="I1183" s="1"/>
      <c r="J1183" s="71"/>
      <c r="M1183" s="46"/>
      <c r="R1183" s="51"/>
      <c r="S1183" s="51"/>
    </row>
    <row r="1184" spans="9:19" x14ac:dyDescent="0.25">
      <c r="I1184" s="1"/>
      <c r="J1184" s="71"/>
      <c r="M1184" s="46"/>
      <c r="R1184" s="51"/>
      <c r="S1184" s="51"/>
    </row>
    <row r="1185" spans="9:19" x14ac:dyDescent="0.25">
      <c r="I1185" s="1"/>
      <c r="J1185" s="71"/>
      <c r="M1185" s="46"/>
      <c r="R1185" s="51"/>
      <c r="S1185" s="51"/>
    </row>
    <row r="1186" spans="9:19" x14ac:dyDescent="0.25">
      <c r="I1186" s="1"/>
      <c r="J1186" s="71"/>
      <c r="M1186" s="46"/>
      <c r="R1186" s="51"/>
      <c r="S1186" s="51"/>
    </row>
    <row r="1187" spans="9:19" x14ac:dyDescent="0.25">
      <c r="I1187" s="1"/>
      <c r="J1187" s="71"/>
      <c r="M1187" s="46"/>
      <c r="R1187" s="51"/>
      <c r="S1187" s="51"/>
    </row>
    <row r="1188" spans="9:19" x14ac:dyDescent="0.25">
      <c r="I1188" s="1"/>
      <c r="J1188" s="71"/>
      <c r="M1188" s="46"/>
      <c r="R1188" s="51"/>
      <c r="S1188" s="51"/>
    </row>
    <row r="1189" spans="9:19" x14ac:dyDescent="0.25">
      <c r="I1189" s="1"/>
      <c r="J1189" s="71"/>
      <c r="M1189" s="46"/>
      <c r="R1189" s="51"/>
      <c r="S1189" s="51"/>
    </row>
    <row r="1190" spans="9:19" x14ac:dyDescent="0.25">
      <c r="I1190" s="1"/>
      <c r="J1190" s="71"/>
      <c r="M1190" s="46"/>
      <c r="R1190" s="51"/>
      <c r="S1190" s="51"/>
    </row>
    <row r="1191" spans="9:19" x14ac:dyDescent="0.25">
      <c r="I1191" s="1"/>
      <c r="J1191" s="71"/>
      <c r="M1191" s="46"/>
      <c r="R1191" s="51"/>
      <c r="S1191" s="51"/>
    </row>
    <row r="1192" spans="9:19" x14ac:dyDescent="0.25">
      <c r="I1192" s="1"/>
      <c r="J1192" s="71"/>
      <c r="M1192" s="46"/>
      <c r="R1192" s="51"/>
      <c r="S1192" s="51"/>
    </row>
    <row r="1193" spans="9:19" x14ac:dyDescent="0.25">
      <c r="I1193" s="1"/>
      <c r="J1193" s="71"/>
      <c r="M1193" s="46"/>
      <c r="R1193" s="51"/>
      <c r="S1193" s="51"/>
    </row>
    <row r="1194" spans="9:19" x14ac:dyDescent="0.25">
      <c r="I1194" s="1"/>
      <c r="J1194" s="71"/>
      <c r="M1194" s="46"/>
      <c r="R1194" s="51"/>
      <c r="S1194" s="51"/>
    </row>
    <row r="1195" spans="9:19" x14ac:dyDescent="0.25">
      <c r="I1195" s="1"/>
      <c r="J1195" s="71"/>
      <c r="M1195" s="46"/>
      <c r="R1195" s="51"/>
      <c r="S1195" s="51"/>
    </row>
    <row r="1196" spans="9:19" x14ac:dyDescent="0.25">
      <c r="I1196" s="1"/>
      <c r="J1196" s="71"/>
      <c r="M1196" s="46"/>
      <c r="R1196" s="51"/>
      <c r="S1196" s="51"/>
    </row>
    <row r="1197" spans="9:19" x14ac:dyDescent="0.25">
      <c r="I1197" s="1"/>
      <c r="J1197" s="71"/>
      <c r="M1197" s="46"/>
      <c r="R1197" s="51"/>
      <c r="S1197" s="51"/>
    </row>
    <row r="1198" spans="9:19" x14ac:dyDescent="0.25">
      <c r="I1198" s="1"/>
      <c r="J1198" s="71"/>
      <c r="M1198" s="46"/>
      <c r="R1198" s="51"/>
      <c r="S1198" s="51"/>
    </row>
    <row r="1199" spans="9:19" x14ac:dyDescent="0.25">
      <c r="I1199" s="1"/>
      <c r="J1199" s="71"/>
      <c r="M1199" s="46"/>
      <c r="R1199" s="51"/>
      <c r="S1199" s="51"/>
    </row>
    <row r="1200" spans="9:19" x14ac:dyDescent="0.25">
      <c r="I1200" s="1"/>
      <c r="J1200" s="71"/>
      <c r="M1200" s="46"/>
      <c r="R1200" s="51"/>
      <c r="S1200" s="51"/>
    </row>
    <row r="1201" spans="9:19" x14ac:dyDescent="0.25">
      <c r="I1201" s="1"/>
      <c r="J1201" s="71"/>
      <c r="M1201" s="46"/>
      <c r="R1201" s="51"/>
      <c r="S1201" s="51"/>
    </row>
    <row r="1202" spans="9:19" x14ac:dyDescent="0.25">
      <c r="I1202" s="1"/>
      <c r="J1202" s="71"/>
      <c r="M1202" s="46"/>
      <c r="R1202" s="51"/>
      <c r="S1202" s="51"/>
    </row>
    <row r="1203" spans="9:19" x14ac:dyDescent="0.25">
      <c r="I1203" s="1"/>
      <c r="J1203" s="71"/>
      <c r="M1203" s="46"/>
      <c r="R1203" s="51"/>
      <c r="S1203" s="51"/>
    </row>
    <row r="1204" spans="9:19" x14ac:dyDescent="0.25">
      <c r="I1204" s="1"/>
      <c r="J1204" s="71"/>
      <c r="M1204" s="46"/>
      <c r="R1204" s="51"/>
      <c r="S1204" s="51"/>
    </row>
    <row r="1205" spans="9:19" x14ac:dyDescent="0.25">
      <c r="I1205" s="1"/>
      <c r="J1205" s="71"/>
      <c r="M1205" s="46"/>
      <c r="R1205" s="51"/>
      <c r="S1205" s="51"/>
    </row>
    <row r="1206" spans="9:19" x14ac:dyDescent="0.25">
      <c r="I1206" s="1"/>
      <c r="J1206" s="71"/>
      <c r="M1206" s="46"/>
      <c r="R1206" s="51"/>
      <c r="S1206" s="51"/>
    </row>
    <row r="1207" spans="9:19" x14ac:dyDescent="0.25">
      <c r="I1207" s="1"/>
      <c r="J1207" s="71"/>
      <c r="M1207" s="46"/>
      <c r="R1207" s="51"/>
      <c r="S1207" s="51"/>
    </row>
    <row r="1208" spans="9:19" x14ac:dyDescent="0.25">
      <c r="I1208" s="1"/>
      <c r="J1208" s="71"/>
      <c r="M1208" s="46"/>
      <c r="R1208" s="51"/>
      <c r="S1208" s="51"/>
    </row>
    <row r="1209" spans="9:19" x14ac:dyDescent="0.25">
      <c r="I1209" s="1"/>
      <c r="J1209" s="71"/>
      <c r="M1209" s="46"/>
      <c r="R1209" s="51"/>
      <c r="S1209" s="51"/>
    </row>
    <row r="1210" spans="9:19" x14ac:dyDescent="0.25">
      <c r="I1210" s="1"/>
      <c r="J1210" s="71"/>
      <c r="M1210" s="46"/>
      <c r="R1210" s="51"/>
      <c r="S1210" s="51"/>
    </row>
    <row r="1211" spans="9:19" x14ac:dyDescent="0.25">
      <c r="I1211" s="1"/>
      <c r="J1211" s="71"/>
      <c r="M1211" s="46"/>
      <c r="R1211" s="51"/>
      <c r="S1211" s="51"/>
    </row>
    <row r="1212" spans="9:19" x14ac:dyDescent="0.25">
      <c r="I1212" s="1"/>
      <c r="J1212" s="71"/>
      <c r="M1212" s="46"/>
      <c r="R1212" s="51"/>
      <c r="S1212" s="51"/>
    </row>
    <row r="1213" spans="9:19" x14ac:dyDescent="0.25">
      <c r="I1213" s="1"/>
      <c r="J1213" s="71"/>
      <c r="M1213" s="46"/>
      <c r="R1213" s="51"/>
      <c r="S1213" s="51"/>
    </row>
    <row r="1214" spans="9:19" x14ac:dyDescent="0.25">
      <c r="I1214" s="1"/>
      <c r="J1214" s="71"/>
      <c r="M1214" s="46"/>
      <c r="R1214" s="51"/>
      <c r="S1214" s="51"/>
    </row>
    <row r="1215" spans="9:19" x14ac:dyDescent="0.25">
      <c r="I1215" s="1"/>
      <c r="J1215" s="71"/>
      <c r="M1215" s="46"/>
      <c r="R1215" s="51"/>
      <c r="S1215" s="51"/>
    </row>
    <row r="1216" spans="9:19" x14ac:dyDescent="0.25">
      <c r="I1216" s="1"/>
      <c r="J1216" s="71"/>
      <c r="M1216" s="46"/>
      <c r="R1216" s="51"/>
      <c r="S1216" s="51"/>
    </row>
    <row r="1217" spans="9:19" x14ac:dyDescent="0.25">
      <c r="I1217" s="1"/>
      <c r="J1217" s="71"/>
      <c r="M1217" s="46"/>
      <c r="R1217" s="51"/>
      <c r="S1217" s="51"/>
    </row>
    <row r="1218" spans="9:19" x14ac:dyDescent="0.25">
      <c r="I1218" s="1"/>
      <c r="J1218" s="71"/>
      <c r="M1218" s="46"/>
      <c r="R1218" s="51"/>
      <c r="S1218" s="51"/>
    </row>
    <row r="1219" spans="9:19" x14ac:dyDescent="0.25">
      <c r="I1219" s="1"/>
      <c r="J1219" s="71"/>
      <c r="M1219" s="46"/>
      <c r="R1219" s="51"/>
      <c r="S1219" s="51"/>
    </row>
    <row r="1220" spans="9:19" x14ac:dyDescent="0.25">
      <c r="I1220" s="1"/>
      <c r="J1220" s="71"/>
      <c r="M1220" s="46"/>
      <c r="R1220" s="51"/>
      <c r="S1220" s="51"/>
    </row>
    <row r="1221" spans="9:19" x14ac:dyDescent="0.25">
      <c r="I1221" s="1"/>
      <c r="J1221" s="71"/>
      <c r="M1221" s="46"/>
      <c r="R1221" s="51"/>
      <c r="S1221" s="51"/>
    </row>
    <row r="1222" spans="9:19" x14ac:dyDescent="0.25">
      <c r="I1222" s="1"/>
      <c r="J1222" s="71"/>
      <c r="M1222" s="46"/>
      <c r="R1222" s="51"/>
      <c r="S1222" s="51"/>
    </row>
    <row r="1223" spans="9:19" x14ac:dyDescent="0.25">
      <c r="I1223" s="1"/>
      <c r="J1223" s="71"/>
      <c r="M1223" s="46"/>
      <c r="R1223" s="51"/>
      <c r="S1223" s="51"/>
    </row>
    <row r="1224" spans="9:19" x14ac:dyDescent="0.25">
      <c r="I1224" s="1"/>
      <c r="J1224" s="71"/>
      <c r="M1224" s="46"/>
      <c r="R1224" s="51"/>
      <c r="S1224" s="51"/>
    </row>
    <row r="1225" spans="9:19" x14ac:dyDescent="0.25">
      <c r="I1225" s="1"/>
      <c r="J1225" s="71"/>
      <c r="M1225" s="46"/>
      <c r="R1225" s="51"/>
      <c r="S1225" s="51"/>
    </row>
    <row r="1226" spans="9:19" x14ac:dyDescent="0.25">
      <c r="I1226" s="1"/>
      <c r="J1226" s="71"/>
      <c r="M1226" s="46"/>
      <c r="R1226" s="51"/>
      <c r="S1226" s="51"/>
    </row>
    <row r="1227" spans="9:19" x14ac:dyDescent="0.25">
      <c r="I1227" s="1"/>
      <c r="J1227" s="71"/>
      <c r="M1227" s="46"/>
      <c r="R1227" s="51"/>
      <c r="S1227" s="51"/>
    </row>
    <row r="1228" spans="9:19" x14ac:dyDescent="0.25">
      <c r="I1228" s="1"/>
      <c r="J1228" s="71"/>
      <c r="M1228" s="46"/>
      <c r="R1228" s="51"/>
      <c r="S1228" s="51"/>
    </row>
    <row r="1229" spans="9:19" x14ac:dyDescent="0.25">
      <c r="I1229" s="1"/>
      <c r="J1229" s="71"/>
      <c r="M1229" s="46"/>
      <c r="R1229" s="51"/>
      <c r="S1229" s="51"/>
    </row>
    <row r="1230" spans="9:19" x14ac:dyDescent="0.25">
      <c r="I1230" s="1"/>
      <c r="J1230" s="71"/>
      <c r="M1230" s="46"/>
      <c r="R1230" s="51"/>
      <c r="S1230" s="51"/>
    </row>
    <row r="1231" spans="9:19" x14ac:dyDescent="0.25">
      <c r="I1231" s="1"/>
      <c r="J1231" s="71"/>
      <c r="M1231" s="46"/>
      <c r="R1231" s="51"/>
      <c r="S1231" s="51"/>
    </row>
    <row r="1232" spans="9:19" x14ac:dyDescent="0.25">
      <c r="I1232" s="1"/>
      <c r="J1232" s="71"/>
      <c r="M1232" s="46"/>
      <c r="R1232" s="51"/>
      <c r="S1232" s="51"/>
    </row>
    <row r="1233" spans="9:19" x14ac:dyDescent="0.25">
      <c r="I1233" s="1"/>
      <c r="J1233" s="71"/>
      <c r="M1233" s="46"/>
      <c r="R1233" s="51"/>
      <c r="S1233" s="51"/>
    </row>
    <row r="1234" spans="9:19" x14ac:dyDescent="0.25">
      <c r="I1234" s="1"/>
      <c r="J1234" s="71"/>
      <c r="M1234" s="46"/>
      <c r="R1234" s="51"/>
      <c r="S1234" s="51"/>
    </row>
    <row r="1235" spans="9:19" x14ac:dyDescent="0.25">
      <c r="I1235" s="1"/>
      <c r="J1235" s="71"/>
      <c r="M1235" s="46"/>
      <c r="R1235" s="51"/>
      <c r="S1235" s="51"/>
    </row>
    <row r="1236" spans="9:19" x14ac:dyDescent="0.25">
      <c r="I1236" s="1"/>
      <c r="J1236" s="71"/>
      <c r="M1236" s="46"/>
      <c r="R1236" s="51"/>
      <c r="S1236" s="51"/>
    </row>
    <row r="1237" spans="9:19" x14ac:dyDescent="0.25">
      <c r="I1237" s="1"/>
      <c r="J1237" s="71"/>
      <c r="M1237" s="46"/>
      <c r="R1237" s="51"/>
      <c r="S1237" s="51"/>
    </row>
    <row r="1238" spans="9:19" x14ac:dyDescent="0.25">
      <c r="I1238" s="1"/>
      <c r="J1238" s="71"/>
      <c r="M1238" s="46"/>
      <c r="R1238" s="51"/>
      <c r="S1238" s="51"/>
    </row>
    <row r="1239" spans="9:19" x14ac:dyDescent="0.25">
      <c r="I1239" s="1"/>
      <c r="J1239" s="71"/>
      <c r="M1239" s="46"/>
      <c r="R1239" s="51"/>
      <c r="S1239" s="51"/>
    </row>
    <row r="1240" spans="9:19" x14ac:dyDescent="0.25">
      <c r="I1240" s="1"/>
      <c r="J1240" s="71"/>
      <c r="M1240" s="46"/>
      <c r="R1240" s="51"/>
      <c r="S1240" s="51"/>
    </row>
    <row r="1241" spans="9:19" x14ac:dyDescent="0.25">
      <c r="I1241" s="1"/>
      <c r="J1241" s="71"/>
      <c r="M1241" s="46"/>
      <c r="R1241" s="51"/>
      <c r="S1241" s="51"/>
    </row>
    <row r="1242" spans="9:19" x14ac:dyDescent="0.25">
      <c r="I1242" s="1"/>
      <c r="J1242" s="71"/>
      <c r="M1242" s="46"/>
      <c r="R1242" s="51"/>
      <c r="S1242" s="51"/>
    </row>
    <row r="1243" spans="9:19" x14ac:dyDescent="0.25">
      <c r="I1243" s="1"/>
      <c r="J1243" s="71"/>
      <c r="M1243" s="46"/>
      <c r="R1243" s="51"/>
      <c r="S1243" s="51"/>
    </row>
    <row r="1244" spans="9:19" x14ac:dyDescent="0.25">
      <c r="I1244" s="1"/>
      <c r="J1244" s="71"/>
      <c r="M1244" s="46"/>
      <c r="R1244" s="51"/>
      <c r="S1244" s="51"/>
    </row>
    <row r="1245" spans="9:19" x14ac:dyDescent="0.25">
      <c r="I1245" s="1"/>
      <c r="J1245" s="71"/>
      <c r="M1245" s="46"/>
      <c r="R1245" s="51"/>
      <c r="S1245" s="51"/>
    </row>
    <row r="1246" spans="9:19" x14ac:dyDescent="0.25">
      <c r="I1246" s="1"/>
      <c r="J1246" s="71"/>
      <c r="M1246" s="46"/>
      <c r="R1246" s="51"/>
      <c r="S1246" s="51"/>
    </row>
    <row r="1247" spans="9:19" x14ac:dyDescent="0.25">
      <c r="I1247" s="1"/>
      <c r="J1247" s="71"/>
      <c r="M1247" s="46"/>
      <c r="R1247" s="51"/>
      <c r="S1247" s="51"/>
    </row>
    <row r="1248" spans="9:19" x14ac:dyDescent="0.25">
      <c r="I1248" s="1"/>
      <c r="J1248" s="71"/>
      <c r="M1248" s="46"/>
      <c r="R1248" s="51"/>
      <c r="S1248" s="51"/>
    </row>
    <row r="1249" spans="9:19" x14ac:dyDescent="0.25">
      <c r="I1249" s="1"/>
      <c r="J1249" s="71"/>
      <c r="M1249" s="46"/>
      <c r="R1249" s="51"/>
      <c r="S1249" s="51"/>
    </row>
    <row r="1250" spans="9:19" x14ac:dyDescent="0.25">
      <c r="I1250" s="1"/>
      <c r="J1250" s="71"/>
      <c r="M1250" s="46"/>
      <c r="R1250" s="51"/>
      <c r="S1250" s="51"/>
    </row>
    <row r="1251" spans="9:19" x14ac:dyDescent="0.25">
      <c r="I1251" s="1"/>
      <c r="J1251" s="71"/>
      <c r="M1251" s="46"/>
      <c r="R1251" s="51"/>
      <c r="S1251" s="51"/>
    </row>
    <row r="1252" spans="9:19" x14ac:dyDescent="0.25">
      <c r="I1252" s="1"/>
      <c r="J1252" s="71"/>
      <c r="M1252" s="46"/>
      <c r="R1252" s="51"/>
      <c r="S1252" s="51"/>
    </row>
    <row r="1253" spans="9:19" x14ac:dyDescent="0.25">
      <c r="I1253" s="1"/>
      <c r="J1253" s="71"/>
      <c r="M1253" s="46"/>
      <c r="R1253" s="51"/>
      <c r="S1253" s="51"/>
    </row>
    <row r="1254" spans="9:19" x14ac:dyDescent="0.25">
      <c r="I1254" s="1"/>
      <c r="J1254" s="71"/>
      <c r="M1254" s="46"/>
      <c r="R1254" s="51"/>
      <c r="S1254" s="51"/>
    </row>
    <row r="1255" spans="9:19" x14ac:dyDescent="0.25">
      <c r="I1255" s="1"/>
      <c r="J1255" s="71"/>
      <c r="M1255" s="46"/>
      <c r="R1255" s="51"/>
      <c r="S1255" s="51"/>
    </row>
    <row r="1256" spans="9:19" x14ac:dyDescent="0.25">
      <c r="I1256" s="1"/>
      <c r="J1256" s="71"/>
      <c r="M1256" s="46"/>
      <c r="R1256" s="51"/>
      <c r="S1256" s="51"/>
    </row>
    <row r="1257" spans="9:19" x14ac:dyDescent="0.25">
      <c r="I1257" s="1"/>
      <c r="J1257" s="71"/>
      <c r="M1257" s="46"/>
      <c r="R1257" s="51"/>
      <c r="S1257" s="51"/>
    </row>
    <row r="1258" spans="9:19" x14ac:dyDescent="0.25">
      <c r="I1258" s="1"/>
      <c r="J1258" s="71"/>
      <c r="M1258" s="46"/>
      <c r="R1258" s="51"/>
      <c r="S1258" s="51"/>
    </row>
    <row r="1259" spans="9:19" x14ac:dyDescent="0.25">
      <c r="I1259" s="1"/>
      <c r="J1259" s="71"/>
      <c r="M1259" s="46"/>
      <c r="R1259" s="51"/>
      <c r="S1259" s="51"/>
    </row>
    <row r="1260" spans="9:19" x14ac:dyDescent="0.25">
      <c r="I1260" s="1"/>
      <c r="J1260" s="71"/>
      <c r="M1260" s="46"/>
      <c r="R1260" s="51"/>
      <c r="S1260" s="51"/>
    </row>
    <row r="1261" spans="9:19" x14ac:dyDescent="0.25">
      <c r="I1261" s="1"/>
      <c r="J1261" s="71"/>
      <c r="M1261" s="46"/>
      <c r="R1261" s="51"/>
      <c r="S1261" s="51"/>
    </row>
    <row r="1262" spans="9:19" x14ac:dyDescent="0.25">
      <c r="I1262" s="1"/>
      <c r="J1262" s="71"/>
      <c r="M1262" s="46"/>
      <c r="R1262" s="51"/>
      <c r="S1262" s="51"/>
    </row>
    <row r="1263" spans="9:19" x14ac:dyDescent="0.25">
      <c r="I1263" s="1"/>
      <c r="J1263" s="71"/>
      <c r="M1263" s="46"/>
      <c r="R1263" s="51"/>
      <c r="S1263" s="51"/>
    </row>
    <row r="1264" spans="9:19" x14ac:dyDescent="0.25">
      <c r="I1264" s="1"/>
      <c r="J1264" s="71"/>
      <c r="M1264" s="46"/>
      <c r="R1264" s="51"/>
      <c r="S1264" s="51"/>
    </row>
    <row r="1265" spans="9:19" x14ac:dyDescent="0.25">
      <c r="I1265" s="1"/>
      <c r="J1265" s="71"/>
      <c r="M1265" s="46"/>
      <c r="R1265" s="51"/>
      <c r="S1265" s="51"/>
    </row>
    <row r="1266" spans="9:19" x14ac:dyDescent="0.25">
      <c r="I1266" s="1"/>
      <c r="J1266" s="71"/>
      <c r="M1266" s="46"/>
      <c r="R1266" s="51"/>
      <c r="S1266" s="51"/>
    </row>
    <row r="1267" spans="9:19" x14ac:dyDescent="0.25">
      <c r="I1267" s="1"/>
      <c r="J1267" s="71"/>
      <c r="M1267" s="46"/>
      <c r="R1267" s="51"/>
      <c r="S1267" s="51"/>
    </row>
    <row r="1268" spans="9:19" x14ac:dyDescent="0.25">
      <c r="I1268" s="1"/>
      <c r="J1268" s="71"/>
      <c r="M1268" s="46"/>
      <c r="R1268" s="51"/>
      <c r="S1268" s="51"/>
    </row>
    <row r="1269" spans="9:19" x14ac:dyDescent="0.25">
      <c r="I1269" s="1"/>
      <c r="J1269" s="71"/>
      <c r="M1269" s="46"/>
      <c r="R1269" s="51"/>
      <c r="S1269" s="51"/>
    </row>
    <row r="1270" spans="9:19" x14ac:dyDescent="0.25">
      <c r="I1270" s="1"/>
      <c r="J1270" s="71"/>
      <c r="M1270" s="46"/>
      <c r="R1270" s="51"/>
      <c r="S1270" s="51"/>
    </row>
    <row r="1271" spans="9:19" x14ac:dyDescent="0.25">
      <c r="I1271" s="1"/>
      <c r="J1271" s="71"/>
      <c r="M1271" s="46"/>
      <c r="R1271" s="51"/>
      <c r="S1271" s="51"/>
    </row>
    <row r="1272" spans="9:19" x14ac:dyDescent="0.25">
      <c r="I1272" s="1"/>
      <c r="J1272" s="71"/>
      <c r="M1272" s="46"/>
      <c r="R1272" s="51"/>
      <c r="S1272" s="51"/>
    </row>
    <row r="1273" spans="9:19" x14ac:dyDescent="0.25">
      <c r="I1273" s="1"/>
      <c r="J1273" s="71"/>
      <c r="M1273" s="46"/>
      <c r="R1273" s="51"/>
      <c r="S1273" s="51"/>
    </row>
    <row r="1274" spans="9:19" x14ac:dyDescent="0.25">
      <c r="I1274" s="1"/>
      <c r="J1274" s="71"/>
      <c r="M1274" s="46"/>
      <c r="R1274" s="51"/>
      <c r="S1274" s="51"/>
    </row>
    <row r="1275" spans="9:19" x14ac:dyDescent="0.25">
      <c r="I1275" s="1"/>
      <c r="J1275" s="71"/>
      <c r="M1275" s="46"/>
      <c r="R1275" s="51"/>
      <c r="S1275" s="51"/>
    </row>
    <row r="1276" spans="9:19" x14ac:dyDescent="0.25">
      <c r="I1276" s="1"/>
      <c r="J1276" s="71"/>
      <c r="M1276" s="46"/>
      <c r="R1276" s="51"/>
      <c r="S1276" s="51"/>
    </row>
    <row r="1277" spans="9:19" x14ac:dyDescent="0.25">
      <c r="I1277" s="1"/>
      <c r="J1277" s="71"/>
      <c r="M1277" s="46"/>
      <c r="R1277" s="51"/>
      <c r="S1277" s="51"/>
    </row>
    <row r="1278" spans="9:19" x14ac:dyDescent="0.25">
      <c r="I1278" s="1"/>
      <c r="J1278" s="71"/>
      <c r="M1278" s="46"/>
      <c r="R1278" s="51"/>
      <c r="S1278" s="51"/>
    </row>
    <row r="1279" spans="9:19" x14ac:dyDescent="0.25">
      <c r="I1279" s="1"/>
      <c r="J1279" s="71"/>
      <c r="M1279" s="46"/>
      <c r="R1279" s="51"/>
      <c r="S1279" s="51"/>
    </row>
    <row r="1280" spans="9:19" x14ac:dyDescent="0.25">
      <c r="I1280" s="1"/>
      <c r="J1280" s="71"/>
      <c r="M1280" s="46"/>
      <c r="R1280" s="51"/>
      <c r="S1280" s="51"/>
    </row>
    <row r="1281" spans="9:19" x14ac:dyDescent="0.25">
      <c r="I1281" s="1"/>
      <c r="J1281" s="71"/>
      <c r="M1281" s="46"/>
      <c r="R1281" s="51"/>
      <c r="S1281" s="51"/>
    </row>
    <row r="1282" spans="9:19" x14ac:dyDescent="0.25">
      <c r="I1282" s="1"/>
      <c r="J1282" s="71"/>
      <c r="M1282" s="46"/>
      <c r="R1282" s="51"/>
      <c r="S1282" s="51"/>
    </row>
    <row r="1283" spans="9:19" x14ac:dyDescent="0.25">
      <c r="I1283" s="1"/>
      <c r="J1283" s="71"/>
      <c r="M1283" s="46"/>
      <c r="R1283" s="51"/>
      <c r="S1283" s="51"/>
    </row>
    <row r="1284" spans="9:19" x14ac:dyDescent="0.25">
      <c r="I1284" s="1"/>
      <c r="J1284" s="71"/>
      <c r="M1284" s="46"/>
      <c r="R1284" s="51"/>
      <c r="S1284" s="51"/>
    </row>
    <row r="1285" spans="9:19" x14ac:dyDescent="0.25">
      <c r="I1285" s="1"/>
      <c r="J1285" s="71"/>
      <c r="M1285" s="46"/>
      <c r="R1285" s="51"/>
      <c r="S1285" s="51"/>
    </row>
    <row r="1286" spans="9:19" x14ac:dyDescent="0.25">
      <c r="I1286" s="1"/>
      <c r="J1286" s="71"/>
      <c r="M1286" s="46"/>
      <c r="R1286" s="51"/>
      <c r="S1286" s="51"/>
    </row>
    <row r="1287" spans="9:19" x14ac:dyDescent="0.25">
      <c r="I1287" s="1"/>
      <c r="J1287" s="71"/>
      <c r="M1287" s="46"/>
      <c r="R1287" s="51"/>
      <c r="S1287" s="51"/>
    </row>
    <row r="1288" spans="9:19" x14ac:dyDescent="0.25">
      <c r="I1288" s="1"/>
      <c r="J1288" s="71"/>
      <c r="M1288" s="46"/>
      <c r="R1288" s="51"/>
      <c r="S1288" s="51"/>
    </row>
    <row r="1289" spans="9:19" x14ac:dyDescent="0.25">
      <c r="I1289" s="1"/>
      <c r="J1289" s="71"/>
      <c r="M1289" s="46"/>
      <c r="R1289" s="51"/>
      <c r="S1289" s="51"/>
    </row>
    <row r="1290" spans="9:19" x14ac:dyDescent="0.25">
      <c r="I1290" s="1"/>
      <c r="J1290" s="71"/>
      <c r="M1290" s="46"/>
      <c r="R1290" s="51"/>
      <c r="S1290" s="51"/>
    </row>
    <row r="1291" spans="9:19" x14ac:dyDescent="0.25">
      <c r="I1291" s="1"/>
      <c r="J1291" s="71"/>
      <c r="M1291" s="46"/>
      <c r="R1291" s="51"/>
      <c r="S1291" s="51"/>
    </row>
    <row r="1292" spans="9:19" x14ac:dyDescent="0.25">
      <c r="I1292" s="1"/>
      <c r="J1292" s="71"/>
      <c r="M1292" s="46"/>
      <c r="R1292" s="51"/>
      <c r="S1292" s="51"/>
    </row>
    <row r="1293" spans="9:19" x14ac:dyDescent="0.25">
      <c r="I1293" s="1"/>
      <c r="J1293" s="71"/>
      <c r="M1293" s="46"/>
      <c r="R1293" s="51"/>
      <c r="S1293" s="51"/>
    </row>
    <row r="1294" spans="9:19" x14ac:dyDescent="0.25">
      <c r="I1294" s="1"/>
      <c r="J1294" s="71"/>
      <c r="M1294" s="46"/>
      <c r="R1294" s="51"/>
      <c r="S1294" s="51"/>
    </row>
    <row r="1295" spans="9:19" x14ac:dyDescent="0.25">
      <c r="I1295" s="1"/>
      <c r="J1295" s="71"/>
      <c r="M1295" s="46"/>
      <c r="R1295" s="51"/>
      <c r="S1295" s="51"/>
    </row>
    <row r="1296" spans="9:19" x14ac:dyDescent="0.25">
      <c r="I1296" s="1"/>
      <c r="J1296" s="71"/>
      <c r="M1296" s="46"/>
      <c r="R1296" s="51"/>
      <c r="S1296" s="51"/>
    </row>
    <row r="1297" spans="9:19" x14ac:dyDescent="0.25">
      <c r="I1297" s="1"/>
      <c r="J1297" s="71"/>
      <c r="M1297" s="46"/>
      <c r="R1297" s="51"/>
      <c r="S1297" s="51"/>
    </row>
    <row r="1298" spans="9:19" x14ac:dyDescent="0.25">
      <c r="I1298" s="1"/>
      <c r="J1298" s="71"/>
      <c r="M1298" s="46"/>
      <c r="R1298" s="51"/>
      <c r="S1298" s="51"/>
    </row>
    <row r="1299" spans="9:19" x14ac:dyDescent="0.25">
      <c r="I1299" s="1"/>
      <c r="J1299" s="71"/>
      <c r="M1299" s="46"/>
      <c r="R1299" s="51"/>
      <c r="S1299" s="51"/>
    </row>
    <row r="1300" spans="9:19" x14ac:dyDescent="0.25">
      <c r="I1300" s="1"/>
      <c r="J1300" s="71"/>
      <c r="M1300" s="46"/>
      <c r="R1300" s="51"/>
      <c r="S1300" s="51"/>
    </row>
    <row r="1301" spans="9:19" x14ac:dyDescent="0.25">
      <c r="I1301" s="1"/>
      <c r="J1301" s="71"/>
      <c r="M1301" s="46"/>
      <c r="R1301" s="51"/>
      <c r="S1301" s="51"/>
    </row>
    <row r="1302" spans="9:19" x14ac:dyDescent="0.25">
      <c r="I1302" s="1"/>
      <c r="J1302" s="71"/>
      <c r="M1302" s="46"/>
      <c r="R1302" s="51"/>
      <c r="S1302" s="51"/>
    </row>
    <row r="1303" spans="9:19" x14ac:dyDescent="0.25">
      <c r="I1303" s="1"/>
      <c r="J1303" s="71"/>
      <c r="M1303" s="46"/>
      <c r="R1303" s="51"/>
      <c r="S1303" s="51"/>
    </row>
    <row r="1304" spans="9:19" x14ac:dyDescent="0.25">
      <c r="I1304" s="1"/>
      <c r="J1304" s="71"/>
      <c r="M1304" s="46"/>
      <c r="R1304" s="51"/>
      <c r="S1304" s="51"/>
    </row>
    <row r="1305" spans="9:19" x14ac:dyDescent="0.25">
      <c r="I1305" s="1"/>
      <c r="J1305" s="71"/>
      <c r="M1305" s="46"/>
      <c r="R1305" s="51"/>
      <c r="S1305" s="51"/>
    </row>
    <row r="1306" spans="9:19" x14ac:dyDescent="0.25">
      <c r="I1306" s="1"/>
      <c r="J1306" s="71"/>
      <c r="M1306" s="46"/>
      <c r="R1306" s="51"/>
      <c r="S1306" s="51"/>
    </row>
    <row r="1307" spans="9:19" x14ac:dyDescent="0.25">
      <c r="I1307" s="1"/>
      <c r="J1307" s="71"/>
      <c r="M1307" s="46"/>
      <c r="R1307" s="51"/>
      <c r="S1307" s="51"/>
    </row>
    <row r="1308" spans="9:19" x14ac:dyDescent="0.25">
      <c r="I1308" s="1"/>
      <c r="J1308" s="71"/>
      <c r="M1308" s="46"/>
      <c r="R1308" s="51"/>
      <c r="S1308" s="51"/>
    </row>
    <row r="1309" spans="9:19" x14ac:dyDescent="0.25">
      <c r="I1309" s="1"/>
      <c r="J1309" s="71"/>
      <c r="M1309" s="46"/>
      <c r="R1309" s="51"/>
      <c r="S1309" s="51"/>
    </row>
    <row r="1310" spans="9:19" x14ac:dyDescent="0.25">
      <c r="I1310" s="1"/>
      <c r="J1310" s="71"/>
      <c r="M1310" s="46"/>
      <c r="R1310" s="51"/>
      <c r="S1310" s="51"/>
    </row>
    <row r="1311" spans="9:19" x14ac:dyDescent="0.25">
      <c r="I1311" s="1"/>
      <c r="J1311" s="71"/>
      <c r="M1311" s="46"/>
      <c r="R1311" s="51"/>
      <c r="S1311" s="51"/>
    </row>
    <row r="1312" spans="9:19" x14ac:dyDescent="0.25">
      <c r="I1312" s="1"/>
      <c r="J1312" s="71"/>
      <c r="M1312" s="46"/>
      <c r="R1312" s="51"/>
      <c r="S1312" s="51"/>
    </row>
    <row r="1313" spans="9:19" x14ac:dyDescent="0.25">
      <c r="I1313" s="1"/>
      <c r="J1313" s="71"/>
      <c r="M1313" s="46"/>
      <c r="R1313" s="51"/>
      <c r="S1313" s="51"/>
    </row>
    <row r="1314" spans="9:19" x14ac:dyDescent="0.25">
      <c r="I1314" s="1"/>
      <c r="J1314" s="71"/>
      <c r="M1314" s="46"/>
      <c r="R1314" s="51"/>
      <c r="S1314" s="51"/>
    </row>
    <row r="1315" spans="9:19" x14ac:dyDescent="0.25">
      <c r="I1315" s="1"/>
      <c r="J1315" s="71"/>
      <c r="M1315" s="46"/>
      <c r="R1315" s="51"/>
      <c r="S1315" s="51"/>
    </row>
    <row r="1316" spans="9:19" x14ac:dyDescent="0.25">
      <c r="I1316" s="1"/>
      <c r="J1316" s="71"/>
      <c r="M1316" s="46"/>
      <c r="R1316" s="51"/>
      <c r="S1316" s="51"/>
    </row>
    <row r="1317" spans="9:19" x14ac:dyDescent="0.25">
      <c r="I1317" s="1"/>
      <c r="J1317" s="71"/>
      <c r="M1317" s="46"/>
      <c r="R1317" s="51"/>
      <c r="S1317" s="51"/>
    </row>
    <row r="1318" spans="9:19" x14ac:dyDescent="0.25">
      <c r="I1318" s="1"/>
      <c r="J1318" s="71"/>
      <c r="M1318" s="46"/>
      <c r="R1318" s="51"/>
      <c r="S1318" s="51"/>
    </row>
    <row r="1319" spans="9:19" x14ac:dyDescent="0.25">
      <c r="I1319" s="1"/>
      <c r="J1319" s="71"/>
      <c r="M1319" s="46"/>
      <c r="R1319" s="51"/>
      <c r="S1319" s="51"/>
    </row>
    <row r="1320" spans="9:19" x14ac:dyDescent="0.25">
      <c r="I1320" s="1"/>
      <c r="J1320" s="71"/>
      <c r="M1320" s="46"/>
      <c r="R1320" s="51"/>
      <c r="S1320" s="51"/>
    </row>
    <row r="1321" spans="9:19" x14ac:dyDescent="0.25">
      <c r="I1321" s="1"/>
      <c r="J1321" s="71"/>
      <c r="M1321" s="46"/>
      <c r="R1321" s="51"/>
      <c r="S1321" s="51"/>
    </row>
    <row r="1322" spans="9:19" x14ac:dyDescent="0.25">
      <c r="I1322" s="1"/>
      <c r="J1322" s="71"/>
      <c r="M1322" s="46"/>
      <c r="R1322" s="51"/>
      <c r="S1322" s="51"/>
    </row>
    <row r="1323" spans="9:19" x14ac:dyDescent="0.25">
      <c r="I1323" s="1"/>
      <c r="J1323" s="71"/>
      <c r="M1323" s="46"/>
      <c r="R1323" s="51"/>
      <c r="S1323" s="51"/>
    </row>
    <row r="1324" spans="9:19" x14ac:dyDescent="0.25">
      <c r="I1324" s="1"/>
      <c r="J1324" s="71"/>
      <c r="M1324" s="46"/>
      <c r="R1324" s="51"/>
      <c r="S1324" s="51"/>
    </row>
    <row r="1325" spans="9:19" x14ac:dyDescent="0.25">
      <c r="I1325" s="1"/>
      <c r="J1325" s="71"/>
      <c r="M1325" s="46"/>
      <c r="R1325" s="51"/>
      <c r="S1325" s="51"/>
    </row>
    <row r="1326" spans="9:19" x14ac:dyDescent="0.25">
      <c r="I1326" s="1"/>
      <c r="J1326" s="71"/>
      <c r="M1326" s="46"/>
      <c r="R1326" s="51"/>
      <c r="S1326" s="51"/>
    </row>
    <row r="1327" spans="9:19" x14ac:dyDescent="0.25">
      <c r="I1327" s="1"/>
      <c r="J1327" s="71"/>
      <c r="M1327" s="46"/>
      <c r="R1327" s="51"/>
      <c r="S1327" s="51"/>
    </row>
    <row r="1328" spans="9:19" x14ac:dyDescent="0.25">
      <c r="I1328" s="1"/>
      <c r="J1328" s="71"/>
      <c r="M1328" s="46"/>
      <c r="R1328" s="51"/>
      <c r="S1328" s="51"/>
    </row>
    <row r="1329" spans="9:19" x14ac:dyDescent="0.25">
      <c r="I1329" s="1"/>
      <c r="J1329" s="71"/>
      <c r="M1329" s="46"/>
      <c r="R1329" s="51"/>
      <c r="S1329" s="51"/>
    </row>
    <row r="1330" spans="9:19" x14ac:dyDescent="0.25">
      <c r="I1330" s="1"/>
      <c r="J1330" s="71"/>
      <c r="M1330" s="46"/>
      <c r="R1330" s="51"/>
      <c r="S1330" s="51"/>
    </row>
    <row r="1331" spans="9:19" x14ac:dyDescent="0.25">
      <c r="I1331" s="1"/>
      <c r="J1331" s="71"/>
      <c r="M1331" s="46"/>
      <c r="R1331" s="51"/>
      <c r="S1331" s="51"/>
    </row>
    <row r="1332" spans="9:19" x14ac:dyDescent="0.25">
      <c r="I1332" s="1"/>
      <c r="J1332" s="71"/>
      <c r="M1332" s="46"/>
      <c r="R1332" s="51"/>
      <c r="S1332" s="51"/>
    </row>
    <row r="1333" spans="9:19" x14ac:dyDescent="0.25">
      <c r="I1333" s="1"/>
      <c r="J1333" s="71"/>
      <c r="M1333" s="46"/>
      <c r="R1333" s="51"/>
      <c r="S1333" s="51"/>
    </row>
    <row r="1334" spans="9:19" x14ac:dyDescent="0.25">
      <c r="I1334" s="1"/>
      <c r="J1334" s="71"/>
      <c r="M1334" s="46"/>
      <c r="R1334" s="51"/>
      <c r="S1334" s="51"/>
    </row>
    <row r="1335" spans="9:19" x14ac:dyDescent="0.25">
      <c r="I1335" s="1"/>
      <c r="J1335" s="71"/>
      <c r="M1335" s="46"/>
      <c r="R1335" s="51"/>
      <c r="S1335" s="51"/>
    </row>
    <row r="1336" spans="9:19" x14ac:dyDescent="0.25">
      <c r="I1336" s="1"/>
      <c r="J1336" s="71"/>
      <c r="M1336" s="46"/>
      <c r="R1336" s="51"/>
      <c r="S1336" s="51"/>
    </row>
    <row r="1337" spans="9:19" x14ac:dyDescent="0.25">
      <c r="I1337" s="1"/>
      <c r="J1337" s="71"/>
      <c r="M1337" s="46"/>
      <c r="R1337" s="51"/>
      <c r="S1337" s="51"/>
    </row>
    <row r="1338" spans="9:19" x14ac:dyDescent="0.25">
      <c r="I1338" s="1"/>
      <c r="J1338" s="71"/>
      <c r="M1338" s="46"/>
      <c r="R1338" s="51"/>
      <c r="S1338" s="51"/>
    </row>
    <row r="1339" spans="9:19" x14ac:dyDescent="0.25">
      <c r="I1339" s="1"/>
      <c r="J1339" s="71"/>
      <c r="M1339" s="46"/>
      <c r="R1339" s="51"/>
      <c r="S1339" s="51"/>
    </row>
    <row r="1340" spans="9:19" x14ac:dyDescent="0.25">
      <c r="I1340" s="1"/>
      <c r="J1340" s="71"/>
      <c r="M1340" s="46"/>
      <c r="R1340" s="51"/>
      <c r="S1340" s="51"/>
    </row>
    <row r="1341" spans="9:19" x14ac:dyDescent="0.25">
      <c r="I1341" s="1"/>
      <c r="J1341" s="71"/>
      <c r="M1341" s="46"/>
      <c r="R1341" s="51"/>
      <c r="S1341" s="51"/>
    </row>
    <row r="1342" spans="9:19" x14ac:dyDescent="0.25">
      <c r="I1342" s="1"/>
      <c r="J1342" s="71"/>
      <c r="M1342" s="46"/>
      <c r="R1342" s="51"/>
      <c r="S1342" s="51"/>
    </row>
    <row r="1343" spans="9:19" x14ac:dyDescent="0.25">
      <c r="I1343" s="1"/>
      <c r="J1343" s="71"/>
      <c r="M1343" s="46"/>
      <c r="R1343" s="51"/>
      <c r="S1343" s="51"/>
    </row>
    <row r="1344" spans="9:19" x14ac:dyDescent="0.25">
      <c r="I1344" s="1"/>
      <c r="J1344" s="71"/>
      <c r="M1344" s="46"/>
      <c r="R1344" s="51"/>
      <c r="S1344" s="51"/>
    </row>
    <row r="1345" spans="9:19" x14ac:dyDescent="0.25">
      <c r="I1345" s="1"/>
      <c r="J1345" s="71"/>
      <c r="M1345" s="46"/>
      <c r="R1345" s="51"/>
      <c r="S1345" s="51"/>
    </row>
    <row r="1346" spans="9:19" x14ac:dyDescent="0.25">
      <c r="I1346" s="1"/>
      <c r="J1346" s="71"/>
      <c r="M1346" s="46"/>
      <c r="R1346" s="51"/>
      <c r="S1346" s="51"/>
    </row>
    <row r="1347" spans="9:19" x14ac:dyDescent="0.25">
      <c r="I1347" s="1"/>
      <c r="J1347" s="71"/>
      <c r="M1347" s="46"/>
      <c r="R1347" s="51"/>
      <c r="S1347" s="51"/>
    </row>
    <row r="1348" spans="9:19" x14ac:dyDescent="0.25">
      <c r="I1348" s="1"/>
      <c r="J1348" s="71"/>
      <c r="M1348" s="46"/>
      <c r="R1348" s="51"/>
      <c r="S1348" s="51"/>
    </row>
    <row r="1349" spans="9:19" x14ac:dyDescent="0.25">
      <c r="I1349" s="1"/>
      <c r="J1349" s="71"/>
      <c r="M1349" s="46"/>
      <c r="R1349" s="51"/>
      <c r="S1349" s="51"/>
    </row>
    <row r="1350" spans="9:19" x14ac:dyDescent="0.25">
      <c r="I1350" s="1"/>
      <c r="J1350" s="71"/>
      <c r="M1350" s="46"/>
      <c r="R1350" s="51"/>
      <c r="S1350" s="51"/>
    </row>
    <row r="1351" spans="9:19" x14ac:dyDescent="0.25">
      <c r="I1351" s="1"/>
      <c r="J1351" s="71"/>
      <c r="M1351" s="46"/>
      <c r="R1351" s="51"/>
      <c r="S1351" s="51"/>
    </row>
    <row r="1352" spans="9:19" x14ac:dyDescent="0.25">
      <c r="I1352" s="1"/>
      <c r="J1352" s="71"/>
      <c r="M1352" s="46"/>
      <c r="R1352" s="51"/>
      <c r="S1352" s="51"/>
    </row>
    <row r="1353" spans="9:19" x14ac:dyDescent="0.25">
      <c r="I1353" s="1"/>
      <c r="J1353" s="71"/>
      <c r="M1353" s="46"/>
      <c r="R1353" s="51"/>
      <c r="S1353" s="51"/>
    </row>
    <row r="1354" spans="9:19" x14ac:dyDescent="0.25">
      <c r="I1354" s="1"/>
      <c r="J1354" s="71"/>
      <c r="M1354" s="46"/>
      <c r="R1354" s="51"/>
      <c r="S1354" s="51"/>
    </row>
    <row r="1355" spans="9:19" x14ac:dyDescent="0.25">
      <c r="I1355" s="1"/>
      <c r="J1355" s="71"/>
      <c r="M1355" s="46"/>
      <c r="R1355" s="51"/>
      <c r="S1355" s="51"/>
    </row>
    <row r="1356" spans="9:19" x14ac:dyDescent="0.25">
      <c r="I1356" s="1"/>
      <c r="J1356" s="71"/>
      <c r="M1356" s="46"/>
      <c r="R1356" s="51"/>
      <c r="S1356" s="51"/>
    </row>
    <row r="1357" spans="9:19" x14ac:dyDescent="0.25">
      <c r="I1357" s="1"/>
      <c r="J1357" s="71"/>
      <c r="M1357" s="46"/>
      <c r="R1357" s="51"/>
      <c r="S1357" s="51"/>
    </row>
    <row r="1358" spans="9:19" x14ac:dyDescent="0.25">
      <c r="I1358" s="1"/>
      <c r="J1358" s="71"/>
      <c r="M1358" s="46"/>
      <c r="R1358" s="51"/>
      <c r="S1358" s="51"/>
    </row>
    <row r="1359" spans="9:19" x14ac:dyDescent="0.25">
      <c r="I1359" s="1"/>
      <c r="J1359" s="71"/>
      <c r="M1359" s="46"/>
      <c r="R1359" s="51"/>
      <c r="S1359" s="51"/>
    </row>
    <row r="1360" spans="9:19" x14ac:dyDescent="0.25">
      <c r="I1360" s="1"/>
      <c r="J1360" s="71"/>
      <c r="M1360" s="46"/>
      <c r="R1360" s="51"/>
      <c r="S1360" s="51"/>
    </row>
    <row r="1361" spans="9:19" x14ac:dyDescent="0.25">
      <c r="I1361" s="1"/>
      <c r="J1361" s="71"/>
      <c r="M1361" s="46"/>
      <c r="R1361" s="51"/>
      <c r="S1361" s="51"/>
    </row>
    <row r="1362" spans="9:19" x14ac:dyDescent="0.25">
      <c r="I1362" s="1"/>
      <c r="J1362" s="71"/>
      <c r="M1362" s="46"/>
      <c r="R1362" s="51"/>
      <c r="S1362" s="51"/>
    </row>
    <row r="1363" spans="9:19" x14ac:dyDescent="0.25">
      <c r="I1363" s="1"/>
      <c r="J1363" s="71"/>
      <c r="M1363" s="46"/>
      <c r="R1363" s="51"/>
      <c r="S1363" s="51"/>
    </row>
    <row r="1364" spans="9:19" x14ac:dyDescent="0.25">
      <c r="I1364" s="1"/>
      <c r="J1364" s="71"/>
      <c r="M1364" s="46"/>
      <c r="R1364" s="51"/>
      <c r="S1364" s="51"/>
    </row>
    <row r="1365" spans="9:19" x14ac:dyDescent="0.25">
      <c r="I1365" s="1"/>
      <c r="J1365" s="71"/>
      <c r="M1365" s="46"/>
      <c r="R1365" s="51"/>
      <c r="S1365" s="51"/>
    </row>
    <row r="1366" spans="9:19" x14ac:dyDescent="0.25">
      <c r="I1366" s="1"/>
      <c r="J1366" s="71"/>
      <c r="M1366" s="46"/>
      <c r="R1366" s="51"/>
      <c r="S1366" s="51"/>
    </row>
    <row r="1367" spans="9:19" x14ac:dyDescent="0.25">
      <c r="I1367" s="1"/>
      <c r="J1367" s="71"/>
      <c r="M1367" s="46"/>
      <c r="R1367" s="51"/>
      <c r="S1367" s="51"/>
    </row>
    <row r="1368" spans="9:19" x14ac:dyDescent="0.25">
      <c r="I1368" s="1"/>
      <c r="J1368" s="71"/>
      <c r="M1368" s="46"/>
      <c r="R1368" s="51"/>
      <c r="S1368" s="51"/>
    </row>
    <row r="1369" spans="9:19" x14ac:dyDescent="0.25">
      <c r="I1369" s="1"/>
      <c r="J1369" s="71"/>
      <c r="M1369" s="46"/>
      <c r="R1369" s="51"/>
      <c r="S1369" s="51"/>
    </row>
    <row r="1370" spans="9:19" x14ac:dyDescent="0.25">
      <c r="I1370" s="1"/>
      <c r="J1370" s="71"/>
      <c r="M1370" s="46"/>
      <c r="R1370" s="51"/>
      <c r="S1370" s="51"/>
    </row>
    <row r="1371" spans="9:19" x14ac:dyDescent="0.25">
      <c r="I1371" s="1"/>
      <c r="J1371" s="71"/>
      <c r="M1371" s="46"/>
      <c r="R1371" s="51"/>
      <c r="S1371" s="51"/>
    </row>
    <row r="1372" spans="9:19" x14ac:dyDescent="0.25">
      <c r="I1372" s="1"/>
      <c r="J1372" s="71"/>
      <c r="M1372" s="46"/>
      <c r="R1372" s="51"/>
      <c r="S1372" s="51"/>
    </row>
    <row r="1373" spans="9:19" x14ac:dyDescent="0.25">
      <c r="I1373" s="1"/>
      <c r="J1373" s="71"/>
      <c r="M1373" s="46"/>
      <c r="R1373" s="51"/>
      <c r="S1373" s="51"/>
    </row>
    <row r="1374" spans="9:19" x14ac:dyDescent="0.25">
      <c r="I1374" s="1"/>
      <c r="J1374" s="71"/>
      <c r="M1374" s="46"/>
      <c r="R1374" s="51"/>
      <c r="S1374" s="51"/>
    </row>
    <row r="1375" spans="9:19" x14ac:dyDescent="0.25">
      <c r="I1375" s="1"/>
      <c r="J1375" s="71"/>
      <c r="M1375" s="46"/>
      <c r="R1375" s="51"/>
      <c r="S1375" s="51"/>
    </row>
    <row r="1376" spans="9:19" x14ac:dyDescent="0.25">
      <c r="I1376" s="1"/>
      <c r="J1376" s="71"/>
      <c r="M1376" s="46"/>
      <c r="R1376" s="51"/>
      <c r="S1376" s="51"/>
    </row>
    <row r="1377" spans="9:19" x14ac:dyDescent="0.25">
      <c r="I1377" s="1"/>
      <c r="J1377" s="71"/>
      <c r="M1377" s="46"/>
      <c r="R1377" s="51"/>
      <c r="S1377" s="51"/>
    </row>
    <row r="1378" spans="9:19" x14ac:dyDescent="0.25">
      <c r="I1378" s="1"/>
      <c r="J1378" s="71"/>
      <c r="M1378" s="46"/>
      <c r="R1378" s="51"/>
      <c r="S1378" s="51"/>
    </row>
    <row r="1379" spans="9:19" x14ac:dyDescent="0.25">
      <c r="I1379" s="1"/>
      <c r="J1379" s="71"/>
      <c r="M1379" s="46"/>
      <c r="R1379" s="51"/>
      <c r="S1379" s="51"/>
    </row>
    <row r="1380" spans="9:19" x14ac:dyDescent="0.25">
      <c r="I1380" s="1"/>
      <c r="J1380" s="71"/>
      <c r="M1380" s="46"/>
      <c r="R1380" s="51"/>
      <c r="S1380" s="51"/>
    </row>
    <row r="1381" spans="9:19" x14ac:dyDescent="0.25">
      <c r="I1381" s="1"/>
      <c r="J1381" s="71"/>
      <c r="M1381" s="46"/>
      <c r="R1381" s="51"/>
      <c r="S1381" s="51"/>
    </row>
    <row r="1382" spans="9:19" x14ac:dyDescent="0.25">
      <c r="I1382" s="1"/>
      <c r="J1382" s="71"/>
      <c r="M1382" s="46"/>
      <c r="R1382" s="51"/>
      <c r="S1382" s="51"/>
    </row>
    <row r="1383" spans="9:19" x14ac:dyDescent="0.25">
      <c r="I1383" s="1"/>
      <c r="J1383" s="71"/>
      <c r="M1383" s="46"/>
      <c r="R1383" s="51"/>
      <c r="S1383" s="51"/>
    </row>
    <row r="1384" spans="9:19" x14ac:dyDescent="0.25">
      <c r="I1384" s="1"/>
      <c r="J1384" s="71"/>
      <c r="M1384" s="46"/>
      <c r="R1384" s="51"/>
      <c r="S1384" s="51"/>
    </row>
    <row r="1385" spans="9:19" x14ac:dyDescent="0.25">
      <c r="I1385" s="1"/>
      <c r="J1385" s="71"/>
      <c r="M1385" s="46"/>
      <c r="R1385" s="51"/>
      <c r="S1385" s="51"/>
    </row>
    <row r="1386" spans="9:19" x14ac:dyDescent="0.25">
      <c r="I1386" s="1"/>
      <c r="J1386" s="71"/>
      <c r="M1386" s="46"/>
      <c r="R1386" s="51"/>
      <c r="S1386" s="51"/>
    </row>
    <row r="1387" spans="9:19" x14ac:dyDescent="0.25">
      <c r="I1387" s="1"/>
      <c r="J1387" s="71"/>
      <c r="M1387" s="46"/>
      <c r="R1387" s="51"/>
      <c r="S1387" s="51"/>
    </row>
    <row r="1388" spans="9:19" x14ac:dyDescent="0.25">
      <c r="I1388" s="1"/>
      <c r="J1388" s="71"/>
      <c r="M1388" s="46"/>
      <c r="R1388" s="51"/>
      <c r="S1388" s="51"/>
    </row>
    <row r="1389" spans="9:19" x14ac:dyDescent="0.25">
      <c r="I1389" s="1"/>
      <c r="J1389" s="71"/>
      <c r="M1389" s="46"/>
      <c r="R1389" s="51"/>
      <c r="S1389" s="51"/>
    </row>
    <row r="1390" spans="9:19" x14ac:dyDescent="0.25">
      <c r="I1390" s="1"/>
      <c r="J1390" s="71"/>
      <c r="M1390" s="46"/>
      <c r="R1390" s="51"/>
      <c r="S1390" s="51"/>
    </row>
    <row r="1391" spans="9:19" x14ac:dyDescent="0.25">
      <c r="I1391" s="1"/>
      <c r="J1391" s="71"/>
      <c r="M1391" s="46"/>
      <c r="R1391" s="51"/>
      <c r="S1391" s="51"/>
    </row>
    <row r="1392" spans="9:19" x14ac:dyDescent="0.25">
      <c r="I1392" s="1"/>
      <c r="J1392" s="71"/>
      <c r="M1392" s="46"/>
      <c r="R1392" s="51"/>
      <c r="S1392" s="51"/>
    </row>
    <row r="1393" spans="9:19" x14ac:dyDescent="0.25">
      <c r="I1393" s="1"/>
      <c r="J1393" s="71"/>
      <c r="M1393" s="46"/>
      <c r="R1393" s="51"/>
      <c r="S1393" s="51"/>
    </row>
    <row r="1394" spans="9:19" x14ac:dyDescent="0.25">
      <c r="I1394" s="1"/>
      <c r="J1394" s="71"/>
      <c r="M1394" s="46"/>
      <c r="R1394" s="51"/>
      <c r="S1394" s="51"/>
    </row>
    <row r="1395" spans="9:19" x14ac:dyDescent="0.25">
      <c r="I1395" s="1"/>
      <c r="J1395" s="71"/>
      <c r="M1395" s="46"/>
      <c r="R1395" s="51"/>
      <c r="S1395" s="51"/>
    </row>
    <row r="1396" spans="9:19" x14ac:dyDescent="0.25">
      <c r="I1396" s="1"/>
      <c r="J1396" s="71"/>
      <c r="M1396" s="46"/>
      <c r="R1396" s="51"/>
      <c r="S1396" s="51"/>
    </row>
    <row r="1397" spans="9:19" x14ac:dyDescent="0.25">
      <c r="I1397" s="1"/>
      <c r="J1397" s="71"/>
      <c r="M1397" s="46"/>
      <c r="R1397" s="51"/>
      <c r="S1397" s="51"/>
    </row>
    <row r="1398" spans="9:19" x14ac:dyDescent="0.25">
      <c r="I1398" s="1"/>
      <c r="J1398" s="71"/>
      <c r="M1398" s="46"/>
      <c r="R1398" s="51"/>
      <c r="S1398" s="51"/>
    </row>
    <row r="1399" spans="9:19" x14ac:dyDescent="0.25">
      <c r="I1399" s="1"/>
      <c r="J1399" s="71"/>
      <c r="M1399" s="46"/>
      <c r="R1399" s="51"/>
      <c r="S1399" s="51"/>
    </row>
    <row r="1400" spans="9:19" x14ac:dyDescent="0.25">
      <c r="I1400" s="1"/>
      <c r="J1400" s="71"/>
      <c r="M1400" s="46"/>
      <c r="R1400" s="51"/>
      <c r="S1400" s="51"/>
    </row>
    <row r="1401" spans="9:19" x14ac:dyDescent="0.25">
      <c r="I1401" s="1"/>
      <c r="J1401" s="71"/>
      <c r="M1401" s="46"/>
      <c r="R1401" s="51"/>
      <c r="S1401" s="51"/>
    </row>
    <row r="1402" spans="9:19" x14ac:dyDescent="0.25">
      <c r="I1402" s="1"/>
      <c r="J1402" s="71"/>
      <c r="M1402" s="46"/>
      <c r="R1402" s="51"/>
      <c r="S1402" s="51"/>
    </row>
    <row r="1403" spans="9:19" x14ac:dyDescent="0.25">
      <c r="I1403" s="1"/>
      <c r="J1403" s="71"/>
      <c r="M1403" s="46"/>
      <c r="R1403" s="51"/>
      <c r="S1403" s="51"/>
    </row>
    <row r="1404" spans="9:19" x14ac:dyDescent="0.25">
      <c r="I1404" s="1"/>
      <c r="J1404" s="71"/>
      <c r="M1404" s="46"/>
      <c r="R1404" s="51"/>
      <c r="S1404" s="51"/>
    </row>
    <row r="1405" spans="9:19" x14ac:dyDescent="0.25">
      <c r="I1405" s="1"/>
      <c r="J1405" s="71"/>
      <c r="M1405" s="46"/>
      <c r="R1405" s="51"/>
      <c r="S1405" s="51"/>
    </row>
    <row r="1406" spans="9:19" x14ac:dyDescent="0.25">
      <c r="I1406" s="1"/>
      <c r="J1406" s="71"/>
      <c r="M1406" s="46"/>
      <c r="R1406" s="51"/>
      <c r="S1406" s="51"/>
    </row>
    <row r="1407" spans="9:19" x14ac:dyDescent="0.25">
      <c r="I1407" s="1"/>
      <c r="J1407" s="71"/>
      <c r="M1407" s="46"/>
      <c r="R1407" s="51"/>
      <c r="S1407" s="51"/>
    </row>
    <row r="1408" spans="9:19" x14ac:dyDescent="0.25">
      <c r="I1408" s="1"/>
      <c r="J1408" s="71"/>
      <c r="M1408" s="46"/>
      <c r="R1408" s="51"/>
      <c r="S1408" s="51"/>
    </row>
    <row r="1409" spans="9:19" x14ac:dyDescent="0.25">
      <c r="I1409" s="1"/>
      <c r="J1409" s="71"/>
      <c r="M1409" s="46"/>
      <c r="R1409" s="51"/>
      <c r="S1409" s="51"/>
    </row>
    <row r="1410" spans="9:19" x14ac:dyDescent="0.25">
      <c r="I1410" s="1"/>
      <c r="J1410" s="71"/>
      <c r="M1410" s="46"/>
      <c r="R1410" s="51"/>
      <c r="S1410" s="51"/>
    </row>
    <row r="1411" spans="9:19" x14ac:dyDescent="0.25">
      <c r="I1411" s="1"/>
      <c r="J1411" s="71"/>
      <c r="M1411" s="46"/>
      <c r="R1411" s="51"/>
      <c r="S1411" s="51"/>
    </row>
    <row r="1412" spans="9:19" x14ac:dyDescent="0.25">
      <c r="I1412" s="1"/>
      <c r="J1412" s="71"/>
      <c r="M1412" s="46"/>
      <c r="R1412" s="51"/>
      <c r="S1412" s="51"/>
    </row>
    <row r="1413" spans="9:19" x14ac:dyDescent="0.25">
      <c r="I1413" s="1"/>
      <c r="J1413" s="71"/>
      <c r="M1413" s="46"/>
      <c r="R1413" s="51"/>
      <c r="S1413" s="51"/>
    </row>
    <row r="1414" spans="9:19" x14ac:dyDescent="0.25">
      <c r="I1414" s="1"/>
      <c r="J1414" s="71"/>
      <c r="M1414" s="46"/>
      <c r="R1414" s="51"/>
      <c r="S1414" s="51"/>
    </row>
    <row r="1415" spans="9:19" x14ac:dyDescent="0.25">
      <c r="I1415" s="1"/>
      <c r="J1415" s="71"/>
      <c r="M1415" s="46"/>
      <c r="R1415" s="51"/>
      <c r="S1415" s="51"/>
    </row>
    <row r="1416" spans="9:19" x14ac:dyDescent="0.25">
      <c r="I1416" s="1"/>
      <c r="J1416" s="71"/>
      <c r="M1416" s="46"/>
      <c r="R1416" s="51"/>
      <c r="S1416" s="51"/>
    </row>
    <row r="1417" spans="9:19" x14ac:dyDescent="0.25">
      <c r="I1417" s="1"/>
      <c r="J1417" s="71"/>
      <c r="M1417" s="46"/>
      <c r="R1417" s="51"/>
      <c r="S1417" s="51"/>
    </row>
    <row r="1418" spans="9:19" x14ac:dyDescent="0.25">
      <c r="I1418" s="1"/>
      <c r="J1418" s="71"/>
      <c r="M1418" s="46"/>
      <c r="R1418" s="51"/>
      <c r="S1418" s="51"/>
    </row>
    <row r="1419" spans="9:19" x14ac:dyDescent="0.25">
      <c r="I1419" s="1"/>
      <c r="J1419" s="71"/>
      <c r="M1419" s="46"/>
      <c r="R1419" s="51"/>
      <c r="S1419" s="51"/>
    </row>
    <row r="1420" spans="9:19" x14ac:dyDescent="0.25">
      <c r="I1420" s="1"/>
      <c r="J1420" s="71"/>
      <c r="M1420" s="46"/>
      <c r="R1420" s="51"/>
      <c r="S1420" s="51"/>
    </row>
    <row r="1421" spans="9:19" x14ac:dyDescent="0.25">
      <c r="I1421" s="1"/>
      <c r="J1421" s="71"/>
      <c r="M1421" s="46"/>
      <c r="R1421" s="51"/>
      <c r="S1421" s="51"/>
    </row>
    <row r="1422" spans="9:19" x14ac:dyDescent="0.25">
      <c r="I1422" s="1"/>
      <c r="J1422" s="71"/>
      <c r="M1422" s="46"/>
      <c r="R1422" s="51"/>
      <c r="S1422" s="51"/>
    </row>
    <row r="1423" spans="9:19" x14ac:dyDescent="0.25">
      <c r="I1423" s="1"/>
      <c r="J1423" s="71"/>
      <c r="M1423" s="46"/>
      <c r="R1423" s="51"/>
      <c r="S1423" s="51"/>
    </row>
    <row r="1424" spans="9:19" x14ac:dyDescent="0.25">
      <c r="I1424" s="1"/>
      <c r="J1424" s="71"/>
      <c r="M1424" s="46"/>
      <c r="R1424" s="51"/>
      <c r="S1424" s="51"/>
    </row>
    <row r="1425" spans="9:19" x14ac:dyDescent="0.25">
      <c r="I1425" s="1"/>
      <c r="J1425" s="71"/>
      <c r="M1425" s="46"/>
      <c r="R1425" s="51"/>
      <c r="S1425" s="51"/>
    </row>
    <row r="1426" spans="9:19" x14ac:dyDescent="0.25">
      <c r="I1426" s="1"/>
      <c r="J1426" s="71"/>
      <c r="M1426" s="46"/>
      <c r="R1426" s="51"/>
      <c r="S1426" s="51"/>
    </row>
    <row r="1427" spans="9:19" x14ac:dyDescent="0.25">
      <c r="I1427" s="1"/>
      <c r="J1427" s="71"/>
      <c r="M1427" s="46"/>
      <c r="R1427" s="51"/>
      <c r="S1427" s="51"/>
    </row>
    <row r="1428" spans="9:19" x14ac:dyDescent="0.25">
      <c r="I1428" s="1"/>
      <c r="J1428" s="71"/>
      <c r="M1428" s="46"/>
      <c r="R1428" s="51"/>
      <c r="S1428" s="51"/>
    </row>
    <row r="1429" spans="9:19" x14ac:dyDescent="0.25">
      <c r="I1429" s="1"/>
      <c r="J1429" s="71"/>
      <c r="M1429" s="46"/>
      <c r="R1429" s="51"/>
      <c r="S1429" s="51"/>
    </row>
    <row r="1430" spans="9:19" x14ac:dyDescent="0.25">
      <c r="I1430" s="1"/>
      <c r="J1430" s="71"/>
      <c r="M1430" s="46"/>
      <c r="R1430" s="51"/>
      <c r="S1430" s="51"/>
    </row>
    <row r="1431" spans="9:19" x14ac:dyDescent="0.25">
      <c r="I1431" s="1"/>
      <c r="J1431" s="71"/>
      <c r="M1431" s="46"/>
      <c r="R1431" s="51"/>
      <c r="S1431" s="51"/>
    </row>
    <row r="1432" spans="9:19" x14ac:dyDescent="0.25">
      <c r="I1432" s="1"/>
      <c r="J1432" s="71"/>
      <c r="M1432" s="46"/>
      <c r="R1432" s="51"/>
      <c r="S1432" s="51"/>
    </row>
    <row r="1433" spans="9:19" x14ac:dyDescent="0.25">
      <c r="I1433" s="1"/>
      <c r="J1433" s="71"/>
      <c r="M1433" s="46"/>
      <c r="R1433" s="51"/>
      <c r="S1433" s="51"/>
    </row>
    <row r="1434" spans="9:19" x14ac:dyDescent="0.25">
      <c r="I1434" s="1"/>
      <c r="J1434" s="71"/>
      <c r="M1434" s="46"/>
      <c r="R1434" s="51"/>
      <c r="S1434" s="51"/>
    </row>
    <row r="1435" spans="9:19" x14ac:dyDescent="0.25">
      <c r="I1435" s="1"/>
      <c r="J1435" s="71"/>
      <c r="M1435" s="46"/>
      <c r="R1435" s="51"/>
      <c r="S1435" s="51"/>
    </row>
    <row r="1436" spans="9:19" x14ac:dyDescent="0.25">
      <c r="I1436" s="1"/>
      <c r="J1436" s="71"/>
      <c r="M1436" s="46"/>
      <c r="R1436" s="51"/>
      <c r="S1436" s="51"/>
    </row>
    <row r="1437" spans="9:19" x14ac:dyDescent="0.25">
      <c r="I1437" s="1"/>
      <c r="J1437" s="71"/>
      <c r="M1437" s="46"/>
      <c r="R1437" s="51"/>
      <c r="S1437" s="51"/>
    </row>
    <row r="1438" spans="9:19" x14ac:dyDescent="0.25">
      <c r="I1438" s="1"/>
      <c r="J1438" s="71"/>
      <c r="M1438" s="46"/>
      <c r="R1438" s="51"/>
      <c r="S1438" s="51"/>
    </row>
    <row r="1439" spans="9:19" x14ac:dyDescent="0.25">
      <c r="I1439" s="1"/>
      <c r="J1439" s="71"/>
      <c r="M1439" s="46"/>
      <c r="R1439" s="51"/>
      <c r="S1439" s="51"/>
    </row>
    <row r="1440" spans="9:19" x14ac:dyDescent="0.25">
      <c r="I1440" s="1"/>
      <c r="J1440" s="71"/>
      <c r="M1440" s="46"/>
      <c r="R1440" s="51"/>
      <c r="S1440" s="51"/>
    </row>
    <row r="1441" spans="9:19" x14ac:dyDescent="0.25">
      <c r="I1441" s="1"/>
      <c r="J1441" s="71"/>
      <c r="M1441" s="46"/>
      <c r="R1441" s="51"/>
      <c r="S1441" s="51"/>
    </row>
    <row r="1442" spans="9:19" x14ac:dyDescent="0.25">
      <c r="I1442" s="1"/>
      <c r="J1442" s="71"/>
      <c r="M1442" s="46"/>
      <c r="R1442" s="51"/>
      <c r="S1442" s="51"/>
    </row>
    <row r="1443" spans="9:19" x14ac:dyDescent="0.25">
      <c r="I1443" s="1"/>
      <c r="J1443" s="71"/>
      <c r="M1443" s="46"/>
      <c r="R1443" s="51"/>
      <c r="S1443" s="51"/>
    </row>
    <row r="1444" spans="9:19" x14ac:dyDescent="0.25">
      <c r="I1444" s="1"/>
      <c r="J1444" s="71"/>
      <c r="M1444" s="46"/>
      <c r="R1444" s="51"/>
      <c r="S1444" s="51"/>
    </row>
    <row r="1445" spans="9:19" x14ac:dyDescent="0.25">
      <c r="I1445" s="1"/>
      <c r="J1445" s="71"/>
      <c r="M1445" s="46"/>
      <c r="R1445" s="51"/>
      <c r="S1445" s="51"/>
    </row>
    <row r="1446" spans="9:19" x14ac:dyDescent="0.25">
      <c r="I1446" s="1"/>
      <c r="J1446" s="71"/>
      <c r="M1446" s="46"/>
      <c r="R1446" s="51"/>
      <c r="S1446" s="51"/>
    </row>
    <row r="1447" spans="9:19" x14ac:dyDescent="0.25">
      <c r="I1447" s="1"/>
      <c r="J1447" s="71"/>
      <c r="M1447" s="46"/>
      <c r="R1447" s="51"/>
      <c r="S1447" s="51"/>
    </row>
    <row r="1448" spans="9:19" x14ac:dyDescent="0.25">
      <c r="I1448" s="1"/>
      <c r="J1448" s="71"/>
      <c r="M1448" s="46"/>
      <c r="R1448" s="51"/>
      <c r="S1448" s="51"/>
    </row>
    <row r="1449" spans="9:19" x14ac:dyDescent="0.25">
      <c r="I1449" s="1"/>
      <c r="J1449" s="71"/>
      <c r="M1449" s="46"/>
      <c r="R1449" s="51"/>
      <c r="S1449" s="51"/>
    </row>
    <row r="1450" spans="9:19" x14ac:dyDescent="0.25">
      <c r="I1450" s="1"/>
      <c r="J1450" s="71"/>
      <c r="M1450" s="46"/>
      <c r="R1450" s="51"/>
      <c r="S1450" s="51"/>
    </row>
    <row r="1451" spans="9:19" x14ac:dyDescent="0.25">
      <c r="I1451" s="1"/>
      <c r="J1451" s="71"/>
      <c r="M1451" s="46"/>
      <c r="R1451" s="51"/>
      <c r="S1451" s="51"/>
    </row>
    <row r="1452" spans="9:19" x14ac:dyDescent="0.25">
      <c r="I1452" s="1"/>
      <c r="J1452" s="71"/>
      <c r="M1452" s="46"/>
      <c r="R1452" s="51"/>
      <c r="S1452" s="51"/>
    </row>
    <row r="1453" spans="9:19" x14ac:dyDescent="0.25">
      <c r="I1453" s="1"/>
      <c r="J1453" s="71"/>
      <c r="M1453" s="46"/>
      <c r="R1453" s="51"/>
      <c r="S1453" s="51"/>
    </row>
    <row r="1454" spans="9:19" x14ac:dyDescent="0.25">
      <c r="I1454" s="1"/>
      <c r="J1454" s="71"/>
      <c r="M1454" s="46"/>
      <c r="R1454" s="51"/>
      <c r="S1454" s="51"/>
    </row>
    <row r="1455" spans="9:19" x14ac:dyDescent="0.25">
      <c r="I1455" s="1"/>
      <c r="J1455" s="71"/>
      <c r="M1455" s="46"/>
      <c r="R1455" s="51"/>
      <c r="S1455" s="51"/>
    </row>
    <row r="1456" spans="9:19" x14ac:dyDescent="0.25">
      <c r="I1456" s="1"/>
      <c r="J1456" s="71"/>
      <c r="M1456" s="46"/>
      <c r="R1456" s="51"/>
      <c r="S1456" s="51"/>
    </row>
    <row r="1457" spans="9:19" x14ac:dyDescent="0.25">
      <c r="I1457" s="1"/>
      <c r="J1457" s="71"/>
      <c r="M1457" s="46"/>
      <c r="R1457" s="51"/>
      <c r="S1457" s="51"/>
    </row>
    <row r="1458" spans="9:19" x14ac:dyDescent="0.25">
      <c r="I1458" s="1"/>
      <c r="J1458" s="71"/>
      <c r="M1458" s="46"/>
      <c r="R1458" s="51"/>
      <c r="S1458" s="51"/>
    </row>
    <row r="1459" spans="9:19" x14ac:dyDescent="0.25">
      <c r="I1459" s="1"/>
      <c r="J1459" s="71"/>
      <c r="M1459" s="46"/>
      <c r="R1459" s="51"/>
      <c r="S1459" s="51"/>
    </row>
    <row r="1460" spans="9:19" x14ac:dyDescent="0.25">
      <c r="I1460" s="1"/>
      <c r="J1460" s="71"/>
      <c r="M1460" s="46"/>
      <c r="R1460" s="51"/>
      <c r="S1460" s="51"/>
    </row>
    <row r="1461" spans="9:19" x14ac:dyDescent="0.25">
      <c r="I1461" s="1"/>
      <c r="J1461" s="71"/>
      <c r="M1461" s="46"/>
      <c r="R1461" s="51"/>
      <c r="S1461" s="51"/>
    </row>
    <row r="1462" spans="9:19" x14ac:dyDescent="0.25">
      <c r="I1462" s="1"/>
      <c r="J1462" s="71"/>
      <c r="M1462" s="46"/>
      <c r="R1462" s="51"/>
      <c r="S1462" s="51"/>
    </row>
    <row r="1463" spans="9:19" x14ac:dyDescent="0.25">
      <c r="I1463" s="1"/>
      <c r="J1463" s="71"/>
      <c r="M1463" s="46"/>
      <c r="R1463" s="51"/>
      <c r="S1463" s="51"/>
    </row>
    <row r="1464" spans="9:19" x14ac:dyDescent="0.25">
      <c r="I1464" s="1"/>
      <c r="J1464" s="71"/>
      <c r="M1464" s="46"/>
      <c r="R1464" s="51"/>
      <c r="S1464" s="51"/>
    </row>
    <row r="1465" spans="9:19" x14ac:dyDescent="0.25">
      <c r="I1465" s="1"/>
      <c r="J1465" s="71"/>
      <c r="M1465" s="46"/>
      <c r="R1465" s="51"/>
      <c r="S1465" s="51"/>
    </row>
    <row r="1466" spans="9:19" x14ac:dyDescent="0.25">
      <c r="I1466" s="1"/>
      <c r="J1466" s="71"/>
      <c r="M1466" s="46"/>
      <c r="R1466" s="51"/>
      <c r="S1466" s="51"/>
    </row>
    <row r="1467" spans="9:19" x14ac:dyDescent="0.25">
      <c r="I1467" s="1"/>
      <c r="J1467" s="71"/>
      <c r="M1467" s="46"/>
      <c r="R1467" s="51"/>
      <c r="S1467" s="51"/>
    </row>
    <row r="1468" spans="9:19" x14ac:dyDescent="0.25">
      <c r="I1468" s="1"/>
      <c r="J1468" s="71"/>
      <c r="M1468" s="46"/>
      <c r="R1468" s="51"/>
      <c r="S1468" s="51"/>
    </row>
    <row r="1469" spans="9:19" x14ac:dyDescent="0.25">
      <c r="I1469" s="1"/>
      <c r="J1469" s="71"/>
      <c r="M1469" s="46"/>
      <c r="R1469" s="51"/>
      <c r="S1469" s="51"/>
    </row>
    <row r="1470" spans="9:19" x14ac:dyDescent="0.25">
      <c r="I1470" s="1"/>
      <c r="J1470" s="71"/>
      <c r="M1470" s="46"/>
      <c r="R1470" s="51"/>
      <c r="S1470" s="51"/>
    </row>
    <row r="1471" spans="9:19" x14ac:dyDescent="0.25">
      <c r="I1471" s="1"/>
      <c r="J1471" s="71"/>
      <c r="M1471" s="46"/>
      <c r="R1471" s="51"/>
      <c r="S1471" s="51"/>
    </row>
    <row r="1472" spans="9:19" x14ac:dyDescent="0.25">
      <c r="I1472" s="1"/>
      <c r="J1472" s="71"/>
      <c r="M1472" s="46"/>
      <c r="R1472" s="51"/>
      <c r="S1472" s="51"/>
    </row>
    <row r="1473" spans="9:19" x14ac:dyDescent="0.25">
      <c r="I1473" s="1"/>
      <c r="J1473" s="71"/>
      <c r="M1473" s="46"/>
      <c r="R1473" s="51"/>
      <c r="S1473" s="51"/>
    </row>
    <row r="1474" spans="9:19" x14ac:dyDescent="0.25">
      <c r="I1474" s="1"/>
      <c r="J1474" s="71"/>
      <c r="M1474" s="46"/>
      <c r="R1474" s="51"/>
      <c r="S1474" s="51"/>
    </row>
    <row r="1475" spans="9:19" x14ac:dyDescent="0.25">
      <c r="I1475" s="1"/>
      <c r="J1475" s="71"/>
      <c r="M1475" s="46"/>
      <c r="R1475" s="51"/>
      <c r="S1475" s="51"/>
    </row>
    <row r="1476" spans="9:19" x14ac:dyDescent="0.25">
      <c r="I1476" s="1"/>
      <c r="J1476" s="71"/>
      <c r="M1476" s="46"/>
      <c r="R1476" s="51"/>
      <c r="S1476" s="51"/>
    </row>
    <row r="1477" spans="9:19" x14ac:dyDescent="0.25">
      <c r="I1477" s="1"/>
      <c r="J1477" s="71"/>
      <c r="M1477" s="46"/>
      <c r="R1477" s="51"/>
      <c r="S1477" s="51"/>
    </row>
    <row r="1478" spans="9:19" x14ac:dyDescent="0.25">
      <c r="I1478" s="1"/>
      <c r="J1478" s="71"/>
      <c r="M1478" s="46"/>
      <c r="R1478" s="51"/>
      <c r="S1478" s="51"/>
    </row>
    <row r="1479" spans="9:19" x14ac:dyDescent="0.25">
      <c r="I1479" s="1"/>
      <c r="J1479" s="71"/>
      <c r="M1479" s="46"/>
      <c r="R1479" s="51"/>
      <c r="S1479" s="51"/>
    </row>
    <row r="1480" spans="9:19" x14ac:dyDescent="0.25">
      <c r="I1480" s="1"/>
      <c r="J1480" s="71"/>
      <c r="M1480" s="46"/>
      <c r="R1480" s="51"/>
      <c r="S1480" s="51"/>
    </row>
    <row r="1481" spans="9:19" x14ac:dyDescent="0.25">
      <c r="I1481" s="1"/>
      <c r="J1481" s="71"/>
      <c r="M1481" s="46"/>
      <c r="R1481" s="51"/>
      <c r="S1481" s="51"/>
    </row>
    <row r="1482" spans="9:19" x14ac:dyDescent="0.25">
      <c r="I1482" s="1"/>
      <c r="J1482" s="71"/>
      <c r="M1482" s="46"/>
      <c r="R1482" s="51"/>
      <c r="S1482" s="51"/>
    </row>
    <row r="1483" spans="9:19" x14ac:dyDescent="0.25">
      <c r="I1483" s="1"/>
      <c r="J1483" s="71"/>
      <c r="M1483" s="46"/>
      <c r="R1483" s="51"/>
      <c r="S1483" s="51"/>
    </row>
    <row r="1484" spans="9:19" x14ac:dyDescent="0.25">
      <c r="I1484" s="1"/>
      <c r="J1484" s="71"/>
      <c r="M1484" s="46"/>
      <c r="R1484" s="51"/>
      <c r="S1484" s="51"/>
    </row>
    <row r="1485" spans="9:19" x14ac:dyDescent="0.25">
      <c r="I1485" s="1"/>
      <c r="J1485" s="71"/>
      <c r="M1485" s="46"/>
      <c r="R1485" s="51"/>
      <c r="S1485" s="51"/>
    </row>
    <row r="1486" spans="9:19" x14ac:dyDescent="0.25">
      <c r="I1486" s="1"/>
      <c r="J1486" s="71"/>
      <c r="M1486" s="46"/>
      <c r="R1486" s="51"/>
      <c r="S1486" s="51"/>
    </row>
    <row r="1487" spans="9:19" x14ac:dyDescent="0.25">
      <c r="I1487" s="1"/>
      <c r="J1487" s="71"/>
      <c r="M1487" s="46"/>
      <c r="R1487" s="51"/>
      <c r="S1487" s="51"/>
    </row>
    <row r="1488" spans="9:19" x14ac:dyDescent="0.25">
      <c r="I1488" s="1"/>
      <c r="J1488" s="71"/>
      <c r="M1488" s="46"/>
      <c r="R1488" s="51"/>
      <c r="S1488" s="51"/>
    </row>
    <row r="1489" spans="9:19" x14ac:dyDescent="0.25">
      <c r="I1489" s="1"/>
      <c r="J1489" s="71"/>
      <c r="M1489" s="46"/>
      <c r="R1489" s="51"/>
      <c r="S1489" s="51"/>
    </row>
    <row r="1490" spans="9:19" x14ac:dyDescent="0.25">
      <c r="I1490" s="1"/>
      <c r="J1490" s="71"/>
      <c r="M1490" s="46"/>
      <c r="R1490" s="51"/>
      <c r="S1490" s="51"/>
    </row>
    <row r="1491" spans="9:19" x14ac:dyDescent="0.25">
      <c r="I1491" s="1"/>
      <c r="J1491" s="71"/>
      <c r="M1491" s="46"/>
      <c r="R1491" s="51"/>
      <c r="S1491" s="51"/>
    </row>
    <row r="1492" spans="9:19" x14ac:dyDescent="0.25">
      <c r="I1492" s="1"/>
      <c r="J1492" s="71"/>
      <c r="M1492" s="46"/>
      <c r="R1492" s="51"/>
      <c r="S1492" s="51"/>
    </row>
    <row r="1493" spans="9:19" x14ac:dyDescent="0.25">
      <c r="I1493" s="1"/>
      <c r="J1493" s="71"/>
      <c r="M1493" s="46"/>
      <c r="R1493" s="51"/>
      <c r="S1493" s="51"/>
    </row>
    <row r="1494" spans="9:19" x14ac:dyDescent="0.25">
      <c r="I1494" s="1"/>
      <c r="J1494" s="71"/>
      <c r="M1494" s="46"/>
      <c r="R1494" s="51"/>
      <c r="S1494" s="51"/>
    </row>
    <row r="1495" spans="9:19" x14ac:dyDescent="0.25">
      <c r="I1495" s="1"/>
      <c r="J1495" s="71"/>
      <c r="M1495" s="46"/>
      <c r="R1495" s="51"/>
      <c r="S1495" s="51"/>
    </row>
    <row r="1496" spans="9:19" x14ac:dyDescent="0.25">
      <c r="I1496" s="1"/>
      <c r="J1496" s="71"/>
      <c r="M1496" s="46"/>
      <c r="R1496" s="51"/>
      <c r="S1496" s="51"/>
    </row>
    <row r="1497" spans="9:19" x14ac:dyDescent="0.25">
      <c r="I1497" s="1"/>
      <c r="J1497" s="71"/>
      <c r="M1497" s="46"/>
      <c r="R1497" s="51"/>
      <c r="S1497" s="51"/>
    </row>
    <row r="1498" spans="9:19" x14ac:dyDescent="0.25">
      <c r="I1498" s="1"/>
      <c r="J1498" s="71"/>
      <c r="M1498" s="46"/>
      <c r="R1498" s="51"/>
      <c r="S1498" s="51"/>
    </row>
    <row r="1499" spans="9:19" x14ac:dyDescent="0.25">
      <c r="I1499" s="1"/>
      <c r="J1499" s="71"/>
      <c r="M1499" s="46"/>
      <c r="R1499" s="51"/>
      <c r="S1499" s="51"/>
    </row>
    <row r="1500" spans="9:19" x14ac:dyDescent="0.25">
      <c r="I1500" s="1"/>
      <c r="J1500" s="71"/>
      <c r="M1500" s="46"/>
      <c r="R1500" s="51"/>
      <c r="S1500" s="51"/>
    </row>
    <row r="1501" spans="9:19" x14ac:dyDescent="0.25">
      <c r="I1501" s="1"/>
      <c r="J1501" s="71"/>
      <c r="M1501" s="46"/>
      <c r="R1501" s="51"/>
      <c r="S1501" s="51"/>
    </row>
    <row r="1502" spans="9:19" x14ac:dyDescent="0.25">
      <c r="I1502" s="1"/>
      <c r="J1502" s="71"/>
      <c r="M1502" s="46"/>
      <c r="R1502" s="51"/>
      <c r="S1502" s="51"/>
    </row>
    <row r="1503" spans="9:19" x14ac:dyDescent="0.25">
      <c r="I1503" s="1"/>
      <c r="J1503" s="71"/>
      <c r="M1503" s="46"/>
      <c r="R1503" s="51"/>
      <c r="S1503" s="51"/>
    </row>
    <row r="1504" spans="9:19" x14ac:dyDescent="0.25">
      <c r="I1504" s="1"/>
      <c r="J1504" s="71"/>
      <c r="M1504" s="46"/>
      <c r="R1504" s="51"/>
      <c r="S1504" s="51"/>
    </row>
    <row r="1505" spans="9:19" x14ac:dyDescent="0.25">
      <c r="I1505" s="1"/>
      <c r="J1505" s="71"/>
      <c r="M1505" s="46"/>
      <c r="R1505" s="51"/>
      <c r="S1505" s="51"/>
    </row>
    <row r="1506" spans="9:19" x14ac:dyDescent="0.25">
      <c r="I1506" s="1"/>
      <c r="J1506" s="71"/>
      <c r="M1506" s="46"/>
      <c r="R1506" s="51"/>
      <c r="S1506" s="51"/>
    </row>
    <row r="1507" spans="9:19" x14ac:dyDescent="0.25">
      <c r="I1507" s="1"/>
      <c r="J1507" s="71"/>
      <c r="M1507" s="46"/>
      <c r="R1507" s="51"/>
      <c r="S1507" s="51"/>
    </row>
    <row r="1508" spans="9:19" x14ac:dyDescent="0.25">
      <c r="I1508" s="1"/>
      <c r="J1508" s="71"/>
      <c r="M1508" s="46"/>
      <c r="R1508" s="51"/>
      <c r="S1508" s="51"/>
    </row>
    <row r="1509" spans="9:19" x14ac:dyDescent="0.25">
      <c r="I1509" s="1"/>
      <c r="J1509" s="71"/>
      <c r="M1509" s="46"/>
      <c r="R1509" s="51"/>
      <c r="S1509" s="51"/>
    </row>
    <row r="1510" spans="9:19" x14ac:dyDescent="0.25">
      <c r="I1510" s="1"/>
      <c r="J1510" s="71"/>
      <c r="M1510" s="46"/>
      <c r="R1510" s="51"/>
      <c r="S1510" s="51"/>
    </row>
    <row r="1511" spans="9:19" x14ac:dyDescent="0.25">
      <c r="I1511" s="1"/>
      <c r="J1511" s="71"/>
      <c r="M1511" s="46"/>
      <c r="R1511" s="51"/>
      <c r="S1511" s="51"/>
    </row>
    <row r="1512" spans="9:19" x14ac:dyDescent="0.25">
      <c r="I1512" s="1"/>
      <c r="J1512" s="71"/>
      <c r="M1512" s="46"/>
      <c r="R1512" s="51"/>
      <c r="S1512" s="51"/>
    </row>
    <row r="1513" spans="9:19" x14ac:dyDescent="0.25">
      <c r="I1513" s="1"/>
      <c r="J1513" s="71"/>
      <c r="M1513" s="46"/>
      <c r="R1513" s="51"/>
      <c r="S1513" s="51"/>
    </row>
    <row r="1514" spans="9:19" x14ac:dyDescent="0.25">
      <c r="I1514" s="1"/>
      <c r="J1514" s="71"/>
      <c r="M1514" s="46"/>
      <c r="R1514" s="51"/>
      <c r="S1514" s="51"/>
    </row>
    <row r="1515" spans="9:19" x14ac:dyDescent="0.25">
      <c r="I1515" s="1"/>
      <c r="J1515" s="71"/>
      <c r="M1515" s="46"/>
      <c r="R1515" s="51"/>
      <c r="S1515" s="51"/>
    </row>
    <row r="1516" spans="9:19" x14ac:dyDescent="0.25">
      <c r="I1516" s="1"/>
      <c r="J1516" s="71"/>
      <c r="M1516" s="46"/>
      <c r="R1516" s="51"/>
      <c r="S1516" s="51"/>
    </row>
    <row r="1517" spans="9:19" x14ac:dyDescent="0.25">
      <c r="I1517" s="1"/>
      <c r="J1517" s="71"/>
      <c r="M1517" s="46"/>
      <c r="R1517" s="51"/>
      <c r="S1517" s="51"/>
    </row>
    <row r="1518" spans="9:19" x14ac:dyDescent="0.25">
      <c r="I1518" s="1"/>
      <c r="J1518" s="71"/>
      <c r="M1518" s="46"/>
      <c r="R1518" s="51"/>
      <c r="S1518" s="51"/>
    </row>
    <row r="1519" spans="9:19" x14ac:dyDescent="0.25">
      <c r="I1519" s="1"/>
      <c r="J1519" s="71"/>
      <c r="M1519" s="46"/>
      <c r="R1519" s="51"/>
      <c r="S1519" s="51"/>
    </row>
    <row r="1520" spans="9:19" x14ac:dyDescent="0.25">
      <c r="I1520" s="1"/>
      <c r="J1520" s="71"/>
      <c r="M1520" s="46"/>
      <c r="R1520" s="51"/>
      <c r="S1520" s="51"/>
    </row>
    <row r="1521" spans="9:19" x14ac:dyDescent="0.25">
      <c r="I1521" s="1"/>
      <c r="J1521" s="71"/>
      <c r="M1521" s="46"/>
      <c r="R1521" s="51"/>
      <c r="S1521" s="51"/>
    </row>
    <row r="1522" spans="9:19" x14ac:dyDescent="0.25">
      <c r="I1522" s="1"/>
      <c r="J1522" s="71"/>
      <c r="M1522" s="46"/>
      <c r="R1522" s="51"/>
      <c r="S1522" s="51"/>
    </row>
    <row r="1523" spans="9:19" x14ac:dyDescent="0.25">
      <c r="I1523" s="1"/>
      <c r="J1523" s="71"/>
      <c r="M1523" s="46"/>
      <c r="R1523" s="51"/>
      <c r="S1523" s="51"/>
    </row>
    <row r="1524" spans="9:19" x14ac:dyDescent="0.25">
      <c r="I1524" s="1"/>
      <c r="J1524" s="71"/>
      <c r="M1524" s="46"/>
      <c r="R1524" s="51"/>
      <c r="S1524" s="51"/>
    </row>
    <row r="1525" spans="9:19" x14ac:dyDescent="0.25">
      <c r="I1525" s="1"/>
      <c r="J1525" s="71"/>
      <c r="M1525" s="46"/>
      <c r="R1525" s="51"/>
      <c r="S1525" s="51"/>
    </row>
    <row r="1526" spans="9:19" x14ac:dyDescent="0.25">
      <c r="I1526" s="1"/>
      <c r="J1526" s="71"/>
      <c r="M1526" s="46"/>
      <c r="R1526" s="51"/>
      <c r="S1526" s="51"/>
    </row>
    <row r="1527" spans="9:19" x14ac:dyDescent="0.25">
      <c r="I1527" s="1"/>
      <c r="J1527" s="71"/>
      <c r="M1527" s="46"/>
      <c r="R1527" s="51"/>
      <c r="S1527" s="51"/>
    </row>
    <row r="1528" spans="9:19" x14ac:dyDescent="0.25">
      <c r="I1528" s="1"/>
      <c r="J1528" s="71"/>
      <c r="M1528" s="46"/>
      <c r="R1528" s="51"/>
      <c r="S1528" s="51"/>
    </row>
    <row r="1529" spans="9:19" x14ac:dyDescent="0.25">
      <c r="I1529" s="1"/>
      <c r="J1529" s="71"/>
      <c r="M1529" s="46"/>
      <c r="R1529" s="51"/>
      <c r="S1529" s="51"/>
    </row>
    <row r="1530" spans="9:19" x14ac:dyDescent="0.25">
      <c r="I1530" s="1"/>
      <c r="J1530" s="71"/>
      <c r="M1530" s="46"/>
      <c r="R1530" s="51"/>
      <c r="S1530" s="51"/>
    </row>
    <row r="1531" spans="9:19" x14ac:dyDescent="0.25">
      <c r="I1531" s="1"/>
      <c r="J1531" s="71"/>
      <c r="M1531" s="46"/>
      <c r="R1531" s="51"/>
      <c r="S1531" s="51"/>
    </row>
    <row r="1532" spans="9:19" x14ac:dyDescent="0.25">
      <c r="I1532" s="1"/>
      <c r="J1532" s="71"/>
      <c r="M1532" s="46"/>
      <c r="R1532" s="51"/>
      <c r="S1532" s="51"/>
    </row>
    <row r="1533" spans="9:19" x14ac:dyDescent="0.25">
      <c r="I1533" s="1"/>
      <c r="J1533" s="71"/>
      <c r="M1533" s="46"/>
      <c r="R1533" s="51"/>
      <c r="S1533" s="51"/>
    </row>
    <row r="1534" spans="9:19" x14ac:dyDescent="0.25">
      <c r="I1534" s="1"/>
      <c r="J1534" s="71"/>
      <c r="M1534" s="46"/>
      <c r="R1534" s="51"/>
      <c r="S1534" s="51"/>
    </row>
    <row r="1535" spans="9:19" x14ac:dyDescent="0.25">
      <c r="I1535" s="1"/>
      <c r="J1535" s="71"/>
      <c r="M1535" s="46"/>
      <c r="R1535" s="51"/>
      <c r="S1535" s="51"/>
    </row>
    <row r="1536" spans="9:19" x14ac:dyDescent="0.25">
      <c r="I1536" s="1"/>
      <c r="J1536" s="71"/>
      <c r="M1536" s="46"/>
      <c r="R1536" s="51"/>
      <c r="S1536" s="51"/>
    </row>
    <row r="1537" spans="9:19" x14ac:dyDescent="0.25">
      <c r="I1537" s="1"/>
      <c r="J1537" s="71"/>
      <c r="M1537" s="46"/>
      <c r="R1537" s="51"/>
      <c r="S1537" s="51"/>
    </row>
    <row r="1538" spans="9:19" x14ac:dyDescent="0.25">
      <c r="I1538" s="1"/>
      <c r="J1538" s="71"/>
      <c r="M1538" s="46"/>
      <c r="R1538" s="51"/>
      <c r="S1538" s="51"/>
    </row>
    <row r="1539" spans="9:19" x14ac:dyDescent="0.25">
      <c r="I1539" s="1"/>
      <c r="J1539" s="71"/>
      <c r="M1539" s="46"/>
      <c r="R1539" s="51"/>
      <c r="S1539" s="51"/>
    </row>
    <row r="1540" spans="9:19" x14ac:dyDescent="0.25">
      <c r="I1540" s="1"/>
      <c r="J1540" s="71"/>
      <c r="M1540" s="46"/>
      <c r="R1540" s="51"/>
      <c r="S1540" s="51"/>
    </row>
    <row r="1541" spans="9:19" x14ac:dyDescent="0.25">
      <c r="I1541" s="1"/>
      <c r="J1541" s="71"/>
      <c r="M1541" s="46"/>
      <c r="R1541" s="51"/>
      <c r="S1541" s="51"/>
    </row>
    <row r="1542" spans="9:19" x14ac:dyDescent="0.25">
      <c r="I1542" s="1"/>
      <c r="J1542" s="71"/>
      <c r="M1542" s="46"/>
      <c r="R1542" s="51"/>
      <c r="S1542" s="51"/>
    </row>
    <row r="1543" spans="9:19" x14ac:dyDescent="0.25">
      <c r="I1543" s="1"/>
      <c r="J1543" s="71"/>
      <c r="M1543" s="46"/>
      <c r="R1543" s="51"/>
      <c r="S1543" s="51"/>
    </row>
    <row r="1544" spans="9:19" x14ac:dyDescent="0.25">
      <c r="I1544" s="1"/>
      <c r="J1544" s="71"/>
      <c r="M1544" s="46"/>
      <c r="R1544" s="51"/>
      <c r="S1544" s="51"/>
    </row>
    <row r="1545" spans="9:19" x14ac:dyDescent="0.25">
      <c r="I1545" s="1"/>
      <c r="J1545" s="71"/>
      <c r="M1545" s="46"/>
      <c r="R1545" s="51"/>
      <c r="S1545" s="51"/>
    </row>
    <row r="1546" spans="9:19" x14ac:dyDescent="0.25">
      <c r="I1546" s="1"/>
      <c r="J1546" s="71"/>
      <c r="M1546" s="46"/>
      <c r="R1546" s="51"/>
      <c r="S1546" s="51"/>
    </row>
    <row r="1547" spans="9:19" x14ac:dyDescent="0.25">
      <c r="I1547" s="1"/>
      <c r="J1547" s="71"/>
      <c r="M1547" s="46"/>
      <c r="R1547" s="51"/>
      <c r="S1547" s="51"/>
    </row>
    <row r="1548" spans="9:19" x14ac:dyDescent="0.25">
      <c r="I1548" s="1"/>
      <c r="J1548" s="71"/>
      <c r="M1548" s="46"/>
      <c r="R1548" s="51"/>
      <c r="S1548" s="51"/>
    </row>
    <row r="1549" spans="9:19" x14ac:dyDescent="0.25">
      <c r="I1549" s="1"/>
      <c r="J1549" s="71"/>
      <c r="M1549" s="46"/>
      <c r="R1549" s="51"/>
      <c r="S1549" s="51"/>
    </row>
    <row r="1550" spans="9:19" x14ac:dyDescent="0.25">
      <c r="I1550" s="1"/>
      <c r="J1550" s="71"/>
      <c r="M1550" s="46"/>
      <c r="R1550" s="51"/>
      <c r="S1550" s="51"/>
    </row>
    <row r="1551" spans="9:19" x14ac:dyDescent="0.25">
      <c r="I1551" s="1"/>
      <c r="J1551" s="71"/>
      <c r="M1551" s="46"/>
      <c r="R1551" s="51"/>
      <c r="S1551" s="51"/>
    </row>
    <row r="1552" spans="9:19" x14ac:dyDescent="0.25">
      <c r="I1552" s="1"/>
      <c r="J1552" s="71"/>
      <c r="M1552" s="46"/>
      <c r="R1552" s="51"/>
      <c r="S1552" s="51"/>
    </row>
    <row r="1553" spans="9:19" x14ac:dyDescent="0.25">
      <c r="I1553" s="1"/>
      <c r="J1553" s="71"/>
      <c r="M1553" s="46"/>
      <c r="R1553" s="51"/>
      <c r="S1553" s="51"/>
    </row>
    <row r="1554" spans="9:19" x14ac:dyDescent="0.25">
      <c r="I1554" s="1"/>
      <c r="J1554" s="71"/>
      <c r="M1554" s="46"/>
      <c r="R1554" s="51"/>
      <c r="S1554" s="51"/>
    </row>
    <row r="1555" spans="9:19" x14ac:dyDescent="0.25">
      <c r="I1555" s="1"/>
      <c r="J1555" s="71"/>
      <c r="M1555" s="46"/>
      <c r="R1555" s="51"/>
      <c r="S1555" s="51"/>
    </row>
    <row r="1556" spans="9:19" x14ac:dyDescent="0.25">
      <c r="I1556" s="1"/>
      <c r="J1556" s="71"/>
      <c r="M1556" s="46"/>
      <c r="R1556" s="51"/>
      <c r="S1556" s="51"/>
    </row>
    <row r="1557" spans="9:19" x14ac:dyDescent="0.25">
      <c r="I1557" s="1"/>
      <c r="J1557" s="71"/>
      <c r="M1557" s="46"/>
      <c r="R1557" s="51"/>
      <c r="S1557" s="51"/>
    </row>
    <row r="1558" spans="9:19" x14ac:dyDescent="0.25">
      <c r="I1558" s="1"/>
      <c r="J1558" s="71"/>
      <c r="M1558" s="46"/>
      <c r="R1558" s="51"/>
      <c r="S1558" s="51"/>
    </row>
    <row r="1559" spans="9:19" x14ac:dyDescent="0.25">
      <c r="I1559" s="1"/>
      <c r="J1559" s="71"/>
      <c r="M1559" s="46"/>
      <c r="R1559" s="51"/>
      <c r="S1559" s="51"/>
    </row>
    <row r="1560" spans="9:19" x14ac:dyDescent="0.25">
      <c r="I1560" s="1"/>
      <c r="J1560" s="71"/>
      <c r="M1560" s="46"/>
      <c r="R1560" s="51"/>
      <c r="S1560" s="51"/>
    </row>
    <row r="1561" spans="9:19" x14ac:dyDescent="0.25">
      <c r="I1561" s="1"/>
      <c r="J1561" s="71"/>
      <c r="M1561" s="46"/>
      <c r="R1561" s="51"/>
      <c r="S1561" s="51"/>
    </row>
    <row r="1562" spans="9:19" x14ac:dyDescent="0.25">
      <c r="I1562" s="1"/>
      <c r="J1562" s="71"/>
      <c r="M1562" s="46"/>
      <c r="R1562" s="51"/>
      <c r="S1562" s="51"/>
    </row>
    <row r="1563" spans="9:19" x14ac:dyDescent="0.25">
      <c r="I1563" s="1"/>
      <c r="J1563" s="71"/>
      <c r="M1563" s="46"/>
      <c r="R1563" s="51"/>
      <c r="S1563" s="51"/>
    </row>
    <row r="1564" spans="9:19" x14ac:dyDescent="0.25">
      <c r="I1564" s="1"/>
      <c r="J1564" s="71"/>
      <c r="M1564" s="46"/>
      <c r="R1564" s="51"/>
      <c r="S1564" s="51"/>
    </row>
    <row r="1565" spans="9:19" x14ac:dyDescent="0.25">
      <c r="I1565" s="1"/>
      <c r="J1565" s="71"/>
      <c r="M1565" s="46"/>
      <c r="R1565" s="51"/>
      <c r="S1565" s="51"/>
    </row>
    <row r="1566" spans="9:19" x14ac:dyDescent="0.25">
      <c r="I1566" s="1"/>
      <c r="J1566" s="71"/>
      <c r="M1566" s="46"/>
      <c r="R1566" s="51"/>
      <c r="S1566" s="51"/>
    </row>
    <row r="1567" spans="9:19" x14ac:dyDescent="0.25">
      <c r="I1567" s="1"/>
      <c r="J1567" s="71"/>
      <c r="M1567" s="46"/>
      <c r="R1567" s="51"/>
      <c r="S1567" s="51"/>
    </row>
    <row r="1568" spans="9:19" x14ac:dyDescent="0.25">
      <c r="I1568" s="1"/>
      <c r="J1568" s="71"/>
      <c r="M1568" s="46"/>
      <c r="R1568" s="51"/>
      <c r="S1568" s="51"/>
    </row>
    <row r="1569" spans="9:19" x14ac:dyDescent="0.25">
      <c r="I1569" s="1"/>
      <c r="J1569" s="71"/>
      <c r="M1569" s="46"/>
      <c r="R1569" s="51"/>
      <c r="S1569" s="51"/>
    </row>
    <row r="1570" spans="9:19" x14ac:dyDescent="0.25">
      <c r="I1570" s="1"/>
      <c r="J1570" s="71"/>
      <c r="M1570" s="46"/>
      <c r="R1570" s="51"/>
      <c r="S1570" s="51"/>
    </row>
    <row r="1571" spans="9:19" x14ac:dyDescent="0.25">
      <c r="I1571" s="1"/>
      <c r="J1571" s="71"/>
      <c r="M1571" s="46"/>
      <c r="R1571" s="51"/>
      <c r="S1571" s="51"/>
    </row>
    <row r="1572" spans="9:19" x14ac:dyDescent="0.25">
      <c r="I1572" s="1"/>
      <c r="J1572" s="71"/>
      <c r="M1572" s="46"/>
      <c r="R1572" s="51"/>
      <c r="S1572" s="51"/>
    </row>
    <row r="1573" spans="9:19" x14ac:dyDescent="0.25">
      <c r="I1573" s="1"/>
      <c r="J1573" s="71"/>
      <c r="M1573" s="46"/>
      <c r="R1573" s="51"/>
      <c r="S1573" s="51"/>
    </row>
    <row r="1574" spans="9:19" x14ac:dyDescent="0.25">
      <c r="I1574" s="1"/>
      <c r="J1574" s="71"/>
      <c r="M1574" s="46"/>
      <c r="R1574" s="51"/>
      <c r="S1574" s="51"/>
    </row>
    <row r="1575" spans="9:19" x14ac:dyDescent="0.25">
      <c r="I1575" s="1"/>
      <c r="J1575" s="71"/>
      <c r="M1575" s="46"/>
      <c r="R1575" s="51"/>
      <c r="S1575" s="51"/>
    </row>
    <row r="1576" spans="9:19" x14ac:dyDescent="0.25">
      <c r="I1576" s="1"/>
      <c r="J1576" s="71"/>
      <c r="M1576" s="46"/>
      <c r="R1576" s="51"/>
      <c r="S1576" s="51"/>
    </row>
    <row r="1577" spans="9:19" x14ac:dyDescent="0.25">
      <c r="I1577" s="1"/>
      <c r="J1577" s="71"/>
      <c r="M1577" s="46"/>
      <c r="R1577" s="51"/>
      <c r="S1577" s="51"/>
    </row>
    <row r="1578" spans="9:19" x14ac:dyDescent="0.25">
      <c r="I1578" s="1"/>
      <c r="J1578" s="71"/>
      <c r="M1578" s="46"/>
      <c r="R1578" s="51"/>
      <c r="S1578" s="51"/>
    </row>
    <row r="1579" spans="9:19" x14ac:dyDescent="0.25">
      <c r="I1579" s="1"/>
      <c r="J1579" s="71"/>
      <c r="M1579" s="46"/>
      <c r="R1579" s="51"/>
      <c r="S1579" s="51"/>
    </row>
    <row r="1580" spans="9:19" x14ac:dyDescent="0.25">
      <c r="I1580" s="1"/>
      <c r="J1580" s="71"/>
      <c r="M1580" s="46"/>
      <c r="R1580" s="51"/>
      <c r="S1580" s="51"/>
    </row>
    <row r="1581" spans="9:19" x14ac:dyDescent="0.25">
      <c r="I1581" s="1"/>
      <c r="J1581" s="71"/>
      <c r="M1581" s="46"/>
      <c r="R1581" s="51"/>
      <c r="S1581" s="51"/>
    </row>
    <row r="1582" spans="9:19" x14ac:dyDescent="0.25">
      <c r="I1582" s="1"/>
      <c r="J1582" s="71"/>
      <c r="M1582" s="46"/>
      <c r="R1582" s="51"/>
      <c r="S1582" s="51"/>
    </row>
    <row r="1583" spans="9:19" x14ac:dyDescent="0.25">
      <c r="I1583" s="1"/>
      <c r="J1583" s="71"/>
      <c r="M1583" s="46"/>
      <c r="R1583" s="51"/>
      <c r="S1583" s="51"/>
    </row>
    <row r="1584" spans="9:19" x14ac:dyDescent="0.25">
      <c r="I1584" s="1"/>
      <c r="J1584" s="71"/>
      <c r="M1584" s="46"/>
      <c r="R1584" s="51"/>
      <c r="S1584" s="51"/>
    </row>
    <row r="1585" spans="9:19" x14ac:dyDescent="0.25">
      <c r="I1585" s="1"/>
      <c r="J1585" s="71"/>
      <c r="M1585" s="46"/>
      <c r="R1585" s="51"/>
      <c r="S1585" s="51"/>
    </row>
    <row r="1586" spans="9:19" x14ac:dyDescent="0.25">
      <c r="I1586" s="1"/>
      <c r="J1586" s="71"/>
      <c r="M1586" s="46"/>
      <c r="R1586" s="51"/>
      <c r="S1586" s="51"/>
    </row>
    <row r="1587" spans="9:19" x14ac:dyDescent="0.25">
      <c r="I1587" s="1"/>
      <c r="J1587" s="71"/>
      <c r="M1587" s="46"/>
      <c r="R1587" s="51"/>
      <c r="S1587" s="51"/>
    </row>
    <row r="1588" spans="9:19" x14ac:dyDescent="0.25">
      <c r="I1588" s="1"/>
      <c r="J1588" s="71"/>
      <c r="M1588" s="46"/>
      <c r="R1588" s="51"/>
      <c r="S1588" s="51"/>
    </row>
    <row r="1589" spans="9:19" x14ac:dyDescent="0.25">
      <c r="I1589" s="1"/>
      <c r="J1589" s="71"/>
      <c r="M1589" s="46"/>
      <c r="R1589" s="51"/>
      <c r="S1589" s="51"/>
    </row>
    <row r="1590" spans="9:19" x14ac:dyDescent="0.25">
      <c r="I1590" s="1"/>
      <c r="J1590" s="71"/>
      <c r="M1590" s="46"/>
      <c r="R1590" s="51"/>
      <c r="S1590" s="51"/>
    </row>
    <row r="1591" spans="9:19" x14ac:dyDescent="0.25">
      <c r="I1591" s="1"/>
      <c r="J1591" s="71"/>
      <c r="M1591" s="46"/>
      <c r="R1591" s="51"/>
      <c r="S1591" s="51"/>
    </row>
    <row r="1592" spans="9:19" x14ac:dyDescent="0.25">
      <c r="I1592" s="1"/>
      <c r="J1592" s="71"/>
      <c r="M1592" s="46"/>
      <c r="R1592" s="51"/>
      <c r="S1592" s="51"/>
    </row>
    <row r="1593" spans="9:19" x14ac:dyDescent="0.25">
      <c r="I1593" s="1"/>
      <c r="J1593" s="71"/>
      <c r="M1593" s="46"/>
      <c r="R1593" s="51"/>
      <c r="S1593" s="51"/>
    </row>
    <row r="1594" spans="9:19" x14ac:dyDescent="0.25">
      <c r="I1594" s="1"/>
      <c r="J1594" s="71"/>
      <c r="M1594" s="46"/>
      <c r="R1594" s="51"/>
      <c r="S1594" s="51"/>
    </row>
    <row r="1595" spans="9:19" x14ac:dyDescent="0.25">
      <c r="I1595" s="1"/>
      <c r="J1595" s="71"/>
      <c r="M1595" s="46"/>
      <c r="R1595" s="51"/>
      <c r="S1595" s="51"/>
    </row>
    <row r="1596" spans="9:19" x14ac:dyDescent="0.25">
      <c r="I1596" s="1"/>
      <c r="J1596" s="71"/>
      <c r="M1596" s="46"/>
      <c r="R1596" s="51"/>
      <c r="S1596" s="51"/>
    </row>
    <row r="1597" spans="9:19" x14ac:dyDescent="0.25">
      <c r="I1597" s="1"/>
      <c r="J1597" s="71"/>
      <c r="M1597" s="46"/>
      <c r="R1597" s="51"/>
      <c r="S1597" s="51"/>
    </row>
    <row r="1598" spans="9:19" x14ac:dyDescent="0.25">
      <c r="I1598" s="1"/>
      <c r="J1598" s="71"/>
      <c r="M1598" s="46"/>
      <c r="R1598" s="51"/>
      <c r="S1598" s="51"/>
    </row>
    <row r="1599" spans="9:19" x14ac:dyDescent="0.25">
      <c r="I1599" s="1"/>
      <c r="J1599" s="71"/>
      <c r="M1599" s="46"/>
      <c r="R1599" s="51"/>
      <c r="S1599" s="51"/>
    </row>
    <row r="1600" spans="9:19" x14ac:dyDescent="0.25">
      <c r="I1600" s="1"/>
      <c r="J1600" s="71"/>
      <c r="M1600" s="46"/>
      <c r="R1600" s="51"/>
      <c r="S1600" s="51"/>
    </row>
    <row r="1601" spans="9:19" x14ac:dyDescent="0.25">
      <c r="I1601" s="1"/>
      <c r="J1601" s="71"/>
      <c r="M1601" s="46"/>
      <c r="R1601" s="51"/>
      <c r="S1601" s="51"/>
    </row>
    <row r="1602" spans="9:19" x14ac:dyDescent="0.25">
      <c r="I1602" s="1"/>
      <c r="J1602" s="71"/>
      <c r="M1602" s="46"/>
      <c r="R1602" s="51"/>
      <c r="S1602" s="51"/>
    </row>
    <row r="1603" spans="9:19" x14ac:dyDescent="0.25">
      <c r="I1603" s="1"/>
      <c r="J1603" s="71"/>
      <c r="M1603" s="46"/>
      <c r="R1603" s="51"/>
      <c r="S1603" s="51"/>
    </row>
    <row r="1604" spans="9:19" x14ac:dyDescent="0.25">
      <c r="I1604" s="1"/>
      <c r="J1604" s="71"/>
      <c r="M1604" s="46"/>
      <c r="R1604" s="51"/>
      <c r="S1604" s="51"/>
    </row>
    <row r="1605" spans="9:19" x14ac:dyDescent="0.25">
      <c r="I1605" s="1"/>
      <c r="J1605" s="71"/>
      <c r="M1605" s="46"/>
      <c r="R1605" s="51"/>
      <c r="S1605" s="51"/>
    </row>
    <row r="1606" spans="9:19" x14ac:dyDescent="0.25">
      <c r="I1606" s="1"/>
      <c r="J1606" s="71"/>
      <c r="M1606" s="46"/>
      <c r="R1606" s="51"/>
      <c r="S1606" s="51"/>
    </row>
    <row r="1607" spans="9:19" x14ac:dyDescent="0.25">
      <c r="I1607" s="1"/>
      <c r="J1607" s="71"/>
      <c r="M1607" s="46"/>
      <c r="R1607" s="51"/>
      <c r="S1607" s="51"/>
    </row>
    <row r="1608" spans="9:19" x14ac:dyDescent="0.25">
      <c r="I1608" s="1"/>
      <c r="J1608" s="71"/>
      <c r="M1608" s="46"/>
      <c r="R1608" s="51"/>
      <c r="S1608" s="51"/>
    </row>
    <row r="1609" spans="9:19" x14ac:dyDescent="0.25">
      <c r="I1609" s="1"/>
      <c r="J1609" s="71"/>
      <c r="M1609" s="46"/>
      <c r="R1609" s="51"/>
      <c r="S1609" s="51"/>
    </row>
    <row r="1610" spans="9:19" x14ac:dyDescent="0.25">
      <c r="I1610" s="1"/>
      <c r="J1610" s="71"/>
      <c r="M1610" s="46"/>
      <c r="R1610" s="51"/>
      <c r="S1610" s="51"/>
    </row>
    <row r="1611" spans="9:19" x14ac:dyDescent="0.25">
      <c r="I1611" s="1"/>
      <c r="J1611" s="71"/>
      <c r="M1611" s="46"/>
      <c r="R1611" s="51"/>
      <c r="S1611" s="51"/>
    </row>
    <row r="1612" spans="9:19" x14ac:dyDescent="0.25">
      <c r="I1612" s="1"/>
      <c r="J1612" s="71"/>
      <c r="M1612" s="46"/>
      <c r="R1612" s="51"/>
      <c r="S1612" s="51"/>
    </row>
    <row r="1613" spans="9:19" x14ac:dyDescent="0.25">
      <c r="I1613" s="1"/>
      <c r="J1613" s="71"/>
      <c r="M1613" s="46"/>
      <c r="R1613" s="51"/>
      <c r="S1613" s="51"/>
    </row>
    <row r="1614" spans="9:19" x14ac:dyDescent="0.25">
      <c r="I1614" s="1"/>
      <c r="J1614" s="71"/>
      <c r="M1614" s="46"/>
      <c r="R1614" s="51"/>
      <c r="S1614" s="51"/>
    </row>
    <row r="1615" spans="9:19" x14ac:dyDescent="0.25">
      <c r="I1615" s="1"/>
      <c r="J1615" s="71"/>
      <c r="M1615" s="46"/>
      <c r="R1615" s="51"/>
      <c r="S1615" s="51"/>
    </row>
    <row r="1616" spans="9:19" x14ac:dyDescent="0.25">
      <c r="I1616" s="1"/>
      <c r="J1616" s="71"/>
      <c r="M1616" s="46"/>
      <c r="R1616" s="51"/>
      <c r="S1616" s="51"/>
    </row>
    <row r="1617" spans="9:19" x14ac:dyDescent="0.25">
      <c r="I1617" s="1"/>
      <c r="J1617" s="71"/>
      <c r="M1617" s="46"/>
      <c r="R1617" s="51"/>
      <c r="S1617" s="51"/>
    </row>
    <row r="1618" spans="9:19" x14ac:dyDescent="0.25">
      <c r="I1618" s="1"/>
      <c r="J1618" s="71"/>
      <c r="M1618" s="46"/>
      <c r="R1618" s="51"/>
      <c r="S1618" s="51"/>
    </row>
    <row r="1619" spans="9:19" x14ac:dyDescent="0.25">
      <c r="I1619" s="1"/>
      <c r="J1619" s="71"/>
      <c r="M1619" s="46"/>
      <c r="R1619" s="51"/>
      <c r="S1619" s="51"/>
    </row>
    <row r="1620" spans="9:19" x14ac:dyDescent="0.25">
      <c r="I1620" s="1"/>
      <c r="J1620" s="71"/>
      <c r="M1620" s="46"/>
      <c r="R1620" s="51"/>
      <c r="S1620" s="51"/>
    </row>
    <row r="1621" spans="9:19" x14ac:dyDescent="0.25">
      <c r="I1621" s="1"/>
      <c r="J1621" s="71"/>
      <c r="M1621" s="46"/>
      <c r="R1621" s="51"/>
      <c r="S1621" s="51"/>
    </row>
    <row r="1622" spans="9:19" x14ac:dyDescent="0.25">
      <c r="I1622" s="1"/>
      <c r="J1622" s="71"/>
      <c r="M1622" s="46"/>
      <c r="R1622" s="51"/>
      <c r="S1622" s="51"/>
    </row>
    <row r="1623" spans="9:19" x14ac:dyDescent="0.25">
      <c r="I1623" s="1"/>
      <c r="J1623" s="71"/>
      <c r="M1623" s="46"/>
      <c r="R1623" s="51"/>
      <c r="S1623" s="51"/>
    </row>
    <row r="1624" spans="9:19" x14ac:dyDescent="0.25">
      <c r="I1624" s="1"/>
      <c r="J1624" s="71"/>
      <c r="M1624" s="46"/>
      <c r="R1624" s="51"/>
      <c r="S1624" s="51"/>
    </row>
    <row r="1625" spans="9:19" x14ac:dyDescent="0.25">
      <c r="I1625" s="1"/>
      <c r="J1625" s="71"/>
      <c r="M1625" s="46"/>
      <c r="R1625" s="51"/>
      <c r="S1625" s="51"/>
    </row>
    <row r="1626" spans="9:19" x14ac:dyDescent="0.25">
      <c r="I1626" s="1"/>
      <c r="J1626" s="71"/>
      <c r="M1626" s="46"/>
      <c r="R1626" s="51"/>
      <c r="S1626" s="51"/>
    </row>
    <row r="1627" spans="9:19" x14ac:dyDescent="0.25">
      <c r="I1627" s="1"/>
      <c r="J1627" s="71"/>
      <c r="M1627" s="46"/>
      <c r="R1627" s="51"/>
      <c r="S1627" s="51"/>
    </row>
    <row r="1628" spans="9:19" x14ac:dyDescent="0.25">
      <c r="I1628" s="1"/>
      <c r="J1628" s="71"/>
      <c r="M1628" s="46"/>
      <c r="R1628" s="51"/>
      <c r="S1628" s="51"/>
    </row>
    <row r="1629" spans="9:19" x14ac:dyDescent="0.25">
      <c r="I1629" s="1"/>
      <c r="J1629" s="71"/>
      <c r="M1629" s="46"/>
      <c r="R1629" s="51"/>
      <c r="S1629" s="51"/>
    </row>
    <row r="1630" spans="9:19" x14ac:dyDescent="0.25">
      <c r="I1630" s="1"/>
      <c r="J1630" s="71"/>
      <c r="M1630" s="46"/>
      <c r="R1630" s="51"/>
      <c r="S1630" s="51"/>
    </row>
    <row r="1631" spans="9:19" x14ac:dyDescent="0.25">
      <c r="I1631" s="1"/>
      <c r="J1631" s="71"/>
      <c r="M1631" s="46"/>
      <c r="R1631" s="51"/>
      <c r="S1631" s="51"/>
    </row>
    <row r="1632" spans="9:19" x14ac:dyDescent="0.25">
      <c r="I1632" s="1"/>
      <c r="J1632" s="71"/>
      <c r="M1632" s="46"/>
      <c r="R1632" s="51"/>
      <c r="S1632" s="51"/>
    </row>
    <row r="1633" spans="9:19" x14ac:dyDescent="0.25">
      <c r="I1633" s="1"/>
      <c r="J1633" s="71"/>
      <c r="M1633" s="46"/>
      <c r="R1633" s="51"/>
      <c r="S1633" s="51"/>
    </row>
    <row r="1634" spans="9:19" x14ac:dyDescent="0.25">
      <c r="I1634" s="1"/>
      <c r="J1634" s="71"/>
      <c r="M1634" s="46"/>
      <c r="R1634" s="51"/>
      <c r="S1634" s="51"/>
    </row>
    <row r="1635" spans="9:19" x14ac:dyDescent="0.25">
      <c r="I1635" s="1"/>
      <c r="J1635" s="71"/>
      <c r="M1635" s="46"/>
      <c r="R1635" s="51"/>
      <c r="S1635" s="51"/>
    </row>
    <row r="1636" spans="9:19" x14ac:dyDescent="0.25">
      <c r="I1636" s="1"/>
      <c r="J1636" s="71"/>
      <c r="M1636" s="46"/>
      <c r="R1636" s="51"/>
      <c r="S1636" s="51"/>
    </row>
    <row r="1637" spans="9:19" x14ac:dyDescent="0.25">
      <c r="I1637" s="1"/>
      <c r="J1637" s="71"/>
      <c r="M1637" s="46"/>
      <c r="R1637" s="51"/>
      <c r="S1637" s="51"/>
    </row>
    <row r="1638" spans="9:19" x14ac:dyDescent="0.25">
      <c r="I1638" s="1"/>
      <c r="J1638" s="71"/>
      <c r="M1638" s="46"/>
      <c r="R1638" s="51"/>
      <c r="S1638" s="51"/>
    </row>
    <row r="1639" spans="9:19" x14ac:dyDescent="0.25">
      <c r="I1639" s="1"/>
      <c r="J1639" s="71"/>
      <c r="M1639" s="46"/>
      <c r="R1639" s="51"/>
      <c r="S1639" s="51"/>
    </row>
    <row r="1640" spans="9:19" x14ac:dyDescent="0.25">
      <c r="I1640" s="1"/>
      <c r="J1640" s="71"/>
      <c r="M1640" s="46"/>
      <c r="R1640" s="51"/>
      <c r="S1640" s="51"/>
    </row>
    <row r="1641" spans="9:19" x14ac:dyDescent="0.25">
      <c r="I1641" s="1"/>
      <c r="J1641" s="71"/>
      <c r="M1641" s="46"/>
      <c r="R1641" s="51"/>
      <c r="S1641" s="51"/>
    </row>
    <row r="1642" spans="9:19" x14ac:dyDescent="0.25">
      <c r="I1642" s="1"/>
      <c r="J1642" s="71"/>
      <c r="M1642" s="46"/>
      <c r="R1642" s="51"/>
      <c r="S1642" s="51"/>
    </row>
    <row r="1643" spans="9:19" x14ac:dyDescent="0.25">
      <c r="I1643" s="1"/>
      <c r="J1643" s="71"/>
      <c r="M1643" s="46"/>
      <c r="R1643" s="51"/>
      <c r="S1643" s="51"/>
    </row>
    <row r="1644" spans="9:19" x14ac:dyDescent="0.25">
      <c r="I1644" s="1"/>
      <c r="J1644" s="71"/>
      <c r="M1644" s="46"/>
      <c r="R1644" s="51"/>
      <c r="S1644" s="51"/>
    </row>
    <row r="1645" spans="9:19" x14ac:dyDescent="0.25">
      <c r="I1645" s="1"/>
      <c r="J1645" s="71"/>
      <c r="M1645" s="46"/>
      <c r="R1645" s="51"/>
      <c r="S1645" s="51"/>
    </row>
    <row r="1646" spans="9:19" x14ac:dyDescent="0.25">
      <c r="I1646" s="1"/>
      <c r="J1646" s="71"/>
      <c r="M1646" s="46"/>
      <c r="R1646" s="51"/>
      <c r="S1646" s="51"/>
    </row>
    <row r="1647" spans="9:19" x14ac:dyDescent="0.25">
      <c r="I1647" s="1"/>
      <c r="J1647" s="71"/>
      <c r="M1647" s="46"/>
      <c r="R1647" s="51"/>
      <c r="S1647" s="51"/>
    </row>
    <row r="1648" spans="9:19" x14ac:dyDescent="0.25">
      <c r="I1648" s="1"/>
      <c r="J1648" s="71"/>
      <c r="M1648" s="46"/>
      <c r="R1648" s="51"/>
      <c r="S1648" s="51"/>
    </row>
    <row r="1649" spans="9:19" x14ac:dyDescent="0.25">
      <c r="I1649" s="1"/>
      <c r="J1649" s="71"/>
      <c r="M1649" s="46"/>
      <c r="R1649" s="51"/>
      <c r="S1649" s="51"/>
    </row>
    <row r="1650" spans="9:19" x14ac:dyDescent="0.25">
      <c r="I1650" s="1"/>
      <c r="J1650" s="71"/>
      <c r="M1650" s="46"/>
      <c r="R1650" s="51"/>
      <c r="S1650" s="51"/>
    </row>
    <row r="1651" spans="9:19" x14ac:dyDescent="0.25">
      <c r="I1651" s="1"/>
      <c r="J1651" s="71"/>
      <c r="M1651" s="46"/>
      <c r="R1651" s="51"/>
      <c r="S1651" s="51"/>
    </row>
    <row r="1652" spans="9:19" x14ac:dyDescent="0.25">
      <c r="I1652" s="1"/>
      <c r="J1652" s="71"/>
      <c r="M1652" s="46"/>
      <c r="R1652" s="51"/>
      <c r="S1652" s="51"/>
    </row>
    <row r="1653" spans="9:19" x14ac:dyDescent="0.25">
      <c r="I1653" s="1"/>
      <c r="J1653" s="71"/>
      <c r="M1653" s="46"/>
      <c r="R1653" s="51"/>
      <c r="S1653" s="51"/>
    </row>
    <row r="1654" spans="9:19" x14ac:dyDescent="0.25">
      <c r="I1654" s="1"/>
      <c r="J1654" s="71"/>
      <c r="M1654" s="46"/>
      <c r="R1654" s="51"/>
      <c r="S1654" s="51"/>
    </row>
    <row r="1655" spans="9:19" x14ac:dyDescent="0.25">
      <c r="I1655" s="1"/>
      <c r="J1655" s="71"/>
      <c r="M1655" s="46"/>
      <c r="R1655" s="51"/>
      <c r="S1655" s="51"/>
    </row>
    <row r="1656" spans="9:19" x14ac:dyDescent="0.25">
      <c r="I1656" s="1"/>
      <c r="J1656" s="71"/>
      <c r="M1656" s="46"/>
      <c r="R1656" s="51"/>
      <c r="S1656" s="51"/>
    </row>
    <row r="1657" spans="9:19" x14ac:dyDescent="0.25">
      <c r="I1657" s="1"/>
      <c r="J1657" s="71"/>
      <c r="M1657" s="46"/>
      <c r="R1657" s="51"/>
      <c r="S1657" s="51"/>
    </row>
    <row r="1658" spans="9:19" x14ac:dyDescent="0.25">
      <c r="I1658" s="1"/>
      <c r="J1658" s="71"/>
      <c r="M1658" s="46"/>
      <c r="R1658" s="51"/>
      <c r="S1658" s="51"/>
    </row>
    <row r="1659" spans="9:19" x14ac:dyDescent="0.25">
      <c r="I1659" s="1"/>
      <c r="J1659" s="71"/>
      <c r="M1659" s="46"/>
      <c r="R1659" s="51"/>
      <c r="S1659" s="51"/>
    </row>
    <row r="1660" spans="9:19" x14ac:dyDescent="0.25">
      <c r="I1660" s="1"/>
      <c r="J1660" s="71"/>
      <c r="M1660" s="46"/>
      <c r="R1660" s="51"/>
      <c r="S1660" s="51"/>
    </row>
    <row r="1661" spans="9:19" x14ac:dyDescent="0.25">
      <c r="I1661" s="1"/>
      <c r="J1661" s="71"/>
      <c r="M1661" s="46"/>
      <c r="R1661" s="51"/>
      <c r="S1661" s="51"/>
    </row>
    <row r="1662" spans="9:19" x14ac:dyDescent="0.25">
      <c r="I1662" s="1"/>
      <c r="J1662" s="71"/>
      <c r="M1662" s="46"/>
      <c r="R1662" s="51"/>
      <c r="S1662" s="51"/>
    </row>
    <row r="1663" spans="9:19" x14ac:dyDescent="0.25">
      <c r="I1663" s="1"/>
      <c r="J1663" s="71"/>
      <c r="M1663" s="46"/>
      <c r="R1663" s="51"/>
      <c r="S1663" s="51"/>
    </row>
    <row r="1664" spans="9:19" x14ac:dyDescent="0.25">
      <c r="I1664" s="1"/>
      <c r="J1664" s="71"/>
      <c r="M1664" s="46"/>
      <c r="R1664" s="51"/>
      <c r="S1664" s="51"/>
    </row>
    <row r="1665" spans="9:19" x14ac:dyDescent="0.25">
      <c r="I1665" s="1"/>
      <c r="J1665" s="71"/>
      <c r="M1665" s="46"/>
      <c r="R1665" s="51"/>
      <c r="S1665" s="51"/>
    </row>
    <row r="1666" spans="9:19" x14ac:dyDescent="0.25">
      <c r="I1666" s="1"/>
      <c r="J1666" s="71"/>
      <c r="M1666" s="46"/>
      <c r="R1666" s="51"/>
      <c r="S1666" s="51"/>
    </row>
    <row r="1667" spans="9:19" x14ac:dyDescent="0.25">
      <c r="I1667" s="1"/>
      <c r="J1667" s="71"/>
      <c r="M1667" s="46"/>
      <c r="R1667" s="51"/>
      <c r="S1667" s="51"/>
    </row>
    <row r="1668" spans="9:19" x14ac:dyDescent="0.25">
      <c r="I1668" s="1"/>
      <c r="J1668" s="71"/>
      <c r="M1668" s="46"/>
      <c r="R1668" s="51"/>
      <c r="S1668" s="51"/>
    </row>
    <row r="1669" spans="9:19" x14ac:dyDescent="0.25">
      <c r="I1669" s="1"/>
      <c r="J1669" s="71"/>
      <c r="M1669" s="46"/>
      <c r="R1669" s="51"/>
      <c r="S1669" s="51"/>
    </row>
    <row r="1670" spans="9:19" x14ac:dyDescent="0.25">
      <c r="I1670" s="1"/>
      <c r="J1670" s="71"/>
      <c r="M1670" s="46"/>
      <c r="R1670" s="51"/>
      <c r="S1670" s="51"/>
    </row>
    <row r="1671" spans="9:19" x14ac:dyDescent="0.25">
      <c r="I1671" s="1"/>
      <c r="J1671" s="71"/>
      <c r="M1671" s="46"/>
      <c r="R1671" s="51"/>
      <c r="S1671" s="51"/>
    </row>
    <row r="1672" spans="9:19" x14ac:dyDescent="0.25">
      <c r="I1672" s="1"/>
      <c r="J1672" s="71"/>
      <c r="M1672" s="46"/>
      <c r="R1672" s="51"/>
      <c r="S1672" s="51"/>
    </row>
    <row r="1673" spans="9:19" x14ac:dyDescent="0.25">
      <c r="I1673" s="1"/>
      <c r="J1673" s="71"/>
      <c r="M1673" s="46"/>
      <c r="R1673" s="51"/>
      <c r="S1673" s="51"/>
    </row>
    <row r="1674" spans="9:19" x14ac:dyDescent="0.25">
      <c r="I1674" s="1"/>
      <c r="J1674" s="71"/>
      <c r="M1674" s="46"/>
      <c r="R1674" s="51"/>
      <c r="S1674" s="51"/>
    </row>
    <row r="1675" spans="9:19" x14ac:dyDescent="0.25">
      <c r="I1675" s="1"/>
      <c r="J1675" s="71"/>
      <c r="M1675" s="46"/>
      <c r="R1675" s="51"/>
      <c r="S1675" s="51"/>
    </row>
    <row r="1676" spans="9:19" x14ac:dyDescent="0.25">
      <c r="I1676" s="1"/>
      <c r="J1676" s="71"/>
      <c r="M1676" s="46"/>
      <c r="R1676" s="51"/>
      <c r="S1676" s="51"/>
    </row>
    <row r="1677" spans="9:19" x14ac:dyDescent="0.25">
      <c r="I1677" s="1"/>
      <c r="J1677" s="71"/>
      <c r="M1677" s="46"/>
      <c r="R1677" s="51"/>
      <c r="S1677" s="51"/>
    </row>
    <row r="1678" spans="9:19" x14ac:dyDescent="0.25">
      <c r="I1678" s="1"/>
      <c r="J1678" s="71"/>
      <c r="M1678" s="46"/>
      <c r="R1678" s="51"/>
      <c r="S1678" s="51"/>
    </row>
    <row r="1679" spans="9:19" x14ac:dyDescent="0.25">
      <c r="I1679" s="1"/>
      <c r="J1679" s="71"/>
      <c r="M1679" s="46"/>
      <c r="R1679" s="51"/>
      <c r="S1679" s="51"/>
    </row>
    <row r="1680" spans="9:19" x14ac:dyDescent="0.25">
      <c r="I1680" s="1"/>
      <c r="J1680" s="71"/>
      <c r="M1680" s="46"/>
      <c r="R1680" s="51"/>
      <c r="S1680" s="51"/>
    </row>
    <row r="1681" spans="9:19" x14ac:dyDescent="0.25">
      <c r="I1681" s="1"/>
      <c r="J1681" s="71"/>
      <c r="M1681" s="46"/>
      <c r="R1681" s="51"/>
      <c r="S1681" s="51"/>
    </row>
    <row r="1682" spans="9:19" x14ac:dyDescent="0.25">
      <c r="I1682" s="1"/>
      <c r="J1682" s="71"/>
      <c r="M1682" s="46"/>
      <c r="R1682" s="51"/>
      <c r="S1682" s="51"/>
    </row>
    <row r="1683" spans="9:19" x14ac:dyDescent="0.25">
      <c r="I1683" s="1"/>
      <c r="J1683" s="71"/>
      <c r="M1683" s="46"/>
      <c r="R1683" s="51"/>
      <c r="S1683" s="51"/>
    </row>
    <row r="1684" spans="9:19" x14ac:dyDescent="0.25">
      <c r="I1684" s="1"/>
      <c r="J1684" s="71"/>
      <c r="M1684" s="46"/>
      <c r="R1684" s="51"/>
      <c r="S1684" s="51"/>
    </row>
    <row r="1685" spans="9:19" x14ac:dyDescent="0.25">
      <c r="I1685" s="1"/>
      <c r="J1685" s="71"/>
      <c r="M1685" s="46"/>
      <c r="R1685" s="51"/>
      <c r="S1685" s="51"/>
    </row>
    <row r="1686" spans="9:19" x14ac:dyDescent="0.25">
      <c r="I1686" s="1"/>
      <c r="J1686" s="71"/>
      <c r="M1686" s="46"/>
      <c r="R1686" s="51"/>
      <c r="S1686" s="51"/>
    </row>
    <row r="1687" spans="9:19" x14ac:dyDescent="0.25">
      <c r="I1687" s="1"/>
      <c r="J1687" s="71"/>
      <c r="M1687" s="46"/>
      <c r="R1687" s="51"/>
      <c r="S1687" s="51"/>
    </row>
    <row r="1688" spans="9:19" x14ac:dyDescent="0.25">
      <c r="I1688" s="1"/>
      <c r="J1688" s="71"/>
      <c r="M1688" s="46"/>
      <c r="R1688" s="51"/>
      <c r="S1688" s="51"/>
    </row>
    <row r="1689" spans="9:19" x14ac:dyDescent="0.25">
      <c r="I1689" s="1"/>
      <c r="J1689" s="71"/>
      <c r="M1689" s="46"/>
      <c r="R1689" s="51"/>
      <c r="S1689" s="51"/>
    </row>
    <row r="1690" spans="9:19" x14ac:dyDescent="0.25">
      <c r="I1690" s="1"/>
      <c r="J1690" s="71"/>
      <c r="M1690" s="46"/>
      <c r="R1690" s="51"/>
      <c r="S1690" s="51"/>
    </row>
    <row r="1691" spans="9:19" x14ac:dyDescent="0.25">
      <c r="I1691" s="1"/>
      <c r="J1691" s="71"/>
      <c r="M1691" s="46"/>
      <c r="R1691" s="51"/>
      <c r="S1691" s="51"/>
    </row>
    <row r="1692" spans="9:19" x14ac:dyDescent="0.25">
      <c r="I1692" s="1"/>
      <c r="J1692" s="71"/>
      <c r="M1692" s="46"/>
      <c r="R1692" s="51"/>
      <c r="S1692" s="51"/>
    </row>
    <row r="1693" spans="9:19" x14ac:dyDescent="0.25">
      <c r="I1693" s="1"/>
      <c r="J1693" s="71"/>
      <c r="M1693" s="46"/>
      <c r="R1693" s="51"/>
      <c r="S1693" s="51"/>
    </row>
    <row r="1694" spans="9:19" x14ac:dyDescent="0.25">
      <c r="I1694" s="1"/>
      <c r="J1694" s="71"/>
      <c r="M1694" s="46"/>
      <c r="R1694" s="51"/>
      <c r="S1694" s="51"/>
    </row>
    <row r="1695" spans="9:19" x14ac:dyDescent="0.25">
      <c r="I1695" s="1"/>
      <c r="J1695" s="71"/>
      <c r="M1695" s="46"/>
      <c r="R1695" s="51"/>
      <c r="S1695" s="51"/>
    </row>
    <row r="1696" spans="9:19" x14ac:dyDescent="0.25">
      <c r="I1696" s="1"/>
      <c r="J1696" s="71"/>
      <c r="M1696" s="46"/>
      <c r="R1696" s="51"/>
      <c r="S1696" s="51"/>
    </row>
    <row r="1697" spans="9:19" x14ac:dyDescent="0.25">
      <c r="I1697" s="1"/>
      <c r="J1697" s="71"/>
      <c r="M1697" s="46"/>
      <c r="R1697" s="51"/>
      <c r="S1697" s="51"/>
    </row>
    <row r="1698" spans="9:19" x14ac:dyDescent="0.25">
      <c r="I1698" s="1"/>
      <c r="J1698" s="71"/>
      <c r="M1698" s="46"/>
      <c r="R1698" s="51"/>
      <c r="S1698" s="51"/>
    </row>
    <row r="1699" spans="9:19" x14ac:dyDescent="0.25">
      <c r="I1699" s="1"/>
      <c r="J1699" s="71"/>
      <c r="M1699" s="46"/>
      <c r="R1699" s="51"/>
      <c r="S1699" s="51"/>
    </row>
    <row r="1700" spans="9:19" x14ac:dyDescent="0.25">
      <c r="I1700" s="1"/>
      <c r="J1700" s="71"/>
      <c r="M1700" s="46"/>
      <c r="R1700" s="51"/>
      <c r="S1700" s="51"/>
    </row>
    <row r="1701" spans="9:19" x14ac:dyDescent="0.25">
      <c r="I1701" s="1"/>
      <c r="J1701" s="71"/>
      <c r="M1701" s="46"/>
      <c r="R1701" s="51"/>
      <c r="S1701" s="51"/>
    </row>
    <row r="1702" spans="9:19" x14ac:dyDescent="0.25">
      <c r="I1702" s="1"/>
      <c r="J1702" s="71"/>
      <c r="M1702" s="46"/>
      <c r="R1702" s="51"/>
      <c r="S1702" s="51"/>
    </row>
    <row r="1703" spans="9:19" x14ac:dyDescent="0.25">
      <c r="I1703" s="1"/>
      <c r="J1703" s="71"/>
      <c r="M1703" s="46"/>
      <c r="R1703" s="51"/>
      <c r="S1703" s="51"/>
    </row>
    <row r="1704" spans="9:19" x14ac:dyDescent="0.25">
      <c r="I1704" s="1"/>
      <c r="J1704" s="71"/>
      <c r="M1704" s="46"/>
      <c r="R1704" s="51"/>
      <c r="S1704" s="51"/>
    </row>
    <row r="1705" spans="9:19" x14ac:dyDescent="0.25">
      <c r="I1705" s="1"/>
      <c r="J1705" s="71"/>
      <c r="M1705" s="46"/>
      <c r="R1705" s="51"/>
      <c r="S1705" s="51"/>
    </row>
    <row r="1706" spans="9:19" x14ac:dyDescent="0.25">
      <c r="I1706" s="1"/>
      <c r="J1706" s="71"/>
      <c r="M1706" s="46"/>
      <c r="R1706" s="51"/>
      <c r="S1706" s="51"/>
    </row>
    <row r="1707" spans="9:19" x14ac:dyDescent="0.25">
      <c r="I1707" s="1"/>
      <c r="J1707" s="71"/>
      <c r="M1707" s="46"/>
      <c r="R1707" s="51"/>
      <c r="S1707" s="51"/>
    </row>
    <row r="1708" spans="9:19" x14ac:dyDescent="0.25">
      <c r="I1708" s="1"/>
      <c r="J1708" s="71"/>
      <c r="M1708" s="46"/>
      <c r="R1708" s="51"/>
      <c r="S1708" s="51"/>
    </row>
    <row r="1709" spans="9:19" x14ac:dyDescent="0.25">
      <c r="I1709" s="1"/>
      <c r="J1709" s="71"/>
      <c r="M1709" s="46"/>
      <c r="R1709" s="51"/>
      <c r="S1709" s="51"/>
    </row>
    <row r="1710" spans="9:19" x14ac:dyDescent="0.25">
      <c r="I1710" s="1"/>
      <c r="J1710" s="71"/>
      <c r="M1710" s="46"/>
      <c r="R1710" s="51"/>
      <c r="S1710" s="51"/>
    </row>
    <row r="1711" spans="9:19" x14ac:dyDescent="0.25">
      <c r="I1711" s="1"/>
      <c r="J1711" s="71"/>
      <c r="M1711" s="46"/>
      <c r="R1711" s="51"/>
      <c r="S1711" s="51"/>
    </row>
    <row r="1712" spans="9:19" x14ac:dyDescent="0.25">
      <c r="I1712" s="1"/>
      <c r="J1712" s="71"/>
      <c r="M1712" s="46"/>
      <c r="R1712" s="51"/>
      <c r="S1712" s="51"/>
    </row>
    <row r="1713" spans="9:19" x14ac:dyDescent="0.25">
      <c r="I1713" s="1"/>
      <c r="J1713" s="71"/>
      <c r="M1713" s="46"/>
      <c r="R1713" s="51"/>
      <c r="S1713" s="51"/>
    </row>
    <row r="1714" spans="9:19" x14ac:dyDescent="0.25">
      <c r="I1714" s="1"/>
      <c r="J1714" s="71"/>
      <c r="M1714" s="46"/>
      <c r="R1714" s="51"/>
      <c r="S1714" s="51"/>
    </row>
    <row r="1715" spans="9:19" x14ac:dyDescent="0.25">
      <c r="I1715" s="1"/>
      <c r="J1715" s="71"/>
      <c r="M1715" s="46"/>
      <c r="R1715" s="51"/>
      <c r="S1715" s="51"/>
    </row>
    <row r="1716" spans="9:19" x14ac:dyDescent="0.25">
      <c r="I1716" s="1"/>
      <c r="J1716" s="71"/>
      <c r="M1716" s="46"/>
      <c r="R1716" s="51"/>
      <c r="S1716" s="51"/>
    </row>
    <row r="1717" spans="9:19" x14ac:dyDescent="0.25">
      <c r="I1717" s="1"/>
      <c r="J1717" s="71"/>
      <c r="M1717" s="46"/>
      <c r="R1717" s="51"/>
      <c r="S1717" s="51"/>
    </row>
    <row r="1718" spans="9:19" x14ac:dyDescent="0.25">
      <c r="I1718" s="1"/>
      <c r="J1718" s="71"/>
      <c r="M1718" s="46"/>
      <c r="R1718" s="51"/>
      <c r="S1718" s="51"/>
    </row>
    <row r="1719" spans="9:19" x14ac:dyDescent="0.25">
      <c r="I1719" s="1"/>
      <c r="J1719" s="71"/>
      <c r="M1719" s="46"/>
      <c r="R1719" s="51"/>
      <c r="S1719" s="51"/>
    </row>
    <row r="1720" spans="9:19" x14ac:dyDescent="0.25">
      <c r="I1720" s="1"/>
      <c r="J1720" s="71"/>
      <c r="M1720" s="46"/>
      <c r="R1720" s="51"/>
      <c r="S1720" s="51"/>
    </row>
    <row r="1721" spans="9:19" x14ac:dyDescent="0.25">
      <c r="I1721" s="1"/>
      <c r="J1721" s="71"/>
      <c r="M1721" s="46"/>
      <c r="R1721" s="51"/>
      <c r="S1721" s="51"/>
    </row>
    <row r="1722" spans="9:19" x14ac:dyDescent="0.25">
      <c r="I1722" s="1"/>
      <c r="J1722" s="71"/>
      <c r="M1722" s="46"/>
      <c r="R1722" s="51"/>
      <c r="S1722" s="51"/>
    </row>
    <row r="1723" spans="9:19" x14ac:dyDescent="0.25">
      <c r="I1723" s="1"/>
      <c r="J1723" s="71"/>
      <c r="M1723" s="46"/>
      <c r="R1723" s="51"/>
      <c r="S1723" s="51"/>
    </row>
    <row r="1724" spans="9:19" x14ac:dyDescent="0.25">
      <c r="I1724" s="1"/>
      <c r="J1724" s="71"/>
      <c r="M1724" s="46"/>
      <c r="R1724" s="51"/>
      <c r="S1724" s="51"/>
    </row>
    <row r="1725" spans="9:19" x14ac:dyDescent="0.25">
      <c r="I1725" s="1"/>
      <c r="J1725" s="71"/>
      <c r="M1725" s="46"/>
      <c r="R1725" s="51"/>
      <c r="S1725" s="51"/>
    </row>
    <row r="1726" spans="9:19" x14ac:dyDescent="0.25">
      <c r="I1726" s="1"/>
      <c r="J1726" s="71"/>
      <c r="M1726" s="46"/>
      <c r="R1726" s="51"/>
      <c r="S1726" s="51"/>
    </row>
    <row r="1727" spans="9:19" x14ac:dyDescent="0.25">
      <c r="I1727" s="1"/>
      <c r="J1727" s="71"/>
      <c r="M1727" s="46"/>
      <c r="R1727" s="51"/>
      <c r="S1727" s="51"/>
    </row>
    <row r="1728" spans="9:19" x14ac:dyDescent="0.25">
      <c r="I1728" s="1"/>
      <c r="J1728" s="71"/>
      <c r="M1728" s="46"/>
      <c r="R1728" s="51"/>
      <c r="S1728" s="51"/>
    </row>
    <row r="1729" spans="9:19" x14ac:dyDescent="0.25">
      <c r="I1729" s="1"/>
      <c r="J1729" s="71"/>
      <c r="M1729" s="46"/>
      <c r="R1729" s="51"/>
      <c r="S1729" s="51"/>
    </row>
    <row r="1730" spans="9:19" x14ac:dyDescent="0.25">
      <c r="I1730" s="1"/>
      <c r="J1730" s="71"/>
      <c r="M1730" s="46"/>
      <c r="R1730" s="51"/>
      <c r="S1730" s="51"/>
    </row>
    <row r="1731" spans="9:19" x14ac:dyDescent="0.25">
      <c r="I1731" s="1"/>
      <c r="J1731" s="71"/>
      <c r="M1731" s="46"/>
      <c r="R1731" s="51"/>
      <c r="S1731" s="51"/>
    </row>
    <row r="1732" spans="9:19" x14ac:dyDescent="0.25">
      <c r="I1732" s="1"/>
      <c r="J1732" s="71"/>
      <c r="M1732" s="46"/>
      <c r="R1732" s="51"/>
      <c r="S1732" s="51"/>
    </row>
    <row r="1733" spans="9:19" x14ac:dyDescent="0.25">
      <c r="I1733" s="1"/>
      <c r="J1733" s="71"/>
      <c r="M1733" s="46"/>
      <c r="R1733" s="51"/>
      <c r="S1733" s="51"/>
    </row>
    <row r="1734" spans="9:19" x14ac:dyDescent="0.25">
      <c r="I1734" s="1"/>
      <c r="J1734" s="71"/>
      <c r="M1734" s="46"/>
      <c r="R1734" s="51"/>
      <c r="S1734" s="51"/>
    </row>
    <row r="1735" spans="9:19" x14ac:dyDescent="0.25">
      <c r="I1735" s="1"/>
      <c r="J1735" s="71"/>
      <c r="M1735" s="46"/>
      <c r="R1735" s="51"/>
      <c r="S1735" s="51"/>
    </row>
    <row r="1736" spans="9:19" x14ac:dyDescent="0.25">
      <c r="I1736" s="1"/>
      <c r="J1736" s="71"/>
      <c r="M1736" s="46"/>
      <c r="R1736" s="51"/>
      <c r="S1736" s="51"/>
    </row>
    <row r="1737" spans="9:19" x14ac:dyDescent="0.25">
      <c r="I1737" s="1"/>
      <c r="J1737" s="71"/>
      <c r="M1737" s="46"/>
      <c r="R1737" s="51"/>
      <c r="S1737" s="51"/>
    </row>
    <row r="1738" spans="9:19" x14ac:dyDescent="0.25">
      <c r="I1738" s="1"/>
      <c r="J1738" s="71"/>
      <c r="M1738" s="46"/>
      <c r="R1738" s="51"/>
      <c r="S1738" s="51"/>
    </row>
    <row r="1739" spans="9:19" x14ac:dyDescent="0.25">
      <c r="I1739" s="1"/>
      <c r="J1739" s="71"/>
      <c r="M1739" s="46"/>
      <c r="R1739" s="51"/>
      <c r="S1739" s="51"/>
    </row>
    <row r="1740" spans="9:19" x14ac:dyDescent="0.25">
      <c r="I1740" s="1"/>
      <c r="J1740" s="71"/>
      <c r="M1740" s="46"/>
      <c r="R1740" s="51"/>
      <c r="S1740" s="51"/>
    </row>
    <row r="1741" spans="9:19" x14ac:dyDescent="0.25">
      <c r="I1741" s="1"/>
      <c r="J1741" s="71"/>
      <c r="M1741" s="46"/>
      <c r="R1741" s="51"/>
      <c r="S1741" s="51"/>
    </row>
    <row r="1742" spans="9:19" x14ac:dyDescent="0.25">
      <c r="I1742" s="1"/>
      <c r="J1742" s="71"/>
      <c r="M1742" s="46"/>
      <c r="R1742" s="51"/>
      <c r="S1742" s="51"/>
    </row>
    <row r="1743" spans="9:19" x14ac:dyDescent="0.25">
      <c r="I1743" s="1"/>
      <c r="J1743" s="71"/>
      <c r="M1743" s="46"/>
      <c r="R1743" s="51"/>
      <c r="S1743" s="51"/>
    </row>
    <row r="1744" spans="9:19" x14ac:dyDescent="0.25">
      <c r="I1744" s="1"/>
      <c r="J1744" s="71"/>
      <c r="M1744" s="46"/>
      <c r="R1744" s="51"/>
      <c r="S1744" s="51"/>
    </row>
    <row r="1745" spans="9:19" x14ac:dyDescent="0.25">
      <c r="I1745" s="1"/>
      <c r="J1745" s="71"/>
      <c r="M1745" s="46"/>
      <c r="R1745" s="51"/>
      <c r="S1745" s="51"/>
    </row>
    <row r="1746" spans="9:19" x14ac:dyDescent="0.25">
      <c r="I1746" s="1"/>
      <c r="J1746" s="71"/>
      <c r="M1746" s="46"/>
      <c r="R1746" s="51"/>
      <c r="S1746" s="51"/>
    </row>
    <row r="1747" spans="9:19" x14ac:dyDescent="0.25">
      <c r="I1747" s="1"/>
      <c r="J1747" s="71"/>
      <c r="M1747" s="46"/>
      <c r="R1747" s="51"/>
      <c r="S1747" s="51"/>
    </row>
    <row r="1748" spans="9:19" x14ac:dyDescent="0.25">
      <c r="I1748" s="1"/>
      <c r="J1748" s="71"/>
      <c r="M1748" s="46"/>
      <c r="R1748" s="51"/>
      <c r="S1748" s="51"/>
    </row>
    <row r="1749" spans="9:19" x14ac:dyDescent="0.25">
      <c r="I1749" s="1"/>
      <c r="J1749" s="71"/>
      <c r="M1749" s="46"/>
      <c r="R1749" s="51"/>
      <c r="S1749" s="51"/>
    </row>
    <row r="1750" spans="9:19" x14ac:dyDescent="0.25">
      <c r="I1750" s="1"/>
      <c r="J1750" s="71"/>
      <c r="M1750" s="46"/>
      <c r="R1750" s="51"/>
      <c r="S1750" s="51"/>
    </row>
    <row r="1751" spans="9:19" x14ac:dyDescent="0.25">
      <c r="I1751" s="1"/>
      <c r="J1751" s="71"/>
      <c r="M1751" s="46"/>
      <c r="R1751" s="51"/>
      <c r="S1751" s="51"/>
    </row>
    <row r="1752" spans="9:19" x14ac:dyDescent="0.25">
      <c r="I1752" s="1"/>
      <c r="J1752" s="71"/>
      <c r="M1752" s="46"/>
      <c r="R1752" s="51"/>
      <c r="S1752" s="51"/>
    </row>
    <row r="1753" spans="9:19" x14ac:dyDescent="0.25">
      <c r="I1753" s="1"/>
      <c r="J1753" s="71"/>
      <c r="M1753" s="46"/>
      <c r="R1753" s="51"/>
      <c r="S1753" s="51"/>
    </row>
    <row r="1754" spans="9:19" x14ac:dyDescent="0.25">
      <c r="I1754" s="1"/>
      <c r="J1754" s="71"/>
      <c r="M1754" s="46"/>
      <c r="R1754" s="51"/>
      <c r="S1754" s="51"/>
    </row>
    <row r="1755" spans="9:19" x14ac:dyDescent="0.25">
      <c r="I1755" s="1"/>
      <c r="J1755" s="71"/>
      <c r="M1755" s="46"/>
      <c r="R1755" s="51"/>
      <c r="S1755" s="51"/>
    </row>
    <row r="1756" spans="9:19" x14ac:dyDescent="0.25">
      <c r="I1756" s="1"/>
      <c r="J1756" s="71"/>
      <c r="M1756" s="46"/>
      <c r="R1756" s="51"/>
      <c r="S1756" s="51"/>
    </row>
    <row r="1757" spans="9:19" x14ac:dyDescent="0.25">
      <c r="I1757" s="1"/>
      <c r="J1757" s="71"/>
      <c r="M1757" s="46"/>
      <c r="R1757" s="51"/>
      <c r="S1757" s="51"/>
    </row>
    <row r="1758" spans="9:19" x14ac:dyDescent="0.25">
      <c r="I1758" s="1"/>
      <c r="J1758" s="71"/>
      <c r="M1758" s="46"/>
      <c r="R1758" s="51"/>
      <c r="S1758" s="51"/>
    </row>
    <row r="1759" spans="9:19" x14ac:dyDescent="0.25">
      <c r="I1759" s="1"/>
      <c r="J1759" s="71"/>
      <c r="M1759" s="46"/>
      <c r="R1759" s="51"/>
      <c r="S1759" s="51"/>
    </row>
    <row r="1760" spans="9:19" x14ac:dyDescent="0.25">
      <c r="I1760" s="1"/>
      <c r="J1760" s="71"/>
      <c r="M1760" s="46"/>
      <c r="R1760" s="51"/>
      <c r="S1760" s="51"/>
    </row>
    <row r="1761" spans="9:19" x14ac:dyDescent="0.25">
      <c r="I1761" s="1"/>
      <c r="J1761" s="71"/>
      <c r="M1761" s="46"/>
      <c r="R1761" s="51"/>
      <c r="S1761" s="51"/>
    </row>
    <row r="1762" spans="9:19" x14ac:dyDescent="0.25">
      <c r="I1762" s="1"/>
      <c r="J1762" s="71"/>
      <c r="M1762" s="46"/>
      <c r="R1762" s="51"/>
      <c r="S1762" s="51"/>
    </row>
    <row r="1763" spans="9:19" x14ac:dyDescent="0.25">
      <c r="I1763" s="1"/>
      <c r="J1763" s="71"/>
      <c r="M1763" s="46"/>
      <c r="R1763" s="51"/>
      <c r="S1763" s="51"/>
    </row>
    <row r="1764" spans="9:19" x14ac:dyDescent="0.25">
      <c r="I1764" s="1"/>
      <c r="J1764" s="71"/>
      <c r="M1764" s="46"/>
      <c r="R1764" s="51"/>
      <c r="S1764" s="51"/>
    </row>
    <row r="1765" spans="9:19" x14ac:dyDescent="0.25">
      <c r="I1765" s="1"/>
      <c r="J1765" s="71"/>
      <c r="M1765" s="46"/>
      <c r="R1765" s="51"/>
      <c r="S1765" s="51"/>
    </row>
    <row r="1766" spans="9:19" x14ac:dyDescent="0.25">
      <c r="I1766" s="1"/>
      <c r="J1766" s="71"/>
      <c r="M1766" s="46"/>
      <c r="R1766" s="51"/>
      <c r="S1766" s="51"/>
    </row>
    <row r="1767" spans="9:19" x14ac:dyDescent="0.25">
      <c r="I1767" s="1"/>
      <c r="J1767" s="71"/>
      <c r="M1767" s="46"/>
      <c r="R1767" s="51"/>
      <c r="S1767" s="51"/>
    </row>
    <row r="1768" spans="9:19" x14ac:dyDescent="0.25">
      <c r="I1768" s="1"/>
      <c r="J1768" s="71"/>
      <c r="M1768" s="46"/>
      <c r="R1768" s="51"/>
      <c r="S1768" s="51"/>
    </row>
    <row r="1769" spans="9:19" x14ac:dyDescent="0.25">
      <c r="I1769" s="1"/>
      <c r="J1769" s="71"/>
      <c r="M1769" s="46"/>
      <c r="R1769" s="51"/>
      <c r="S1769" s="51"/>
    </row>
    <row r="1770" spans="9:19" x14ac:dyDescent="0.25">
      <c r="I1770" s="1"/>
      <c r="J1770" s="71"/>
      <c r="M1770" s="46"/>
      <c r="R1770" s="51"/>
      <c r="S1770" s="51"/>
    </row>
    <row r="1771" spans="9:19" x14ac:dyDescent="0.25">
      <c r="I1771" s="1"/>
      <c r="J1771" s="71"/>
      <c r="M1771" s="46"/>
      <c r="R1771" s="51"/>
      <c r="S1771" s="51"/>
    </row>
    <row r="1772" spans="9:19" x14ac:dyDescent="0.25">
      <c r="I1772" s="1"/>
      <c r="J1772" s="71"/>
      <c r="M1772" s="46"/>
      <c r="R1772" s="51"/>
      <c r="S1772" s="51"/>
    </row>
    <row r="1773" spans="9:19" x14ac:dyDescent="0.25">
      <c r="I1773" s="1"/>
      <c r="J1773" s="71"/>
      <c r="M1773" s="46"/>
      <c r="R1773" s="51"/>
      <c r="S1773" s="51"/>
    </row>
    <row r="1774" spans="9:19" x14ac:dyDescent="0.25">
      <c r="I1774" s="1"/>
      <c r="J1774" s="71"/>
      <c r="M1774" s="46"/>
      <c r="R1774" s="51"/>
      <c r="S1774" s="51"/>
    </row>
    <row r="1775" spans="9:19" x14ac:dyDescent="0.25">
      <c r="I1775" s="1"/>
      <c r="J1775" s="71"/>
      <c r="M1775" s="46"/>
      <c r="R1775" s="51"/>
      <c r="S1775" s="51"/>
    </row>
    <row r="1776" spans="9:19" x14ac:dyDescent="0.25">
      <c r="I1776" s="1"/>
      <c r="J1776" s="71"/>
      <c r="M1776" s="46"/>
      <c r="R1776" s="51"/>
      <c r="S1776" s="51"/>
    </row>
    <row r="1777" spans="9:19" x14ac:dyDescent="0.25">
      <c r="I1777" s="1"/>
      <c r="J1777" s="71"/>
      <c r="M1777" s="46"/>
      <c r="R1777" s="51"/>
      <c r="S1777" s="51"/>
    </row>
    <row r="1778" spans="9:19" x14ac:dyDescent="0.25">
      <c r="I1778" s="1"/>
      <c r="J1778" s="71"/>
      <c r="M1778" s="46"/>
      <c r="R1778" s="51"/>
      <c r="S1778" s="51"/>
    </row>
    <row r="1779" spans="9:19" x14ac:dyDescent="0.25">
      <c r="I1779" s="1"/>
      <c r="J1779" s="71"/>
      <c r="M1779" s="46"/>
      <c r="R1779" s="51"/>
      <c r="S1779" s="51"/>
    </row>
    <row r="1780" spans="9:19" x14ac:dyDescent="0.25">
      <c r="I1780" s="1"/>
      <c r="J1780" s="71"/>
      <c r="M1780" s="46"/>
      <c r="R1780" s="51"/>
      <c r="S1780" s="51"/>
    </row>
    <row r="1781" spans="9:19" x14ac:dyDescent="0.25">
      <c r="I1781" s="1"/>
      <c r="J1781" s="71"/>
      <c r="M1781" s="46"/>
      <c r="R1781" s="51"/>
      <c r="S1781" s="51"/>
    </row>
    <row r="1782" spans="9:19" x14ac:dyDescent="0.25">
      <c r="I1782" s="1"/>
      <c r="J1782" s="71"/>
      <c r="M1782" s="46"/>
      <c r="R1782" s="51"/>
      <c r="S1782" s="51"/>
    </row>
    <row r="1783" spans="9:19" x14ac:dyDescent="0.25">
      <c r="I1783" s="1"/>
      <c r="J1783" s="71"/>
      <c r="M1783" s="46"/>
      <c r="R1783" s="51"/>
      <c r="S1783" s="51"/>
    </row>
    <row r="1784" spans="9:19" x14ac:dyDescent="0.25">
      <c r="I1784" s="1"/>
      <c r="J1784" s="71"/>
      <c r="M1784" s="46"/>
      <c r="R1784" s="51"/>
      <c r="S1784" s="51"/>
    </row>
    <row r="1785" spans="9:19" x14ac:dyDescent="0.25">
      <c r="I1785" s="1"/>
      <c r="J1785" s="71"/>
      <c r="M1785" s="46"/>
      <c r="R1785" s="51"/>
      <c r="S1785" s="51"/>
    </row>
    <row r="1786" spans="9:19" x14ac:dyDescent="0.25">
      <c r="I1786" s="1"/>
      <c r="J1786" s="71"/>
      <c r="M1786" s="46"/>
      <c r="R1786" s="51"/>
      <c r="S1786" s="51"/>
    </row>
    <row r="1787" spans="9:19" x14ac:dyDescent="0.25">
      <c r="I1787" s="1"/>
      <c r="J1787" s="71"/>
      <c r="M1787" s="46"/>
      <c r="R1787" s="51"/>
      <c r="S1787" s="51"/>
    </row>
    <row r="1788" spans="9:19" x14ac:dyDescent="0.25">
      <c r="I1788" s="1"/>
      <c r="J1788" s="71"/>
      <c r="M1788" s="46"/>
      <c r="R1788" s="51"/>
      <c r="S1788" s="51"/>
    </row>
    <row r="1789" spans="9:19" x14ac:dyDescent="0.25">
      <c r="I1789" s="1"/>
      <c r="J1789" s="71"/>
      <c r="M1789" s="46"/>
      <c r="R1789" s="51"/>
      <c r="S1789" s="51"/>
    </row>
    <row r="1790" spans="9:19" x14ac:dyDescent="0.25">
      <c r="I1790" s="1"/>
      <c r="J1790" s="71"/>
      <c r="M1790" s="46"/>
      <c r="R1790" s="51"/>
      <c r="S1790" s="51"/>
    </row>
    <row r="1791" spans="9:19" x14ac:dyDescent="0.25">
      <c r="I1791" s="1"/>
      <c r="J1791" s="71"/>
      <c r="M1791" s="46"/>
      <c r="R1791" s="51"/>
      <c r="S1791" s="51"/>
    </row>
    <row r="1792" spans="9:19" x14ac:dyDescent="0.25">
      <c r="I1792" s="1"/>
      <c r="J1792" s="71"/>
      <c r="M1792" s="46"/>
      <c r="R1792" s="51"/>
      <c r="S1792" s="51"/>
    </row>
    <row r="1793" spans="9:19" x14ac:dyDescent="0.25">
      <c r="I1793" s="1"/>
      <c r="J1793" s="71"/>
      <c r="M1793" s="46"/>
      <c r="R1793" s="51"/>
      <c r="S1793" s="51"/>
    </row>
    <row r="1794" spans="9:19" x14ac:dyDescent="0.25">
      <c r="I1794" s="1"/>
      <c r="J1794" s="71"/>
      <c r="M1794" s="46"/>
      <c r="R1794" s="51"/>
      <c r="S1794" s="51"/>
    </row>
    <row r="1795" spans="9:19" x14ac:dyDescent="0.25">
      <c r="I1795" s="1"/>
      <c r="J1795" s="71"/>
      <c r="M1795" s="46"/>
      <c r="R1795" s="51"/>
      <c r="S1795" s="51"/>
    </row>
    <row r="1796" spans="9:19" x14ac:dyDescent="0.25">
      <c r="I1796" s="1"/>
      <c r="J1796" s="71"/>
      <c r="M1796" s="46"/>
      <c r="R1796" s="51"/>
      <c r="S1796" s="51"/>
    </row>
    <row r="1797" spans="9:19" x14ac:dyDescent="0.25">
      <c r="I1797" s="1"/>
      <c r="J1797" s="71"/>
      <c r="M1797" s="46"/>
      <c r="R1797" s="51"/>
      <c r="S1797" s="51"/>
    </row>
    <row r="1798" spans="9:19" x14ac:dyDescent="0.25">
      <c r="I1798" s="1"/>
      <c r="J1798" s="71"/>
      <c r="M1798" s="46"/>
      <c r="R1798" s="51"/>
      <c r="S1798" s="51"/>
    </row>
    <row r="1799" spans="9:19" x14ac:dyDescent="0.25">
      <c r="I1799" s="1"/>
      <c r="J1799" s="71"/>
      <c r="M1799" s="46"/>
      <c r="R1799" s="51"/>
      <c r="S1799" s="51"/>
    </row>
    <row r="1800" spans="9:19" x14ac:dyDescent="0.25">
      <c r="I1800" s="1"/>
      <c r="J1800" s="71"/>
      <c r="M1800" s="46"/>
      <c r="R1800" s="51"/>
      <c r="S1800" s="51"/>
    </row>
    <row r="1801" spans="9:19" x14ac:dyDescent="0.25">
      <c r="I1801" s="1"/>
      <c r="J1801" s="71"/>
      <c r="M1801" s="46"/>
      <c r="R1801" s="51"/>
      <c r="S1801" s="51"/>
    </row>
    <row r="1802" spans="9:19" x14ac:dyDescent="0.25">
      <c r="I1802" s="1"/>
      <c r="J1802" s="71"/>
      <c r="M1802" s="46"/>
      <c r="R1802" s="51"/>
      <c r="S1802" s="51"/>
    </row>
    <row r="1803" spans="9:19" x14ac:dyDescent="0.25">
      <c r="I1803" s="1"/>
      <c r="J1803" s="71"/>
      <c r="M1803" s="46"/>
      <c r="R1803" s="51"/>
      <c r="S1803" s="51"/>
    </row>
    <row r="1804" spans="9:19" x14ac:dyDescent="0.25">
      <c r="I1804" s="1"/>
      <c r="J1804" s="71"/>
      <c r="M1804" s="46"/>
      <c r="R1804" s="51"/>
      <c r="S1804" s="51"/>
    </row>
    <row r="1805" spans="9:19" x14ac:dyDescent="0.25">
      <c r="I1805" s="1"/>
      <c r="J1805" s="71"/>
      <c r="M1805" s="46"/>
      <c r="R1805" s="51"/>
      <c r="S1805" s="51"/>
    </row>
    <row r="1806" spans="9:19" x14ac:dyDescent="0.25">
      <c r="I1806" s="1"/>
      <c r="J1806" s="71"/>
      <c r="M1806" s="46"/>
      <c r="R1806" s="51"/>
      <c r="S1806" s="51"/>
    </row>
    <row r="1807" spans="9:19" x14ac:dyDescent="0.25">
      <c r="I1807" s="1"/>
      <c r="J1807" s="71"/>
      <c r="M1807" s="46"/>
      <c r="R1807" s="51"/>
      <c r="S1807" s="51"/>
    </row>
    <row r="1808" spans="9:19" x14ac:dyDescent="0.25">
      <c r="I1808" s="1"/>
      <c r="J1808" s="71"/>
      <c r="M1808" s="46"/>
      <c r="R1808" s="51"/>
      <c r="S1808" s="51"/>
    </row>
    <row r="1809" spans="9:19" x14ac:dyDescent="0.25">
      <c r="I1809" s="1"/>
      <c r="J1809" s="71"/>
      <c r="M1809" s="46"/>
      <c r="R1809" s="51"/>
      <c r="S1809" s="51"/>
    </row>
    <row r="1810" spans="9:19" x14ac:dyDescent="0.25">
      <c r="I1810" s="1"/>
      <c r="J1810" s="71"/>
      <c r="M1810" s="46"/>
      <c r="R1810" s="51"/>
      <c r="S1810" s="51"/>
    </row>
    <row r="1811" spans="9:19" x14ac:dyDescent="0.25">
      <c r="I1811" s="1"/>
      <c r="J1811" s="71"/>
      <c r="M1811" s="46"/>
      <c r="R1811" s="51"/>
      <c r="S1811" s="51"/>
    </row>
    <row r="1812" spans="9:19" x14ac:dyDescent="0.25">
      <c r="I1812" s="1"/>
      <c r="J1812" s="71"/>
      <c r="M1812" s="46"/>
      <c r="R1812" s="51"/>
      <c r="S1812" s="51"/>
    </row>
    <row r="1813" spans="9:19" x14ac:dyDescent="0.25">
      <c r="I1813" s="1"/>
      <c r="J1813" s="71"/>
      <c r="M1813" s="46"/>
      <c r="R1813" s="51"/>
      <c r="S1813" s="51"/>
    </row>
    <row r="1814" spans="9:19" x14ac:dyDescent="0.25">
      <c r="I1814" s="1"/>
      <c r="J1814" s="71"/>
      <c r="M1814" s="46"/>
      <c r="R1814" s="51"/>
      <c r="S1814" s="51"/>
    </row>
    <row r="1815" spans="9:19" x14ac:dyDescent="0.25">
      <c r="I1815" s="1"/>
      <c r="J1815" s="71"/>
      <c r="M1815" s="46"/>
      <c r="R1815" s="51"/>
      <c r="S1815" s="51"/>
    </row>
    <row r="1816" spans="9:19" x14ac:dyDescent="0.25">
      <c r="I1816" s="1"/>
      <c r="J1816" s="71"/>
      <c r="M1816" s="46"/>
      <c r="R1816" s="51"/>
      <c r="S1816" s="51"/>
    </row>
    <row r="1817" spans="9:19" x14ac:dyDescent="0.25">
      <c r="I1817" s="1"/>
      <c r="J1817" s="71"/>
      <c r="M1817" s="46"/>
      <c r="R1817" s="51"/>
      <c r="S1817" s="51"/>
    </row>
    <row r="1818" spans="9:19" x14ac:dyDescent="0.25">
      <c r="I1818" s="1"/>
      <c r="J1818" s="71"/>
      <c r="M1818" s="46"/>
      <c r="R1818" s="51"/>
      <c r="S1818" s="51"/>
    </row>
    <row r="1819" spans="9:19" x14ac:dyDescent="0.25">
      <c r="I1819" s="1"/>
      <c r="J1819" s="71"/>
      <c r="M1819" s="46"/>
      <c r="R1819" s="51"/>
      <c r="S1819" s="51"/>
    </row>
    <row r="1820" spans="9:19" x14ac:dyDescent="0.25">
      <c r="I1820" s="1"/>
      <c r="J1820" s="71"/>
      <c r="M1820" s="46"/>
      <c r="R1820" s="51"/>
      <c r="S1820" s="51"/>
    </row>
    <row r="1821" spans="9:19" x14ac:dyDescent="0.25">
      <c r="I1821" s="1"/>
      <c r="J1821" s="71"/>
      <c r="M1821" s="46"/>
      <c r="R1821" s="51"/>
      <c r="S1821" s="51"/>
    </row>
    <row r="1822" spans="9:19" x14ac:dyDescent="0.25">
      <c r="I1822" s="1"/>
      <c r="J1822" s="71"/>
      <c r="M1822" s="46"/>
      <c r="R1822" s="51"/>
      <c r="S1822" s="51"/>
    </row>
    <row r="1823" spans="9:19" x14ac:dyDescent="0.25">
      <c r="I1823" s="1"/>
      <c r="J1823" s="71"/>
      <c r="M1823" s="46"/>
      <c r="R1823" s="51"/>
      <c r="S1823" s="51"/>
    </row>
    <row r="1824" spans="9:19" x14ac:dyDescent="0.25">
      <c r="I1824" s="1"/>
      <c r="J1824" s="71"/>
      <c r="M1824" s="46"/>
      <c r="R1824" s="51"/>
      <c r="S1824" s="51"/>
    </row>
    <row r="1825" spans="9:19" x14ac:dyDescent="0.25">
      <c r="I1825" s="1"/>
      <c r="J1825" s="71"/>
      <c r="M1825" s="46"/>
      <c r="R1825" s="51"/>
      <c r="S1825" s="51"/>
    </row>
    <row r="1826" spans="9:19" x14ac:dyDescent="0.25">
      <c r="I1826" s="1"/>
      <c r="J1826" s="71"/>
      <c r="M1826" s="46"/>
      <c r="R1826" s="51"/>
      <c r="S1826" s="51"/>
    </row>
    <row r="1827" spans="9:19" x14ac:dyDescent="0.25">
      <c r="I1827" s="1"/>
      <c r="J1827" s="71"/>
      <c r="M1827" s="46"/>
      <c r="R1827" s="51"/>
      <c r="S1827" s="51"/>
    </row>
    <row r="1828" spans="9:19" x14ac:dyDescent="0.25">
      <c r="I1828" s="1"/>
      <c r="J1828" s="71"/>
      <c r="M1828" s="46"/>
      <c r="R1828" s="51"/>
      <c r="S1828" s="51"/>
    </row>
    <row r="1829" spans="9:19" x14ac:dyDescent="0.25">
      <c r="I1829" s="1"/>
      <c r="J1829" s="71"/>
      <c r="M1829" s="46"/>
      <c r="R1829" s="51"/>
      <c r="S1829" s="51"/>
    </row>
    <row r="1830" spans="9:19" x14ac:dyDescent="0.25">
      <c r="I1830" s="1"/>
      <c r="J1830" s="71"/>
      <c r="M1830" s="46"/>
      <c r="R1830" s="51"/>
      <c r="S1830" s="51"/>
    </row>
    <row r="1831" spans="9:19" x14ac:dyDescent="0.25">
      <c r="I1831" s="1"/>
      <c r="J1831" s="71"/>
      <c r="M1831" s="46"/>
      <c r="R1831" s="51"/>
      <c r="S1831" s="51"/>
    </row>
    <row r="1832" spans="9:19" x14ac:dyDescent="0.25">
      <c r="I1832" s="1"/>
      <c r="J1832" s="71"/>
      <c r="M1832" s="46"/>
      <c r="R1832" s="51"/>
      <c r="S1832" s="51"/>
    </row>
    <row r="1833" spans="9:19" x14ac:dyDescent="0.25">
      <c r="I1833" s="1"/>
      <c r="J1833" s="71"/>
      <c r="M1833" s="46"/>
      <c r="R1833" s="51"/>
      <c r="S1833" s="51"/>
    </row>
    <row r="1834" spans="9:19" x14ac:dyDescent="0.25">
      <c r="I1834" s="1"/>
      <c r="J1834" s="71"/>
      <c r="M1834" s="46"/>
      <c r="R1834" s="51"/>
      <c r="S1834" s="51"/>
    </row>
    <row r="1835" spans="9:19" x14ac:dyDescent="0.25">
      <c r="I1835" s="1"/>
      <c r="J1835" s="71"/>
      <c r="M1835" s="46"/>
      <c r="R1835" s="51"/>
      <c r="S1835" s="51"/>
    </row>
    <row r="1836" spans="9:19" x14ac:dyDescent="0.25">
      <c r="I1836" s="1"/>
      <c r="J1836" s="71"/>
      <c r="M1836" s="46"/>
      <c r="R1836" s="51"/>
      <c r="S1836" s="51"/>
    </row>
    <row r="1837" spans="9:19" x14ac:dyDescent="0.25">
      <c r="I1837" s="1"/>
      <c r="J1837" s="71"/>
      <c r="M1837" s="46"/>
      <c r="R1837" s="51"/>
      <c r="S1837" s="51"/>
    </row>
    <row r="1838" spans="9:19" x14ac:dyDescent="0.25">
      <c r="I1838" s="1"/>
      <c r="J1838" s="71"/>
      <c r="M1838" s="46"/>
      <c r="R1838" s="51"/>
      <c r="S1838" s="51"/>
    </row>
    <row r="1839" spans="9:19" x14ac:dyDescent="0.25">
      <c r="I1839" s="1"/>
      <c r="J1839" s="71"/>
      <c r="M1839" s="46"/>
      <c r="R1839" s="51"/>
      <c r="S1839" s="51"/>
    </row>
    <row r="1840" spans="9:19" x14ac:dyDescent="0.25">
      <c r="I1840" s="1"/>
      <c r="J1840" s="71"/>
      <c r="M1840" s="46"/>
      <c r="R1840" s="51"/>
      <c r="S1840" s="51"/>
    </row>
    <row r="1841" spans="9:19" x14ac:dyDescent="0.25">
      <c r="I1841" s="1"/>
      <c r="J1841" s="71"/>
      <c r="M1841" s="46"/>
      <c r="R1841" s="51"/>
      <c r="S1841" s="51"/>
    </row>
    <row r="1842" spans="9:19" x14ac:dyDescent="0.25">
      <c r="I1842" s="1"/>
      <c r="J1842" s="71"/>
      <c r="M1842" s="46"/>
      <c r="R1842" s="51"/>
      <c r="S1842" s="51"/>
    </row>
    <row r="1843" spans="9:19" x14ac:dyDescent="0.25">
      <c r="I1843" s="1"/>
      <c r="J1843" s="71"/>
      <c r="M1843" s="46"/>
      <c r="R1843" s="51"/>
      <c r="S1843" s="51"/>
    </row>
    <row r="1844" spans="9:19" x14ac:dyDescent="0.25">
      <c r="I1844" s="1"/>
      <c r="J1844" s="71"/>
      <c r="M1844" s="46"/>
      <c r="R1844" s="51"/>
      <c r="S1844" s="51"/>
    </row>
    <row r="1845" spans="9:19" x14ac:dyDescent="0.25">
      <c r="I1845" s="1"/>
      <c r="J1845" s="71"/>
      <c r="M1845" s="46"/>
      <c r="R1845" s="51"/>
      <c r="S1845" s="51"/>
    </row>
    <row r="1846" spans="9:19" x14ac:dyDescent="0.25">
      <c r="I1846" s="1"/>
      <c r="J1846" s="71"/>
      <c r="M1846" s="46"/>
      <c r="R1846" s="51"/>
      <c r="S1846" s="51"/>
    </row>
    <row r="1847" spans="9:19" x14ac:dyDescent="0.25">
      <c r="I1847" s="1"/>
      <c r="J1847" s="71"/>
      <c r="M1847" s="46"/>
      <c r="R1847" s="51"/>
      <c r="S1847" s="51"/>
    </row>
    <row r="1848" spans="9:19" x14ac:dyDescent="0.25">
      <c r="I1848" s="1"/>
      <c r="J1848" s="71"/>
      <c r="M1848" s="46"/>
      <c r="R1848" s="51"/>
      <c r="S1848" s="51"/>
    </row>
    <row r="1849" spans="9:19" x14ac:dyDescent="0.25">
      <c r="I1849" s="1"/>
      <c r="J1849" s="71"/>
      <c r="M1849" s="46"/>
      <c r="R1849" s="51"/>
      <c r="S1849" s="51"/>
    </row>
    <row r="1850" spans="9:19" x14ac:dyDescent="0.25">
      <c r="I1850" s="1"/>
      <c r="J1850" s="71"/>
      <c r="M1850" s="46"/>
      <c r="R1850" s="51"/>
      <c r="S1850" s="51"/>
    </row>
    <row r="1851" spans="9:19" x14ac:dyDescent="0.25">
      <c r="I1851" s="1"/>
      <c r="J1851" s="71"/>
      <c r="M1851" s="46"/>
      <c r="R1851" s="51"/>
      <c r="S1851" s="51"/>
    </row>
    <row r="1852" spans="9:19" x14ac:dyDescent="0.25">
      <c r="I1852" s="1"/>
      <c r="J1852" s="71"/>
      <c r="M1852" s="46"/>
      <c r="R1852" s="51"/>
      <c r="S1852" s="51"/>
    </row>
    <row r="1853" spans="9:19" x14ac:dyDescent="0.25">
      <c r="I1853" s="1"/>
      <c r="J1853" s="71"/>
      <c r="M1853" s="46"/>
      <c r="R1853" s="51"/>
      <c r="S1853" s="51"/>
    </row>
    <row r="1854" spans="9:19" x14ac:dyDescent="0.25">
      <c r="I1854" s="1"/>
      <c r="J1854" s="71"/>
      <c r="M1854" s="46"/>
      <c r="R1854" s="51"/>
      <c r="S1854" s="51"/>
    </row>
    <row r="1855" spans="9:19" x14ac:dyDescent="0.25">
      <c r="I1855" s="1"/>
      <c r="J1855" s="71"/>
      <c r="M1855" s="46"/>
      <c r="R1855" s="51"/>
      <c r="S1855" s="51"/>
    </row>
    <row r="1856" spans="9:19" x14ac:dyDescent="0.25">
      <c r="I1856" s="1"/>
      <c r="J1856" s="71"/>
      <c r="M1856" s="46"/>
      <c r="R1856" s="51"/>
      <c r="S1856" s="51"/>
    </row>
    <row r="1857" spans="9:19" x14ac:dyDescent="0.25">
      <c r="I1857" s="1"/>
      <c r="J1857" s="71"/>
      <c r="M1857" s="46"/>
      <c r="R1857" s="51"/>
      <c r="S1857" s="51"/>
    </row>
    <row r="1858" spans="9:19" x14ac:dyDescent="0.25">
      <c r="I1858" s="1"/>
      <c r="J1858" s="71"/>
      <c r="M1858" s="46"/>
      <c r="R1858" s="51"/>
      <c r="S1858" s="51"/>
    </row>
    <row r="1859" spans="9:19" x14ac:dyDescent="0.25">
      <c r="I1859" s="1"/>
      <c r="J1859" s="71"/>
      <c r="M1859" s="46"/>
      <c r="R1859" s="51"/>
      <c r="S1859" s="51"/>
    </row>
    <row r="1860" spans="9:19" x14ac:dyDescent="0.25">
      <c r="I1860" s="1"/>
      <c r="J1860" s="71"/>
      <c r="M1860" s="46"/>
      <c r="R1860" s="51"/>
      <c r="S1860" s="51"/>
    </row>
    <row r="1861" spans="9:19" x14ac:dyDescent="0.25">
      <c r="I1861" s="1"/>
      <c r="J1861" s="71"/>
      <c r="M1861" s="46"/>
      <c r="R1861" s="51"/>
      <c r="S1861" s="51"/>
    </row>
    <row r="1862" spans="9:19" x14ac:dyDescent="0.25">
      <c r="I1862" s="1"/>
      <c r="J1862" s="71"/>
      <c r="M1862" s="46"/>
      <c r="R1862" s="51"/>
      <c r="S1862" s="51"/>
    </row>
    <row r="1863" spans="9:19" x14ac:dyDescent="0.25">
      <c r="I1863" s="1"/>
      <c r="J1863" s="71"/>
      <c r="M1863" s="46"/>
      <c r="R1863" s="51"/>
      <c r="S1863" s="51"/>
    </row>
    <row r="1864" spans="9:19" x14ac:dyDescent="0.25">
      <c r="I1864" s="1"/>
      <c r="J1864" s="71"/>
      <c r="M1864" s="46"/>
      <c r="R1864" s="51"/>
      <c r="S1864" s="51"/>
    </row>
    <row r="1865" spans="9:19" x14ac:dyDescent="0.25">
      <c r="I1865" s="1"/>
      <c r="J1865" s="71"/>
      <c r="M1865" s="46"/>
      <c r="R1865" s="51"/>
      <c r="S1865" s="51"/>
    </row>
    <row r="1866" spans="9:19" x14ac:dyDescent="0.25">
      <c r="I1866" s="1"/>
      <c r="J1866" s="71"/>
      <c r="M1866" s="46"/>
      <c r="R1866" s="51"/>
      <c r="S1866" s="51"/>
    </row>
    <row r="1867" spans="9:19" x14ac:dyDescent="0.25">
      <c r="I1867" s="1"/>
      <c r="J1867" s="71"/>
      <c r="M1867" s="46"/>
      <c r="R1867" s="51"/>
      <c r="S1867" s="51"/>
    </row>
    <row r="1868" spans="9:19" x14ac:dyDescent="0.25">
      <c r="I1868" s="1"/>
      <c r="J1868" s="71"/>
      <c r="M1868" s="46"/>
      <c r="R1868" s="51"/>
      <c r="S1868" s="51"/>
    </row>
    <row r="1869" spans="9:19" x14ac:dyDescent="0.25">
      <c r="I1869" s="1"/>
      <c r="J1869" s="71"/>
      <c r="M1869" s="46"/>
      <c r="R1869" s="51"/>
      <c r="S1869" s="51"/>
    </row>
    <row r="1870" spans="9:19" x14ac:dyDescent="0.25">
      <c r="I1870" s="1"/>
      <c r="J1870" s="71"/>
      <c r="M1870" s="46"/>
      <c r="R1870" s="51"/>
      <c r="S1870" s="51"/>
    </row>
    <row r="1871" spans="9:19" x14ac:dyDescent="0.25">
      <c r="I1871" s="1"/>
      <c r="J1871" s="71"/>
      <c r="M1871" s="46"/>
      <c r="R1871" s="51"/>
      <c r="S1871" s="51"/>
    </row>
    <row r="1872" spans="9:19" x14ac:dyDescent="0.25">
      <c r="I1872" s="1"/>
      <c r="J1872" s="71"/>
      <c r="M1872" s="46"/>
      <c r="R1872" s="51"/>
      <c r="S1872" s="51"/>
    </row>
    <row r="1873" spans="9:19" x14ac:dyDescent="0.25">
      <c r="I1873" s="1"/>
      <c r="J1873" s="71"/>
      <c r="M1873" s="46"/>
      <c r="R1873" s="51"/>
      <c r="S1873" s="51"/>
    </row>
    <row r="1874" spans="9:19" x14ac:dyDescent="0.25">
      <c r="I1874" s="1"/>
      <c r="J1874" s="71"/>
      <c r="M1874" s="46"/>
      <c r="R1874" s="51"/>
      <c r="S1874" s="51"/>
    </row>
    <row r="1875" spans="9:19" x14ac:dyDescent="0.25">
      <c r="I1875" s="1"/>
      <c r="J1875" s="71"/>
      <c r="M1875" s="46"/>
      <c r="R1875" s="51"/>
      <c r="S1875" s="51"/>
    </row>
    <row r="1876" spans="9:19" x14ac:dyDescent="0.25">
      <c r="I1876" s="1"/>
      <c r="J1876" s="71"/>
      <c r="M1876" s="46"/>
      <c r="R1876" s="51"/>
      <c r="S1876" s="51"/>
    </row>
    <row r="1877" spans="9:19" x14ac:dyDescent="0.25">
      <c r="I1877" s="1"/>
      <c r="J1877" s="71"/>
      <c r="M1877" s="46"/>
      <c r="R1877" s="51"/>
      <c r="S1877" s="51"/>
    </row>
    <row r="1878" spans="9:19" x14ac:dyDescent="0.25">
      <c r="I1878" s="1"/>
      <c r="J1878" s="71"/>
      <c r="M1878" s="46"/>
      <c r="R1878" s="51"/>
      <c r="S1878" s="51"/>
    </row>
    <row r="1879" spans="9:19" x14ac:dyDescent="0.25">
      <c r="I1879" s="1"/>
      <c r="J1879" s="71"/>
      <c r="M1879" s="46"/>
      <c r="R1879" s="51"/>
      <c r="S1879" s="51"/>
    </row>
    <row r="1880" spans="9:19" x14ac:dyDescent="0.25">
      <c r="I1880" s="1"/>
      <c r="J1880" s="71"/>
      <c r="M1880" s="46"/>
      <c r="R1880" s="51"/>
      <c r="S1880" s="51"/>
    </row>
    <row r="1881" spans="9:19" x14ac:dyDescent="0.25">
      <c r="I1881" s="1"/>
      <c r="J1881" s="71"/>
      <c r="M1881" s="46"/>
      <c r="R1881" s="51"/>
      <c r="S1881" s="51"/>
    </row>
    <row r="1882" spans="9:19" x14ac:dyDescent="0.25">
      <c r="I1882" s="1"/>
      <c r="J1882" s="71"/>
      <c r="M1882" s="46"/>
      <c r="R1882" s="51"/>
      <c r="S1882" s="51"/>
    </row>
    <row r="1883" spans="9:19" x14ac:dyDescent="0.25">
      <c r="I1883" s="1"/>
      <c r="J1883" s="71"/>
      <c r="M1883" s="46"/>
      <c r="R1883" s="51"/>
      <c r="S1883" s="51"/>
    </row>
    <row r="1884" spans="9:19" x14ac:dyDescent="0.25">
      <c r="I1884" s="1"/>
      <c r="J1884" s="71"/>
      <c r="M1884" s="46"/>
      <c r="R1884" s="51"/>
      <c r="S1884" s="51"/>
    </row>
    <row r="1885" spans="9:19" x14ac:dyDescent="0.25">
      <c r="I1885" s="1"/>
      <c r="J1885" s="71"/>
      <c r="M1885" s="46"/>
      <c r="R1885" s="51"/>
      <c r="S1885" s="51"/>
    </row>
    <row r="1886" spans="9:19" x14ac:dyDescent="0.25">
      <c r="I1886" s="1"/>
      <c r="J1886" s="71"/>
      <c r="M1886" s="46"/>
      <c r="R1886" s="51"/>
      <c r="S1886" s="51"/>
    </row>
    <row r="1887" spans="9:19" x14ac:dyDescent="0.25">
      <c r="I1887" s="1"/>
      <c r="J1887" s="71"/>
      <c r="M1887" s="46"/>
      <c r="R1887" s="51"/>
      <c r="S1887" s="51"/>
    </row>
    <row r="1888" spans="9:19" x14ac:dyDescent="0.25">
      <c r="I1888" s="1"/>
      <c r="J1888" s="71"/>
      <c r="M1888" s="46"/>
      <c r="R1888" s="51"/>
      <c r="S1888" s="51"/>
    </row>
    <row r="1889" spans="9:19" x14ac:dyDescent="0.25">
      <c r="I1889" s="1"/>
      <c r="J1889" s="71"/>
      <c r="M1889" s="46"/>
      <c r="R1889" s="51"/>
      <c r="S1889" s="51"/>
    </row>
    <row r="1890" spans="9:19" x14ac:dyDescent="0.25">
      <c r="I1890" s="1"/>
      <c r="J1890" s="71"/>
      <c r="M1890" s="46"/>
      <c r="R1890" s="51"/>
      <c r="S1890" s="51"/>
    </row>
    <row r="1891" spans="9:19" x14ac:dyDescent="0.25">
      <c r="I1891" s="1"/>
      <c r="J1891" s="71"/>
      <c r="M1891" s="46"/>
      <c r="R1891" s="51"/>
      <c r="S1891" s="51"/>
    </row>
    <row r="1892" spans="9:19" x14ac:dyDescent="0.25">
      <c r="I1892" s="1"/>
      <c r="J1892" s="71"/>
      <c r="M1892" s="46"/>
      <c r="R1892" s="51"/>
      <c r="S1892" s="51"/>
    </row>
    <row r="1893" spans="9:19" x14ac:dyDescent="0.25">
      <c r="I1893" s="1"/>
      <c r="J1893" s="71"/>
      <c r="M1893" s="46"/>
      <c r="R1893" s="51"/>
      <c r="S1893" s="51"/>
    </row>
    <row r="1894" spans="9:19" x14ac:dyDescent="0.25">
      <c r="I1894" s="1"/>
      <c r="J1894" s="71"/>
      <c r="M1894" s="46"/>
      <c r="R1894" s="51"/>
      <c r="S1894" s="51"/>
    </row>
    <row r="1895" spans="9:19" x14ac:dyDescent="0.25">
      <c r="I1895" s="1"/>
      <c r="J1895" s="71"/>
      <c r="M1895" s="46"/>
      <c r="R1895" s="51"/>
      <c r="S1895" s="51"/>
    </row>
    <row r="1896" spans="9:19" x14ac:dyDescent="0.25">
      <c r="I1896" s="1"/>
      <c r="J1896" s="71"/>
      <c r="M1896" s="46"/>
      <c r="R1896" s="51"/>
      <c r="S1896" s="51"/>
    </row>
    <row r="1897" spans="9:19" x14ac:dyDescent="0.25">
      <c r="I1897" s="1"/>
      <c r="J1897" s="71"/>
      <c r="M1897" s="46"/>
      <c r="R1897" s="51"/>
      <c r="S1897" s="51"/>
    </row>
    <row r="1898" spans="9:19" x14ac:dyDescent="0.25">
      <c r="I1898" s="1"/>
      <c r="J1898" s="71"/>
      <c r="M1898" s="46"/>
      <c r="R1898" s="51"/>
      <c r="S1898" s="51"/>
    </row>
    <row r="1899" spans="9:19" x14ac:dyDescent="0.25">
      <c r="I1899" s="1"/>
      <c r="J1899" s="71"/>
      <c r="M1899" s="46"/>
      <c r="R1899" s="51"/>
      <c r="S1899" s="51"/>
    </row>
    <row r="1900" spans="9:19" x14ac:dyDescent="0.25">
      <c r="I1900" s="1"/>
      <c r="J1900" s="71"/>
      <c r="M1900" s="46"/>
      <c r="R1900" s="51"/>
      <c r="S1900" s="51"/>
    </row>
    <row r="1901" spans="9:19" x14ac:dyDescent="0.25">
      <c r="I1901" s="1"/>
      <c r="J1901" s="71"/>
      <c r="M1901" s="46"/>
      <c r="R1901" s="51"/>
      <c r="S1901" s="51"/>
    </row>
    <row r="1902" spans="9:19" x14ac:dyDescent="0.25">
      <c r="I1902" s="1"/>
      <c r="J1902" s="71"/>
      <c r="M1902" s="46"/>
      <c r="R1902" s="51"/>
      <c r="S1902" s="51"/>
    </row>
    <row r="1903" spans="9:19" x14ac:dyDescent="0.25">
      <c r="I1903" s="1"/>
      <c r="J1903" s="71"/>
      <c r="M1903" s="46"/>
      <c r="R1903" s="51"/>
      <c r="S1903" s="51"/>
    </row>
    <row r="1904" spans="9:19" x14ac:dyDescent="0.25">
      <c r="I1904" s="1"/>
      <c r="J1904" s="71"/>
      <c r="M1904" s="46"/>
      <c r="R1904" s="51"/>
      <c r="S1904" s="51"/>
    </row>
    <row r="1905" spans="9:19" x14ac:dyDescent="0.25">
      <c r="I1905" s="1"/>
      <c r="J1905" s="71"/>
      <c r="M1905" s="46"/>
      <c r="R1905" s="51"/>
      <c r="S1905" s="51"/>
    </row>
    <row r="1906" spans="9:19" x14ac:dyDescent="0.25">
      <c r="I1906" s="1"/>
      <c r="J1906" s="71"/>
      <c r="M1906" s="46"/>
      <c r="R1906" s="51"/>
      <c r="S1906" s="51"/>
    </row>
    <row r="1907" spans="9:19" x14ac:dyDescent="0.25">
      <c r="I1907" s="1"/>
      <c r="J1907" s="71"/>
      <c r="M1907" s="46"/>
      <c r="R1907" s="51"/>
      <c r="S1907" s="51"/>
    </row>
    <row r="1908" spans="9:19" x14ac:dyDescent="0.25">
      <c r="I1908" s="1"/>
      <c r="J1908" s="71"/>
      <c r="M1908" s="46"/>
      <c r="R1908" s="51"/>
      <c r="S1908" s="51"/>
    </row>
    <row r="1909" spans="9:19" x14ac:dyDescent="0.25">
      <c r="I1909" s="1"/>
      <c r="J1909" s="71"/>
      <c r="M1909" s="46"/>
      <c r="R1909" s="51"/>
      <c r="S1909" s="51"/>
    </row>
    <row r="1910" spans="9:19" x14ac:dyDescent="0.25">
      <c r="I1910" s="1"/>
      <c r="J1910" s="71"/>
      <c r="M1910" s="46"/>
      <c r="R1910" s="51"/>
      <c r="S1910" s="51"/>
    </row>
    <row r="1911" spans="9:19" x14ac:dyDescent="0.25">
      <c r="I1911" s="1"/>
      <c r="J1911" s="71"/>
      <c r="M1911" s="46"/>
      <c r="R1911" s="51"/>
      <c r="S1911" s="51"/>
    </row>
    <row r="1912" spans="9:19" x14ac:dyDescent="0.25">
      <c r="I1912" s="1"/>
      <c r="J1912" s="71"/>
      <c r="M1912" s="46"/>
      <c r="R1912" s="51"/>
      <c r="S1912" s="51"/>
    </row>
    <row r="1913" spans="9:19" x14ac:dyDescent="0.25">
      <c r="I1913" s="1"/>
      <c r="J1913" s="71"/>
      <c r="M1913" s="46"/>
      <c r="R1913" s="51"/>
      <c r="S1913" s="51"/>
    </row>
    <row r="1914" spans="9:19" x14ac:dyDescent="0.25">
      <c r="I1914" s="1"/>
      <c r="J1914" s="71"/>
      <c r="M1914" s="46"/>
      <c r="R1914" s="51"/>
      <c r="S1914" s="51"/>
    </row>
    <row r="1915" spans="9:19" x14ac:dyDescent="0.25">
      <c r="I1915" s="1"/>
      <c r="J1915" s="71"/>
      <c r="M1915" s="46"/>
      <c r="R1915" s="51"/>
      <c r="S1915" s="51"/>
    </row>
    <row r="1916" spans="9:19" x14ac:dyDescent="0.25">
      <c r="I1916" s="1"/>
      <c r="J1916" s="71"/>
      <c r="M1916" s="46"/>
      <c r="R1916" s="51"/>
      <c r="S1916" s="51"/>
    </row>
    <row r="1917" spans="9:19" x14ac:dyDescent="0.25">
      <c r="I1917" s="1"/>
      <c r="J1917" s="71"/>
      <c r="M1917" s="46"/>
      <c r="R1917" s="51"/>
      <c r="S1917" s="51"/>
    </row>
    <row r="1918" spans="9:19" x14ac:dyDescent="0.25">
      <c r="I1918" s="1"/>
      <c r="J1918" s="71"/>
      <c r="M1918" s="46"/>
      <c r="R1918" s="51"/>
      <c r="S1918" s="51"/>
    </row>
    <row r="1919" spans="9:19" x14ac:dyDescent="0.25">
      <c r="I1919" s="1"/>
      <c r="J1919" s="71"/>
      <c r="M1919" s="46"/>
      <c r="R1919" s="51"/>
      <c r="S1919" s="51"/>
    </row>
    <row r="1920" spans="9:19" x14ac:dyDescent="0.25">
      <c r="I1920" s="1"/>
      <c r="J1920" s="71"/>
      <c r="M1920" s="46"/>
      <c r="R1920" s="51"/>
      <c r="S1920" s="51"/>
    </row>
    <row r="1921" spans="9:19" x14ac:dyDescent="0.25">
      <c r="I1921" s="1"/>
      <c r="J1921" s="71"/>
      <c r="M1921" s="46"/>
      <c r="R1921" s="51"/>
      <c r="S1921" s="51"/>
    </row>
    <row r="1922" spans="9:19" x14ac:dyDescent="0.25">
      <c r="I1922" s="1"/>
      <c r="J1922" s="71"/>
      <c r="M1922" s="46"/>
      <c r="R1922" s="51"/>
      <c r="S1922" s="51"/>
    </row>
    <row r="1923" spans="9:19" x14ac:dyDescent="0.25">
      <c r="I1923" s="1"/>
      <c r="J1923" s="71"/>
      <c r="M1923" s="46"/>
      <c r="R1923" s="51"/>
      <c r="S1923" s="51"/>
    </row>
    <row r="1924" spans="9:19" x14ac:dyDescent="0.25">
      <c r="I1924" s="1"/>
      <c r="J1924" s="71"/>
      <c r="M1924" s="46"/>
      <c r="R1924" s="51"/>
      <c r="S1924" s="51"/>
    </row>
    <row r="1925" spans="9:19" x14ac:dyDescent="0.25">
      <c r="I1925" s="1"/>
      <c r="J1925" s="71"/>
      <c r="M1925" s="46"/>
      <c r="R1925" s="51"/>
      <c r="S1925" s="51"/>
    </row>
    <row r="1926" spans="9:19" x14ac:dyDescent="0.25">
      <c r="I1926" s="1"/>
      <c r="J1926" s="71"/>
      <c r="M1926" s="46"/>
      <c r="R1926" s="51"/>
      <c r="S1926" s="51"/>
    </row>
    <row r="1927" spans="9:19" x14ac:dyDescent="0.25">
      <c r="I1927" s="1"/>
      <c r="J1927" s="71"/>
      <c r="M1927" s="46"/>
      <c r="R1927" s="51"/>
      <c r="S1927" s="51"/>
    </row>
    <row r="1928" spans="9:19" x14ac:dyDescent="0.25">
      <c r="I1928" s="1"/>
      <c r="J1928" s="71"/>
      <c r="M1928" s="46"/>
      <c r="R1928" s="51"/>
      <c r="S1928" s="51"/>
    </row>
    <row r="1929" spans="9:19" x14ac:dyDescent="0.25">
      <c r="I1929" s="1"/>
      <c r="J1929" s="71"/>
      <c r="M1929" s="46"/>
      <c r="R1929" s="51"/>
      <c r="S1929" s="51"/>
    </row>
    <row r="1930" spans="9:19" x14ac:dyDescent="0.25">
      <c r="I1930" s="1"/>
      <c r="J1930" s="71"/>
      <c r="M1930" s="46"/>
      <c r="R1930" s="51"/>
      <c r="S1930" s="51"/>
    </row>
    <row r="1931" spans="9:19" x14ac:dyDescent="0.25">
      <c r="I1931" s="1"/>
      <c r="J1931" s="71"/>
      <c r="M1931" s="46"/>
      <c r="R1931" s="51"/>
      <c r="S1931" s="51"/>
    </row>
    <row r="1932" spans="9:19" x14ac:dyDescent="0.25">
      <c r="I1932" s="1"/>
      <c r="J1932" s="71"/>
      <c r="M1932" s="46"/>
      <c r="R1932" s="51"/>
      <c r="S1932" s="51"/>
    </row>
    <row r="1933" spans="9:19" x14ac:dyDescent="0.25">
      <c r="I1933" s="1"/>
      <c r="J1933" s="71"/>
      <c r="M1933" s="46"/>
      <c r="R1933" s="51"/>
      <c r="S1933" s="51"/>
    </row>
    <row r="1934" spans="9:19" x14ac:dyDescent="0.25">
      <c r="I1934" s="1"/>
      <c r="J1934" s="71"/>
      <c r="M1934" s="46"/>
      <c r="R1934" s="51"/>
      <c r="S1934" s="51"/>
    </row>
    <row r="1935" spans="9:19" x14ac:dyDescent="0.25">
      <c r="I1935" s="1"/>
      <c r="J1935" s="71"/>
      <c r="M1935" s="46"/>
      <c r="R1935" s="51"/>
      <c r="S1935" s="51"/>
    </row>
    <row r="1936" spans="9:19" x14ac:dyDescent="0.25">
      <c r="I1936" s="1"/>
      <c r="J1936" s="71"/>
      <c r="M1936" s="46"/>
      <c r="R1936" s="51"/>
      <c r="S1936" s="51"/>
    </row>
    <row r="1937" spans="9:19" x14ac:dyDescent="0.25">
      <c r="I1937" s="1"/>
      <c r="J1937" s="71"/>
      <c r="M1937" s="46"/>
      <c r="R1937" s="51"/>
      <c r="S1937" s="51"/>
    </row>
    <row r="1938" spans="9:19" x14ac:dyDescent="0.25">
      <c r="I1938" s="1"/>
      <c r="J1938" s="71"/>
      <c r="M1938" s="46"/>
      <c r="R1938" s="51"/>
      <c r="S1938" s="51"/>
    </row>
    <row r="1939" spans="9:19" x14ac:dyDescent="0.25">
      <c r="I1939" s="1"/>
      <c r="J1939" s="71"/>
      <c r="M1939" s="46"/>
      <c r="R1939" s="51"/>
      <c r="S1939" s="51"/>
    </row>
    <row r="1940" spans="9:19" x14ac:dyDescent="0.25">
      <c r="I1940" s="1"/>
      <c r="J1940" s="71"/>
      <c r="M1940" s="46"/>
      <c r="R1940" s="51"/>
      <c r="S1940" s="51"/>
    </row>
    <row r="1941" spans="9:19" x14ac:dyDescent="0.25">
      <c r="I1941" s="1"/>
      <c r="J1941" s="71"/>
      <c r="M1941" s="46"/>
      <c r="R1941" s="51"/>
      <c r="S1941" s="51"/>
    </row>
    <row r="1942" spans="9:19" x14ac:dyDescent="0.25">
      <c r="I1942" s="1"/>
      <c r="J1942" s="71"/>
      <c r="M1942" s="46"/>
      <c r="R1942" s="51"/>
      <c r="S1942" s="51"/>
    </row>
    <row r="1943" spans="9:19" x14ac:dyDescent="0.25">
      <c r="I1943" s="1"/>
      <c r="J1943" s="71"/>
      <c r="M1943" s="46"/>
      <c r="R1943" s="51"/>
      <c r="S1943" s="51"/>
    </row>
    <row r="1944" spans="9:19" x14ac:dyDescent="0.25">
      <c r="I1944" s="1"/>
      <c r="J1944" s="71"/>
      <c r="M1944" s="46"/>
      <c r="R1944" s="51"/>
      <c r="S1944" s="51"/>
    </row>
    <row r="1945" spans="9:19" x14ac:dyDescent="0.25">
      <c r="I1945" s="1"/>
      <c r="J1945" s="71"/>
      <c r="M1945" s="46"/>
      <c r="R1945" s="51"/>
      <c r="S1945" s="51"/>
    </row>
    <row r="1946" spans="9:19" x14ac:dyDescent="0.25">
      <c r="I1946" s="1"/>
      <c r="J1946" s="71"/>
      <c r="M1946" s="46"/>
      <c r="R1946" s="51"/>
      <c r="S1946" s="51"/>
    </row>
    <row r="1947" spans="9:19" x14ac:dyDescent="0.25">
      <c r="I1947" s="1"/>
      <c r="J1947" s="71"/>
      <c r="M1947" s="46"/>
      <c r="R1947" s="51"/>
      <c r="S1947" s="51"/>
    </row>
    <row r="1948" spans="9:19" x14ac:dyDescent="0.25">
      <c r="I1948" s="1"/>
      <c r="J1948" s="71"/>
      <c r="M1948" s="46"/>
      <c r="R1948" s="51"/>
      <c r="S1948" s="51"/>
    </row>
    <row r="1949" spans="9:19" x14ac:dyDescent="0.25">
      <c r="I1949" s="1"/>
      <c r="J1949" s="71"/>
      <c r="M1949" s="46"/>
      <c r="R1949" s="51"/>
      <c r="S1949" s="51"/>
    </row>
    <row r="1950" spans="9:19" x14ac:dyDescent="0.25">
      <c r="I1950" s="1"/>
      <c r="J1950" s="71"/>
      <c r="M1950" s="46"/>
      <c r="R1950" s="51"/>
      <c r="S1950" s="51"/>
    </row>
    <row r="1951" spans="9:19" x14ac:dyDescent="0.25">
      <c r="I1951" s="1"/>
      <c r="J1951" s="71"/>
      <c r="M1951" s="46"/>
      <c r="R1951" s="51"/>
      <c r="S1951" s="51"/>
    </row>
    <row r="1952" spans="9:19" x14ac:dyDescent="0.25">
      <c r="I1952" s="1"/>
      <c r="J1952" s="71"/>
      <c r="M1952" s="46"/>
      <c r="R1952" s="51"/>
      <c r="S1952" s="51"/>
    </row>
    <row r="1953" spans="9:19" x14ac:dyDescent="0.25">
      <c r="I1953" s="1"/>
      <c r="J1953" s="71"/>
      <c r="M1953" s="46"/>
      <c r="R1953" s="51"/>
      <c r="S1953" s="51"/>
    </row>
    <row r="1954" spans="9:19" x14ac:dyDescent="0.25">
      <c r="I1954" s="1"/>
      <c r="J1954" s="71"/>
      <c r="M1954" s="46"/>
      <c r="R1954" s="51"/>
      <c r="S1954" s="51"/>
    </row>
    <row r="1955" spans="9:19" x14ac:dyDescent="0.25">
      <c r="I1955" s="1"/>
      <c r="J1955" s="71"/>
      <c r="M1955" s="46"/>
      <c r="R1955" s="51"/>
      <c r="S1955" s="51"/>
    </row>
    <row r="1956" spans="9:19" x14ac:dyDescent="0.25">
      <c r="I1956" s="1"/>
      <c r="J1956" s="71"/>
      <c r="M1956" s="46"/>
      <c r="R1956" s="51"/>
      <c r="S1956" s="51"/>
    </row>
    <row r="1957" spans="9:19" x14ac:dyDescent="0.25">
      <c r="I1957" s="1"/>
      <c r="J1957" s="71"/>
      <c r="M1957" s="46"/>
      <c r="R1957" s="51"/>
      <c r="S1957" s="51"/>
    </row>
    <row r="1958" spans="9:19" x14ac:dyDescent="0.25">
      <c r="I1958" s="1"/>
      <c r="J1958" s="71"/>
      <c r="M1958" s="46"/>
      <c r="R1958" s="51"/>
      <c r="S1958" s="51"/>
    </row>
    <row r="1959" spans="9:19" x14ac:dyDescent="0.25">
      <c r="I1959" s="1"/>
      <c r="J1959" s="71"/>
      <c r="M1959" s="46"/>
      <c r="R1959" s="51"/>
      <c r="S1959" s="51"/>
    </row>
    <row r="1960" spans="9:19" x14ac:dyDescent="0.25">
      <c r="I1960" s="1"/>
      <c r="J1960" s="71"/>
      <c r="M1960" s="46"/>
      <c r="R1960" s="51"/>
      <c r="S1960" s="51"/>
    </row>
    <row r="1961" spans="9:19" x14ac:dyDescent="0.25">
      <c r="I1961" s="1"/>
      <c r="J1961" s="71"/>
      <c r="M1961" s="46"/>
      <c r="R1961" s="51"/>
      <c r="S1961" s="51"/>
    </row>
    <row r="1962" spans="9:19" x14ac:dyDescent="0.25">
      <c r="I1962" s="1"/>
      <c r="J1962" s="71"/>
      <c r="M1962" s="46"/>
      <c r="R1962" s="51"/>
      <c r="S1962" s="51"/>
    </row>
    <row r="1963" spans="9:19" x14ac:dyDescent="0.25">
      <c r="I1963" s="1"/>
      <c r="J1963" s="71"/>
      <c r="M1963" s="46"/>
      <c r="R1963" s="51"/>
      <c r="S1963" s="51"/>
    </row>
    <row r="1964" spans="9:19" x14ac:dyDescent="0.25">
      <c r="I1964" s="1"/>
      <c r="J1964" s="71"/>
      <c r="M1964" s="46"/>
      <c r="R1964" s="51"/>
      <c r="S1964" s="51"/>
    </row>
    <row r="1965" spans="9:19" x14ac:dyDescent="0.25">
      <c r="I1965" s="1"/>
      <c r="J1965" s="71"/>
      <c r="M1965" s="46"/>
      <c r="R1965" s="51"/>
      <c r="S1965" s="51"/>
    </row>
    <row r="1966" spans="9:19" x14ac:dyDescent="0.25">
      <c r="I1966" s="1"/>
      <c r="J1966" s="71"/>
      <c r="M1966" s="46"/>
      <c r="R1966" s="51"/>
      <c r="S1966" s="51"/>
    </row>
    <row r="1967" spans="9:19" x14ac:dyDescent="0.25">
      <c r="I1967" s="1"/>
      <c r="J1967" s="71"/>
      <c r="M1967" s="46"/>
      <c r="R1967" s="51"/>
      <c r="S1967" s="51"/>
    </row>
    <row r="1968" spans="9:19" x14ac:dyDescent="0.25">
      <c r="I1968" s="1"/>
      <c r="J1968" s="71"/>
      <c r="M1968" s="46"/>
      <c r="R1968" s="51"/>
      <c r="S1968" s="51"/>
    </row>
    <row r="1969" spans="9:19" x14ac:dyDescent="0.25">
      <c r="I1969" s="1"/>
      <c r="J1969" s="71"/>
      <c r="M1969" s="46"/>
      <c r="R1969" s="51"/>
      <c r="S1969" s="51"/>
    </row>
    <row r="1970" spans="9:19" x14ac:dyDescent="0.25">
      <c r="I1970" s="1"/>
      <c r="J1970" s="71"/>
      <c r="M1970" s="46"/>
      <c r="R1970" s="51"/>
      <c r="S1970" s="51"/>
    </row>
    <row r="1971" spans="9:19" x14ac:dyDescent="0.25">
      <c r="I1971" s="1"/>
      <c r="J1971" s="71"/>
      <c r="M1971" s="46"/>
      <c r="R1971" s="51"/>
      <c r="S1971" s="51"/>
    </row>
    <row r="1972" spans="9:19" x14ac:dyDescent="0.25">
      <c r="I1972" s="1"/>
      <c r="J1972" s="71"/>
      <c r="M1972" s="46"/>
      <c r="R1972" s="51"/>
      <c r="S1972" s="51"/>
    </row>
    <row r="1973" spans="9:19" x14ac:dyDescent="0.25">
      <c r="I1973" s="1"/>
      <c r="J1973" s="71"/>
      <c r="M1973" s="46"/>
      <c r="R1973" s="51"/>
      <c r="S1973" s="51"/>
    </row>
    <row r="1974" spans="9:19" x14ac:dyDescent="0.25">
      <c r="I1974" s="1"/>
      <c r="J1974" s="71"/>
      <c r="M1974" s="46"/>
      <c r="R1974" s="51"/>
      <c r="S1974" s="51"/>
    </row>
    <row r="1975" spans="9:19" x14ac:dyDescent="0.25">
      <c r="I1975" s="1"/>
      <c r="J1975" s="71"/>
      <c r="M1975" s="46"/>
      <c r="R1975" s="51"/>
      <c r="S1975" s="51"/>
    </row>
    <row r="1976" spans="9:19" x14ac:dyDescent="0.25">
      <c r="I1976" s="1"/>
      <c r="J1976" s="71"/>
      <c r="M1976" s="46"/>
      <c r="R1976" s="51"/>
      <c r="S1976" s="51"/>
    </row>
    <row r="1977" spans="9:19" x14ac:dyDescent="0.25">
      <c r="I1977" s="1"/>
      <c r="J1977" s="71"/>
      <c r="M1977" s="46"/>
      <c r="R1977" s="51"/>
      <c r="S1977" s="51"/>
    </row>
    <row r="1978" spans="9:19" x14ac:dyDescent="0.25">
      <c r="I1978" s="1"/>
      <c r="J1978" s="71"/>
      <c r="M1978" s="46"/>
      <c r="R1978" s="51"/>
      <c r="S1978" s="51"/>
    </row>
    <row r="1979" spans="9:19" x14ac:dyDescent="0.25">
      <c r="I1979" s="1"/>
      <c r="J1979" s="71"/>
      <c r="M1979" s="46"/>
      <c r="R1979" s="51"/>
      <c r="S1979" s="51"/>
    </row>
    <row r="1980" spans="9:19" x14ac:dyDescent="0.25">
      <c r="I1980" s="1"/>
      <c r="J1980" s="71"/>
      <c r="M1980" s="46"/>
      <c r="R1980" s="51"/>
      <c r="S1980" s="51"/>
    </row>
    <row r="1981" spans="9:19" x14ac:dyDescent="0.25">
      <c r="I1981" s="1"/>
      <c r="J1981" s="71"/>
      <c r="M1981" s="46"/>
      <c r="R1981" s="51"/>
      <c r="S1981" s="51"/>
    </row>
    <row r="1982" spans="9:19" x14ac:dyDescent="0.25">
      <c r="I1982" s="1"/>
      <c r="J1982" s="71"/>
      <c r="M1982" s="46"/>
      <c r="R1982" s="51"/>
      <c r="S1982" s="51"/>
    </row>
    <row r="1983" spans="9:19" x14ac:dyDescent="0.25">
      <c r="I1983" s="1"/>
      <c r="J1983" s="71"/>
      <c r="M1983" s="46"/>
      <c r="R1983" s="51"/>
      <c r="S1983" s="51"/>
    </row>
    <row r="1984" spans="9:19" x14ac:dyDescent="0.25">
      <c r="I1984" s="1"/>
      <c r="J1984" s="71"/>
      <c r="M1984" s="46"/>
      <c r="R1984" s="51"/>
      <c r="S1984" s="51"/>
    </row>
    <row r="1985" spans="9:19" x14ac:dyDescent="0.25">
      <c r="I1985" s="1"/>
      <c r="J1985" s="71"/>
      <c r="M1985" s="46"/>
      <c r="R1985" s="51"/>
      <c r="S1985" s="51"/>
    </row>
    <row r="1986" spans="9:19" x14ac:dyDescent="0.25">
      <c r="I1986" s="1"/>
      <c r="J1986" s="71"/>
      <c r="M1986" s="46"/>
      <c r="R1986" s="51"/>
      <c r="S1986" s="51"/>
    </row>
    <row r="1987" spans="9:19" x14ac:dyDescent="0.25">
      <c r="I1987" s="1"/>
      <c r="J1987" s="71"/>
      <c r="M1987" s="46"/>
      <c r="R1987" s="51"/>
      <c r="S1987" s="51"/>
    </row>
    <row r="1988" spans="9:19" x14ac:dyDescent="0.25">
      <c r="I1988" s="1"/>
      <c r="J1988" s="71"/>
      <c r="M1988" s="46"/>
      <c r="R1988" s="51"/>
      <c r="S1988" s="51"/>
    </row>
    <row r="1989" spans="9:19" x14ac:dyDescent="0.25">
      <c r="I1989" s="1"/>
      <c r="J1989" s="71"/>
      <c r="M1989" s="46"/>
      <c r="R1989" s="51"/>
      <c r="S1989" s="51"/>
    </row>
    <row r="1990" spans="9:19" x14ac:dyDescent="0.25">
      <c r="I1990" s="1"/>
      <c r="J1990" s="71"/>
      <c r="M1990" s="46"/>
      <c r="R1990" s="51"/>
      <c r="S1990" s="51"/>
    </row>
    <row r="1991" spans="9:19" x14ac:dyDescent="0.25">
      <c r="I1991" s="1"/>
      <c r="J1991" s="71"/>
      <c r="M1991" s="46"/>
      <c r="R1991" s="51"/>
      <c r="S1991" s="51"/>
    </row>
    <row r="1992" spans="9:19" x14ac:dyDescent="0.25">
      <c r="I1992" s="1"/>
      <c r="J1992" s="71"/>
      <c r="M1992" s="46"/>
      <c r="R1992" s="51"/>
      <c r="S1992" s="51"/>
    </row>
    <row r="1993" spans="9:19" x14ac:dyDescent="0.25">
      <c r="I1993" s="1"/>
      <c r="J1993" s="71"/>
      <c r="M1993" s="46"/>
      <c r="R1993" s="51"/>
      <c r="S1993" s="51"/>
    </row>
    <row r="1994" spans="9:19" x14ac:dyDescent="0.25">
      <c r="I1994" s="1"/>
      <c r="J1994" s="71"/>
      <c r="M1994" s="46"/>
      <c r="R1994" s="51"/>
      <c r="S1994" s="51"/>
    </row>
    <row r="1995" spans="9:19" x14ac:dyDescent="0.25">
      <c r="I1995" s="1"/>
      <c r="J1995" s="71"/>
      <c r="M1995" s="46"/>
      <c r="R1995" s="51"/>
      <c r="S1995" s="51"/>
    </row>
    <row r="1996" spans="9:19" x14ac:dyDescent="0.25">
      <c r="I1996" s="1"/>
      <c r="J1996" s="71"/>
      <c r="M1996" s="46"/>
      <c r="R1996" s="51"/>
      <c r="S1996" s="51"/>
    </row>
    <row r="1997" spans="9:19" x14ac:dyDescent="0.25">
      <c r="I1997" s="1"/>
      <c r="J1997" s="71"/>
      <c r="M1997" s="46"/>
      <c r="R1997" s="51"/>
      <c r="S1997" s="51"/>
    </row>
    <row r="1998" spans="9:19" x14ac:dyDescent="0.25">
      <c r="I1998" s="1"/>
      <c r="J1998" s="71"/>
      <c r="M1998" s="46"/>
      <c r="R1998" s="51"/>
      <c r="S1998" s="51"/>
    </row>
    <row r="1999" spans="9:19" x14ac:dyDescent="0.25">
      <c r="I1999" s="1"/>
      <c r="J1999" s="71"/>
      <c r="M1999" s="46"/>
      <c r="R1999" s="51"/>
      <c r="S1999" s="51"/>
    </row>
    <row r="2000" spans="9:19" x14ac:dyDescent="0.25">
      <c r="I2000" s="1"/>
      <c r="J2000" s="71"/>
      <c r="M2000" s="46"/>
      <c r="R2000" s="51"/>
      <c r="S2000" s="51"/>
    </row>
    <row r="2001" spans="9:19" x14ac:dyDescent="0.25">
      <c r="I2001" s="1"/>
      <c r="J2001" s="71"/>
      <c r="M2001" s="46"/>
      <c r="R2001" s="51"/>
      <c r="S2001" s="51"/>
    </row>
    <row r="2002" spans="9:19" x14ac:dyDescent="0.25">
      <c r="I2002" s="1"/>
      <c r="J2002" s="71"/>
      <c r="M2002" s="46"/>
      <c r="R2002" s="51"/>
      <c r="S2002" s="51"/>
    </row>
    <row r="2003" spans="9:19" x14ac:dyDescent="0.25">
      <c r="I2003" s="1"/>
      <c r="J2003" s="71"/>
      <c r="M2003" s="46"/>
      <c r="R2003" s="51"/>
      <c r="S2003" s="51"/>
    </row>
    <row r="2004" spans="9:19" x14ac:dyDescent="0.25">
      <c r="I2004" s="1"/>
      <c r="J2004" s="71"/>
      <c r="M2004" s="46"/>
      <c r="R2004" s="51"/>
      <c r="S2004" s="51"/>
    </row>
    <row r="2005" spans="9:19" x14ac:dyDescent="0.25">
      <c r="I2005" s="1"/>
      <c r="J2005" s="71"/>
      <c r="M2005" s="46"/>
      <c r="R2005" s="51"/>
      <c r="S2005" s="51"/>
    </row>
    <row r="2006" spans="9:19" x14ac:dyDescent="0.25">
      <c r="I2006" s="1"/>
      <c r="J2006" s="71"/>
      <c r="M2006" s="46"/>
      <c r="R2006" s="51"/>
      <c r="S2006" s="51"/>
    </row>
    <row r="2007" spans="9:19" x14ac:dyDescent="0.25">
      <c r="I2007" s="1"/>
      <c r="J2007" s="71"/>
      <c r="M2007" s="46"/>
      <c r="R2007" s="51"/>
      <c r="S2007" s="51"/>
    </row>
    <row r="2008" spans="9:19" x14ac:dyDescent="0.25">
      <c r="I2008" s="1"/>
      <c r="J2008" s="71"/>
      <c r="M2008" s="46"/>
      <c r="R2008" s="51"/>
      <c r="S2008" s="51"/>
    </row>
    <row r="2009" spans="9:19" x14ac:dyDescent="0.25">
      <c r="I2009" s="1"/>
      <c r="J2009" s="71"/>
      <c r="M2009" s="46"/>
      <c r="R2009" s="51"/>
      <c r="S2009" s="51"/>
    </row>
    <row r="2010" spans="9:19" x14ac:dyDescent="0.25">
      <c r="I2010" s="1"/>
      <c r="J2010" s="71"/>
      <c r="M2010" s="46"/>
      <c r="R2010" s="51"/>
      <c r="S2010" s="51"/>
    </row>
    <row r="2011" spans="9:19" x14ac:dyDescent="0.25">
      <c r="I2011" s="1"/>
      <c r="J2011" s="71"/>
      <c r="M2011" s="46"/>
      <c r="R2011" s="51"/>
      <c r="S2011" s="51"/>
    </row>
    <row r="2012" spans="9:19" x14ac:dyDescent="0.25">
      <c r="I2012" s="1"/>
      <c r="J2012" s="71"/>
      <c r="M2012" s="46"/>
      <c r="R2012" s="51"/>
      <c r="S2012" s="51"/>
    </row>
    <row r="2013" spans="9:19" x14ac:dyDescent="0.25">
      <c r="I2013" s="1"/>
      <c r="J2013" s="71"/>
      <c r="M2013" s="46"/>
      <c r="R2013" s="51"/>
      <c r="S2013" s="51"/>
    </row>
    <row r="2014" spans="9:19" x14ac:dyDescent="0.25">
      <c r="I2014" s="1"/>
      <c r="J2014" s="71"/>
      <c r="M2014" s="46"/>
      <c r="R2014" s="51"/>
      <c r="S2014" s="51"/>
    </row>
    <row r="2015" spans="9:19" x14ac:dyDescent="0.25">
      <c r="I2015" s="1"/>
      <c r="J2015" s="71"/>
      <c r="M2015" s="46"/>
      <c r="R2015" s="51"/>
      <c r="S2015" s="51"/>
    </row>
    <row r="2016" spans="9:19" x14ac:dyDescent="0.25">
      <c r="I2016" s="1"/>
      <c r="J2016" s="71"/>
      <c r="M2016" s="46"/>
      <c r="R2016" s="51"/>
      <c r="S2016" s="51"/>
    </row>
    <row r="2017" spans="9:19" x14ac:dyDescent="0.25">
      <c r="I2017" s="1"/>
      <c r="J2017" s="71"/>
      <c r="M2017" s="46"/>
      <c r="R2017" s="51"/>
      <c r="S2017" s="51"/>
    </row>
    <row r="2018" spans="9:19" x14ac:dyDescent="0.25">
      <c r="I2018" s="1"/>
      <c r="J2018" s="71"/>
      <c r="M2018" s="46"/>
      <c r="R2018" s="51"/>
      <c r="S2018" s="51"/>
    </row>
    <row r="2019" spans="9:19" x14ac:dyDescent="0.25">
      <c r="I2019" s="1"/>
      <c r="J2019" s="71"/>
      <c r="M2019" s="46"/>
      <c r="R2019" s="51"/>
      <c r="S2019" s="51"/>
    </row>
    <row r="2020" spans="9:19" x14ac:dyDescent="0.25">
      <c r="I2020" s="1"/>
      <c r="J2020" s="71"/>
      <c r="M2020" s="46"/>
      <c r="R2020" s="51"/>
      <c r="S2020" s="51"/>
    </row>
    <row r="2021" spans="9:19" x14ac:dyDescent="0.25">
      <c r="I2021" s="1"/>
      <c r="J2021" s="71"/>
      <c r="M2021" s="46"/>
      <c r="R2021" s="51"/>
      <c r="S2021" s="51"/>
    </row>
    <row r="2022" spans="9:19" x14ac:dyDescent="0.25">
      <c r="I2022" s="1"/>
      <c r="J2022" s="71"/>
      <c r="M2022" s="46"/>
      <c r="R2022" s="51"/>
      <c r="S2022" s="51"/>
    </row>
    <row r="2023" spans="9:19" x14ac:dyDescent="0.25">
      <c r="I2023" s="1"/>
      <c r="J2023" s="71"/>
      <c r="M2023" s="46"/>
      <c r="R2023" s="51"/>
      <c r="S2023" s="51"/>
    </row>
    <row r="2024" spans="9:19" x14ac:dyDescent="0.25">
      <c r="I2024" s="1"/>
      <c r="J2024" s="71"/>
      <c r="M2024" s="46"/>
      <c r="R2024" s="51"/>
      <c r="S2024" s="51"/>
    </row>
    <row r="2025" spans="9:19" x14ac:dyDescent="0.25">
      <c r="I2025" s="1"/>
      <c r="J2025" s="71"/>
      <c r="M2025" s="46"/>
      <c r="R2025" s="51"/>
      <c r="S2025" s="51"/>
    </row>
    <row r="2026" spans="9:19" x14ac:dyDescent="0.25">
      <c r="I2026" s="1"/>
      <c r="J2026" s="71"/>
      <c r="M2026" s="46"/>
      <c r="R2026" s="51"/>
      <c r="S2026" s="51"/>
    </row>
    <row r="2027" spans="9:19" x14ac:dyDescent="0.25">
      <c r="I2027" s="1"/>
      <c r="J2027" s="71"/>
      <c r="M2027" s="46"/>
      <c r="R2027" s="51"/>
      <c r="S2027" s="51"/>
    </row>
    <row r="2028" spans="9:19" x14ac:dyDescent="0.25">
      <c r="I2028" s="1"/>
      <c r="J2028" s="71"/>
      <c r="M2028" s="46"/>
      <c r="R2028" s="51"/>
      <c r="S2028" s="51"/>
    </row>
    <row r="2029" spans="9:19" x14ac:dyDescent="0.25">
      <c r="I2029" s="1"/>
      <c r="J2029" s="71"/>
      <c r="M2029" s="46"/>
      <c r="R2029" s="51"/>
      <c r="S2029" s="51"/>
    </row>
    <row r="2030" spans="9:19" x14ac:dyDescent="0.25">
      <c r="I2030" s="1"/>
      <c r="J2030" s="71"/>
      <c r="M2030" s="46"/>
      <c r="R2030" s="51"/>
      <c r="S2030" s="51"/>
    </row>
    <row r="2031" spans="9:19" x14ac:dyDescent="0.25">
      <c r="I2031" s="1"/>
      <c r="J2031" s="71"/>
      <c r="M2031" s="46"/>
      <c r="R2031" s="51"/>
      <c r="S2031" s="51"/>
    </row>
    <row r="2032" spans="9:19" x14ac:dyDescent="0.25">
      <c r="I2032" s="1"/>
      <c r="J2032" s="71"/>
      <c r="M2032" s="46"/>
      <c r="R2032" s="51"/>
      <c r="S2032" s="51"/>
    </row>
    <row r="2033" spans="9:19" x14ac:dyDescent="0.25">
      <c r="I2033" s="1"/>
      <c r="J2033" s="71"/>
      <c r="M2033" s="46"/>
      <c r="R2033" s="51"/>
      <c r="S2033" s="51"/>
    </row>
    <row r="2034" spans="9:19" x14ac:dyDescent="0.25">
      <c r="I2034" s="1"/>
      <c r="J2034" s="71"/>
      <c r="M2034" s="46"/>
      <c r="R2034" s="51"/>
      <c r="S2034" s="51"/>
    </row>
    <row r="2035" spans="9:19" x14ac:dyDescent="0.25">
      <c r="I2035" s="1"/>
      <c r="J2035" s="71"/>
      <c r="M2035" s="46"/>
      <c r="R2035" s="51"/>
      <c r="S2035" s="51"/>
    </row>
    <row r="2036" spans="9:19" x14ac:dyDescent="0.25">
      <c r="I2036" s="1"/>
      <c r="J2036" s="71"/>
      <c r="M2036" s="46"/>
      <c r="R2036" s="51"/>
      <c r="S2036" s="51"/>
    </row>
    <row r="2037" spans="9:19" x14ac:dyDescent="0.25">
      <c r="I2037" s="1"/>
      <c r="J2037" s="71"/>
      <c r="M2037" s="46"/>
      <c r="R2037" s="51"/>
      <c r="S2037" s="51"/>
    </row>
    <row r="2038" spans="9:19" x14ac:dyDescent="0.25">
      <c r="I2038" s="1"/>
      <c r="J2038" s="71"/>
      <c r="M2038" s="46"/>
      <c r="R2038" s="51"/>
      <c r="S2038" s="51"/>
    </row>
    <row r="2039" spans="9:19" x14ac:dyDescent="0.25">
      <c r="I2039" s="1"/>
      <c r="J2039" s="71"/>
      <c r="M2039" s="46"/>
      <c r="R2039" s="51"/>
      <c r="S2039" s="51"/>
    </row>
    <row r="2040" spans="9:19" x14ac:dyDescent="0.25">
      <c r="I2040" s="1"/>
      <c r="J2040" s="71"/>
      <c r="M2040" s="46"/>
      <c r="R2040" s="51"/>
      <c r="S2040" s="51"/>
    </row>
    <row r="2041" spans="9:19" x14ac:dyDescent="0.25">
      <c r="I2041" s="1"/>
      <c r="J2041" s="71"/>
      <c r="M2041" s="46"/>
      <c r="R2041" s="51"/>
      <c r="S2041" s="51"/>
    </row>
    <row r="2042" spans="9:19" x14ac:dyDescent="0.25">
      <c r="I2042" s="1"/>
      <c r="J2042" s="71"/>
      <c r="M2042" s="46"/>
      <c r="R2042" s="51"/>
      <c r="S2042" s="51"/>
    </row>
    <row r="2043" spans="9:19" x14ac:dyDescent="0.25">
      <c r="I2043" s="1"/>
      <c r="J2043" s="71"/>
      <c r="M2043" s="46"/>
      <c r="R2043" s="51"/>
      <c r="S2043" s="51"/>
    </row>
    <row r="2044" spans="9:19" x14ac:dyDescent="0.25">
      <c r="I2044" s="1"/>
      <c r="J2044" s="71"/>
      <c r="M2044" s="46"/>
      <c r="R2044" s="51"/>
      <c r="S2044" s="51"/>
    </row>
    <row r="2045" spans="9:19" x14ac:dyDescent="0.25">
      <c r="I2045" s="1"/>
      <c r="J2045" s="71"/>
      <c r="M2045" s="46"/>
      <c r="R2045" s="51"/>
      <c r="S2045" s="51"/>
    </row>
    <row r="2046" spans="9:19" x14ac:dyDescent="0.25">
      <c r="I2046" s="1"/>
      <c r="J2046" s="71"/>
      <c r="M2046" s="46"/>
      <c r="R2046" s="51"/>
      <c r="S2046" s="51"/>
    </row>
    <row r="2047" spans="9:19" x14ac:dyDescent="0.25">
      <c r="I2047" s="1"/>
      <c r="J2047" s="71"/>
      <c r="M2047" s="46"/>
      <c r="R2047" s="51"/>
      <c r="S2047" s="51"/>
    </row>
    <row r="2048" spans="9:19" x14ac:dyDescent="0.25">
      <c r="I2048" s="1"/>
      <c r="J2048" s="71"/>
      <c r="M2048" s="46"/>
      <c r="R2048" s="51"/>
      <c r="S2048" s="51"/>
    </row>
    <row r="2049" spans="9:19" x14ac:dyDescent="0.25">
      <c r="I2049" s="1"/>
      <c r="J2049" s="71"/>
      <c r="M2049" s="46"/>
      <c r="R2049" s="51"/>
      <c r="S2049" s="51"/>
    </row>
    <row r="2050" spans="9:19" x14ac:dyDescent="0.25">
      <c r="I2050" s="1"/>
      <c r="J2050" s="71"/>
      <c r="M2050" s="46"/>
      <c r="R2050" s="51"/>
      <c r="S2050" s="51"/>
    </row>
    <row r="2051" spans="9:19" x14ac:dyDescent="0.25">
      <c r="I2051" s="1"/>
      <c r="J2051" s="71"/>
      <c r="M2051" s="46"/>
      <c r="R2051" s="51"/>
      <c r="S2051" s="51"/>
    </row>
    <row r="2052" spans="9:19" x14ac:dyDescent="0.25">
      <c r="I2052" s="1"/>
      <c r="J2052" s="71"/>
      <c r="M2052" s="46"/>
      <c r="R2052" s="51"/>
      <c r="S2052" s="51"/>
    </row>
    <row r="2053" spans="9:19" x14ac:dyDescent="0.25">
      <c r="I2053" s="1"/>
      <c r="J2053" s="71"/>
      <c r="M2053" s="46"/>
      <c r="R2053" s="51"/>
      <c r="S2053" s="51"/>
    </row>
    <row r="2054" spans="9:19" x14ac:dyDescent="0.25">
      <c r="I2054" s="1"/>
      <c r="J2054" s="71"/>
      <c r="M2054" s="46"/>
      <c r="R2054" s="51"/>
      <c r="S2054" s="51"/>
    </row>
    <row r="2055" spans="9:19" x14ac:dyDescent="0.25">
      <c r="I2055" s="1"/>
      <c r="J2055" s="71"/>
      <c r="M2055" s="46"/>
      <c r="R2055" s="51"/>
      <c r="S2055" s="51"/>
    </row>
    <row r="2056" spans="9:19" x14ac:dyDescent="0.25">
      <c r="I2056" s="1"/>
      <c r="J2056" s="71"/>
      <c r="M2056" s="46"/>
      <c r="R2056" s="51"/>
      <c r="S2056" s="51"/>
    </row>
    <row r="2057" spans="9:19" x14ac:dyDescent="0.25">
      <c r="I2057" s="1"/>
      <c r="J2057" s="71"/>
      <c r="M2057" s="46"/>
      <c r="R2057" s="51"/>
      <c r="S2057" s="51"/>
    </row>
    <row r="2058" spans="9:19" x14ac:dyDescent="0.25">
      <c r="I2058" s="1"/>
      <c r="J2058" s="71"/>
      <c r="M2058" s="46"/>
      <c r="R2058" s="51"/>
      <c r="S2058" s="51"/>
    </row>
    <row r="2059" spans="9:19" x14ac:dyDescent="0.25">
      <c r="I2059" s="1"/>
      <c r="J2059" s="71"/>
      <c r="M2059" s="46"/>
      <c r="R2059" s="51"/>
      <c r="S2059" s="51"/>
    </row>
    <row r="2060" spans="9:19" x14ac:dyDescent="0.25">
      <c r="I2060" s="1"/>
      <c r="J2060" s="71"/>
      <c r="M2060" s="46"/>
      <c r="R2060" s="51"/>
      <c r="S2060" s="51"/>
    </row>
    <row r="2061" spans="9:19" x14ac:dyDescent="0.25">
      <c r="I2061" s="1"/>
      <c r="J2061" s="71"/>
      <c r="M2061" s="46"/>
      <c r="R2061" s="51"/>
      <c r="S2061" s="51"/>
    </row>
    <row r="2062" spans="9:19" x14ac:dyDescent="0.25">
      <c r="I2062" s="1"/>
      <c r="J2062" s="71"/>
      <c r="M2062" s="46"/>
      <c r="R2062" s="51"/>
      <c r="S2062" s="51"/>
    </row>
    <row r="2063" spans="9:19" x14ac:dyDescent="0.25">
      <c r="I2063" s="1"/>
      <c r="J2063" s="71"/>
      <c r="M2063" s="46"/>
      <c r="R2063" s="51"/>
      <c r="S2063" s="51"/>
    </row>
    <row r="2064" spans="9:19" x14ac:dyDescent="0.25">
      <c r="I2064" s="1"/>
      <c r="J2064" s="71"/>
      <c r="M2064" s="46"/>
      <c r="R2064" s="51"/>
      <c r="S2064" s="51"/>
    </row>
    <row r="2065" spans="9:19" x14ac:dyDescent="0.25">
      <c r="I2065" s="1"/>
      <c r="J2065" s="71"/>
      <c r="M2065" s="46"/>
      <c r="R2065" s="51"/>
      <c r="S2065" s="51"/>
    </row>
    <row r="2066" spans="9:19" x14ac:dyDescent="0.25">
      <c r="I2066" s="1"/>
      <c r="J2066" s="71"/>
      <c r="M2066" s="46"/>
      <c r="R2066" s="51"/>
      <c r="S2066" s="51"/>
    </row>
    <row r="2067" spans="9:19" x14ac:dyDescent="0.25">
      <c r="I2067" s="1"/>
      <c r="J2067" s="71"/>
      <c r="M2067" s="46"/>
      <c r="R2067" s="51"/>
      <c r="S2067" s="51"/>
    </row>
    <row r="2068" spans="9:19" x14ac:dyDescent="0.25">
      <c r="I2068" s="1"/>
      <c r="J2068" s="71"/>
      <c r="M2068" s="46"/>
      <c r="R2068" s="51"/>
      <c r="S2068" s="51"/>
    </row>
    <row r="2069" spans="9:19" x14ac:dyDescent="0.25">
      <c r="I2069" s="1"/>
      <c r="J2069" s="71"/>
      <c r="M2069" s="46"/>
      <c r="R2069" s="51"/>
      <c r="S2069" s="51"/>
    </row>
    <row r="2070" spans="9:19" x14ac:dyDescent="0.25">
      <c r="I2070" s="1"/>
      <c r="J2070" s="71"/>
      <c r="M2070" s="46"/>
      <c r="R2070" s="51"/>
      <c r="S2070" s="51"/>
    </row>
    <row r="2071" spans="9:19" x14ac:dyDescent="0.25">
      <c r="I2071" s="1"/>
      <c r="J2071" s="71"/>
      <c r="M2071" s="46"/>
      <c r="R2071" s="51"/>
      <c r="S2071" s="51"/>
    </row>
    <row r="2072" spans="9:19" x14ac:dyDescent="0.25">
      <c r="I2072" s="1"/>
      <c r="J2072" s="71"/>
      <c r="M2072" s="46"/>
      <c r="R2072" s="51"/>
      <c r="S2072" s="51"/>
    </row>
    <row r="2073" spans="9:19" x14ac:dyDescent="0.25">
      <c r="I2073" s="1"/>
      <c r="J2073" s="71"/>
      <c r="M2073" s="46"/>
      <c r="R2073" s="51"/>
      <c r="S2073" s="51"/>
    </row>
    <row r="2074" spans="9:19" x14ac:dyDescent="0.25">
      <c r="I2074" s="1"/>
      <c r="J2074" s="71"/>
      <c r="M2074" s="46"/>
      <c r="R2074" s="51"/>
      <c r="S2074" s="51"/>
    </row>
    <row r="2075" spans="9:19" x14ac:dyDescent="0.25">
      <c r="I2075" s="1"/>
      <c r="J2075" s="71"/>
      <c r="M2075" s="46"/>
      <c r="R2075" s="51"/>
      <c r="S2075" s="51"/>
    </row>
    <row r="2076" spans="9:19" x14ac:dyDescent="0.25">
      <c r="I2076" s="1"/>
      <c r="J2076" s="71"/>
      <c r="M2076" s="46"/>
      <c r="R2076" s="51"/>
      <c r="S2076" s="51"/>
    </row>
    <row r="2077" spans="9:19" x14ac:dyDescent="0.25">
      <c r="I2077" s="1"/>
      <c r="J2077" s="71"/>
      <c r="M2077" s="46"/>
      <c r="R2077" s="51"/>
      <c r="S2077" s="51"/>
    </row>
    <row r="2078" spans="9:19" x14ac:dyDescent="0.25">
      <c r="I2078" s="1"/>
      <c r="J2078" s="71"/>
      <c r="M2078" s="46"/>
      <c r="R2078" s="51"/>
      <c r="S2078" s="51"/>
    </row>
    <row r="2079" spans="9:19" x14ac:dyDescent="0.25">
      <c r="I2079" s="1"/>
      <c r="J2079" s="71"/>
      <c r="M2079" s="46"/>
      <c r="R2079" s="51"/>
      <c r="S2079" s="51"/>
    </row>
    <row r="2080" spans="9:19" x14ac:dyDescent="0.25">
      <c r="I2080" s="1"/>
      <c r="J2080" s="71"/>
      <c r="M2080" s="46"/>
      <c r="R2080" s="51"/>
      <c r="S2080" s="51"/>
    </row>
    <row r="2081" spans="9:19" x14ac:dyDescent="0.25">
      <c r="I2081" s="1"/>
      <c r="J2081" s="71"/>
      <c r="M2081" s="46"/>
      <c r="R2081" s="51"/>
      <c r="S2081" s="51"/>
    </row>
    <row r="2082" spans="9:19" x14ac:dyDescent="0.25">
      <c r="I2082" s="1"/>
      <c r="J2082" s="71"/>
      <c r="M2082" s="46"/>
      <c r="R2082" s="51"/>
      <c r="S2082" s="51"/>
    </row>
    <row r="2083" spans="9:19" x14ac:dyDescent="0.25">
      <c r="I2083" s="1"/>
      <c r="J2083" s="71"/>
      <c r="M2083" s="46"/>
      <c r="R2083" s="51"/>
      <c r="S2083" s="51"/>
    </row>
    <row r="2084" spans="9:19" x14ac:dyDescent="0.25">
      <c r="I2084" s="1"/>
      <c r="J2084" s="71"/>
      <c r="M2084" s="46"/>
      <c r="R2084" s="51"/>
      <c r="S2084" s="51"/>
    </row>
    <row r="2085" spans="9:19" x14ac:dyDescent="0.25">
      <c r="I2085" s="1"/>
      <c r="J2085" s="71"/>
      <c r="M2085" s="46"/>
      <c r="R2085" s="51"/>
      <c r="S2085" s="51"/>
    </row>
    <row r="2086" spans="9:19" x14ac:dyDescent="0.25">
      <c r="I2086" s="1"/>
      <c r="J2086" s="71"/>
      <c r="M2086" s="46"/>
      <c r="R2086" s="51"/>
      <c r="S2086" s="51"/>
    </row>
    <row r="2087" spans="9:19" x14ac:dyDescent="0.25">
      <c r="I2087" s="1"/>
      <c r="J2087" s="71"/>
      <c r="M2087" s="46"/>
      <c r="R2087" s="51"/>
      <c r="S2087" s="51"/>
    </row>
    <row r="2088" spans="9:19" x14ac:dyDescent="0.25">
      <c r="I2088" s="1"/>
      <c r="J2088" s="71"/>
      <c r="M2088" s="46"/>
      <c r="R2088" s="51"/>
      <c r="S2088" s="51"/>
    </row>
    <row r="2089" spans="9:19" x14ac:dyDescent="0.25">
      <c r="I2089" s="1"/>
      <c r="J2089" s="71"/>
      <c r="M2089" s="46"/>
      <c r="R2089" s="51"/>
      <c r="S2089" s="51"/>
    </row>
    <row r="2090" spans="9:19" x14ac:dyDescent="0.25">
      <c r="I2090" s="1"/>
      <c r="J2090" s="71"/>
      <c r="M2090" s="46"/>
      <c r="R2090" s="51"/>
      <c r="S2090" s="51"/>
    </row>
    <row r="2091" spans="9:19" x14ac:dyDescent="0.25">
      <c r="I2091" s="1"/>
      <c r="J2091" s="71"/>
      <c r="M2091" s="46"/>
      <c r="R2091" s="51"/>
      <c r="S2091" s="51"/>
    </row>
    <row r="2092" spans="9:19" x14ac:dyDescent="0.25">
      <c r="I2092" s="1"/>
      <c r="J2092" s="71"/>
      <c r="M2092" s="46"/>
      <c r="R2092" s="51"/>
      <c r="S2092" s="51"/>
    </row>
    <row r="2093" spans="9:19" x14ac:dyDescent="0.25">
      <c r="I2093" s="1"/>
      <c r="J2093" s="71"/>
      <c r="M2093" s="46"/>
      <c r="R2093" s="51"/>
      <c r="S2093" s="51"/>
    </row>
    <row r="2094" spans="9:19" x14ac:dyDescent="0.25">
      <c r="I2094" s="1"/>
      <c r="J2094" s="71"/>
      <c r="M2094" s="46"/>
      <c r="R2094" s="51"/>
      <c r="S2094" s="51"/>
    </row>
    <row r="2095" spans="9:19" x14ac:dyDescent="0.25">
      <c r="I2095" s="1"/>
      <c r="J2095" s="71"/>
      <c r="M2095" s="46"/>
      <c r="R2095" s="51"/>
      <c r="S2095" s="51"/>
    </row>
    <row r="2096" spans="9:19" x14ac:dyDescent="0.25">
      <c r="I2096" s="1"/>
      <c r="J2096" s="71"/>
      <c r="M2096" s="46"/>
      <c r="R2096" s="51"/>
      <c r="S2096" s="51"/>
    </row>
    <row r="2097" spans="9:19" x14ac:dyDescent="0.25">
      <c r="I2097" s="1"/>
      <c r="J2097" s="71"/>
      <c r="M2097" s="46"/>
      <c r="R2097" s="51"/>
      <c r="S2097" s="51"/>
    </row>
    <row r="2098" spans="9:19" x14ac:dyDescent="0.25">
      <c r="I2098" s="1"/>
      <c r="J2098" s="71"/>
      <c r="M2098" s="46"/>
      <c r="R2098" s="51"/>
      <c r="S2098" s="51"/>
    </row>
    <row r="2099" spans="9:19" x14ac:dyDescent="0.25">
      <c r="I2099" s="1"/>
      <c r="J2099" s="71"/>
      <c r="M2099" s="46"/>
      <c r="R2099" s="51"/>
      <c r="S2099" s="51"/>
    </row>
    <row r="2100" spans="9:19" x14ac:dyDescent="0.25">
      <c r="I2100" s="1"/>
      <c r="J2100" s="71"/>
      <c r="M2100" s="46"/>
      <c r="R2100" s="51"/>
      <c r="S2100" s="51"/>
    </row>
    <row r="2101" spans="9:19" x14ac:dyDescent="0.25">
      <c r="I2101" s="1"/>
      <c r="J2101" s="71"/>
      <c r="M2101" s="46"/>
      <c r="R2101" s="51"/>
      <c r="S2101" s="51"/>
    </row>
    <row r="2102" spans="9:19" x14ac:dyDescent="0.25">
      <c r="I2102" s="1"/>
      <c r="J2102" s="71"/>
      <c r="M2102" s="46"/>
      <c r="R2102" s="51"/>
      <c r="S2102" s="51"/>
    </row>
    <row r="2103" spans="9:19" x14ac:dyDescent="0.25">
      <c r="I2103" s="1"/>
      <c r="J2103" s="71"/>
      <c r="M2103" s="46"/>
      <c r="R2103" s="51"/>
      <c r="S2103" s="51"/>
    </row>
    <row r="2104" spans="9:19" x14ac:dyDescent="0.25">
      <c r="I2104" s="1"/>
      <c r="J2104" s="71"/>
      <c r="M2104" s="46"/>
      <c r="R2104" s="51"/>
      <c r="S2104" s="51"/>
    </row>
    <row r="2105" spans="9:19" x14ac:dyDescent="0.25">
      <c r="I2105" s="1"/>
      <c r="J2105" s="71"/>
      <c r="M2105" s="46"/>
      <c r="R2105" s="51"/>
      <c r="S2105" s="51"/>
    </row>
    <row r="2106" spans="9:19" x14ac:dyDescent="0.25">
      <c r="I2106" s="1"/>
      <c r="J2106" s="71"/>
      <c r="M2106" s="46"/>
      <c r="R2106" s="51"/>
      <c r="S2106" s="51"/>
    </row>
    <row r="2107" spans="9:19" x14ac:dyDescent="0.25">
      <c r="I2107" s="1"/>
      <c r="J2107" s="71"/>
      <c r="M2107" s="46"/>
      <c r="R2107" s="51"/>
      <c r="S2107" s="51"/>
    </row>
    <row r="2108" spans="9:19" x14ac:dyDescent="0.25">
      <c r="I2108" s="1"/>
      <c r="J2108" s="71"/>
      <c r="M2108" s="46"/>
      <c r="R2108" s="51"/>
      <c r="S2108" s="51"/>
    </row>
    <row r="2109" spans="9:19" x14ac:dyDescent="0.25">
      <c r="I2109" s="1"/>
      <c r="J2109" s="71"/>
      <c r="M2109" s="46"/>
      <c r="R2109" s="51"/>
      <c r="S2109" s="51"/>
    </row>
    <row r="2110" spans="9:19" x14ac:dyDescent="0.25">
      <c r="I2110" s="1"/>
      <c r="J2110" s="71"/>
      <c r="M2110" s="46"/>
      <c r="R2110" s="51"/>
      <c r="S2110" s="51"/>
    </row>
    <row r="2111" spans="9:19" x14ac:dyDescent="0.25">
      <c r="I2111" s="1"/>
      <c r="J2111" s="71"/>
      <c r="M2111" s="46"/>
      <c r="R2111" s="51"/>
      <c r="S2111" s="51"/>
    </row>
    <row r="2112" spans="9:19" x14ac:dyDescent="0.25">
      <c r="I2112" s="1"/>
      <c r="J2112" s="71"/>
      <c r="M2112" s="46"/>
      <c r="R2112" s="51"/>
      <c r="S2112" s="51"/>
    </row>
    <row r="2113" spans="9:19" x14ac:dyDescent="0.25">
      <c r="I2113" s="1"/>
      <c r="J2113" s="71"/>
      <c r="M2113" s="46"/>
      <c r="R2113" s="51"/>
      <c r="S2113" s="51"/>
    </row>
    <row r="2114" spans="9:19" x14ac:dyDescent="0.25">
      <c r="I2114" s="1"/>
      <c r="J2114" s="71"/>
      <c r="M2114" s="46"/>
      <c r="R2114" s="51"/>
      <c r="S2114" s="51"/>
    </row>
    <row r="2115" spans="9:19" x14ac:dyDescent="0.25">
      <c r="I2115" s="1"/>
      <c r="J2115" s="71"/>
      <c r="M2115" s="46"/>
      <c r="R2115" s="51"/>
      <c r="S2115" s="51"/>
    </row>
    <row r="2116" spans="9:19" x14ac:dyDescent="0.25">
      <c r="I2116" s="1"/>
      <c r="J2116" s="71"/>
      <c r="M2116" s="46"/>
      <c r="R2116" s="51"/>
      <c r="S2116" s="51"/>
    </row>
    <row r="2117" spans="9:19" x14ac:dyDescent="0.25">
      <c r="I2117" s="1"/>
      <c r="J2117" s="71"/>
      <c r="M2117" s="46"/>
      <c r="R2117" s="51"/>
      <c r="S2117" s="51"/>
    </row>
    <row r="2118" spans="9:19" x14ac:dyDescent="0.25">
      <c r="I2118" s="1"/>
      <c r="J2118" s="71"/>
      <c r="M2118" s="46"/>
      <c r="R2118" s="51"/>
      <c r="S2118" s="51"/>
    </row>
    <row r="2119" spans="9:19" x14ac:dyDescent="0.25">
      <c r="I2119" s="1"/>
      <c r="J2119" s="71"/>
      <c r="M2119" s="46"/>
      <c r="R2119" s="51"/>
      <c r="S2119" s="51"/>
    </row>
    <row r="2120" spans="9:19" x14ac:dyDescent="0.25">
      <c r="I2120" s="1"/>
      <c r="J2120" s="71"/>
      <c r="M2120" s="46"/>
      <c r="R2120" s="51"/>
      <c r="S2120" s="51"/>
    </row>
    <row r="2121" spans="9:19" x14ac:dyDescent="0.25">
      <c r="I2121" s="1"/>
      <c r="J2121" s="71"/>
      <c r="M2121" s="46"/>
      <c r="R2121" s="51"/>
      <c r="S2121" s="51"/>
    </row>
    <row r="2122" spans="9:19" x14ac:dyDescent="0.25">
      <c r="I2122" s="1"/>
      <c r="J2122" s="71"/>
      <c r="M2122" s="46"/>
      <c r="R2122" s="51"/>
      <c r="S2122" s="51"/>
    </row>
    <row r="2123" spans="9:19" x14ac:dyDescent="0.25">
      <c r="I2123" s="1"/>
      <c r="J2123" s="71"/>
      <c r="M2123" s="46"/>
      <c r="R2123" s="51"/>
      <c r="S2123" s="51"/>
    </row>
    <row r="2124" spans="9:19" x14ac:dyDescent="0.25">
      <c r="I2124" s="1"/>
      <c r="J2124" s="71"/>
      <c r="M2124" s="46"/>
      <c r="R2124" s="51"/>
      <c r="S2124" s="51"/>
    </row>
    <row r="2125" spans="9:19" x14ac:dyDescent="0.25">
      <c r="I2125" s="1"/>
      <c r="J2125" s="71"/>
      <c r="M2125" s="46"/>
      <c r="R2125" s="51"/>
      <c r="S2125" s="51"/>
    </row>
    <row r="2126" spans="9:19" x14ac:dyDescent="0.25">
      <c r="I2126" s="1"/>
      <c r="J2126" s="71"/>
      <c r="M2126" s="46"/>
      <c r="R2126" s="51"/>
      <c r="S2126" s="51"/>
    </row>
    <row r="2127" spans="9:19" x14ac:dyDescent="0.25">
      <c r="I2127" s="1"/>
      <c r="J2127" s="71"/>
      <c r="M2127" s="46"/>
      <c r="R2127" s="51"/>
      <c r="S2127" s="51"/>
    </row>
    <row r="2128" spans="9:19" x14ac:dyDescent="0.25">
      <c r="I2128" s="1"/>
      <c r="J2128" s="71"/>
      <c r="M2128" s="46"/>
      <c r="R2128" s="51"/>
      <c r="S2128" s="51"/>
    </row>
    <row r="2129" spans="9:19" x14ac:dyDescent="0.25">
      <c r="I2129" s="1"/>
      <c r="J2129" s="71"/>
      <c r="M2129" s="46"/>
      <c r="R2129" s="51"/>
      <c r="S2129" s="51"/>
    </row>
    <row r="2130" spans="9:19" x14ac:dyDescent="0.25">
      <c r="I2130" s="1"/>
      <c r="J2130" s="71"/>
      <c r="M2130" s="46"/>
      <c r="R2130" s="51"/>
      <c r="S2130" s="51"/>
    </row>
    <row r="2131" spans="9:19" x14ac:dyDescent="0.25">
      <c r="I2131" s="1"/>
      <c r="J2131" s="71"/>
      <c r="M2131" s="46"/>
      <c r="R2131" s="51"/>
      <c r="S2131" s="51"/>
    </row>
    <row r="2132" spans="9:19" x14ac:dyDescent="0.25">
      <c r="I2132" s="1"/>
      <c r="J2132" s="71"/>
      <c r="M2132" s="46"/>
      <c r="R2132" s="51"/>
      <c r="S2132" s="51"/>
    </row>
    <row r="2133" spans="9:19" x14ac:dyDescent="0.25">
      <c r="I2133" s="1"/>
      <c r="J2133" s="71"/>
      <c r="M2133" s="46"/>
      <c r="R2133" s="51"/>
      <c r="S2133" s="51"/>
    </row>
    <row r="2134" spans="9:19" x14ac:dyDescent="0.25">
      <c r="I2134" s="1"/>
      <c r="J2134" s="71"/>
      <c r="M2134" s="46"/>
      <c r="R2134" s="51"/>
      <c r="S2134" s="51"/>
    </row>
    <row r="2135" spans="9:19" x14ac:dyDescent="0.25">
      <c r="I2135" s="1"/>
      <c r="J2135" s="71"/>
      <c r="M2135" s="46"/>
      <c r="R2135" s="51"/>
      <c r="S2135" s="51"/>
    </row>
    <row r="2136" spans="9:19" x14ac:dyDescent="0.25">
      <c r="I2136" s="1"/>
      <c r="J2136" s="71"/>
      <c r="M2136" s="46"/>
      <c r="R2136" s="51"/>
      <c r="S2136" s="51"/>
    </row>
    <row r="2137" spans="9:19" x14ac:dyDescent="0.25">
      <c r="I2137" s="1"/>
      <c r="J2137" s="71"/>
      <c r="M2137" s="46"/>
      <c r="R2137" s="51"/>
      <c r="S2137" s="51"/>
    </row>
    <row r="2138" spans="9:19" x14ac:dyDescent="0.25">
      <c r="I2138" s="1"/>
      <c r="J2138" s="71"/>
      <c r="M2138" s="46"/>
      <c r="R2138" s="51"/>
      <c r="S2138" s="51"/>
    </row>
    <row r="2139" spans="9:19" x14ac:dyDescent="0.25">
      <c r="I2139" s="1"/>
      <c r="J2139" s="71"/>
      <c r="M2139" s="46"/>
      <c r="R2139" s="51"/>
      <c r="S2139" s="51"/>
    </row>
    <row r="2140" spans="9:19" x14ac:dyDescent="0.25">
      <c r="I2140" s="1"/>
      <c r="J2140" s="71"/>
      <c r="M2140" s="46"/>
      <c r="R2140" s="51"/>
      <c r="S2140" s="51"/>
    </row>
    <row r="2141" spans="9:19" x14ac:dyDescent="0.25">
      <c r="I2141" s="1"/>
      <c r="J2141" s="71"/>
      <c r="M2141" s="46"/>
      <c r="R2141" s="51"/>
      <c r="S2141" s="51"/>
    </row>
    <row r="2142" spans="9:19" x14ac:dyDescent="0.25">
      <c r="I2142" s="1"/>
      <c r="J2142" s="71"/>
      <c r="M2142" s="46"/>
      <c r="R2142" s="51"/>
      <c r="S2142" s="51"/>
    </row>
    <row r="2143" spans="9:19" x14ac:dyDescent="0.25">
      <c r="I2143" s="1"/>
      <c r="J2143" s="71"/>
      <c r="M2143" s="46"/>
      <c r="R2143" s="51"/>
      <c r="S2143" s="51"/>
    </row>
    <row r="2144" spans="9:19" x14ac:dyDescent="0.25">
      <c r="I2144" s="1"/>
      <c r="J2144" s="71"/>
      <c r="M2144" s="46"/>
      <c r="R2144" s="51"/>
      <c r="S2144" s="51"/>
    </row>
    <row r="2145" spans="9:19" x14ac:dyDescent="0.25">
      <c r="I2145" s="1"/>
      <c r="J2145" s="71"/>
      <c r="M2145" s="46"/>
      <c r="R2145" s="51"/>
      <c r="S2145" s="51"/>
    </row>
    <row r="2146" spans="9:19" x14ac:dyDescent="0.25">
      <c r="I2146" s="1"/>
      <c r="J2146" s="71"/>
      <c r="M2146" s="46"/>
      <c r="R2146" s="51"/>
      <c r="S2146" s="51"/>
    </row>
    <row r="2147" spans="9:19" x14ac:dyDescent="0.25">
      <c r="I2147" s="1"/>
      <c r="J2147" s="71"/>
      <c r="M2147" s="46"/>
      <c r="R2147" s="51"/>
      <c r="S2147" s="51"/>
    </row>
    <row r="2148" spans="9:19" x14ac:dyDescent="0.25">
      <c r="I2148" s="1"/>
      <c r="J2148" s="71"/>
      <c r="M2148" s="46"/>
      <c r="R2148" s="51"/>
      <c r="S2148" s="51"/>
    </row>
    <row r="2149" spans="9:19" x14ac:dyDescent="0.25">
      <c r="I2149" s="1"/>
      <c r="J2149" s="71"/>
      <c r="M2149" s="46"/>
      <c r="R2149" s="51"/>
      <c r="S2149" s="51"/>
    </row>
    <row r="2150" spans="9:19" x14ac:dyDescent="0.25">
      <c r="I2150" s="1"/>
      <c r="J2150" s="71"/>
      <c r="M2150" s="46"/>
      <c r="R2150" s="51"/>
      <c r="S2150" s="51"/>
    </row>
    <row r="2151" spans="9:19" x14ac:dyDescent="0.25">
      <c r="I2151" s="1"/>
      <c r="J2151" s="71"/>
      <c r="M2151" s="46"/>
      <c r="R2151" s="51"/>
      <c r="S2151" s="51"/>
    </row>
    <row r="2152" spans="9:19" x14ac:dyDescent="0.25">
      <c r="I2152" s="1"/>
      <c r="J2152" s="71"/>
      <c r="M2152" s="46"/>
      <c r="R2152" s="51"/>
      <c r="S2152" s="51"/>
    </row>
    <row r="2153" spans="9:19" x14ac:dyDescent="0.25">
      <c r="I2153" s="1"/>
      <c r="J2153" s="71"/>
      <c r="M2153" s="46"/>
      <c r="R2153" s="51"/>
      <c r="S2153" s="51"/>
    </row>
    <row r="2154" spans="9:19" x14ac:dyDescent="0.25">
      <c r="I2154" s="1"/>
      <c r="J2154" s="71"/>
      <c r="M2154" s="46"/>
      <c r="R2154" s="51"/>
      <c r="S2154" s="51"/>
    </row>
    <row r="2155" spans="9:19" x14ac:dyDescent="0.25">
      <c r="I2155" s="1"/>
      <c r="J2155" s="71"/>
      <c r="M2155" s="46"/>
      <c r="R2155" s="51"/>
      <c r="S2155" s="51"/>
    </row>
    <row r="2156" spans="9:19" x14ac:dyDescent="0.25">
      <c r="I2156" s="1"/>
      <c r="J2156" s="71"/>
      <c r="M2156" s="46"/>
      <c r="R2156" s="51"/>
      <c r="S2156" s="51"/>
    </row>
    <row r="2157" spans="9:19" x14ac:dyDescent="0.25">
      <c r="I2157" s="1"/>
      <c r="J2157" s="71"/>
      <c r="M2157" s="46"/>
      <c r="R2157" s="51"/>
      <c r="S2157" s="51"/>
    </row>
    <row r="2158" spans="9:19" x14ac:dyDescent="0.25">
      <c r="I2158" s="1"/>
      <c r="J2158" s="71"/>
      <c r="M2158" s="46"/>
      <c r="R2158" s="51"/>
      <c r="S2158" s="51"/>
    </row>
    <row r="2159" spans="9:19" x14ac:dyDescent="0.25">
      <c r="I2159" s="1"/>
      <c r="J2159" s="71"/>
      <c r="M2159" s="46"/>
      <c r="R2159" s="51"/>
      <c r="S2159" s="51"/>
    </row>
    <row r="2160" spans="9:19" x14ac:dyDescent="0.25">
      <c r="I2160" s="1"/>
      <c r="J2160" s="71"/>
      <c r="M2160" s="46"/>
      <c r="R2160" s="51"/>
      <c r="S2160" s="51"/>
    </row>
    <row r="2161" spans="9:19" x14ac:dyDescent="0.25">
      <c r="I2161" s="1"/>
      <c r="J2161" s="71"/>
      <c r="M2161" s="46"/>
      <c r="R2161" s="51"/>
      <c r="S2161" s="51"/>
    </row>
    <row r="2162" spans="9:19" x14ac:dyDescent="0.25">
      <c r="I2162" s="1"/>
      <c r="J2162" s="71"/>
      <c r="M2162" s="46"/>
      <c r="R2162" s="51"/>
      <c r="S2162" s="51"/>
    </row>
    <row r="2163" spans="9:19" x14ac:dyDescent="0.25">
      <c r="I2163" s="1"/>
      <c r="J2163" s="71"/>
      <c r="M2163" s="46"/>
      <c r="R2163" s="51"/>
      <c r="S2163" s="51"/>
    </row>
    <row r="2164" spans="9:19" x14ac:dyDescent="0.25">
      <c r="I2164" s="1"/>
      <c r="J2164" s="71"/>
      <c r="M2164" s="46"/>
      <c r="R2164" s="51"/>
      <c r="S2164" s="51"/>
    </row>
    <row r="2165" spans="9:19" x14ac:dyDescent="0.25">
      <c r="I2165" s="1"/>
      <c r="J2165" s="71"/>
      <c r="M2165" s="46"/>
      <c r="R2165" s="51"/>
      <c r="S2165" s="51"/>
    </row>
    <row r="2166" spans="9:19" x14ac:dyDescent="0.25">
      <c r="I2166" s="1"/>
      <c r="J2166" s="71"/>
      <c r="M2166" s="46"/>
      <c r="R2166" s="51"/>
      <c r="S2166" s="51"/>
    </row>
    <row r="2167" spans="9:19" x14ac:dyDescent="0.25">
      <c r="I2167" s="1"/>
      <c r="J2167" s="71"/>
      <c r="M2167" s="46"/>
      <c r="R2167" s="51"/>
      <c r="S2167" s="51"/>
    </row>
    <row r="2168" spans="9:19" x14ac:dyDescent="0.25">
      <c r="I2168" s="1"/>
      <c r="J2168" s="71"/>
      <c r="M2168" s="46"/>
      <c r="R2168" s="51"/>
      <c r="S2168" s="51"/>
    </row>
    <row r="2169" spans="9:19" x14ac:dyDescent="0.25">
      <c r="I2169" s="1"/>
      <c r="J2169" s="71"/>
      <c r="M2169" s="46"/>
      <c r="R2169" s="51"/>
      <c r="S2169" s="51"/>
    </row>
    <row r="2170" spans="9:19" x14ac:dyDescent="0.25">
      <c r="I2170" s="1"/>
      <c r="J2170" s="71"/>
      <c r="M2170" s="46"/>
      <c r="R2170" s="51"/>
      <c r="S2170" s="51"/>
    </row>
    <row r="2171" spans="9:19" x14ac:dyDescent="0.25">
      <c r="I2171" s="1"/>
      <c r="J2171" s="71"/>
      <c r="M2171" s="46"/>
      <c r="R2171" s="51"/>
      <c r="S2171" s="51"/>
    </row>
    <row r="2172" spans="9:19" x14ac:dyDescent="0.25">
      <c r="I2172" s="1"/>
      <c r="J2172" s="71"/>
      <c r="M2172" s="46"/>
      <c r="R2172" s="51"/>
      <c r="S2172" s="51"/>
    </row>
    <row r="2173" spans="9:19" x14ac:dyDescent="0.25">
      <c r="I2173" s="1"/>
      <c r="J2173" s="71"/>
      <c r="M2173" s="46"/>
      <c r="R2173" s="51"/>
      <c r="S2173" s="51"/>
    </row>
    <row r="2174" spans="9:19" x14ac:dyDescent="0.25">
      <c r="I2174" s="1"/>
      <c r="J2174" s="71"/>
      <c r="M2174" s="46"/>
      <c r="R2174" s="51"/>
      <c r="S2174" s="51"/>
    </row>
    <row r="2175" spans="9:19" x14ac:dyDescent="0.25">
      <c r="I2175" s="1"/>
      <c r="J2175" s="71"/>
      <c r="M2175" s="46"/>
      <c r="R2175" s="51"/>
      <c r="S2175" s="51"/>
    </row>
    <row r="2176" spans="9:19" x14ac:dyDescent="0.25">
      <c r="I2176" s="1"/>
      <c r="J2176" s="71"/>
      <c r="M2176" s="46"/>
      <c r="R2176" s="51"/>
      <c r="S2176" s="51"/>
    </row>
    <row r="2177" spans="9:19" x14ac:dyDescent="0.25">
      <c r="I2177" s="1"/>
      <c r="J2177" s="71"/>
      <c r="M2177" s="46"/>
      <c r="R2177" s="51"/>
      <c r="S2177" s="51"/>
    </row>
    <row r="2178" spans="9:19" x14ac:dyDescent="0.25">
      <c r="I2178" s="1"/>
      <c r="J2178" s="71"/>
      <c r="M2178" s="46"/>
      <c r="R2178" s="51"/>
      <c r="S2178" s="51"/>
    </row>
    <row r="2179" spans="9:19" x14ac:dyDescent="0.25">
      <c r="I2179" s="1"/>
      <c r="J2179" s="71"/>
      <c r="M2179" s="46"/>
      <c r="R2179" s="51"/>
      <c r="S2179" s="51"/>
    </row>
    <row r="2180" spans="9:19" x14ac:dyDescent="0.25">
      <c r="I2180" s="1"/>
      <c r="J2180" s="71"/>
      <c r="M2180" s="46"/>
      <c r="R2180" s="51"/>
      <c r="S2180" s="51"/>
    </row>
    <row r="2181" spans="9:19" x14ac:dyDescent="0.25">
      <c r="I2181" s="1"/>
      <c r="J2181" s="71"/>
      <c r="M2181" s="46"/>
      <c r="R2181" s="51"/>
      <c r="S2181" s="51"/>
    </row>
    <row r="2182" spans="9:19" x14ac:dyDescent="0.25">
      <c r="I2182" s="1"/>
      <c r="J2182" s="71"/>
      <c r="M2182" s="46"/>
      <c r="R2182" s="51"/>
      <c r="S2182" s="51"/>
    </row>
    <row r="2183" spans="9:19" x14ac:dyDescent="0.25">
      <c r="I2183" s="1"/>
      <c r="J2183" s="71"/>
      <c r="M2183" s="46"/>
      <c r="R2183" s="51"/>
      <c r="S2183" s="51"/>
    </row>
    <row r="2184" spans="9:19" x14ac:dyDescent="0.25">
      <c r="I2184" s="1"/>
      <c r="J2184" s="71"/>
      <c r="M2184" s="46"/>
      <c r="R2184" s="51"/>
      <c r="S2184" s="51"/>
    </row>
    <row r="2185" spans="9:19" x14ac:dyDescent="0.25">
      <c r="I2185" s="1"/>
      <c r="J2185" s="71"/>
      <c r="M2185" s="46"/>
      <c r="R2185" s="51"/>
      <c r="S2185" s="51"/>
    </row>
    <row r="2186" spans="9:19" x14ac:dyDescent="0.25">
      <c r="I2186" s="1"/>
      <c r="J2186" s="71"/>
      <c r="M2186" s="46"/>
      <c r="R2186" s="51"/>
      <c r="S2186" s="51"/>
    </row>
    <row r="2187" spans="9:19" x14ac:dyDescent="0.25">
      <c r="I2187" s="1"/>
      <c r="J2187" s="71"/>
      <c r="M2187" s="46"/>
      <c r="R2187" s="51"/>
      <c r="S2187" s="51"/>
    </row>
    <row r="2188" spans="9:19" x14ac:dyDescent="0.25">
      <c r="I2188" s="1"/>
      <c r="J2188" s="71"/>
      <c r="M2188" s="46"/>
      <c r="R2188" s="51"/>
      <c r="S2188" s="51"/>
    </row>
    <row r="2189" spans="9:19" x14ac:dyDescent="0.25">
      <c r="I2189" s="1"/>
      <c r="J2189" s="71"/>
      <c r="M2189" s="46"/>
      <c r="R2189" s="51"/>
      <c r="S2189" s="51"/>
    </row>
    <row r="2190" spans="9:19" x14ac:dyDescent="0.25">
      <c r="I2190" s="1"/>
      <c r="J2190" s="71"/>
      <c r="M2190" s="46"/>
      <c r="R2190" s="51"/>
      <c r="S2190" s="51"/>
    </row>
    <row r="2191" spans="9:19" x14ac:dyDescent="0.25">
      <c r="I2191" s="1"/>
      <c r="J2191" s="71"/>
      <c r="M2191" s="46"/>
      <c r="R2191" s="51"/>
      <c r="S2191" s="51"/>
    </row>
    <row r="2192" spans="9:19" x14ac:dyDescent="0.25">
      <c r="I2192" s="1"/>
      <c r="J2192" s="71"/>
      <c r="M2192" s="46"/>
      <c r="R2192" s="51"/>
      <c r="S2192" s="51"/>
    </row>
    <row r="2193" spans="9:19" x14ac:dyDescent="0.25">
      <c r="I2193" s="1"/>
      <c r="J2193" s="71"/>
      <c r="M2193" s="46"/>
      <c r="R2193" s="51"/>
      <c r="S2193" s="51"/>
    </row>
    <row r="2194" spans="9:19" x14ac:dyDescent="0.25">
      <c r="I2194" s="1"/>
      <c r="J2194" s="71"/>
      <c r="M2194" s="46"/>
      <c r="R2194" s="51"/>
      <c r="S2194" s="51"/>
    </row>
    <row r="2195" spans="9:19" x14ac:dyDescent="0.25">
      <c r="I2195" s="1"/>
      <c r="J2195" s="71"/>
      <c r="M2195" s="46"/>
      <c r="R2195" s="51"/>
      <c r="S2195" s="51"/>
    </row>
    <row r="2196" spans="9:19" x14ac:dyDescent="0.25">
      <c r="I2196" s="1"/>
      <c r="J2196" s="71"/>
      <c r="M2196" s="46"/>
      <c r="R2196" s="51"/>
      <c r="S2196" s="51"/>
    </row>
    <row r="2197" spans="9:19" x14ac:dyDescent="0.25">
      <c r="I2197" s="1"/>
      <c r="J2197" s="71"/>
      <c r="M2197" s="46"/>
      <c r="R2197" s="51"/>
      <c r="S2197" s="51"/>
    </row>
    <row r="2198" spans="9:19" x14ac:dyDescent="0.25">
      <c r="I2198" s="1"/>
      <c r="J2198" s="71"/>
      <c r="M2198" s="46"/>
      <c r="R2198" s="51"/>
      <c r="S2198" s="51"/>
    </row>
    <row r="2199" spans="9:19" x14ac:dyDescent="0.25">
      <c r="I2199" s="1"/>
      <c r="J2199" s="71"/>
      <c r="M2199" s="46"/>
      <c r="R2199" s="51"/>
      <c r="S2199" s="51"/>
    </row>
    <row r="2200" spans="9:19" x14ac:dyDescent="0.25">
      <c r="I2200" s="1"/>
      <c r="J2200" s="71"/>
      <c r="M2200" s="46"/>
      <c r="R2200" s="51"/>
      <c r="S2200" s="51"/>
    </row>
    <row r="2201" spans="9:19" x14ac:dyDescent="0.25">
      <c r="I2201" s="1"/>
      <c r="J2201" s="71"/>
      <c r="M2201" s="46"/>
      <c r="R2201" s="51"/>
      <c r="S2201" s="51"/>
    </row>
    <row r="2202" spans="9:19" x14ac:dyDescent="0.25">
      <c r="I2202" s="1"/>
      <c r="J2202" s="71"/>
      <c r="M2202" s="46"/>
      <c r="R2202" s="51"/>
      <c r="S2202" s="51"/>
    </row>
    <row r="2203" spans="9:19" x14ac:dyDescent="0.25">
      <c r="I2203" s="1"/>
      <c r="J2203" s="71"/>
      <c r="M2203" s="46"/>
      <c r="R2203" s="51"/>
      <c r="S2203" s="51"/>
    </row>
    <row r="2204" spans="9:19" x14ac:dyDescent="0.25">
      <c r="I2204" s="1"/>
      <c r="J2204" s="71"/>
      <c r="M2204" s="46"/>
      <c r="R2204" s="51"/>
      <c r="S2204" s="51"/>
    </row>
    <row r="2205" spans="9:19" x14ac:dyDescent="0.25">
      <c r="I2205" s="1"/>
      <c r="J2205" s="71"/>
      <c r="M2205" s="46"/>
      <c r="R2205" s="51"/>
      <c r="S2205" s="51"/>
    </row>
    <row r="2206" spans="9:19" x14ac:dyDescent="0.25">
      <c r="I2206" s="1"/>
      <c r="J2206" s="71"/>
      <c r="M2206" s="46"/>
      <c r="R2206" s="51"/>
      <c r="S2206" s="51"/>
    </row>
    <row r="2207" spans="9:19" x14ac:dyDescent="0.25">
      <c r="I2207" s="1"/>
      <c r="J2207" s="71"/>
      <c r="M2207" s="46"/>
      <c r="R2207" s="51"/>
      <c r="S2207" s="51"/>
    </row>
    <row r="2208" spans="9:19" x14ac:dyDescent="0.25">
      <c r="I2208" s="1"/>
      <c r="J2208" s="71"/>
      <c r="M2208" s="46"/>
      <c r="R2208" s="51"/>
      <c r="S2208" s="51"/>
    </row>
    <row r="2209" spans="9:19" x14ac:dyDescent="0.25">
      <c r="I2209" s="1"/>
      <c r="J2209" s="71"/>
      <c r="M2209" s="46"/>
      <c r="R2209" s="51"/>
      <c r="S2209" s="51"/>
    </row>
    <row r="2210" spans="9:19" x14ac:dyDescent="0.25">
      <c r="I2210" s="1"/>
      <c r="J2210" s="71"/>
      <c r="M2210" s="46"/>
      <c r="R2210" s="51"/>
      <c r="S2210" s="51"/>
    </row>
    <row r="2211" spans="9:19" x14ac:dyDescent="0.25">
      <c r="I2211" s="1"/>
      <c r="J2211" s="71"/>
      <c r="M2211" s="46"/>
      <c r="R2211" s="51"/>
      <c r="S2211" s="51"/>
    </row>
    <row r="2212" spans="9:19" x14ac:dyDescent="0.25">
      <c r="I2212" s="1"/>
      <c r="J2212" s="71"/>
      <c r="M2212" s="46"/>
      <c r="R2212" s="51"/>
      <c r="S2212" s="51"/>
    </row>
    <row r="2213" spans="9:19" x14ac:dyDescent="0.25">
      <c r="I2213" s="1"/>
      <c r="J2213" s="71"/>
      <c r="M2213" s="46"/>
      <c r="R2213" s="51"/>
      <c r="S2213" s="51"/>
    </row>
    <row r="2214" spans="9:19" x14ac:dyDescent="0.25">
      <c r="I2214" s="1"/>
      <c r="J2214" s="71"/>
      <c r="M2214" s="46"/>
      <c r="R2214" s="51"/>
      <c r="S2214" s="51"/>
    </row>
    <row r="2215" spans="9:19" x14ac:dyDescent="0.25">
      <c r="I2215" s="1"/>
      <c r="J2215" s="71"/>
      <c r="M2215" s="46"/>
      <c r="R2215" s="51"/>
      <c r="S2215" s="51"/>
    </row>
    <row r="2216" spans="9:19" x14ac:dyDescent="0.25">
      <c r="I2216" s="1"/>
      <c r="J2216" s="71"/>
      <c r="M2216" s="46"/>
      <c r="R2216" s="51"/>
      <c r="S2216" s="51"/>
    </row>
    <row r="2217" spans="9:19" x14ac:dyDescent="0.25">
      <c r="I2217" s="1"/>
      <c r="J2217" s="71"/>
      <c r="M2217" s="46"/>
      <c r="R2217" s="51"/>
      <c r="S2217" s="51"/>
    </row>
    <row r="2218" spans="9:19" x14ac:dyDescent="0.25">
      <c r="I2218" s="1"/>
      <c r="J2218" s="71"/>
      <c r="M2218" s="46"/>
      <c r="R2218" s="51"/>
      <c r="S2218" s="51"/>
    </row>
    <row r="2219" spans="9:19" x14ac:dyDescent="0.25">
      <c r="I2219" s="1"/>
      <c r="J2219" s="71"/>
      <c r="M2219" s="46"/>
      <c r="R2219" s="51"/>
      <c r="S2219" s="51"/>
    </row>
    <row r="2220" spans="9:19" x14ac:dyDescent="0.25">
      <c r="I2220" s="1"/>
      <c r="J2220" s="71"/>
      <c r="M2220" s="46"/>
      <c r="R2220" s="51"/>
      <c r="S2220" s="51"/>
    </row>
    <row r="2221" spans="9:19" x14ac:dyDescent="0.25">
      <c r="I2221" s="1"/>
      <c r="J2221" s="71"/>
      <c r="M2221" s="46"/>
      <c r="R2221" s="51"/>
      <c r="S2221" s="51"/>
    </row>
    <row r="2222" spans="9:19" x14ac:dyDescent="0.25">
      <c r="I2222" s="1"/>
      <c r="J2222" s="71"/>
      <c r="M2222" s="46"/>
      <c r="R2222" s="51"/>
      <c r="S2222" s="51"/>
    </row>
    <row r="2223" spans="9:19" x14ac:dyDescent="0.25">
      <c r="I2223" s="1"/>
      <c r="J2223" s="71"/>
      <c r="M2223" s="46"/>
      <c r="R2223" s="51"/>
      <c r="S2223" s="51"/>
    </row>
    <row r="2224" spans="9:19" x14ac:dyDescent="0.25">
      <c r="I2224" s="1"/>
      <c r="J2224" s="71"/>
      <c r="M2224" s="46"/>
      <c r="R2224" s="51"/>
      <c r="S2224" s="51"/>
    </row>
    <row r="2225" spans="9:19" x14ac:dyDescent="0.25">
      <c r="I2225" s="1"/>
      <c r="J2225" s="71"/>
      <c r="M2225" s="46"/>
      <c r="R2225" s="51"/>
      <c r="S2225" s="51"/>
    </row>
    <row r="2226" spans="9:19" x14ac:dyDescent="0.25">
      <c r="I2226" s="1"/>
      <c r="J2226" s="71"/>
      <c r="M2226" s="46"/>
      <c r="R2226" s="51"/>
      <c r="S2226" s="51"/>
    </row>
    <row r="2227" spans="9:19" x14ac:dyDescent="0.25">
      <c r="I2227" s="1"/>
      <c r="J2227" s="71"/>
      <c r="M2227" s="46"/>
      <c r="R2227" s="51"/>
      <c r="S2227" s="51"/>
    </row>
    <row r="2228" spans="9:19" x14ac:dyDescent="0.25">
      <c r="I2228" s="1"/>
      <c r="J2228" s="71"/>
      <c r="M2228" s="46"/>
      <c r="R2228" s="51"/>
      <c r="S2228" s="51"/>
    </row>
    <row r="2229" spans="9:19" x14ac:dyDescent="0.25">
      <c r="I2229" s="1"/>
      <c r="J2229" s="71"/>
      <c r="M2229" s="46"/>
      <c r="R2229" s="51"/>
      <c r="S2229" s="51"/>
    </row>
    <row r="2230" spans="9:19" x14ac:dyDescent="0.25">
      <c r="I2230" s="1"/>
      <c r="J2230" s="71"/>
      <c r="M2230" s="46"/>
      <c r="R2230" s="51"/>
      <c r="S2230" s="51"/>
    </row>
    <row r="2231" spans="9:19" x14ac:dyDescent="0.25">
      <c r="I2231" s="1"/>
      <c r="J2231" s="71"/>
      <c r="M2231" s="46"/>
      <c r="R2231" s="51"/>
      <c r="S2231" s="51"/>
    </row>
    <row r="2232" spans="9:19" x14ac:dyDescent="0.25">
      <c r="I2232" s="1"/>
      <c r="J2232" s="71"/>
      <c r="M2232" s="46"/>
      <c r="R2232" s="51"/>
      <c r="S2232" s="51"/>
    </row>
    <row r="2233" spans="9:19" x14ac:dyDescent="0.25">
      <c r="I2233" s="1"/>
      <c r="J2233" s="71"/>
      <c r="M2233" s="46"/>
      <c r="R2233" s="51"/>
      <c r="S2233" s="51"/>
    </row>
    <row r="2234" spans="9:19" x14ac:dyDescent="0.25">
      <c r="I2234" s="1"/>
      <c r="J2234" s="71"/>
      <c r="M2234" s="46"/>
      <c r="R2234" s="51"/>
      <c r="S2234" s="51"/>
    </row>
    <row r="2235" spans="9:19" x14ac:dyDescent="0.25">
      <c r="I2235" s="1"/>
      <c r="J2235" s="71"/>
      <c r="M2235" s="46"/>
      <c r="R2235" s="51"/>
      <c r="S2235" s="51"/>
    </row>
    <row r="2236" spans="9:19" x14ac:dyDescent="0.25">
      <c r="I2236" s="1"/>
      <c r="J2236" s="71"/>
      <c r="M2236" s="46"/>
      <c r="R2236" s="51"/>
      <c r="S2236" s="51"/>
    </row>
    <row r="2237" spans="9:19" x14ac:dyDescent="0.25">
      <c r="I2237" s="1"/>
      <c r="J2237" s="71"/>
      <c r="M2237" s="46"/>
      <c r="R2237" s="51"/>
      <c r="S2237" s="51"/>
    </row>
    <row r="2238" spans="9:19" x14ac:dyDescent="0.25">
      <c r="I2238" s="1"/>
      <c r="J2238" s="71"/>
      <c r="M2238" s="46"/>
      <c r="R2238" s="51"/>
      <c r="S2238" s="51"/>
    </row>
    <row r="2239" spans="9:19" x14ac:dyDescent="0.25">
      <c r="I2239" s="1"/>
      <c r="J2239" s="71"/>
      <c r="M2239" s="46"/>
      <c r="R2239" s="51"/>
      <c r="S2239" s="51"/>
    </row>
    <row r="2240" spans="9:19" x14ac:dyDescent="0.25">
      <c r="I2240" s="1"/>
      <c r="J2240" s="71"/>
      <c r="M2240" s="46"/>
      <c r="R2240" s="51"/>
      <c r="S2240" s="51"/>
    </row>
    <row r="2241" spans="9:19" x14ac:dyDescent="0.25">
      <c r="I2241" s="1"/>
      <c r="J2241" s="71"/>
      <c r="M2241" s="46"/>
      <c r="R2241" s="51"/>
      <c r="S2241" s="51"/>
    </row>
    <row r="2242" spans="9:19" x14ac:dyDescent="0.25">
      <c r="I2242" s="1"/>
      <c r="J2242" s="71"/>
      <c r="M2242" s="46"/>
      <c r="R2242" s="51"/>
      <c r="S2242" s="51"/>
    </row>
    <row r="2243" spans="9:19" x14ac:dyDescent="0.25">
      <c r="I2243" s="1"/>
      <c r="J2243" s="71"/>
      <c r="M2243" s="46"/>
      <c r="R2243" s="51"/>
      <c r="S2243" s="51"/>
    </row>
    <row r="2244" spans="9:19" x14ac:dyDescent="0.25">
      <c r="I2244" s="1"/>
      <c r="J2244" s="71"/>
      <c r="M2244" s="46"/>
      <c r="R2244" s="51"/>
      <c r="S2244" s="51"/>
    </row>
    <row r="2245" spans="9:19" x14ac:dyDescent="0.25">
      <c r="I2245" s="1"/>
      <c r="J2245" s="71"/>
      <c r="M2245" s="46"/>
      <c r="R2245" s="51"/>
      <c r="S2245" s="51"/>
    </row>
    <row r="2246" spans="9:19" x14ac:dyDescent="0.25">
      <c r="I2246" s="1"/>
      <c r="J2246" s="71"/>
      <c r="M2246" s="46"/>
      <c r="R2246" s="51"/>
      <c r="S2246" s="51"/>
    </row>
    <row r="2247" spans="9:19" x14ac:dyDescent="0.25">
      <c r="I2247" s="1"/>
      <c r="J2247" s="71"/>
      <c r="M2247" s="46"/>
      <c r="R2247" s="51"/>
      <c r="S2247" s="51"/>
    </row>
    <row r="2248" spans="9:19" x14ac:dyDescent="0.25">
      <c r="I2248" s="1"/>
      <c r="J2248" s="71"/>
      <c r="M2248" s="46"/>
      <c r="R2248" s="51"/>
      <c r="S2248" s="51"/>
    </row>
    <row r="2249" spans="9:19" x14ac:dyDescent="0.25">
      <c r="I2249" s="1"/>
      <c r="J2249" s="71"/>
      <c r="M2249" s="46"/>
      <c r="R2249" s="51"/>
      <c r="S2249" s="51"/>
    </row>
    <row r="2250" spans="9:19" x14ac:dyDescent="0.25">
      <c r="I2250" s="1"/>
      <c r="J2250" s="71"/>
      <c r="M2250" s="46"/>
      <c r="R2250" s="51"/>
      <c r="S2250" s="51"/>
    </row>
    <row r="2251" spans="9:19" x14ac:dyDescent="0.25">
      <c r="I2251" s="1"/>
      <c r="J2251" s="71"/>
      <c r="M2251" s="46"/>
      <c r="R2251" s="51"/>
      <c r="S2251" s="51"/>
    </row>
    <row r="2252" spans="9:19" x14ac:dyDescent="0.25">
      <c r="I2252" s="1"/>
      <c r="J2252" s="71"/>
      <c r="M2252" s="46"/>
      <c r="R2252" s="51"/>
      <c r="S2252" s="51"/>
    </row>
    <row r="2253" spans="9:19" x14ac:dyDescent="0.25">
      <c r="I2253" s="1"/>
      <c r="J2253" s="71"/>
      <c r="M2253" s="46"/>
      <c r="R2253" s="51"/>
      <c r="S2253" s="51"/>
    </row>
    <row r="2254" spans="9:19" x14ac:dyDescent="0.25">
      <c r="I2254" s="1"/>
      <c r="J2254" s="71"/>
      <c r="M2254" s="46"/>
      <c r="R2254" s="51"/>
      <c r="S2254" s="51"/>
    </row>
    <row r="2255" spans="9:19" x14ac:dyDescent="0.25">
      <c r="I2255" s="1"/>
      <c r="J2255" s="71"/>
      <c r="M2255" s="46"/>
      <c r="R2255" s="51"/>
      <c r="S2255" s="51"/>
    </row>
    <row r="2256" spans="9:19" x14ac:dyDescent="0.25">
      <c r="I2256" s="1"/>
      <c r="J2256" s="71"/>
      <c r="M2256" s="46"/>
      <c r="R2256" s="51"/>
      <c r="S2256" s="51"/>
    </row>
    <row r="2257" spans="9:19" x14ac:dyDescent="0.25">
      <c r="I2257" s="1"/>
      <c r="J2257" s="71"/>
      <c r="M2257" s="46"/>
      <c r="R2257" s="51"/>
      <c r="S2257" s="51"/>
    </row>
    <row r="2258" spans="9:19" x14ac:dyDescent="0.25">
      <c r="I2258" s="1"/>
      <c r="J2258" s="71"/>
      <c r="M2258" s="46"/>
      <c r="R2258" s="51"/>
      <c r="S2258" s="51"/>
    </row>
    <row r="2259" spans="9:19" x14ac:dyDescent="0.25">
      <c r="I2259" s="1"/>
      <c r="J2259" s="71"/>
      <c r="M2259" s="46"/>
      <c r="R2259" s="51"/>
      <c r="S2259" s="51"/>
    </row>
    <row r="2260" spans="9:19" x14ac:dyDescent="0.25">
      <c r="I2260" s="1"/>
      <c r="J2260" s="71"/>
      <c r="M2260" s="46"/>
      <c r="R2260" s="51"/>
      <c r="S2260" s="51"/>
    </row>
    <row r="2261" spans="9:19" x14ac:dyDescent="0.25">
      <c r="I2261" s="1"/>
      <c r="J2261" s="71"/>
      <c r="M2261" s="46"/>
      <c r="R2261" s="51"/>
      <c r="S2261" s="51"/>
    </row>
    <row r="2262" spans="9:19" x14ac:dyDescent="0.25">
      <c r="I2262" s="1"/>
      <c r="J2262" s="71"/>
      <c r="M2262" s="46"/>
      <c r="R2262" s="51"/>
      <c r="S2262" s="51"/>
    </row>
    <row r="2263" spans="9:19" x14ac:dyDescent="0.25">
      <c r="I2263" s="1"/>
      <c r="J2263" s="71"/>
      <c r="M2263" s="46"/>
      <c r="R2263" s="51"/>
      <c r="S2263" s="51"/>
    </row>
    <row r="2264" spans="9:19" x14ac:dyDescent="0.25">
      <c r="I2264" s="1"/>
      <c r="J2264" s="71"/>
      <c r="M2264" s="46"/>
      <c r="R2264" s="51"/>
      <c r="S2264" s="51"/>
    </row>
    <row r="2265" spans="9:19" x14ac:dyDescent="0.25">
      <c r="I2265" s="1"/>
      <c r="J2265" s="71"/>
      <c r="M2265" s="46"/>
      <c r="R2265" s="51"/>
      <c r="S2265" s="51"/>
    </row>
    <row r="2266" spans="9:19" x14ac:dyDescent="0.25">
      <c r="I2266" s="1"/>
      <c r="J2266" s="71"/>
      <c r="M2266" s="46"/>
      <c r="R2266" s="51"/>
      <c r="S2266" s="51"/>
    </row>
    <row r="2267" spans="9:19" x14ac:dyDescent="0.25">
      <c r="I2267" s="1"/>
      <c r="J2267" s="71"/>
      <c r="M2267" s="46"/>
      <c r="R2267" s="51"/>
      <c r="S2267" s="51"/>
    </row>
    <row r="2268" spans="9:19" x14ac:dyDescent="0.25">
      <c r="I2268" s="1"/>
      <c r="J2268" s="71"/>
      <c r="M2268" s="46"/>
      <c r="R2268" s="51"/>
      <c r="S2268" s="51"/>
    </row>
    <row r="2269" spans="9:19" x14ac:dyDescent="0.25">
      <c r="I2269" s="1"/>
      <c r="J2269" s="71"/>
      <c r="M2269" s="46"/>
      <c r="R2269" s="51"/>
      <c r="S2269" s="51"/>
    </row>
    <row r="2270" spans="9:19" x14ac:dyDescent="0.25">
      <c r="I2270" s="1"/>
      <c r="J2270" s="71"/>
      <c r="M2270" s="46"/>
      <c r="R2270" s="51"/>
      <c r="S2270" s="51"/>
    </row>
    <row r="2271" spans="9:19" x14ac:dyDescent="0.25">
      <c r="I2271" s="1"/>
      <c r="J2271" s="71"/>
      <c r="M2271" s="46"/>
      <c r="R2271" s="51"/>
      <c r="S2271" s="51"/>
    </row>
    <row r="2272" spans="9:19" x14ac:dyDescent="0.25">
      <c r="I2272" s="1"/>
      <c r="J2272" s="71"/>
      <c r="M2272" s="46"/>
      <c r="R2272" s="51"/>
      <c r="S2272" s="51"/>
    </row>
    <row r="2273" spans="9:19" x14ac:dyDescent="0.25">
      <c r="I2273" s="1"/>
      <c r="J2273" s="71"/>
      <c r="M2273" s="46"/>
      <c r="R2273" s="51"/>
      <c r="S2273" s="51"/>
    </row>
    <row r="2274" spans="9:19" x14ac:dyDescent="0.25">
      <c r="I2274" s="1"/>
      <c r="J2274" s="71"/>
      <c r="M2274" s="46"/>
      <c r="R2274" s="51"/>
      <c r="S2274" s="51"/>
    </row>
    <row r="2275" spans="9:19" x14ac:dyDescent="0.25">
      <c r="I2275" s="1"/>
      <c r="J2275" s="71"/>
      <c r="M2275" s="46"/>
      <c r="R2275" s="51"/>
      <c r="S2275" s="51"/>
    </row>
    <row r="2276" spans="9:19" x14ac:dyDescent="0.25">
      <c r="I2276" s="1"/>
      <c r="J2276" s="71"/>
      <c r="M2276" s="46"/>
      <c r="R2276" s="51"/>
      <c r="S2276" s="51"/>
    </row>
    <row r="2277" spans="9:19" x14ac:dyDescent="0.25">
      <c r="I2277" s="1"/>
      <c r="J2277" s="71"/>
      <c r="M2277" s="46"/>
      <c r="R2277" s="51"/>
      <c r="S2277" s="51"/>
    </row>
    <row r="2278" spans="9:19" x14ac:dyDescent="0.25">
      <c r="I2278" s="1"/>
      <c r="J2278" s="71"/>
      <c r="M2278" s="46"/>
      <c r="R2278" s="51"/>
      <c r="S2278" s="51"/>
    </row>
    <row r="2279" spans="9:19" x14ac:dyDescent="0.25">
      <c r="I2279" s="1"/>
      <c r="J2279" s="71"/>
      <c r="M2279" s="46"/>
      <c r="R2279" s="51"/>
      <c r="S2279" s="51"/>
    </row>
    <row r="2280" spans="9:19" x14ac:dyDescent="0.25">
      <c r="I2280" s="1"/>
      <c r="J2280" s="71"/>
      <c r="M2280" s="46"/>
      <c r="R2280" s="51"/>
      <c r="S2280" s="51"/>
    </row>
    <row r="2281" spans="9:19" x14ac:dyDescent="0.25">
      <c r="I2281" s="1"/>
      <c r="J2281" s="71"/>
      <c r="M2281" s="46"/>
      <c r="R2281" s="51"/>
      <c r="S2281" s="51"/>
    </row>
    <row r="2282" spans="9:19" x14ac:dyDescent="0.25">
      <c r="I2282" s="1"/>
      <c r="J2282" s="71"/>
      <c r="M2282" s="46"/>
      <c r="R2282" s="51"/>
      <c r="S2282" s="51"/>
    </row>
    <row r="2283" spans="9:19" x14ac:dyDescent="0.25">
      <c r="I2283" s="1"/>
      <c r="J2283" s="71"/>
      <c r="M2283" s="46"/>
      <c r="R2283" s="51"/>
      <c r="S2283" s="51"/>
    </row>
    <row r="2284" spans="9:19" x14ac:dyDescent="0.25">
      <c r="I2284" s="1"/>
      <c r="J2284" s="71"/>
      <c r="M2284" s="46"/>
      <c r="R2284" s="51"/>
      <c r="S2284" s="51"/>
    </row>
    <row r="2285" spans="9:19" x14ac:dyDescent="0.25">
      <c r="I2285" s="1"/>
      <c r="J2285" s="71"/>
      <c r="M2285" s="46"/>
      <c r="R2285" s="51"/>
      <c r="S2285" s="51"/>
    </row>
    <row r="2286" spans="9:19" x14ac:dyDescent="0.25">
      <c r="I2286" s="1"/>
      <c r="J2286" s="71"/>
      <c r="M2286" s="46"/>
      <c r="R2286" s="51"/>
      <c r="S2286" s="51"/>
    </row>
    <row r="2287" spans="9:19" x14ac:dyDescent="0.25">
      <c r="I2287" s="1"/>
      <c r="J2287" s="71"/>
      <c r="M2287" s="46"/>
      <c r="R2287" s="51"/>
      <c r="S2287" s="51"/>
    </row>
    <row r="2288" spans="9:19" x14ac:dyDescent="0.25">
      <c r="I2288" s="1"/>
      <c r="J2288" s="71"/>
      <c r="M2288" s="46"/>
      <c r="R2288" s="51"/>
      <c r="S2288" s="51"/>
    </row>
    <row r="2289" spans="9:19" x14ac:dyDescent="0.25">
      <c r="I2289" s="1"/>
      <c r="J2289" s="71"/>
      <c r="M2289" s="46"/>
      <c r="R2289" s="51"/>
      <c r="S2289" s="51"/>
    </row>
    <row r="2290" spans="9:19" x14ac:dyDescent="0.25">
      <c r="I2290" s="1"/>
      <c r="J2290" s="71"/>
      <c r="M2290" s="46"/>
      <c r="R2290" s="51"/>
      <c r="S2290" s="51"/>
    </row>
    <row r="2291" spans="9:19" x14ac:dyDescent="0.25">
      <c r="I2291" s="1"/>
      <c r="J2291" s="71"/>
      <c r="M2291" s="46"/>
      <c r="R2291" s="51"/>
      <c r="S2291" s="51"/>
    </row>
    <row r="2292" spans="9:19" x14ac:dyDescent="0.25">
      <c r="I2292" s="1"/>
      <c r="J2292" s="71"/>
      <c r="M2292" s="46"/>
      <c r="R2292" s="51"/>
      <c r="S2292" s="51"/>
    </row>
    <row r="2293" spans="9:19" x14ac:dyDescent="0.25">
      <c r="I2293" s="1"/>
      <c r="J2293" s="71"/>
      <c r="M2293" s="46"/>
      <c r="R2293" s="51"/>
      <c r="S2293" s="51"/>
    </row>
    <row r="2294" spans="9:19" x14ac:dyDescent="0.25">
      <c r="I2294" s="1"/>
      <c r="J2294" s="71"/>
      <c r="M2294" s="46"/>
      <c r="R2294" s="51"/>
      <c r="S2294" s="51"/>
    </row>
    <row r="2295" spans="9:19" x14ac:dyDescent="0.25">
      <c r="I2295" s="1"/>
      <c r="J2295" s="71"/>
      <c r="M2295" s="46"/>
      <c r="R2295" s="51"/>
      <c r="S2295" s="51"/>
    </row>
    <row r="2296" spans="9:19" x14ac:dyDescent="0.25">
      <c r="I2296" s="1"/>
      <c r="J2296" s="71"/>
      <c r="M2296" s="46"/>
      <c r="R2296" s="51"/>
      <c r="S2296" s="51"/>
    </row>
    <row r="2297" spans="9:19" x14ac:dyDescent="0.25">
      <c r="I2297" s="1"/>
      <c r="J2297" s="71"/>
      <c r="M2297" s="46"/>
      <c r="R2297" s="51"/>
      <c r="S2297" s="51"/>
    </row>
    <row r="2298" spans="9:19" x14ac:dyDescent="0.25">
      <c r="I2298" s="1"/>
      <c r="J2298" s="71"/>
      <c r="M2298" s="46"/>
      <c r="R2298" s="51"/>
      <c r="S2298" s="51"/>
    </row>
    <row r="2299" spans="9:19" x14ac:dyDescent="0.25">
      <c r="I2299" s="1"/>
      <c r="J2299" s="71"/>
      <c r="M2299" s="46"/>
      <c r="R2299" s="51"/>
      <c r="S2299" s="51"/>
    </row>
    <row r="2300" spans="9:19" x14ac:dyDescent="0.25">
      <c r="I2300" s="1"/>
      <c r="J2300" s="71"/>
      <c r="M2300" s="46"/>
      <c r="R2300" s="51"/>
      <c r="S2300" s="51"/>
    </row>
    <row r="2301" spans="9:19" x14ac:dyDescent="0.25">
      <c r="I2301" s="1"/>
      <c r="J2301" s="71"/>
      <c r="M2301" s="46"/>
      <c r="R2301" s="51"/>
      <c r="S2301" s="51"/>
    </row>
    <row r="2302" spans="9:19" x14ac:dyDescent="0.25">
      <c r="I2302" s="1"/>
      <c r="J2302" s="71"/>
      <c r="M2302" s="46"/>
      <c r="R2302" s="51"/>
      <c r="S2302" s="51"/>
    </row>
    <row r="2303" spans="9:19" x14ac:dyDescent="0.25">
      <c r="I2303" s="1"/>
      <c r="J2303" s="71"/>
      <c r="M2303" s="46"/>
      <c r="R2303" s="51"/>
      <c r="S2303" s="51"/>
    </row>
    <row r="2304" spans="9:19" x14ac:dyDescent="0.25">
      <c r="I2304" s="1"/>
      <c r="J2304" s="71"/>
      <c r="M2304" s="46"/>
      <c r="R2304" s="51"/>
      <c r="S2304" s="51"/>
    </row>
    <row r="2305" spans="9:19" x14ac:dyDescent="0.25">
      <c r="I2305" s="1"/>
      <c r="J2305" s="71"/>
      <c r="M2305" s="46"/>
      <c r="R2305" s="51"/>
      <c r="S2305" s="51"/>
    </row>
    <row r="2306" spans="9:19" x14ac:dyDescent="0.25">
      <c r="I2306" s="1"/>
      <c r="J2306" s="71"/>
      <c r="M2306" s="46"/>
      <c r="R2306" s="51"/>
      <c r="S2306" s="51"/>
    </row>
    <row r="2307" spans="9:19" x14ac:dyDescent="0.25">
      <c r="I2307" s="1"/>
      <c r="J2307" s="71"/>
      <c r="M2307" s="46"/>
      <c r="R2307" s="51"/>
      <c r="S2307" s="51"/>
    </row>
    <row r="2308" spans="9:19" x14ac:dyDescent="0.25">
      <c r="I2308" s="1"/>
      <c r="J2308" s="71"/>
      <c r="M2308" s="46"/>
      <c r="R2308" s="51"/>
      <c r="S2308" s="51"/>
    </row>
    <row r="2309" spans="9:19" x14ac:dyDescent="0.25">
      <c r="I2309" s="1"/>
      <c r="J2309" s="71"/>
      <c r="M2309" s="46"/>
      <c r="R2309" s="51"/>
      <c r="S2309" s="51"/>
    </row>
    <row r="2310" spans="9:19" x14ac:dyDescent="0.25">
      <c r="I2310" s="1"/>
      <c r="J2310" s="71"/>
      <c r="M2310" s="46"/>
      <c r="R2310" s="51"/>
      <c r="S2310" s="51"/>
    </row>
    <row r="2311" spans="9:19" x14ac:dyDescent="0.25">
      <c r="I2311" s="1"/>
      <c r="J2311" s="71"/>
      <c r="M2311" s="46"/>
      <c r="R2311" s="51"/>
      <c r="S2311" s="51"/>
    </row>
    <row r="2312" spans="9:19" x14ac:dyDescent="0.25">
      <c r="I2312" s="1"/>
      <c r="J2312" s="71"/>
      <c r="M2312" s="46"/>
      <c r="R2312" s="51"/>
      <c r="S2312" s="51"/>
    </row>
    <row r="2313" spans="9:19" x14ac:dyDescent="0.25">
      <c r="I2313" s="1"/>
      <c r="J2313" s="71"/>
      <c r="M2313" s="46"/>
      <c r="R2313" s="51"/>
      <c r="S2313" s="51"/>
    </row>
    <row r="2314" spans="9:19" x14ac:dyDescent="0.25">
      <c r="I2314" s="1"/>
      <c r="J2314" s="71"/>
      <c r="M2314" s="46"/>
      <c r="R2314" s="51"/>
      <c r="S2314" s="51"/>
    </row>
    <row r="2315" spans="9:19" x14ac:dyDescent="0.25">
      <c r="I2315" s="1"/>
      <c r="J2315" s="71"/>
      <c r="M2315" s="46"/>
      <c r="R2315" s="51"/>
      <c r="S2315" s="51"/>
    </row>
    <row r="2316" spans="9:19" x14ac:dyDescent="0.25">
      <c r="I2316" s="1"/>
      <c r="J2316" s="71"/>
      <c r="M2316" s="46"/>
      <c r="R2316" s="51"/>
      <c r="S2316" s="51"/>
    </row>
    <row r="2317" spans="9:19" x14ac:dyDescent="0.25">
      <c r="I2317" s="1"/>
      <c r="J2317" s="71"/>
      <c r="M2317" s="46"/>
      <c r="R2317" s="51"/>
      <c r="S2317" s="51"/>
    </row>
    <row r="2318" spans="9:19" x14ac:dyDescent="0.25">
      <c r="I2318" s="1"/>
      <c r="J2318" s="71"/>
      <c r="M2318" s="46"/>
      <c r="R2318" s="51"/>
      <c r="S2318" s="51"/>
    </row>
    <row r="2319" spans="9:19" x14ac:dyDescent="0.25">
      <c r="I2319" s="1"/>
      <c r="J2319" s="71"/>
      <c r="M2319" s="46"/>
      <c r="R2319" s="51"/>
      <c r="S2319" s="51"/>
    </row>
    <row r="2320" spans="9:19" x14ac:dyDescent="0.25">
      <c r="I2320" s="1"/>
      <c r="J2320" s="71"/>
      <c r="M2320" s="46"/>
      <c r="R2320" s="51"/>
      <c r="S2320" s="51"/>
    </row>
    <row r="2321" spans="9:19" x14ac:dyDescent="0.25">
      <c r="I2321" s="1"/>
      <c r="J2321" s="71"/>
      <c r="M2321" s="46"/>
      <c r="R2321" s="51"/>
      <c r="S2321" s="51"/>
    </row>
    <row r="2322" spans="9:19" x14ac:dyDescent="0.25">
      <c r="I2322" s="1"/>
      <c r="J2322" s="71"/>
      <c r="M2322" s="46"/>
      <c r="R2322" s="51"/>
      <c r="S2322" s="51"/>
    </row>
    <row r="2323" spans="9:19" x14ac:dyDescent="0.25">
      <c r="I2323" s="1"/>
      <c r="J2323" s="71"/>
      <c r="M2323" s="46"/>
      <c r="R2323" s="51"/>
      <c r="S2323" s="51"/>
    </row>
    <row r="2324" spans="9:19" x14ac:dyDescent="0.25">
      <c r="I2324" s="1"/>
      <c r="J2324" s="71"/>
      <c r="M2324" s="46"/>
      <c r="R2324" s="51"/>
      <c r="S2324" s="51"/>
    </row>
    <row r="2325" spans="9:19" x14ac:dyDescent="0.25">
      <c r="I2325" s="1"/>
      <c r="J2325" s="71"/>
      <c r="M2325" s="46"/>
      <c r="R2325" s="51"/>
      <c r="S2325" s="51"/>
    </row>
    <row r="2326" spans="9:19" x14ac:dyDescent="0.25">
      <c r="I2326" s="1"/>
      <c r="J2326" s="71"/>
      <c r="M2326" s="46"/>
      <c r="R2326" s="51"/>
      <c r="S2326" s="51"/>
    </row>
    <row r="2327" spans="9:19" x14ac:dyDescent="0.25">
      <c r="I2327" s="1"/>
      <c r="J2327" s="71"/>
      <c r="M2327" s="46"/>
      <c r="R2327" s="51"/>
      <c r="S2327" s="51"/>
    </row>
    <row r="2328" spans="9:19" x14ac:dyDescent="0.25">
      <c r="I2328" s="1"/>
      <c r="J2328" s="71"/>
      <c r="M2328" s="46"/>
      <c r="R2328" s="51"/>
      <c r="S2328" s="51"/>
    </row>
    <row r="2329" spans="9:19" x14ac:dyDescent="0.25">
      <c r="I2329" s="1"/>
      <c r="J2329" s="71"/>
      <c r="M2329" s="46"/>
      <c r="R2329" s="51"/>
      <c r="S2329" s="51"/>
    </row>
    <row r="2330" spans="9:19" x14ac:dyDescent="0.25">
      <c r="I2330" s="1"/>
      <c r="J2330" s="71"/>
      <c r="M2330" s="46"/>
      <c r="R2330" s="51"/>
      <c r="S2330" s="51"/>
    </row>
    <row r="2331" spans="9:19" x14ac:dyDescent="0.25">
      <c r="I2331" s="1"/>
      <c r="J2331" s="71"/>
      <c r="M2331" s="46"/>
      <c r="R2331" s="51"/>
      <c r="S2331" s="51"/>
    </row>
    <row r="2332" spans="9:19" x14ac:dyDescent="0.25">
      <c r="I2332" s="1"/>
      <c r="J2332" s="71"/>
      <c r="M2332" s="46"/>
      <c r="R2332" s="51"/>
      <c r="S2332" s="51"/>
    </row>
    <row r="2333" spans="9:19" x14ac:dyDescent="0.25">
      <c r="I2333" s="1"/>
      <c r="J2333" s="71"/>
      <c r="M2333" s="46"/>
      <c r="R2333" s="51"/>
      <c r="S2333" s="51"/>
    </row>
    <row r="2334" spans="9:19" x14ac:dyDescent="0.25">
      <c r="I2334" s="1"/>
      <c r="J2334" s="71"/>
      <c r="M2334" s="46"/>
      <c r="R2334" s="51"/>
      <c r="S2334" s="51"/>
    </row>
    <row r="2335" spans="9:19" x14ac:dyDescent="0.25">
      <c r="I2335" s="1"/>
      <c r="J2335" s="71"/>
      <c r="M2335" s="46"/>
      <c r="R2335" s="51"/>
      <c r="S2335" s="51"/>
    </row>
    <row r="2336" spans="9:19" x14ac:dyDescent="0.25">
      <c r="I2336" s="1"/>
      <c r="J2336" s="71"/>
      <c r="M2336" s="46"/>
      <c r="R2336" s="51"/>
      <c r="S2336" s="51"/>
    </row>
    <row r="2337" spans="9:19" x14ac:dyDescent="0.25">
      <c r="I2337" s="1"/>
      <c r="J2337" s="71"/>
      <c r="M2337" s="46"/>
      <c r="R2337" s="51"/>
      <c r="S2337" s="51"/>
    </row>
    <row r="2338" spans="9:19" x14ac:dyDescent="0.25">
      <c r="I2338" s="1"/>
      <c r="J2338" s="71"/>
      <c r="M2338" s="46"/>
      <c r="R2338" s="51"/>
      <c r="S2338" s="51"/>
    </row>
    <row r="2339" spans="9:19" x14ac:dyDescent="0.25">
      <c r="I2339" s="1"/>
      <c r="J2339" s="71"/>
      <c r="M2339" s="46"/>
      <c r="R2339" s="51"/>
      <c r="S2339" s="51"/>
    </row>
    <row r="2340" spans="9:19" x14ac:dyDescent="0.25">
      <c r="I2340" s="1"/>
      <c r="J2340" s="71"/>
      <c r="M2340" s="46"/>
      <c r="R2340" s="51"/>
      <c r="S2340" s="51"/>
    </row>
    <row r="2341" spans="9:19" x14ac:dyDescent="0.25">
      <c r="I2341" s="1"/>
      <c r="J2341" s="71"/>
      <c r="M2341" s="46"/>
      <c r="R2341" s="51"/>
      <c r="S2341" s="51"/>
    </row>
    <row r="2342" spans="9:19" x14ac:dyDescent="0.25">
      <c r="I2342" s="1"/>
      <c r="J2342" s="71"/>
      <c r="M2342" s="46"/>
      <c r="R2342" s="51"/>
      <c r="S2342" s="51"/>
    </row>
    <row r="2343" spans="9:19" x14ac:dyDescent="0.25">
      <c r="I2343" s="1"/>
      <c r="J2343" s="71"/>
      <c r="M2343" s="46"/>
      <c r="R2343" s="51"/>
      <c r="S2343" s="51"/>
    </row>
    <row r="2344" spans="9:19" x14ac:dyDescent="0.25">
      <c r="I2344" s="1"/>
      <c r="J2344" s="71"/>
      <c r="M2344" s="46"/>
      <c r="R2344" s="51"/>
      <c r="S2344" s="51"/>
    </row>
    <row r="2345" spans="9:19" x14ac:dyDescent="0.25">
      <c r="I2345" s="1"/>
      <c r="J2345" s="71"/>
      <c r="M2345" s="46"/>
      <c r="R2345" s="51"/>
      <c r="S2345" s="51"/>
    </row>
    <row r="2346" spans="9:19" x14ac:dyDescent="0.25">
      <c r="I2346" s="1"/>
      <c r="J2346" s="71"/>
      <c r="M2346" s="46"/>
      <c r="R2346" s="51"/>
      <c r="S2346" s="51"/>
    </row>
    <row r="2347" spans="9:19" x14ac:dyDescent="0.25">
      <c r="I2347" s="1"/>
      <c r="J2347" s="71"/>
      <c r="M2347" s="46"/>
      <c r="R2347" s="51"/>
      <c r="S2347" s="51"/>
    </row>
    <row r="2348" spans="9:19" x14ac:dyDescent="0.25">
      <c r="I2348" s="1"/>
      <c r="J2348" s="71"/>
      <c r="M2348" s="46"/>
      <c r="R2348" s="51"/>
      <c r="S2348" s="51"/>
    </row>
    <row r="2349" spans="9:19" x14ac:dyDescent="0.25">
      <c r="I2349" s="1"/>
      <c r="J2349" s="71"/>
      <c r="M2349" s="46"/>
      <c r="R2349" s="51"/>
      <c r="S2349" s="51"/>
    </row>
    <row r="2350" spans="9:19" x14ac:dyDescent="0.25">
      <c r="I2350" s="1"/>
      <c r="J2350" s="71"/>
      <c r="M2350" s="46"/>
      <c r="R2350" s="51"/>
      <c r="S2350" s="51"/>
    </row>
    <row r="2351" spans="9:19" x14ac:dyDescent="0.25">
      <c r="I2351" s="1"/>
      <c r="J2351" s="71"/>
      <c r="M2351" s="46"/>
      <c r="R2351" s="51"/>
      <c r="S2351" s="51"/>
    </row>
    <row r="2352" spans="9:19" x14ac:dyDescent="0.25">
      <c r="I2352" s="1"/>
      <c r="J2352" s="71"/>
      <c r="M2352" s="46"/>
      <c r="R2352" s="51"/>
      <c r="S2352" s="51"/>
    </row>
    <row r="2353" spans="9:19" x14ac:dyDescent="0.25">
      <c r="I2353" s="1"/>
      <c r="J2353" s="71"/>
      <c r="M2353" s="46"/>
      <c r="R2353" s="51"/>
      <c r="S2353" s="51"/>
    </row>
    <row r="2354" spans="9:19" x14ac:dyDescent="0.25">
      <c r="I2354" s="1"/>
      <c r="J2354" s="71"/>
      <c r="M2354" s="46"/>
      <c r="R2354" s="51"/>
      <c r="S2354" s="51"/>
    </row>
    <row r="2355" spans="9:19" x14ac:dyDescent="0.25">
      <c r="I2355" s="1"/>
      <c r="J2355" s="71"/>
      <c r="M2355" s="46"/>
      <c r="R2355" s="51"/>
      <c r="S2355" s="51"/>
    </row>
    <row r="2356" spans="9:19" x14ac:dyDescent="0.25">
      <c r="I2356" s="1"/>
      <c r="J2356" s="71"/>
      <c r="M2356" s="46"/>
      <c r="R2356" s="51"/>
      <c r="S2356" s="51"/>
    </row>
    <row r="2357" spans="9:19" x14ac:dyDescent="0.25">
      <c r="I2357" s="1"/>
      <c r="J2357" s="71"/>
      <c r="M2357" s="46"/>
      <c r="R2357" s="51"/>
      <c r="S2357" s="51"/>
    </row>
    <row r="2358" spans="9:19" x14ac:dyDescent="0.25">
      <c r="I2358" s="1"/>
      <c r="J2358" s="71"/>
      <c r="M2358" s="46"/>
      <c r="R2358" s="51"/>
      <c r="S2358" s="51"/>
    </row>
    <row r="2359" spans="9:19" x14ac:dyDescent="0.25">
      <c r="I2359" s="1"/>
      <c r="J2359" s="71"/>
      <c r="M2359" s="46"/>
      <c r="R2359" s="51"/>
      <c r="S2359" s="51"/>
    </row>
    <row r="2360" spans="9:19" x14ac:dyDescent="0.25">
      <c r="I2360" s="1"/>
      <c r="J2360" s="71"/>
      <c r="M2360" s="46"/>
      <c r="R2360" s="51"/>
      <c r="S2360" s="51"/>
    </row>
    <row r="2361" spans="9:19" x14ac:dyDescent="0.25">
      <c r="I2361" s="1"/>
      <c r="J2361" s="71"/>
      <c r="M2361" s="46"/>
      <c r="R2361" s="51"/>
      <c r="S2361" s="51"/>
    </row>
    <row r="2362" spans="9:19" x14ac:dyDescent="0.25">
      <c r="I2362" s="1"/>
      <c r="J2362" s="71"/>
      <c r="M2362" s="46"/>
      <c r="R2362" s="51"/>
      <c r="S2362" s="51"/>
    </row>
    <row r="2363" spans="9:19" x14ac:dyDescent="0.25">
      <c r="I2363" s="1"/>
      <c r="J2363" s="71"/>
      <c r="M2363" s="46"/>
      <c r="R2363" s="51"/>
      <c r="S2363" s="51"/>
    </row>
    <row r="2364" spans="9:19" x14ac:dyDescent="0.25">
      <c r="I2364" s="1"/>
      <c r="J2364" s="71"/>
      <c r="M2364" s="46"/>
      <c r="R2364" s="51"/>
      <c r="S2364" s="51"/>
    </row>
    <row r="2365" spans="9:19" x14ac:dyDescent="0.25">
      <c r="I2365" s="1"/>
      <c r="J2365" s="71"/>
      <c r="M2365" s="46"/>
      <c r="R2365" s="51"/>
      <c r="S2365" s="51"/>
    </row>
    <row r="2366" spans="9:19" x14ac:dyDescent="0.25">
      <c r="I2366" s="1"/>
      <c r="J2366" s="71"/>
      <c r="M2366" s="46"/>
      <c r="R2366" s="51"/>
      <c r="S2366" s="51"/>
    </row>
    <row r="2367" spans="9:19" x14ac:dyDescent="0.25">
      <c r="I2367" s="1"/>
      <c r="J2367" s="71"/>
      <c r="M2367" s="46"/>
      <c r="R2367" s="51"/>
      <c r="S2367" s="51"/>
    </row>
    <row r="2368" spans="9:19" x14ac:dyDescent="0.25">
      <c r="I2368" s="1"/>
      <c r="J2368" s="71"/>
      <c r="M2368" s="46"/>
      <c r="R2368" s="51"/>
      <c r="S2368" s="51"/>
    </row>
    <row r="2369" spans="9:19" x14ac:dyDescent="0.25">
      <c r="I2369" s="1"/>
      <c r="J2369" s="71"/>
      <c r="M2369" s="46"/>
      <c r="R2369" s="51"/>
      <c r="S2369" s="51"/>
    </row>
    <row r="2370" spans="9:19" x14ac:dyDescent="0.25">
      <c r="I2370" s="1"/>
      <c r="J2370" s="71"/>
      <c r="M2370" s="46"/>
      <c r="R2370" s="51"/>
      <c r="S2370" s="51"/>
    </row>
    <row r="2371" spans="9:19" x14ac:dyDescent="0.25">
      <c r="I2371" s="1"/>
      <c r="J2371" s="71"/>
      <c r="M2371" s="46"/>
      <c r="R2371" s="51"/>
      <c r="S2371" s="51"/>
    </row>
    <row r="2372" spans="9:19" x14ac:dyDescent="0.25">
      <c r="I2372" s="1"/>
      <c r="J2372" s="71"/>
      <c r="M2372" s="46"/>
      <c r="R2372" s="51"/>
      <c r="S2372" s="51"/>
    </row>
    <row r="2373" spans="9:19" x14ac:dyDescent="0.25">
      <c r="I2373" s="1"/>
      <c r="J2373" s="71"/>
      <c r="M2373" s="46"/>
      <c r="R2373" s="51"/>
      <c r="S2373" s="51"/>
    </row>
    <row r="2374" spans="9:19" x14ac:dyDescent="0.25">
      <c r="I2374" s="1"/>
      <c r="J2374" s="71"/>
      <c r="M2374" s="46"/>
      <c r="R2374" s="51"/>
      <c r="S2374" s="51"/>
    </row>
    <row r="2375" spans="9:19" x14ac:dyDescent="0.25">
      <c r="I2375" s="1"/>
      <c r="J2375" s="71"/>
      <c r="M2375" s="46"/>
      <c r="R2375" s="51"/>
      <c r="S2375" s="51"/>
    </row>
    <row r="2376" spans="9:19" x14ac:dyDescent="0.25">
      <c r="I2376" s="1"/>
      <c r="J2376" s="71"/>
      <c r="M2376" s="46"/>
      <c r="R2376" s="51"/>
      <c r="S2376" s="51"/>
    </row>
    <row r="2377" spans="9:19" x14ac:dyDescent="0.25">
      <c r="I2377" s="1"/>
      <c r="J2377" s="71"/>
      <c r="M2377" s="46"/>
      <c r="R2377" s="51"/>
      <c r="S2377" s="51"/>
    </row>
    <row r="2378" spans="9:19" x14ac:dyDescent="0.25">
      <c r="I2378" s="1"/>
      <c r="J2378" s="71"/>
      <c r="M2378" s="46"/>
      <c r="R2378" s="51"/>
      <c r="S2378" s="51"/>
    </row>
    <row r="2379" spans="9:19" x14ac:dyDescent="0.25">
      <c r="I2379" s="1"/>
      <c r="J2379" s="71"/>
      <c r="M2379" s="46"/>
      <c r="R2379" s="51"/>
      <c r="S2379" s="51"/>
    </row>
    <row r="2380" spans="9:19" x14ac:dyDescent="0.25">
      <c r="I2380" s="1"/>
      <c r="J2380" s="71"/>
      <c r="M2380" s="46"/>
      <c r="R2380" s="51"/>
      <c r="S2380" s="51"/>
    </row>
    <row r="2381" spans="9:19" x14ac:dyDescent="0.25">
      <c r="I2381" s="1"/>
      <c r="J2381" s="71"/>
      <c r="M2381" s="46"/>
      <c r="R2381" s="51"/>
      <c r="S2381" s="51"/>
    </row>
    <row r="2382" spans="9:19" x14ac:dyDescent="0.25">
      <c r="I2382" s="1"/>
      <c r="J2382" s="71"/>
      <c r="M2382" s="46"/>
      <c r="R2382" s="51"/>
      <c r="S2382" s="51"/>
    </row>
    <row r="2383" spans="9:19" x14ac:dyDescent="0.25">
      <c r="I2383" s="1"/>
      <c r="J2383" s="71"/>
      <c r="M2383" s="46"/>
      <c r="R2383" s="51"/>
      <c r="S2383" s="51"/>
    </row>
    <row r="2384" spans="9:19" x14ac:dyDescent="0.25">
      <c r="I2384" s="1"/>
      <c r="J2384" s="71"/>
      <c r="M2384" s="46"/>
      <c r="R2384" s="51"/>
      <c r="S2384" s="51"/>
    </row>
    <row r="2385" spans="9:19" x14ac:dyDescent="0.25">
      <c r="I2385" s="1"/>
      <c r="J2385" s="71"/>
      <c r="M2385" s="46"/>
      <c r="R2385" s="51"/>
      <c r="S2385" s="51"/>
    </row>
    <row r="2386" spans="9:19" x14ac:dyDescent="0.25">
      <c r="I2386" s="1"/>
      <c r="J2386" s="71"/>
      <c r="M2386" s="46"/>
      <c r="R2386" s="51"/>
      <c r="S2386" s="51"/>
    </row>
    <row r="2387" spans="9:19" x14ac:dyDescent="0.25">
      <c r="I2387" s="1"/>
      <c r="J2387" s="71"/>
      <c r="M2387" s="46"/>
      <c r="R2387" s="51"/>
      <c r="S2387" s="51"/>
    </row>
    <row r="2388" spans="9:19" x14ac:dyDescent="0.25">
      <c r="I2388" s="1"/>
      <c r="J2388" s="71"/>
      <c r="M2388" s="46"/>
      <c r="R2388" s="51"/>
      <c r="S2388" s="51"/>
    </row>
    <row r="2389" spans="9:19" x14ac:dyDescent="0.25">
      <c r="I2389" s="1"/>
      <c r="J2389" s="71"/>
      <c r="M2389" s="46"/>
      <c r="R2389" s="51"/>
      <c r="S2389" s="51"/>
    </row>
    <row r="2390" spans="9:19" x14ac:dyDescent="0.25">
      <c r="I2390" s="1"/>
      <c r="J2390" s="71"/>
      <c r="M2390" s="46"/>
      <c r="R2390" s="51"/>
      <c r="S2390" s="51"/>
    </row>
    <row r="2391" spans="9:19" x14ac:dyDescent="0.25">
      <c r="I2391" s="1"/>
      <c r="J2391" s="71"/>
      <c r="M2391" s="46"/>
      <c r="R2391" s="51"/>
      <c r="S2391" s="51"/>
    </row>
    <row r="2392" spans="9:19" x14ac:dyDescent="0.25">
      <c r="I2392" s="1"/>
      <c r="J2392" s="71"/>
      <c r="M2392" s="46"/>
      <c r="R2392" s="51"/>
      <c r="S2392" s="51"/>
    </row>
    <row r="2393" spans="9:19" x14ac:dyDescent="0.25">
      <c r="I2393" s="1"/>
      <c r="J2393" s="71"/>
      <c r="M2393" s="46"/>
      <c r="R2393" s="51"/>
      <c r="S2393" s="51"/>
    </row>
    <row r="2394" spans="9:19" x14ac:dyDescent="0.25">
      <c r="I2394" s="1"/>
      <c r="J2394" s="71"/>
      <c r="M2394" s="46"/>
      <c r="R2394" s="51"/>
      <c r="S2394" s="51"/>
    </row>
    <row r="2395" spans="9:19" x14ac:dyDescent="0.25">
      <c r="I2395" s="1"/>
      <c r="J2395" s="71"/>
      <c r="M2395" s="46"/>
      <c r="R2395" s="51"/>
      <c r="S2395" s="51"/>
    </row>
    <row r="2396" spans="9:19" x14ac:dyDescent="0.25">
      <c r="I2396" s="1"/>
      <c r="J2396" s="71"/>
      <c r="M2396" s="46"/>
      <c r="R2396" s="51"/>
      <c r="S2396" s="51"/>
    </row>
    <row r="2397" spans="9:19" x14ac:dyDescent="0.25">
      <c r="I2397" s="1"/>
      <c r="J2397" s="71"/>
      <c r="M2397" s="46"/>
      <c r="R2397" s="51"/>
      <c r="S2397" s="51"/>
    </row>
    <row r="2398" spans="9:19" x14ac:dyDescent="0.25">
      <c r="I2398" s="1"/>
      <c r="J2398" s="71"/>
      <c r="M2398" s="46"/>
      <c r="R2398" s="51"/>
      <c r="S2398" s="51"/>
    </row>
    <row r="2399" spans="9:19" x14ac:dyDescent="0.25">
      <c r="I2399" s="1"/>
      <c r="J2399" s="71"/>
      <c r="M2399" s="46"/>
      <c r="R2399" s="51"/>
      <c r="S2399" s="51"/>
    </row>
    <row r="2400" spans="9:19" x14ac:dyDescent="0.25">
      <c r="I2400" s="1"/>
      <c r="J2400" s="71"/>
      <c r="M2400" s="46"/>
      <c r="R2400" s="51"/>
      <c r="S2400" s="51"/>
    </row>
    <row r="2401" spans="9:19" x14ac:dyDescent="0.25">
      <c r="I2401" s="1"/>
      <c r="J2401" s="71"/>
      <c r="M2401" s="46"/>
      <c r="R2401" s="51"/>
      <c r="S2401" s="51"/>
    </row>
    <row r="2402" spans="9:19" x14ac:dyDescent="0.25">
      <c r="I2402" s="1"/>
      <c r="J2402" s="71"/>
      <c r="M2402" s="46"/>
      <c r="R2402" s="51"/>
      <c r="S2402" s="51"/>
    </row>
    <row r="2403" spans="9:19" x14ac:dyDescent="0.25">
      <c r="I2403" s="1"/>
      <c r="J2403" s="71"/>
      <c r="M2403" s="46"/>
      <c r="R2403" s="51"/>
      <c r="S2403" s="51"/>
    </row>
    <row r="2404" spans="9:19" x14ac:dyDescent="0.25">
      <c r="I2404" s="1"/>
      <c r="J2404" s="71"/>
      <c r="M2404" s="46"/>
      <c r="R2404" s="51"/>
      <c r="S2404" s="51"/>
    </row>
    <row r="2405" spans="9:19" x14ac:dyDescent="0.25">
      <c r="I2405" s="1"/>
      <c r="J2405" s="71"/>
      <c r="M2405" s="46"/>
      <c r="R2405" s="51"/>
      <c r="S2405" s="51"/>
    </row>
    <row r="2406" spans="9:19" x14ac:dyDescent="0.25">
      <c r="I2406" s="1"/>
      <c r="J2406" s="71"/>
      <c r="M2406" s="46"/>
      <c r="R2406" s="51"/>
      <c r="S2406" s="51"/>
    </row>
    <row r="2407" spans="9:19" x14ac:dyDescent="0.25">
      <c r="I2407" s="1"/>
      <c r="J2407" s="71"/>
      <c r="M2407" s="46"/>
      <c r="R2407" s="51"/>
      <c r="S2407" s="51"/>
    </row>
    <row r="2408" spans="9:19" x14ac:dyDescent="0.25">
      <c r="I2408" s="1"/>
      <c r="J2408" s="71"/>
      <c r="M2408" s="46"/>
      <c r="R2408" s="51"/>
      <c r="S2408" s="51"/>
    </row>
    <row r="2409" spans="9:19" x14ac:dyDescent="0.25">
      <c r="I2409" s="1"/>
      <c r="J2409" s="71"/>
      <c r="M2409" s="46"/>
      <c r="R2409" s="51"/>
      <c r="S2409" s="51"/>
    </row>
    <row r="2410" spans="9:19" x14ac:dyDescent="0.25">
      <c r="I2410" s="1"/>
      <c r="J2410" s="71"/>
      <c r="M2410" s="46"/>
      <c r="R2410" s="51"/>
      <c r="S2410" s="51"/>
    </row>
    <row r="2411" spans="9:19" x14ac:dyDescent="0.25">
      <c r="I2411" s="1"/>
      <c r="J2411" s="71"/>
      <c r="M2411" s="46"/>
      <c r="R2411" s="51"/>
      <c r="S2411" s="51"/>
    </row>
    <row r="2412" spans="9:19" x14ac:dyDescent="0.25">
      <c r="I2412" s="1"/>
      <c r="J2412" s="71"/>
      <c r="M2412" s="46"/>
      <c r="R2412" s="51"/>
      <c r="S2412" s="51"/>
    </row>
    <row r="2413" spans="9:19" x14ac:dyDescent="0.25">
      <c r="I2413" s="1"/>
      <c r="J2413" s="71"/>
      <c r="M2413" s="46"/>
      <c r="R2413" s="51"/>
      <c r="S2413" s="51"/>
    </row>
    <row r="2414" spans="9:19" x14ac:dyDescent="0.25">
      <c r="I2414" s="1"/>
      <c r="J2414" s="71"/>
      <c r="M2414" s="46"/>
      <c r="R2414" s="51"/>
      <c r="S2414" s="51"/>
    </row>
    <row r="2415" spans="9:19" x14ac:dyDescent="0.25">
      <c r="I2415" s="1"/>
      <c r="J2415" s="71"/>
      <c r="M2415" s="46"/>
      <c r="R2415" s="51"/>
      <c r="S2415" s="51"/>
    </row>
    <row r="2416" spans="9:19" x14ac:dyDescent="0.25">
      <c r="I2416" s="1"/>
      <c r="J2416" s="71"/>
      <c r="M2416" s="46"/>
      <c r="R2416" s="51"/>
      <c r="S2416" s="51"/>
    </row>
    <row r="2417" spans="9:19" x14ac:dyDescent="0.25">
      <c r="I2417" s="1"/>
      <c r="J2417" s="71"/>
      <c r="M2417" s="46"/>
      <c r="R2417" s="51"/>
      <c r="S2417" s="51"/>
    </row>
    <row r="2418" spans="9:19" x14ac:dyDescent="0.25">
      <c r="I2418" s="1"/>
      <c r="J2418" s="71"/>
      <c r="M2418" s="46"/>
      <c r="R2418" s="51"/>
      <c r="S2418" s="51"/>
    </row>
    <row r="2419" spans="9:19" x14ac:dyDescent="0.25">
      <c r="I2419" s="1"/>
      <c r="J2419" s="71"/>
      <c r="M2419" s="46"/>
      <c r="R2419" s="51"/>
      <c r="S2419" s="51"/>
    </row>
    <row r="2420" spans="9:19" x14ac:dyDescent="0.25">
      <c r="I2420" s="1"/>
      <c r="J2420" s="71"/>
      <c r="M2420" s="46"/>
      <c r="R2420" s="51"/>
      <c r="S2420" s="51"/>
    </row>
    <row r="2421" spans="9:19" x14ac:dyDescent="0.25">
      <c r="I2421" s="1"/>
      <c r="J2421" s="71"/>
      <c r="M2421" s="46"/>
      <c r="R2421" s="51"/>
      <c r="S2421" s="51"/>
    </row>
    <row r="2422" spans="9:19" x14ac:dyDescent="0.25">
      <c r="I2422" s="1"/>
      <c r="J2422" s="71"/>
      <c r="M2422" s="46"/>
      <c r="R2422" s="51"/>
      <c r="S2422" s="51"/>
    </row>
    <row r="2423" spans="9:19" x14ac:dyDescent="0.25">
      <c r="I2423" s="1"/>
      <c r="J2423" s="71"/>
      <c r="M2423" s="46"/>
      <c r="R2423" s="51"/>
      <c r="S2423" s="51"/>
    </row>
    <row r="2424" spans="9:19" x14ac:dyDescent="0.25">
      <c r="I2424" s="1"/>
      <c r="J2424" s="71"/>
      <c r="M2424" s="46"/>
      <c r="R2424" s="51"/>
      <c r="S2424" s="51"/>
    </row>
    <row r="2425" spans="9:19" x14ac:dyDescent="0.25">
      <c r="I2425" s="1"/>
      <c r="J2425" s="71"/>
      <c r="M2425" s="46"/>
      <c r="R2425" s="51"/>
      <c r="S2425" s="51"/>
    </row>
    <row r="2426" spans="9:19" x14ac:dyDescent="0.25">
      <c r="I2426" s="1"/>
      <c r="J2426" s="71"/>
      <c r="M2426" s="46"/>
      <c r="R2426" s="51"/>
      <c r="S2426" s="51"/>
    </row>
    <row r="2427" spans="9:19" x14ac:dyDescent="0.25">
      <c r="I2427" s="1"/>
      <c r="J2427" s="71"/>
      <c r="M2427" s="46"/>
      <c r="R2427" s="51"/>
      <c r="S2427" s="51"/>
    </row>
    <row r="2428" spans="9:19" x14ac:dyDescent="0.25">
      <c r="I2428" s="1"/>
      <c r="J2428" s="71"/>
      <c r="M2428" s="46"/>
      <c r="R2428" s="51"/>
      <c r="S2428" s="51"/>
    </row>
    <row r="2429" spans="9:19" x14ac:dyDescent="0.25">
      <c r="I2429" s="1"/>
      <c r="J2429" s="71"/>
      <c r="M2429" s="46"/>
      <c r="R2429" s="51"/>
      <c r="S2429" s="51"/>
    </row>
    <row r="2430" spans="9:19" x14ac:dyDescent="0.25">
      <c r="I2430" s="1"/>
      <c r="J2430" s="71"/>
      <c r="M2430" s="46"/>
      <c r="R2430" s="51"/>
      <c r="S2430" s="51"/>
    </row>
    <row r="2431" spans="9:19" x14ac:dyDescent="0.25">
      <c r="I2431" s="1"/>
      <c r="J2431" s="71"/>
      <c r="M2431" s="46"/>
      <c r="R2431" s="51"/>
      <c r="S2431" s="51"/>
    </row>
    <row r="2432" spans="9:19" x14ac:dyDescent="0.25">
      <c r="I2432" s="1"/>
      <c r="J2432" s="71"/>
      <c r="M2432" s="46"/>
      <c r="R2432" s="51"/>
      <c r="S2432" s="51"/>
    </row>
    <row r="2433" spans="9:19" x14ac:dyDescent="0.25">
      <c r="I2433" s="1"/>
      <c r="J2433" s="71"/>
      <c r="M2433" s="46"/>
      <c r="R2433" s="51"/>
      <c r="S2433" s="51"/>
    </row>
    <row r="2434" spans="9:19" x14ac:dyDescent="0.25">
      <c r="I2434" s="1"/>
      <c r="J2434" s="71"/>
      <c r="M2434" s="46"/>
      <c r="R2434" s="51"/>
      <c r="S2434" s="51"/>
    </row>
    <row r="2435" spans="9:19" x14ac:dyDescent="0.25">
      <c r="I2435" s="1"/>
      <c r="J2435" s="71"/>
      <c r="M2435" s="46"/>
      <c r="R2435" s="51"/>
      <c r="S2435" s="51"/>
    </row>
    <row r="2436" spans="9:19" x14ac:dyDescent="0.25">
      <c r="I2436" s="1"/>
      <c r="J2436" s="71"/>
      <c r="M2436" s="46"/>
      <c r="R2436" s="51"/>
      <c r="S2436" s="51"/>
    </row>
    <row r="2437" spans="9:19" x14ac:dyDescent="0.25">
      <c r="I2437" s="1"/>
      <c r="J2437" s="71"/>
      <c r="M2437" s="46"/>
      <c r="R2437" s="51"/>
      <c r="S2437" s="51"/>
    </row>
    <row r="2438" spans="9:19" x14ac:dyDescent="0.25">
      <c r="I2438" s="1"/>
      <c r="J2438" s="71"/>
      <c r="M2438" s="46"/>
      <c r="R2438" s="51"/>
      <c r="S2438" s="51"/>
    </row>
    <row r="2439" spans="9:19" x14ac:dyDescent="0.25">
      <c r="I2439" s="1"/>
      <c r="J2439" s="71"/>
      <c r="M2439" s="46"/>
      <c r="R2439" s="51"/>
      <c r="S2439" s="51"/>
    </row>
    <row r="2440" spans="9:19" x14ac:dyDescent="0.25">
      <c r="I2440" s="1"/>
      <c r="J2440" s="71"/>
      <c r="M2440" s="46"/>
      <c r="R2440" s="51"/>
      <c r="S2440" s="51"/>
    </row>
    <row r="2441" spans="9:19" x14ac:dyDescent="0.25">
      <c r="I2441" s="1"/>
      <c r="J2441" s="71"/>
      <c r="M2441" s="46"/>
      <c r="R2441" s="51"/>
      <c r="S2441" s="51"/>
    </row>
    <row r="2442" spans="9:19" x14ac:dyDescent="0.25">
      <c r="I2442" s="1"/>
      <c r="J2442" s="71"/>
      <c r="M2442" s="46"/>
      <c r="R2442" s="51"/>
      <c r="S2442" s="51"/>
    </row>
    <row r="2443" spans="9:19" x14ac:dyDescent="0.25">
      <c r="I2443" s="1"/>
      <c r="J2443" s="71"/>
      <c r="M2443" s="46"/>
      <c r="R2443" s="51"/>
      <c r="S2443" s="51"/>
    </row>
    <row r="2444" spans="9:19" x14ac:dyDescent="0.25">
      <c r="I2444" s="1"/>
      <c r="J2444" s="71"/>
      <c r="M2444" s="46"/>
      <c r="R2444" s="51"/>
      <c r="S2444" s="51"/>
    </row>
    <row r="2445" spans="9:19" x14ac:dyDescent="0.25">
      <c r="I2445" s="1"/>
      <c r="J2445" s="71"/>
      <c r="M2445" s="46"/>
      <c r="R2445" s="51"/>
      <c r="S2445" s="51"/>
    </row>
    <row r="2446" spans="9:19" x14ac:dyDescent="0.25">
      <c r="I2446" s="1"/>
      <c r="J2446" s="71"/>
      <c r="M2446" s="46"/>
      <c r="R2446" s="51"/>
      <c r="S2446" s="51"/>
    </row>
    <row r="2447" spans="9:19" x14ac:dyDescent="0.25">
      <c r="I2447" s="1"/>
      <c r="J2447" s="71"/>
      <c r="M2447" s="46"/>
      <c r="R2447" s="51"/>
      <c r="S2447" s="51"/>
    </row>
    <row r="2448" spans="9:19" x14ac:dyDescent="0.25">
      <c r="I2448" s="1"/>
      <c r="J2448" s="71"/>
      <c r="M2448" s="46"/>
      <c r="R2448" s="51"/>
      <c r="S2448" s="51"/>
    </row>
    <row r="2449" spans="9:19" x14ac:dyDescent="0.25">
      <c r="I2449" s="1"/>
      <c r="J2449" s="71"/>
      <c r="M2449" s="46"/>
      <c r="R2449" s="51"/>
      <c r="S2449" s="51"/>
    </row>
    <row r="2450" spans="9:19" x14ac:dyDescent="0.25">
      <c r="I2450" s="1"/>
      <c r="J2450" s="71"/>
      <c r="M2450" s="46"/>
      <c r="R2450" s="51"/>
      <c r="S2450" s="51"/>
    </row>
    <row r="2451" spans="9:19" x14ac:dyDescent="0.25">
      <c r="I2451" s="1"/>
      <c r="J2451" s="71"/>
      <c r="M2451" s="46"/>
      <c r="R2451" s="51"/>
      <c r="S2451" s="51"/>
    </row>
    <row r="2452" spans="9:19" x14ac:dyDescent="0.25">
      <c r="I2452" s="1"/>
      <c r="J2452" s="71"/>
      <c r="M2452" s="46"/>
      <c r="R2452" s="51"/>
      <c r="S2452" s="51"/>
    </row>
    <row r="2453" spans="9:19" x14ac:dyDescent="0.25">
      <c r="I2453" s="1"/>
      <c r="J2453" s="71"/>
      <c r="M2453" s="46"/>
      <c r="R2453" s="51"/>
      <c r="S2453" s="51"/>
    </row>
    <row r="2454" spans="9:19" x14ac:dyDescent="0.25">
      <c r="I2454" s="1"/>
      <c r="J2454" s="71"/>
      <c r="M2454" s="46"/>
      <c r="R2454" s="51"/>
      <c r="S2454" s="51"/>
    </row>
    <row r="2455" spans="9:19" x14ac:dyDescent="0.25">
      <c r="I2455" s="1"/>
      <c r="J2455" s="71"/>
      <c r="M2455" s="46"/>
      <c r="R2455" s="51"/>
      <c r="S2455" s="51"/>
    </row>
    <row r="2456" spans="9:19" x14ac:dyDescent="0.25">
      <c r="I2456" s="1"/>
      <c r="J2456" s="71"/>
      <c r="M2456" s="46"/>
      <c r="R2456" s="51"/>
      <c r="S2456" s="51"/>
    </row>
    <row r="2457" spans="9:19" x14ac:dyDescent="0.25">
      <c r="I2457" s="1"/>
      <c r="J2457" s="71"/>
      <c r="M2457" s="46"/>
      <c r="R2457" s="51"/>
      <c r="S2457" s="51"/>
    </row>
    <row r="2458" spans="9:19" x14ac:dyDescent="0.25">
      <c r="I2458" s="1"/>
      <c r="J2458" s="71"/>
      <c r="M2458" s="46"/>
      <c r="R2458" s="51"/>
      <c r="S2458" s="51"/>
    </row>
    <row r="2459" spans="9:19" x14ac:dyDescent="0.25">
      <c r="I2459" s="1"/>
      <c r="J2459" s="71"/>
      <c r="M2459" s="46"/>
      <c r="R2459" s="51"/>
      <c r="S2459" s="51"/>
    </row>
    <row r="2460" spans="9:19" x14ac:dyDescent="0.25">
      <c r="I2460" s="1"/>
      <c r="J2460" s="71"/>
      <c r="M2460" s="46"/>
      <c r="R2460" s="51"/>
      <c r="S2460" s="51"/>
    </row>
    <row r="2461" spans="9:19" x14ac:dyDescent="0.25">
      <c r="I2461" s="1"/>
      <c r="J2461" s="71"/>
      <c r="M2461" s="46"/>
      <c r="R2461" s="51"/>
      <c r="S2461" s="51"/>
    </row>
    <row r="2462" spans="9:19" x14ac:dyDescent="0.25">
      <c r="I2462" s="1"/>
      <c r="J2462" s="71"/>
      <c r="M2462" s="46"/>
      <c r="R2462" s="51"/>
      <c r="S2462" s="51"/>
    </row>
    <row r="2463" spans="9:19" x14ac:dyDescent="0.25">
      <c r="I2463" s="1"/>
      <c r="J2463" s="71"/>
      <c r="M2463" s="46"/>
      <c r="R2463" s="51"/>
      <c r="S2463" s="51"/>
    </row>
    <row r="2464" spans="9:19" x14ac:dyDescent="0.25">
      <c r="I2464" s="1"/>
      <c r="J2464" s="71"/>
      <c r="M2464" s="46"/>
      <c r="R2464" s="51"/>
      <c r="S2464" s="51"/>
    </row>
    <row r="2465" spans="9:19" x14ac:dyDescent="0.25">
      <c r="I2465" s="1"/>
      <c r="J2465" s="71"/>
      <c r="M2465" s="46"/>
      <c r="R2465" s="51"/>
      <c r="S2465" s="51"/>
    </row>
    <row r="2466" spans="9:19" x14ac:dyDescent="0.25">
      <c r="I2466" s="1"/>
      <c r="J2466" s="71"/>
      <c r="M2466" s="46"/>
      <c r="R2466" s="51"/>
      <c r="S2466" s="51"/>
    </row>
    <row r="2467" spans="9:19" x14ac:dyDescent="0.25">
      <c r="I2467" s="1"/>
      <c r="J2467" s="71"/>
      <c r="M2467" s="46"/>
      <c r="R2467" s="51"/>
      <c r="S2467" s="51"/>
    </row>
    <row r="2468" spans="9:19" x14ac:dyDescent="0.25">
      <c r="I2468" s="1"/>
      <c r="J2468" s="71"/>
      <c r="M2468" s="46"/>
      <c r="R2468" s="51"/>
      <c r="S2468" s="51"/>
    </row>
    <row r="2469" spans="9:19" x14ac:dyDescent="0.25">
      <c r="I2469" s="1"/>
      <c r="J2469" s="71"/>
      <c r="M2469" s="46"/>
      <c r="R2469" s="51"/>
      <c r="S2469" s="51"/>
    </row>
    <row r="2470" spans="9:19" x14ac:dyDescent="0.25">
      <c r="I2470" s="1"/>
      <c r="J2470" s="71"/>
      <c r="M2470" s="46"/>
      <c r="R2470" s="51"/>
      <c r="S2470" s="51"/>
    </row>
    <row r="2471" spans="9:19" x14ac:dyDescent="0.25">
      <c r="I2471" s="1"/>
      <c r="J2471" s="71"/>
      <c r="M2471" s="46"/>
      <c r="R2471" s="51"/>
      <c r="S2471" s="51"/>
    </row>
    <row r="2472" spans="9:19" x14ac:dyDescent="0.25">
      <c r="I2472" s="1"/>
      <c r="J2472" s="71"/>
      <c r="M2472" s="46"/>
      <c r="R2472" s="51"/>
      <c r="S2472" s="51"/>
    </row>
    <row r="2473" spans="9:19" x14ac:dyDescent="0.25">
      <c r="I2473" s="1"/>
      <c r="J2473" s="71"/>
      <c r="M2473" s="46"/>
      <c r="R2473" s="51"/>
      <c r="S2473" s="51"/>
    </row>
    <row r="2474" spans="9:19" x14ac:dyDescent="0.25">
      <c r="I2474" s="1"/>
      <c r="J2474" s="71"/>
      <c r="M2474" s="46"/>
      <c r="R2474" s="51"/>
      <c r="S2474" s="51"/>
    </row>
    <row r="2475" spans="9:19" x14ac:dyDescent="0.25">
      <c r="I2475" s="1"/>
      <c r="J2475" s="71"/>
      <c r="M2475" s="46"/>
      <c r="R2475" s="51"/>
      <c r="S2475" s="51"/>
    </row>
    <row r="2476" spans="9:19" x14ac:dyDescent="0.25">
      <c r="I2476" s="1"/>
      <c r="J2476" s="71"/>
      <c r="M2476" s="46"/>
      <c r="R2476" s="51"/>
      <c r="S2476" s="51"/>
    </row>
    <row r="2477" spans="9:19" x14ac:dyDescent="0.25">
      <c r="I2477" s="1"/>
      <c r="J2477" s="71"/>
      <c r="M2477" s="46"/>
      <c r="R2477" s="51"/>
      <c r="S2477" s="51"/>
    </row>
    <row r="2478" spans="9:19" x14ac:dyDescent="0.25">
      <c r="I2478" s="1"/>
      <c r="J2478" s="71"/>
      <c r="M2478" s="46"/>
      <c r="R2478" s="51"/>
      <c r="S2478" s="51"/>
    </row>
    <row r="2479" spans="9:19" x14ac:dyDescent="0.25">
      <c r="I2479" s="1"/>
      <c r="J2479" s="71"/>
      <c r="M2479" s="46"/>
      <c r="R2479" s="51"/>
      <c r="S2479" s="51"/>
    </row>
    <row r="2480" spans="9:19" x14ac:dyDescent="0.25">
      <c r="I2480" s="1"/>
      <c r="J2480" s="71"/>
      <c r="M2480" s="46"/>
      <c r="R2480" s="51"/>
      <c r="S2480" s="51"/>
    </row>
    <row r="2481" spans="9:19" x14ac:dyDescent="0.25">
      <c r="I2481" s="1"/>
      <c r="J2481" s="71"/>
      <c r="M2481" s="46"/>
      <c r="R2481" s="51"/>
      <c r="S2481" s="51"/>
    </row>
    <row r="2482" spans="9:19" x14ac:dyDescent="0.25">
      <c r="I2482" s="1"/>
      <c r="J2482" s="71"/>
      <c r="M2482" s="46"/>
      <c r="R2482" s="51"/>
      <c r="S2482" s="51"/>
    </row>
    <row r="2483" spans="9:19" x14ac:dyDescent="0.25">
      <c r="I2483" s="1"/>
      <c r="J2483" s="71"/>
      <c r="M2483" s="46"/>
      <c r="R2483" s="51"/>
      <c r="S2483" s="51"/>
    </row>
    <row r="2484" spans="9:19" x14ac:dyDescent="0.25">
      <c r="I2484" s="1"/>
      <c r="J2484" s="71"/>
      <c r="M2484" s="46"/>
      <c r="R2484" s="51"/>
      <c r="S2484" s="51"/>
    </row>
    <row r="2485" spans="9:19" x14ac:dyDescent="0.25">
      <c r="I2485" s="1"/>
      <c r="J2485" s="71"/>
      <c r="M2485" s="46"/>
      <c r="R2485" s="51"/>
      <c r="S2485" s="51"/>
    </row>
    <row r="2486" spans="9:19" x14ac:dyDescent="0.25">
      <c r="I2486" s="1"/>
      <c r="J2486" s="71"/>
      <c r="M2486" s="46"/>
      <c r="R2486" s="51"/>
      <c r="S2486" s="51"/>
    </row>
    <row r="2487" spans="9:19" x14ac:dyDescent="0.25">
      <c r="I2487" s="1"/>
      <c r="J2487" s="71"/>
      <c r="M2487" s="46"/>
      <c r="R2487" s="51"/>
      <c r="S2487" s="51"/>
    </row>
    <row r="2488" spans="9:19" x14ac:dyDescent="0.25">
      <c r="I2488" s="1"/>
      <c r="J2488" s="71"/>
      <c r="M2488" s="46"/>
      <c r="R2488" s="51"/>
      <c r="S2488" s="51"/>
    </row>
    <row r="2489" spans="9:19" x14ac:dyDescent="0.25">
      <c r="I2489" s="1"/>
      <c r="J2489" s="71"/>
      <c r="M2489" s="46"/>
      <c r="R2489" s="51"/>
      <c r="S2489" s="51"/>
    </row>
    <row r="2490" spans="9:19" x14ac:dyDescent="0.25">
      <c r="I2490" s="1"/>
      <c r="J2490" s="71"/>
      <c r="M2490" s="46"/>
      <c r="R2490" s="51"/>
      <c r="S2490" s="51"/>
    </row>
    <row r="2491" spans="9:19" x14ac:dyDescent="0.25">
      <c r="I2491" s="1"/>
      <c r="J2491" s="71"/>
      <c r="M2491" s="46"/>
      <c r="R2491" s="51"/>
      <c r="S2491" s="51"/>
    </row>
    <row r="2492" spans="9:19" x14ac:dyDescent="0.25">
      <c r="I2492" s="1"/>
      <c r="J2492" s="71"/>
      <c r="M2492" s="46"/>
      <c r="R2492" s="51"/>
      <c r="S2492" s="51"/>
    </row>
    <row r="2493" spans="9:19" x14ac:dyDescent="0.25">
      <c r="I2493" s="1"/>
      <c r="J2493" s="71"/>
      <c r="M2493" s="46"/>
      <c r="R2493" s="51"/>
      <c r="S2493" s="51"/>
    </row>
    <row r="2494" spans="9:19" x14ac:dyDescent="0.25">
      <c r="I2494" s="1"/>
      <c r="J2494" s="71"/>
      <c r="M2494" s="46"/>
      <c r="R2494" s="51"/>
      <c r="S2494" s="51"/>
    </row>
    <row r="2495" spans="9:19" x14ac:dyDescent="0.25">
      <c r="I2495" s="1"/>
      <c r="J2495" s="71"/>
      <c r="M2495" s="46"/>
      <c r="R2495" s="51"/>
      <c r="S2495" s="51"/>
    </row>
    <row r="2496" spans="9:19" x14ac:dyDescent="0.25">
      <c r="I2496" s="1"/>
      <c r="J2496" s="71"/>
      <c r="M2496" s="46"/>
      <c r="R2496" s="51"/>
      <c r="S2496" s="51"/>
    </row>
    <row r="2497" spans="9:19" x14ac:dyDescent="0.25">
      <c r="I2497" s="1"/>
      <c r="J2497" s="71"/>
      <c r="M2497" s="46"/>
      <c r="R2497" s="51"/>
      <c r="S2497" s="51"/>
    </row>
    <row r="2498" spans="9:19" x14ac:dyDescent="0.25">
      <c r="I2498" s="1"/>
      <c r="J2498" s="71"/>
      <c r="M2498" s="46"/>
      <c r="R2498" s="51"/>
      <c r="S2498" s="51"/>
    </row>
    <row r="2499" spans="9:19" x14ac:dyDescent="0.25">
      <c r="I2499" s="1"/>
      <c r="J2499" s="71"/>
      <c r="M2499" s="46"/>
      <c r="R2499" s="51"/>
      <c r="S2499" s="51"/>
    </row>
    <row r="2500" spans="9:19" x14ac:dyDescent="0.25">
      <c r="I2500" s="1"/>
      <c r="J2500" s="71"/>
      <c r="M2500" s="46"/>
      <c r="R2500" s="51"/>
      <c r="S2500" s="51"/>
    </row>
    <row r="2501" spans="9:19" x14ac:dyDescent="0.25">
      <c r="I2501" s="1"/>
      <c r="J2501" s="71"/>
      <c r="M2501" s="46"/>
      <c r="R2501" s="51"/>
      <c r="S2501" s="51"/>
    </row>
    <row r="2502" spans="9:19" x14ac:dyDescent="0.25">
      <c r="I2502" s="1"/>
      <c r="J2502" s="71"/>
      <c r="M2502" s="46"/>
      <c r="R2502" s="51"/>
      <c r="S2502" s="51"/>
    </row>
    <row r="2503" spans="9:19" x14ac:dyDescent="0.25">
      <c r="I2503" s="1"/>
      <c r="J2503" s="71"/>
      <c r="M2503" s="46"/>
      <c r="R2503" s="51"/>
      <c r="S2503" s="51"/>
    </row>
    <row r="2504" spans="9:19" x14ac:dyDescent="0.25">
      <c r="I2504" s="1"/>
      <c r="J2504" s="71"/>
      <c r="M2504" s="46"/>
      <c r="R2504" s="51"/>
      <c r="S2504" s="51"/>
    </row>
    <row r="2505" spans="9:19" x14ac:dyDescent="0.25">
      <c r="I2505" s="1"/>
      <c r="J2505" s="71"/>
      <c r="M2505" s="46"/>
      <c r="R2505" s="51"/>
      <c r="S2505" s="51"/>
    </row>
    <row r="2506" spans="9:19" x14ac:dyDescent="0.25">
      <c r="I2506" s="1"/>
      <c r="J2506" s="71"/>
      <c r="M2506" s="46"/>
      <c r="R2506" s="51"/>
      <c r="S2506" s="51"/>
    </row>
    <row r="2507" spans="9:19" x14ac:dyDescent="0.25">
      <c r="I2507" s="1"/>
      <c r="J2507" s="71"/>
      <c r="M2507" s="46"/>
      <c r="R2507" s="51"/>
      <c r="S2507" s="51"/>
    </row>
    <row r="2508" spans="9:19" x14ac:dyDescent="0.25">
      <c r="I2508" s="1"/>
      <c r="J2508" s="71"/>
      <c r="M2508" s="46"/>
      <c r="R2508" s="51"/>
      <c r="S2508" s="51"/>
    </row>
    <row r="2509" spans="9:19" x14ac:dyDescent="0.25">
      <c r="I2509" s="1"/>
      <c r="J2509" s="71"/>
      <c r="M2509" s="46"/>
      <c r="R2509" s="51"/>
      <c r="S2509" s="51"/>
    </row>
    <row r="2510" spans="9:19" x14ac:dyDescent="0.25">
      <c r="I2510" s="1"/>
      <c r="J2510" s="71"/>
      <c r="M2510" s="46"/>
      <c r="R2510" s="51"/>
      <c r="S2510" s="51"/>
    </row>
    <row r="2511" spans="9:19" x14ac:dyDescent="0.25">
      <c r="I2511" s="1"/>
      <c r="J2511" s="71"/>
      <c r="M2511" s="46"/>
      <c r="R2511" s="51"/>
      <c r="S2511" s="51"/>
    </row>
    <row r="2512" spans="9:19" x14ac:dyDescent="0.25">
      <c r="I2512" s="1"/>
      <c r="J2512" s="71"/>
      <c r="M2512" s="46"/>
      <c r="R2512" s="51"/>
      <c r="S2512" s="51"/>
    </row>
    <row r="2513" spans="9:19" x14ac:dyDescent="0.25">
      <c r="I2513" s="1"/>
      <c r="J2513" s="71"/>
      <c r="M2513" s="46"/>
      <c r="R2513" s="51"/>
      <c r="S2513" s="51"/>
    </row>
    <row r="2514" spans="9:19" x14ac:dyDescent="0.25">
      <c r="I2514" s="1"/>
      <c r="J2514" s="71"/>
      <c r="M2514" s="46"/>
      <c r="R2514" s="51"/>
      <c r="S2514" s="51"/>
    </row>
    <row r="2515" spans="9:19" x14ac:dyDescent="0.25">
      <c r="I2515" s="1"/>
      <c r="J2515" s="71"/>
      <c r="M2515" s="46"/>
      <c r="R2515" s="51"/>
      <c r="S2515" s="51"/>
    </row>
    <row r="2516" spans="9:19" x14ac:dyDescent="0.25">
      <c r="I2516" s="1"/>
      <c r="J2516" s="71"/>
      <c r="M2516" s="46"/>
      <c r="R2516" s="51"/>
      <c r="S2516" s="51"/>
    </row>
    <row r="2517" spans="9:19" x14ac:dyDescent="0.25">
      <c r="I2517" s="1"/>
      <c r="J2517" s="71"/>
      <c r="M2517" s="46"/>
      <c r="R2517" s="51"/>
      <c r="S2517" s="51"/>
    </row>
    <row r="2518" spans="9:19" x14ac:dyDescent="0.25">
      <c r="I2518" s="1"/>
      <c r="J2518" s="71"/>
      <c r="M2518" s="46"/>
      <c r="R2518" s="51"/>
      <c r="S2518" s="51"/>
    </row>
    <row r="2519" spans="9:19" x14ac:dyDescent="0.25">
      <c r="I2519" s="1"/>
      <c r="J2519" s="71"/>
      <c r="M2519" s="46"/>
      <c r="R2519" s="51"/>
      <c r="S2519" s="51"/>
    </row>
    <row r="2520" spans="9:19" x14ac:dyDescent="0.25">
      <c r="I2520" s="1"/>
      <c r="J2520" s="71"/>
      <c r="M2520" s="46"/>
      <c r="R2520" s="51"/>
      <c r="S2520" s="51"/>
    </row>
    <row r="2521" spans="9:19" x14ac:dyDescent="0.25">
      <c r="I2521" s="1"/>
      <c r="J2521" s="71"/>
      <c r="M2521" s="46"/>
      <c r="R2521" s="51"/>
      <c r="S2521" s="51"/>
    </row>
    <row r="2522" spans="9:19" x14ac:dyDescent="0.25">
      <c r="I2522" s="1"/>
      <c r="J2522" s="71"/>
      <c r="M2522" s="46"/>
      <c r="R2522" s="51"/>
      <c r="S2522" s="51"/>
    </row>
    <row r="2523" spans="9:19" x14ac:dyDescent="0.25">
      <c r="I2523" s="1"/>
      <c r="J2523" s="71"/>
      <c r="M2523" s="46"/>
      <c r="R2523" s="51"/>
      <c r="S2523" s="51"/>
    </row>
    <row r="2524" spans="9:19" x14ac:dyDescent="0.25">
      <c r="I2524" s="1"/>
      <c r="J2524" s="71"/>
      <c r="M2524" s="46"/>
      <c r="R2524" s="51"/>
      <c r="S2524" s="51"/>
    </row>
    <row r="2525" spans="9:19" x14ac:dyDescent="0.25">
      <c r="I2525" s="1"/>
      <c r="J2525" s="71"/>
      <c r="M2525" s="46"/>
      <c r="R2525" s="51"/>
      <c r="S2525" s="51"/>
    </row>
    <row r="2526" spans="9:19" x14ac:dyDescent="0.25">
      <c r="I2526" s="1"/>
      <c r="J2526" s="71"/>
      <c r="M2526" s="46"/>
      <c r="R2526" s="51"/>
      <c r="S2526" s="51"/>
    </row>
    <row r="2527" spans="9:19" x14ac:dyDescent="0.25">
      <c r="I2527" s="1"/>
      <c r="J2527" s="71"/>
      <c r="M2527" s="46"/>
      <c r="R2527" s="51"/>
      <c r="S2527" s="51"/>
    </row>
    <row r="2528" spans="9:19" x14ac:dyDescent="0.25">
      <c r="I2528" s="1"/>
      <c r="J2528" s="71"/>
      <c r="M2528" s="46"/>
      <c r="R2528" s="51"/>
      <c r="S2528" s="51"/>
    </row>
    <row r="2529" spans="9:19" x14ac:dyDescent="0.25">
      <c r="I2529" s="1"/>
      <c r="J2529" s="71"/>
      <c r="M2529" s="46"/>
      <c r="R2529" s="51"/>
      <c r="S2529" s="51"/>
    </row>
    <row r="2530" spans="9:19" x14ac:dyDescent="0.25">
      <c r="I2530" s="1"/>
      <c r="J2530" s="71"/>
      <c r="M2530" s="46"/>
      <c r="R2530" s="51"/>
      <c r="S2530" s="51"/>
    </row>
    <row r="2531" spans="9:19" x14ac:dyDescent="0.25">
      <c r="I2531" s="1"/>
      <c r="J2531" s="71"/>
      <c r="M2531" s="46"/>
      <c r="R2531" s="51"/>
      <c r="S2531" s="51"/>
    </row>
    <row r="2532" spans="9:19" x14ac:dyDescent="0.25">
      <c r="I2532" s="1"/>
      <c r="J2532" s="71"/>
      <c r="M2532" s="46"/>
      <c r="R2532" s="51"/>
      <c r="S2532" s="51"/>
    </row>
    <row r="2533" spans="9:19" x14ac:dyDescent="0.25">
      <c r="I2533" s="1"/>
      <c r="J2533" s="71"/>
      <c r="M2533" s="46"/>
      <c r="R2533" s="51"/>
      <c r="S2533" s="51"/>
    </row>
    <row r="2534" spans="9:19" x14ac:dyDescent="0.25">
      <c r="I2534" s="1"/>
      <c r="J2534" s="71"/>
      <c r="M2534" s="46"/>
      <c r="R2534" s="51"/>
      <c r="S2534" s="51"/>
    </row>
    <row r="2535" spans="9:19" x14ac:dyDescent="0.25">
      <c r="I2535" s="1"/>
      <c r="J2535" s="71"/>
      <c r="M2535" s="46"/>
      <c r="R2535" s="51"/>
      <c r="S2535" s="51"/>
    </row>
    <row r="2536" spans="9:19" x14ac:dyDescent="0.25">
      <c r="I2536" s="1"/>
      <c r="J2536" s="71"/>
      <c r="M2536" s="46"/>
      <c r="R2536" s="51"/>
      <c r="S2536" s="51"/>
    </row>
    <row r="2537" spans="9:19" x14ac:dyDescent="0.25">
      <c r="I2537" s="1"/>
      <c r="J2537" s="71"/>
      <c r="M2537" s="46"/>
      <c r="R2537" s="51"/>
      <c r="S2537" s="51"/>
    </row>
    <row r="2538" spans="9:19" x14ac:dyDescent="0.25">
      <c r="I2538" s="1"/>
      <c r="J2538" s="71"/>
      <c r="M2538" s="46"/>
      <c r="R2538" s="51"/>
      <c r="S2538" s="51"/>
    </row>
    <row r="2539" spans="9:19" x14ac:dyDescent="0.25">
      <c r="I2539" s="1"/>
      <c r="J2539" s="71"/>
      <c r="M2539" s="46"/>
      <c r="R2539" s="51"/>
      <c r="S2539" s="51"/>
    </row>
    <row r="2540" spans="9:19" x14ac:dyDescent="0.25">
      <c r="I2540" s="1"/>
      <c r="J2540" s="71"/>
      <c r="M2540" s="46"/>
      <c r="R2540" s="51"/>
      <c r="S2540" s="51"/>
    </row>
    <row r="2541" spans="9:19" x14ac:dyDescent="0.25">
      <c r="I2541" s="1"/>
      <c r="J2541" s="71"/>
      <c r="M2541" s="46"/>
      <c r="R2541" s="51"/>
      <c r="S2541" s="51"/>
    </row>
    <row r="2542" spans="9:19" x14ac:dyDescent="0.25">
      <c r="I2542" s="1"/>
      <c r="J2542" s="71"/>
      <c r="M2542" s="46"/>
      <c r="R2542" s="51"/>
      <c r="S2542" s="51"/>
    </row>
    <row r="2543" spans="9:19" x14ac:dyDescent="0.25">
      <c r="I2543" s="1"/>
      <c r="J2543" s="71"/>
      <c r="M2543" s="46"/>
      <c r="R2543" s="51"/>
      <c r="S2543" s="51"/>
    </row>
    <row r="2544" spans="9:19" x14ac:dyDescent="0.25">
      <c r="I2544" s="1"/>
      <c r="J2544" s="71"/>
      <c r="M2544" s="46"/>
      <c r="R2544" s="51"/>
      <c r="S2544" s="51"/>
    </row>
    <row r="2545" spans="9:19" x14ac:dyDescent="0.25">
      <c r="I2545" s="1"/>
      <c r="J2545" s="71"/>
      <c r="M2545" s="46"/>
      <c r="R2545" s="51"/>
      <c r="S2545" s="51"/>
    </row>
    <row r="2546" spans="9:19" x14ac:dyDescent="0.25">
      <c r="I2546" s="1"/>
      <c r="J2546" s="71"/>
      <c r="M2546" s="46"/>
      <c r="R2546" s="51"/>
      <c r="S2546" s="51"/>
    </row>
    <row r="2547" spans="9:19" x14ac:dyDescent="0.25">
      <c r="I2547" s="1"/>
      <c r="J2547" s="71"/>
      <c r="M2547" s="46"/>
      <c r="R2547" s="51"/>
      <c r="S2547" s="51"/>
    </row>
    <row r="2548" spans="9:19" x14ac:dyDescent="0.25">
      <c r="I2548" s="1"/>
      <c r="J2548" s="71"/>
      <c r="M2548" s="46"/>
      <c r="R2548" s="51"/>
      <c r="S2548" s="51"/>
    </row>
    <row r="2549" spans="9:19" x14ac:dyDescent="0.25">
      <c r="I2549" s="1"/>
      <c r="J2549" s="71"/>
      <c r="M2549" s="46"/>
      <c r="R2549" s="51"/>
      <c r="S2549" s="51"/>
    </row>
    <row r="2550" spans="9:19" x14ac:dyDescent="0.25">
      <c r="I2550" s="1"/>
      <c r="J2550" s="71"/>
      <c r="M2550" s="46"/>
      <c r="R2550" s="51"/>
      <c r="S2550" s="51"/>
    </row>
    <row r="2551" spans="9:19" x14ac:dyDescent="0.25">
      <c r="I2551" s="1"/>
      <c r="J2551" s="71"/>
      <c r="M2551" s="46"/>
      <c r="R2551" s="51"/>
      <c r="S2551" s="51"/>
    </row>
    <row r="2552" spans="9:19" x14ac:dyDescent="0.25">
      <c r="I2552" s="1"/>
      <c r="J2552" s="71"/>
      <c r="M2552" s="46"/>
      <c r="R2552" s="51"/>
      <c r="S2552" s="51"/>
    </row>
    <row r="2553" spans="9:19" x14ac:dyDescent="0.25">
      <c r="I2553" s="1"/>
      <c r="J2553" s="71"/>
      <c r="M2553" s="46"/>
      <c r="R2553" s="51"/>
      <c r="S2553" s="51"/>
    </row>
    <row r="2554" spans="9:19" x14ac:dyDescent="0.25">
      <c r="I2554" s="1"/>
      <c r="J2554" s="71"/>
      <c r="M2554" s="46"/>
      <c r="R2554" s="51"/>
      <c r="S2554" s="51"/>
    </row>
    <row r="2555" spans="9:19" x14ac:dyDescent="0.25">
      <c r="I2555" s="1"/>
      <c r="J2555" s="71"/>
      <c r="M2555" s="46"/>
      <c r="R2555" s="51"/>
      <c r="S2555" s="51"/>
    </row>
    <row r="2556" spans="9:19" x14ac:dyDescent="0.25">
      <c r="I2556" s="1"/>
      <c r="J2556" s="71"/>
      <c r="M2556" s="46"/>
      <c r="R2556" s="51"/>
      <c r="S2556" s="51"/>
    </row>
    <row r="2557" spans="9:19" x14ac:dyDescent="0.25">
      <c r="I2557" s="1"/>
      <c r="J2557" s="71"/>
      <c r="M2557" s="46"/>
      <c r="R2557" s="51"/>
      <c r="S2557" s="51"/>
    </row>
    <row r="2558" spans="9:19" x14ac:dyDescent="0.25">
      <c r="I2558" s="1"/>
      <c r="J2558" s="71"/>
      <c r="M2558" s="46"/>
      <c r="R2558" s="51"/>
      <c r="S2558" s="51"/>
    </row>
    <row r="2559" spans="9:19" x14ac:dyDescent="0.25">
      <c r="I2559" s="1"/>
      <c r="J2559" s="71"/>
      <c r="M2559" s="46"/>
      <c r="R2559" s="51"/>
      <c r="S2559" s="51"/>
    </row>
    <row r="2560" spans="9:19" x14ac:dyDescent="0.25">
      <c r="I2560" s="1"/>
      <c r="J2560" s="71"/>
      <c r="M2560" s="46"/>
      <c r="R2560" s="51"/>
      <c r="S2560" s="51"/>
    </row>
    <row r="2561" spans="9:19" x14ac:dyDescent="0.25">
      <c r="I2561" s="1"/>
      <c r="J2561" s="71"/>
      <c r="M2561" s="46"/>
      <c r="R2561" s="51"/>
      <c r="S2561" s="51"/>
    </row>
    <row r="2562" spans="9:19" x14ac:dyDescent="0.25">
      <c r="I2562" s="1"/>
      <c r="J2562" s="71"/>
      <c r="M2562" s="46"/>
      <c r="R2562" s="51"/>
      <c r="S2562" s="51"/>
    </row>
    <row r="2563" spans="9:19" x14ac:dyDescent="0.25">
      <c r="I2563" s="1"/>
      <c r="J2563" s="71"/>
      <c r="M2563" s="46"/>
      <c r="R2563" s="51"/>
      <c r="S2563" s="51"/>
    </row>
    <row r="2564" spans="9:19" x14ac:dyDescent="0.25">
      <c r="I2564" s="1"/>
      <c r="J2564" s="71"/>
      <c r="M2564" s="46"/>
      <c r="R2564" s="51"/>
      <c r="S2564" s="51"/>
    </row>
    <row r="2565" spans="9:19" x14ac:dyDescent="0.25">
      <c r="I2565" s="1"/>
      <c r="J2565" s="71"/>
      <c r="M2565" s="46"/>
      <c r="R2565" s="51"/>
      <c r="S2565" s="51"/>
    </row>
    <row r="2566" spans="9:19" x14ac:dyDescent="0.25">
      <c r="I2566" s="1"/>
      <c r="J2566" s="71"/>
      <c r="M2566" s="46"/>
      <c r="R2566" s="51"/>
      <c r="S2566" s="51"/>
    </row>
    <row r="2567" spans="9:19" x14ac:dyDescent="0.25">
      <c r="I2567" s="1"/>
      <c r="J2567" s="71"/>
      <c r="M2567" s="46"/>
      <c r="R2567" s="51"/>
      <c r="S2567" s="51"/>
    </row>
    <row r="2568" spans="9:19" x14ac:dyDescent="0.25">
      <c r="I2568" s="1"/>
      <c r="J2568" s="71"/>
      <c r="M2568" s="46"/>
      <c r="R2568" s="51"/>
      <c r="S2568" s="51"/>
    </row>
    <row r="2569" spans="9:19" x14ac:dyDescent="0.25">
      <c r="I2569" s="1"/>
      <c r="J2569" s="71"/>
      <c r="M2569" s="46"/>
      <c r="R2569" s="51"/>
      <c r="S2569" s="51"/>
    </row>
    <row r="2570" spans="9:19" x14ac:dyDescent="0.25">
      <c r="I2570" s="1"/>
      <c r="J2570" s="71"/>
      <c r="M2570" s="46"/>
      <c r="R2570" s="51"/>
      <c r="S2570" s="51"/>
    </row>
    <row r="2571" spans="9:19" x14ac:dyDescent="0.25">
      <c r="I2571" s="1"/>
      <c r="J2571" s="71"/>
      <c r="M2571" s="46"/>
      <c r="R2571" s="51"/>
      <c r="S2571" s="51"/>
    </row>
    <row r="2572" spans="9:19" x14ac:dyDescent="0.25">
      <c r="I2572" s="1"/>
      <c r="J2572" s="71"/>
      <c r="M2572" s="46"/>
      <c r="R2572" s="51"/>
      <c r="S2572" s="51"/>
    </row>
    <row r="2573" spans="9:19" x14ac:dyDescent="0.25">
      <c r="I2573" s="1"/>
      <c r="J2573" s="71"/>
      <c r="M2573" s="46"/>
      <c r="R2573" s="51"/>
      <c r="S2573" s="51"/>
    </row>
    <row r="2574" spans="9:19" x14ac:dyDescent="0.25">
      <c r="I2574" s="1"/>
      <c r="J2574" s="71"/>
      <c r="M2574" s="46"/>
      <c r="R2574" s="51"/>
      <c r="S2574" s="51"/>
    </row>
    <row r="2575" spans="9:19" x14ac:dyDescent="0.25">
      <c r="I2575" s="1"/>
      <c r="J2575" s="71"/>
      <c r="M2575" s="46"/>
      <c r="R2575" s="51"/>
      <c r="S2575" s="51"/>
    </row>
    <row r="2576" spans="9:19" x14ac:dyDescent="0.25">
      <c r="I2576" s="1"/>
      <c r="J2576" s="71"/>
      <c r="M2576" s="46"/>
      <c r="R2576" s="51"/>
      <c r="S2576" s="51"/>
    </row>
    <row r="2577" spans="9:19" x14ac:dyDescent="0.25">
      <c r="I2577" s="1"/>
      <c r="J2577" s="71"/>
      <c r="M2577" s="46"/>
      <c r="R2577" s="51"/>
      <c r="S2577" s="51"/>
    </row>
    <row r="2578" spans="9:19" x14ac:dyDescent="0.25">
      <c r="I2578" s="1"/>
      <c r="J2578" s="71"/>
      <c r="M2578" s="46"/>
      <c r="R2578" s="51"/>
      <c r="S2578" s="51"/>
    </row>
    <row r="2579" spans="9:19" x14ac:dyDescent="0.25">
      <c r="I2579" s="1"/>
      <c r="J2579" s="71"/>
      <c r="M2579" s="46"/>
      <c r="R2579" s="51"/>
      <c r="S2579" s="51"/>
    </row>
    <row r="2580" spans="9:19" x14ac:dyDescent="0.25">
      <c r="I2580" s="1"/>
      <c r="J2580" s="71"/>
      <c r="M2580" s="46"/>
      <c r="R2580" s="51"/>
      <c r="S2580" s="51"/>
    </row>
    <row r="2581" spans="9:19" x14ac:dyDescent="0.25">
      <c r="I2581" s="1"/>
      <c r="J2581" s="71"/>
      <c r="M2581" s="46"/>
      <c r="R2581" s="51"/>
      <c r="S2581" s="51"/>
    </row>
    <row r="2582" spans="9:19" x14ac:dyDescent="0.25">
      <c r="I2582" s="1"/>
      <c r="J2582" s="71"/>
      <c r="M2582" s="46"/>
      <c r="R2582" s="51"/>
      <c r="S2582" s="51"/>
    </row>
    <row r="2583" spans="9:19" x14ac:dyDescent="0.25">
      <c r="I2583" s="1"/>
      <c r="J2583" s="71"/>
      <c r="M2583" s="46"/>
      <c r="R2583" s="51"/>
      <c r="S2583" s="51"/>
    </row>
    <row r="2584" spans="9:19" x14ac:dyDescent="0.25">
      <c r="I2584" s="1"/>
      <c r="J2584" s="71"/>
      <c r="M2584" s="46"/>
      <c r="R2584" s="51"/>
      <c r="S2584" s="51"/>
    </row>
    <row r="2585" spans="9:19" x14ac:dyDescent="0.25">
      <c r="I2585" s="1"/>
      <c r="J2585" s="71"/>
      <c r="M2585" s="46"/>
      <c r="R2585" s="51"/>
      <c r="S2585" s="51"/>
    </row>
    <row r="2586" spans="9:19" x14ac:dyDescent="0.25">
      <c r="I2586" s="1"/>
      <c r="J2586" s="71"/>
      <c r="M2586" s="46"/>
      <c r="R2586" s="51"/>
      <c r="S2586" s="51"/>
    </row>
    <row r="2587" spans="9:19" x14ac:dyDescent="0.25">
      <c r="I2587" s="1"/>
      <c r="J2587" s="71"/>
      <c r="M2587" s="46"/>
      <c r="R2587" s="51"/>
      <c r="S2587" s="51"/>
    </row>
    <row r="2588" spans="9:19" x14ac:dyDescent="0.25">
      <c r="I2588" s="1"/>
      <c r="J2588" s="71"/>
      <c r="M2588" s="46"/>
      <c r="R2588" s="51"/>
      <c r="S2588" s="51"/>
    </row>
    <row r="2589" spans="9:19" x14ac:dyDescent="0.25">
      <c r="I2589" s="1"/>
      <c r="J2589" s="71"/>
      <c r="M2589" s="46"/>
      <c r="R2589" s="51"/>
      <c r="S2589" s="51"/>
    </row>
    <row r="2590" spans="9:19" x14ac:dyDescent="0.25">
      <c r="I2590" s="1"/>
      <c r="J2590" s="71"/>
      <c r="M2590" s="46"/>
      <c r="R2590" s="51"/>
      <c r="S2590" s="51"/>
    </row>
    <row r="2591" spans="9:19" x14ac:dyDescent="0.25">
      <c r="I2591" s="1"/>
      <c r="J2591" s="71"/>
      <c r="M2591" s="46"/>
      <c r="R2591" s="51"/>
      <c r="S2591" s="51"/>
    </row>
    <row r="2592" spans="9:19" x14ac:dyDescent="0.25">
      <c r="I2592" s="1"/>
      <c r="J2592" s="71"/>
      <c r="M2592" s="46"/>
      <c r="R2592" s="51"/>
      <c r="S2592" s="51"/>
    </row>
    <row r="2593" spans="9:19" x14ac:dyDescent="0.25">
      <c r="I2593" s="1"/>
      <c r="J2593" s="71"/>
      <c r="M2593" s="46"/>
      <c r="R2593" s="51"/>
      <c r="S2593" s="51"/>
    </row>
    <row r="2594" spans="9:19" x14ac:dyDescent="0.25">
      <c r="I2594" s="1"/>
      <c r="J2594" s="71"/>
      <c r="M2594" s="46"/>
      <c r="R2594" s="51"/>
      <c r="S2594" s="51"/>
    </row>
    <row r="2595" spans="9:19" x14ac:dyDescent="0.25">
      <c r="I2595" s="1"/>
      <c r="J2595" s="71"/>
      <c r="M2595" s="46"/>
      <c r="R2595" s="51"/>
      <c r="S2595" s="51"/>
    </row>
    <row r="2596" spans="9:19" x14ac:dyDescent="0.25">
      <c r="I2596" s="1"/>
      <c r="J2596" s="71"/>
      <c r="M2596" s="46"/>
      <c r="R2596" s="51"/>
      <c r="S2596" s="51"/>
    </row>
    <row r="2597" spans="9:19" x14ac:dyDescent="0.25">
      <c r="I2597" s="1"/>
      <c r="J2597" s="71"/>
      <c r="M2597" s="46"/>
      <c r="R2597" s="51"/>
      <c r="S2597" s="51"/>
    </row>
    <row r="2598" spans="9:19" x14ac:dyDescent="0.25">
      <c r="I2598" s="1"/>
      <c r="J2598" s="71"/>
      <c r="M2598" s="46"/>
      <c r="R2598" s="51"/>
      <c r="S2598" s="51"/>
    </row>
    <row r="2599" spans="9:19" x14ac:dyDescent="0.25">
      <c r="I2599" s="1"/>
      <c r="J2599" s="71"/>
      <c r="M2599" s="46"/>
      <c r="R2599" s="51"/>
      <c r="S2599" s="51"/>
    </row>
    <row r="2600" spans="9:19" x14ac:dyDescent="0.25">
      <c r="I2600" s="1"/>
      <c r="J2600" s="71"/>
      <c r="M2600" s="46"/>
      <c r="R2600" s="51"/>
      <c r="S2600" s="51"/>
    </row>
    <row r="2601" spans="9:19" x14ac:dyDescent="0.25">
      <c r="I2601" s="1"/>
      <c r="J2601" s="71"/>
      <c r="M2601" s="46"/>
      <c r="R2601" s="51"/>
      <c r="S2601" s="51"/>
    </row>
    <row r="2602" spans="9:19" x14ac:dyDescent="0.25">
      <c r="I2602" s="1"/>
      <c r="J2602" s="71"/>
      <c r="M2602" s="46"/>
      <c r="R2602" s="51"/>
      <c r="S2602" s="51"/>
    </row>
    <row r="2603" spans="9:19" x14ac:dyDescent="0.25">
      <c r="I2603" s="1"/>
      <c r="J2603" s="71"/>
      <c r="M2603" s="46"/>
      <c r="R2603" s="51"/>
      <c r="S2603" s="51"/>
    </row>
    <row r="2604" spans="9:19" x14ac:dyDescent="0.25">
      <c r="I2604" s="1"/>
      <c r="J2604" s="71"/>
      <c r="M2604" s="46"/>
      <c r="R2604" s="51"/>
      <c r="S2604" s="51"/>
    </row>
    <row r="2605" spans="9:19" x14ac:dyDescent="0.25">
      <c r="I2605" s="1"/>
      <c r="J2605" s="71"/>
      <c r="M2605" s="46"/>
      <c r="R2605" s="51"/>
      <c r="S2605" s="51"/>
    </row>
    <row r="2606" spans="9:19" x14ac:dyDescent="0.25">
      <c r="I2606" s="1"/>
      <c r="J2606" s="71"/>
      <c r="M2606" s="46"/>
      <c r="R2606" s="51"/>
      <c r="S2606" s="51"/>
    </row>
    <row r="2607" spans="9:19" x14ac:dyDescent="0.25">
      <c r="I2607" s="1"/>
      <c r="J2607" s="71"/>
      <c r="M2607" s="46"/>
      <c r="R2607" s="51"/>
      <c r="S2607" s="51"/>
    </row>
    <row r="2608" spans="9:19" x14ac:dyDescent="0.25">
      <c r="I2608" s="1"/>
      <c r="J2608" s="71"/>
      <c r="M2608" s="46"/>
      <c r="R2608" s="51"/>
      <c r="S2608" s="51"/>
    </row>
    <row r="2609" spans="9:19" x14ac:dyDescent="0.25">
      <c r="I2609" s="1"/>
      <c r="J2609" s="71"/>
      <c r="M2609" s="46"/>
      <c r="R2609" s="51"/>
      <c r="S2609" s="51"/>
    </row>
    <row r="2610" spans="9:19" x14ac:dyDescent="0.25">
      <c r="I2610" s="1"/>
      <c r="J2610" s="71"/>
      <c r="M2610" s="46"/>
      <c r="R2610" s="51"/>
      <c r="S2610" s="51"/>
    </row>
    <row r="2611" spans="9:19" x14ac:dyDescent="0.25">
      <c r="I2611" s="1"/>
      <c r="J2611" s="71"/>
      <c r="M2611" s="46"/>
      <c r="R2611" s="51"/>
      <c r="S2611" s="51"/>
    </row>
    <row r="2612" spans="9:19" x14ac:dyDescent="0.25">
      <c r="I2612" s="1"/>
      <c r="J2612" s="71"/>
      <c r="M2612" s="46"/>
      <c r="R2612" s="51"/>
      <c r="S2612" s="51"/>
    </row>
    <row r="2613" spans="9:19" x14ac:dyDescent="0.25">
      <c r="I2613" s="1"/>
      <c r="J2613" s="71"/>
      <c r="M2613" s="46"/>
      <c r="R2613" s="51"/>
      <c r="S2613" s="51"/>
    </row>
    <row r="2614" spans="9:19" x14ac:dyDescent="0.25">
      <c r="I2614" s="1"/>
      <c r="J2614" s="71"/>
      <c r="M2614" s="46"/>
      <c r="R2614" s="51"/>
      <c r="S2614" s="51"/>
    </row>
    <row r="2615" spans="9:19" x14ac:dyDescent="0.25">
      <c r="I2615" s="1"/>
      <c r="J2615" s="71"/>
      <c r="M2615" s="46"/>
      <c r="R2615" s="51"/>
      <c r="S2615" s="51"/>
    </row>
    <row r="2616" spans="9:19" x14ac:dyDescent="0.25">
      <c r="I2616" s="1"/>
      <c r="J2616" s="71"/>
      <c r="M2616" s="46"/>
      <c r="R2616" s="51"/>
      <c r="S2616" s="51"/>
    </row>
    <row r="2617" spans="9:19" x14ac:dyDescent="0.25">
      <c r="I2617" s="1"/>
      <c r="J2617" s="71"/>
      <c r="M2617" s="46"/>
      <c r="R2617" s="51"/>
      <c r="S2617" s="51"/>
    </row>
    <row r="2618" spans="9:19" x14ac:dyDescent="0.25">
      <c r="I2618" s="1"/>
      <c r="J2618" s="71"/>
      <c r="M2618" s="46"/>
      <c r="R2618" s="51"/>
      <c r="S2618" s="51"/>
    </row>
    <row r="2619" spans="9:19" x14ac:dyDescent="0.25">
      <c r="I2619" s="1"/>
      <c r="J2619" s="71"/>
      <c r="M2619" s="46"/>
      <c r="R2619" s="51"/>
      <c r="S2619" s="51"/>
    </row>
    <row r="2620" spans="9:19" x14ac:dyDescent="0.25">
      <c r="I2620" s="1"/>
      <c r="J2620" s="71"/>
      <c r="M2620" s="46"/>
      <c r="R2620" s="51"/>
      <c r="S2620" s="51"/>
    </row>
    <row r="2621" spans="9:19" x14ac:dyDescent="0.25">
      <c r="I2621" s="1"/>
      <c r="J2621" s="71"/>
      <c r="M2621" s="46"/>
      <c r="R2621" s="51"/>
      <c r="S2621" s="51"/>
    </row>
    <row r="2622" spans="9:19" x14ac:dyDescent="0.25">
      <c r="I2622" s="1"/>
      <c r="J2622" s="71"/>
      <c r="M2622" s="46"/>
      <c r="R2622" s="51"/>
      <c r="S2622" s="51"/>
    </row>
    <row r="2623" spans="9:19" x14ac:dyDescent="0.25">
      <c r="I2623" s="1"/>
      <c r="J2623" s="71"/>
      <c r="M2623" s="46"/>
      <c r="R2623" s="51"/>
      <c r="S2623" s="51"/>
    </row>
    <row r="2624" spans="9:19" x14ac:dyDescent="0.25">
      <c r="I2624" s="1"/>
      <c r="J2624" s="71"/>
      <c r="M2624" s="46"/>
      <c r="R2624" s="51"/>
      <c r="S2624" s="51"/>
    </row>
    <row r="2625" spans="9:19" x14ac:dyDescent="0.25">
      <c r="I2625" s="1"/>
      <c r="J2625" s="71"/>
      <c r="M2625" s="46"/>
      <c r="R2625" s="51"/>
      <c r="S2625" s="51"/>
    </row>
    <row r="2626" spans="9:19" x14ac:dyDescent="0.25">
      <c r="I2626" s="1"/>
      <c r="J2626" s="71"/>
      <c r="M2626" s="46"/>
      <c r="R2626" s="51"/>
      <c r="S2626" s="51"/>
    </row>
    <row r="2627" spans="9:19" x14ac:dyDescent="0.25">
      <c r="I2627" s="1"/>
      <c r="J2627" s="71"/>
      <c r="M2627" s="46"/>
      <c r="R2627" s="51"/>
      <c r="S2627" s="51"/>
    </row>
    <row r="2628" spans="9:19" x14ac:dyDescent="0.25">
      <c r="I2628" s="1"/>
      <c r="J2628" s="71"/>
      <c r="M2628" s="46"/>
      <c r="R2628" s="51"/>
      <c r="S2628" s="51"/>
    </row>
    <row r="2629" spans="9:19" x14ac:dyDescent="0.25">
      <c r="I2629" s="1"/>
      <c r="J2629" s="71"/>
      <c r="M2629" s="46"/>
      <c r="R2629" s="51"/>
      <c r="S2629" s="51"/>
    </row>
    <row r="2630" spans="9:19" x14ac:dyDescent="0.25">
      <c r="I2630" s="1"/>
      <c r="J2630" s="71"/>
      <c r="M2630" s="46"/>
      <c r="R2630" s="51"/>
      <c r="S2630" s="51"/>
    </row>
    <row r="2631" spans="9:19" x14ac:dyDescent="0.25">
      <c r="I2631" s="1"/>
      <c r="J2631" s="71"/>
      <c r="M2631" s="46"/>
      <c r="R2631" s="51"/>
      <c r="S2631" s="51"/>
    </row>
    <row r="2632" spans="9:19" x14ac:dyDescent="0.25">
      <c r="I2632" s="1"/>
      <c r="J2632" s="71"/>
      <c r="M2632" s="46"/>
      <c r="R2632" s="51"/>
      <c r="S2632" s="51"/>
    </row>
    <row r="2633" spans="9:19" x14ac:dyDescent="0.25">
      <c r="I2633" s="1"/>
      <c r="J2633" s="71"/>
      <c r="M2633" s="46"/>
      <c r="R2633" s="51"/>
      <c r="S2633" s="51"/>
    </row>
    <row r="2634" spans="9:19" x14ac:dyDescent="0.25">
      <c r="I2634" s="1"/>
      <c r="J2634" s="71"/>
      <c r="M2634" s="46"/>
      <c r="R2634" s="51"/>
      <c r="S2634" s="51"/>
    </row>
    <row r="2635" spans="9:19" x14ac:dyDescent="0.25">
      <c r="I2635" s="1"/>
      <c r="J2635" s="71"/>
      <c r="M2635" s="46"/>
      <c r="R2635" s="51"/>
      <c r="S2635" s="51"/>
    </row>
    <row r="2636" spans="9:19" x14ac:dyDescent="0.25">
      <c r="I2636" s="1"/>
      <c r="J2636" s="71"/>
      <c r="M2636" s="46"/>
      <c r="R2636" s="51"/>
      <c r="S2636" s="51"/>
    </row>
    <row r="2637" spans="9:19" x14ac:dyDescent="0.25">
      <c r="I2637" s="1"/>
      <c r="J2637" s="71"/>
      <c r="M2637" s="46"/>
      <c r="R2637" s="51"/>
      <c r="S2637" s="51"/>
    </row>
    <row r="2638" spans="9:19" x14ac:dyDescent="0.25">
      <c r="I2638" s="1"/>
      <c r="J2638" s="71"/>
      <c r="M2638" s="46"/>
      <c r="R2638" s="51"/>
      <c r="S2638" s="51"/>
    </row>
    <row r="2639" spans="9:19" x14ac:dyDescent="0.25">
      <c r="I2639" s="1"/>
      <c r="J2639" s="71"/>
      <c r="M2639" s="46"/>
      <c r="R2639" s="51"/>
      <c r="S2639" s="51"/>
    </row>
    <row r="2640" spans="9:19" x14ac:dyDescent="0.25">
      <c r="I2640" s="1"/>
      <c r="J2640" s="71"/>
      <c r="M2640" s="46"/>
      <c r="R2640" s="51"/>
      <c r="S2640" s="51"/>
    </row>
    <row r="2641" spans="9:19" x14ac:dyDescent="0.25">
      <c r="I2641" s="1"/>
      <c r="J2641" s="71"/>
      <c r="M2641" s="46"/>
      <c r="R2641" s="51"/>
      <c r="S2641" s="51"/>
    </row>
    <row r="2642" spans="9:19" x14ac:dyDescent="0.25">
      <c r="I2642" s="1"/>
      <c r="J2642" s="71"/>
      <c r="M2642" s="46"/>
      <c r="R2642" s="51"/>
      <c r="S2642" s="51"/>
    </row>
    <row r="2643" spans="9:19" x14ac:dyDescent="0.25">
      <c r="I2643" s="1"/>
      <c r="J2643" s="71"/>
      <c r="M2643" s="46"/>
      <c r="R2643" s="51"/>
      <c r="S2643" s="51"/>
    </row>
    <row r="2644" spans="9:19" x14ac:dyDescent="0.25">
      <c r="I2644" s="1"/>
      <c r="J2644" s="71"/>
      <c r="M2644" s="46"/>
      <c r="R2644" s="51"/>
      <c r="S2644" s="51"/>
    </row>
    <row r="2645" spans="9:19" x14ac:dyDescent="0.25">
      <c r="I2645" s="1"/>
      <c r="J2645" s="71"/>
      <c r="M2645" s="46"/>
      <c r="R2645" s="51"/>
      <c r="S2645" s="51"/>
    </row>
    <row r="2646" spans="9:19" x14ac:dyDescent="0.25">
      <c r="I2646" s="1"/>
      <c r="J2646" s="71"/>
      <c r="M2646" s="46"/>
      <c r="R2646" s="51"/>
      <c r="S2646" s="51"/>
    </row>
    <row r="2647" spans="9:19" x14ac:dyDescent="0.25">
      <c r="I2647" s="1"/>
      <c r="J2647" s="71"/>
      <c r="M2647" s="46"/>
      <c r="R2647" s="51"/>
      <c r="S2647" s="51"/>
    </row>
    <row r="2648" spans="9:19" x14ac:dyDescent="0.25">
      <c r="I2648" s="1"/>
      <c r="J2648" s="71"/>
      <c r="M2648" s="46"/>
      <c r="R2648" s="51"/>
      <c r="S2648" s="51"/>
    </row>
    <row r="2649" spans="9:19" x14ac:dyDescent="0.25">
      <c r="I2649" s="1"/>
      <c r="J2649" s="71"/>
      <c r="M2649" s="46"/>
      <c r="R2649" s="51"/>
      <c r="S2649" s="51"/>
    </row>
    <row r="2650" spans="9:19" x14ac:dyDescent="0.25">
      <c r="I2650" s="1"/>
      <c r="J2650" s="71"/>
      <c r="M2650" s="46"/>
      <c r="R2650" s="51"/>
      <c r="S2650" s="51"/>
    </row>
    <row r="2651" spans="9:19" x14ac:dyDescent="0.25">
      <c r="I2651" s="1"/>
      <c r="J2651" s="71"/>
      <c r="M2651" s="46"/>
      <c r="R2651" s="51"/>
      <c r="S2651" s="51"/>
    </row>
    <row r="2652" spans="9:19" x14ac:dyDescent="0.25">
      <c r="I2652" s="1"/>
      <c r="J2652" s="71"/>
      <c r="M2652" s="46"/>
      <c r="R2652" s="51"/>
      <c r="S2652" s="51"/>
    </row>
    <row r="2653" spans="9:19" x14ac:dyDescent="0.25">
      <c r="I2653" s="1"/>
      <c r="J2653" s="71"/>
      <c r="M2653" s="46"/>
      <c r="R2653" s="51"/>
      <c r="S2653" s="51"/>
    </row>
    <row r="2654" spans="9:19" x14ac:dyDescent="0.25">
      <c r="I2654" s="1"/>
      <c r="J2654" s="71"/>
      <c r="M2654" s="46"/>
      <c r="R2654" s="51"/>
      <c r="S2654" s="51"/>
    </row>
    <row r="2655" spans="9:19" x14ac:dyDescent="0.25">
      <c r="I2655" s="1"/>
      <c r="J2655" s="71"/>
      <c r="M2655" s="46"/>
      <c r="R2655" s="51"/>
      <c r="S2655" s="51"/>
    </row>
    <row r="2656" spans="9:19" x14ac:dyDescent="0.25">
      <c r="I2656" s="1"/>
      <c r="J2656" s="71"/>
      <c r="M2656" s="46"/>
      <c r="R2656" s="51"/>
      <c r="S2656" s="51"/>
    </row>
    <row r="2657" spans="9:19" x14ac:dyDescent="0.25">
      <c r="I2657" s="1"/>
      <c r="J2657" s="71"/>
      <c r="M2657" s="46"/>
      <c r="R2657" s="51"/>
      <c r="S2657" s="51"/>
    </row>
    <row r="2658" spans="9:19" x14ac:dyDescent="0.25">
      <c r="I2658" s="1"/>
      <c r="J2658" s="71"/>
      <c r="M2658" s="46"/>
      <c r="R2658" s="51"/>
      <c r="S2658" s="51"/>
    </row>
    <row r="2659" spans="9:19" x14ac:dyDescent="0.25">
      <c r="I2659" s="1"/>
      <c r="J2659" s="71"/>
      <c r="M2659" s="46"/>
      <c r="R2659" s="51"/>
      <c r="S2659" s="51"/>
    </row>
    <row r="2660" spans="9:19" x14ac:dyDescent="0.25">
      <c r="I2660" s="1"/>
      <c r="J2660" s="71"/>
      <c r="M2660" s="46"/>
      <c r="R2660" s="51"/>
      <c r="S2660" s="51"/>
    </row>
    <row r="2661" spans="9:19" x14ac:dyDescent="0.25">
      <c r="I2661" s="1"/>
      <c r="J2661" s="71"/>
      <c r="M2661" s="46"/>
      <c r="R2661" s="51"/>
      <c r="S2661" s="51"/>
    </row>
    <row r="2662" spans="9:19" x14ac:dyDescent="0.25">
      <c r="I2662" s="1"/>
      <c r="J2662" s="71"/>
      <c r="M2662" s="46"/>
      <c r="R2662" s="51"/>
      <c r="S2662" s="51"/>
    </row>
    <row r="2663" spans="9:19" x14ac:dyDescent="0.25">
      <c r="I2663" s="1"/>
      <c r="J2663" s="71"/>
      <c r="M2663" s="46"/>
      <c r="R2663" s="51"/>
      <c r="S2663" s="51"/>
    </row>
    <row r="2664" spans="9:19" x14ac:dyDescent="0.25">
      <c r="I2664" s="1"/>
      <c r="J2664" s="71"/>
      <c r="M2664" s="46"/>
      <c r="R2664" s="51"/>
      <c r="S2664" s="51"/>
    </row>
    <row r="2665" spans="9:19" x14ac:dyDescent="0.25">
      <c r="I2665" s="1"/>
      <c r="J2665" s="71"/>
      <c r="M2665" s="46"/>
      <c r="R2665" s="51"/>
      <c r="S2665" s="51"/>
    </row>
    <row r="2666" spans="9:19" x14ac:dyDescent="0.25">
      <c r="I2666" s="1"/>
      <c r="J2666" s="71"/>
      <c r="M2666" s="46"/>
      <c r="R2666" s="51"/>
      <c r="S2666" s="51"/>
    </row>
    <row r="2667" spans="9:19" x14ac:dyDescent="0.25">
      <c r="I2667" s="1"/>
      <c r="J2667" s="71"/>
      <c r="M2667" s="46"/>
      <c r="R2667" s="51"/>
      <c r="S2667" s="51"/>
    </row>
    <row r="2668" spans="9:19" x14ac:dyDescent="0.25">
      <c r="I2668" s="1"/>
      <c r="J2668" s="71"/>
      <c r="M2668" s="46"/>
      <c r="R2668" s="51"/>
      <c r="S2668" s="51"/>
    </row>
    <row r="2669" spans="9:19" x14ac:dyDescent="0.25">
      <c r="I2669" s="1"/>
      <c r="J2669" s="71"/>
      <c r="M2669" s="46"/>
      <c r="R2669" s="51"/>
      <c r="S2669" s="51"/>
    </row>
    <row r="2670" spans="9:19" x14ac:dyDescent="0.25">
      <c r="I2670" s="1"/>
      <c r="J2670" s="71"/>
      <c r="M2670" s="46"/>
      <c r="R2670" s="51"/>
      <c r="S2670" s="51"/>
    </row>
    <row r="2671" spans="9:19" x14ac:dyDescent="0.25">
      <c r="I2671" s="1"/>
      <c r="J2671" s="71"/>
      <c r="M2671" s="46"/>
      <c r="R2671" s="51"/>
      <c r="S2671" s="51"/>
    </row>
    <row r="2672" spans="9:19" x14ac:dyDescent="0.25">
      <c r="I2672" s="1"/>
      <c r="J2672" s="71"/>
      <c r="M2672" s="46"/>
      <c r="R2672" s="51"/>
      <c r="S2672" s="51"/>
    </row>
    <row r="2673" spans="9:19" x14ac:dyDescent="0.25">
      <c r="I2673" s="1"/>
      <c r="J2673" s="71"/>
      <c r="M2673" s="46"/>
      <c r="R2673" s="51"/>
      <c r="S2673" s="51"/>
    </row>
    <row r="2674" spans="9:19" x14ac:dyDescent="0.25">
      <c r="I2674" s="1"/>
      <c r="J2674" s="71"/>
      <c r="M2674" s="46"/>
      <c r="R2674" s="51"/>
      <c r="S2674" s="51"/>
    </row>
    <row r="2675" spans="9:19" x14ac:dyDescent="0.25">
      <c r="I2675" s="1"/>
      <c r="J2675" s="71"/>
      <c r="M2675" s="46"/>
      <c r="R2675" s="51"/>
      <c r="S2675" s="51"/>
    </row>
    <row r="2676" spans="9:19" x14ac:dyDescent="0.25">
      <c r="I2676" s="1"/>
      <c r="J2676" s="71"/>
      <c r="M2676" s="46"/>
      <c r="R2676" s="51"/>
      <c r="S2676" s="51"/>
    </row>
    <row r="2677" spans="9:19" x14ac:dyDescent="0.25">
      <c r="I2677" s="1"/>
      <c r="J2677" s="71"/>
      <c r="M2677" s="46"/>
      <c r="R2677" s="51"/>
      <c r="S2677" s="51"/>
    </row>
    <row r="2678" spans="9:19" x14ac:dyDescent="0.25">
      <c r="I2678" s="1"/>
      <c r="J2678" s="71"/>
      <c r="M2678" s="46"/>
      <c r="R2678" s="51"/>
      <c r="S2678" s="51"/>
    </row>
    <row r="2679" spans="9:19" x14ac:dyDescent="0.25">
      <c r="I2679" s="1"/>
      <c r="J2679" s="71"/>
      <c r="M2679" s="46"/>
      <c r="R2679" s="51"/>
      <c r="S2679" s="51"/>
    </row>
    <row r="2680" spans="9:19" x14ac:dyDescent="0.25">
      <c r="I2680" s="1"/>
      <c r="J2680" s="71"/>
      <c r="M2680" s="46"/>
      <c r="R2680" s="51"/>
      <c r="S2680" s="51"/>
    </row>
    <row r="2681" spans="9:19" x14ac:dyDescent="0.25">
      <c r="I2681" s="1"/>
      <c r="J2681" s="71"/>
      <c r="M2681" s="46"/>
      <c r="R2681" s="51"/>
      <c r="S2681" s="51"/>
    </row>
    <row r="2682" spans="9:19" x14ac:dyDescent="0.25">
      <c r="I2682" s="1"/>
      <c r="J2682" s="71"/>
      <c r="M2682" s="46"/>
      <c r="R2682" s="51"/>
      <c r="S2682" s="51"/>
    </row>
    <row r="2683" spans="9:19" x14ac:dyDescent="0.25">
      <c r="I2683" s="1"/>
      <c r="J2683" s="71"/>
      <c r="M2683" s="46"/>
      <c r="R2683" s="51"/>
      <c r="S2683" s="51"/>
    </row>
    <row r="2684" spans="9:19" x14ac:dyDescent="0.25">
      <c r="I2684" s="1"/>
      <c r="J2684" s="71"/>
      <c r="M2684" s="46"/>
      <c r="R2684" s="51"/>
      <c r="S2684" s="51"/>
    </row>
    <row r="2685" spans="9:19" x14ac:dyDescent="0.25">
      <c r="I2685" s="1"/>
      <c r="J2685" s="71"/>
      <c r="M2685" s="46"/>
      <c r="R2685" s="51"/>
      <c r="S2685" s="51"/>
    </row>
    <row r="2686" spans="9:19" x14ac:dyDescent="0.25">
      <c r="I2686" s="1"/>
      <c r="J2686" s="71"/>
      <c r="M2686" s="46"/>
      <c r="R2686" s="51"/>
      <c r="S2686" s="51"/>
    </row>
    <row r="2687" spans="9:19" x14ac:dyDescent="0.25">
      <c r="I2687" s="1"/>
      <c r="J2687" s="71"/>
      <c r="M2687" s="46"/>
      <c r="R2687" s="51"/>
      <c r="S2687" s="51"/>
    </row>
    <row r="2688" spans="9:19" x14ac:dyDescent="0.25">
      <c r="I2688" s="1"/>
      <c r="J2688" s="71"/>
      <c r="M2688" s="46"/>
      <c r="R2688" s="51"/>
      <c r="S2688" s="51"/>
    </row>
    <row r="2689" spans="9:19" x14ac:dyDescent="0.25">
      <c r="I2689" s="1"/>
      <c r="J2689" s="71"/>
      <c r="M2689" s="46"/>
      <c r="R2689" s="51"/>
      <c r="S2689" s="51"/>
    </row>
    <row r="2690" spans="9:19" x14ac:dyDescent="0.25">
      <c r="I2690" s="1"/>
      <c r="J2690" s="71"/>
      <c r="M2690" s="46"/>
      <c r="R2690" s="51"/>
      <c r="S2690" s="51"/>
    </row>
    <row r="2691" spans="9:19" x14ac:dyDescent="0.25">
      <c r="I2691" s="1"/>
      <c r="J2691" s="71"/>
      <c r="M2691" s="46"/>
      <c r="R2691" s="51"/>
      <c r="S2691" s="51"/>
    </row>
    <row r="2692" spans="9:19" x14ac:dyDescent="0.25">
      <c r="I2692" s="1"/>
      <c r="J2692" s="71"/>
      <c r="M2692" s="46"/>
      <c r="R2692" s="51"/>
      <c r="S2692" s="51"/>
    </row>
    <row r="2693" spans="9:19" x14ac:dyDescent="0.25">
      <c r="I2693" s="1"/>
      <c r="J2693" s="71"/>
      <c r="M2693" s="46"/>
      <c r="R2693" s="51"/>
      <c r="S2693" s="51"/>
    </row>
    <row r="2694" spans="9:19" x14ac:dyDescent="0.25">
      <c r="I2694" s="1"/>
      <c r="J2694" s="71"/>
      <c r="M2694" s="46"/>
      <c r="R2694" s="51"/>
      <c r="S2694" s="51"/>
    </row>
    <row r="2695" spans="9:19" x14ac:dyDescent="0.25">
      <c r="I2695" s="1"/>
      <c r="J2695" s="71"/>
      <c r="M2695" s="46"/>
      <c r="R2695" s="51"/>
      <c r="S2695" s="51"/>
    </row>
    <row r="2696" spans="9:19" x14ac:dyDescent="0.25">
      <c r="I2696" s="1"/>
      <c r="J2696" s="71"/>
      <c r="M2696" s="46"/>
      <c r="R2696" s="51"/>
      <c r="S2696" s="51"/>
    </row>
    <row r="2697" spans="9:19" x14ac:dyDescent="0.25">
      <c r="I2697" s="1"/>
      <c r="J2697" s="71"/>
      <c r="M2697" s="46"/>
      <c r="R2697" s="51"/>
      <c r="S2697" s="51"/>
    </row>
    <row r="2698" spans="9:19" x14ac:dyDescent="0.25">
      <c r="I2698" s="1"/>
      <c r="J2698" s="71"/>
      <c r="M2698" s="46"/>
      <c r="R2698" s="51"/>
      <c r="S2698" s="51"/>
    </row>
    <row r="2699" spans="9:19" x14ac:dyDescent="0.25">
      <c r="I2699" s="1"/>
      <c r="J2699" s="71"/>
      <c r="M2699" s="46"/>
      <c r="R2699" s="51"/>
      <c r="S2699" s="51"/>
    </row>
    <row r="2700" spans="9:19" x14ac:dyDescent="0.25">
      <c r="I2700" s="1"/>
      <c r="J2700" s="71"/>
      <c r="M2700" s="46"/>
      <c r="R2700" s="51"/>
      <c r="S2700" s="51"/>
    </row>
    <row r="2701" spans="9:19" x14ac:dyDescent="0.25">
      <c r="I2701" s="1"/>
      <c r="J2701" s="71"/>
      <c r="M2701" s="46"/>
      <c r="R2701" s="51"/>
      <c r="S2701" s="51"/>
    </row>
    <row r="2702" spans="9:19" x14ac:dyDescent="0.25">
      <c r="I2702" s="1"/>
      <c r="J2702" s="71"/>
      <c r="M2702" s="46"/>
      <c r="R2702" s="51"/>
      <c r="S2702" s="51"/>
    </row>
    <row r="2703" spans="9:19" x14ac:dyDescent="0.25">
      <c r="I2703" s="1"/>
      <c r="J2703" s="71"/>
      <c r="M2703" s="46"/>
      <c r="R2703" s="51"/>
      <c r="S2703" s="51"/>
    </row>
    <row r="2704" spans="9:19" x14ac:dyDescent="0.25">
      <c r="I2704" s="1"/>
      <c r="J2704" s="71"/>
      <c r="M2704" s="46"/>
      <c r="R2704" s="51"/>
      <c r="S2704" s="51"/>
    </row>
    <row r="2705" spans="9:19" x14ac:dyDescent="0.25">
      <c r="I2705" s="1"/>
      <c r="J2705" s="71"/>
      <c r="M2705" s="46"/>
      <c r="R2705" s="51"/>
      <c r="S2705" s="51"/>
    </row>
    <row r="2706" spans="9:19" x14ac:dyDescent="0.25">
      <c r="I2706" s="1"/>
      <c r="J2706" s="71"/>
      <c r="M2706" s="46"/>
      <c r="R2706" s="51"/>
      <c r="S2706" s="51"/>
    </row>
    <row r="2707" spans="9:19" x14ac:dyDescent="0.25">
      <c r="I2707" s="1"/>
      <c r="J2707" s="71"/>
      <c r="M2707" s="46"/>
      <c r="R2707" s="51"/>
      <c r="S2707" s="51"/>
    </row>
    <row r="2708" spans="9:19" x14ac:dyDescent="0.25">
      <c r="I2708" s="1"/>
      <c r="J2708" s="71"/>
      <c r="M2708" s="46"/>
      <c r="R2708" s="51"/>
      <c r="S2708" s="51"/>
    </row>
    <row r="2709" spans="9:19" x14ac:dyDescent="0.25">
      <c r="I2709" s="1"/>
      <c r="J2709" s="71"/>
      <c r="M2709" s="46"/>
      <c r="R2709" s="51"/>
      <c r="S2709" s="51"/>
    </row>
    <row r="2710" spans="9:19" x14ac:dyDescent="0.25">
      <c r="I2710" s="1"/>
      <c r="J2710" s="71"/>
      <c r="M2710" s="46"/>
      <c r="R2710" s="51"/>
      <c r="S2710" s="51"/>
    </row>
    <row r="2711" spans="9:19" x14ac:dyDescent="0.25">
      <c r="I2711" s="1"/>
      <c r="J2711" s="71"/>
      <c r="M2711" s="46"/>
      <c r="R2711" s="51"/>
      <c r="S2711" s="51"/>
    </row>
    <row r="2712" spans="9:19" x14ac:dyDescent="0.25">
      <c r="I2712" s="1"/>
      <c r="J2712" s="71"/>
      <c r="M2712" s="46"/>
      <c r="R2712" s="51"/>
      <c r="S2712" s="51"/>
    </row>
    <row r="2713" spans="9:19" x14ac:dyDescent="0.25">
      <c r="I2713" s="1"/>
      <c r="J2713" s="71"/>
      <c r="M2713" s="46"/>
      <c r="R2713" s="51"/>
      <c r="S2713" s="51"/>
    </row>
    <row r="2714" spans="9:19" x14ac:dyDescent="0.25">
      <c r="I2714" s="1"/>
      <c r="J2714" s="71"/>
      <c r="M2714" s="46"/>
      <c r="R2714" s="51"/>
      <c r="S2714" s="51"/>
    </row>
    <row r="2715" spans="9:19" x14ac:dyDescent="0.25">
      <c r="I2715" s="1"/>
      <c r="J2715" s="71"/>
      <c r="M2715" s="46"/>
      <c r="R2715" s="51"/>
      <c r="S2715" s="51"/>
    </row>
    <row r="2716" spans="9:19" x14ac:dyDescent="0.25">
      <c r="I2716" s="1"/>
      <c r="J2716" s="71"/>
      <c r="M2716" s="46"/>
      <c r="R2716" s="51"/>
      <c r="S2716" s="51"/>
    </row>
    <row r="2717" spans="9:19" x14ac:dyDescent="0.25">
      <c r="I2717" s="1"/>
      <c r="J2717" s="71"/>
      <c r="M2717" s="46"/>
      <c r="R2717" s="51"/>
      <c r="S2717" s="51"/>
    </row>
    <row r="2718" spans="9:19" x14ac:dyDescent="0.25">
      <c r="I2718" s="1"/>
      <c r="J2718" s="71"/>
      <c r="M2718" s="46"/>
      <c r="R2718" s="51"/>
      <c r="S2718" s="51"/>
    </row>
    <row r="2719" spans="9:19" x14ac:dyDescent="0.25">
      <c r="I2719" s="1"/>
      <c r="J2719" s="71"/>
      <c r="M2719" s="46"/>
      <c r="R2719" s="51"/>
      <c r="S2719" s="51"/>
    </row>
    <row r="2720" spans="9:19" x14ac:dyDescent="0.25">
      <c r="I2720" s="1"/>
      <c r="J2720" s="71"/>
      <c r="M2720" s="46"/>
      <c r="R2720" s="51"/>
      <c r="S2720" s="51"/>
    </row>
    <row r="2721" spans="9:19" x14ac:dyDescent="0.25">
      <c r="I2721" s="1"/>
      <c r="J2721" s="71"/>
      <c r="M2721" s="46"/>
      <c r="R2721" s="51"/>
      <c r="S2721" s="51"/>
    </row>
    <row r="2722" spans="9:19" x14ac:dyDescent="0.25">
      <c r="I2722" s="1"/>
      <c r="J2722" s="71"/>
      <c r="M2722" s="46"/>
      <c r="R2722" s="51"/>
      <c r="S2722" s="51"/>
    </row>
    <row r="2723" spans="9:19" x14ac:dyDescent="0.25">
      <c r="I2723" s="1"/>
      <c r="J2723" s="71"/>
      <c r="M2723" s="46"/>
      <c r="R2723" s="51"/>
      <c r="S2723" s="51"/>
    </row>
    <row r="2724" spans="9:19" x14ac:dyDescent="0.25">
      <c r="I2724" s="1"/>
      <c r="J2724" s="71"/>
      <c r="M2724" s="46"/>
      <c r="R2724" s="51"/>
      <c r="S2724" s="51"/>
    </row>
    <row r="2725" spans="9:19" x14ac:dyDescent="0.25">
      <c r="I2725" s="1"/>
      <c r="J2725" s="71"/>
      <c r="M2725" s="46"/>
      <c r="R2725" s="51"/>
      <c r="S2725" s="51"/>
    </row>
    <row r="2726" spans="9:19" x14ac:dyDescent="0.25">
      <c r="I2726" s="1"/>
      <c r="J2726" s="71"/>
      <c r="M2726" s="46"/>
      <c r="R2726" s="51"/>
      <c r="S2726" s="51"/>
    </row>
    <row r="2727" spans="9:19" x14ac:dyDescent="0.25">
      <c r="I2727" s="1"/>
      <c r="J2727" s="71"/>
      <c r="M2727" s="46"/>
      <c r="R2727" s="51"/>
      <c r="S2727" s="51"/>
    </row>
    <row r="2728" spans="9:19" x14ac:dyDescent="0.25">
      <c r="I2728" s="1"/>
      <c r="J2728" s="71"/>
      <c r="M2728" s="46"/>
      <c r="R2728" s="51"/>
      <c r="S2728" s="51"/>
    </row>
    <row r="2729" spans="9:19" x14ac:dyDescent="0.25">
      <c r="I2729" s="1"/>
      <c r="J2729" s="71"/>
      <c r="M2729" s="46"/>
      <c r="R2729" s="51"/>
      <c r="S2729" s="51"/>
    </row>
    <row r="2730" spans="9:19" x14ac:dyDescent="0.25">
      <c r="I2730" s="1"/>
      <c r="J2730" s="71"/>
      <c r="M2730" s="46"/>
      <c r="R2730" s="51"/>
      <c r="S2730" s="51"/>
    </row>
    <row r="2731" spans="9:19" x14ac:dyDescent="0.25">
      <c r="I2731" s="1"/>
      <c r="J2731" s="71"/>
      <c r="M2731" s="46"/>
      <c r="R2731" s="51"/>
      <c r="S2731" s="51"/>
    </row>
    <row r="2732" spans="9:19" x14ac:dyDescent="0.25">
      <c r="I2732" s="1"/>
      <c r="J2732" s="71"/>
      <c r="M2732" s="46"/>
      <c r="R2732" s="51"/>
      <c r="S2732" s="51"/>
    </row>
    <row r="2733" spans="9:19" x14ac:dyDescent="0.25">
      <c r="I2733" s="1"/>
      <c r="J2733" s="71"/>
      <c r="M2733" s="46"/>
      <c r="R2733" s="51"/>
      <c r="S2733" s="51"/>
    </row>
    <row r="2734" spans="9:19" x14ac:dyDescent="0.25">
      <c r="I2734" s="1"/>
      <c r="J2734" s="71"/>
      <c r="M2734" s="46"/>
      <c r="R2734" s="51"/>
      <c r="S2734" s="51"/>
    </row>
    <row r="2735" spans="9:19" x14ac:dyDescent="0.25">
      <c r="I2735" s="1"/>
      <c r="J2735" s="71"/>
      <c r="M2735" s="46"/>
      <c r="R2735" s="51"/>
      <c r="S2735" s="51"/>
    </row>
    <row r="2736" spans="9:19" x14ac:dyDescent="0.25">
      <c r="I2736" s="1"/>
      <c r="J2736" s="71"/>
      <c r="M2736" s="46"/>
      <c r="R2736" s="51"/>
      <c r="S2736" s="51"/>
    </row>
    <row r="2737" spans="9:19" x14ac:dyDescent="0.25">
      <c r="I2737" s="1"/>
      <c r="J2737" s="71"/>
      <c r="M2737" s="46"/>
      <c r="R2737" s="51"/>
      <c r="S2737" s="51"/>
    </row>
    <row r="2738" spans="9:19" x14ac:dyDescent="0.25">
      <c r="I2738" s="1"/>
      <c r="J2738" s="71"/>
      <c r="M2738" s="46"/>
      <c r="R2738" s="51"/>
      <c r="S2738" s="51"/>
    </row>
    <row r="2739" spans="9:19" x14ac:dyDescent="0.25">
      <c r="I2739" s="1"/>
      <c r="J2739" s="71"/>
      <c r="M2739" s="46"/>
      <c r="R2739" s="51"/>
      <c r="S2739" s="51"/>
    </row>
    <row r="2740" spans="9:19" x14ac:dyDescent="0.25">
      <c r="I2740" s="1"/>
      <c r="J2740" s="71"/>
      <c r="M2740" s="46"/>
      <c r="R2740" s="51"/>
      <c r="S2740" s="51"/>
    </row>
    <row r="2741" spans="9:19" x14ac:dyDescent="0.25">
      <c r="I2741" s="1"/>
      <c r="J2741" s="71"/>
      <c r="M2741" s="46"/>
      <c r="R2741" s="51"/>
      <c r="S2741" s="51"/>
    </row>
    <row r="2742" spans="9:19" x14ac:dyDescent="0.25">
      <c r="I2742" s="1"/>
      <c r="J2742" s="71"/>
      <c r="M2742" s="46"/>
      <c r="R2742" s="51"/>
      <c r="S2742" s="51"/>
    </row>
    <row r="2743" spans="9:19" x14ac:dyDescent="0.25">
      <c r="I2743" s="1"/>
      <c r="J2743" s="71"/>
      <c r="M2743" s="46"/>
      <c r="R2743" s="51"/>
      <c r="S2743" s="51"/>
    </row>
    <row r="2744" spans="9:19" x14ac:dyDescent="0.25">
      <c r="I2744" s="1"/>
      <c r="J2744" s="71"/>
      <c r="M2744" s="46"/>
      <c r="R2744" s="51"/>
      <c r="S2744" s="51"/>
    </row>
    <row r="2745" spans="9:19" x14ac:dyDescent="0.25">
      <c r="I2745" s="1"/>
      <c r="J2745" s="71"/>
      <c r="M2745" s="46"/>
      <c r="R2745" s="51"/>
      <c r="S2745" s="51"/>
    </row>
    <row r="2746" spans="9:19" x14ac:dyDescent="0.25">
      <c r="I2746" s="1"/>
      <c r="J2746" s="71"/>
      <c r="M2746" s="46"/>
      <c r="R2746" s="51"/>
      <c r="S2746" s="51"/>
    </row>
    <row r="2747" spans="9:19" x14ac:dyDescent="0.25">
      <c r="I2747" s="1"/>
      <c r="J2747" s="71"/>
      <c r="M2747" s="46"/>
      <c r="R2747" s="51"/>
      <c r="S2747" s="51"/>
    </row>
    <row r="2748" spans="9:19" x14ac:dyDescent="0.25">
      <c r="I2748" s="1"/>
      <c r="J2748" s="71"/>
      <c r="M2748" s="46"/>
      <c r="R2748" s="51"/>
      <c r="S2748" s="51"/>
    </row>
    <row r="2749" spans="9:19" x14ac:dyDescent="0.25">
      <c r="I2749" s="1"/>
      <c r="J2749" s="71"/>
      <c r="M2749" s="46"/>
      <c r="R2749" s="51"/>
      <c r="S2749" s="51"/>
    </row>
    <row r="2750" spans="9:19" x14ac:dyDescent="0.25">
      <c r="I2750" s="1"/>
      <c r="J2750" s="71"/>
      <c r="M2750" s="46"/>
      <c r="R2750" s="51"/>
      <c r="S2750" s="51"/>
    </row>
    <row r="2751" spans="9:19" x14ac:dyDescent="0.25">
      <c r="I2751" s="1"/>
      <c r="J2751" s="71"/>
      <c r="M2751" s="46"/>
      <c r="R2751" s="51"/>
      <c r="S2751" s="51"/>
    </row>
    <row r="2752" spans="9:19" x14ac:dyDescent="0.25">
      <c r="I2752" s="1"/>
      <c r="J2752" s="71"/>
      <c r="M2752" s="46"/>
      <c r="R2752" s="51"/>
      <c r="S2752" s="51"/>
    </row>
    <row r="2753" spans="9:19" x14ac:dyDescent="0.25">
      <c r="I2753" s="1"/>
      <c r="J2753" s="71"/>
      <c r="M2753" s="46"/>
      <c r="R2753" s="51"/>
      <c r="S2753" s="51"/>
    </row>
    <row r="2754" spans="9:19" x14ac:dyDescent="0.25">
      <c r="I2754" s="1"/>
      <c r="J2754" s="71"/>
      <c r="M2754" s="46"/>
      <c r="R2754" s="51"/>
      <c r="S2754" s="51"/>
    </row>
    <row r="2755" spans="9:19" x14ac:dyDescent="0.25">
      <c r="I2755" s="1"/>
      <c r="J2755" s="71"/>
      <c r="M2755" s="46"/>
      <c r="R2755" s="51"/>
      <c r="S2755" s="51"/>
    </row>
    <row r="2756" spans="9:19" x14ac:dyDescent="0.25">
      <c r="I2756" s="1"/>
      <c r="J2756" s="71"/>
      <c r="M2756" s="46"/>
      <c r="R2756" s="51"/>
      <c r="S2756" s="51"/>
    </row>
    <row r="2757" spans="9:19" x14ac:dyDescent="0.25">
      <c r="I2757" s="1"/>
      <c r="J2757" s="71"/>
      <c r="M2757" s="46"/>
      <c r="R2757" s="51"/>
      <c r="S2757" s="51"/>
    </row>
    <row r="2758" spans="9:19" x14ac:dyDescent="0.25">
      <c r="I2758" s="1"/>
      <c r="J2758" s="71"/>
      <c r="M2758" s="46"/>
      <c r="R2758" s="51"/>
      <c r="S2758" s="51"/>
    </row>
    <row r="2759" spans="9:19" x14ac:dyDescent="0.25">
      <c r="I2759" s="1"/>
      <c r="J2759" s="71"/>
      <c r="M2759" s="46"/>
      <c r="R2759" s="51"/>
      <c r="S2759" s="51"/>
    </row>
    <row r="2760" spans="9:19" x14ac:dyDescent="0.25">
      <c r="I2760" s="1"/>
      <c r="J2760" s="71"/>
      <c r="M2760" s="46"/>
      <c r="R2760" s="51"/>
      <c r="S2760" s="51"/>
    </row>
    <row r="2761" spans="9:19" x14ac:dyDescent="0.25">
      <c r="I2761" s="1"/>
      <c r="J2761" s="71"/>
      <c r="M2761" s="46"/>
      <c r="R2761" s="51"/>
      <c r="S2761" s="51"/>
    </row>
    <row r="2762" spans="9:19" x14ac:dyDescent="0.25">
      <c r="I2762" s="1"/>
      <c r="J2762" s="71"/>
      <c r="M2762" s="46"/>
      <c r="R2762" s="51"/>
      <c r="S2762" s="51"/>
    </row>
    <row r="2763" spans="9:19" x14ac:dyDescent="0.25">
      <c r="I2763" s="1"/>
      <c r="J2763" s="71"/>
      <c r="M2763" s="46"/>
      <c r="R2763" s="51"/>
      <c r="S2763" s="51"/>
    </row>
    <row r="2764" spans="9:19" x14ac:dyDescent="0.25">
      <c r="I2764" s="1"/>
      <c r="J2764" s="71"/>
      <c r="M2764" s="46"/>
      <c r="R2764" s="51"/>
      <c r="S2764" s="51"/>
    </row>
    <row r="2765" spans="9:19" x14ac:dyDescent="0.25">
      <c r="I2765" s="1"/>
      <c r="J2765" s="71"/>
      <c r="M2765" s="46"/>
      <c r="R2765" s="51"/>
      <c r="S2765" s="51"/>
    </row>
    <row r="2766" spans="9:19" x14ac:dyDescent="0.25">
      <c r="I2766" s="1"/>
      <c r="J2766" s="71"/>
      <c r="M2766" s="46"/>
      <c r="R2766" s="51"/>
      <c r="S2766" s="51"/>
    </row>
    <row r="2767" spans="9:19" x14ac:dyDescent="0.25">
      <c r="I2767" s="1"/>
      <c r="J2767" s="71"/>
      <c r="M2767" s="46"/>
      <c r="R2767" s="51"/>
      <c r="S2767" s="51"/>
    </row>
    <row r="2768" spans="9:19" x14ac:dyDescent="0.25">
      <c r="I2768" s="1"/>
      <c r="J2768" s="71"/>
      <c r="M2768" s="46"/>
      <c r="R2768" s="51"/>
      <c r="S2768" s="51"/>
    </row>
    <row r="2769" spans="9:19" x14ac:dyDescent="0.25">
      <c r="I2769" s="1"/>
      <c r="J2769" s="71"/>
      <c r="M2769" s="46"/>
      <c r="R2769" s="51"/>
      <c r="S2769" s="51"/>
    </row>
    <row r="2770" spans="9:19" x14ac:dyDescent="0.25">
      <c r="I2770" s="1"/>
      <c r="J2770" s="71"/>
      <c r="M2770" s="46"/>
      <c r="R2770" s="51"/>
      <c r="S2770" s="51"/>
    </row>
    <row r="2771" spans="9:19" x14ac:dyDescent="0.25">
      <c r="I2771" s="1"/>
      <c r="J2771" s="71"/>
      <c r="M2771" s="46"/>
      <c r="R2771" s="51"/>
      <c r="S2771" s="51"/>
    </row>
    <row r="2772" spans="9:19" x14ac:dyDescent="0.25">
      <c r="I2772" s="1"/>
      <c r="J2772" s="71"/>
      <c r="M2772" s="46"/>
      <c r="R2772" s="51"/>
      <c r="S2772" s="51"/>
    </row>
    <row r="2773" spans="9:19" x14ac:dyDescent="0.25">
      <c r="I2773" s="1"/>
      <c r="J2773" s="71"/>
      <c r="M2773" s="46"/>
      <c r="R2773" s="51"/>
      <c r="S2773" s="51"/>
    </row>
    <row r="2774" spans="9:19" x14ac:dyDescent="0.25">
      <c r="I2774" s="1"/>
      <c r="J2774" s="71"/>
      <c r="M2774" s="46"/>
      <c r="R2774" s="51"/>
      <c r="S2774" s="51"/>
    </row>
    <row r="2775" spans="9:19" x14ac:dyDescent="0.25">
      <c r="I2775" s="1"/>
      <c r="J2775" s="71"/>
      <c r="M2775" s="46"/>
      <c r="R2775" s="51"/>
      <c r="S2775" s="51"/>
    </row>
    <row r="2776" spans="9:19" x14ac:dyDescent="0.25">
      <c r="I2776" s="1"/>
      <c r="J2776" s="71"/>
      <c r="M2776" s="46"/>
      <c r="R2776" s="51"/>
      <c r="S2776" s="51"/>
    </row>
    <row r="2777" spans="9:19" x14ac:dyDescent="0.25">
      <c r="I2777" s="1"/>
      <c r="J2777" s="71"/>
      <c r="M2777" s="46"/>
      <c r="R2777" s="51"/>
      <c r="S2777" s="51"/>
    </row>
    <row r="2778" spans="9:19" x14ac:dyDescent="0.25">
      <c r="I2778" s="1"/>
      <c r="J2778" s="71"/>
      <c r="M2778" s="46"/>
      <c r="R2778" s="51"/>
      <c r="S2778" s="51"/>
    </row>
    <row r="2779" spans="9:19" x14ac:dyDescent="0.25">
      <c r="I2779" s="1"/>
      <c r="J2779" s="71"/>
      <c r="M2779" s="46"/>
      <c r="R2779" s="51"/>
      <c r="S2779" s="51"/>
    </row>
    <row r="2780" spans="9:19" x14ac:dyDescent="0.25">
      <c r="I2780" s="1"/>
      <c r="J2780" s="71"/>
      <c r="M2780" s="46"/>
      <c r="R2780" s="51"/>
      <c r="S2780" s="51"/>
    </row>
    <row r="2781" spans="9:19" x14ac:dyDescent="0.25">
      <c r="I2781" s="1"/>
      <c r="J2781" s="71"/>
      <c r="M2781" s="46"/>
      <c r="R2781" s="51"/>
      <c r="S2781" s="51"/>
    </row>
    <row r="2782" spans="9:19" x14ac:dyDescent="0.25">
      <c r="I2782" s="1"/>
      <c r="J2782" s="71"/>
      <c r="M2782" s="46"/>
      <c r="R2782" s="51"/>
      <c r="S2782" s="51"/>
    </row>
    <row r="2783" spans="9:19" x14ac:dyDescent="0.25">
      <c r="I2783" s="1"/>
      <c r="J2783" s="71"/>
      <c r="M2783" s="46"/>
      <c r="R2783" s="51"/>
      <c r="S2783" s="51"/>
    </row>
    <row r="2784" spans="9:19" x14ac:dyDescent="0.25">
      <c r="I2784" s="1"/>
      <c r="J2784" s="71"/>
      <c r="M2784" s="46"/>
      <c r="R2784" s="51"/>
      <c r="S2784" s="51"/>
    </row>
    <row r="2785" spans="9:19" x14ac:dyDescent="0.25">
      <c r="I2785" s="1"/>
      <c r="J2785" s="71"/>
      <c r="M2785" s="46"/>
      <c r="R2785" s="51"/>
      <c r="S2785" s="51"/>
    </row>
    <row r="2786" spans="9:19" x14ac:dyDescent="0.25">
      <c r="I2786" s="1"/>
      <c r="J2786" s="71"/>
      <c r="M2786" s="46"/>
      <c r="R2786" s="51"/>
      <c r="S2786" s="51"/>
    </row>
    <row r="2787" spans="9:19" x14ac:dyDescent="0.25">
      <c r="I2787" s="1"/>
      <c r="J2787" s="71"/>
      <c r="M2787" s="46"/>
      <c r="R2787" s="51"/>
      <c r="S2787" s="51"/>
    </row>
    <row r="2788" spans="9:19" x14ac:dyDescent="0.25">
      <c r="I2788" s="1"/>
      <c r="J2788" s="71"/>
      <c r="M2788" s="46"/>
      <c r="R2788" s="51"/>
      <c r="S2788" s="51"/>
    </row>
    <row r="2789" spans="9:19" x14ac:dyDescent="0.25">
      <c r="I2789" s="1"/>
      <c r="J2789" s="71"/>
      <c r="M2789" s="46"/>
      <c r="R2789" s="51"/>
      <c r="S2789" s="51"/>
    </row>
    <row r="2790" spans="9:19" x14ac:dyDescent="0.25">
      <c r="I2790" s="1"/>
      <c r="J2790" s="71"/>
      <c r="M2790" s="46"/>
      <c r="R2790" s="51"/>
      <c r="S2790" s="51"/>
    </row>
    <row r="2791" spans="9:19" x14ac:dyDescent="0.25">
      <c r="I2791" s="1"/>
      <c r="J2791" s="71"/>
      <c r="M2791" s="46"/>
      <c r="R2791" s="51"/>
      <c r="S2791" s="51"/>
    </row>
    <row r="2792" spans="9:19" x14ac:dyDescent="0.25">
      <c r="I2792" s="1"/>
      <c r="J2792" s="71"/>
      <c r="M2792" s="46"/>
      <c r="R2792" s="51"/>
      <c r="S2792" s="51"/>
    </row>
    <row r="2793" spans="9:19" x14ac:dyDescent="0.25">
      <c r="I2793" s="1"/>
      <c r="J2793" s="71"/>
      <c r="M2793" s="46"/>
      <c r="R2793" s="51"/>
      <c r="S2793" s="51"/>
    </row>
    <row r="2794" spans="9:19" x14ac:dyDescent="0.25">
      <c r="I2794" s="1"/>
      <c r="J2794" s="71"/>
      <c r="M2794" s="46"/>
      <c r="R2794" s="51"/>
      <c r="S2794" s="51"/>
    </row>
    <row r="2795" spans="9:19" x14ac:dyDescent="0.25">
      <c r="I2795" s="1"/>
      <c r="J2795" s="71"/>
      <c r="M2795" s="46"/>
      <c r="R2795" s="51"/>
      <c r="S2795" s="51"/>
    </row>
    <row r="2796" spans="9:19" x14ac:dyDescent="0.25">
      <c r="I2796" s="1"/>
      <c r="J2796" s="71"/>
      <c r="M2796" s="46"/>
      <c r="R2796" s="51"/>
      <c r="S2796" s="51"/>
    </row>
    <row r="2797" spans="9:19" x14ac:dyDescent="0.25">
      <c r="I2797" s="1"/>
      <c r="J2797" s="71"/>
      <c r="M2797" s="46"/>
      <c r="R2797" s="51"/>
      <c r="S2797" s="51"/>
    </row>
    <row r="2798" spans="9:19" x14ac:dyDescent="0.25">
      <c r="I2798" s="1"/>
      <c r="J2798" s="71"/>
      <c r="M2798" s="46"/>
      <c r="R2798" s="51"/>
      <c r="S2798" s="51"/>
    </row>
    <row r="2799" spans="9:19" x14ac:dyDescent="0.25">
      <c r="I2799" s="1"/>
      <c r="J2799" s="71"/>
      <c r="M2799" s="46"/>
      <c r="R2799" s="51"/>
      <c r="S2799" s="51"/>
    </row>
    <row r="2800" spans="9:19" x14ac:dyDescent="0.25">
      <c r="I2800" s="1"/>
      <c r="J2800" s="71"/>
      <c r="M2800" s="46"/>
      <c r="R2800" s="51"/>
      <c r="S2800" s="51"/>
    </row>
    <row r="2801" spans="9:19" x14ac:dyDescent="0.25">
      <c r="I2801" s="1"/>
      <c r="J2801" s="71"/>
      <c r="M2801" s="46"/>
      <c r="R2801" s="51"/>
      <c r="S2801" s="51"/>
    </row>
    <row r="2802" spans="9:19" x14ac:dyDescent="0.25">
      <c r="I2802" s="1"/>
      <c r="J2802" s="71"/>
      <c r="M2802" s="46"/>
      <c r="R2802" s="51"/>
      <c r="S2802" s="51"/>
    </row>
    <row r="2803" spans="9:19" x14ac:dyDescent="0.25">
      <c r="I2803" s="1"/>
      <c r="J2803" s="71"/>
      <c r="M2803" s="46"/>
      <c r="R2803" s="51"/>
      <c r="S2803" s="51"/>
    </row>
    <row r="2804" spans="9:19" x14ac:dyDescent="0.25">
      <c r="I2804" s="1"/>
      <c r="J2804" s="71"/>
      <c r="M2804" s="46"/>
      <c r="R2804" s="51"/>
      <c r="S2804" s="51"/>
    </row>
    <row r="2805" spans="9:19" x14ac:dyDescent="0.25">
      <c r="I2805" s="1"/>
      <c r="J2805" s="71"/>
      <c r="M2805" s="46"/>
      <c r="R2805" s="51"/>
      <c r="S2805" s="51"/>
    </row>
    <row r="2806" spans="9:19" x14ac:dyDescent="0.25">
      <c r="I2806" s="1"/>
      <c r="J2806" s="71"/>
      <c r="M2806" s="46"/>
      <c r="R2806" s="51"/>
      <c r="S2806" s="51"/>
    </row>
    <row r="2807" spans="9:19" x14ac:dyDescent="0.25">
      <c r="I2807" s="1"/>
      <c r="J2807" s="71"/>
      <c r="M2807" s="46"/>
      <c r="R2807" s="51"/>
      <c r="S2807" s="51"/>
    </row>
    <row r="2808" spans="9:19" x14ac:dyDescent="0.25">
      <c r="I2808" s="1"/>
      <c r="J2808" s="71"/>
      <c r="M2808" s="46"/>
      <c r="R2808" s="51"/>
      <c r="S2808" s="51"/>
    </row>
    <row r="2809" spans="9:19" x14ac:dyDescent="0.25">
      <c r="I2809" s="1"/>
      <c r="J2809" s="71"/>
      <c r="M2809" s="46"/>
      <c r="R2809" s="51"/>
      <c r="S2809" s="51"/>
    </row>
    <row r="2810" spans="9:19" x14ac:dyDescent="0.25">
      <c r="I2810" s="1"/>
      <c r="J2810" s="71"/>
      <c r="M2810" s="46"/>
      <c r="R2810" s="51"/>
      <c r="S2810" s="51"/>
    </row>
    <row r="2811" spans="9:19" x14ac:dyDescent="0.25">
      <c r="I2811" s="1"/>
      <c r="J2811" s="71"/>
      <c r="M2811" s="46"/>
      <c r="R2811" s="51"/>
      <c r="S2811" s="51"/>
    </row>
    <row r="2812" spans="9:19" x14ac:dyDescent="0.25">
      <c r="I2812" s="1"/>
      <c r="J2812" s="71"/>
      <c r="M2812" s="46"/>
      <c r="R2812" s="51"/>
      <c r="S2812" s="51"/>
    </row>
    <row r="2813" spans="9:19" x14ac:dyDescent="0.25">
      <c r="I2813" s="1"/>
      <c r="J2813" s="71"/>
      <c r="M2813" s="46"/>
      <c r="R2813" s="51"/>
      <c r="S2813" s="51"/>
    </row>
    <row r="2814" spans="9:19" x14ac:dyDescent="0.25">
      <c r="I2814" s="1"/>
      <c r="J2814" s="71"/>
      <c r="M2814" s="46"/>
      <c r="R2814" s="51"/>
      <c r="S2814" s="51"/>
    </row>
    <row r="2815" spans="9:19" x14ac:dyDescent="0.25">
      <c r="I2815" s="1"/>
      <c r="J2815" s="71"/>
      <c r="M2815" s="46"/>
      <c r="R2815" s="51"/>
      <c r="S2815" s="51"/>
    </row>
    <row r="2816" spans="9:19" x14ac:dyDescent="0.25">
      <c r="I2816" s="1"/>
      <c r="J2816" s="71"/>
      <c r="M2816" s="46"/>
      <c r="R2816" s="51"/>
      <c r="S2816" s="51"/>
    </row>
    <row r="2817" spans="9:19" x14ac:dyDescent="0.25">
      <c r="I2817" s="1"/>
      <c r="J2817" s="71"/>
      <c r="M2817" s="46"/>
      <c r="R2817" s="51"/>
      <c r="S2817" s="51"/>
    </row>
    <row r="2818" spans="9:19" x14ac:dyDescent="0.25">
      <c r="I2818" s="1"/>
      <c r="J2818" s="71"/>
      <c r="M2818" s="46"/>
      <c r="R2818" s="51"/>
      <c r="S2818" s="51"/>
    </row>
    <row r="2819" spans="9:19" x14ac:dyDescent="0.25">
      <c r="I2819" s="1"/>
      <c r="J2819" s="71"/>
      <c r="M2819" s="46"/>
      <c r="R2819" s="51"/>
      <c r="S2819" s="51"/>
    </row>
    <row r="2820" spans="9:19" x14ac:dyDescent="0.25">
      <c r="I2820" s="1"/>
      <c r="J2820" s="71"/>
      <c r="M2820" s="46"/>
      <c r="R2820" s="51"/>
      <c r="S2820" s="51"/>
    </row>
    <row r="2821" spans="9:19" x14ac:dyDescent="0.25">
      <c r="I2821" s="1"/>
      <c r="J2821" s="71"/>
      <c r="M2821" s="46"/>
      <c r="R2821" s="51"/>
      <c r="S2821" s="51"/>
    </row>
    <row r="2822" spans="9:19" x14ac:dyDescent="0.25">
      <c r="I2822" s="1"/>
      <c r="J2822" s="71"/>
      <c r="M2822" s="46"/>
      <c r="R2822" s="51"/>
      <c r="S2822" s="51"/>
    </row>
    <row r="2823" spans="9:19" x14ac:dyDescent="0.25">
      <c r="I2823" s="1"/>
      <c r="J2823" s="71"/>
      <c r="M2823" s="46"/>
      <c r="R2823" s="51"/>
      <c r="S2823" s="51"/>
    </row>
    <row r="2824" spans="9:19" x14ac:dyDescent="0.25">
      <c r="I2824" s="1"/>
      <c r="J2824" s="71"/>
      <c r="M2824" s="46"/>
      <c r="R2824" s="51"/>
      <c r="S2824" s="51"/>
    </row>
    <row r="2825" spans="9:19" x14ac:dyDescent="0.25">
      <c r="I2825" s="1"/>
      <c r="J2825" s="71"/>
      <c r="M2825" s="46"/>
      <c r="R2825" s="51"/>
      <c r="S2825" s="51"/>
    </row>
    <row r="2826" spans="9:19" x14ac:dyDescent="0.25">
      <c r="I2826" s="1"/>
      <c r="J2826" s="71"/>
      <c r="M2826" s="46"/>
      <c r="R2826" s="51"/>
      <c r="S2826" s="51"/>
    </row>
    <row r="2827" spans="9:19" x14ac:dyDescent="0.25">
      <c r="I2827" s="1"/>
      <c r="J2827" s="71"/>
      <c r="M2827" s="46"/>
      <c r="R2827" s="51"/>
      <c r="S2827" s="51"/>
    </row>
    <row r="2828" spans="9:19" x14ac:dyDescent="0.25">
      <c r="I2828" s="1"/>
      <c r="J2828" s="71"/>
      <c r="M2828" s="46"/>
      <c r="R2828" s="51"/>
      <c r="S2828" s="51"/>
    </row>
    <row r="2829" spans="9:19" x14ac:dyDescent="0.25">
      <c r="I2829" s="1"/>
      <c r="J2829" s="71"/>
      <c r="M2829" s="46"/>
      <c r="R2829" s="51"/>
      <c r="S2829" s="51"/>
    </row>
    <row r="2830" spans="9:19" x14ac:dyDescent="0.25">
      <c r="I2830" s="1"/>
      <c r="J2830" s="71"/>
      <c r="M2830" s="46"/>
      <c r="R2830" s="51"/>
      <c r="S2830" s="51"/>
    </row>
    <row r="2831" spans="9:19" x14ac:dyDescent="0.25">
      <c r="I2831" s="1"/>
      <c r="J2831" s="71"/>
      <c r="M2831" s="46"/>
      <c r="R2831" s="51"/>
      <c r="S2831" s="51"/>
    </row>
    <row r="2832" spans="9:19" x14ac:dyDescent="0.25">
      <c r="I2832" s="1"/>
      <c r="J2832" s="71"/>
      <c r="M2832" s="46"/>
      <c r="R2832" s="51"/>
      <c r="S2832" s="51"/>
    </row>
    <row r="2833" spans="9:19" x14ac:dyDescent="0.25">
      <c r="I2833" s="1"/>
      <c r="J2833" s="71"/>
      <c r="M2833" s="46"/>
      <c r="R2833" s="51"/>
      <c r="S2833" s="51"/>
    </row>
    <row r="2834" spans="9:19" x14ac:dyDescent="0.25">
      <c r="I2834" s="1"/>
      <c r="J2834" s="71"/>
      <c r="M2834" s="46"/>
      <c r="R2834" s="51"/>
      <c r="S2834" s="51"/>
    </row>
    <row r="2835" spans="9:19" x14ac:dyDescent="0.25">
      <c r="I2835" s="1"/>
      <c r="J2835" s="71"/>
      <c r="M2835" s="46"/>
      <c r="R2835" s="51"/>
      <c r="S2835" s="51"/>
    </row>
    <row r="2836" spans="9:19" x14ac:dyDescent="0.25">
      <c r="I2836" s="1"/>
      <c r="J2836" s="71"/>
      <c r="M2836" s="46"/>
      <c r="R2836" s="51"/>
      <c r="S2836" s="51"/>
    </row>
    <row r="2837" spans="9:19" x14ac:dyDescent="0.25">
      <c r="I2837" s="1"/>
      <c r="J2837" s="71"/>
      <c r="M2837" s="46"/>
      <c r="R2837" s="51"/>
      <c r="S2837" s="51"/>
    </row>
    <row r="2838" spans="9:19" x14ac:dyDescent="0.25">
      <c r="I2838" s="1"/>
      <c r="J2838" s="71"/>
      <c r="M2838" s="46"/>
      <c r="R2838" s="51"/>
      <c r="S2838" s="51"/>
    </row>
    <row r="2839" spans="9:19" x14ac:dyDescent="0.25">
      <c r="I2839" s="1"/>
      <c r="J2839" s="71"/>
      <c r="M2839" s="46"/>
      <c r="R2839" s="51"/>
      <c r="S2839" s="51"/>
    </row>
    <row r="2840" spans="9:19" x14ac:dyDescent="0.25">
      <c r="I2840" s="1"/>
      <c r="J2840" s="71"/>
      <c r="M2840" s="46"/>
      <c r="R2840" s="51"/>
      <c r="S2840" s="51"/>
    </row>
    <row r="2841" spans="9:19" x14ac:dyDescent="0.25">
      <c r="I2841" s="1"/>
      <c r="J2841" s="71"/>
      <c r="M2841" s="46"/>
      <c r="R2841" s="51"/>
      <c r="S2841" s="51"/>
    </row>
    <row r="2842" spans="9:19" x14ac:dyDescent="0.25">
      <c r="I2842" s="1"/>
      <c r="J2842" s="71"/>
      <c r="M2842" s="46"/>
      <c r="R2842" s="51"/>
      <c r="S2842" s="51"/>
    </row>
    <row r="2843" spans="9:19" x14ac:dyDescent="0.25">
      <c r="I2843" s="1"/>
      <c r="J2843" s="71"/>
      <c r="M2843" s="46"/>
      <c r="R2843" s="51"/>
      <c r="S2843" s="51"/>
    </row>
    <row r="2844" spans="9:19" x14ac:dyDescent="0.25">
      <c r="I2844" s="1"/>
      <c r="J2844" s="71"/>
      <c r="M2844" s="46"/>
      <c r="R2844" s="51"/>
      <c r="S2844" s="51"/>
    </row>
    <row r="2845" spans="9:19" x14ac:dyDescent="0.25">
      <c r="I2845" s="1"/>
      <c r="J2845" s="71"/>
      <c r="M2845" s="46"/>
      <c r="R2845" s="51"/>
      <c r="S2845" s="51"/>
    </row>
    <row r="2846" spans="9:19" x14ac:dyDescent="0.25">
      <c r="I2846" s="1"/>
      <c r="J2846" s="71"/>
      <c r="M2846" s="46"/>
      <c r="R2846" s="51"/>
      <c r="S2846" s="51"/>
    </row>
    <row r="2847" spans="9:19" x14ac:dyDescent="0.25">
      <c r="I2847" s="1"/>
      <c r="J2847" s="71"/>
      <c r="M2847" s="46"/>
      <c r="R2847" s="51"/>
      <c r="S2847" s="51"/>
    </row>
    <row r="2848" spans="9:19" x14ac:dyDescent="0.25">
      <c r="I2848" s="1"/>
      <c r="J2848" s="71"/>
      <c r="M2848" s="46"/>
      <c r="R2848" s="51"/>
      <c r="S2848" s="51"/>
    </row>
    <row r="2849" spans="9:19" x14ac:dyDescent="0.25">
      <c r="I2849" s="1"/>
      <c r="J2849" s="71"/>
      <c r="M2849" s="46"/>
      <c r="R2849" s="51"/>
      <c r="S2849" s="51"/>
    </row>
    <row r="2850" spans="9:19" x14ac:dyDescent="0.25">
      <c r="I2850" s="1"/>
      <c r="J2850" s="71"/>
      <c r="M2850" s="46"/>
      <c r="R2850" s="51"/>
      <c r="S2850" s="51"/>
    </row>
    <row r="2851" spans="9:19" x14ac:dyDescent="0.25">
      <c r="I2851" s="1"/>
      <c r="J2851" s="71"/>
      <c r="M2851" s="46"/>
      <c r="R2851" s="51"/>
      <c r="S2851" s="51"/>
    </row>
    <row r="2852" spans="9:19" x14ac:dyDescent="0.25">
      <c r="I2852" s="1"/>
      <c r="J2852" s="71"/>
      <c r="M2852" s="46"/>
      <c r="R2852" s="51"/>
      <c r="S2852" s="51"/>
    </row>
    <row r="2853" spans="9:19" x14ac:dyDescent="0.25">
      <c r="I2853" s="1"/>
      <c r="J2853" s="71"/>
      <c r="M2853" s="46"/>
      <c r="R2853" s="51"/>
      <c r="S2853" s="51"/>
    </row>
    <row r="2854" spans="9:19" x14ac:dyDescent="0.25">
      <c r="I2854" s="1"/>
      <c r="J2854" s="71"/>
      <c r="M2854" s="46"/>
      <c r="R2854" s="51"/>
      <c r="S2854" s="51"/>
    </row>
    <row r="2855" spans="9:19" x14ac:dyDescent="0.25">
      <c r="I2855" s="1"/>
      <c r="J2855" s="71"/>
      <c r="M2855" s="46"/>
      <c r="R2855" s="51"/>
      <c r="S2855" s="51"/>
    </row>
    <row r="2856" spans="9:19" x14ac:dyDescent="0.25">
      <c r="I2856" s="1"/>
      <c r="J2856" s="71"/>
      <c r="M2856" s="46"/>
      <c r="R2856" s="51"/>
      <c r="S2856" s="51"/>
    </row>
    <row r="2857" spans="9:19" x14ac:dyDescent="0.25">
      <c r="I2857" s="1"/>
      <c r="J2857" s="71"/>
      <c r="M2857" s="46"/>
      <c r="R2857" s="51"/>
      <c r="S2857" s="51"/>
    </row>
    <row r="2858" spans="9:19" x14ac:dyDescent="0.25">
      <c r="I2858" s="1"/>
      <c r="J2858" s="71"/>
      <c r="M2858" s="46"/>
      <c r="R2858" s="51"/>
      <c r="S2858" s="51"/>
    </row>
    <row r="2859" spans="9:19" x14ac:dyDescent="0.25">
      <c r="I2859" s="1"/>
      <c r="J2859" s="71"/>
      <c r="M2859" s="46"/>
      <c r="R2859" s="51"/>
      <c r="S2859" s="51"/>
    </row>
    <row r="2860" spans="9:19" x14ac:dyDescent="0.25">
      <c r="I2860" s="1"/>
      <c r="J2860" s="71"/>
      <c r="M2860" s="46"/>
      <c r="R2860" s="51"/>
      <c r="S2860" s="51"/>
    </row>
    <row r="2861" spans="9:19" x14ac:dyDescent="0.25">
      <c r="I2861" s="1"/>
      <c r="J2861" s="71"/>
      <c r="M2861" s="46"/>
      <c r="R2861" s="51"/>
      <c r="S2861" s="51"/>
    </row>
    <row r="2862" spans="9:19" x14ac:dyDescent="0.25">
      <c r="I2862" s="1"/>
      <c r="J2862" s="71"/>
      <c r="M2862" s="46"/>
      <c r="R2862" s="51"/>
      <c r="S2862" s="51"/>
    </row>
    <row r="2863" spans="9:19" x14ac:dyDescent="0.25">
      <c r="I2863" s="1"/>
      <c r="J2863" s="71"/>
      <c r="M2863" s="46"/>
      <c r="R2863" s="51"/>
      <c r="S2863" s="51"/>
    </row>
    <row r="2864" spans="9:19" x14ac:dyDescent="0.25">
      <c r="I2864" s="1"/>
      <c r="J2864" s="71"/>
      <c r="M2864" s="46"/>
      <c r="R2864" s="51"/>
      <c r="S2864" s="51"/>
    </row>
    <row r="2865" spans="9:19" x14ac:dyDescent="0.25">
      <c r="I2865" s="1"/>
      <c r="J2865" s="71"/>
      <c r="M2865" s="46"/>
      <c r="R2865" s="51"/>
      <c r="S2865" s="51"/>
    </row>
    <row r="2866" spans="9:19" x14ac:dyDescent="0.25">
      <c r="I2866" s="1"/>
      <c r="J2866" s="71"/>
      <c r="M2866" s="46"/>
      <c r="R2866" s="51"/>
      <c r="S2866" s="51"/>
    </row>
    <row r="2867" spans="9:19" x14ac:dyDescent="0.25">
      <c r="I2867" s="1"/>
      <c r="J2867" s="71"/>
      <c r="M2867" s="46"/>
      <c r="R2867" s="51"/>
      <c r="S2867" s="51"/>
    </row>
    <row r="2868" spans="9:19" x14ac:dyDescent="0.25">
      <c r="I2868" s="1"/>
      <c r="J2868" s="71"/>
      <c r="M2868" s="46"/>
      <c r="R2868" s="51"/>
      <c r="S2868" s="51"/>
    </row>
    <row r="2869" spans="9:19" x14ac:dyDescent="0.25">
      <c r="I2869" s="1"/>
      <c r="J2869" s="71"/>
      <c r="M2869" s="46"/>
      <c r="R2869" s="51"/>
      <c r="S2869" s="51"/>
    </row>
    <row r="2870" spans="9:19" x14ac:dyDescent="0.25">
      <c r="I2870" s="1"/>
      <c r="J2870" s="71"/>
      <c r="M2870" s="46"/>
      <c r="R2870" s="51"/>
      <c r="S2870" s="51"/>
    </row>
    <row r="2871" spans="9:19" x14ac:dyDescent="0.25">
      <c r="I2871" s="1"/>
      <c r="J2871" s="71"/>
      <c r="M2871" s="46"/>
      <c r="R2871" s="51"/>
      <c r="S2871" s="51"/>
    </row>
    <row r="2872" spans="9:19" x14ac:dyDescent="0.25">
      <c r="I2872" s="1"/>
      <c r="J2872" s="71"/>
      <c r="M2872" s="46"/>
      <c r="R2872" s="51"/>
      <c r="S2872" s="51"/>
    </row>
    <row r="2873" spans="9:19" x14ac:dyDescent="0.25">
      <c r="I2873" s="1"/>
      <c r="J2873" s="71"/>
      <c r="M2873" s="46"/>
      <c r="R2873" s="51"/>
      <c r="S2873" s="51"/>
    </row>
    <row r="2874" spans="9:19" x14ac:dyDescent="0.25">
      <c r="I2874" s="1"/>
      <c r="J2874" s="71"/>
      <c r="M2874" s="46"/>
      <c r="R2874" s="51"/>
      <c r="S2874" s="51"/>
    </row>
    <row r="2875" spans="9:19" x14ac:dyDescent="0.25">
      <c r="I2875" s="1"/>
      <c r="J2875" s="71"/>
      <c r="M2875" s="46"/>
      <c r="R2875" s="51"/>
      <c r="S2875" s="51"/>
    </row>
    <row r="2876" spans="9:19" x14ac:dyDescent="0.25">
      <c r="I2876" s="1"/>
      <c r="J2876" s="71"/>
      <c r="M2876" s="46"/>
      <c r="R2876" s="51"/>
      <c r="S2876" s="51"/>
    </row>
    <row r="2877" spans="9:19" x14ac:dyDescent="0.25">
      <c r="I2877" s="1"/>
      <c r="J2877" s="71"/>
      <c r="M2877" s="46"/>
      <c r="R2877" s="51"/>
      <c r="S2877" s="51"/>
    </row>
    <row r="2878" spans="9:19" x14ac:dyDescent="0.25">
      <c r="I2878" s="1"/>
      <c r="J2878" s="71"/>
      <c r="M2878" s="46"/>
      <c r="R2878" s="51"/>
      <c r="S2878" s="51"/>
    </row>
    <row r="2879" spans="9:19" x14ac:dyDescent="0.25">
      <c r="I2879" s="1"/>
      <c r="J2879" s="71"/>
      <c r="M2879" s="46"/>
      <c r="R2879" s="51"/>
      <c r="S2879" s="51"/>
    </row>
    <row r="2880" spans="9:19" x14ac:dyDescent="0.25">
      <c r="I2880" s="1"/>
      <c r="J2880" s="71"/>
      <c r="M2880" s="46"/>
      <c r="R2880" s="51"/>
      <c r="S2880" s="51"/>
    </row>
    <row r="2881" spans="9:19" x14ac:dyDescent="0.25">
      <c r="I2881" s="1"/>
      <c r="J2881" s="71"/>
      <c r="M2881" s="46"/>
      <c r="R2881" s="51"/>
      <c r="S2881" s="51"/>
    </row>
    <row r="2882" spans="9:19" x14ac:dyDescent="0.25">
      <c r="I2882" s="1"/>
      <c r="J2882" s="71"/>
      <c r="M2882" s="46"/>
      <c r="R2882" s="51"/>
      <c r="S2882" s="51"/>
    </row>
    <row r="2883" spans="9:19" x14ac:dyDescent="0.25">
      <c r="I2883" s="1"/>
      <c r="J2883" s="71"/>
      <c r="M2883" s="46"/>
      <c r="R2883" s="51"/>
      <c r="S2883" s="51"/>
    </row>
    <row r="2884" spans="9:19" x14ac:dyDescent="0.25">
      <c r="I2884" s="1"/>
      <c r="J2884" s="71"/>
      <c r="M2884" s="46"/>
      <c r="R2884" s="51"/>
      <c r="S2884" s="51"/>
    </row>
    <row r="2885" spans="9:19" x14ac:dyDescent="0.25">
      <c r="I2885" s="1"/>
      <c r="J2885" s="71"/>
      <c r="M2885" s="46"/>
      <c r="R2885" s="51"/>
      <c r="S2885" s="51"/>
    </row>
    <row r="2886" spans="9:19" x14ac:dyDescent="0.25">
      <c r="I2886" s="1"/>
      <c r="J2886" s="71"/>
      <c r="M2886" s="46"/>
      <c r="R2886" s="51"/>
      <c r="S2886" s="51"/>
    </row>
    <row r="2887" spans="9:19" x14ac:dyDescent="0.25">
      <c r="I2887" s="1"/>
      <c r="J2887" s="71"/>
      <c r="M2887" s="46"/>
      <c r="R2887" s="51"/>
      <c r="S2887" s="51"/>
    </row>
    <row r="2888" spans="9:19" x14ac:dyDescent="0.25">
      <c r="I2888" s="1"/>
      <c r="J2888" s="71"/>
      <c r="M2888" s="46"/>
      <c r="R2888" s="51"/>
      <c r="S2888" s="51"/>
    </row>
    <row r="2889" spans="9:19" x14ac:dyDescent="0.25">
      <c r="I2889" s="1"/>
      <c r="J2889" s="71"/>
      <c r="M2889" s="46"/>
      <c r="R2889" s="51"/>
      <c r="S2889" s="51"/>
    </row>
    <row r="2890" spans="9:19" x14ac:dyDescent="0.25">
      <c r="I2890" s="1"/>
      <c r="J2890" s="71"/>
      <c r="M2890" s="46"/>
      <c r="R2890" s="51"/>
      <c r="S2890" s="51"/>
    </row>
    <row r="2891" spans="9:19" x14ac:dyDescent="0.25">
      <c r="I2891" s="1"/>
      <c r="J2891" s="71"/>
      <c r="M2891" s="46"/>
      <c r="R2891" s="51"/>
      <c r="S2891" s="51"/>
    </row>
    <row r="2892" spans="9:19" x14ac:dyDescent="0.25">
      <c r="I2892" s="1"/>
      <c r="J2892" s="71"/>
      <c r="M2892" s="46"/>
      <c r="R2892" s="51"/>
      <c r="S2892" s="51"/>
    </row>
    <row r="2893" spans="9:19" x14ac:dyDescent="0.25">
      <c r="I2893" s="1"/>
      <c r="J2893" s="71"/>
      <c r="M2893" s="46"/>
      <c r="R2893" s="51"/>
      <c r="S2893" s="51"/>
    </row>
    <row r="2894" spans="9:19" x14ac:dyDescent="0.25">
      <c r="I2894" s="1"/>
      <c r="J2894" s="71"/>
      <c r="M2894" s="46"/>
      <c r="R2894" s="51"/>
      <c r="S2894" s="51"/>
    </row>
    <row r="2895" spans="9:19" x14ac:dyDescent="0.25">
      <c r="I2895" s="1"/>
      <c r="J2895" s="71"/>
      <c r="M2895" s="46"/>
      <c r="R2895" s="51"/>
      <c r="S2895" s="51"/>
    </row>
    <row r="2896" spans="9:19" x14ac:dyDescent="0.25">
      <c r="I2896" s="1"/>
      <c r="J2896" s="71"/>
      <c r="M2896" s="46"/>
      <c r="R2896" s="51"/>
      <c r="S2896" s="51"/>
    </row>
    <row r="2897" spans="9:19" x14ac:dyDescent="0.25">
      <c r="I2897" s="1"/>
      <c r="J2897" s="71"/>
      <c r="M2897" s="46"/>
      <c r="R2897" s="51"/>
      <c r="S2897" s="51"/>
    </row>
    <row r="2898" spans="9:19" x14ac:dyDescent="0.25">
      <c r="I2898" s="1"/>
      <c r="J2898" s="71"/>
      <c r="M2898" s="46"/>
      <c r="R2898" s="51"/>
      <c r="S2898" s="51"/>
    </row>
    <row r="2899" spans="9:19" x14ac:dyDescent="0.25">
      <c r="I2899" s="1"/>
      <c r="J2899" s="71"/>
      <c r="M2899" s="46"/>
      <c r="R2899" s="51"/>
      <c r="S2899" s="51"/>
    </row>
    <row r="2900" spans="9:19" x14ac:dyDescent="0.25">
      <c r="I2900" s="1"/>
      <c r="J2900" s="71"/>
      <c r="M2900" s="46"/>
      <c r="R2900" s="51"/>
      <c r="S2900" s="51"/>
    </row>
    <row r="2901" spans="9:19" x14ac:dyDescent="0.25">
      <c r="I2901" s="1"/>
      <c r="J2901" s="71"/>
      <c r="M2901" s="46"/>
      <c r="R2901" s="51"/>
      <c r="S2901" s="51"/>
    </row>
    <row r="2902" spans="9:19" x14ac:dyDescent="0.25">
      <c r="I2902" s="1"/>
      <c r="J2902" s="71"/>
      <c r="M2902" s="46"/>
      <c r="R2902" s="51"/>
      <c r="S2902" s="51"/>
    </row>
    <row r="2903" spans="9:19" x14ac:dyDescent="0.25">
      <c r="I2903" s="1"/>
      <c r="J2903" s="71"/>
      <c r="M2903" s="46"/>
      <c r="R2903" s="51"/>
      <c r="S2903" s="51"/>
    </row>
    <row r="2904" spans="9:19" x14ac:dyDescent="0.25">
      <c r="I2904" s="1"/>
      <c r="J2904" s="71"/>
      <c r="M2904" s="46"/>
      <c r="R2904" s="51"/>
      <c r="S2904" s="51"/>
    </row>
    <row r="2905" spans="9:19" x14ac:dyDescent="0.25">
      <c r="I2905" s="1"/>
      <c r="J2905" s="71"/>
      <c r="M2905" s="46"/>
      <c r="R2905" s="51"/>
      <c r="S2905" s="51"/>
    </row>
    <row r="2906" spans="9:19" x14ac:dyDescent="0.25">
      <c r="I2906" s="1"/>
      <c r="J2906" s="71"/>
      <c r="M2906" s="46"/>
      <c r="R2906" s="51"/>
      <c r="S2906" s="51"/>
    </row>
    <row r="2907" spans="9:19" x14ac:dyDescent="0.25">
      <c r="I2907" s="1"/>
      <c r="J2907" s="71"/>
      <c r="M2907" s="46"/>
      <c r="R2907" s="51"/>
      <c r="S2907" s="51"/>
    </row>
    <row r="2908" spans="9:19" x14ac:dyDescent="0.25">
      <c r="I2908" s="1"/>
      <c r="J2908" s="71"/>
      <c r="M2908" s="46"/>
      <c r="R2908" s="51"/>
      <c r="S2908" s="51"/>
    </row>
    <row r="2909" spans="9:19" x14ac:dyDescent="0.25">
      <c r="I2909" s="1"/>
      <c r="J2909" s="71"/>
      <c r="M2909" s="46"/>
      <c r="R2909" s="51"/>
      <c r="S2909" s="51"/>
    </row>
    <row r="2910" spans="9:19" x14ac:dyDescent="0.25">
      <c r="I2910" s="1"/>
      <c r="J2910" s="71"/>
      <c r="M2910" s="46"/>
      <c r="R2910" s="51"/>
      <c r="S2910" s="51"/>
    </row>
    <row r="2911" spans="9:19" x14ac:dyDescent="0.25">
      <c r="I2911" s="1"/>
      <c r="J2911" s="71"/>
      <c r="M2911" s="46"/>
      <c r="R2911" s="51"/>
      <c r="S2911" s="51"/>
    </row>
    <row r="2912" spans="9:19" x14ac:dyDescent="0.25">
      <c r="I2912" s="1"/>
      <c r="J2912" s="71"/>
      <c r="M2912" s="46"/>
      <c r="R2912" s="51"/>
      <c r="S2912" s="51"/>
    </row>
    <row r="2913" spans="9:19" x14ac:dyDescent="0.25">
      <c r="I2913" s="1"/>
      <c r="J2913" s="71"/>
      <c r="M2913" s="46"/>
      <c r="R2913" s="51"/>
      <c r="S2913" s="51"/>
    </row>
    <row r="2914" spans="9:19" x14ac:dyDescent="0.25">
      <c r="I2914" s="1"/>
      <c r="J2914" s="71"/>
      <c r="M2914" s="46"/>
      <c r="R2914" s="51"/>
      <c r="S2914" s="51"/>
    </row>
    <row r="2915" spans="9:19" x14ac:dyDescent="0.25">
      <c r="I2915" s="1"/>
      <c r="J2915" s="71"/>
      <c r="M2915" s="46"/>
      <c r="R2915" s="51"/>
      <c r="S2915" s="51"/>
    </row>
    <row r="2916" spans="9:19" x14ac:dyDescent="0.25">
      <c r="I2916" s="1"/>
      <c r="J2916" s="71"/>
      <c r="M2916" s="46"/>
      <c r="R2916" s="51"/>
      <c r="S2916" s="51"/>
    </row>
    <row r="2917" spans="9:19" x14ac:dyDescent="0.25">
      <c r="I2917" s="1"/>
      <c r="J2917" s="71"/>
      <c r="M2917" s="46"/>
      <c r="R2917" s="51"/>
      <c r="S2917" s="51"/>
    </row>
    <row r="2918" spans="9:19" x14ac:dyDescent="0.25">
      <c r="I2918" s="1"/>
      <c r="J2918" s="71"/>
      <c r="M2918" s="46"/>
      <c r="R2918" s="51"/>
      <c r="S2918" s="51"/>
    </row>
    <row r="2919" spans="9:19" x14ac:dyDescent="0.25">
      <c r="I2919" s="1"/>
      <c r="J2919" s="71"/>
      <c r="M2919" s="46"/>
      <c r="R2919" s="51"/>
      <c r="S2919" s="51"/>
    </row>
    <row r="2920" spans="9:19" x14ac:dyDescent="0.25">
      <c r="I2920" s="1"/>
      <c r="J2920" s="71"/>
      <c r="M2920" s="46"/>
      <c r="R2920" s="51"/>
      <c r="S2920" s="51"/>
    </row>
    <row r="2921" spans="9:19" x14ac:dyDescent="0.25">
      <c r="I2921" s="1"/>
      <c r="J2921" s="71"/>
      <c r="M2921" s="46"/>
      <c r="R2921" s="51"/>
      <c r="S2921" s="51"/>
    </row>
    <row r="2922" spans="9:19" x14ac:dyDescent="0.25">
      <c r="I2922" s="1"/>
      <c r="J2922" s="71"/>
      <c r="M2922" s="46"/>
      <c r="R2922" s="51"/>
      <c r="S2922" s="51"/>
    </row>
    <row r="2923" spans="9:19" x14ac:dyDescent="0.25">
      <c r="I2923" s="1"/>
      <c r="J2923" s="71"/>
      <c r="M2923" s="46"/>
      <c r="R2923" s="51"/>
      <c r="S2923" s="51"/>
    </row>
    <row r="2924" spans="9:19" x14ac:dyDescent="0.25">
      <c r="I2924" s="1"/>
      <c r="J2924" s="71"/>
      <c r="M2924" s="46"/>
      <c r="R2924" s="51"/>
      <c r="S2924" s="51"/>
    </row>
    <row r="2925" spans="9:19" x14ac:dyDescent="0.25">
      <c r="I2925" s="1"/>
      <c r="J2925" s="71"/>
      <c r="M2925" s="46"/>
      <c r="R2925" s="51"/>
      <c r="S2925" s="51"/>
    </row>
    <row r="2926" spans="9:19" x14ac:dyDescent="0.25">
      <c r="I2926" s="1"/>
      <c r="J2926" s="71"/>
      <c r="M2926" s="46"/>
      <c r="R2926" s="51"/>
      <c r="S2926" s="51"/>
    </row>
    <row r="2927" spans="9:19" x14ac:dyDescent="0.25">
      <c r="I2927" s="1"/>
      <c r="J2927" s="71"/>
      <c r="M2927" s="46"/>
      <c r="R2927" s="51"/>
      <c r="S2927" s="51"/>
    </row>
    <row r="2928" spans="9:19" x14ac:dyDescent="0.25">
      <c r="I2928" s="1"/>
      <c r="J2928" s="71"/>
      <c r="M2928" s="46"/>
      <c r="R2928" s="51"/>
      <c r="S2928" s="51"/>
    </row>
    <row r="2929" spans="9:19" x14ac:dyDescent="0.25">
      <c r="I2929" s="1"/>
      <c r="J2929" s="71"/>
      <c r="M2929" s="46"/>
      <c r="R2929" s="51"/>
      <c r="S2929" s="51"/>
    </row>
    <row r="2930" spans="9:19" x14ac:dyDescent="0.25">
      <c r="I2930" s="1"/>
      <c r="J2930" s="71"/>
      <c r="M2930" s="46"/>
      <c r="R2930" s="51"/>
      <c r="S2930" s="51"/>
    </row>
    <row r="2931" spans="9:19" x14ac:dyDescent="0.25">
      <c r="I2931" s="1"/>
      <c r="J2931" s="71"/>
      <c r="M2931" s="46"/>
      <c r="R2931" s="51"/>
      <c r="S2931" s="51"/>
    </row>
    <row r="2932" spans="9:19" x14ac:dyDescent="0.25">
      <c r="I2932" s="1"/>
      <c r="J2932" s="71"/>
      <c r="M2932" s="46"/>
      <c r="R2932" s="51"/>
      <c r="S2932" s="51"/>
    </row>
    <row r="2933" spans="9:19" x14ac:dyDescent="0.25">
      <c r="I2933" s="1"/>
      <c r="J2933" s="71"/>
      <c r="M2933" s="46"/>
      <c r="R2933" s="51"/>
      <c r="S2933" s="51"/>
    </row>
    <row r="2934" spans="9:19" x14ac:dyDescent="0.25">
      <c r="I2934" s="1"/>
      <c r="J2934" s="71"/>
      <c r="M2934" s="46"/>
      <c r="R2934" s="51"/>
      <c r="S2934" s="51"/>
    </row>
    <row r="2935" spans="9:19" x14ac:dyDescent="0.25">
      <c r="I2935" s="1"/>
      <c r="J2935" s="71"/>
      <c r="M2935" s="46"/>
      <c r="R2935" s="51"/>
      <c r="S2935" s="51"/>
    </row>
    <row r="2936" spans="9:19" x14ac:dyDescent="0.25">
      <c r="I2936" s="1"/>
      <c r="J2936" s="71"/>
      <c r="M2936" s="46"/>
      <c r="R2936" s="51"/>
      <c r="S2936" s="51"/>
    </row>
    <row r="2937" spans="9:19" x14ac:dyDescent="0.25">
      <c r="I2937" s="1"/>
      <c r="J2937" s="71"/>
      <c r="M2937" s="46"/>
      <c r="R2937" s="51"/>
      <c r="S2937" s="51"/>
    </row>
    <row r="2938" spans="9:19" x14ac:dyDescent="0.25">
      <c r="I2938" s="1"/>
      <c r="J2938" s="71"/>
      <c r="M2938" s="46"/>
      <c r="R2938" s="51"/>
      <c r="S2938" s="51"/>
    </row>
    <row r="2939" spans="9:19" x14ac:dyDescent="0.25">
      <c r="I2939" s="1"/>
      <c r="J2939" s="71"/>
      <c r="M2939" s="46"/>
      <c r="R2939" s="51"/>
      <c r="S2939" s="51"/>
    </row>
    <row r="2940" spans="9:19" x14ac:dyDescent="0.25">
      <c r="I2940" s="1"/>
      <c r="J2940" s="71"/>
      <c r="M2940" s="46"/>
      <c r="R2940" s="51"/>
      <c r="S2940" s="51"/>
    </row>
    <row r="2941" spans="9:19" x14ac:dyDescent="0.25">
      <c r="I2941" s="1"/>
      <c r="J2941" s="71"/>
      <c r="M2941" s="46"/>
      <c r="R2941" s="51"/>
      <c r="S2941" s="51"/>
    </row>
    <row r="2942" spans="9:19" x14ac:dyDescent="0.25">
      <c r="I2942" s="1"/>
      <c r="J2942" s="71"/>
      <c r="M2942" s="46"/>
      <c r="R2942" s="51"/>
      <c r="S2942" s="51"/>
    </row>
    <row r="2943" spans="9:19" x14ac:dyDescent="0.25">
      <c r="I2943" s="1"/>
      <c r="J2943" s="71"/>
      <c r="M2943" s="46"/>
      <c r="R2943" s="51"/>
      <c r="S2943" s="51"/>
    </row>
    <row r="2944" spans="9:19" x14ac:dyDescent="0.25">
      <c r="I2944" s="1"/>
      <c r="J2944" s="71"/>
      <c r="M2944" s="46"/>
      <c r="R2944" s="51"/>
      <c r="S2944" s="51"/>
    </row>
    <row r="2945" spans="9:19" x14ac:dyDescent="0.25">
      <c r="I2945" s="1"/>
      <c r="J2945" s="71"/>
      <c r="M2945" s="46"/>
      <c r="R2945" s="51"/>
      <c r="S2945" s="51"/>
    </row>
    <row r="2946" spans="9:19" x14ac:dyDescent="0.25">
      <c r="I2946" s="1"/>
      <c r="J2946" s="71"/>
      <c r="M2946" s="46"/>
      <c r="R2946" s="51"/>
      <c r="S2946" s="51"/>
    </row>
    <row r="2947" spans="9:19" x14ac:dyDescent="0.25">
      <c r="I2947" s="1"/>
      <c r="J2947" s="71"/>
      <c r="M2947" s="46"/>
      <c r="R2947" s="51"/>
      <c r="S2947" s="51"/>
    </row>
    <row r="2948" spans="9:19" x14ac:dyDescent="0.25">
      <c r="I2948" s="1"/>
      <c r="J2948" s="71"/>
      <c r="M2948" s="46"/>
      <c r="R2948" s="51"/>
      <c r="S2948" s="51"/>
    </row>
    <row r="2949" spans="9:19" x14ac:dyDescent="0.25">
      <c r="I2949" s="1"/>
      <c r="J2949" s="71"/>
      <c r="M2949" s="46"/>
      <c r="R2949" s="51"/>
      <c r="S2949" s="51"/>
    </row>
    <row r="2950" spans="9:19" x14ac:dyDescent="0.25">
      <c r="I2950" s="1"/>
      <c r="J2950" s="71"/>
      <c r="M2950" s="46"/>
      <c r="R2950" s="51"/>
      <c r="S2950" s="51"/>
    </row>
    <row r="2951" spans="9:19" x14ac:dyDescent="0.25">
      <c r="I2951" s="1"/>
      <c r="J2951" s="71"/>
      <c r="M2951" s="46"/>
      <c r="R2951" s="51"/>
      <c r="S2951" s="51"/>
    </row>
    <row r="2952" spans="9:19" x14ac:dyDescent="0.25">
      <c r="I2952" s="1"/>
      <c r="J2952" s="71"/>
      <c r="M2952" s="46"/>
      <c r="R2952" s="51"/>
      <c r="S2952" s="51"/>
    </row>
    <row r="2953" spans="9:19" x14ac:dyDescent="0.25">
      <c r="I2953" s="1"/>
      <c r="J2953" s="71"/>
      <c r="M2953" s="46"/>
      <c r="R2953" s="51"/>
      <c r="S2953" s="51"/>
    </row>
    <row r="2954" spans="9:19" x14ac:dyDescent="0.25">
      <c r="I2954" s="1"/>
      <c r="J2954" s="71"/>
      <c r="M2954" s="46"/>
      <c r="R2954" s="51"/>
      <c r="S2954" s="51"/>
    </row>
    <row r="2955" spans="9:19" x14ac:dyDescent="0.25">
      <c r="I2955" s="1"/>
      <c r="J2955" s="71"/>
      <c r="M2955" s="46"/>
      <c r="R2955" s="51"/>
      <c r="S2955" s="51"/>
    </row>
    <row r="2956" spans="9:19" x14ac:dyDescent="0.25">
      <c r="I2956" s="1"/>
      <c r="J2956" s="71"/>
      <c r="M2956" s="46"/>
      <c r="R2956" s="51"/>
      <c r="S2956" s="51"/>
    </row>
    <row r="2957" spans="9:19" x14ac:dyDescent="0.25">
      <c r="I2957" s="1"/>
      <c r="J2957" s="71"/>
      <c r="M2957" s="46"/>
      <c r="R2957" s="51"/>
      <c r="S2957" s="51"/>
    </row>
    <row r="2958" spans="9:19" x14ac:dyDescent="0.25">
      <c r="I2958" s="1"/>
      <c r="J2958" s="71"/>
      <c r="M2958" s="46"/>
      <c r="R2958" s="51"/>
      <c r="S2958" s="51"/>
    </row>
    <row r="2959" spans="9:19" x14ac:dyDescent="0.25">
      <c r="I2959" s="1"/>
      <c r="J2959" s="71"/>
      <c r="M2959" s="46"/>
      <c r="R2959" s="51"/>
      <c r="S2959" s="51"/>
    </row>
    <row r="2960" spans="9:19" x14ac:dyDescent="0.25">
      <c r="I2960" s="1"/>
      <c r="J2960" s="71"/>
      <c r="M2960" s="46"/>
      <c r="R2960" s="51"/>
      <c r="S2960" s="51"/>
    </row>
    <row r="2961" spans="9:19" x14ac:dyDescent="0.25">
      <c r="I2961" s="1"/>
      <c r="J2961" s="71"/>
      <c r="M2961" s="46"/>
      <c r="R2961" s="51"/>
      <c r="S2961" s="51"/>
    </row>
    <row r="2962" spans="9:19" x14ac:dyDescent="0.25">
      <c r="I2962" s="1"/>
      <c r="J2962" s="71"/>
      <c r="M2962" s="46"/>
      <c r="R2962" s="51"/>
      <c r="S2962" s="51"/>
    </row>
    <row r="2963" spans="9:19" x14ac:dyDescent="0.25">
      <c r="I2963" s="1"/>
      <c r="J2963" s="71"/>
      <c r="M2963" s="46"/>
      <c r="R2963" s="51"/>
      <c r="S2963" s="51"/>
    </row>
    <row r="2964" spans="9:19" x14ac:dyDescent="0.25">
      <c r="I2964" s="1"/>
      <c r="J2964" s="71"/>
      <c r="M2964" s="46"/>
      <c r="R2964" s="51"/>
      <c r="S2964" s="51"/>
    </row>
    <row r="2965" spans="9:19" x14ac:dyDescent="0.25">
      <c r="I2965" s="1"/>
      <c r="J2965" s="71"/>
      <c r="M2965" s="46"/>
      <c r="R2965" s="51"/>
      <c r="S2965" s="51"/>
    </row>
    <row r="2966" spans="9:19" x14ac:dyDescent="0.25">
      <c r="I2966" s="1"/>
      <c r="J2966" s="71"/>
      <c r="M2966" s="46"/>
      <c r="R2966" s="51"/>
      <c r="S2966" s="51"/>
    </row>
    <row r="2967" spans="9:19" x14ac:dyDescent="0.25">
      <c r="I2967" s="1"/>
      <c r="J2967" s="71"/>
      <c r="M2967" s="46"/>
      <c r="R2967" s="51"/>
      <c r="S2967" s="51"/>
    </row>
    <row r="2968" spans="9:19" x14ac:dyDescent="0.25">
      <c r="I2968" s="1"/>
      <c r="J2968" s="71"/>
      <c r="M2968" s="46"/>
      <c r="R2968" s="51"/>
      <c r="S2968" s="51"/>
    </row>
    <row r="2969" spans="9:19" x14ac:dyDescent="0.25">
      <c r="I2969" s="1"/>
      <c r="J2969" s="71"/>
      <c r="M2969" s="46"/>
      <c r="R2969" s="51"/>
      <c r="S2969" s="51"/>
    </row>
    <row r="2970" spans="9:19" x14ac:dyDescent="0.25">
      <c r="I2970" s="1"/>
      <c r="J2970" s="71"/>
      <c r="M2970" s="46"/>
      <c r="R2970" s="51"/>
      <c r="S2970" s="51"/>
    </row>
    <row r="2971" spans="9:19" x14ac:dyDescent="0.25">
      <c r="I2971" s="1"/>
      <c r="J2971" s="71"/>
      <c r="M2971" s="46"/>
      <c r="R2971" s="51"/>
      <c r="S2971" s="51"/>
    </row>
    <row r="2972" spans="9:19" x14ac:dyDescent="0.25">
      <c r="I2972" s="1"/>
      <c r="J2972" s="71"/>
      <c r="M2972" s="46"/>
      <c r="R2972" s="51"/>
      <c r="S2972" s="51"/>
    </row>
    <row r="2973" spans="9:19" x14ac:dyDescent="0.25">
      <c r="I2973" s="1"/>
      <c r="J2973" s="71"/>
      <c r="M2973" s="46"/>
      <c r="R2973" s="51"/>
      <c r="S2973" s="51"/>
    </row>
    <row r="2974" spans="9:19" x14ac:dyDescent="0.25">
      <c r="I2974" s="1"/>
      <c r="J2974" s="71"/>
      <c r="M2974" s="46"/>
      <c r="R2974" s="51"/>
      <c r="S2974" s="51"/>
    </row>
    <row r="2975" spans="9:19" x14ac:dyDescent="0.25">
      <c r="I2975" s="1"/>
      <c r="J2975" s="71"/>
      <c r="M2975" s="46"/>
      <c r="R2975" s="51"/>
      <c r="S2975" s="51"/>
    </row>
    <row r="2976" spans="9:19" x14ac:dyDescent="0.25">
      <c r="I2976" s="1"/>
      <c r="J2976" s="71"/>
      <c r="M2976" s="46"/>
      <c r="R2976" s="51"/>
      <c r="S2976" s="51"/>
    </row>
    <row r="2977" spans="9:19" x14ac:dyDescent="0.25">
      <c r="I2977" s="1"/>
      <c r="J2977" s="71"/>
      <c r="M2977" s="46"/>
      <c r="R2977" s="51"/>
      <c r="S2977" s="51"/>
    </row>
    <row r="2978" spans="9:19" x14ac:dyDescent="0.25">
      <c r="I2978" s="1"/>
      <c r="J2978" s="71"/>
      <c r="M2978" s="46"/>
      <c r="R2978" s="51"/>
      <c r="S2978" s="51"/>
    </row>
    <row r="2979" spans="9:19" x14ac:dyDescent="0.25">
      <c r="I2979" s="1"/>
      <c r="J2979" s="71"/>
      <c r="M2979" s="46"/>
      <c r="R2979" s="51"/>
      <c r="S2979" s="51"/>
    </row>
    <row r="2980" spans="9:19" x14ac:dyDescent="0.25">
      <c r="I2980" s="1"/>
      <c r="J2980" s="71"/>
      <c r="M2980" s="46"/>
      <c r="R2980" s="51"/>
      <c r="S2980" s="51"/>
    </row>
    <row r="2981" spans="9:19" x14ac:dyDescent="0.25">
      <c r="I2981" s="1"/>
      <c r="J2981" s="71"/>
      <c r="M2981" s="46"/>
      <c r="R2981" s="51"/>
      <c r="S2981" s="51"/>
    </row>
    <row r="2982" spans="9:19" x14ac:dyDescent="0.25">
      <c r="I2982" s="1"/>
      <c r="J2982" s="71"/>
      <c r="M2982" s="46"/>
      <c r="R2982" s="51"/>
      <c r="S2982" s="51"/>
    </row>
    <row r="2983" spans="9:19" x14ac:dyDescent="0.25">
      <c r="I2983" s="1"/>
      <c r="J2983" s="71"/>
      <c r="M2983" s="46"/>
      <c r="R2983" s="51"/>
      <c r="S2983" s="51"/>
    </row>
    <row r="2984" spans="9:19" x14ac:dyDescent="0.25">
      <c r="I2984" s="1"/>
      <c r="J2984" s="71"/>
      <c r="M2984" s="46"/>
      <c r="R2984" s="51"/>
      <c r="S2984" s="51"/>
    </row>
    <row r="2985" spans="9:19" x14ac:dyDescent="0.25">
      <c r="I2985" s="1"/>
      <c r="J2985" s="71"/>
      <c r="M2985" s="46"/>
      <c r="R2985" s="51"/>
      <c r="S2985" s="51"/>
    </row>
    <row r="2986" spans="9:19" x14ac:dyDescent="0.25">
      <c r="I2986" s="1"/>
      <c r="J2986" s="71"/>
      <c r="M2986" s="46"/>
      <c r="R2986" s="51"/>
      <c r="S2986" s="51"/>
    </row>
    <row r="2987" spans="9:19" x14ac:dyDescent="0.25">
      <c r="I2987" s="1"/>
      <c r="J2987" s="71"/>
      <c r="M2987" s="46"/>
      <c r="R2987" s="51"/>
      <c r="S2987" s="51"/>
    </row>
    <row r="2988" spans="9:19" x14ac:dyDescent="0.25">
      <c r="I2988" s="1"/>
      <c r="J2988" s="71"/>
      <c r="M2988" s="46"/>
      <c r="R2988" s="51"/>
      <c r="S2988" s="51"/>
    </row>
    <row r="2989" spans="9:19" x14ac:dyDescent="0.25">
      <c r="I2989" s="1"/>
      <c r="J2989" s="71"/>
      <c r="M2989" s="46"/>
      <c r="R2989" s="51"/>
      <c r="S2989" s="51"/>
    </row>
    <row r="2990" spans="9:19" x14ac:dyDescent="0.25">
      <c r="I2990" s="1"/>
      <c r="J2990" s="71"/>
      <c r="M2990" s="46"/>
      <c r="R2990" s="51"/>
      <c r="S2990" s="51"/>
    </row>
    <row r="2991" spans="9:19" x14ac:dyDescent="0.25">
      <c r="I2991" s="1"/>
      <c r="J2991" s="71"/>
      <c r="M2991" s="46"/>
      <c r="R2991" s="51"/>
      <c r="S2991" s="51"/>
    </row>
    <row r="2992" spans="9:19" x14ac:dyDescent="0.25">
      <c r="I2992" s="1"/>
      <c r="J2992" s="71"/>
      <c r="M2992" s="46"/>
      <c r="R2992" s="51"/>
      <c r="S2992" s="51"/>
    </row>
    <row r="2993" spans="9:19" x14ac:dyDescent="0.25">
      <c r="I2993" s="1"/>
      <c r="J2993" s="71"/>
      <c r="M2993" s="46"/>
      <c r="R2993" s="51"/>
      <c r="S2993" s="51"/>
    </row>
    <row r="2994" spans="9:19" x14ac:dyDescent="0.25">
      <c r="I2994" s="1"/>
      <c r="J2994" s="71"/>
      <c r="M2994" s="46"/>
      <c r="R2994" s="51"/>
      <c r="S2994" s="51"/>
    </row>
    <row r="2995" spans="9:19" x14ac:dyDescent="0.25">
      <c r="I2995" s="1"/>
      <c r="J2995" s="71"/>
      <c r="M2995" s="46"/>
      <c r="R2995" s="51"/>
      <c r="S2995" s="51"/>
    </row>
    <row r="2996" spans="9:19" x14ac:dyDescent="0.25">
      <c r="I2996" s="1"/>
      <c r="J2996" s="71"/>
      <c r="M2996" s="46"/>
      <c r="R2996" s="51"/>
      <c r="S2996" s="51"/>
    </row>
    <row r="2997" spans="9:19" x14ac:dyDescent="0.25">
      <c r="I2997" s="1"/>
      <c r="J2997" s="71"/>
      <c r="M2997" s="46"/>
      <c r="R2997" s="51"/>
      <c r="S2997" s="51"/>
    </row>
    <row r="2998" spans="9:19" x14ac:dyDescent="0.25">
      <c r="I2998" s="1"/>
      <c r="J2998" s="71"/>
      <c r="M2998" s="46"/>
      <c r="R2998" s="51"/>
      <c r="S2998" s="51"/>
    </row>
    <row r="2999" spans="9:19" x14ac:dyDescent="0.25">
      <c r="I2999" s="1"/>
      <c r="J2999" s="71"/>
      <c r="M2999" s="46"/>
      <c r="R2999" s="51"/>
      <c r="S2999" s="51"/>
    </row>
    <row r="3000" spans="9:19" x14ac:dyDescent="0.25">
      <c r="I3000" s="1"/>
      <c r="J3000" s="71"/>
      <c r="M3000" s="46"/>
      <c r="R3000" s="51"/>
      <c r="S3000" s="51"/>
    </row>
    <row r="3001" spans="9:19" x14ac:dyDescent="0.25">
      <c r="I3001" s="1"/>
      <c r="J3001" s="71"/>
      <c r="M3001" s="46"/>
      <c r="R3001" s="51"/>
      <c r="S3001" s="51"/>
    </row>
    <row r="3002" spans="9:19" x14ac:dyDescent="0.25">
      <c r="I3002" s="1"/>
      <c r="J3002" s="71"/>
      <c r="M3002" s="46"/>
      <c r="R3002" s="51"/>
      <c r="S3002" s="51"/>
    </row>
    <row r="3003" spans="9:19" x14ac:dyDescent="0.25">
      <c r="I3003" s="1"/>
      <c r="J3003" s="71"/>
      <c r="M3003" s="46"/>
      <c r="R3003" s="51"/>
      <c r="S3003" s="51"/>
    </row>
    <row r="3004" spans="9:19" x14ac:dyDescent="0.25">
      <c r="I3004" s="1"/>
      <c r="J3004" s="71"/>
      <c r="M3004" s="46"/>
      <c r="R3004" s="51"/>
      <c r="S3004" s="51"/>
    </row>
    <row r="3005" spans="9:19" x14ac:dyDescent="0.25">
      <c r="I3005" s="1"/>
      <c r="J3005" s="71"/>
      <c r="M3005" s="46"/>
      <c r="R3005" s="51"/>
      <c r="S3005" s="51"/>
    </row>
    <row r="3006" spans="9:19" x14ac:dyDescent="0.25">
      <c r="I3006" s="1"/>
      <c r="J3006" s="71"/>
      <c r="M3006" s="46"/>
      <c r="R3006" s="51"/>
      <c r="S3006" s="51"/>
    </row>
    <row r="3007" spans="9:19" x14ac:dyDescent="0.25">
      <c r="I3007" s="1"/>
      <c r="J3007" s="71"/>
      <c r="M3007" s="46"/>
      <c r="R3007" s="51"/>
      <c r="S3007" s="51"/>
    </row>
    <row r="3008" spans="9:19" x14ac:dyDescent="0.25">
      <c r="I3008" s="1"/>
      <c r="J3008" s="71"/>
      <c r="M3008" s="46"/>
      <c r="R3008" s="51"/>
      <c r="S3008" s="51"/>
    </row>
    <row r="3009" spans="9:19" x14ac:dyDescent="0.25">
      <c r="I3009" s="1"/>
      <c r="J3009" s="71"/>
      <c r="M3009" s="46"/>
      <c r="R3009" s="51"/>
      <c r="S3009" s="51"/>
    </row>
    <row r="3010" spans="9:19" x14ac:dyDescent="0.25">
      <c r="I3010" s="1"/>
      <c r="J3010" s="71"/>
      <c r="M3010" s="46"/>
      <c r="R3010" s="51"/>
      <c r="S3010" s="51"/>
    </row>
    <row r="3011" spans="9:19" x14ac:dyDescent="0.25">
      <c r="I3011" s="1"/>
      <c r="J3011" s="71"/>
      <c r="M3011" s="46"/>
      <c r="R3011" s="51"/>
      <c r="S3011" s="51"/>
    </row>
    <row r="3012" spans="9:19" x14ac:dyDescent="0.25">
      <c r="I3012" s="1"/>
      <c r="J3012" s="71"/>
      <c r="M3012" s="46"/>
      <c r="R3012" s="51"/>
      <c r="S3012" s="51"/>
    </row>
    <row r="3013" spans="9:19" x14ac:dyDescent="0.25">
      <c r="I3013" s="1"/>
      <c r="J3013" s="71"/>
      <c r="M3013" s="46"/>
      <c r="R3013" s="51"/>
      <c r="S3013" s="51"/>
    </row>
    <row r="3014" spans="9:19" x14ac:dyDescent="0.25">
      <c r="I3014" s="1"/>
      <c r="J3014" s="71"/>
      <c r="M3014" s="46"/>
      <c r="R3014" s="51"/>
      <c r="S3014" s="51"/>
    </row>
    <row r="3015" spans="9:19" x14ac:dyDescent="0.25">
      <c r="I3015" s="1"/>
      <c r="J3015" s="71"/>
      <c r="M3015" s="46"/>
      <c r="R3015" s="51"/>
      <c r="S3015" s="51"/>
    </row>
    <row r="3016" spans="9:19" x14ac:dyDescent="0.25">
      <c r="I3016" s="1"/>
      <c r="J3016" s="71"/>
      <c r="M3016" s="46"/>
      <c r="R3016" s="51"/>
      <c r="S3016" s="51"/>
    </row>
    <row r="3017" spans="9:19" x14ac:dyDescent="0.25">
      <c r="I3017" s="1"/>
      <c r="J3017" s="71"/>
      <c r="M3017" s="46"/>
      <c r="R3017" s="51"/>
      <c r="S3017" s="51"/>
    </row>
    <row r="3018" spans="9:19" x14ac:dyDescent="0.25">
      <c r="I3018" s="1"/>
      <c r="J3018" s="71"/>
      <c r="M3018" s="46"/>
      <c r="R3018" s="51"/>
      <c r="S3018" s="51"/>
    </row>
    <row r="3019" spans="9:19" x14ac:dyDescent="0.25">
      <c r="I3019" s="1"/>
      <c r="J3019" s="71"/>
      <c r="M3019" s="46"/>
      <c r="R3019" s="51"/>
      <c r="S3019" s="51"/>
    </row>
    <row r="3020" spans="9:19" x14ac:dyDescent="0.25">
      <c r="I3020" s="1"/>
      <c r="J3020" s="71"/>
      <c r="M3020" s="46"/>
      <c r="R3020" s="51"/>
      <c r="S3020" s="51"/>
    </row>
    <row r="3021" spans="9:19" x14ac:dyDescent="0.25">
      <c r="I3021" s="1"/>
      <c r="J3021" s="71"/>
      <c r="M3021" s="46"/>
      <c r="R3021" s="51"/>
      <c r="S3021" s="51"/>
    </row>
    <row r="3022" spans="9:19" x14ac:dyDescent="0.25">
      <c r="I3022" s="1"/>
      <c r="J3022" s="71"/>
      <c r="M3022" s="46"/>
      <c r="R3022" s="51"/>
      <c r="S3022" s="51"/>
    </row>
    <row r="3023" spans="9:19" x14ac:dyDescent="0.25">
      <c r="I3023" s="1"/>
      <c r="J3023" s="71"/>
      <c r="M3023" s="46"/>
      <c r="R3023" s="51"/>
      <c r="S3023" s="51"/>
    </row>
    <row r="3024" spans="9:19" x14ac:dyDescent="0.25">
      <c r="I3024" s="1"/>
      <c r="J3024" s="71"/>
      <c r="M3024" s="46"/>
      <c r="R3024" s="51"/>
      <c r="S3024" s="51"/>
    </row>
    <row r="3025" spans="9:19" x14ac:dyDescent="0.25">
      <c r="I3025" s="1"/>
      <c r="J3025" s="71"/>
      <c r="M3025" s="46"/>
      <c r="R3025" s="51"/>
      <c r="S3025" s="51"/>
    </row>
    <row r="3026" spans="9:19" x14ac:dyDescent="0.25">
      <c r="I3026" s="1"/>
      <c r="J3026" s="71"/>
      <c r="M3026" s="46"/>
      <c r="R3026" s="51"/>
      <c r="S3026" s="51"/>
    </row>
    <row r="3027" spans="9:19" x14ac:dyDescent="0.25">
      <c r="I3027" s="1"/>
      <c r="J3027" s="71"/>
      <c r="M3027" s="46"/>
      <c r="R3027" s="51"/>
      <c r="S3027" s="51"/>
    </row>
    <row r="3028" spans="9:19" x14ac:dyDescent="0.25">
      <c r="I3028" s="1"/>
      <c r="J3028" s="71"/>
      <c r="M3028" s="46"/>
      <c r="R3028" s="51"/>
      <c r="S3028" s="51"/>
    </row>
    <row r="3029" spans="9:19" x14ac:dyDescent="0.25">
      <c r="I3029" s="1"/>
      <c r="J3029" s="71"/>
      <c r="M3029" s="46"/>
      <c r="R3029" s="51"/>
      <c r="S3029" s="51"/>
    </row>
    <row r="3030" spans="9:19" x14ac:dyDescent="0.25">
      <c r="I3030" s="1"/>
      <c r="J3030" s="71"/>
      <c r="M3030" s="46"/>
      <c r="R3030" s="51"/>
      <c r="S3030" s="51"/>
    </row>
    <row r="3031" spans="9:19" x14ac:dyDescent="0.25">
      <c r="I3031" s="1"/>
      <c r="J3031" s="71"/>
      <c r="M3031" s="46"/>
      <c r="R3031" s="51"/>
      <c r="S3031" s="51"/>
    </row>
    <row r="3032" spans="9:19" x14ac:dyDescent="0.25">
      <c r="I3032" s="1"/>
      <c r="J3032" s="71"/>
      <c r="M3032" s="46"/>
      <c r="R3032" s="51"/>
      <c r="S3032" s="51"/>
    </row>
    <row r="3033" spans="9:19" x14ac:dyDescent="0.25">
      <c r="I3033" s="1"/>
      <c r="J3033" s="71"/>
      <c r="M3033" s="46"/>
      <c r="R3033" s="51"/>
      <c r="S3033" s="51"/>
    </row>
    <row r="3034" spans="9:19" x14ac:dyDescent="0.25">
      <c r="I3034" s="1"/>
      <c r="J3034" s="71"/>
      <c r="M3034" s="46"/>
      <c r="R3034" s="51"/>
      <c r="S3034" s="51"/>
    </row>
    <row r="3035" spans="9:19" x14ac:dyDescent="0.25">
      <c r="I3035" s="1"/>
      <c r="J3035" s="71"/>
      <c r="M3035" s="46"/>
      <c r="R3035" s="51"/>
      <c r="S3035" s="51"/>
    </row>
    <row r="3036" spans="9:19" x14ac:dyDescent="0.25">
      <c r="I3036" s="1"/>
      <c r="J3036" s="71"/>
      <c r="M3036" s="46"/>
      <c r="R3036" s="51"/>
      <c r="S3036" s="51"/>
    </row>
    <row r="3037" spans="9:19" x14ac:dyDescent="0.25">
      <c r="I3037" s="1"/>
      <c r="J3037" s="71"/>
      <c r="M3037" s="46"/>
      <c r="R3037" s="51"/>
      <c r="S3037" s="51"/>
    </row>
    <row r="3038" spans="9:19" x14ac:dyDescent="0.25">
      <c r="I3038" s="1"/>
      <c r="J3038" s="71"/>
      <c r="M3038" s="46"/>
      <c r="R3038" s="51"/>
      <c r="S3038" s="51"/>
    </row>
    <row r="3039" spans="9:19" x14ac:dyDescent="0.25">
      <c r="I3039" s="1"/>
      <c r="J3039" s="71"/>
      <c r="M3039" s="46"/>
      <c r="R3039" s="51"/>
      <c r="S3039" s="51"/>
    </row>
    <row r="3040" spans="9:19" x14ac:dyDescent="0.25">
      <c r="I3040" s="1"/>
      <c r="J3040" s="71"/>
      <c r="M3040" s="46"/>
      <c r="R3040" s="51"/>
      <c r="S3040" s="51"/>
    </row>
    <row r="3041" spans="9:19" x14ac:dyDescent="0.25">
      <c r="I3041" s="1"/>
      <c r="J3041" s="71"/>
      <c r="M3041" s="46"/>
      <c r="R3041" s="51"/>
      <c r="S3041" s="51"/>
    </row>
    <row r="3042" spans="9:19" x14ac:dyDescent="0.25">
      <c r="I3042" s="1"/>
      <c r="J3042" s="71"/>
      <c r="M3042" s="46"/>
      <c r="R3042" s="51"/>
      <c r="S3042" s="51"/>
    </row>
    <row r="3043" spans="9:19" x14ac:dyDescent="0.25">
      <c r="I3043" s="1"/>
      <c r="J3043" s="71"/>
      <c r="M3043" s="46"/>
      <c r="R3043" s="51"/>
      <c r="S3043" s="51"/>
    </row>
    <row r="3044" spans="9:19" x14ac:dyDescent="0.25">
      <c r="I3044" s="1"/>
      <c r="J3044" s="71"/>
      <c r="M3044" s="46"/>
      <c r="R3044" s="51"/>
      <c r="S3044" s="51"/>
    </row>
    <row r="3045" spans="9:19" x14ac:dyDescent="0.25">
      <c r="I3045" s="1"/>
      <c r="J3045" s="71"/>
      <c r="M3045" s="46"/>
      <c r="R3045" s="51"/>
      <c r="S3045" s="51"/>
    </row>
    <row r="3046" spans="9:19" x14ac:dyDescent="0.25">
      <c r="I3046" s="1"/>
      <c r="J3046" s="71"/>
      <c r="M3046" s="46"/>
      <c r="R3046" s="51"/>
      <c r="S3046" s="51"/>
    </row>
    <row r="3047" spans="9:19" x14ac:dyDescent="0.25">
      <c r="I3047" s="1"/>
      <c r="J3047" s="71"/>
      <c r="M3047" s="46"/>
      <c r="R3047" s="51"/>
      <c r="S3047" s="51"/>
    </row>
    <row r="3048" spans="9:19" x14ac:dyDescent="0.25">
      <c r="I3048" s="1"/>
      <c r="J3048" s="71"/>
      <c r="M3048" s="46"/>
      <c r="R3048" s="51"/>
      <c r="S3048" s="51"/>
    </row>
    <row r="3049" spans="9:19" x14ac:dyDescent="0.25">
      <c r="I3049" s="1"/>
      <c r="J3049" s="71"/>
      <c r="M3049" s="46"/>
      <c r="R3049" s="51"/>
      <c r="S3049" s="51"/>
    </row>
    <row r="3050" spans="9:19" x14ac:dyDescent="0.25">
      <c r="I3050" s="1"/>
      <c r="J3050" s="71"/>
      <c r="M3050" s="46"/>
      <c r="R3050" s="51"/>
      <c r="S3050" s="51"/>
    </row>
    <row r="3051" spans="9:19" x14ac:dyDescent="0.25">
      <c r="I3051" s="1"/>
      <c r="J3051" s="71"/>
      <c r="M3051" s="46"/>
      <c r="R3051" s="51"/>
      <c r="S3051" s="51"/>
    </row>
    <row r="3052" spans="9:19" x14ac:dyDescent="0.25">
      <c r="I3052" s="1"/>
      <c r="J3052" s="71"/>
      <c r="M3052" s="46"/>
      <c r="R3052" s="51"/>
      <c r="S3052" s="51"/>
    </row>
    <row r="3053" spans="9:19" x14ac:dyDescent="0.25">
      <c r="I3053" s="1"/>
      <c r="J3053" s="71"/>
      <c r="M3053" s="46"/>
      <c r="R3053" s="51"/>
      <c r="S3053" s="51"/>
    </row>
    <row r="3054" spans="9:19" x14ac:dyDescent="0.25">
      <c r="I3054" s="1"/>
      <c r="J3054" s="71"/>
      <c r="M3054" s="46"/>
      <c r="R3054" s="51"/>
      <c r="S3054" s="51"/>
    </row>
    <row r="3055" spans="9:19" x14ac:dyDescent="0.25">
      <c r="I3055" s="1"/>
      <c r="J3055" s="71"/>
      <c r="M3055" s="46"/>
      <c r="R3055" s="51"/>
      <c r="S3055" s="51"/>
    </row>
    <row r="3056" spans="9:19" x14ac:dyDescent="0.25">
      <c r="I3056" s="1"/>
      <c r="J3056" s="71"/>
      <c r="M3056" s="46"/>
      <c r="R3056" s="51"/>
      <c r="S3056" s="51"/>
    </row>
    <row r="3057" spans="9:19" x14ac:dyDescent="0.25">
      <c r="I3057" s="1"/>
      <c r="J3057" s="71"/>
      <c r="M3057" s="46"/>
      <c r="R3057" s="51"/>
      <c r="S3057" s="51"/>
    </row>
    <row r="3058" spans="9:19" x14ac:dyDescent="0.25">
      <c r="I3058" s="1"/>
      <c r="J3058" s="71"/>
      <c r="M3058" s="46"/>
      <c r="R3058" s="51"/>
      <c r="S3058" s="51"/>
    </row>
    <row r="3059" spans="9:19" x14ac:dyDescent="0.25">
      <c r="I3059" s="1"/>
      <c r="J3059" s="71"/>
      <c r="M3059" s="46"/>
      <c r="R3059" s="51"/>
      <c r="S3059" s="51"/>
    </row>
    <row r="3060" spans="9:19" x14ac:dyDescent="0.25">
      <c r="I3060" s="1"/>
      <c r="J3060" s="71"/>
      <c r="M3060" s="46"/>
      <c r="R3060" s="51"/>
      <c r="S3060" s="51"/>
    </row>
    <row r="3061" spans="9:19" x14ac:dyDescent="0.25">
      <c r="I3061" s="1"/>
      <c r="J3061" s="71"/>
      <c r="M3061" s="46"/>
      <c r="R3061" s="51"/>
      <c r="S3061" s="51"/>
    </row>
    <row r="3062" spans="9:19" x14ac:dyDescent="0.25">
      <c r="I3062" s="1"/>
      <c r="J3062" s="71"/>
      <c r="M3062" s="46"/>
      <c r="R3062" s="51"/>
      <c r="S3062" s="51"/>
    </row>
    <row r="3063" spans="9:19" x14ac:dyDescent="0.25">
      <c r="I3063" s="1"/>
      <c r="J3063" s="71"/>
      <c r="M3063" s="46"/>
      <c r="R3063" s="51"/>
      <c r="S3063" s="51"/>
    </row>
    <row r="3064" spans="9:19" x14ac:dyDescent="0.25">
      <c r="I3064" s="1"/>
      <c r="J3064" s="71"/>
      <c r="M3064" s="46"/>
      <c r="R3064" s="51"/>
      <c r="S3064" s="51"/>
    </row>
    <row r="3065" spans="9:19" x14ac:dyDescent="0.25">
      <c r="I3065" s="1"/>
      <c r="J3065" s="71"/>
      <c r="M3065" s="46"/>
      <c r="R3065" s="51"/>
      <c r="S3065" s="51"/>
    </row>
    <row r="3066" spans="9:19" x14ac:dyDescent="0.25">
      <c r="I3066" s="1"/>
      <c r="J3066" s="71"/>
      <c r="M3066" s="46"/>
      <c r="R3066" s="51"/>
      <c r="S3066" s="51"/>
    </row>
    <row r="3067" spans="9:19" x14ac:dyDescent="0.25">
      <c r="I3067" s="1"/>
      <c r="J3067" s="71"/>
      <c r="M3067" s="46"/>
      <c r="R3067" s="51"/>
      <c r="S3067" s="51"/>
    </row>
    <row r="3068" spans="9:19" x14ac:dyDescent="0.25">
      <c r="I3068" s="1"/>
      <c r="J3068" s="71"/>
      <c r="M3068" s="46"/>
      <c r="R3068" s="51"/>
      <c r="S3068" s="51"/>
    </row>
    <row r="3069" spans="9:19" x14ac:dyDescent="0.25">
      <c r="I3069" s="1"/>
      <c r="J3069" s="71"/>
      <c r="M3069" s="46"/>
      <c r="R3069" s="51"/>
      <c r="S3069" s="51"/>
    </row>
    <row r="3070" spans="9:19" x14ac:dyDescent="0.25">
      <c r="I3070" s="1"/>
      <c r="J3070" s="71"/>
      <c r="M3070" s="46"/>
      <c r="R3070" s="51"/>
      <c r="S3070" s="51"/>
    </row>
    <row r="3071" spans="9:19" x14ac:dyDescent="0.25">
      <c r="I3071" s="1"/>
      <c r="J3071" s="71"/>
      <c r="M3071" s="46"/>
      <c r="R3071" s="51"/>
      <c r="S3071" s="51"/>
    </row>
    <row r="3072" spans="9:19" x14ac:dyDescent="0.25">
      <c r="I3072" s="1"/>
      <c r="J3072" s="71"/>
      <c r="M3072" s="46"/>
      <c r="R3072" s="51"/>
      <c r="S3072" s="51"/>
    </row>
    <row r="3073" spans="9:19" x14ac:dyDescent="0.25">
      <c r="I3073" s="1"/>
      <c r="J3073" s="71"/>
      <c r="M3073" s="46"/>
      <c r="R3073" s="51"/>
      <c r="S3073" s="51"/>
    </row>
    <row r="3074" spans="9:19" x14ac:dyDescent="0.25">
      <c r="I3074" s="1"/>
      <c r="J3074" s="71"/>
      <c r="M3074" s="46"/>
      <c r="R3074" s="51"/>
      <c r="S3074" s="51"/>
    </row>
    <row r="3075" spans="9:19" x14ac:dyDescent="0.25">
      <c r="I3075" s="1"/>
      <c r="J3075" s="71"/>
      <c r="M3075" s="46"/>
      <c r="R3075" s="51"/>
      <c r="S3075" s="51"/>
    </row>
    <row r="3076" spans="9:19" x14ac:dyDescent="0.25">
      <c r="I3076" s="1"/>
      <c r="J3076" s="71"/>
      <c r="M3076" s="46"/>
      <c r="R3076" s="51"/>
      <c r="S3076" s="51"/>
    </row>
    <row r="3077" spans="9:19" x14ac:dyDescent="0.25">
      <c r="I3077" s="1"/>
      <c r="J3077" s="71"/>
      <c r="M3077" s="46"/>
      <c r="R3077" s="51"/>
      <c r="S3077" s="51"/>
    </row>
    <row r="3078" spans="9:19" x14ac:dyDescent="0.25">
      <c r="I3078" s="1"/>
      <c r="J3078" s="71"/>
      <c r="M3078" s="46"/>
      <c r="R3078" s="51"/>
      <c r="S3078" s="51"/>
    </row>
    <row r="3079" spans="9:19" x14ac:dyDescent="0.25">
      <c r="I3079" s="1"/>
      <c r="J3079" s="71"/>
      <c r="M3079" s="46"/>
      <c r="R3079" s="51"/>
      <c r="S3079" s="51"/>
    </row>
    <row r="3080" spans="9:19" x14ac:dyDescent="0.25">
      <c r="I3080" s="1"/>
      <c r="J3080" s="71"/>
      <c r="M3080" s="46"/>
      <c r="R3080" s="51"/>
      <c r="S3080" s="51"/>
    </row>
    <row r="3081" spans="9:19" x14ac:dyDescent="0.25">
      <c r="I3081" s="1"/>
      <c r="J3081" s="71"/>
      <c r="M3081" s="46"/>
      <c r="R3081" s="51"/>
      <c r="S3081" s="51"/>
    </row>
    <row r="3082" spans="9:19" x14ac:dyDescent="0.25">
      <c r="I3082" s="1"/>
      <c r="J3082" s="71"/>
      <c r="M3082" s="46"/>
      <c r="R3082" s="51"/>
      <c r="S3082" s="51"/>
    </row>
    <row r="3083" spans="9:19" x14ac:dyDescent="0.25">
      <c r="I3083" s="1"/>
      <c r="J3083" s="71"/>
      <c r="M3083" s="46"/>
      <c r="R3083" s="51"/>
      <c r="S3083" s="51"/>
    </row>
    <row r="3084" spans="9:19" x14ac:dyDescent="0.25">
      <c r="I3084" s="1"/>
      <c r="J3084" s="71"/>
      <c r="M3084" s="46"/>
      <c r="R3084" s="51"/>
      <c r="S3084" s="51"/>
    </row>
    <row r="3085" spans="9:19" x14ac:dyDescent="0.25">
      <c r="I3085" s="1"/>
      <c r="J3085" s="71"/>
      <c r="M3085" s="46"/>
      <c r="R3085" s="51"/>
      <c r="S3085" s="51"/>
    </row>
    <row r="3086" spans="9:19" x14ac:dyDescent="0.25">
      <c r="I3086" s="1"/>
      <c r="J3086" s="71"/>
      <c r="M3086" s="46"/>
      <c r="R3086" s="51"/>
      <c r="S3086" s="51"/>
    </row>
    <row r="3087" spans="9:19" x14ac:dyDescent="0.25">
      <c r="I3087" s="1"/>
      <c r="J3087" s="71"/>
      <c r="M3087" s="46"/>
      <c r="R3087" s="51"/>
      <c r="S3087" s="51"/>
    </row>
    <row r="3088" spans="9:19" x14ac:dyDescent="0.25">
      <c r="I3088" s="1"/>
      <c r="J3088" s="71"/>
      <c r="M3088" s="46"/>
      <c r="R3088" s="51"/>
      <c r="S3088" s="51"/>
    </row>
    <row r="3089" spans="9:19" x14ac:dyDescent="0.25">
      <c r="I3089" s="1"/>
      <c r="J3089" s="71"/>
      <c r="M3089" s="46"/>
      <c r="R3089" s="51"/>
      <c r="S3089" s="51"/>
    </row>
    <row r="3090" spans="9:19" x14ac:dyDescent="0.25">
      <c r="I3090" s="1"/>
      <c r="J3090" s="71"/>
      <c r="M3090" s="46"/>
      <c r="R3090" s="51"/>
      <c r="S3090" s="51"/>
    </row>
    <row r="3091" spans="9:19" x14ac:dyDescent="0.25">
      <c r="I3091" s="1"/>
      <c r="J3091" s="71"/>
      <c r="M3091" s="46"/>
      <c r="R3091" s="51"/>
      <c r="S3091" s="51"/>
    </row>
    <row r="3092" spans="9:19" x14ac:dyDescent="0.25">
      <c r="I3092" s="1"/>
      <c r="J3092" s="71"/>
      <c r="M3092" s="46"/>
      <c r="R3092" s="51"/>
      <c r="S3092" s="51"/>
    </row>
    <row r="3093" spans="9:19" x14ac:dyDescent="0.25">
      <c r="I3093" s="1"/>
      <c r="J3093" s="71"/>
      <c r="M3093" s="46"/>
      <c r="R3093" s="51"/>
      <c r="S3093" s="51"/>
    </row>
    <row r="3094" spans="9:19" x14ac:dyDescent="0.25">
      <c r="I3094" s="1"/>
      <c r="J3094" s="71"/>
      <c r="M3094" s="46"/>
      <c r="R3094" s="51"/>
      <c r="S3094" s="51"/>
    </row>
    <row r="3095" spans="9:19" x14ac:dyDescent="0.25">
      <c r="I3095" s="1"/>
      <c r="J3095" s="71"/>
      <c r="M3095" s="46"/>
      <c r="R3095" s="51"/>
      <c r="S3095" s="51"/>
    </row>
    <row r="3096" spans="9:19" x14ac:dyDescent="0.25">
      <c r="I3096" s="1"/>
      <c r="J3096" s="71"/>
      <c r="M3096" s="46"/>
      <c r="R3096" s="51"/>
      <c r="S3096" s="51"/>
    </row>
    <row r="3097" spans="9:19" x14ac:dyDescent="0.25">
      <c r="I3097" s="1"/>
      <c r="J3097" s="71"/>
      <c r="M3097" s="46"/>
      <c r="R3097" s="51"/>
      <c r="S3097" s="51"/>
    </row>
    <row r="3098" spans="9:19" x14ac:dyDescent="0.25">
      <c r="I3098" s="1"/>
      <c r="J3098" s="71"/>
      <c r="M3098" s="46"/>
      <c r="R3098" s="51"/>
      <c r="S3098" s="51"/>
    </row>
    <row r="3099" spans="9:19" x14ac:dyDescent="0.25">
      <c r="I3099" s="1"/>
      <c r="J3099" s="71"/>
      <c r="M3099" s="46"/>
      <c r="R3099" s="51"/>
      <c r="S3099" s="51"/>
    </row>
    <row r="3100" spans="9:19" x14ac:dyDescent="0.25">
      <c r="I3100" s="1"/>
      <c r="J3100" s="71"/>
      <c r="M3100" s="46"/>
      <c r="R3100" s="51"/>
      <c r="S3100" s="51"/>
    </row>
    <row r="3101" spans="9:19" x14ac:dyDescent="0.25">
      <c r="I3101" s="1"/>
      <c r="J3101" s="71"/>
      <c r="M3101" s="46"/>
      <c r="R3101" s="51"/>
      <c r="S3101" s="51"/>
    </row>
    <row r="3102" spans="9:19" x14ac:dyDescent="0.25">
      <c r="I3102" s="1"/>
      <c r="J3102" s="71"/>
      <c r="M3102" s="46"/>
      <c r="R3102" s="51"/>
      <c r="S3102" s="51"/>
    </row>
    <row r="3103" spans="9:19" x14ac:dyDescent="0.25">
      <c r="I3103" s="1"/>
      <c r="J3103" s="71"/>
      <c r="M3103" s="46"/>
      <c r="R3103" s="51"/>
      <c r="S3103" s="51"/>
    </row>
    <row r="3104" spans="9:19" x14ac:dyDescent="0.25">
      <c r="I3104" s="1"/>
      <c r="J3104" s="71"/>
      <c r="M3104" s="46"/>
      <c r="R3104" s="51"/>
      <c r="S3104" s="51"/>
    </row>
    <row r="3105" spans="9:19" x14ac:dyDescent="0.25">
      <c r="I3105" s="1"/>
      <c r="J3105" s="71"/>
      <c r="M3105" s="46"/>
      <c r="R3105" s="51"/>
      <c r="S3105" s="51"/>
    </row>
    <row r="3106" spans="9:19" x14ac:dyDescent="0.25">
      <c r="I3106" s="1"/>
      <c r="J3106" s="71"/>
      <c r="M3106" s="46"/>
      <c r="R3106" s="51"/>
      <c r="S3106" s="51"/>
    </row>
    <row r="3107" spans="9:19" x14ac:dyDescent="0.25">
      <c r="I3107" s="1"/>
      <c r="J3107" s="71"/>
      <c r="M3107" s="46"/>
      <c r="R3107" s="51"/>
      <c r="S3107" s="51"/>
    </row>
    <row r="3108" spans="9:19" x14ac:dyDescent="0.25">
      <c r="I3108" s="1"/>
      <c r="J3108" s="71"/>
      <c r="M3108" s="46"/>
      <c r="R3108" s="51"/>
      <c r="S3108" s="51"/>
    </row>
    <row r="3109" spans="9:19" x14ac:dyDescent="0.25">
      <c r="I3109" s="1"/>
      <c r="J3109" s="71"/>
      <c r="M3109" s="46"/>
      <c r="R3109" s="51"/>
      <c r="S3109" s="51"/>
    </row>
    <row r="3110" spans="9:19" x14ac:dyDescent="0.25">
      <c r="I3110" s="1"/>
      <c r="J3110" s="71"/>
      <c r="M3110" s="46"/>
      <c r="R3110" s="51"/>
      <c r="S3110" s="51"/>
    </row>
    <row r="3111" spans="9:19" x14ac:dyDescent="0.25">
      <c r="I3111" s="1"/>
      <c r="J3111" s="71"/>
      <c r="M3111" s="46"/>
      <c r="R3111" s="51"/>
      <c r="S3111" s="51"/>
    </row>
    <row r="3112" spans="9:19" x14ac:dyDescent="0.25">
      <c r="I3112" s="1"/>
      <c r="J3112" s="71"/>
      <c r="M3112" s="46"/>
      <c r="R3112" s="51"/>
      <c r="S3112" s="51"/>
    </row>
    <row r="3113" spans="9:19" x14ac:dyDescent="0.25">
      <c r="I3113" s="1"/>
      <c r="J3113" s="71"/>
      <c r="M3113" s="46"/>
      <c r="R3113" s="51"/>
      <c r="S3113" s="51"/>
    </row>
    <row r="3114" spans="9:19" x14ac:dyDescent="0.25">
      <c r="I3114" s="1"/>
      <c r="J3114" s="71"/>
      <c r="M3114" s="46"/>
      <c r="R3114" s="51"/>
      <c r="S3114" s="51"/>
    </row>
    <row r="3115" spans="9:19" x14ac:dyDescent="0.25">
      <c r="I3115" s="1"/>
      <c r="J3115" s="71"/>
      <c r="M3115" s="46"/>
      <c r="R3115" s="51"/>
      <c r="S3115" s="51"/>
    </row>
    <row r="3116" spans="9:19" x14ac:dyDescent="0.25">
      <c r="I3116" s="1"/>
      <c r="J3116" s="71"/>
      <c r="M3116" s="46"/>
      <c r="R3116" s="51"/>
      <c r="S3116" s="51"/>
    </row>
    <row r="3117" spans="9:19" x14ac:dyDescent="0.25">
      <c r="I3117" s="1"/>
      <c r="J3117" s="71"/>
      <c r="M3117" s="46"/>
      <c r="R3117" s="51"/>
      <c r="S3117" s="51"/>
    </row>
    <row r="3118" spans="9:19" x14ac:dyDescent="0.25">
      <c r="I3118" s="1"/>
      <c r="J3118" s="71"/>
      <c r="M3118" s="46"/>
      <c r="R3118" s="51"/>
      <c r="S3118" s="51"/>
    </row>
    <row r="3119" spans="9:19" x14ac:dyDescent="0.25">
      <c r="I3119" s="1"/>
      <c r="J3119" s="71"/>
      <c r="M3119" s="46"/>
      <c r="R3119" s="51"/>
      <c r="S3119" s="51"/>
    </row>
    <row r="3120" spans="9:19" x14ac:dyDescent="0.25">
      <c r="I3120" s="1"/>
      <c r="J3120" s="71"/>
      <c r="M3120" s="46"/>
      <c r="R3120" s="51"/>
      <c r="S3120" s="51"/>
    </row>
    <row r="3121" spans="9:19" x14ac:dyDescent="0.25">
      <c r="I3121" s="1"/>
      <c r="J3121" s="71"/>
      <c r="M3121" s="46"/>
      <c r="R3121" s="51"/>
      <c r="S3121" s="51"/>
    </row>
    <row r="3122" spans="9:19" x14ac:dyDescent="0.25">
      <c r="I3122" s="1"/>
      <c r="J3122" s="71"/>
      <c r="M3122" s="46"/>
      <c r="R3122" s="51"/>
      <c r="S3122" s="51"/>
    </row>
    <row r="3123" spans="9:19" x14ac:dyDescent="0.25">
      <c r="I3123" s="1"/>
      <c r="J3123" s="71"/>
      <c r="M3123" s="46"/>
      <c r="R3123" s="51"/>
      <c r="S3123" s="51"/>
    </row>
    <row r="3124" spans="9:19" x14ac:dyDescent="0.25">
      <c r="I3124" s="1"/>
      <c r="J3124" s="71"/>
      <c r="M3124" s="46"/>
      <c r="R3124" s="51"/>
      <c r="S3124" s="51"/>
    </row>
    <row r="3125" spans="9:19" x14ac:dyDescent="0.25">
      <c r="I3125" s="1"/>
      <c r="J3125" s="71"/>
      <c r="M3125" s="46"/>
      <c r="R3125" s="51"/>
      <c r="S3125" s="51"/>
    </row>
    <row r="3126" spans="9:19" x14ac:dyDescent="0.25">
      <c r="I3126" s="1"/>
      <c r="J3126" s="71"/>
      <c r="M3126" s="46"/>
      <c r="R3126" s="51"/>
      <c r="S3126" s="51"/>
    </row>
    <row r="3127" spans="9:19" x14ac:dyDescent="0.25">
      <c r="I3127" s="1"/>
      <c r="J3127" s="71"/>
      <c r="M3127" s="46"/>
      <c r="R3127" s="51"/>
      <c r="S3127" s="51"/>
    </row>
    <row r="3128" spans="9:19" x14ac:dyDescent="0.25">
      <c r="I3128" s="1"/>
      <c r="J3128" s="71"/>
      <c r="M3128" s="46"/>
      <c r="R3128" s="51"/>
      <c r="S3128" s="51"/>
    </row>
    <row r="3129" spans="9:19" x14ac:dyDescent="0.25">
      <c r="I3129" s="1"/>
      <c r="J3129" s="71"/>
      <c r="M3129" s="46"/>
      <c r="R3129" s="51"/>
      <c r="S3129" s="51"/>
    </row>
    <row r="3130" spans="9:19" x14ac:dyDescent="0.25">
      <c r="I3130" s="1"/>
      <c r="J3130" s="71"/>
      <c r="M3130" s="46"/>
      <c r="R3130" s="51"/>
      <c r="S3130" s="51"/>
    </row>
    <row r="3131" spans="9:19" x14ac:dyDescent="0.25">
      <c r="I3131" s="1"/>
      <c r="J3131" s="71"/>
      <c r="M3131" s="46"/>
      <c r="R3131" s="51"/>
      <c r="S3131" s="51"/>
    </row>
    <row r="3132" spans="9:19" x14ac:dyDescent="0.25">
      <c r="I3132" s="1"/>
      <c r="J3132" s="71"/>
      <c r="M3132" s="46"/>
      <c r="R3132" s="51"/>
      <c r="S3132" s="51"/>
    </row>
    <row r="3133" spans="9:19" x14ac:dyDescent="0.25">
      <c r="I3133" s="1"/>
      <c r="J3133" s="71"/>
      <c r="M3133" s="46"/>
      <c r="R3133" s="51"/>
      <c r="S3133" s="51"/>
    </row>
    <row r="3134" spans="9:19" x14ac:dyDescent="0.25">
      <c r="I3134" s="1"/>
      <c r="J3134" s="71"/>
      <c r="M3134" s="46"/>
      <c r="R3134" s="51"/>
      <c r="S3134" s="51"/>
    </row>
    <row r="3135" spans="9:19" x14ac:dyDescent="0.25">
      <c r="I3135" s="1"/>
      <c r="J3135" s="71"/>
      <c r="M3135" s="46"/>
      <c r="R3135" s="51"/>
      <c r="S3135" s="51"/>
    </row>
    <row r="3136" spans="9:19" x14ac:dyDescent="0.25">
      <c r="I3136" s="1"/>
      <c r="J3136" s="71"/>
      <c r="M3136" s="46"/>
      <c r="R3136" s="51"/>
      <c r="S3136" s="51"/>
    </row>
    <row r="3137" spans="9:19" x14ac:dyDescent="0.25">
      <c r="I3137" s="1"/>
      <c r="J3137" s="71"/>
      <c r="M3137" s="46"/>
      <c r="R3137" s="51"/>
      <c r="S3137" s="51"/>
    </row>
    <row r="3138" spans="9:19" x14ac:dyDescent="0.25">
      <c r="I3138" s="1"/>
      <c r="J3138" s="71"/>
      <c r="M3138" s="46"/>
      <c r="R3138" s="51"/>
      <c r="S3138" s="51"/>
    </row>
    <row r="3139" spans="9:19" x14ac:dyDescent="0.25">
      <c r="I3139" s="1"/>
      <c r="J3139" s="71"/>
      <c r="M3139" s="46"/>
      <c r="R3139" s="51"/>
      <c r="S3139" s="51"/>
    </row>
    <row r="3140" spans="9:19" x14ac:dyDescent="0.25">
      <c r="I3140" s="1"/>
      <c r="J3140" s="71"/>
      <c r="M3140" s="46"/>
      <c r="R3140" s="51"/>
      <c r="S3140" s="51"/>
    </row>
    <row r="3141" spans="9:19" x14ac:dyDescent="0.25">
      <c r="I3141" s="1"/>
      <c r="J3141" s="71"/>
      <c r="M3141" s="46"/>
      <c r="R3141" s="51"/>
      <c r="S3141" s="51"/>
    </row>
    <row r="3142" spans="9:19" x14ac:dyDescent="0.25">
      <c r="I3142" s="1"/>
      <c r="J3142" s="71"/>
      <c r="M3142" s="46"/>
      <c r="R3142" s="51"/>
      <c r="S3142" s="51"/>
    </row>
    <row r="3143" spans="9:19" x14ac:dyDescent="0.25">
      <c r="I3143" s="1"/>
      <c r="J3143" s="71"/>
      <c r="M3143" s="46"/>
      <c r="R3143" s="51"/>
      <c r="S3143" s="51"/>
    </row>
    <row r="3144" spans="9:19" x14ac:dyDescent="0.25">
      <c r="I3144" s="1"/>
      <c r="J3144" s="71"/>
      <c r="M3144" s="46"/>
      <c r="R3144" s="51"/>
      <c r="S3144" s="51"/>
    </row>
    <row r="3145" spans="9:19" x14ac:dyDescent="0.25">
      <c r="I3145" s="1"/>
      <c r="J3145" s="71"/>
      <c r="M3145" s="46"/>
      <c r="R3145" s="51"/>
      <c r="S3145" s="51"/>
    </row>
    <row r="3146" spans="9:19" x14ac:dyDescent="0.25">
      <c r="I3146" s="1"/>
      <c r="J3146" s="71"/>
      <c r="M3146" s="46"/>
      <c r="R3146" s="51"/>
      <c r="S3146" s="51"/>
    </row>
    <row r="3147" spans="9:19" x14ac:dyDescent="0.25">
      <c r="I3147" s="1"/>
      <c r="J3147" s="71"/>
      <c r="M3147" s="46"/>
      <c r="R3147" s="51"/>
      <c r="S3147" s="51"/>
    </row>
    <row r="3148" spans="9:19" x14ac:dyDescent="0.25">
      <c r="I3148" s="1"/>
      <c r="J3148" s="71"/>
      <c r="M3148" s="46"/>
      <c r="R3148" s="51"/>
      <c r="S3148" s="51"/>
    </row>
    <row r="3149" spans="9:19" x14ac:dyDescent="0.25">
      <c r="I3149" s="1"/>
      <c r="J3149" s="71"/>
      <c r="M3149" s="46"/>
      <c r="R3149" s="51"/>
      <c r="S3149" s="51"/>
    </row>
    <row r="3150" spans="9:19" x14ac:dyDescent="0.25">
      <c r="I3150" s="1"/>
      <c r="J3150" s="71"/>
      <c r="M3150" s="46"/>
      <c r="R3150" s="51"/>
      <c r="S3150" s="51"/>
    </row>
    <row r="3151" spans="9:19" x14ac:dyDescent="0.25">
      <c r="I3151" s="1"/>
      <c r="J3151" s="71"/>
      <c r="M3151" s="46"/>
      <c r="R3151" s="51"/>
      <c r="S3151" s="51"/>
    </row>
    <row r="3152" spans="9:19" x14ac:dyDescent="0.25">
      <c r="I3152" s="1"/>
      <c r="J3152" s="71"/>
      <c r="M3152" s="46"/>
      <c r="R3152" s="51"/>
      <c r="S3152" s="51"/>
    </row>
    <row r="3153" spans="9:19" x14ac:dyDescent="0.25">
      <c r="I3153" s="1"/>
      <c r="J3153" s="71"/>
      <c r="M3153" s="46"/>
      <c r="R3153" s="51"/>
      <c r="S3153" s="51"/>
    </row>
    <row r="3154" spans="9:19" x14ac:dyDescent="0.25">
      <c r="I3154" s="1"/>
      <c r="J3154" s="71"/>
      <c r="M3154" s="46"/>
      <c r="R3154" s="51"/>
      <c r="S3154" s="51"/>
    </row>
    <row r="3155" spans="9:19" x14ac:dyDescent="0.25">
      <c r="I3155" s="1"/>
      <c r="J3155" s="71"/>
      <c r="M3155" s="46"/>
      <c r="R3155" s="51"/>
      <c r="S3155" s="51"/>
    </row>
    <row r="3156" spans="9:19" x14ac:dyDescent="0.25">
      <c r="I3156" s="1"/>
      <c r="J3156" s="71"/>
      <c r="M3156" s="46"/>
      <c r="R3156" s="51"/>
      <c r="S3156" s="51"/>
    </row>
    <row r="3157" spans="9:19" x14ac:dyDescent="0.25">
      <c r="I3157" s="1"/>
      <c r="J3157" s="71"/>
      <c r="M3157" s="46"/>
      <c r="R3157" s="51"/>
      <c r="S3157" s="51"/>
    </row>
    <row r="3158" spans="9:19" x14ac:dyDescent="0.25">
      <c r="I3158" s="1"/>
      <c r="J3158" s="71"/>
      <c r="M3158" s="46"/>
      <c r="R3158" s="51"/>
      <c r="S3158" s="51"/>
    </row>
    <row r="3159" spans="9:19" x14ac:dyDescent="0.25">
      <c r="I3159" s="1"/>
      <c r="J3159" s="71"/>
      <c r="M3159" s="46"/>
      <c r="R3159" s="51"/>
      <c r="S3159" s="51"/>
    </row>
    <row r="3160" spans="9:19" x14ac:dyDescent="0.25">
      <c r="I3160" s="1"/>
      <c r="J3160" s="71"/>
      <c r="M3160" s="46"/>
      <c r="R3160" s="51"/>
      <c r="S3160" s="51"/>
    </row>
    <row r="3161" spans="9:19" x14ac:dyDescent="0.25">
      <c r="I3161" s="1"/>
      <c r="J3161" s="71"/>
      <c r="M3161" s="46"/>
      <c r="R3161" s="51"/>
      <c r="S3161" s="51"/>
    </row>
    <row r="3162" spans="9:19" x14ac:dyDescent="0.25">
      <c r="I3162" s="1"/>
      <c r="J3162" s="71"/>
      <c r="M3162" s="46"/>
      <c r="R3162" s="51"/>
      <c r="S3162" s="51"/>
    </row>
    <row r="3163" spans="9:19" x14ac:dyDescent="0.25">
      <c r="I3163" s="1"/>
      <c r="J3163" s="71"/>
      <c r="M3163" s="46"/>
      <c r="R3163" s="51"/>
      <c r="S3163" s="51"/>
    </row>
    <row r="3164" spans="9:19" x14ac:dyDescent="0.25">
      <c r="I3164" s="1"/>
      <c r="J3164" s="71"/>
      <c r="M3164" s="46"/>
      <c r="R3164" s="51"/>
      <c r="S3164" s="51"/>
    </row>
    <row r="3165" spans="9:19" x14ac:dyDescent="0.25">
      <c r="I3165" s="1"/>
      <c r="J3165" s="71"/>
      <c r="M3165" s="46"/>
      <c r="R3165" s="51"/>
      <c r="S3165" s="51"/>
    </row>
    <row r="3166" spans="9:19" x14ac:dyDescent="0.25">
      <c r="I3166" s="1"/>
      <c r="J3166" s="71"/>
      <c r="M3166" s="46"/>
      <c r="R3166" s="51"/>
      <c r="S3166" s="51"/>
    </row>
    <row r="3167" spans="9:19" x14ac:dyDescent="0.25">
      <c r="I3167" s="1"/>
      <c r="J3167" s="71"/>
      <c r="M3167" s="46"/>
      <c r="R3167" s="51"/>
      <c r="S3167" s="51"/>
    </row>
    <row r="3168" spans="9:19" x14ac:dyDescent="0.25">
      <c r="I3168" s="1"/>
      <c r="J3168" s="71"/>
      <c r="M3168" s="46"/>
      <c r="R3168" s="51"/>
      <c r="S3168" s="51"/>
    </row>
    <row r="3169" spans="9:19" x14ac:dyDescent="0.25">
      <c r="I3169" s="1"/>
      <c r="J3169" s="71"/>
      <c r="M3169" s="46"/>
      <c r="R3169" s="51"/>
      <c r="S3169" s="51"/>
    </row>
    <row r="3170" spans="9:19" x14ac:dyDescent="0.25">
      <c r="I3170" s="1"/>
      <c r="J3170" s="71"/>
      <c r="M3170" s="46"/>
      <c r="R3170" s="51"/>
      <c r="S3170" s="51"/>
    </row>
    <row r="3171" spans="9:19" x14ac:dyDescent="0.25">
      <c r="I3171" s="1"/>
      <c r="J3171" s="71"/>
      <c r="M3171" s="46"/>
      <c r="R3171" s="51"/>
      <c r="S3171" s="51"/>
    </row>
    <row r="3172" spans="9:19" x14ac:dyDescent="0.25">
      <c r="I3172" s="1"/>
      <c r="J3172" s="71"/>
      <c r="M3172" s="46"/>
      <c r="R3172" s="51"/>
      <c r="S3172" s="51"/>
    </row>
    <row r="3173" spans="9:19" x14ac:dyDescent="0.25">
      <c r="I3173" s="1"/>
      <c r="J3173" s="71"/>
      <c r="M3173" s="46"/>
      <c r="R3173" s="51"/>
      <c r="S3173" s="51"/>
    </row>
    <row r="3174" spans="9:19" x14ac:dyDescent="0.25">
      <c r="I3174" s="1"/>
      <c r="J3174" s="71"/>
      <c r="M3174" s="46"/>
      <c r="R3174" s="51"/>
      <c r="S3174" s="51"/>
    </row>
    <row r="3175" spans="9:19" x14ac:dyDescent="0.25">
      <c r="I3175" s="1"/>
      <c r="J3175" s="71"/>
      <c r="M3175" s="46"/>
      <c r="R3175" s="51"/>
      <c r="S3175" s="51"/>
    </row>
    <row r="3176" spans="9:19" x14ac:dyDescent="0.25">
      <c r="I3176" s="1"/>
      <c r="J3176" s="71"/>
      <c r="M3176" s="46"/>
      <c r="R3176" s="51"/>
      <c r="S3176" s="51"/>
    </row>
    <row r="3177" spans="9:19" x14ac:dyDescent="0.25">
      <c r="I3177" s="1"/>
      <c r="J3177" s="71"/>
      <c r="M3177" s="46"/>
      <c r="R3177" s="51"/>
      <c r="S3177" s="51"/>
    </row>
    <row r="3178" spans="9:19" x14ac:dyDescent="0.25">
      <c r="I3178" s="1"/>
      <c r="J3178" s="71"/>
      <c r="M3178" s="46"/>
      <c r="R3178" s="51"/>
      <c r="S3178" s="51"/>
    </row>
    <row r="3179" spans="9:19" x14ac:dyDescent="0.25">
      <c r="I3179" s="1"/>
      <c r="J3179" s="71"/>
      <c r="M3179" s="46"/>
      <c r="R3179" s="51"/>
      <c r="S3179" s="51"/>
    </row>
    <row r="3180" spans="9:19" x14ac:dyDescent="0.25">
      <c r="I3180" s="1"/>
      <c r="J3180" s="71"/>
      <c r="M3180" s="46"/>
      <c r="R3180" s="51"/>
      <c r="S3180" s="51"/>
    </row>
    <row r="3181" spans="9:19" x14ac:dyDescent="0.25">
      <c r="I3181" s="1"/>
      <c r="J3181" s="71"/>
      <c r="M3181" s="46"/>
      <c r="R3181" s="51"/>
      <c r="S3181" s="51"/>
    </row>
    <row r="3182" spans="9:19" x14ac:dyDescent="0.25">
      <c r="I3182" s="1"/>
      <c r="J3182" s="71"/>
      <c r="M3182" s="46"/>
      <c r="R3182" s="51"/>
      <c r="S3182" s="51"/>
    </row>
    <row r="3183" spans="9:19" x14ac:dyDescent="0.25">
      <c r="I3183" s="1"/>
      <c r="J3183" s="71"/>
      <c r="M3183" s="46"/>
      <c r="R3183" s="51"/>
      <c r="S3183" s="51"/>
    </row>
    <row r="3184" spans="9:19" x14ac:dyDescent="0.25">
      <c r="I3184" s="1"/>
      <c r="J3184" s="71"/>
      <c r="M3184" s="46"/>
      <c r="R3184" s="51"/>
      <c r="S3184" s="51"/>
    </row>
    <row r="3185" spans="9:19" x14ac:dyDescent="0.25">
      <c r="I3185" s="1"/>
      <c r="J3185" s="71"/>
      <c r="M3185" s="46"/>
      <c r="R3185" s="51"/>
      <c r="S3185" s="51"/>
    </row>
    <row r="3186" spans="9:19" x14ac:dyDescent="0.25">
      <c r="I3186" s="1"/>
      <c r="J3186" s="71"/>
      <c r="M3186" s="46"/>
      <c r="R3186" s="51"/>
      <c r="S3186" s="51"/>
    </row>
    <row r="3187" spans="9:19" x14ac:dyDescent="0.25">
      <c r="I3187" s="1"/>
      <c r="J3187" s="71"/>
      <c r="M3187" s="46"/>
      <c r="R3187" s="51"/>
      <c r="S3187" s="51"/>
    </row>
    <row r="3188" spans="9:19" x14ac:dyDescent="0.25">
      <c r="I3188" s="1"/>
      <c r="J3188" s="71"/>
      <c r="M3188" s="46"/>
      <c r="R3188" s="51"/>
      <c r="S3188" s="51"/>
    </row>
    <row r="3189" spans="9:19" x14ac:dyDescent="0.25">
      <c r="I3189" s="1"/>
      <c r="J3189" s="71"/>
      <c r="M3189" s="46"/>
      <c r="R3189" s="51"/>
      <c r="S3189" s="51"/>
    </row>
    <row r="3190" spans="9:19" x14ac:dyDescent="0.25">
      <c r="I3190" s="1"/>
      <c r="J3190" s="71"/>
      <c r="M3190" s="46"/>
      <c r="R3190" s="51"/>
      <c r="S3190" s="51"/>
    </row>
    <row r="3191" spans="9:19" x14ac:dyDescent="0.25">
      <c r="I3191" s="1"/>
      <c r="J3191" s="71"/>
      <c r="M3191" s="46"/>
      <c r="R3191" s="51"/>
      <c r="S3191" s="51"/>
    </row>
    <row r="3192" spans="9:19" x14ac:dyDescent="0.25">
      <c r="I3192" s="1"/>
      <c r="J3192" s="71"/>
      <c r="M3192" s="46"/>
      <c r="R3192" s="51"/>
      <c r="S3192" s="51"/>
    </row>
    <row r="3193" spans="9:19" x14ac:dyDescent="0.25">
      <c r="I3193" s="1"/>
      <c r="J3193" s="71"/>
      <c r="M3193" s="46"/>
      <c r="R3193" s="51"/>
      <c r="S3193" s="51"/>
    </row>
    <row r="3194" spans="9:19" x14ac:dyDescent="0.25">
      <c r="I3194" s="1"/>
      <c r="J3194" s="71"/>
      <c r="M3194" s="46"/>
      <c r="R3194" s="51"/>
      <c r="S3194" s="51"/>
    </row>
    <row r="3195" spans="9:19" x14ac:dyDescent="0.25">
      <c r="I3195" s="1"/>
      <c r="J3195" s="71"/>
      <c r="M3195" s="46"/>
      <c r="R3195" s="51"/>
      <c r="S3195" s="51"/>
    </row>
    <row r="3196" spans="9:19" x14ac:dyDescent="0.25">
      <c r="I3196" s="1"/>
      <c r="J3196" s="71"/>
      <c r="M3196" s="46"/>
      <c r="R3196" s="51"/>
      <c r="S3196" s="51"/>
    </row>
    <row r="3197" spans="9:19" x14ac:dyDescent="0.25">
      <c r="I3197" s="1"/>
      <c r="J3197" s="71"/>
      <c r="M3197" s="46"/>
      <c r="R3197" s="51"/>
      <c r="S3197" s="51"/>
    </row>
    <row r="3198" spans="9:19" x14ac:dyDescent="0.25">
      <c r="I3198" s="1"/>
      <c r="J3198" s="71"/>
      <c r="M3198" s="46"/>
      <c r="R3198" s="51"/>
      <c r="S3198" s="51"/>
    </row>
    <row r="3199" spans="9:19" x14ac:dyDescent="0.25">
      <c r="I3199" s="1"/>
      <c r="J3199" s="71"/>
      <c r="M3199" s="46"/>
      <c r="R3199" s="51"/>
      <c r="S3199" s="51"/>
    </row>
    <row r="3200" spans="9:19" x14ac:dyDescent="0.25">
      <c r="I3200" s="1"/>
      <c r="J3200" s="71"/>
      <c r="M3200" s="46"/>
      <c r="R3200" s="51"/>
      <c r="S3200" s="51"/>
    </row>
    <row r="3201" spans="9:19" x14ac:dyDescent="0.25">
      <c r="I3201" s="1"/>
      <c r="J3201" s="71"/>
      <c r="M3201" s="46"/>
      <c r="R3201" s="51"/>
      <c r="S3201" s="51"/>
    </row>
    <row r="3202" spans="9:19" x14ac:dyDescent="0.25">
      <c r="I3202" s="1"/>
      <c r="J3202" s="71"/>
      <c r="M3202" s="46"/>
      <c r="R3202" s="51"/>
      <c r="S3202" s="51"/>
    </row>
    <row r="3203" spans="9:19" x14ac:dyDescent="0.25">
      <c r="I3203" s="1"/>
      <c r="J3203" s="71"/>
      <c r="M3203" s="46"/>
      <c r="R3203" s="51"/>
      <c r="S3203" s="51"/>
    </row>
    <row r="3204" spans="9:19" x14ac:dyDescent="0.25">
      <c r="I3204" s="1"/>
      <c r="J3204" s="71"/>
      <c r="M3204" s="46"/>
      <c r="R3204" s="51"/>
      <c r="S3204" s="51"/>
    </row>
    <row r="3205" spans="9:19" x14ac:dyDescent="0.25">
      <c r="I3205" s="1"/>
      <c r="J3205" s="71"/>
      <c r="M3205" s="46"/>
      <c r="R3205" s="51"/>
      <c r="S3205" s="51"/>
    </row>
    <row r="3206" spans="9:19" x14ac:dyDescent="0.25">
      <c r="I3206" s="1"/>
      <c r="J3206" s="71"/>
      <c r="M3206" s="46"/>
      <c r="R3206" s="51"/>
      <c r="S3206" s="51"/>
    </row>
    <row r="3207" spans="9:19" x14ac:dyDescent="0.25">
      <c r="I3207" s="1"/>
      <c r="J3207" s="71"/>
      <c r="M3207" s="46"/>
      <c r="R3207" s="51"/>
      <c r="S3207" s="51"/>
    </row>
    <row r="3208" spans="9:19" x14ac:dyDescent="0.25">
      <c r="I3208" s="1"/>
      <c r="J3208" s="71"/>
      <c r="M3208" s="46"/>
      <c r="R3208" s="51"/>
      <c r="S3208" s="51"/>
    </row>
    <row r="3209" spans="9:19" x14ac:dyDescent="0.25">
      <c r="I3209" s="1"/>
      <c r="J3209" s="71"/>
      <c r="M3209" s="46"/>
      <c r="R3209" s="51"/>
      <c r="S3209" s="51"/>
    </row>
    <row r="3210" spans="9:19" x14ac:dyDescent="0.25">
      <c r="I3210" s="1"/>
      <c r="J3210" s="71"/>
      <c r="M3210" s="46"/>
      <c r="R3210" s="51"/>
      <c r="S3210" s="51"/>
    </row>
    <row r="3211" spans="9:19" x14ac:dyDescent="0.25">
      <c r="I3211" s="1"/>
      <c r="J3211" s="71"/>
      <c r="M3211" s="46"/>
      <c r="R3211" s="51"/>
      <c r="S3211" s="51"/>
    </row>
    <row r="3212" spans="9:19" x14ac:dyDescent="0.25">
      <c r="I3212" s="1"/>
      <c r="J3212" s="71"/>
      <c r="M3212" s="46"/>
      <c r="R3212" s="51"/>
      <c r="S3212" s="51"/>
    </row>
    <row r="3213" spans="9:19" x14ac:dyDescent="0.25">
      <c r="I3213" s="1"/>
      <c r="J3213" s="71"/>
      <c r="M3213" s="46"/>
      <c r="R3213" s="51"/>
      <c r="S3213" s="51"/>
    </row>
    <row r="3214" spans="9:19" x14ac:dyDescent="0.25">
      <c r="I3214" s="1"/>
      <c r="J3214" s="71"/>
      <c r="M3214" s="46"/>
      <c r="R3214" s="51"/>
      <c r="S3214" s="51"/>
    </row>
    <row r="3215" spans="9:19" x14ac:dyDescent="0.25">
      <c r="I3215" s="1"/>
      <c r="J3215" s="71"/>
      <c r="M3215" s="46"/>
      <c r="R3215" s="51"/>
      <c r="S3215" s="51"/>
    </row>
    <row r="3216" spans="9:19" x14ac:dyDescent="0.25">
      <c r="I3216" s="1"/>
      <c r="J3216" s="71"/>
      <c r="M3216" s="46"/>
      <c r="R3216" s="51"/>
      <c r="S3216" s="51"/>
    </row>
    <row r="3217" spans="9:19" x14ac:dyDescent="0.25">
      <c r="I3217" s="1"/>
      <c r="J3217" s="71"/>
      <c r="M3217" s="46"/>
      <c r="R3217" s="51"/>
      <c r="S3217" s="51"/>
    </row>
    <row r="3218" spans="9:19" x14ac:dyDescent="0.25">
      <c r="I3218" s="1"/>
      <c r="J3218" s="71"/>
      <c r="M3218" s="46"/>
      <c r="R3218" s="51"/>
      <c r="S3218" s="51"/>
    </row>
    <row r="3219" spans="9:19" x14ac:dyDescent="0.25">
      <c r="I3219" s="1"/>
      <c r="J3219" s="71"/>
      <c r="M3219" s="46"/>
      <c r="R3219" s="51"/>
      <c r="S3219" s="51"/>
    </row>
    <row r="3220" spans="9:19" x14ac:dyDescent="0.25">
      <c r="I3220" s="1"/>
      <c r="J3220" s="71"/>
      <c r="M3220" s="46"/>
      <c r="R3220" s="51"/>
      <c r="S3220" s="51"/>
    </row>
    <row r="3221" spans="9:19" x14ac:dyDescent="0.25">
      <c r="I3221" s="1"/>
      <c r="J3221" s="71"/>
      <c r="M3221" s="46"/>
      <c r="R3221" s="51"/>
      <c r="S3221" s="51"/>
    </row>
    <row r="3222" spans="9:19" x14ac:dyDescent="0.25">
      <c r="I3222" s="1"/>
      <c r="J3222" s="71"/>
      <c r="M3222" s="46"/>
      <c r="R3222" s="51"/>
      <c r="S3222" s="51"/>
    </row>
    <row r="3223" spans="9:19" x14ac:dyDescent="0.25">
      <c r="I3223" s="1"/>
      <c r="J3223" s="71"/>
      <c r="M3223" s="46"/>
      <c r="R3223" s="51"/>
      <c r="S3223" s="51"/>
    </row>
    <row r="3224" spans="9:19" x14ac:dyDescent="0.25">
      <c r="I3224" s="1"/>
      <c r="J3224" s="71"/>
      <c r="M3224" s="46"/>
      <c r="R3224" s="51"/>
      <c r="S3224" s="51"/>
    </row>
    <row r="3225" spans="9:19" x14ac:dyDescent="0.25">
      <c r="I3225" s="1"/>
      <c r="J3225" s="71"/>
      <c r="M3225" s="46"/>
      <c r="R3225" s="51"/>
      <c r="S3225" s="51"/>
    </row>
    <row r="3226" spans="9:19" x14ac:dyDescent="0.25">
      <c r="I3226" s="1"/>
      <c r="J3226" s="71"/>
      <c r="M3226" s="46"/>
      <c r="R3226" s="51"/>
      <c r="S3226" s="51"/>
    </row>
    <row r="3227" spans="9:19" x14ac:dyDescent="0.25">
      <c r="I3227" s="1"/>
      <c r="J3227" s="71"/>
      <c r="M3227" s="46"/>
      <c r="R3227" s="51"/>
      <c r="S3227" s="51"/>
    </row>
    <row r="3228" spans="9:19" x14ac:dyDescent="0.25">
      <c r="I3228" s="1"/>
      <c r="J3228" s="71"/>
      <c r="M3228" s="46"/>
      <c r="R3228" s="51"/>
      <c r="S3228" s="51"/>
    </row>
    <row r="3229" spans="9:19" x14ac:dyDescent="0.25">
      <c r="I3229" s="1"/>
      <c r="J3229" s="71"/>
      <c r="M3229" s="46"/>
      <c r="R3229" s="51"/>
      <c r="S3229" s="51"/>
    </row>
    <row r="3230" spans="9:19" x14ac:dyDescent="0.25">
      <c r="I3230" s="1"/>
      <c r="J3230" s="71"/>
      <c r="M3230" s="46"/>
      <c r="R3230" s="51"/>
      <c r="S3230" s="51"/>
    </row>
    <row r="3231" spans="9:19" x14ac:dyDescent="0.25">
      <c r="I3231" s="1"/>
      <c r="J3231" s="71"/>
      <c r="M3231" s="46"/>
      <c r="R3231" s="51"/>
      <c r="S3231" s="51"/>
    </row>
    <row r="3232" spans="9:19" x14ac:dyDescent="0.25">
      <c r="I3232" s="1"/>
      <c r="J3232" s="71"/>
      <c r="M3232" s="46"/>
      <c r="R3232" s="51"/>
      <c r="S3232" s="51"/>
    </row>
    <row r="3233" spans="9:19" x14ac:dyDescent="0.25">
      <c r="I3233" s="1"/>
      <c r="J3233" s="71"/>
      <c r="M3233" s="46"/>
      <c r="R3233" s="51"/>
      <c r="S3233" s="51"/>
    </row>
    <row r="3234" spans="9:19" x14ac:dyDescent="0.25">
      <c r="I3234" s="1"/>
      <c r="J3234" s="71"/>
      <c r="M3234" s="46"/>
      <c r="R3234" s="51"/>
      <c r="S3234" s="51"/>
    </row>
    <row r="3235" spans="9:19" x14ac:dyDescent="0.25">
      <c r="I3235" s="1"/>
      <c r="J3235" s="71"/>
      <c r="M3235" s="46"/>
      <c r="R3235" s="51"/>
      <c r="S3235" s="51"/>
    </row>
    <row r="3236" spans="9:19" x14ac:dyDescent="0.25">
      <c r="I3236" s="1"/>
      <c r="J3236" s="71"/>
      <c r="M3236" s="46"/>
      <c r="R3236" s="51"/>
      <c r="S3236" s="51"/>
    </row>
    <row r="3237" spans="9:19" x14ac:dyDescent="0.25">
      <c r="I3237" s="1"/>
      <c r="J3237" s="71"/>
      <c r="M3237" s="46"/>
      <c r="R3237" s="51"/>
      <c r="S3237" s="51"/>
    </row>
    <row r="3238" spans="9:19" x14ac:dyDescent="0.25">
      <c r="I3238" s="1"/>
      <c r="J3238" s="71"/>
      <c r="M3238" s="46"/>
      <c r="R3238" s="51"/>
      <c r="S3238" s="51"/>
    </row>
    <row r="3239" spans="9:19" x14ac:dyDescent="0.25">
      <c r="I3239" s="1"/>
      <c r="J3239" s="71"/>
      <c r="M3239" s="46"/>
      <c r="R3239" s="51"/>
      <c r="S3239" s="51"/>
    </row>
    <row r="3240" spans="9:19" x14ac:dyDescent="0.25">
      <c r="I3240" s="1"/>
      <c r="J3240" s="71"/>
      <c r="M3240" s="46"/>
      <c r="R3240" s="51"/>
      <c r="S3240" s="51"/>
    </row>
    <row r="3241" spans="9:19" x14ac:dyDescent="0.25">
      <c r="I3241" s="1"/>
      <c r="J3241" s="71"/>
      <c r="M3241" s="46"/>
      <c r="R3241" s="51"/>
      <c r="S3241" s="51"/>
    </row>
    <row r="3242" spans="9:19" x14ac:dyDescent="0.25">
      <c r="I3242" s="1"/>
      <c r="J3242" s="71"/>
      <c r="M3242" s="46"/>
      <c r="R3242" s="51"/>
      <c r="S3242" s="51"/>
    </row>
    <row r="3243" spans="9:19" x14ac:dyDescent="0.25">
      <c r="I3243" s="1"/>
      <c r="J3243" s="71"/>
      <c r="M3243" s="46"/>
      <c r="R3243" s="51"/>
      <c r="S3243" s="51"/>
    </row>
    <row r="3244" spans="9:19" x14ac:dyDescent="0.25">
      <c r="I3244" s="1"/>
      <c r="J3244" s="71"/>
      <c r="M3244" s="46"/>
      <c r="R3244" s="51"/>
      <c r="S3244" s="51"/>
    </row>
    <row r="3245" spans="9:19" x14ac:dyDescent="0.25">
      <c r="I3245" s="1"/>
      <c r="J3245" s="71"/>
      <c r="M3245" s="46"/>
      <c r="R3245" s="51"/>
      <c r="S3245" s="51"/>
    </row>
    <row r="3246" spans="9:19" x14ac:dyDescent="0.25">
      <c r="I3246" s="1"/>
      <c r="J3246" s="71"/>
      <c r="M3246" s="46"/>
      <c r="R3246" s="51"/>
      <c r="S3246" s="51"/>
    </row>
    <row r="3247" spans="9:19" x14ac:dyDescent="0.25">
      <c r="I3247" s="1"/>
      <c r="J3247" s="71"/>
      <c r="M3247" s="46"/>
      <c r="R3247" s="51"/>
      <c r="S3247" s="51"/>
    </row>
    <row r="3248" spans="9:19" x14ac:dyDescent="0.25">
      <c r="I3248" s="1"/>
      <c r="J3248" s="71"/>
      <c r="M3248" s="46"/>
      <c r="R3248" s="51"/>
      <c r="S3248" s="51"/>
    </row>
    <row r="3249" spans="9:19" x14ac:dyDescent="0.25">
      <c r="I3249" s="1"/>
      <c r="J3249" s="71"/>
      <c r="M3249" s="46"/>
      <c r="R3249" s="51"/>
      <c r="S3249" s="51"/>
    </row>
    <row r="3250" spans="9:19" x14ac:dyDescent="0.25">
      <c r="I3250" s="1"/>
      <c r="J3250" s="71"/>
      <c r="M3250" s="46"/>
      <c r="R3250" s="51"/>
      <c r="S3250" s="51"/>
    </row>
    <row r="3251" spans="9:19" x14ac:dyDescent="0.25">
      <c r="I3251" s="1"/>
      <c r="J3251" s="71"/>
      <c r="M3251" s="46"/>
      <c r="R3251" s="51"/>
      <c r="S3251" s="51"/>
    </row>
    <row r="3252" spans="9:19" x14ac:dyDescent="0.25">
      <c r="I3252" s="1"/>
      <c r="J3252" s="71"/>
      <c r="M3252" s="46"/>
      <c r="R3252" s="51"/>
      <c r="S3252" s="51"/>
    </row>
    <row r="3253" spans="9:19" x14ac:dyDescent="0.25">
      <c r="I3253" s="1"/>
      <c r="J3253" s="71"/>
      <c r="M3253" s="46"/>
      <c r="R3253" s="51"/>
      <c r="S3253" s="51"/>
    </row>
    <row r="3254" spans="9:19" x14ac:dyDescent="0.25">
      <c r="I3254" s="1"/>
      <c r="J3254" s="71"/>
      <c r="M3254" s="46"/>
      <c r="R3254" s="51"/>
      <c r="S3254" s="51"/>
    </row>
    <row r="3255" spans="9:19" x14ac:dyDescent="0.25">
      <c r="I3255" s="1"/>
      <c r="J3255" s="71"/>
      <c r="M3255" s="46"/>
      <c r="R3255" s="51"/>
      <c r="S3255" s="51"/>
    </row>
    <row r="3256" spans="9:19" x14ac:dyDescent="0.25">
      <c r="I3256" s="1"/>
      <c r="J3256" s="71"/>
      <c r="M3256" s="46"/>
      <c r="R3256" s="51"/>
      <c r="S3256" s="51"/>
    </row>
    <row r="3257" spans="9:19" x14ac:dyDescent="0.25">
      <c r="I3257" s="1"/>
      <c r="J3257" s="71"/>
      <c r="M3257" s="46"/>
      <c r="R3257" s="51"/>
      <c r="S3257" s="51"/>
    </row>
    <row r="3258" spans="9:19" x14ac:dyDescent="0.25">
      <c r="I3258" s="1"/>
      <c r="J3258" s="71"/>
      <c r="M3258" s="46"/>
      <c r="R3258" s="51"/>
      <c r="S3258" s="51"/>
    </row>
    <row r="3259" spans="9:19" x14ac:dyDescent="0.25">
      <c r="I3259" s="1"/>
      <c r="J3259" s="71"/>
      <c r="M3259" s="46"/>
      <c r="R3259" s="51"/>
      <c r="S3259" s="51"/>
    </row>
    <row r="3260" spans="9:19" x14ac:dyDescent="0.25">
      <c r="I3260" s="1"/>
      <c r="J3260" s="71"/>
      <c r="M3260" s="46"/>
      <c r="R3260" s="51"/>
      <c r="S3260" s="51"/>
    </row>
    <row r="3261" spans="9:19" x14ac:dyDescent="0.25">
      <c r="I3261" s="1"/>
      <c r="J3261" s="71"/>
      <c r="M3261" s="46"/>
      <c r="R3261" s="51"/>
      <c r="S3261" s="51"/>
    </row>
    <row r="3262" spans="9:19" x14ac:dyDescent="0.25">
      <c r="I3262" s="1"/>
      <c r="J3262" s="71"/>
      <c r="M3262" s="46"/>
      <c r="R3262" s="51"/>
      <c r="S3262" s="51"/>
    </row>
    <row r="3263" spans="9:19" x14ac:dyDescent="0.25">
      <c r="I3263" s="1"/>
      <c r="J3263" s="71"/>
      <c r="M3263" s="46"/>
      <c r="R3263" s="51"/>
      <c r="S3263" s="51"/>
    </row>
    <row r="3264" spans="9:19" x14ac:dyDescent="0.25">
      <c r="I3264" s="1"/>
      <c r="J3264" s="71"/>
      <c r="M3264" s="46"/>
      <c r="R3264" s="51"/>
      <c r="S3264" s="51"/>
    </row>
    <row r="3265" spans="9:19" x14ac:dyDescent="0.25">
      <c r="I3265" s="1"/>
      <c r="J3265" s="71"/>
      <c r="M3265" s="46"/>
      <c r="R3265" s="51"/>
      <c r="S3265" s="51"/>
    </row>
    <row r="3266" spans="9:19" x14ac:dyDescent="0.25">
      <c r="I3266" s="1"/>
      <c r="J3266" s="71"/>
      <c r="M3266" s="46"/>
      <c r="R3266" s="51"/>
      <c r="S3266" s="51"/>
    </row>
    <row r="3267" spans="9:19" x14ac:dyDescent="0.25">
      <c r="I3267" s="1"/>
      <c r="J3267" s="71"/>
      <c r="M3267" s="46"/>
      <c r="R3267" s="51"/>
      <c r="S3267" s="51"/>
    </row>
    <row r="3268" spans="9:19" x14ac:dyDescent="0.25">
      <c r="I3268" s="1"/>
      <c r="J3268" s="71"/>
      <c r="M3268" s="46"/>
      <c r="R3268" s="51"/>
      <c r="S3268" s="51"/>
    </row>
    <row r="3269" spans="9:19" x14ac:dyDescent="0.25">
      <c r="I3269" s="1"/>
      <c r="J3269" s="71"/>
      <c r="M3269" s="46"/>
      <c r="R3269" s="51"/>
      <c r="S3269" s="51"/>
    </row>
    <row r="3270" spans="9:19" x14ac:dyDescent="0.25">
      <c r="I3270" s="1"/>
      <c r="J3270" s="71"/>
      <c r="M3270" s="46"/>
      <c r="R3270" s="51"/>
      <c r="S3270" s="51"/>
    </row>
    <row r="3271" spans="9:19" x14ac:dyDescent="0.25">
      <c r="I3271" s="1"/>
      <c r="J3271" s="71"/>
      <c r="M3271" s="46"/>
      <c r="R3271" s="51"/>
      <c r="S3271" s="51"/>
    </row>
    <row r="3272" spans="9:19" x14ac:dyDescent="0.25">
      <c r="I3272" s="1"/>
      <c r="J3272" s="71"/>
      <c r="M3272" s="46"/>
      <c r="R3272" s="51"/>
      <c r="S3272" s="51"/>
    </row>
    <row r="3273" spans="9:19" x14ac:dyDescent="0.25">
      <c r="I3273" s="1"/>
      <c r="J3273" s="71"/>
      <c r="M3273" s="46"/>
      <c r="R3273" s="51"/>
      <c r="S3273" s="51"/>
    </row>
    <row r="3274" spans="9:19" x14ac:dyDescent="0.25">
      <c r="I3274" s="1"/>
      <c r="J3274" s="71"/>
      <c r="M3274" s="46"/>
      <c r="R3274" s="51"/>
      <c r="S3274" s="51"/>
    </row>
    <row r="3275" spans="9:19" x14ac:dyDescent="0.25">
      <c r="I3275" s="1"/>
      <c r="J3275" s="71"/>
      <c r="M3275" s="46"/>
      <c r="R3275" s="51"/>
      <c r="S3275" s="51"/>
    </row>
    <row r="3276" spans="9:19" x14ac:dyDescent="0.25">
      <c r="I3276" s="1"/>
      <c r="J3276" s="71"/>
      <c r="M3276" s="46"/>
      <c r="R3276" s="51"/>
      <c r="S3276" s="51"/>
    </row>
    <row r="3277" spans="9:19" x14ac:dyDescent="0.25">
      <c r="I3277" s="1"/>
      <c r="J3277" s="71"/>
      <c r="M3277" s="46"/>
      <c r="R3277" s="51"/>
      <c r="S3277" s="51"/>
    </row>
    <row r="3278" spans="9:19" x14ac:dyDescent="0.25">
      <c r="I3278" s="1"/>
      <c r="J3278" s="71"/>
      <c r="M3278" s="46"/>
      <c r="R3278" s="51"/>
      <c r="S3278" s="51"/>
    </row>
    <row r="3279" spans="9:19" x14ac:dyDescent="0.25">
      <c r="I3279" s="1"/>
      <c r="J3279" s="71"/>
      <c r="M3279" s="46"/>
      <c r="R3279" s="51"/>
      <c r="S3279" s="51"/>
    </row>
    <row r="3280" spans="9:19" x14ac:dyDescent="0.25">
      <c r="I3280" s="1"/>
      <c r="J3280" s="71"/>
      <c r="M3280" s="46"/>
      <c r="R3280" s="51"/>
      <c r="S3280" s="51"/>
    </row>
    <row r="3281" spans="9:19" x14ac:dyDescent="0.25">
      <c r="I3281" s="1"/>
      <c r="J3281" s="71"/>
      <c r="M3281" s="46"/>
      <c r="R3281" s="51"/>
      <c r="S3281" s="51"/>
    </row>
    <row r="3282" spans="9:19" x14ac:dyDescent="0.25">
      <c r="I3282" s="1"/>
      <c r="J3282" s="71"/>
      <c r="M3282" s="46"/>
      <c r="R3282" s="51"/>
      <c r="S3282" s="51"/>
    </row>
    <row r="3283" spans="9:19" x14ac:dyDescent="0.25">
      <c r="I3283" s="1"/>
      <c r="J3283" s="71"/>
      <c r="M3283" s="46"/>
      <c r="R3283" s="51"/>
      <c r="S3283" s="51"/>
    </row>
    <row r="3284" spans="9:19" x14ac:dyDescent="0.25">
      <c r="I3284" s="1"/>
      <c r="J3284" s="71"/>
      <c r="M3284" s="46"/>
      <c r="R3284" s="51"/>
      <c r="S3284" s="51"/>
    </row>
    <row r="3285" spans="9:19" x14ac:dyDescent="0.25">
      <c r="I3285" s="1"/>
      <c r="J3285" s="71"/>
      <c r="M3285" s="46"/>
      <c r="R3285" s="51"/>
      <c r="S3285" s="51"/>
    </row>
    <row r="3286" spans="9:19" x14ac:dyDescent="0.25">
      <c r="I3286" s="1"/>
      <c r="J3286" s="71"/>
      <c r="M3286" s="46"/>
      <c r="R3286" s="51"/>
      <c r="S3286" s="51"/>
    </row>
    <row r="3287" spans="9:19" x14ac:dyDescent="0.25">
      <c r="I3287" s="1"/>
      <c r="J3287" s="71"/>
      <c r="M3287" s="46"/>
      <c r="R3287" s="51"/>
      <c r="S3287" s="51"/>
    </row>
    <row r="3288" spans="9:19" x14ac:dyDescent="0.25">
      <c r="I3288" s="1"/>
      <c r="J3288" s="71"/>
      <c r="M3288" s="46"/>
      <c r="R3288" s="51"/>
      <c r="S3288" s="51"/>
    </row>
    <row r="3289" spans="9:19" x14ac:dyDescent="0.25">
      <c r="I3289" s="1"/>
      <c r="J3289" s="71"/>
      <c r="M3289" s="46"/>
      <c r="R3289" s="51"/>
      <c r="S3289" s="51"/>
    </row>
    <row r="3290" spans="9:19" x14ac:dyDescent="0.25">
      <c r="I3290" s="1"/>
      <c r="J3290" s="71"/>
      <c r="M3290" s="46"/>
      <c r="R3290" s="51"/>
      <c r="S3290" s="51"/>
    </row>
    <row r="3291" spans="9:19" x14ac:dyDescent="0.25">
      <c r="I3291" s="1"/>
      <c r="J3291" s="71"/>
      <c r="M3291" s="46"/>
      <c r="R3291" s="51"/>
      <c r="S3291" s="51"/>
    </row>
    <row r="3292" spans="9:19" x14ac:dyDescent="0.25">
      <c r="I3292" s="1"/>
      <c r="J3292" s="71"/>
      <c r="M3292" s="46"/>
      <c r="R3292" s="51"/>
      <c r="S3292" s="51"/>
    </row>
    <row r="3293" spans="9:19" x14ac:dyDescent="0.25">
      <c r="I3293" s="1"/>
      <c r="J3293" s="71"/>
      <c r="M3293" s="46"/>
      <c r="R3293" s="51"/>
      <c r="S3293" s="51"/>
    </row>
    <row r="3294" spans="9:19" x14ac:dyDescent="0.25">
      <c r="I3294" s="1"/>
      <c r="J3294" s="71"/>
      <c r="M3294" s="46"/>
      <c r="R3294" s="51"/>
      <c r="S3294" s="51"/>
    </row>
    <row r="3295" spans="9:19" x14ac:dyDescent="0.25">
      <c r="I3295" s="1"/>
      <c r="J3295" s="71"/>
      <c r="M3295" s="46"/>
      <c r="R3295" s="51"/>
      <c r="S3295" s="51"/>
    </row>
    <row r="3296" spans="9:19" x14ac:dyDescent="0.25">
      <c r="I3296" s="1"/>
      <c r="J3296" s="71"/>
      <c r="M3296" s="46"/>
      <c r="R3296" s="51"/>
      <c r="S3296" s="51"/>
    </row>
    <row r="3297" spans="9:19" x14ac:dyDescent="0.25">
      <c r="I3297" s="1"/>
      <c r="J3297" s="71"/>
      <c r="M3297" s="46"/>
      <c r="R3297" s="51"/>
      <c r="S3297" s="51"/>
    </row>
    <row r="3298" spans="9:19" x14ac:dyDescent="0.25">
      <c r="I3298" s="1"/>
      <c r="J3298" s="71"/>
      <c r="M3298" s="46"/>
      <c r="R3298" s="51"/>
      <c r="S3298" s="51"/>
    </row>
    <row r="3299" spans="9:19" x14ac:dyDescent="0.25">
      <c r="I3299" s="1"/>
      <c r="J3299" s="71"/>
      <c r="M3299" s="46"/>
      <c r="R3299" s="51"/>
      <c r="S3299" s="51"/>
    </row>
    <row r="3300" spans="9:19" x14ac:dyDescent="0.25">
      <c r="I3300" s="1"/>
      <c r="J3300" s="71"/>
      <c r="M3300" s="46"/>
      <c r="R3300" s="51"/>
      <c r="S3300" s="51"/>
    </row>
    <row r="3301" spans="9:19" x14ac:dyDescent="0.25">
      <c r="I3301" s="1"/>
      <c r="J3301" s="71"/>
      <c r="M3301" s="46"/>
      <c r="R3301" s="51"/>
      <c r="S3301" s="51"/>
    </row>
    <row r="3302" spans="9:19" x14ac:dyDescent="0.25">
      <c r="I3302" s="1"/>
      <c r="J3302" s="71"/>
      <c r="M3302" s="46"/>
      <c r="R3302" s="51"/>
      <c r="S3302" s="51"/>
    </row>
    <row r="3303" spans="9:19" x14ac:dyDescent="0.25">
      <c r="I3303" s="1"/>
      <c r="J3303" s="71"/>
      <c r="M3303" s="46"/>
      <c r="R3303" s="51"/>
      <c r="S3303" s="51"/>
    </row>
    <row r="3304" spans="9:19" x14ac:dyDescent="0.25">
      <c r="I3304" s="1"/>
      <c r="J3304" s="71"/>
      <c r="M3304" s="46"/>
      <c r="R3304" s="51"/>
      <c r="S3304" s="51"/>
    </row>
    <row r="3305" spans="9:19" x14ac:dyDescent="0.25">
      <c r="I3305" s="1"/>
      <c r="J3305" s="71"/>
      <c r="M3305" s="46"/>
      <c r="R3305" s="51"/>
      <c r="S3305" s="51"/>
    </row>
    <row r="3306" spans="9:19" x14ac:dyDescent="0.25">
      <c r="I3306" s="1"/>
      <c r="J3306" s="71"/>
      <c r="M3306" s="46"/>
      <c r="R3306" s="51"/>
      <c r="S3306" s="51"/>
    </row>
    <row r="3307" spans="9:19" x14ac:dyDescent="0.25">
      <c r="I3307" s="1"/>
      <c r="J3307" s="71"/>
      <c r="M3307" s="46"/>
      <c r="R3307" s="51"/>
      <c r="S3307" s="51"/>
    </row>
    <row r="3308" spans="9:19" x14ac:dyDescent="0.25">
      <c r="I3308" s="1"/>
      <c r="J3308" s="71"/>
      <c r="M3308" s="46"/>
      <c r="R3308" s="51"/>
      <c r="S3308" s="51"/>
    </row>
    <row r="3309" spans="9:19" x14ac:dyDescent="0.25">
      <c r="I3309" s="1"/>
      <c r="J3309" s="71"/>
      <c r="M3309" s="46"/>
      <c r="R3309" s="51"/>
      <c r="S3309" s="51"/>
    </row>
    <row r="3310" spans="9:19" x14ac:dyDescent="0.25">
      <c r="I3310" s="1"/>
      <c r="J3310" s="71"/>
      <c r="M3310" s="46"/>
      <c r="R3310" s="51"/>
      <c r="S3310" s="51"/>
    </row>
    <row r="3311" spans="9:19" x14ac:dyDescent="0.25">
      <c r="I3311" s="1"/>
      <c r="J3311" s="71"/>
      <c r="M3311" s="46"/>
      <c r="R3311" s="51"/>
      <c r="S3311" s="51"/>
    </row>
    <row r="3312" spans="9:19" x14ac:dyDescent="0.25">
      <c r="I3312" s="1"/>
      <c r="J3312" s="71"/>
      <c r="M3312" s="46"/>
      <c r="R3312" s="51"/>
      <c r="S3312" s="51"/>
    </row>
    <row r="3313" spans="9:19" x14ac:dyDescent="0.25">
      <c r="I3313" s="1"/>
      <c r="J3313" s="71"/>
      <c r="M3313" s="46"/>
      <c r="R3313" s="51"/>
      <c r="S3313" s="51"/>
    </row>
    <row r="3314" spans="9:19" x14ac:dyDescent="0.25">
      <c r="I3314" s="1"/>
      <c r="J3314" s="71"/>
      <c r="M3314" s="46"/>
      <c r="R3314" s="51"/>
      <c r="S3314" s="51"/>
    </row>
    <row r="3315" spans="9:19" x14ac:dyDescent="0.25">
      <c r="I3315" s="1"/>
      <c r="J3315" s="71"/>
      <c r="M3315" s="46"/>
      <c r="R3315" s="51"/>
      <c r="S3315" s="51"/>
    </row>
    <row r="3316" spans="9:19" x14ac:dyDescent="0.25">
      <c r="I3316" s="1"/>
      <c r="J3316" s="71"/>
      <c r="M3316" s="46"/>
      <c r="R3316" s="51"/>
      <c r="S3316" s="51"/>
    </row>
    <row r="3317" spans="9:19" x14ac:dyDescent="0.25">
      <c r="I3317" s="1"/>
      <c r="J3317" s="71"/>
      <c r="M3317" s="46"/>
      <c r="R3317" s="51"/>
      <c r="S3317" s="51"/>
    </row>
    <row r="3318" spans="9:19" x14ac:dyDescent="0.25">
      <c r="I3318" s="1"/>
      <c r="J3318" s="71"/>
      <c r="M3318" s="46"/>
      <c r="R3318" s="51"/>
      <c r="S3318" s="51"/>
    </row>
    <row r="3319" spans="9:19" x14ac:dyDescent="0.25">
      <c r="I3319" s="1"/>
      <c r="J3319" s="71"/>
      <c r="M3319" s="46"/>
      <c r="R3319" s="51"/>
      <c r="S3319" s="51"/>
    </row>
    <row r="3320" spans="9:19" x14ac:dyDescent="0.25">
      <c r="I3320" s="1"/>
      <c r="J3320" s="71"/>
      <c r="M3320" s="46"/>
      <c r="R3320" s="51"/>
      <c r="S3320" s="51"/>
    </row>
    <row r="3321" spans="9:19" x14ac:dyDescent="0.25">
      <c r="I3321" s="1"/>
      <c r="J3321" s="71"/>
      <c r="M3321" s="46"/>
      <c r="R3321" s="51"/>
      <c r="S3321" s="51"/>
    </row>
    <row r="3322" spans="9:19" x14ac:dyDescent="0.25">
      <c r="I3322" s="1"/>
      <c r="J3322" s="71"/>
      <c r="M3322" s="46"/>
      <c r="R3322" s="51"/>
      <c r="S3322" s="51"/>
    </row>
    <row r="3323" spans="9:19" x14ac:dyDescent="0.25">
      <c r="I3323" s="1"/>
      <c r="J3323" s="71"/>
      <c r="M3323" s="46"/>
      <c r="R3323" s="51"/>
      <c r="S3323" s="51"/>
    </row>
    <row r="3324" spans="9:19" x14ac:dyDescent="0.25">
      <c r="I3324" s="1"/>
      <c r="J3324" s="71"/>
      <c r="M3324" s="46"/>
      <c r="R3324" s="51"/>
      <c r="S3324" s="51"/>
    </row>
    <row r="3325" spans="9:19" x14ac:dyDescent="0.25">
      <c r="I3325" s="1"/>
      <c r="J3325" s="71"/>
      <c r="M3325" s="46"/>
      <c r="R3325" s="51"/>
      <c r="S3325" s="51"/>
    </row>
    <row r="3326" spans="9:19" x14ac:dyDescent="0.25">
      <c r="I3326" s="1"/>
      <c r="J3326" s="71"/>
      <c r="M3326" s="46"/>
      <c r="R3326" s="51"/>
      <c r="S3326" s="51"/>
    </row>
    <row r="3327" spans="9:19" x14ac:dyDescent="0.25">
      <c r="I3327" s="1"/>
      <c r="J3327" s="71"/>
      <c r="M3327" s="46"/>
      <c r="R3327" s="51"/>
      <c r="S3327" s="51"/>
    </row>
    <row r="3328" spans="9:19" x14ac:dyDescent="0.25">
      <c r="I3328" s="1"/>
      <c r="J3328" s="71"/>
      <c r="M3328" s="46"/>
      <c r="R3328" s="51"/>
      <c r="S3328" s="51"/>
    </row>
    <row r="3329" spans="9:19" x14ac:dyDescent="0.25">
      <c r="I3329" s="1"/>
      <c r="J3329" s="71"/>
      <c r="M3329" s="46"/>
      <c r="R3329" s="51"/>
      <c r="S3329" s="51"/>
    </row>
    <row r="3330" spans="9:19" x14ac:dyDescent="0.25">
      <c r="I3330" s="1"/>
      <c r="J3330" s="71"/>
      <c r="M3330" s="46"/>
      <c r="R3330" s="51"/>
      <c r="S3330" s="51"/>
    </row>
    <row r="3331" spans="9:19" x14ac:dyDescent="0.25">
      <c r="I3331" s="1"/>
      <c r="J3331" s="71"/>
      <c r="M3331" s="46"/>
      <c r="R3331" s="51"/>
      <c r="S3331" s="51"/>
    </row>
    <row r="3332" spans="9:19" x14ac:dyDescent="0.25">
      <c r="I3332" s="1"/>
      <c r="J3332" s="71"/>
      <c r="M3332" s="46"/>
      <c r="R3332" s="51"/>
      <c r="S3332" s="51"/>
    </row>
    <row r="3333" spans="9:19" x14ac:dyDescent="0.25">
      <c r="I3333" s="1"/>
      <c r="J3333" s="71"/>
      <c r="M3333" s="46"/>
      <c r="R3333" s="51"/>
      <c r="S3333" s="51"/>
    </row>
    <row r="3334" spans="9:19" x14ac:dyDescent="0.25">
      <c r="I3334" s="1"/>
      <c r="J3334" s="71"/>
      <c r="M3334" s="46"/>
      <c r="R3334" s="51"/>
      <c r="S3334" s="51"/>
    </row>
    <row r="3335" spans="9:19" x14ac:dyDescent="0.25">
      <c r="I3335" s="1"/>
      <c r="J3335" s="71"/>
      <c r="M3335" s="46"/>
      <c r="R3335" s="51"/>
      <c r="S3335" s="51"/>
    </row>
    <row r="3336" spans="9:19" x14ac:dyDescent="0.25">
      <c r="I3336" s="1"/>
      <c r="J3336" s="71"/>
      <c r="M3336" s="46"/>
      <c r="R3336" s="51"/>
      <c r="S3336" s="51"/>
    </row>
    <row r="3337" spans="9:19" x14ac:dyDescent="0.25">
      <c r="I3337" s="1"/>
      <c r="J3337" s="71"/>
      <c r="M3337" s="46"/>
      <c r="R3337" s="51"/>
      <c r="S3337" s="51"/>
    </row>
    <row r="3338" spans="9:19" x14ac:dyDescent="0.25">
      <c r="I3338" s="1"/>
      <c r="J3338" s="71"/>
      <c r="M3338" s="46"/>
      <c r="R3338" s="51"/>
      <c r="S3338" s="51"/>
    </row>
    <row r="3339" spans="9:19" x14ac:dyDescent="0.25">
      <c r="I3339" s="1"/>
      <c r="J3339" s="71"/>
      <c r="M3339" s="46"/>
      <c r="R3339" s="51"/>
      <c r="S3339" s="51"/>
    </row>
    <row r="3340" spans="9:19" x14ac:dyDescent="0.25">
      <c r="I3340" s="1"/>
      <c r="J3340" s="71"/>
      <c r="M3340" s="46"/>
      <c r="R3340" s="51"/>
      <c r="S3340" s="51"/>
    </row>
    <row r="3341" spans="9:19" x14ac:dyDescent="0.25">
      <c r="I3341" s="1"/>
      <c r="J3341" s="71"/>
      <c r="M3341" s="46"/>
      <c r="R3341" s="51"/>
      <c r="S3341" s="51"/>
    </row>
    <row r="3342" spans="9:19" x14ac:dyDescent="0.25">
      <c r="I3342" s="1"/>
      <c r="J3342" s="71"/>
      <c r="M3342" s="46"/>
      <c r="R3342" s="51"/>
      <c r="S3342" s="51"/>
    </row>
    <row r="3343" spans="9:19" x14ac:dyDescent="0.25">
      <c r="I3343" s="1"/>
      <c r="J3343" s="71"/>
      <c r="M3343" s="46"/>
      <c r="R3343" s="51"/>
      <c r="S3343" s="51"/>
    </row>
    <row r="3344" spans="9:19" x14ac:dyDescent="0.25">
      <c r="I3344" s="1"/>
      <c r="J3344" s="71"/>
      <c r="M3344" s="46"/>
      <c r="R3344" s="51"/>
      <c r="S3344" s="51"/>
    </row>
    <row r="3345" spans="9:19" x14ac:dyDescent="0.25">
      <c r="I3345" s="1"/>
      <c r="J3345" s="71"/>
      <c r="M3345" s="46"/>
      <c r="R3345" s="51"/>
      <c r="S3345" s="51"/>
    </row>
    <row r="3346" spans="9:19" x14ac:dyDescent="0.25">
      <c r="I3346" s="1"/>
      <c r="J3346" s="71"/>
      <c r="M3346" s="46"/>
      <c r="R3346" s="51"/>
      <c r="S3346" s="51"/>
    </row>
    <row r="3347" spans="9:19" x14ac:dyDescent="0.25">
      <c r="I3347" s="1"/>
      <c r="J3347" s="71"/>
      <c r="M3347" s="46"/>
      <c r="R3347" s="51"/>
      <c r="S3347" s="51"/>
    </row>
    <row r="3348" spans="9:19" x14ac:dyDescent="0.25">
      <c r="I3348" s="1"/>
      <c r="J3348" s="71"/>
      <c r="M3348" s="46"/>
      <c r="R3348" s="51"/>
      <c r="S3348" s="51"/>
    </row>
    <row r="3349" spans="9:19" x14ac:dyDescent="0.25">
      <c r="I3349" s="1"/>
      <c r="J3349" s="71"/>
      <c r="M3349" s="46"/>
      <c r="R3349" s="51"/>
      <c r="S3349" s="51"/>
    </row>
    <row r="3350" spans="9:19" x14ac:dyDescent="0.25">
      <c r="I3350" s="1"/>
      <c r="J3350" s="71"/>
      <c r="M3350" s="46"/>
      <c r="R3350" s="51"/>
      <c r="S3350" s="51"/>
    </row>
    <row r="3351" spans="9:19" x14ac:dyDescent="0.25">
      <c r="I3351" s="1"/>
      <c r="J3351" s="71"/>
      <c r="M3351" s="46"/>
      <c r="R3351" s="51"/>
      <c r="S3351" s="51"/>
    </row>
    <row r="3352" spans="9:19" x14ac:dyDescent="0.25">
      <c r="I3352" s="1"/>
      <c r="J3352" s="71"/>
      <c r="M3352" s="46"/>
      <c r="R3352" s="51"/>
      <c r="S3352" s="51"/>
    </row>
    <row r="3353" spans="9:19" x14ac:dyDescent="0.25">
      <c r="I3353" s="1"/>
      <c r="J3353" s="71"/>
      <c r="M3353" s="46"/>
      <c r="R3353" s="51"/>
      <c r="S3353" s="51"/>
    </row>
    <row r="3354" spans="9:19" x14ac:dyDescent="0.25">
      <c r="I3354" s="1"/>
      <c r="J3354" s="71"/>
      <c r="M3354" s="46"/>
      <c r="R3354" s="51"/>
      <c r="S3354" s="51"/>
    </row>
    <row r="3355" spans="9:19" x14ac:dyDescent="0.25">
      <c r="I3355" s="1"/>
      <c r="J3355" s="71"/>
      <c r="M3355" s="46"/>
      <c r="R3355" s="51"/>
      <c r="S3355" s="51"/>
    </row>
    <row r="3356" spans="9:19" x14ac:dyDescent="0.25">
      <c r="I3356" s="1"/>
      <c r="J3356" s="71"/>
      <c r="M3356" s="46"/>
      <c r="R3356" s="51"/>
      <c r="S3356" s="51"/>
    </row>
    <row r="3357" spans="9:19" x14ac:dyDescent="0.25">
      <c r="I3357" s="1"/>
      <c r="J3357" s="71"/>
      <c r="M3357" s="46"/>
      <c r="R3357" s="51"/>
      <c r="S3357" s="51"/>
    </row>
    <row r="3358" spans="9:19" x14ac:dyDescent="0.25">
      <c r="I3358" s="1"/>
      <c r="J3358" s="71"/>
      <c r="M3358" s="46"/>
      <c r="R3358" s="51"/>
      <c r="S3358" s="51"/>
    </row>
    <row r="3359" spans="9:19" x14ac:dyDescent="0.25">
      <c r="I3359" s="1"/>
      <c r="J3359" s="71"/>
      <c r="M3359" s="46"/>
      <c r="R3359" s="51"/>
      <c r="S3359" s="51"/>
    </row>
    <row r="3360" spans="9:19" x14ac:dyDescent="0.25">
      <c r="I3360" s="1"/>
      <c r="J3360" s="71"/>
      <c r="M3360" s="46"/>
      <c r="R3360" s="51"/>
      <c r="S3360" s="51"/>
    </row>
    <row r="3361" spans="9:19" x14ac:dyDescent="0.25">
      <c r="I3361" s="1"/>
      <c r="J3361" s="71"/>
      <c r="M3361" s="46"/>
      <c r="R3361" s="51"/>
      <c r="S3361" s="51"/>
    </row>
    <row r="3362" spans="9:19" x14ac:dyDescent="0.25">
      <c r="I3362" s="1"/>
      <c r="J3362" s="71"/>
      <c r="M3362" s="46"/>
      <c r="R3362" s="51"/>
      <c r="S3362" s="51"/>
    </row>
    <row r="3363" spans="9:19" x14ac:dyDescent="0.25">
      <c r="I3363" s="1"/>
      <c r="J3363" s="71"/>
      <c r="M3363" s="46"/>
      <c r="R3363" s="51"/>
      <c r="S3363" s="51"/>
    </row>
    <row r="3364" spans="9:19" x14ac:dyDescent="0.25">
      <c r="I3364" s="1"/>
      <c r="J3364" s="71"/>
      <c r="M3364" s="46"/>
      <c r="R3364" s="51"/>
      <c r="S3364" s="51"/>
    </row>
    <row r="3365" spans="9:19" x14ac:dyDescent="0.25">
      <c r="I3365" s="1"/>
      <c r="J3365" s="71"/>
      <c r="M3365" s="46"/>
      <c r="R3365" s="51"/>
      <c r="S3365" s="51"/>
    </row>
    <row r="3366" spans="9:19" x14ac:dyDescent="0.25">
      <c r="I3366" s="1"/>
      <c r="J3366" s="71"/>
      <c r="M3366" s="46"/>
      <c r="R3366" s="51"/>
      <c r="S3366" s="51"/>
    </row>
    <row r="3367" spans="9:19" x14ac:dyDescent="0.25">
      <c r="I3367" s="1"/>
      <c r="J3367" s="71"/>
      <c r="M3367" s="46"/>
      <c r="R3367" s="51"/>
      <c r="S3367" s="51"/>
    </row>
    <row r="3368" spans="9:19" x14ac:dyDescent="0.25">
      <c r="I3368" s="1"/>
      <c r="J3368" s="71"/>
      <c r="M3368" s="46"/>
      <c r="R3368" s="51"/>
      <c r="S3368" s="51"/>
    </row>
    <row r="3369" spans="9:19" x14ac:dyDescent="0.25">
      <c r="I3369" s="1"/>
      <c r="J3369" s="71"/>
      <c r="M3369" s="46"/>
      <c r="R3369" s="51"/>
      <c r="S3369" s="51"/>
    </row>
    <row r="3370" spans="9:19" x14ac:dyDescent="0.25">
      <c r="I3370" s="1"/>
      <c r="J3370" s="71"/>
      <c r="M3370" s="46"/>
      <c r="R3370" s="51"/>
      <c r="S3370" s="51"/>
    </row>
    <row r="3371" spans="9:19" x14ac:dyDescent="0.25">
      <c r="I3371" s="1"/>
      <c r="J3371" s="71"/>
      <c r="M3371" s="46"/>
      <c r="R3371" s="51"/>
      <c r="S3371" s="51"/>
    </row>
    <row r="3372" spans="9:19" x14ac:dyDescent="0.25">
      <c r="I3372" s="1"/>
      <c r="J3372" s="71"/>
      <c r="M3372" s="46"/>
      <c r="R3372" s="51"/>
      <c r="S3372" s="51"/>
    </row>
    <row r="3373" spans="9:19" x14ac:dyDescent="0.25">
      <c r="I3373" s="1"/>
      <c r="J3373" s="71"/>
      <c r="M3373" s="46"/>
      <c r="R3373" s="51"/>
      <c r="S3373" s="51"/>
    </row>
    <row r="3374" spans="9:19" x14ac:dyDescent="0.25">
      <c r="I3374" s="1"/>
      <c r="J3374" s="71"/>
      <c r="M3374" s="46"/>
      <c r="R3374" s="51"/>
      <c r="S3374" s="51"/>
    </row>
    <row r="3375" spans="9:19" x14ac:dyDescent="0.25">
      <c r="I3375" s="1"/>
      <c r="J3375" s="71"/>
      <c r="M3375" s="46"/>
      <c r="R3375" s="51"/>
      <c r="S3375" s="51"/>
    </row>
    <row r="3376" spans="9:19" x14ac:dyDescent="0.25">
      <c r="I3376" s="1"/>
      <c r="J3376" s="71"/>
      <c r="M3376" s="46"/>
      <c r="R3376" s="51"/>
      <c r="S3376" s="51"/>
    </row>
    <row r="3377" spans="9:19" x14ac:dyDescent="0.25">
      <c r="I3377" s="1"/>
      <c r="J3377" s="71"/>
      <c r="M3377" s="46"/>
      <c r="R3377" s="51"/>
      <c r="S3377" s="51"/>
    </row>
    <row r="3378" spans="9:19" x14ac:dyDescent="0.25">
      <c r="I3378" s="1"/>
      <c r="J3378" s="71"/>
      <c r="M3378" s="46"/>
      <c r="R3378" s="51"/>
      <c r="S3378" s="51"/>
    </row>
    <row r="3379" spans="9:19" x14ac:dyDescent="0.25">
      <c r="I3379" s="1"/>
      <c r="J3379" s="71"/>
      <c r="M3379" s="46"/>
      <c r="R3379" s="51"/>
      <c r="S3379" s="51"/>
    </row>
    <row r="3380" spans="9:19" x14ac:dyDescent="0.25">
      <c r="I3380" s="1"/>
      <c r="J3380" s="71"/>
      <c r="M3380" s="46"/>
      <c r="R3380" s="51"/>
      <c r="S3380" s="51"/>
    </row>
    <row r="3381" spans="9:19" x14ac:dyDescent="0.25">
      <c r="I3381" s="1"/>
      <c r="J3381" s="71"/>
      <c r="M3381" s="46"/>
      <c r="R3381" s="51"/>
      <c r="S3381" s="51"/>
    </row>
    <row r="3382" spans="9:19" x14ac:dyDescent="0.25">
      <c r="I3382" s="1"/>
      <c r="J3382" s="71"/>
      <c r="M3382" s="46"/>
      <c r="R3382" s="51"/>
      <c r="S3382" s="51"/>
    </row>
    <row r="3383" spans="9:19" x14ac:dyDescent="0.25">
      <c r="I3383" s="1"/>
      <c r="J3383" s="71"/>
      <c r="M3383" s="46"/>
      <c r="R3383" s="51"/>
      <c r="S3383" s="51"/>
    </row>
    <row r="3384" spans="9:19" x14ac:dyDescent="0.25">
      <c r="I3384" s="1"/>
      <c r="J3384" s="71"/>
      <c r="M3384" s="46"/>
      <c r="R3384" s="51"/>
      <c r="S3384" s="51"/>
    </row>
    <row r="3385" spans="9:19" x14ac:dyDescent="0.25">
      <c r="I3385" s="1"/>
      <c r="J3385" s="71"/>
      <c r="M3385" s="46"/>
      <c r="R3385" s="51"/>
      <c r="S3385" s="51"/>
    </row>
    <row r="3386" spans="9:19" x14ac:dyDescent="0.25">
      <c r="I3386" s="1"/>
      <c r="J3386" s="71"/>
      <c r="M3386" s="46"/>
      <c r="R3386" s="51"/>
      <c r="S3386" s="51"/>
    </row>
    <row r="3387" spans="9:19" x14ac:dyDescent="0.25">
      <c r="I3387" s="1"/>
      <c r="J3387" s="71"/>
      <c r="M3387" s="46"/>
      <c r="R3387" s="51"/>
      <c r="S3387" s="51"/>
    </row>
    <row r="3388" spans="9:19" x14ac:dyDescent="0.25">
      <c r="I3388" s="1"/>
      <c r="J3388" s="71"/>
      <c r="M3388" s="46"/>
      <c r="R3388" s="51"/>
      <c r="S3388" s="51"/>
    </row>
    <row r="3389" spans="9:19" x14ac:dyDescent="0.25">
      <c r="I3389" s="1"/>
      <c r="J3389" s="71"/>
      <c r="M3389" s="46"/>
      <c r="R3389" s="51"/>
      <c r="S3389" s="51"/>
    </row>
    <row r="3390" spans="9:19" x14ac:dyDescent="0.25">
      <c r="I3390" s="1"/>
      <c r="J3390" s="71"/>
      <c r="M3390" s="46"/>
      <c r="R3390" s="51"/>
      <c r="S3390" s="51"/>
    </row>
    <row r="3391" spans="9:19" x14ac:dyDescent="0.25">
      <c r="I3391" s="1"/>
      <c r="J3391" s="71"/>
      <c r="M3391" s="46"/>
      <c r="R3391" s="51"/>
      <c r="S3391" s="51"/>
    </row>
    <row r="3392" spans="9:19" x14ac:dyDescent="0.25">
      <c r="I3392" s="1"/>
      <c r="J3392" s="71"/>
      <c r="M3392" s="46"/>
      <c r="R3392" s="51"/>
      <c r="S3392" s="51"/>
    </row>
    <row r="3393" spans="9:19" x14ac:dyDescent="0.25">
      <c r="I3393" s="1"/>
      <c r="J3393" s="71"/>
      <c r="M3393" s="46"/>
      <c r="R3393" s="51"/>
      <c r="S3393" s="51"/>
    </row>
    <row r="3394" spans="9:19" x14ac:dyDescent="0.25">
      <c r="I3394" s="1"/>
      <c r="J3394" s="71"/>
      <c r="M3394" s="46"/>
      <c r="R3394" s="51"/>
      <c r="S3394" s="51"/>
    </row>
    <row r="3395" spans="9:19" x14ac:dyDescent="0.25">
      <c r="I3395" s="1"/>
      <c r="J3395" s="71"/>
      <c r="M3395" s="46"/>
      <c r="R3395" s="51"/>
      <c r="S3395" s="51"/>
    </row>
    <row r="3396" spans="9:19" x14ac:dyDescent="0.25">
      <c r="I3396" s="1"/>
      <c r="J3396" s="71"/>
      <c r="M3396" s="46"/>
      <c r="R3396" s="51"/>
      <c r="S3396" s="51"/>
    </row>
    <row r="3397" spans="9:19" x14ac:dyDescent="0.25">
      <c r="I3397" s="1"/>
      <c r="J3397" s="71"/>
      <c r="M3397" s="46"/>
      <c r="R3397" s="51"/>
      <c r="S3397" s="51"/>
    </row>
    <row r="3398" spans="9:19" x14ac:dyDescent="0.25">
      <c r="I3398" s="1"/>
      <c r="J3398" s="71"/>
      <c r="M3398" s="46"/>
      <c r="R3398" s="51"/>
      <c r="S3398" s="51"/>
    </row>
    <row r="3399" spans="9:19" x14ac:dyDescent="0.25">
      <c r="I3399" s="1"/>
      <c r="J3399" s="71"/>
      <c r="M3399" s="46"/>
      <c r="R3399" s="51"/>
      <c r="S3399" s="51"/>
    </row>
    <row r="3400" spans="9:19" x14ac:dyDescent="0.25">
      <c r="I3400" s="1"/>
      <c r="J3400" s="71"/>
      <c r="M3400" s="46"/>
      <c r="R3400" s="51"/>
      <c r="S3400" s="51"/>
    </row>
    <row r="3401" spans="9:19" x14ac:dyDescent="0.25">
      <c r="I3401" s="1"/>
      <c r="J3401" s="71"/>
      <c r="M3401" s="46"/>
      <c r="R3401" s="51"/>
      <c r="S3401" s="51"/>
    </row>
    <row r="3402" spans="9:19" x14ac:dyDescent="0.25">
      <c r="I3402" s="1"/>
      <c r="J3402" s="71"/>
      <c r="M3402" s="46"/>
      <c r="R3402" s="51"/>
      <c r="S3402" s="51"/>
    </row>
    <row r="3403" spans="9:19" x14ac:dyDescent="0.25">
      <c r="I3403" s="1"/>
      <c r="J3403" s="71"/>
      <c r="M3403" s="46"/>
      <c r="R3403" s="51"/>
      <c r="S3403" s="51"/>
    </row>
    <row r="3404" spans="9:19" x14ac:dyDescent="0.25">
      <c r="I3404" s="1"/>
      <c r="J3404" s="71"/>
      <c r="M3404" s="46"/>
      <c r="R3404" s="51"/>
      <c r="S3404" s="51"/>
    </row>
    <row r="3405" spans="9:19" x14ac:dyDescent="0.25">
      <c r="I3405" s="1"/>
      <c r="J3405" s="71"/>
      <c r="M3405" s="46"/>
      <c r="R3405" s="51"/>
      <c r="S3405" s="51"/>
    </row>
    <row r="3406" spans="9:19" x14ac:dyDescent="0.25">
      <c r="I3406" s="1"/>
      <c r="J3406" s="71"/>
      <c r="M3406" s="46"/>
      <c r="R3406" s="51"/>
      <c r="S3406" s="51"/>
    </row>
    <row r="3407" spans="9:19" x14ac:dyDescent="0.25">
      <c r="I3407" s="1"/>
      <c r="J3407" s="71"/>
      <c r="M3407" s="46"/>
      <c r="R3407" s="51"/>
      <c r="S3407" s="51"/>
    </row>
    <row r="3408" spans="9:19" x14ac:dyDescent="0.25">
      <c r="I3408" s="1"/>
      <c r="J3408" s="71"/>
      <c r="M3408" s="46"/>
      <c r="R3408" s="51"/>
      <c r="S3408" s="51"/>
    </row>
    <row r="3409" spans="9:19" x14ac:dyDescent="0.25">
      <c r="I3409" s="1"/>
      <c r="J3409" s="71"/>
      <c r="M3409" s="46"/>
      <c r="R3409" s="51"/>
      <c r="S3409" s="51"/>
    </row>
    <row r="3410" spans="9:19" x14ac:dyDescent="0.25">
      <c r="I3410" s="1"/>
      <c r="J3410" s="71"/>
      <c r="M3410" s="46"/>
      <c r="R3410" s="51"/>
      <c r="S3410" s="51"/>
    </row>
    <row r="3411" spans="9:19" x14ac:dyDescent="0.25">
      <c r="I3411" s="1"/>
      <c r="J3411" s="71"/>
      <c r="M3411" s="46"/>
      <c r="R3411" s="51"/>
      <c r="S3411" s="51"/>
    </row>
    <row r="3412" spans="9:19" x14ac:dyDescent="0.25">
      <c r="I3412" s="1"/>
      <c r="J3412" s="71"/>
      <c r="M3412" s="46"/>
      <c r="R3412" s="51"/>
      <c r="S3412" s="51"/>
    </row>
    <row r="3413" spans="9:19" x14ac:dyDescent="0.25">
      <c r="I3413" s="1"/>
      <c r="J3413" s="71"/>
      <c r="M3413" s="46"/>
      <c r="R3413" s="51"/>
      <c r="S3413" s="51"/>
    </row>
    <row r="3414" spans="9:19" x14ac:dyDescent="0.25">
      <c r="I3414" s="1"/>
      <c r="J3414" s="71"/>
      <c r="M3414" s="46"/>
      <c r="R3414" s="51"/>
      <c r="S3414" s="51"/>
    </row>
    <row r="3415" spans="9:19" x14ac:dyDescent="0.25">
      <c r="I3415" s="1"/>
      <c r="J3415" s="71"/>
      <c r="M3415" s="46"/>
      <c r="R3415" s="51"/>
      <c r="S3415" s="51"/>
    </row>
    <row r="3416" spans="9:19" x14ac:dyDescent="0.25">
      <c r="I3416" s="1"/>
      <c r="J3416" s="71"/>
      <c r="M3416" s="46"/>
      <c r="R3416" s="51"/>
      <c r="S3416" s="51"/>
    </row>
    <row r="3417" spans="9:19" x14ac:dyDescent="0.25">
      <c r="I3417" s="1"/>
      <c r="J3417" s="71"/>
      <c r="M3417" s="46"/>
      <c r="R3417" s="51"/>
      <c r="S3417" s="51"/>
    </row>
    <row r="3418" spans="9:19" x14ac:dyDescent="0.25">
      <c r="I3418" s="1"/>
      <c r="J3418" s="71"/>
      <c r="M3418" s="46"/>
      <c r="R3418" s="51"/>
      <c r="S3418" s="51"/>
    </row>
    <row r="3419" spans="9:19" x14ac:dyDescent="0.25">
      <c r="I3419" s="1"/>
      <c r="J3419" s="71"/>
      <c r="M3419" s="46"/>
      <c r="R3419" s="51"/>
      <c r="S3419" s="51"/>
    </row>
    <row r="3420" spans="9:19" x14ac:dyDescent="0.25">
      <c r="I3420" s="1"/>
      <c r="J3420" s="71"/>
      <c r="M3420" s="46"/>
      <c r="R3420" s="51"/>
      <c r="S3420" s="51"/>
    </row>
    <row r="3421" spans="9:19" x14ac:dyDescent="0.25">
      <c r="I3421" s="1"/>
      <c r="J3421" s="71"/>
      <c r="M3421" s="46"/>
      <c r="R3421" s="51"/>
      <c r="S3421" s="51"/>
    </row>
    <row r="3422" spans="9:19" x14ac:dyDescent="0.25">
      <c r="I3422" s="1"/>
      <c r="J3422" s="71"/>
      <c r="M3422" s="46"/>
      <c r="R3422" s="51"/>
      <c r="S3422" s="51"/>
    </row>
    <row r="3423" spans="9:19" x14ac:dyDescent="0.25">
      <c r="I3423" s="1"/>
      <c r="J3423" s="71"/>
      <c r="M3423" s="46"/>
      <c r="R3423" s="51"/>
      <c r="S3423" s="51"/>
    </row>
    <row r="3424" spans="9:19" x14ac:dyDescent="0.25">
      <c r="I3424" s="1"/>
      <c r="J3424" s="71"/>
      <c r="M3424" s="46"/>
      <c r="R3424" s="51"/>
      <c r="S3424" s="51"/>
    </row>
    <row r="3425" spans="9:19" x14ac:dyDescent="0.25">
      <c r="I3425" s="1"/>
      <c r="J3425" s="71"/>
      <c r="M3425" s="46"/>
      <c r="R3425" s="51"/>
      <c r="S3425" s="51"/>
    </row>
    <row r="3426" spans="9:19" x14ac:dyDescent="0.25">
      <c r="I3426" s="1"/>
      <c r="J3426" s="71"/>
      <c r="M3426" s="46"/>
      <c r="R3426" s="51"/>
      <c r="S3426" s="51"/>
    </row>
    <row r="3427" spans="9:19" x14ac:dyDescent="0.25">
      <c r="I3427" s="1"/>
      <c r="J3427" s="71"/>
      <c r="M3427" s="46"/>
      <c r="R3427" s="51"/>
      <c r="S3427" s="51"/>
    </row>
    <row r="3428" spans="9:19" x14ac:dyDescent="0.25">
      <c r="I3428" s="1"/>
      <c r="J3428" s="71"/>
      <c r="M3428" s="46"/>
      <c r="R3428" s="51"/>
      <c r="S3428" s="51"/>
    </row>
    <row r="3429" spans="9:19" x14ac:dyDescent="0.25">
      <c r="I3429" s="1"/>
      <c r="J3429" s="71"/>
      <c r="M3429" s="46"/>
      <c r="R3429" s="51"/>
      <c r="S3429" s="51"/>
    </row>
    <row r="3430" spans="9:19" x14ac:dyDescent="0.25">
      <c r="I3430" s="1"/>
      <c r="J3430" s="71"/>
      <c r="M3430" s="46"/>
      <c r="R3430" s="51"/>
      <c r="S3430" s="51"/>
    </row>
    <row r="3431" spans="9:19" x14ac:dyDescent="0.25">
      <c r="I3431" s="1"/>
      <c r="J3431" s="71"/>
      <c r="M3431" s="46"/>
      <c r="R3431" s="51"/>
      <c r="S3431" s="51"/>
    </row>
    <row r="3432" spans="9:19" x14ac:dyDescent="0.25">
      <c r="I3432" s="1"/>
      <c r="J3432" s="71"/>
      <c r="M3432" s="46"/>
      <c r="R3432" s="51"/>
      <c r="S3432" s="51"/>
    </row>
    <row r="3433" spans="9:19" x14ac:dyDescent="0.25">
      <c r="I3433" s="1"/>
      <c r="J3433" s="71"/>
      <c r="M3433" s="46"/>
      <c r="R3433" s="51"/>
      <c r="S3433" s="51"/>
    </row>
    <row r="3434" spans="9:19" x14ac:dyDescent="0.25">
      <c r="I3434" s="1"/>
      <c r="J3434" s="71"/>
      <c r="M3434" s="46"/>
      <c r="R3434" s="51"/>
      <c r="S3434" s="51"/>
    </row>
    <row r="3435" spans="9:19" x14ac:dyDescent="0.25">
      <c r="I3435" s="1"/>
      <c r="J3435" s="71"/>
      <c r="M3435" s="46"/>
      <c r="R3435" s="51"/>
      <c r="S3435" s="51"/>
    </row>
    <row r="3436" spans="9:19" x14ac:dyDescent="0.25">
      <c r="I3436" s="1"/>
      <c r="J3436" s="71"/>
      <c r="M3436" s="46"/>
      <c r="R3436" s="51"/>
      <c r="S3436" s="51"/>
    </row>
    <row r="3437" spans="9:19" x14ac:dyDescent="0.25">
      <c r="I3437" s="1"/>
      <c r="J3437" s="71"/>
      <c r="M3437" s="46"/>
      <c r="R3437" s="51"/>
      <c r="S3437" s="51"/>
    </row>
    <row r="3438" spans="9:19" x14ac:dyDescent="0.25">
      <c r="I3438" s="1"/>
      <c r="J3438" s="71"/>
      <c r="M3438" s="46"/>
      <c r="R3438" s="51"/>
      <c r="S3438" s="51"/>
    </row>
    <row r="3439" spans="9:19" x14ac:dyDescent="0.25">
      <c r="I3439" s="1"/>
      <c r="J3439" s="71"/>
      <c r="M3439" s="46"/>
      <c r="R3439" s="51"/>
      <c r="S3439" s="51"/>
    </row>
    <row r="3440" spans="9:19" x14ac:dyDescent="0.25">
      <c r="I3440" s="1"/>
      <c r="J3440" s="71"/>
      <c r="M3440" s="46"/>
      <c r="R3440" s="51"/>
      <c r="S3440" s="51"/>
    </row>
    <row r="3441" spans="9:19" x14ac:dyDescent="0.25">
      <c r="I3441" s="1"/>
      <c r="J3441" s="71"/>
      <c r="M3441" s="46"/>
      <c r="R3441" s="51"/>
      <c r="S3441" s="51"/>
    </row>
    <row r="3442" spans="9:19" x14ac:dyDescent="0.25">
      <c r="I3442" s="1"/>
      <c r="J3442" s="71"/>
      <c r="M3442" s="46"/>
      <c r="R3442" s="51"/>
      <c r="S3442" s="51"/>
    </row>
    <row r="3443" spans="9:19" x14ac:dyDescent="0.25">
      <c r="I3443" s="1"/>
      <c r="J3443" s="71"/>
      <c r="M3443" s="46"/>
      <c r="R3443" s="51"/>
      <c r="S3443" s="51"/>
    </row>
    <row r="3444" spans="9:19" x14ac:dyDescent="0.25">
      <c r="I3444" s="1"/>
      <c r="J3444" s="71"/>
      <c r="M3444" s="46"/>
      <c r="R3444" s="51"/>
      <c r="S3444" s="51"/>
    </row>
    <row r="3445" spans="9:19" x14ac:dyDescent="0.25">
      <c r="I3445" s="1"/>
      <c r="J3445" s="71"/>
      <c r="M3445" s="46"/>
      <c r="R3445" s="51"/>
      <c r="S3445" s="51"/>
    </row>
    <row r="3446" spans="9:19" x14ac:dyDescent="0.25">
      <c r="I3446" s="1"/>
      <c r="J3446" s="71"/>
      <c r="M3446" s="46"/>
      <c r="R3446" s="51"/>
      <c r="S3446" s="51"/>
    </row>
    <row r="3447" spans="9:19" x14ac:dyDescent="0.25">
      <c r="I3447" s="1"/>
      <c r="J3447" s="71"/>
      <c r="M3447" s="46"/>
      <c r="R3447" s="51"/>
      <c r="S3447" s="51"/>
    </row>
    <row r="3448" spans="9:19" x14ac:dyDescent="0.25">
      <c r="I3448" s="1"/>
      <c r="J3448" s="71"/>
      <c r="M3448" s="46"/>
      <c r="R3448" s="51"/>
      <c r="S3448" s="51"/>
    </row>
    <row r="3449" spans="9:19" x14ac:dyDescent="0.25">
      <c r="I3449" s="1"/>
      <c r="J3449" s="71"/>
      <c r="M3449" s="46"/>
      <c r="R3449" s="51"/>
      <c r="S3449" s="51"/>
    </row>
    <row r="3450" spans="9:19" x14ac:dyDescent="0.25">
      <c r="I3450" s="1"/>
      <c r="J3450" s="71"/>
      <c r="M3450" s="46"/>
      <c r="R3450" s="51"/>
      <c r="S3450" s="51"/>
    </row>
    <row r="3451" spans="9:19" x14ac:dyDescent="0.25">
      <c r="I3451" s="1"/>
      <c r="J3451" s="71"/>
      <c r="M3451" s="46"/>
      <c r="R3451" s="51"/>
      <c r="S3451" s="51"/>
    </row>
    <row r="3452" spans="9:19" x14ac:dyDescent="0.25">
      <c r="I3452" s="1"/>
      <c r="J3452" s="71"/>
      <c r="M3452" s="46"/>
      <c r="R3452" s="51"/>
      <c r="S3452" s="51"/>
    </row>
    <row r="3453" spans="9:19" x14ac:dyDescent="0.25">
      <c r="I3453" s="1"/>
      <c r="J3453" s="71"/>
      <c r="M3453" s="46"/>
      <c r="R3453" s="51"/>
      <c r="S3453" s="51"/>
    </row>
    <row r="3454" spans="9:19" x14ac:dyDescent="0.25">
      <c r="I3454" s="1"/>
      <c r="J3454" s="71"/>
      <c r="M3454" s="46"/>
      <c r="R3454" s="51"/>
      <c r="S3454" s="51"/>
    </row>
    <row r="3455" spans="9:19" x14ac:dyDescent="0.25">
      <c r="I3455" s="1"/>
      <c r="J3455" s="71"/>
      <c r="M3455" s="46"/>
      <c r="R3455" s="51"/>
      <c r="S3455" s="51"/>
    </row>
    <row r="3456" spans="9:19" x14ac:dyDescent="0.25">
      <c r="I3456" s="1"/>
      <c r="J3456" s="71"/>
      <c r="M3456" s="46"/>
      <c r="R3456" s="51"/>
      <c r="S3456" s="51"/>
    </row>
    <row r="3457" spans="9:19" x14ac:dyDescent="0.25">
      <c r="I3457" s="1"/>
      <c r="J3457" s="71"/>
      <c r="M3457" s="46"/>
      <c r="R3457" s="51"/>
      <c r="S3457" s="51"/>
    </row>
    <row r="3458" spans="9:19" x14ac:dyDescent="0.25">
      <c r="I3458" s="1"/>
      <c r="J3458" s="71"/>
      <c r="M3458" s="46"/>
      <c r="R3458" s="51"/>
      <c r="S3458" s="51"/>
    </row>
    <row r="3459" spans="9:19" x14ac:dyDescent="0.25">
      <c r="I3459" s="1"/>
      <c r="J3459" s="71"/>
      <c r="M3459" s="46"/>
      <c r="R3459" s="51"/>
      <c r="S3459" s="51"/>
    </row>
    <row r="3460" spans="9:19" x14ac:dyDescent="0.25">
      <c r="I3460" s="1"/>
      <c r="J3460" s="71"/>
      <c r="M3460" s="46"/>
      <c r="R3460" s="51"/>
      <c r="S3460" s="51"/>
    </row>
    <row r="3461" spans="9:19" x14ac:dyDescent="0.25">
      <c r="I3461" s="1"/>
      <c r="J3461" s="71"/>
      <c r="M3461" s="46"/>
      <c r="R3461" s="51"/>
      <c r="S3461" s="51"/>
    </row>
    <row r="3462" spans="9:19" x14ac:dyDescent="0.25">
      <c r="I3462" s="1"/>
      <c r="J3462" s="71"/>
      <c r="M3462" s="46"/>
      <c r="R3462" s="51"/>
      <c r="S3462" s="51"/>
    </row>
    <row r="3463" spans="9:19" x14ac:dyDescent="0.25">
      <c r="I3463" s="1"/>
      <c r="J3463" s="71"/>
      <c r="M3463" s="46"/>
      <c r="R3463" s="51"/>
      <c r="S3463" s="51"/>
    </row>
    <row r="3464" spans="9:19" x14ac:dyDescent="0.25">
      <c r="I3464" s="1"/>
      <c r="J3464" s="71"/>
      <c r="M3464" s="46"/>
      <c r="R3464" s="51"/>
      <c r="S3464" s="51"/>
    </row>
    <row r="3465" spans="9:19" x14ac:dyDescent="0.25">
      <c r="I3465" s="1"/>
      <c r="J3465" s="71"/>
      <c r="M3465" s="46"/>
      <c r="R3465" s="51"/>
      <c r="S3465" s="51"/>
    </row>
    <row r="3466" spans="9:19" x14ac:dyDescent="0.25">
      <c r="I3466" s="1"/>
      <c r="J3466" s="71"/>
      <c r="M3466" s="46"/>
      <c r="R3466" s="51"/>
      <c r="S3466" s="51"/>
    </row>
    <row r="3467" spans="9:19" x14ac:dyDescent="0.25">
      <c r="I3467" s="1"/>
      <c r="J3467" s="71"/>
      <c r="M3467" s="46"/>
      <c r="R3467" s="51"/>
      <c r="S3467" s="51"/>
    </row>
    <row r="3468" spans="9:19" x14ac:dyDescent="0.25">
      <c r="I3468" s="1"/>
      <c r="J3468" s="71"/>
      <c r="M3468" s="46"/>
      <c r="R3468" s="51"/>
      <c r="S3468" s="51"/>
    </row>
    <row r="3469" spans="9:19" x14ac:dyDescent="0.25">
      <c r="I3469" s="1"/>
      <c r="J3469" s="71"/>
      <c r="M3469" s="46"/>
      <c r="R3469" s="51"/>
      <c r="S3469" s="51"/>
    </row>
    <row r="3470" spans="9:19" x14ac:dyDescent="0.25">
      <c r="I3470" s="1"/>
      <c r="J3470" s="71"/>
      <c r="M3470" s="46"/>
      <c r="R3470" s="51"/>
      <c r="S3470" s="51"/>
    </row>
    <row r="3471" spans="9:19" x14ac:dyDescent="0.25">
      <c r="I3471" s="1"/>
      <c r="J3471" s="71"/>
      <c r="M3471" s="46"/>
      <c r="R3471" s="51"/>
      <c r="S3471" s="51"/>
    </row>
    <row r="3472" spans="9:19" x14ac:dyDescent="0.25">
      <c r="I3472" s="1"/>
      <c r="J3472" s="71"/>
      <c r="M3472" s="46"/>
      <c r="R3472" s="51"/>
      <c r="S3472" s="51"/>
    </row>
    <row r="3473" spans="9:19" x14ac:dyDescent="0.25">
      <c r="I3473" s="1"/>
      <c r="J3473" s="71"/>
      <c r="M3473" s="46"/>
      <c r="R3473" s="51"/>
      <c r="S3473" s="51"/>
    </row>
    <row r="3474" spans="9:19" x14ac:dyDescent="0.25">
      <c r="I3474" s="1"/>
      <c r="J3474" s="71"/>
      <c r="M3474" s="46"/>
      <c r="R3474" s="51"/>
      <c r="S3474" s="51"/>
    </row>
    <row r="3475" spans="9:19" x14ac:dyDescent="0.25">
      <c r="I3475" s="1"/>
      <c r="J3475" s="71"/>
      <c r="M3475" s="46"/>
      <c r="R3475" s="51"/>
      <c r="S3475" s="51"/>
    </row>
    <row r="3476" spans="9:19" x14ac:dyDescent="0.25">
      <c r="I3476" s="1"/>
      <c r="J3476" s="71"/>
      <c r="M3476" s="46"/>
      <c r="R3476" s="51"/>
      <c r="S3476" s="51"/>
    </row>
    <row r="3477" spans="9:19" x14ac:dyDescent="0.25">
      <c r="I3477" s="1"/>
      <c r="J3477" s="71"/>
      <c r="M3477" s="46"/>
      <c r="R3477" s="51"/>
      <c r="S3477" s="51"/>
    </row>
    <row r="3478" spans="9:19" x14ac:dyDescent="0.25">
      <c r="I3478" s="1"/>
      <c r="J3478" s="71"/>
      <c r="M3478" s="46"/>
      <c r="R3478" s="51"/>
      <c r="S3478" s="51"/>
    </row>
    <row r="3479" spans="9:19" x14ac:dyDescent="0.25">
      <c r="I3479" s="1"/>
      <c r="J3479" s="71"/>
      <c r="M3479" s="46"/>
      <c r="R3479" s="51"/>
      <c r="S3479" s="51"/>
    </row>
    <row r="3480" spans="9:19" x14ac:dyDescent="0.25">
      <c r="I3480" s="1"/>
      <c r="J3480" s="71"/>
      <c r="M3480" s="46"/>
      <c r="R3480" s="51"/>
      <c r="S3480" s="51"/>
    </row>
    <row r="3481" spans="9:19" x14ac:dyDescent="0.25">
      <c r="I3481" s="1"/>
      <c r="J3481" s="71"/>
      <c r="M3481" s="46"/>
      <c r="R3481" s="51"/>
      <c r="S3481" s="51"/>
    </row>
    <row r="3482" spans="9:19" x14ac:dyDescent="0.25">
      <c r="I3482" s="1"/>
      <c r="J3482" s="71"/>
      <c r="M3482" s="46"/>
      <c r="R3482" s="51"/>
      <c r="S3482" s="51"/>
    </row>
    <row r="3483" spans="9:19" x14ac:dyDescent="0.25">
      <c r="I3483" s="1"/>
      <c r="J3483" s="71"/>
      <c r="M3483" s="46"/>
      <c r="R3483" s="51"/>
      <c r="S3483" s="51"/>
    </row>
    <row r="3484" spans="9:19" x14ac:dyDescent="0.25">
      <c r="I3484" s="1"/>
      <c r="J3484" s="71"/>
      <c r="M3484" s="46"/>
      <c r="R3484" s="51"/>
      <c r="S3484" s="51"/>
    </row>
    <row r="3485" spans="9:19" x14ac:dyDescent="0.25">
      <c r="I3485" s="1"/>
      <c r="J3485" s="71"/>
      <c r="M3485" s="46"/>
      <c r="R3485" s="51"/>
      <c r="S3485" s="51"/>
    </row>
    <row r="3486" spans="9:19" x14ac:dyDescent="0.25">
      <c r="I3486" s="1"/>
      <c r="J3486" s="71"/>
      <c r="M3486" s="46"/>
      <c r="R3486" s="51"/>
      <c r="S3486" s="51"/>
    </row>
    <row r="3487" spans="9:19" x14ac:dyDescent="0.25">
      <c r="I3487" s="1"/>
      <c r="J3487" s="71"/>
      <c r="M3487" s="46"/>
      <c r="R3487" s="51"/>
      <c r="S3487" s="51"/>
    </row>
    <row r="3488" spans="9:19" x14ac:dyDescent="0.25">
      <c r="I3488" s="1"/>
      <c r="J3488" s="71"/>
      <c r="M3488" s="46"/>
      <c r="R3488" s="51"/>
      <c r="S3488" s="51"/>
    </row>
    <row r="3489" spans="9:19" x14ac:dyDescent="0.25">
      <c r="I3489" s="1"/>
      <c r="J3489" s="71"/>
      <c r="M3489" s="46"/>
      <c r="R3489" s="51"/>
      <c r="S3489" s="51"/>
    </row>
    <row r="3490" spans="9:19" x14ac:dyDescent="0.25">
      <c r="I3490" s="1"/>
      <c r="J3490" s="71"/>
      <c r="M3490" s="46"/>
      <c r="R3490" s="51"/>
      <c r="S3490" s="51"/>
    </row>
    <row r="3491" spans="9:19" x14ac:dyDescent="0.25">
      <c r="I3491" s="1"/>
      <c r="J3491" s="71"/>
      <c r="M3491" s="46"/>
      <c r="R3491" s="51"/>
      <c r="S3491" s="51"/>
    </row>
    <row r="3492" spans="9:19" x14ac:dyDescent="0.25">
      <c r="I3492" s="1"/>
      <c r="J3492" s="71"/>
      <c r="M3492" s="46"/>
      <c r="R3492" s="51"/>
      <c r="S3492" s="51"/>
    </row>
    <row r="3493" spans="9:19" x14ac:dyDescent="0.25">
      <c r="I3493" s="1"/>
      <c r="J3493" s="71"/>
      <c r="M3493" s="46"/>
      <c r="R3493" s="51"/>
      <c r="S3493" s="51"/>
    </row>
    <row r="3494" spans="9:19" x14ac:dyDescent="0.25">
      <c r="I3494" s="1"/>
      <c r="J3494" s="71"/>
      <c r="M3494" s="46"/>
      <c r="R3494" s="51"/>
      <c r="S3494" s="51"/>
    </row>
    <row r="3495" spans="9:19" x14ac:dyDescent="0.25">
      <c r="I3495" s="1"/>
      <c r="J3495" s="71"/>
      <c r="M3495" s="46"/>
      <c r="R3495" s="51"/>
      <c r="S3495" s="51"/>
    </row>
    <row r="3496" spans="9:19" x14ac:dyDescent="0.25">
      <c r="I3496" s="1"/>
      <c r="J3496" s="71"/>
      <c r="M3496" s="46"/>
      <c r="R3496" s="51"/>
      <c r="S3496" s="51"/>
    </row>
    <row r="3497" spans="9:19" x14ac:dyDescent="0.25">
      <c r="I3497" s="1"/>
      <c r="J3497" s="71"/>
      <c r="M3497" s="46"/>
      <c r="R3497" s="51"/>
      <c r="S3497" s="51"/>
    </row>
    <row r="3498" spans="9:19" x14ac:dyDescent="0.25">
      <c r="I3498" s="1"/>
      <c r="J3498" s="71"/>
      <c r="M3498" s="46"/>
      <c r="R3498" s="51"/>
      <c r="S3498" s="51"/>
    </row>
    <row r="3499" spans="9:19" x14ac:dyDescent="0.25">
      <c r="I3499" s="1"/>
      <c r="J3499" s="71"/>
      <c r="M3499" s="46"/>
      <c r="R3499" s="51"/>
      <c r="S3499" s="51"/>
    </row>
    <row r="3500" spans="9:19" x14ac:dyDescent="0.25">
      <c r="I3500" s="1"/>
      <c r="J3500" s="71"/>
      <c r="M3500" s="46"/>
      <c r="R3500" s="51"/>
      <c r="S3500" s="51"/>
    </row>
    <row r="3501" spans="9:19" x14ac:dyDescent="0.25">
      <c r="I3501" s="1"/>
      <c r="J3501" s="71"/>
      <c r="M3501" s="46"/>
      <c r="R3501" s="51"/>
      <c r="S3501" s="51"/>
    </row>
    <row r="3502" spans="9:19" x14ac:dyDescent="0.25">
      <c r="I3502" s="1"/>
      <c r="J3502" s="71"/>
      <c r="M3502" s="46"/>
      <c r="R3502" s="51"/>
      <c r="S3502" s="51"/>
    </row>
    <row r="3503" spans="9:19" x14ac:dyDescent="0.25">
      <c r="I3503" s="1"/>
      <c r="J3503" s="71"/>
      <c r="M3503" s="46"/>
      <c r="R3503" s="51"/>
      <c r="S3503" s="51"/>
    </row>
    <row r="3504" spans="9:19" x14ac:dyDescent="0.25">
      <c r="I3504" s="1"/>
      <c r="J3504" s="71"/>
      <c r="M3504" s="46"/>
      <c r="R3504" s="51"/>
      <c r="S3504" s="51"/>
    </row>
    <row r="3505" spans="9:19" x14ac:dyDescent="0.25">
      <c r="I3505" s="1"/>
      <c r="J3505" s="71"/>
      <c r="M3505" s="46"/>
      <c r="R3505" s="51"/>
      <c r="S3505" s="51"/>
    </row>
    <row r="3506" spans="9:19" x14ac:dyDescent="0.25">
      <c r="I3506" s="1"/>
      <c r="J3506" s="71"/>
      <c r="M3506" s="46"/>
      <c r="R3506" s="51"/>
      <c r="S3506" s="51"/>
    </row>
    <row r="3507" spans="9:19" x14ac:dyDescent="0.25">
      <c r="I3507" s="1"/>
      <c r="J3507" s="71"/>
      <c r="M3507" s="46"/>
      <c r="R3507" s="51"/>
      <c r="S3507" s="51"/>
    </row>
    <row r="3508" spans="9:19" x14ac:dyDescent="0.25">
      <c r="I3508" s="1"/>
      <c r="J3508" s="71"/>
      <c r="M3508" s="46"/>
      <c r="R3508" s="51"/>
      <c r="S3508" s="51"/>
    </row>
    <row r="3509" spans="9:19" x14ac:dyDescent="0.25">
      <c r="I3509" s="1"/>
      <c r="J3509" s="71"/>
      <c r="M3509" s="46"/>
      <c r="R3509" s="51"/>
      <c r="S3509" s="51"/>
    </row>
    <row r="3510" spans="9:19" x14ac:dyDescent="0.25">
      <c r="I3510" s="1"/>
      <c r="J3510" s="71"/>
      <c r="M3510" s="46"/>
      <c r="R3510" s="51"/>
      <c r="S3510" s="51"/>
    </row>
    <row r="3511" spans="9:19" x14ac:dyDescent="0.25">
      <c r="I3511" s="1"/>
      <c r="J3511" s="71"/>
      <c r="M3511" s="46"/>
      <c r="R3511" s="51"/>
      <c r="S3511" s="51"/>
    </row>
    <row r="3512" spans="9:19" x14ac:dyDescent="0.25">
      <c r="I3512" s="1"/>
      <c r="J3512" s="71"/>
      <c r="M3512" s="46"/>
      <c r="R3512" s="51"/>
      <c r="S3512" s="51"/>
    </row>
    <row r="3513" spans="9:19" x14ac:dyDescent="0.25">
      <c r="I3513" s="1"/>
      <c r="J3513" s="71"/>
      <c r="M3513" s="46"/>
      <c r="R3513" s="51"/>
      <c r="S3513" s="51"/>
    </row>
    <row r="3514" spans="9:19" x14ac:dyDescent="0.25">
      <c r="I3514" s="1"/>
      <c r="J3514" s="71"/>
      <c r="M3514" s="46"/>
      <c r="R3514" s="51"/>
      <c r="S3514" s="51"/>
    </row>
    <row r="3515" spans="9:19" x14ac:dyDescent="0.25">
      <c r="I3515" s="1"/>
      <c r="J3515" s="71"/>
      <c r="M3515" s="46"/>
      <c r="R3515" s="51"/>
      <c r="S3515" s="51"/>
    </row>
    <row r="3516" spans="9:19" x14ac:dyDescent="0.25">
      <c r="I3516" s="1"/>
      <c r="J3516" s="71"/>
      <c r="M3516" s="46"/>
      <c r="R3516" s="51"/>
      <c r="S3516" s="51"/>
    </row>
    <row r="3517" spans="9:19" x14ac:dyDescent="0.25">
      <c r="I3517" s="1"/>
      <c r="J3517" s="71"/>
      <c r="M3517" s="46"/>
      <c r="R3517" s="51"/>
      <c r="S3517" s="51"/>
    </row>
    <row r="3518" spans="9:19" x14ac:dyDescent="0.25">
      <c r="I3518" s="1"/>
      <c r="J3518" s="71"/>
      <c r="M3518" s="46"/>
      <c r="R3518" s="51"/>
      <c r="S3518" s="51"/>
    </row>
    <row r="3519" spans="9:19" x14ac:dyDescent="0.25">
      <c r="I3519" s="1"/>
      <c r="J3519" s="71"/>
      <c r="M3519" s="46"/>
      <c r="R3519" s="51"/>
      <c r="S3519" s="51"/>
    </row>
    <row r="3520" spans="9:19" x14ac:dyDescent="0.25">
      <c r="I3520" s="1"/>
      <c r="J3520" s="71"/>
      <c r="M3520" s="46"/>
      <c r="R3520" s="51"/>
      <c r="S3520" s="51"/>
    </row>
    <row r="3521" spans="9:19" x14ac:dyDescent="0.25">
      <c r="I3521" s="1"/>
      <c r="J3521" s="71"/>
      <c r="M3521" s="46"/>
      <c r="R3521" s="51"/>
      <c r="S3521" s="51"/>
    </row>
    <row r="3522" spans="9:19" x14ac:dyDescent="0.25">
      <c r="I3522" s="1"/>
      <c r="J3522" s="71"/>
      <c r="M3522" s="46"/>
      <c r="R3522" s="51"/>
      <c r="S3522" s="51"/>
    </row>
    <row r="3523" spans="9:19" x14ac:dyDescent="0.25">
      <c r="I3523" s="1"/>
      <c r="J3523" s="71"/>
      <c r="M3523" s="46"/>
      <c r="R3523" s="51"/>
      <c r="S3523" s="51"/>
    </row>
    <row r="3524" spans="9:19" x14ac:dyDescent="0.25">
      <c r="I3524" s="1"/>
      <c r="J3524" s="71"/>
      <c r="M3524" s="46"/>
      <c r="R3524" s="51"/>
      <c r="S3524" s="51"/>
    </row>
    <row r="3525" spans="9:19" x14ac:dyDescent="0.25">
      <c r="I3525" s="1"/>
      <c r="J3525" s="71"/>
      <c r="M3525" s="46"/>
      <c r="R3525" s="51"/>
      <c r="S3525" s="51"/>
    </row>
    <row r="3526" spans="9:19" x14ac:dyDescent="0.25">
      <c r="I3526" s="1"/>
      <c r="J3526" s="71"/>
      <c r="M3526" s="46"/>
      <c r="R3526" s="51"/>
      <c r="S3526" s="51"/>
    </row>
    <row r="3527" spans="9:19" x14ac:dyDescent="0.25">
      <c r="I3527" s="1"/>
      <c r="J3527" s="71"/>
      <c r="M3527" s="46"/>
      <c r="R3527" s="51"/>
      <c r="S3527" s="51"/>
    </row>
    <row r="3528" spans="9:19" x14ac:dyDescent="0.25">
      <c r="I3528" s="1"/>
      <c r="J3528" s="71"/>
      <c r="M3528" s="46"/>
      <c r="R3528" s="51"/>
      <c r="S3528" s="51"/>
    </row>
    <row r="3529" spans="9:19" x14ac:dyDescent="0.25">
      <c r="I3529" s="1"/>
      <c r="J3529" s="71"/>
      <c r="M3529" s="46"/>
      <c r="R3529" s="51"/>
      <c r="S3529" s="51"/>
    </row>
    <row r="3530" spans="9:19" x14ac:dyDescent="0.25">
      <c r="I3530" s="1"/>
      <c r="J3530" s="71"/>
      <c r="M3530" s="46"/>
      <c r="R3530" s="51"/>
      <c r="S3530" s="51"/>
    </row>
    <row r="3531" spans="9:19" x14ac:dyDescent="0.25">
      <c r="I3531" s="1"/>
      <c r="J3531" s="71"/>
      <c r="M3531" s="46"/>
      <c r="R3531" s="51"/>
      <c r="S3531" s="51"/>
    </row>
    <row r="3532" spans="9:19" x14ac:dyDescent="0.25">
      <c r="I3532" s="1"/>
      <c r="J3532" s="71"/>
      <c r="M3532" s="46"/>
      <c r="R3532" s="51"/>
      <c r="S3532" s="51"/>
    </row>
    <row r="3533" spans="9:19" x14ac:dyDescent="0.25">
      <c r="I3533" s="1"/>
      <c r="J3533" s="71"/>
      <c r="M3533" s="46"/>
      <c r="R3533" s="51"/>
      <c r="S3533" s="51"/>
    </row>
    <row r="3534" spans="9:19" x14ac:dyDescent="0.25">
      <c r="I3534" s="1"/>
      <c r="J3534" s="71"/>
      <c r="M3534" s="46"/>
      <c r="R3534" s="51"/>
      <c r="S3534" s="51"/>
    </row>
    <row r="3535" spans="9:19" x14ac:dyDescent="0.25">
      <c r="I3535" s="1"/>
      <c r="J3535" s="71"/>
      <c r="M3535" s="46"/>
      <c r="R3535" s="51"/>
      <c r="S3535" s="51"/>
    </row>
    <row r="3536" spans="9:19" x14ac:dyDescent="0.25">
      <c r="I3536" s="1"/>
      <c r="J3536" s="71"/>
      <c r="M3536" s="46"/>
      <c r="R3536" s="51"/>
      <c r="S3536" s="51"/>
    </row>
    <row r="3537" spans="9:19" x14ac:dyDescent="0.25">
      <c r="I3537" s="1"/>
      <c r="J3537" s="71"/>
      <c r="M3537" s="46"/>
      <c r="R3537" s="51"/>
      <c r="S3537" s="51"/>
    </row>
    <row r="3538" spans="9:19" x14ac:dyDescent="0.25">
      <c r="I3538" s="1"/>
      <c r="J3538" s="71"/>
      <c r="M3538" s="46"/>
      <c r="R3538" s="51"/>
      <c r="S3538" s="51"/>
    </row>
    <row r="3539" spans="9:19" x14ac:dyDescent="0.25">
      <c r="I3539" s="1"/>
      <c r="J3539" s="71"/>
      <c r="M3539" s="46"/>
      <c r="R3539" s="51"/>
      <c r="S3539" s="51"/>
    </row>
    <row r="3540" spans="9:19" x14ac:dyDescent="0.25">
      <c r="I3540" s="1"/>
      <c r="J3540" s="71"/>
      <c r="M3540" s="46"/>
      <c r="R3540" s="51"/>
      <c r="S3540" s="51"/>
    </row>
    <row r="3541" spans="9:19" x14ac:dyDescent="0.25">
      <c r="I3541" s="1"/>
      <c r="J3541" s="71"/>
      <c r="M3541" s="46"/>
      <c r="R3541" s="51"/>
      <c r="S3541" s="51"/>
    </row>
    <row r="3542" spans="9:19" x14ac:dyDescent="0.25">
      <c r="I3542" s="1"/>
      <c r="J3542" s="71"/>
      <c r="M3542" s="46"/>
      <c r="R3542" s="51"/>
      <c r="S3542" s="51"/>
    </row>
    <row r="3543" spans="9:19" x14ac:dyDescent="0.25">
      <c r="I3543" s="1"/>
      <c r="J3543" s="71"/>
      <c r="M3543" s="46"/>
      <c r="R3543" s="51"/>
      <c r="S3543" s="51"/>
    </row>
    <row r="3544" spans="9:19" x14ac:dyDescent="0.25">
      <c r="I3544" s="1"/>
      <c r="J3544" s="71"/>
      <c r="M3544" s="46"/>
      <c r="R3544" s="51"/>
      <c r="S3544" s="51"/>
    </row>
    <row r="3545" spans="9:19" x14ac:dyDescent="0.25">
      <c r="I3545" s="1"/>
      <c r="J3545" s="71"/>
      <c r="M3545" s="46"/>
      <c r="R3545" s="51"/>
      <c r="S3545" s="51"/>
    </row>
    <row r="3546" spans="9:19" x14ac:dyDescent="0.25">
      <c r="I3546" s="1"/>
      <c r="J3546" s="71"/>
      <c r="M3546" s="46"/>
      <c r="R3546" s="51"/>
      <c r="S3546" s="51"/>
    </row>
    <row r="3547" spans="9:19" x14ac:dyDescent="0.25">
      <c r="I3547" s="1"/>
      <c r="J3547" s="71"/>
      <c r="M3547" s="46"/>
      <c r="R3547" s="51"/>
      <c r="S3547" s="51"/>
    </row>
    <row r="3548" spans="9:19" x14ac:dyDescent="0.25">
      <c r="I3548" s="1"/>
      <c r="J3548" s="71"/>
      <c r="M3548" s="46"/>
      <c r="R3548" s="51"/>
      <c r="S3548" s="51"/>
    </row>
    <row r="3549" spans="9:19" x14ac:dyDescent="0.25">
      <c r="I3549" s="1"/>
      <c r="J3549" s="71"/>
      <c r="M3549" s="46"/>
      <c r="R3549" s="51"/>
      <c r="S3549" s="51"/>
    </row>
    <row r="3550" spans="9:19" x14ac:dyDescent="0.25">
      <c r="I3550" s="1"/>
      <c r="J3550" s="71"/>
      <c r="M3550" s="46"/>
      <c r="R3550" s="51"/>
      <c r="S3550" s="51"/>
    </row>
    <row r="3551" spans="9:19" x14ac:dyDescent="0.25">
      <c r="I3551" s="1"/>
      <c r="J3551" s="71"/>
      <c r="M3551" s="46"/>
      <c r="R3551" s="51"/>
      <c r="S3551" s="51"/>
    </row>
    <row r="3552" spans="9:19" x14ac:dyDescent="0.25">
      <c r="I3552" s="1"/>
      <c r="J3552" s="71"/>
      <c r="M3552" s="46"/>
      <c r="R3552" s="51"/>
      <c r="S3552" s="51"/>
    </row>
    <row r="3553" spans="9:19" x14ac:dyDescent="0.25">
      <c r="I3553" s="1"/>
      <c r="J3553" s="71"/>
      <c r="M3553" s="46"/>
      <c r="R3553" s="51"/>
      <c r="S3553" s="51"/>
    </row>
    <row r="3554" spans="9:19" x14ac:dyDescent="0.25">
      <c r="I3554" s="1"/>
      <c r="J3554" s="71"/>
      <c r="M3554" s="46"/>
      <c r="R3554" s="51"/>
      <c r="S3554" s="51"/>
    </row>
    <row r="3555" spans="9:19" x14ac:dyDescent="0.25">
      <c r="I3555" s="1"/>
      <c r="J3555" s="71"/>
      <c r="M3555" s="46"/>
      <c r="R3555" s="51"/>
      <c r="S3555" s="51"/>
    </row>
    <row r="3556" spans="9:19" x14ac:dyDescent="0.25">
      <c r="I3556" s="1"/>
      <c r="J3556" s="71"/>
      <c r="M3556" s="46"/>
      <c r="R3556" s="51"/>
      <c r="S3556" s="51"/>
    </row>
    <row r="3557" spans="9:19" x14ac:dyDescent="0.25">
      <c r="I3557" s="1"/>
      <c r="J3557" s="71"/>
      <c r="M3557" s="46"/>
      <c r="R3557" s="51"/>
      <c r="S3557" s="51"/>
    </row>
    <row r="3558" spans="9:19" x14ac:dyDescent="0.25">
      <c r="I3558" s="1"/>
      <c r="J3558" s="71"/>
      <c r="M3558" s="46"/>
      <c r="R3558" s="51"/>
      <c r="S3558" s="51"/>
    </row>
    <row r="3559" spans="9:19" x14ac:dyDescent="0.25">
      <c r="I3559" s="1"/>
      <c r="J3559" s="71"/>
      <c r="M3559" s="46"/>
      <c r="R3559" s="51"/>
      <c r="S3559" s="51"/>
    </row>
    <row r="3560" spans="9:19" x14ac:dyDescent="0.25">
      <c r="I3560" s="1"/>
      <c r="J3560" s="71"/>
      <c r="M3560" s="46"/>
      <c r="R3560" s="51"/>
      <c r="S3560" s="51"/>
    </row>
    <row r="3561" spans="9:19" x14ac:dyDescent="0.25">
      <c r="I3561" s="1"/>
      <c r="J3561" s="71"/>
      <c r="M3561" s="46"/>
      <c r="R3561" s="51"/>
      <c r="S3561" s="51"/>
    </row>
    <row r="3562" spans="9:19" x14ac:dyDescent="0.25">
      <c r="I3562" s="1"/>
      <c r="J3562" s="71"/>
      <c r="M3562" s="46"/>
      <c r="R3562" s="51"/>
      <c r="S3562" s="51"/>
    </row>
    <row r="3563" spans="9:19" x14ac:dyDescent="0.25">
      <c r="I3563" s="1"/>
      <c r="J3563" s="71"/>
      <c r="M3563" s="46"/>
      <c r="R3563" s="51"/>
      <c r="S3563" s="51"/>
    </row>
    <row r="3564" spans="9:19" x14ac:dyDescent="0.25">
      <c r="I3564" s="1"/>
      <c r="J3564" s="71"/>
      <c r="M3564" s="46"/>
      <c r="R3564" s="51"/>
      <c r="S3564" s="51"/>
    </row>
    <row r="3565" spans="9:19" x14ac:dyDescent="0.25">
      <c r="I3565" s="1"/>
      <c r="J3565" s="71"/>
      <c r="M3565" s="46"/>
      <c r="R3565" s="51"/>
      <c r="S3565" s="51"/>
    </row>
    <row r="3566" spans="9:19" x14ac:dyDescent="0.25">
      <c r="I3566" s="1"/>
      <c r="J3566" s="71"/>
      <c r="M3566" s="46"/>
      <c r="R3566" s="51"/>
      <c r="S3566" s="51"/>
    </row>
    <row r="3567" spans="9:19" x14ac:dyDescent="0.25">
      <c r="I3567" s="1"/>
      <c r="J3567" s="71"/>
      <c r="M3567" s="46"/>
      <c r="R3567" s="51"/>
      <c r="S3567" s="51"/>
    </row>
    <row r="3568" spans="9:19" x14ac:dyDescent="0.25">
      <c r="I3568" s="1"/>
      <c r="J3568" s="71"/>
      <c r="M3568" s="46"/>
      <c r="R3568" s="51"/>
      <c r="S3568" s="51"/>
    </row>
    <row r="3569" spans="9:19" x14ac:dyDescent="0.25">
      <c r="I3569" s="1"/>
      <c r="J3569" s="71"/>
      <c r="M3569" s="46"/>
      <c r="R3569" s="51"/>
      <c r="S3569" s="51"/>
    </row>
    <row r="3570" spans="9:19" x14ac:dyDescent="0.25">
      <c r="I3570" s="1"/>
      <c r="J3570" s="71"/>
      <c r="M3570" s="46"/>
      <c r="R3570" s="51"/>
      <c r="S3570" s="51"/>
    </row>
    <row r="3571" spans="9:19" x14ac:dyDescent="0.25">
      <c r="I3571" s="1"/>
      <c r="J3571" s="71"/>
      <c r="M3571" s="46"/>
      <c r="R3571" s="51"/>
      <c r="S3571" s="51"/>
    </row>
    <row r="3572" spans="9:19" x14ac:dyDescent="0.25">
      <c r="I3572" s="1"/>
      <c r="J3572" s="71"/>
      <c r="M3572" s="46"/>
      <c r="R3572" s="51"/>
      <c r="S3572" s="51"/>
    </row>
    <row r="3573" spans="9:19" x14ac:dyDescent="0.25">
      <c r="I3573" s="1"/>
      <c r="J3573" s="71"/>
      <c r="M3573" s="46"/>
      <c r="R3573" s="51"/>
      <c r="S3573" s="51"/>
    </row>
    <row r="3574" spans="9:19" x14ac:dyDescent="0.25">
      <c r="I3574" s="1"/>
      <c r="J3574" s="71"/>
      <c r="M3574" s="46"/>
      <c r="R3574" s="51"/>
      <c r="S3574" s="51"/>
    </row>
    <row r="3575" spans="9:19" x14ac:dyDescent="0.25">
      <c r="I3575" s="1"/>
      <c r="J3575" s="71"/>
      <c r="M3575" s="46"/>
      <c r="R3575" s="51"/>
      <c r="S3575" s="51"/>
    </row>
    <row r="3576" spans="9:19" x14ac:dyDescent="0.25">
      <c r="I3576" s="1"/>
      <c r="J3576" s="71"/>
      <c r="M3576" s="46"/>
      <c r="R3576" s="51"/>
      <c r="S3576" s="51"/>
    </row>
    <row r="3577" spans="9:19" x14ac:dyDescent="0.25">
      <c r="I3577" s="1"/>
      <c r="J3577" s="71"/>
      <c r="M3577" s="46"/>
      <c r="R3577" s="51"/>
      <c r="S3577" s="51"/>
    </row>
    <row r="3578" spans="9:19" x14ac:dyDescent="0.25">
      <c r="I3578" s="1"/>
      <c r="J3578" s="71"/>
      <c r="M3578" s="46"/>
      <c r="R3578" s="51"/>
      <c r="S3578" s="51"/>
    </row>
    <row r="3579" spans="9:19" x14ac:dyDescent="0.25">
      <c r="I3579" s="1"/>
      <c r="J3579" s="71"/>
      <c r="M3579" s="46"/>
      <c r="R3579" s="51"/>
      <c r="S3579" s="51"/>
    </row>
    <row r="3580" spans="9:19" x14ac:dyDescent="0.25">
      <c r="I3580" s="1"/>
      <c r="J3580" s="71"/>
      <c r="M3580" s="46"/>
      <c r="R3580" s="51"/>
      <c r="S3580" s="51"/>
    </row>
    <row r="3581" spans="9:19" x14ac:dyDescent="0.25">
      <c r="I3581" s="1"/>
      <c r="J3581" s="71"/>
      <c r="M3581" s="46"/>
      <c r="R3581" s="51"/>
      <c r="S3581" s="51"/>
    </row>
    <row r="3582" spans="9:19" x14ac:dyDescent="0.25">
      <c r="I3582" s="1"/>
      <c r="J3582" s="71"/>
      <c r="M3582" s="46"/>
      <c r="R3582" s="51"/>
      <c r="S3582" s="51"/>
    </row>
    <row r="3583" spans="9:19" x14ac:dyDescent="0.25">
      <c r="I3583" s="1"/>
      <c r="J3583" s="71"/>
      <c r="M3583" s="46"/>
      <c r="R3583" s="51"/>
      <c r="S3583" s="51"/>
    </row>
    <row r="3584" spans="9:19" x14ac:dyDescent="0.25">
      <c r="I3584" s="1"/>
      <c r="J3584" s="71"/>
      <c r="M3584" s="46"/>
      <c r="R3584" s="51"/>
      <c r="S3584" s="51"/>
    </row>
    <row r="3585" spans="9:19" x14ac:dyDescent="0.25">
      <c r="I3585" s="1"/>
      <c r="J3585" s="71"/>
      <c r="M3585" s="46"/>
      <c r="R3585" s="51"/>
      <c r="S3585" s="51"/>
    </row>
    <row r="3586" spans="9:19" x14ac:dyDescent="0.25">
      <c r="I3586" s="1"/>
      <c r="J3586" s="71"/>
      <c r="M3586" s="46"/>
      <c r="R3586" s="51"/>
      <c r="S3586" s="51"/>
    </row>
    <row r="3587" spans="9:19" x14ac:dyDescent="0.25">
      <c r="I3587" s="1"/>
      <c r="J3587" s="71"/>
      <c r="M3587" s="46"/>
      <c r="R3587" s="51"/>
      <c r="S3587" s="51"/>
    </row>
    <row r="3588" spans="9:19" x14ac:dyDescent="0.25">
      <c r="I3588" s="1"/>
      <c r="J3588" s="71"/>
      <c r="M3588" s="46"/>
      <c r="R3588" s="51"/>
      <c r="S3588" s="51"/>
    </row>
    <row r="3589" spans="9:19" x14ac:dyDescent="0.25">
      <c r="I3589" s="1"/>
      <c r="J3589" s="71"/>
      <c r="M3589" s="46"/>
      <c r="R3589" s="51"/>
      <c r="S3589" s="51"/>
    </row>
    <row r="3590" spans="9:19" x14ac:dyDescent="0.25">
      <c r="I3590" s="1"/>
      <c r="J3590" s="71"/>
      <c r="M3590" s="46"/>
      <c r="R3590" s="51"/>
      <c r="S3590" s="51"/>
    </row>
    <row r="3591" spans="9:19" x14ac:dyDescent="0.25">
      <c r="I3591" s="1"/>
      <c r="J3591" s="71"/>
      <c r="M3591" s="46"/>
      <c r="R3591" s="51"/>
      <c r="S3591" s="51"/>
    </row>
    <row r="3592" spans="9:19" x14ac:dyDescent="0.25">
      <c r="I3592" s="1"/>
      <c r="J3592" s="71"/>
      <c r="M3592" s="46"/>
      <c r="R3592" s="51"/>
      <c r="S3592" s="51"/>
    </row>
    <row r="3593" spans="9:19" x14ac:dyDescent="0.25">
      <c r="I3593" s="1"/>
      <c r="J3593" s="71"/>
      <c r="M3593" s="46"/>
      <c r="R3593" s="51"/>
      <c r="S3593" s="51"/>
    </row>
    <row r="3594" spans="9:19" x14ac:dyDescent="0.25">
      <c r="I3594" s="1"/>
      <c r="J3594" s="71"/>
      <c r="M3594" s="46"/>
      <c r="R3594" s="51"/>
      <c r="S3594" s="51"/>
    </row>
    <row r="3595" spans="9:19" x14ac:dyDescent="0.25">
      <c r="I3595" s="1"/>
      <c r="J3595" s="71"/>
      <c r="M3595" s="46"/>
      <c r="R3595" s="51"/>
      <c r="S3595" s="51"/>
    </row>
    <row r="3596" spans="9:19" x14ac:dyDescent="0.25">
      <c r="I3596" s="1"/>
      <c r="J3596" s="71"/>
      <c r="M3596" s="46"/>
      <c r="R3596" s="51"/>
      <c r="S3596" s="51"/>
    </row>
    <row r="3597" spans="9:19" x14ac:dyDescent="0.25">
      <c r="I3597" s="1"/>
      <c r="J3597" s="71"/>
      <c r="M3597" s="46"/>
      <c r="R3597" s="51"/>
      <c r="S3597" s="51"/>
    </row>
    <row r="3598" spans="9:19" x14ac:dyDescent="0.25">
      <c r="I3598" s="1"/>
      <c r="J3598" s="71"/>
      <c r="M3598" s="46"/>
      <c r="R3598" s="51"/>
      <c r="S3598" s="51"/>
    </row>
    <row r="3599" spans="9:19" x14ac:dyDescent="0.25">
      <c r="I3599" s="1"/>
      <c r="J3599" s="71"/>
      <c r="M3599" s="46"/>
      <c r="R3599" s="51"/>
      <c r="S3599" s="51"/>
    </row>
    <row r="3600" spans="9:19" x14ac:dyDescent="0.25">
      <c r="I3600" s="1"/>
      <c r="J3600" s="71"/>
      <c r="M3600" s="46"/>
      <c r="R3600" s="51"/>
      <c r="S3600" s="51"/>
    </row>
    <row r="3601" spans="9:19" x14ac:dyDescent="0.25">
      <c r="I3601" s="1"/>
      <c r="J3601" s="71"/>
      <c r="M3601" s="46"/>
      <c r="R3601" s="51"/>
      <c r="S3601" s="51"/>
    </row>
    <row r="3602" spans="9:19" x14ac:dyDescent="0.25">
      <c r="I3602" s="1"/>
      <c r="J3602" s="71"/>
      <c r="M3602" s="46"/>
      <c r="R3602" s="51"/>
      <c r="S3602" s="51"/>
    </row>
    <row r="3603" spans="9:19" x14ac:dyDescent="0.25">
      <c r="I3603" s="1"/>
      <c r="J3603" s="71"/>
      <c r="M3603" s="46"/>
      <c r="R3603" s="51"/>
      <c r="S3603" s="51"/>
    </row>
    <row r="3604" spans="9:19" x14ac:dyDescent="0.25">
      <c r="I3604" s="1"/>
      <c r="J3604" s="71"/>
      <c r="M3604" s="46"/>
      <c r="R3604" s="51"/>
      <c r="S3604" s="51"/>
    </row>
    <row r="3605" spans="9:19" x14ac:dyDescent="0.25">
      <c r="I3605" s="1"/>
      <c r="J3605" s="71"/>
      <c r="M3605" s="46"/>
      <c r="R3605" s="51"/>
      <c r="S3605" s="51"/>
    </row>
    <row r="3606" spans="9:19" x14ac:dyDescent="0.25">
      <c r="I3606" s="1"/>
      <c r="J3606" s="71"/>
      <c r="M3606" s="46"/>
      <c r="R3606" s="51"/>
      <c r="S3606" s="51"/>
    </row>
    <row r="3607" spans="9:19" x14ac:dyDescent="0.25">
      <c r="I3607" s="1"/>
      <c r="J3607" s="71"/>
      <c r="M3607" s="46"/>
      <c r="R3607" s="51"/>
      <c r="S3607" s="51"/>
    </row>
    <row r="3608" spans="9:19" x14ac:dyDescent="0.25">
      <c r="I3608" s="1"/>
      <c r="J3608" s="71"/>
      <c r="M3608" s="46"/>
      <c r="R3608" s="51"/>
      <c r="S3608" s="51"/>
    </row>
    <row r="3609" spans="9:19" x14ac:dyDescent="0.25">
      <c r="I3609" s="1"/>
      <c r="J3609" s="71"/>
      <c r="M3609" s="46"/>
      <c r="R3609" s="51"/>
      <c r="S3609" s="51"/>
    </row>
    <row r="3610" spans="9:19" x14ac:dyDescent="0.25">
      <c r="I3610" s="1"/>
      <c r="J3610" s="71"/>
      <c r="M3610" s="46"/>
      <c r="R3610" s="51"/>
      <c r="S3610" s="51"/>
    </row>
    <row r="3611" spans="9:19" x14ac:dyDescent="0.25">
      <c r="I3611" s="1"/>
      <c r="J3611" s="71"/>
      <c r="M3611" s="46"/>
      <c r="R3611" s="51"/>
      <c r="S3611" s="51"/>
    </row>
    <row r="3612" spans="9:19" x14ac:dyDescent="0.25">
      <c r="I3612" s="1"/>
      <c r="J3612" s="71"/>
      <c r="M3612" s="46"/>
      <c r="R3612" s="51"/>
      <c r="S3612" s="51"/>
    </row>
    <row r="3613" spans="9:19" x14ac:dyDescent="0.25">
      <c r="I3613" s="1"/>
      <c r="J3613" s="71"/>
      <c r="M3613" s="46"/>
      <c r="R3613" s="51"/>
      <c r="S3613" s="51"/>
    </row>
    <row r="3614" spans="9:19" x14ac:dyDescent="0.25">
      <c r="I3614" s="1"/>
      <c r="J3614" s="71"/>
      <c r="M3614" s="46"/>
      <c r="R3614" s="51"/>
      <c r="S3614" s="51"/>
    </row>
    <row r="3615" spans="9:19" x14ac:dyDescent="0.25">
      <c r="I3615" s="1"/>
      <c r="J3615" s="71"/>
      <c r="M3615" s="46"/>
      <c r="R3615" s="51"/>
      <c r="S3615" s="51"/>
    </row>
    <row r="3616" spans="9:19" x14ac:dyDescent="0.25">
      <c r="I3616" s="1"/>
      <c r="J3616" s="71"/>
      <c r="M3616" s="46"/>
      <c r="R3616" s="51"/>
      <c r="S3616" s="51"/>
    </row>
    <row r="3617" spans="9:19" x14ac:dyDescent="0.25">
      <c r="I3617" s="1"/>
      <c r="J3617" s="71"/>
      <c r="M3617" s="46"/>
      <c r="R3617" s="51"/>
      <c r="S3617" s="51"/>
    </row>
    <row r="3618" spans="9:19" x14ac:dyDescent="0.25">
      <c r="I3618" s="1"/>
      <c r="J3618" s="71"/>
      <c r="M3618" s="46"/>
      <c r="R3618" s="51"/>
      <c r="S3618" s="51"/>
    </row>
    <row r="3619" spans="9:19" x14ac:dyDescent="0.25">
      <c r="I3619" s="1"/>
      <c r="J3619" s="71"/>
      <c r="M3619" s="46"/>
      <c r="R3619" s="51"/>
      <c r="S3619" s="51"/>
    </row>
    <row r="3620" spans="9:19" x14ac:dyDescent="0.25">
      <c r="I3620" s="1"/>
      <c r="J3620" s="71"/>
      <c r="M3620" s="46"/>
      <c r="R3620" s="51"/>
      <c r="S3620" s="51"/>
    </row>
    <row r="3621" spans="9:19" x14ac:dyDescent="0.25">
      <c r="I3621" s="1"/>
      <c r="J3621" s="71"/>
      <c r="M3621" s="46"/>
      <c r="R3621" s="51"/>
      <c r="S3621" s="51"/>
    </row>
    <row r="3622" spans="9:19" x14ac:dyDescent="0.25">
      <c r="I3622" s="1"/>
      <c r="J3622" s="71"/>
      <c r="M3622" s="46"/>
      <c r="R3622" s="51"/>
      <c r="S3622" s="51"/>
    </row>
    <row r="3623" spans="9:19" x14ac:dyDescent="0.25">
      <c r="I3623" s="1"/>
      <c r="J3623" s="71"/>
      <c r="M3623" s="46"/>
      <c r="R3623" s="51"/>
      <c r="S3623" s="51"/>
    </row>
    <row r="3624" spans="9:19" x14ac:dyDescent="0.25">
      <c r="I3624" s="1"/>
      <c r="J3624" s="71"/>
      <c r="M3624" s="46"/>
      <c r="R3624" s="51"/>
      <c r="S3624" s="51"/>
    </row>
    <row r="3625" spans="9:19" x14ac:dyDescent="0.25">
      <c r="I3625" s="1"/>
      <c r="J3625" s="71"/>
      <c r="M3625" s="46"/>
      <c r="R3625" s="51"/>
      <c r="S3625" s="51"/>
    </row>
    <row r="3626" spans="9:19" x14ac:dyDescent="0.25">
      <c r="I3626" s="1"/>
      <c r="J3626" s="71"/>
      <c r="M3626" s="46"/>
      <c r="R3626" s="51"/>
      <c r="S3626" s="51"/>
    </row>
    <row r="3627" spans="9:19" x14ac:dyDescent="0.25">
      <c r="I3627" s="1"/>
      <c r="J3627" s="71"/>
      <c r="M3627" s="46"/>
      <c r="R3627" s="51"/>
      <c r="S3627" s="51"/>
    </row>
    <row r="3628" spans="9:19" x14ac:dyDescent="0.25">
      <c r="I3628" s="1"/>
      <c r="J3628" s="71"/>
      <c r="M3628" s="46"/>
      <c r="R3628" s="51"/>
      <c r="S3628" s="51"/>
    </row>
    <row r="3629" spans="9:19" x14ac:dyDescent="0.25">
      <c r="I3629" s="1"/>
      <c r="J3629" s="71"/>
      <c r="M3629" s="46"/>
      <c r="R3629" s="51"/>
      <c r="S3629" s="51"/>
    </row>
    <row r="3630" spans="9:19" x14ac:dyDescent="0.25">
      <c r="I3630" s="1"/>
      <c r="J3630" s="71"/>
      <c r="M3630" s="46"/>
      <c r="R3630" s="51"/>
      <c r="S3630" s="51"/>
    </row>
    <row r="3631" spans="9:19" x14ac:dyDescent="0.25">
      <c r="I3631" s="1"/>
      <c r="J3631" s="71"/>
      <c r="M3631" s="46"/>
      <c r="R3631" s="51"/>
      <c r="S3631" s="51"/>
    </row>
    <row r="3632" spans="9:19" x14ac:dyDescent="0.25">
      <c r="I3632" s="1"/>
      <c r="J3632" s="71"/>
      <c r="M3632" s="46"/>
      <c r="R3632" s="51"/>
      <c r="S3632" s="51"/>
    </row>
    <row r="3633" spans="9:19" x14ac:dyDescent="0.25">
      <c r="I3633" s="1"/>
      <c r="J3633" s="71"/>
      <c r="M3633" s="46"/>
      <c r="R3633" s="51"/>
      <c r="S3633" s="51"/>
    </row>
    <row r="3634" spans="9:19" x14ac:dyDescent="0.25">
      <c r="I3634" s="1"/>
      <c r="J3634" s="71"/>
      <c r="M3634" s="46"/>
      <c r="R3634" s="51"/>
      <c r="S3634" s="51"/>
    </row>
    <row r="3635" spans="9:19" x14ac:dyDescent="0.25">
      <c r="I3635" s="1"/>
      <c r="J3635" s="71"/>
      <c r="M3635" s="46"/>
      <c r="R3635" s="51"/>
      <c r="S3635" s="51"/>
    </row>
    <row r="3636" spans="9:19" x14ac:dyDescent="0.25">
      <c r="I3636" s="1"/>
      <c r="J3636" s="71"/>
      <c r="M3636" s="46"/>
      <c r="R3636" s="51"/>
      <c r="S3636" s="51"/>
    </row>
    <row r="3637" spans="9:19" x14ac:dyDescent="0.25">
      <c r="I3637" s="1"/>
      <c r="J3637" s="71"/>
      <c r="M3637" s="46"/>
      <c r="R3637" s="51"/>
      <c r="S3637" s="51"/>
    </row>
    <row r="3638" spans="9:19" x14ac:dyDescent="0.25">
      <c r="I3638" s="1"/>
      <c r="J3638" s="71"/>
      <c r="M3638" s="46"/>
      <c r="R3638" s="51"/>
      <c r="S3638" s="51"/>
    </row>
    <row r="3639" spans="9:19" x14ac:dyDescent="0.25">
      <c r="I3639" s="1"/>
      <c r="J3639" s="71"/>
      <c r="M3639" s="46"/>
      <c r="R3639" s="51"/>
      <c r="S3639" s="51"/>
    </row>
    <row r="3640" spans="9:19" x14ac:dyDescent="0.25">
      <c r="I3640" s="1"/>
      <c r="J3640" s="71"/>
      <c r="M3640" s="46"/>
      <c r="R3640" s="51"/>
      <c r="S3640" s="51"/>
    </row>
    <row r="3641" spans="9:19" x14ac:dyDescent="0.25">
      <c r="I3641" s="1"/>
      <c r="J3641" s="71"/>
      <c r="M3641" s="46"/>
      <c r="R3641" s="51"/>
      <c r="S3641" s="51"/>
    </row>
    <row r="3642" spans="9:19" x14ac:dyDescent="0.25">
      <c r="I3642" s="1"/>
      <c r="J3642" s="71"/>
      <c r="M3642" s="46"/>
      <c r="R3642" s="51"/>
      <c r="S3642" s="51"/>
    </row>
    <row r="3643" spans="9:19" x14ac:dyDescent="0.25">
      <c r="I3643" s="1"/>
      <c r="J3643" s="71"/>
      <c r="M3643" s="46"/>
      <c r="R3643" s="51"/>
      <c r="S3643" s="51"/>
    </row>
    <row r="3644" spans="9:19" x14ac:dyDescent="0.25">
      <c r="I3644" s="1"/>
      <c r="J3644" s="71"/>
      <c r="M3644" s="46"/>
      <c r="R3644" s="51"/>
      <c r="S3644" s="51"/>
    </row>
    <row r="3645" spans="9:19" x14ac:dyDescent="0.25">
      <c r="I3645" s="1"/>
      <c r="J3645" s="71"/>
      <c r="M3645" s="46"/>
      <c r="R3645" s="51"/>
      <c r="S3645" s="51"/>
    </row>
    <row r="3646" spans="9:19" x14ac:dyDescent="0.25">
      <c r="I3646" s="1"/>
      <c r="J3646" s="71"/>
      <c r="M3646" s="46"/>
      <c r="R3646" s="51"/>
      <c r="S3646" s="51"/>
    </row>
    <row r="3647" spans="9:19" x14ac:dyDescent="0.25">
      <c r="I3647" s="1"/>
      <c r="J3647" s="71"/>
      <c r="M3647" s="46"/>
      <c r="R3647" s="51"/>
      <c r="S3647" s="51"/>
    </row>
    <row r="3648" spans="9:19" x14ac:dyDescent="0.25">
      <c r="I3648" s="1"/>
      <c r="J3648" s="71"/>
      <c r="M3648" s="46"/>
      <c r="R3648" s="51"/>
      <c r="S3648" s="51"/>
    </row>
    <row r="3649" spans="9:19" x14ac:dyDescent="0.25">
      <c r="I3649" s="1"/>
      <c r="J3649" s="71"/>
      <c r="M3649" s="46"/>
      <c r="R3649" s="51"/>
      <c r="S3649" s="51"/>
    </row>
    <row r="3650" spans="9:19" x14ac:dyDescent="0.25">
      <c r="I3650" s="1"/>
      <c r="J3650" s="71"/>
      <c r="M3650" s="46"/>
      <c r="R3650" s="51"/>
      <c r="S3650" s="51"/>
    </row>
    <row r="3651" spans="9:19" x14ac:dyDescent="0.25">
      <c r="I3651" s="1"/>
      <c r="J3651" s="71"/>
      <c r="M3651" s="46"/>
      <c r="R3651" s="51"/>
      <c r="S3651" s="51"/>
    </row>
    <row r="3652" spans="9:19" x14ac:dyDescent="0.25">
      <c r="I3652" s="1"/>
      <c r="J3652" s="71"/>
      <c r="M3652" s="46"/>
      <c r="R3652" s="51"/>
      <c r="S3652" s="51"/>
    </row>
    <row r="3653" spans="9:19" x14ac:dyDescent="0.25">
      <c r="I3653" s="1"/>
      <c r="J3653" s="71"/>
      <c r="M3653" s="46"/>
      <c r="R3653" s="51"/>
      <c r="S3653" s="51"/>
    </row>
    <row r="3654" spans="9:19" x14ac:dyDescent="0.25">
      <c r="I3654" s="1"/>
      <c r="J3654" s="71"/>
      <c r="M3654" s="46"/>
      <c r="R3654" s="51"/>
      <c r="S3654" s="51"/>
    </row>
    <row r="3655" spans="9:19" x14ac:dyDescent="0.25">
      <c r="I3655" s="1"/>
      <c r="J3655" s="71"/>
      <c r="M3655" s="46"/>
      <c r="R3655" s="51"/>
      <c r="S3655" s="51"/>
    </row>
    <row r="3656" spans="9:19" x14ac:dyDescent="0.25">
      <c r="I3656" s="1"/>
      <c r="J3656" s="71"/>
      <c r="M3656" s="46"/>
      <c r="R3656" s="51"/>
      <c r="S3656" s="51"/>
    </row>
    <row r="3657" spans="9:19" x14ac:dyDescent="0.25">
      <c r="I3657" s="1"/>
      <c r="J3657" s="71"/>
      <c r="M3657" s="46"/>
      <c r="R3657" s="51"/>
      <c r="S3657" s="51"/>
    </row>
    <row r="3658" spans="9:19" x14ac:dyDescent="0.25">
      <c r="I3658" s="1"/>
      <c r="J3658" s="71"/>
      <c r="M3658" s="46"/>
      <c r="R3658" s="51"/>
      <c r="S3658" s="51"/>
    </row>
    <row r="3659" spans="9:19" x14ac:dyDescent="0.25">
      <c r="I3659" s="1"/>
      <c r="J3659" s="71"/>
      <c r="M3659" s="46"/>
      <c r="R3659" s="51"/>
      <c r="S3659" s="51"/>
    </row>
    <row r="3660" spans="9:19" x14ac:dyDescent="0.25">
      <c r="I3660" s="1"/>
      <c r="J3660" s="71"/>
      <c r="M3660" s="46"/>
      <c r="R3660" s="51"/>
      <c r="S3660" s="51"/>
    </row>
    <row r="3661" spans="9:19" x14ac:dyDescent="0.25">
      <c r="I3661" s="1"/>
      <c r="J3661" s="71"/>
      <c r="M3661" s="46"/>
      <c r="R3661" s="51"/>
      <c r="S3661" s="51"/>
    </row>
    <row r="3662" spans="9:19" x14ac:dyDescent="0.25">
      <c r="I3662" s="1"/>
      <c r="J3662" s="71"/>
      <c r="M3662" s="46"/>
      <c r="R3662" s="51"/>
      <c r="S3662" s="51"/>
    </row>
    <row r="3663" spans="9:19" x14ac:dyDescent="0.25">
      <c r="I3663" s="1"/>
      <c r="J3663" s="71"/>
      <c r="M3663" s="46"/>
      <c r="R3663" s="51"/>
      <c r="S3663" s="51"/>
    </row>
    <row r="3664" spans="9:19" x14ac:dyDescent="0.25">
      <c r="I3664" s="1"/>
      <c r="J3664" s="71"/>
      <c r="M3664" s="46"/>
      <c r="R3664" s="51"/>
      <c r="S3664" s="51"/>
    </row>
    <row r="3665" spans="9:19" x14ac:dyDescent="0.25">
      <c r="I3665" s="1"/>
      <c r="J3665" s="71"/>
      <c r="M3665" s="46"/>
      <c r="R3665" s="51"/>
      <c r="S3665" s="51"/>
    </row>
    <row r="3666" spans="9:19" x14ac:dyDescent="0.25">
      <c r="I3666" s="1"/>
      <c r="J3666" s="71"/>
      <c r="M3666" s="46"/>
      <c r="R3666" s="51"/>
      <c r="S3666" s="51"/>
    </row>
    <row r="3667" spans="9:19" x14ac:dyDescent="0.25">
      <c r="I3667" s="1"/>
      <c r="J3667" s="71"/>
      <c r="M3667" s="46"/>
      <c r="R3667" s="51"/>
      <c r="S3667" s="51"/>
    </row>
    <row r="3668" spans="9:19" x14ac:dyDescent="0.25">
      <c r="I3668" s="1"/>
      <c r="J3668" s="71"/>
      <c r="M3668" s="46"/>
      <c r="R3668" s="51"/>
      <c r="S3668" s="51"/>
    </row>
    <row r="3669" spans="9:19" x14ac:dyDescent="0.25">
      <c r="I3669" s="1"/>
      <c r="J3669" s="71"/>
      <c r="M3669" s="46"/>
      <c r="R3669" s="51"/>
      <c r="S3669" s="51"/>
    </row>
    <row r="3670" spans="9:19" x14ac:dyDescent="0.25">
      <c r="I3670" s="1"/>
      <c r="J3670" s="71"/>
      <c r="M3670" s="46"/>
      <c r="R3670" s="51"/>
      <c r="S3670" s="51"/>
    </row>
    <row r="3671" spans="9:19" x14ac:dyDescent="0.25">
      <c r="I3671" s="1"/>
      <c r="J3671" s="71"/>
      <c r="M3671" s="46"/>
      <c r="R3671" s="51"/>
      <c r="S3671" s="51"/>
    </row>
    <row r="3672" spans="9:19" x14ac:dyDescent="0.25">
      <c r="I3672" s="1"/>
      <c r="J3672" s="71"/>
      <c r="M3672" s="46"/>
      <c r="R3672" s="51"/>
      <c r="S3672" s="51"/>
    </row>
    <row r="3673" spans="9:19" x14ac:dyDescent="0.25">
      <c r="I3673" s="1"/>
      <c r="J3673" s="71"/>
      <c r="M3673" s="46"/>
      <c r="R3673" s="51"/>
      <c r="S3673" s="51"/>
    </row>
    <row r="3674" spans="9:19" x14ac:dyDescent="0.25">
      <c r="I3674" s="1"/>
      <c r="J3674" s="71"/>
      <c r="M3674" s="46"/>
      <c r="R3674" s="51"/>
      <c r="S3674" s="51"/>
    </row>
    <row r="3675" spans="9:19" x14ac:dyDescent="0.25">
      <c r="I3675" s="1"/>
      <c r="J3675" s="71"/>
      <c r="M3675" s="46"/>
      <c r="R3675" s="51"/>
      <c r="S3675" s="51"/>
    </row>
    <row r="3676" spans="9:19" x14ac:dyDescent="0.25">
      <c r="I3676" s="1"/>
      <c r="J3676" s="71"/>
      <c r="M3676" s="46"/>
      <c r="R3676" s="51"/>
      <c r="S3676" s="51"/>
    </row>
    <row r="3677" spans="9:19" x14ac:dyDescent="0.25">
      <c r="I3677" s="1"/>
      <c r="J3677" s="71"/>
      <c r="M3677" s="46"/>
      <c r="R3677" s="51"/>
      <c r="S3677" s="51"/>
    </row>
    <row r="3678" spans="9:19" x14ac:dyDescent="0.25">
      <c r="I3678" s="1"/>
      <c r="J3678" s="71"/>
      <c r="M3678" s="46"/>
      <c r="R3678" s="51"/>
      <c r="S3678" s="51"/>
    </row>
    <row r="3679" spans="9:19" x14ac:dyDescent="0.25">
      <c r="I3679" s="1"/>
      <c r="J3679" s="71"/>
      <c r="M3679" s="46"/>
      <c r="R3679" s="51"/>
      <c r="S3679" s="51"/>
    </row>
    <row r="3680" spans="9:19" x14ac:dyDescent="0.25">
      <c r="I3680" s="1"/>
      <c r="J3680" s="71"/>
      <c r="M3680" s="46"/>
      <c r="R3680" s="51"/>
      <c r="S3680" s="51"/>
    </row>
    <row r="3681" spans="9:19" x14ac:dyDescent="0.25">
      <c r="I3681" s="1"/>
      <c r="J3681" s="71"/>
      <c r="M3681" s="46"/>
      <c r="R3681" s="51"/>
      <c r="S3681" s="51"/>
    </row>
    <row r="3682" spans="9:19" x14ac:dyDescent="0.25">
      <c r="I3682" s="1"/>
      <c r="J3682" s="71"/>
      <c r="M3682" s="46"/>
      <c r="R3682" s="51"/>
      <c r="S3682" s="51"/>
    </row>
    <row r="3683" spans="9:19" x14ac:dyDescent="0.25">
      <c r="I3683" s="1"/>
      <c r="J3683" s="71"/>
      <c r="M3683" s="46"/>
      <c r="R3683" s="51"/>
      <c r="S3683" s="51"/>
    </row>
    <row r="3684" spans="9:19" x14ac:dyDescent="0.25">
      <c r="I3684" s="1"/>
      <c r="J3684" s="71"/>
      <c r="M3684" s="46"/>
      <c r="R3684" s="51"/>
      <c r="S3684" s="51"/>
    </row>
    <row r="3685" spans="9:19" x14ac:dyDescent="0.25">
      <c r="I3685" s="1"/>
      <c r="J3685" s="71"/>
      <c r="M3685" s="46"/>
      <c r="R3685" s="51"/>
      <c r="S3685" s="51"/>
    </row>
    <row r="3686" spans="9:19" x14ac:dyDescent="0.25">
      <c r="I3686" s="1"/>
      <c r="J3686" s="71"/>
      <c r="M3686" s="46"/>
      <c r="R3686" s="51"/>
      <c r="S3686" s="51"/>
    </row>
    <row r="3687" spans="9:19" x14ac:dyDescent="0.25">
      <c r="I3687" s="1"/>
      <c r="J3687" s="71"/>
      <c r="M3687" s="46"/>
      <c r="R3687" s="51"/>
      <c r="S3687" s="51"/>
    </row>
    <row r="3688" spans="9:19" x14ac:dyDescent="0.25">
      <c r="I3688" s="1"/>
      <c r="J3688" s="71"/>
      <c r="M3688" s="46"/>
      <c r="R3688" s="51"/>
      <c r="S3688" s="51"/>
    </row>
    <row r="3689" spans="9:19" x14ac:dyDescent="0.25">
      <c r="I3689" s="1"/>
      <c r="J3689" s="71"/>
      <c r="M3689" s="46"/>
      <c r="R3689" s="51"/>
      <c r="S3689" s="51"/>
    </row>
    <row r="3690" spans="9:19" x14ac:dyDescent="0.25">
      <c r="I3690" s="1"/>
      <c r="J3690" s="71"/>
      <c r="M3690" s="46"/>
      <c r="R3690" s="51"/>
      <c r="S3690" s="51"/>
    </row>
    <row r="3691" spans="9:19" x14ac:dyDescent="0.25">
      <c r="I3691" s="1"/>
      <c r="J3691" s="71"/>
      <c r="M3691" s="46"/>
      <c r="R3691" s="51"/>
      <c r="S3691" s="51"/>
    </row>
    <row r="3692" spans="9:19" x14ac:dyDescent="0.25">
      <c r="I3692" s="1"/>
      <c r="J3692" s="71"/>
      <c r="M3692" s="46"/>
      <c r="R3692" s="51"/>
      <c r="S3692" s="51"/>
    </row>
    <row r="3693" spans="9:19" x14ac:dyDescent="0.25">
      <c r="I3693" s="1"/>
      <c r="J3693" s="71"/>
      <c r="M3693" s="46"/>
      <c r="R3693" s="51"/>
      <c r="S3693" s="51"/>
    </row>
    <row r="3694" spans="9:19" x14ac:dyDescent="0.25">
      <c r="I3694" s="1"/>
      <c r="J3694" s="71"/>
      <c r="M3694" s="46"/>
      <c r="R3694" s="51"/>
      <c r="S3694" s="51"/>
    </row>
    <row r="3695" spans="9:19" x14ac:dyDescent="0.25">
      <c r="I3695" s="1"/>
      <c r="J3695" s="71"/>
      <c r="M3695" s="46"/>
      <c r="R3695" s="51"/>
      <c r="S3695" s="51"/>
    </row>
    <row r="3696" spans="9:19" x14ac:dyDescent="0.25">
      <c r="I3696" s="1"/>
      <c r="J3696" s="71"/>
      <c r="M3696" s="46"/>
      <c r="R3696" s="51"/>
      <c r="S3696" s="51"/>
    </row>
    <row r="3697" spans="9:19" x14ac:dyDescent="0.25">
      <c r="I3697" s="1"/>
      <c r="J3697" s="71"/>
      <c r="M3697" s="46"/>
      <c r="R3697" s="51"/>
      <c r="S3697" s="51"/>
    </row>
    <row r="3698" spans="9:19" x14ac:dyDescent="0.25">
      <c r="I3698" s="1"/>
      <c r="J3698" s="71"/>
      <c r="M3698" s="46"/>
      <c r="R3698" s="51"/>
      <c r="S3698" s="51"/>
    </row>
    <row r="3699" spans="9:19" x14ac:dyDescent="0.25">
      <c r="I3699" s="1"/>
      <c r="J3699" s="71"/>
      <c r="M3699" s="46"/>
      <c r="R3699" s="51"/>
      <c r="S3699" s="51"/>
    </row>
    <row r="3700" spans="9:19" x14ac:dyDescent="0.25">
      <c r="I3700" s="1"/>
      <c r="J3700" s="71"/>
      <c r="M3700" s="46"/>
      <c r="R3700" s="51"/>
      <c r="S3700" s="51"/>
    </row>
    <row r="3701" spans="9:19" x14ac:dyDescent="0.25">
      <c r="I3701" s="1"/>
      <c r="J3701" s="71"/>
      <c r="M3701" s="46"/>
      <c r="R3701" s="51"/>
      <c r="S3701" s="51"/>
    </row>
    <row r="3702" spans="9:19" x14ac:dyDescent="0.25">
      <c r="I3702" s="1"/>
      <c r="J3702" s="71"/>
      <c r="M3702" s="46"/>
      <c r="R3702" s="51"/>
      <c r="S3702" s="51"/>
    </row>
    <row r="3703" spans="9:19" x14ac:dyDescent="0.25">
      <c r="I3703" s="1"/>
      <c r="J3703" s="71"/>
      <c r="M3703" s="46"/>
      <c r="R3703" s="51"/>
      <c r="S3703" s="51"/>
    </row>
    <row r="3704" spans="9:19" x14ac:dyDescent="0.25">
      <c r="I3704" s="1"/>
      <c r="J3704" s="71"/>
      <c r="M3704" s="46"/>
      <c r="R3704" s="51"/>
      <c r="S3704" s="51"/>
    </row>
    <row r="3705" spans="9:19" x14ac:dyDescent="0.25">
      <c r="I3705" s="1"/>
      <c r="J3705" s="71"/>
      <c r="M3705" s="46"/>
      <c r="R3705" s="51"/>
      <c r="S3705" s="51"/>
    </row>
    <row r="3706" spans="9:19" x14ac:dyDescent="0.25">
      <c r="I3706" s="1"/>
      <c r="J3706" s="71"/>
      <c r="M3706" s="46"/>
      <c r="R3706" s="51"/>
      <c r="S3706" s="51"/>
    </row>
    <row r="3707" spans="9:19" x14ac:dyDescent="0.25">
      <c r="I3707" s="1"/>
      <c r="J3707" s="71"/>
      <c r="M3707" s="46"/>
      <c r="R3707" s="51"/>
      <c r="S3707" s="51"/>
    </row>
    <row r="3708" spans="9:19" x14ac:dyDescent="0.25">
      <c r="I3708" s="1"/>
      <c r="J3708" s="71"/>
      <c r="M3708" s="46"/>
      <c r="R3708" s="51"/>
      <c r="S3708" s="51"/>
    </row>
    <row r="3709" spans="9:19" x14ac:dyDescent="0.25">
      <c r="I3709" s="1"/>
      <c r="J3709" s="71"/>
      <c r="M3709" s="46"/>
      <c r="R3709" s="51"/>
      <c r="S3709" s="51"/>
    </row>
    <row r="3710" spans="9:19" x14ac:dyDescent="0.25">
      <c r="I3710" s="1"/>
      <c r="J3710" s="71"/>
      <c r="M3710" s="46"/>
      <c r="R3710" s="51"/>
      <c r="S3710" s="51"/>
    </row>
    <row r="3711" spans="9:19" x14ac:dyDescent="0.25">
      <c r="I3711" s="1"/>
      <c r="J3711" s="71"/>
      <c r="M3711" s="46"/>
      <c r="R3711" s="51"/>
      <c r="S3711" s="51"/>
    </row>
    <row r="3712" spans="9:19" x14ac:dyDescent="0.25">
      <c r="I3712" s="1"/>
      <c r="J3712" s="71"/>
      <c r="M3712" s="46"/>
      <c r="R3712" s="51"/>
      <c r="S3712" s="51"/>
    </row>
    <row r="3713" spans="9:19" x14ac:dyDescent="0.25">
      <c r="I3713" s="1"/>
      <c r="J3713" s="71"/>
      <c r="M3713" s="46"/>
      <c r="R3713" s="51"/>
      <c r="S3713" s="51"/>
    </row>
    <row r="3714" spans="9:19" x14ac:dyDescent="0.25">
      <c r="I3714" s="1"/>
      <c r="J3714" s="71"/>
      <c r="M3714" s="46"/>
      <c r="R3714" s="51"/>
      <c r="S3714" s="51"/>
    </row>
    <row r="3715" spans="9:19" x14ac:dyDescent="0.25">
      <c r="I3715" s="1"/>
      <c r="J3715" s="71"/>
      <c r="M3715" s="46"/>
      <c r="R3715" s="51"/>
      <c r="S3715" s="51"/>
    </row>
    <row r="3716" spans="9:19" x14ac:dyDescent="0.25">
      <c r="I3716" s="1"/>
      <c r="J3716" s="71"/>
      <c r="M3716" s="46"/>
      <c r="R3716" s="51"/>
      <c r="S3716" s="51"/>
    </row>
    <row r="3717" spans="9:19" x14ac:dyDescent="0.25">
      <c r="I3717" s="1"/>
      <c r="J3717" s="71"/>
      <c r="M3717" s="46"/>
      <c r="R3717" s="51"/>
      <c r="S3717" s="51"/>
    </row>
    <row r="3718" spans="9:19" x14ac:dyDescent="0.25">
      <c r="I3718" s="1"/>
      <c r="J3718" s="71"/>
      <c r="M3718" s="46"/>
      <c r="R3718" s="51"/>
      <c r="S3718" s="51"/>
    </row>
    <row r="3719" spans="9:19" x14ac:dyDescent="0.25">
      <c r="I3719" s="1"/>
      <c r="J3719" s="71"/>
      <c r="M3719" s="46"/>
      <c r="R3719" s="51"/>
      <c r="S3719" s="51"/>
    </row>
    <row r="3720" spans="9:19" x14ac:dyDescent="0.25">
      <c r="I3720" s="1"/>
      <c r="J3720" s="71"/>
      <c r="M3720" s="46"/>
      <c r="R3720" s="51"/>
      <c r="S3720" s="51"/>
    </row>
    <row r="3721" spans="9:19" x14ac:dyDescent="0.25">
      <c r="I3721" s="1"/>
      <c r="J3721" s="71"/>
      <c r="M3721" s="46"/>
      <c r="R3721" s="51"/>
      <c r="S3721" s="51"/>
    </row>
    <row r="3722" spans="9:19" x14ac:dyDescent="0.25">
      <c r="I3722" s="1"/>
      <c r="J3722" s="71"/>
      <c r="M3722" s="46"/>
      <c r="R3722" s="51"/>
      <c r="S3722" s="51"/>
    </row>
    <row r="3723" spans="9:19" x14ac:dyDescent="0.25">
      <c r="I3723" s="1"/>
      <c r="J3723" s="71"/>
      <c r="M3723" s="46"/>
      <c r="R3723" s="51"/>
      <c r="S3723" s="51"/>
    </row>
    <row r="3724" spans="9:19" x14ac:dyDescent="0.25">
      <c r="I3724" s="1"/>
      <c r="J3724" s="71"/>
      <c r="M3724" s="46"/>
      <c r="R3724" s="51"/>
      <c r="S3724" s="51"/>
    </row>
    <row r="3725" spans="9:19" x14ac:dyDescent="0.25">
      <c r="I3725" s="1"/>
      <c r="J3725" s="71"/>
      <c r="M3725" s="46"/>
      <c r="R3725" s="51"/>
      <c r="S3725" s="51"/>
    </row>
    <row r="3726" spans="9:19" x14ac:dyDescent="0.25">
      <c r="I3726" s="1"/>
      <c r="J3726" s="71"/>
      <c r="M3726" s="46"/>
      <c r="R3726" s="51"/>
      <c r="S3726" s="51"/>
    </row>
    <row r="3727" spans="9:19" x14ac:dyDescent="0.25">
      <c r="I3727" s="1"/>
      <c r="J3727" s="71"/>
      <c r="M3727" s="46"/>
      <c r="R3727" s="51"/>
      <c r="S3727" s="51"/>
    </row>
    <row r="3728" spans="9:19" x14ac:dyDescent="0.25">
      <c r="I3728" s="1"/>
      <c r="J3728" s="71"/>
      <c r="M3728" s="46"/>
      <c r="R3728" s="51"/>
      <c r="S3728" s="51"/>
    </row>
    <row r="3729" spans="9:19" x14ac:dyDescent="0.25">
      <c r="I3729" s="1"/>
      <c r="J3729" s="71"/>
      <c r="M3729" s="46"/>
      <c r="R3729" s="51"/>
      <c r="S3729" s="51"/>
    </row>
    <row r="3730" spans="9:19" x14ac:dyDescent="0.25">
      <c r="I3730" s="1"/>
      <c r="J3730" s="71"/>
      <c r="M3730" s="46"/>
      <c r="R3730" s="51"/>
      <c r="S3730" s="51"/>
    </row>
    <row r="3731" spans="9:19" x14ac:dyDescent="0.25">
      <c r="I3731" s="1"/>
      <c r="J3731" s="71"/>
      <c r="M3731" s="46"/>
      <c r="R3731" s="51"/>
      <c r="S3731" s="51"/>
    </row>
    <row r="3732" spans="9:19" x14ac:dyDescent="0.25">
      <c r="I3732" s="1"/>
      <c r="J3732" s="71"/>
      <c r="M3732" s="46"/>
      <c r="R3732" s="51"/>
      <c r="S3732" s="51"/>
    </row>
    <row r="3733" spans="9:19" x14ac:dyDescent="0.25">
      <c r="I3733" s="1"/>
      <c r="J3733" s="71"/>
      <c r="M3733" s="46"/>
      <c r="R3733" s="51"/>
      <c r="S3733" s="51"/>
    </row>
    <row r="3734" spans="9:19" x14ac:dyDescent="0.25">
      <c r="I3734" s="1"/>
      <c r="J3734" s="71"/>
      <c r="M3734" s="46"/>
      <c r="R3734" s="51"/>
      <c r="S3734" s="51"/>
    </row>
    <row r="3735" spans="9:19" x14ac:dyDescent="0.25">
      <c r="I3735" s="1"/>
      <c r="J3735" s="71"/>
      <c r="M3735" s="46"/>
      <c r="R3735" s="51"/>
      <c r="S3735" s="51"/>
    </row>
    <row r="3736" spans="9:19" x14ac:dyDescent="0.25">
      <c r="I3736" s="1"/>
      <c r="J3736" s="71"/>
      <c r="M3736" s="46"/>
      <c r="R3736" s="51"/>
      <c r="S3736" s="51"/>
    </row>
    <row r="3737" spans="9:19" x14ac:dyDescent="0.25">
      <c r="I3737" s="1"/>
      <c r="J3737" s="71"/>
      <c r="M3737" s="46"/>
      <c r="R3737" s="51"/>
      <c r="S3737" s="51"/>
    </row>
    <row r="3738" spans="9:19" x14ac:dyDescent="0.25">
      <c r="I3738" s="1"/>
      <c r="J3738" s="71"/>
      <c r="M3738" s="46"/>
      <c r="R3738" s="51"/>
      <c r="S3738" s="51"/>
    </row>
    <row r="3739" spans="9:19" x14ac:dyDescent="0.25">
      <c r="I3739" s="1"/>
      <c r="J3739" s="71"/>
      <c r="M3739" s="46"/>
      <c r="R3739" s="51"/>
      <c r="S3739" s="51"/>
    </row>
    <row r="3740" spans="9:19" x14ac:dyDescent="0.25">
      <c r="I3740" s="1"/>
      <c r="J3740" s="71"/>
      <c r="M3740" s="46"/>
      <c r="R3740" s="51"/>
      <c r="S3740" s="51"/>
    </row>
    <row r="3741" spans="9:19" x14ac:dyDescent="0.25">
      <c r="I3741" s="1"/>
      <c r="J3741" s="71"/>
      <c r="M3741" s="46"/>
      <c r="R3741" s="51"/>
      <c r="S3741" s="51"/>
    </row>
    <row r="3742" spans="9:19" x14ac:dyDescent="0.25">
      <c r="I3742" s="1"/>
      <c r="J3742" s="71"/>
      <c r="M3742" s="46"/>
      <c r="R3742" s="51"/>
      <c r="S3742" s="51"/>
    </row>
    <row r="3743" spans="9:19" x14ac:dyDescent="0.25">
      <c r="I3743" s="1"/>
      <c r="J3743" s="71"/>
      <c r="M3743" s="46"/>
      <c r="R3743" s="51"/>
      <c r="S3743" s="51"/>
    </row>
    <row r="3744" spans="9:19" x14ac:dyDescent="0.25">
      <c r="I3744" s="1"/>
      <c r="J3744" s="71"/>
      <c r="M3744" s="46"/>
      <c r="R3744" s="51"/>
      <c r="S3744" s="51"/>
    </row>
    <row r="3745" spans="9:19" x14ac:dyDescent="0.25">
      <c r="I3745" s="1"/>
      <c r="J3745" s="71"/>
      <c r="M3745" s="46"/>
      <c r="R3745" s="51"/>
      <c r="S3745" s="51"/>
    </row>
    <row r="3746" spans="9:19" x14ac:dyDescent="0.25">
      <c r="I3746" s="1"/>
      <c r="J3746" s="71"/>
      <c r="M3746" s="46"/>
      <c r="R3746" s="51"/>
      <c r="S3746" s="51"/>
    </row>
    <row r="3747" spans="9:19" x14ac:dyDescent="0.25">
      <c r="I3747" s="1"/>
      <c r="J3747" s="71"/>
      <c r="M3747" s="46"/>
      <c r="R3747" s="51"/>
      <c r="S3747" s="51"/>
    </row>
    <row r="3748" spans="9:19" x14ac:dyDescent="0.25">
      <c r="I3748" s="1"/>
      <c r="J3748" s="71"/>
      <c r="M3748" s="46"/>
      <c r="R3748" s="51"/>
      <c r="S3748" s="51"/>
    </row>
    <row r="3749" spans="9:19" x14ac:dyDescent="0.25">
      <c r="I3749" s="1"/>
      <c r="J3749" s="71"/>
      <c r="M3749" s="46"/>
      <c r="R3749" s="51"/>
      <c r="S3749" s="51"/>
    </row>
    <row r="3750" spans="9:19" x14ac:dyDescent="0.25">
      <c r="I3750" s="1"/>
      <c r="J3750" s="71"/>
      <c r="M3750" s="46"/>
      <c r="R3750" s="51"/>
      <c r="S3750" s="51"/>
    </row>
    <row r="3751" spans="9:19" x14ac:dyDescent="0.25">
      <c r="I3751" s="1"/>
      <c r="J3751" s="71"/>
      <c r="M3751" s="46"/>
      <c r="R3751" s="51"/>
      <c r="S3751" s="51"/>
    </row>
    <row r="3752" spans="9:19" x14ac:dyDescent="0.25">
      <c r="I3752" s="1"/>
      <c r="J3752" s="71"/>
      <c r="M3752" s="46"/>
      <c r="R3752" s="51"/>
      <c r="S3752" s="51"/>
    </row>
    <row r="3753" spans="9:19" x14ac:dyDescent="0.25">
      <c r="I3753" s="1"/>
      <c r="J3753" s="71"/>
      <c r="M3753" s="46"/>
      <c r="R3753" s="51"/>
      <c r="S3753" s="51"/>
    </row>
    <row r="3754" spans="9:19" x14ac:dyDescent="0.25">
      <c r="I3754" s="1"/>
      <c r="J3754" s="71"/>
      <c r="M3754" s="46"/>
      <c r="R3754" s="51"/>
      <c r="S3754" s="51"/>
    </row>
    <row r="3755" spans="9:19" x14ac:dyDescent="0.25">
      <c r="I3755" s="1"/>
      <c r="J3755" s="71"/>
      <c r="M3755" s="46"/>
      <c r="R3755" s="51"/>
      <c r="S3755" s="51"/>
    </row>
    <row r="3756" spans="9:19" x14ac:dyDescent="0.25">
      <c r="I3756" s="1"/>
      <c r="J3756" s="71"/>
      <c r="M3756" s="46"/>
      <c r="R3756" s="51"/>
      <c r="S3756" s="51"/>
    </row>
    <row r="3757" spans="9:19" x14ac:dyDescent="0.25">
      <c r="I3757" s="1"/>
      <c r="J3757" s="71"/>
      <c r="M3757" s="46"/>
      <c r="R3757" s="51"/>
      <c r="S3757" s="51"/>
    </row>
    <row r="3758" spans="9:19" x14ac:dyDescent="0.25">
      <c r="I3758" s="1"/>
      <c r="J3758" s="71"/>
      <c r="M3758" s="46"/>
      <c r="R3758" s="51"/>
      <c r="S3758" s="51"/>
    </row>
    <row r="3759" spans="9:19" x14ac:dyDescent="0.25">
      <c r="I3759" s="1"/>
      <c r="J3759" s="71"/>
      <c r="M3759" s="46"/>
      <c r="R3759" s="51"/>
      <c r="S3759" s="51"/>
    </row>
    <row r="3760" spans="9:19" x14ac:dyDescent="0.25">
      <c r="I3760" s="1"/>
      <c r="J3760" s="71"/>
      <c r="M3760" s="46"/>
      <c r="R3760" s="51"/>
      <c r="S3760" s="51"/>
    </row>
    <row r="3761" spans="9:19" x14ac:dyDescent="0.25">
      <c r="I3761" s="1"/>
      <c r="J3761" s="71"/>
      <c r="M3761" s="46"/>
      <c r="R3761" s="51"/>
      <c r="S3761" s="51"/>
    </row>
    <row r="3762" spans="9:19" x14ac:dyDescent="0.25">
      <c r="I3762" s="1"/>
      <c r="J3762" s="71"/>
      <c r="M3762" s="46"/>
      <c r="R3762" s="51"/>
      <c r="S3762" s="51"/>
    </row>
    <row r="3763" spans="9:19" x14ac:dyDescent="0.25">
      <c r="I3763" s="1"/>
      <c r="J3763" s="71"/>
      <c r="M3763" s="46"/>
      <c r="R3763" s="51"/>
      <c r="S3763" s="51"/>
    </row>
    <row r="3764" spans="9:19" x14ac:dyDescent="0.25">
      <c r="I3764" s="1"/>
      <c r="J3764" s="71"/>
      <c r="M3764" s="46"/>
      <c r="R3764" s="51"/>
      <c r="S3764" s="51"/>
    </row>
    <row r="3765" spans="9:19" x14ac:dyDescent="0.25">
      <c r="I3765" s="1"/>
      <c r="J3765" s="71"/>
      <c r="M3765" s="46"/>
      <c r="R3765" s="51"/>
      <c r="S3765" s="51"/>
    </row>
    <row r="3766" spans="9:19" x14ac:dyDescent="0.25">
      <c r="I3766" s="1"/>
      <c r="J3766" s="71"/>
      <c r="M3766" s="46"/>
      <c r="R3766" s="51"/>
      <c r="S3766" s="51"/>
    </row>
    <row r="3767" spans="9:19" x14ac:dyDescent="0.25">
      <c r="I3767" s="1"/>
      <c r="J3767" s="71"/>
      <c r="M3767" s="46"/>
      <c r="R3767" s="51"/>
      <c r="S3767" s="51"/>
    </row>
    <row r="3768" spans="9:19" x14ac:dyDescent="0.25">
      <c r="I3768" s="1"/>
      <c r="J3768" s="71"/>
      <c r="M3768" s="46"/>
      <c r="R3768" s="51"/>
      <c r="S3768" s="51"/>
    </row>
    <row r="3769" spans="9:19" x14ac:dyDescent="0.25">
      <c r="I3769" s="1"/>
      <c r="J3769" s="71"/>
      <c r="M3769" s="46"/>
      <c r="R3769" s="51"/>
      <c r="S3769" s="51"/>
    </row>
    <row r="3770" spans="9:19" x14ac:dyDescent="0.25">
      <c r="I3770" s="1"/>
      <c r="J3770" s="71"/>
      <c r="M3770" s="46"/>
      <c r="R3770" s="51"/>
      <c r="S3770" s="51"/>
    </row>
    <row r="3771" spans="9:19" x14ac:dyDescent="0.25">
      <c r="I3771" s="1"/>
      <c r="J3771" s="71"/>
      <c r="M3771" s="46"/>
      <c r="R3771" s="51"/>
      <c r="S3771" s="51"/>
    </row>
    <row r="3772" spans="9:19" x14ac:dyDescent="0.25">
      <c r="I3772" s="1"/>
      <c r="J3772" s="71"/>
      <c r="M3772" s="46"/>
      <c r="R3772" s="51"/>
      <c r="S3772" s="51"/>
    </row>
    <row r="3773" spans="9:19" x14ac:dyDescent="0.25">
      <c r="I3773" s="1"/>
      <c r="J3773" s="71"/>
      <c r="M3773" s="46"/>
      <c r="R3773" s="51"/>
      <c r="S3773" s="51"/>
    </row>
    <row r="3774" spans="9:19" x14ac:dyDescent="0.25">
      <c r="I3774" s="1"/>
      <c r="J3774" s="71"/>
      <c r="M3774" s="46"/>
      <c r="R3774" s="51"/>
      <c r="S3774" s="51"/>
    </row>
    <row r="3775" spans="9:19" x14ac:dyDescent="0.25">
      <c r="I3775" s="1"/>
      <c r="J3775" s="71"/>
      <c r="M3775" s="46"/>
      <c r="R3775" s="51"/>
      <c r="S3775" s="51"/>
    </row>
    <row r="3776" spans="9:19" x14ac:dyDescent="0.25">
      <c r="I3776" s="1"/>
      <c r="J3776" s="71"/>
      <c r="M3776" s="46"/>
      <c r="R3776" s="51"/>
      <c r="S3776" s="51"/>
    </row>
    <row r="3777" spans="9:19" x14ac:dyDescent="0.25">
      <c r="I3777" s="1"/>
      <c r="J3777" s="71"/>
      <c r="M3777" s="46"/>
      <c r="R3777" s="51"/>
      <c r="S3777" s="51"/>
    </row>
    <row r="3778" spans="9:19" x14ac:dyDescent="0.25">
      <c r="I3778" s="1"/>
      <c r="J3778" s="71"/>
      <c r="M3778" s="46"/>
      <c r="R3778" s="51"/>
      <c r="S3778" s="51"/>
    </row>
    <row r="3779" spans="9:19" x14ac:dyDescent="0.25">
      <c r="I3779" s="1"/>
      <c r="J3779" s="71"/>
      <c r="M3779" s="46"/>
      <c r="R3779" s="51"/>
      <c r="S3779" s="51"/>
    </row>
    <row r="3780" spans="9:19" x14ac:dyDescent="0.25">
      <c r="I3780" s="1"/>
      <c r="J3780" s="71"/>
      <c r="M3780" s="46"/>
      <c r="R3780" s="51"/>
      <c r="S3780" s="51"/>
    </row>
    <row r="3781" spans="9:19" x14ac:dyDescent="0.25">
      <c r="I3781" s="1"/>
      <c r="J3781" s="71"/>
      <c r="M3781" s="46"/>
      <c r="R3781" s="51"/>
      <c r="S3781" s="51"/>
    </row>
    <row r="3782" spans="9:19" x14ac:dyDescent="0.25">
      <c r="I3782" s="1"/>
      <c r="J3782" s="71"/>
      <c r="M3782" s="46"/>
      <c r="R3782" s="51"/>
      <c r="S3782" s="51"/>
    </row>
    <row r="3783" spans="9:19" x14ac:dyDescent="0.25">
      <c r="I3783" s="1"/>
      <c r="J3783" s="71"/>
      <c r="M3783" s="46"/>
      <c r="R3783" s="51"/>
      <c r="S3783" s="51"/>
    </row>
    <row r="3784" spans="9:19" x14ac:dyDescent="0.25">
      <c r="I3784" s="1"/>
      <c r="J3784" s="71"/>
      <c r="M3784" s="46"/>
      <c r="R3784" s="51"/>
      <c r="S3784" s="51"/>
    </row>
    <row r="3785" spans="9:19" x14ac:dyDescent="0.25">
      <c r="I3785" s="1"/>
      <c r="J3785" s="71"/>
      <c r="M3785" s="46"/>
      <c r="R3785" s="51"/>
      <c r="S3785" s="51"/>
    </row>
    <row r="3786" spans="9:19" x14ac:dyDescent="0.25">
      <c r="I3786" s="1"/>
      <c r="J3786" s="71"/>
      <c r="M3786" s="46"/>
      <c r="R3786" s="51"/>
      <c r="S3786" s="51"/>
    </row>
    <row r="3787" spans="9:19" x14ac:dyDescent="0.25">
      <c r="I3787" s="1"/>
      <c r="J3787" s="71"/>
      <c r="M3787" s="46"/>
      <c r="R3787" s="51"/>
      <c r="S3787" s="51"/>
    </row>
    <row r="3788" spans="9:19" x14ac:dyDescent="0.25">
      <c r="I3788" s="1"/>
      <c r="J3788" s="71"/>
      <c r="M3788" s="46"/>
      <c r="R3788" s="51"/>
      <c r="S3788" s="51"/>
    </row>
    <row r="3789" spans="9:19" x14ac:dyDescent="0.25">
      <c r="I3789" s="1"/>
      <c r="J3789" s="71"/>
      <c r="M3789" s="46"/>
      <c r="R3789" s="51"/>
      <c r="S3789" s="51"/>
    </row>
    <row r="3790" spans="9:19" x14ac:dyDescent="0.25">
      <c r="I3790" s="1"/>
      <c r="J3790" s="71"/>
      <c r="M3790" s="46"/>
      <c r="R3790" s="51"/>
      <c r="S3790" s="51"/>
    </row>
    <row r="3791" spans="9:19" x14ac:dyDescent="0.25">
      <c r="I3791" s="1"/>
      <c r="J3791" s="71"/>
      <c r="M3791" s="46"/>
      <c r="R3791" s="51"/>
      <c r="S3791" s="51"/>
    </row>
    <row r="3792" spans="9:19" x14ac:dyDescent="0.25">
      <c r="I3792" s="1"/>
      <c r="J3792" s="71"/>
      <c r="M3792" s="46"/>
      <c r="R3792" s="51"/>
      <c r="S3792" s="51"/>
    </row>
    <row r="3793" spans="9:19" x14ac:dyDescent="0.25">
      <c r="I3793" s="1"/>
      <c r="J3793" s="71"/>
      <c r="M3793" s="46"/>
      <c r="R3793" s="51"/>
      <c r="S3793" s="51"/>
    </row>
    <row r="3794" spans="9:19" x14ac:dyDescent="0.25">
      <c r="I3794" s="1"/>
      <c r="J3794" s="71"/>
      <c r="M3794" s="46"/>
      <c r="R3794" s="51"/>
      <c r="S3794" s="51"/>
    </row>
    <row r="3795" spans="9:19" x14ac:dyDescent="0.25">
      <c r="I3795" s="1"/>
      <c r="J3795" s="71"/>
      <c r="M3795" s="46"/>
      <c r="R3795" s="51"/>
      <c r="S3795" s="51"/>
    </row>
    <row r="3796" spans="9:19" x14ac:dyDescent="0.25">
      <c r="I3796" s="1"/>
      <c r="J3796" s="71"/>
      <c r="M3796" s="46"/>
      <c r="R3796" s="51"/>
      <c r="S3796" s="51"/>
    </row>
    <row r="3797" spans="9:19" x14ac:dyDescent="0.25">
      <c r="I3797" s="1"/>
      <c r="J3797" s="71"/>
      <c r="M3797" s="46"/>
      <c r="R3797" s="51"/>
      <c r="S3797" s="51"/>
    </row>
    <row r="3798" spans="9:19" x14ac:dyDescent="0.25">
      <c r="I3798" s="1"/>
      <c r="J3798" s="71"/>
      <c r="M3798" s="46"/>
      <c r="R3798" s="51"/>
      <c r="S3798" s="51"/>
    </row>
    <row r="3799" spans="9:19" x14ac:dyDescent="0.25">
      <c r="I3799" s="1"/>
      <c r="J3799" s="71"/>
      <c r="M3799" s="46"/>
      <c r="R3799" s="51"/>
      <c r="S3799" s="51"/>
    </row>
    <row r="3800" spans="9:19" x14ac:dyDescent="0.25">
      <c r="I3800" s="1"/>
      <c r="J3800" s="71"/>
      <c r="M3800" s="46"/>
      <c r="R3800" s="51"/>
      <c r="S3800" s="51"/>
    </row>
    <row r="3801" spans="9:19" x14ac:dyDescent="0.25">
      <c r="I3801" s="1"/>
      <c r="J3801" s="71"/>
      <c r="M3801" s="46"/>
      <c r="R3801" s="51"/>
      <c r="S3801" s="51"/>
    </row>
    <row r="3802" spans="9:19" x14ac:dyDescent="0.25">
      <c r="I3802" s="1"/>
      <c r="J3802" s="71"/>
      <c r="M3802" s="46"/>
      <c r="R3802" s="51"/>
      <c r="S3802" s="51"/>
    </row>
    <row r="3803" spans="9:19" x14ac:dyDescent="0.25">
      <c r="I3803" s="1"/>
      <c r="J3803" s="71"/>
      <c r="M3803" s="46"/>
      <c r="R3803" s="51"/>
      <c r="S3803" s="51"/>
    </row>
    <row r="3804" spans="9:19" x14ac:dyDescent="0.25">
      <c r="I3804" s="1"/>
      <c r="J3804" s="71"/>
      <c r="M3804" s="46"/>
      <c r="R3804" s="51"/>
      <c r="S3804" s="51"/>
    </row>
    <row r="3805" spans="9:19" x14ac:dyDescent="0.25">
      <c r="I3805" s="1"/>
      <c r="J3805" s="71"/>
      <c r="M3805" s="46"/>
      <c r="R3805" s="51"/>
      <c r="S3805" s="51"/>
    </row>
    <row r="3806" spans="9:19" x14ac:dyDescent="0.25">
      <c r="I3806" s="1"/>
      <c r="J3806" s="71"/>
      <c r="M3806" s="46"/>
      <c r="R3806" s="51"/>
      <c r="S3806" s="51"/>
    </row>
    <row r="3807" spans="9:19" x14ac:dyDescent="0.25">
      <c r="I3807" s="1"/>
      <c r="J3807" s="71"/>
      <c r="M3807" s="46"/>
      <c r="R3807" s="51"/>
      <c r="S3807" s="51"/>
    </row>
    <row r="3808" spans="9:19" x14ac:dyDescent="0.25">
      <c r="I3808" s="1"/>
      <c r="J3808" s="71"/>
      <c r="M3808" s="46"/>
      <c r="R3808" s="51"/>
      <c r="S3808" s="51"/>
    </row>
    <row r="3809" spans="9:19" x14ac:dyDescent="0.25">
      <c r="I3809" s="1"/>
      <c r="J3809" s="71"/>
      <c r="M3809" s="46"/>
      <c r="R3809" s="51"/>
      <c r="S3809" s="51"/>
    </row>
    <row r="3810" spans="9:19" x14ac:dyDescent="0.25">
      <c r="I3810" s="1"/>
      <c r="J3810" s="71"/>
      <c r="M3810" s="46"/>
      <c r="R3810" s="51"/>
      <c r="S3810" s="51"/>
    </row>
    <row r="3811" spans="9:19" x14ac:dyDescent="0.25">
      <c r="I3811" s="1"/>
      <c r="J3811" s="71"/>
      <c r="M3811" s="46"/>
      <c r="R3811" s="51"/>
      <c r="S3811" s="51"/>
    </row>
    <row r="3812" spans="9:19" x14ac:dyDescent="0.25">
      <c r="I3812" s="1"/>
      <c r="J3812" s="71"/>
      <c r="M3812" s="46"/>
      <c r="R3812" s="51"/>
      <c r="S3812" s="51"/>
    </row>
    <row r="3813" spans="9:19" x14ac:dyDescent="0.25">
      <c r="I3813" s="1"/>
      <c r="J3813" s="71"/>
      <c r="M3813" s="46"/>
      <c r="R3813" s="51"/>
      <c r="S3813" s="51"/>
    </row>
    <row r="3814" spans="9:19" x14ac:dyDescent="0.25">
      <c r="I3814" s="1"/>
      <c r="J3814" s="71"/>
      <c r="M3814" s="46"/>
      <c r="R3814" s="51"/>
      <c r="S3814" s="51"/>
    </row>
    <row r="3815" spans="9:19" x14ac:dyDescent="0.25">
      <c r="I3815" s="1"/>
      <c r="J3815" s="71"/>
      <c r="M3815" s="46"/>
      <c r="R3815" s="51"/>
      <c r="S3815" s="51"/>
    </row>
    <row r="3816" spans="9:19" x14ac:dyDescent="0.25">
      <c r="I3816" s="1"/>
      <c r="J3816" s="71"/>
      <c r="M3816" s="46"/>
      <c r="R3816" s="51"/>
      <c r="S3816" s="51"/>
    </row>
    <row r="3817" spans="9:19" x14ac:dyDescent="0.25">
      <c r="I3817" s="1"/>
      <c r="J3817" s="71"/>
      <c r="M3817" s="46"/>
      <c r="R3817" s="51"/>
      <c r="S3817" s="51"/>
    </row>
    <row r="3818" spans="9:19" x14ac:dyDescent="0.25">
      <c r="I3818" s="1"/>
      <c r="J3818" s="71"/>
      <c r="M3818" s="46"/>
      <c r="R3818" s="51"/>
      <c r="S3818" s="51"/>
    </row>
    <row r="3819" spans="9:19" x14ac:dyDescent="0.25">
      <c r="I3819" s="1"/>
      <c r="J3819" s="71"/>
      <c r="M3819" s="46"/>
      <c r="R3819" s="51"/>
      <c r="S3819" s="51"/>
    </row>
    <row r="3820" spans="9:19" x14ac:dyDescent="0.25">
      <c r="I3820" s="1"/>
      <c r="J3820" s="71"/>
      <c r="M3820" s="46"/>
      <c r="R3820" s="51"/>
      <c r="S3820" s="51"/>
    </row>
    <row r="3821" spans="9:19" x14ac:dyDescent="0.25">
      <c r="I3821" s="1"/>
      <c r="J3821" s="71"/>
      <c r="M3821" s="46"/>
      <c r="R3821" s="51"/>
      <c r="S3821" s="51"/>
    </row>
    <row r="3822" spans="9:19" x14ac:dyDescent="0.25">
      <c r="I3822" s="1"/>
      <c r="J3822" s="71"/>
      <c r="M3822" s="46"/>
      <c r="R3822" s="51"/>
      <c r="S3822" s="51"/>
    </row>
    <row r="3823" spans="9:19" x14ac:dyDescent="0.25">
      <c r="I3823" s="1"/>
      <c r="J3823" s="71"/>
      <c r="M3823" s="46"/>
      <c r="R3823" s="51"/>
      <c r="S3823" s="51"/>
    </row>
    <row r="3824" spans="9:19" x14ac:dyDescent="0.25">
      <c r="I3824" s="1"/>
      <c r="J3824" s="71"/>
      <c r="M3824" s="46"/>
      <c r="R3824" s="51"/>
      <c r="S3824" s="51"/>
    </row>
    <row r="3825" spans="9:19" x14ac:dyDescent="0.25">
      <c r="I3825" s="1"/>
      <c r="J3825" s="71"/>
      <c r="M3825" s="46"/>
      <c r="R3825" s="51"/>
      <c r="S3825" s="51"/>
    </row>
    <row r="3826" spans="9:19" x14ac:dyDescent="0.25">
      <c r="I3826" s="1"/>
      <c r="J3826" s="71"/>
      <c r="M3826" s="46"/>
      <c r="R3826" s="51"/>
      <c r="S3826" s="51"/>
    </row>
    <row r="3827" spans="9:19" x14ac:dyDescent="0.25">
      <c r="I3827" s="1"/>
      <c r="J3827" s="71"/>
      <c r="M3827" s="46"/>
      <c r="R3827" s="51"/>
      <c r="S3827" s="51"/>
    </row>
    <row r="3828" spans="9:19" x14ac:dyDescent="0.25">
      <c r="I3828" s="1"/>
      <c r="J3828" s="71"/>
      <c r="M3828" s="46"/>
      <c r="R3828" s="51"/>
      <c r="S3828" s="51"/>
    </row>
    <row r="3829" spans="9:19" x14ac:dyDescent="0.25">
      <c r="I3829" s="1"/>
      <c r="J3829" s="71"/>
      <c r="M3829" s="46"/>
      <c r="R3829" s="51"/>
      <c r="S3829" s="51"/>
    </row>
    <row r="3830" spans="9:19" x14ac:dyDescent="0.25">
      <c r="I3830" s="1"/>
      <c r="J3830" s="71"/>
      <c r="M3830" s="46"/>
      <c r="R3830" s="51"/>
      <c r="S3830" s="51"/>
    </row>
    <row r="3831" spans="9:19" x14ac:dyDescent="0.25">
      <c r="I3831" s="1"/>
      <c r="J3831" s="71"/>
      <c r="M3831" s="46"/>
      <c r="R3831" s="51"/>
      <c r="S3831" s="51"/>
    </row>
    <row r="3832" spans="9:19" x14ac:dyDescent="0.25">
      <c r="I3832" s="1"/>
      <c r="J3832" s="71"/>
      <c r="M3832" s="46"/>
      <c r="R3832" s="51"/>
      <c r="S3832" s="51"/>
    </row>
    <row r="3833" spans="9:19" x14ac:dyDescent="0.25">
      <c r="I3833" s="1"/>
      <c r="J3833" s="71"/>
      <c r="M3833" s="46"/>
      <c r="R3833" s="51"/>
      <c r="S3833" s="51"/>
    </row>
    <row r="3834" spans="9:19" x14ac:dyDescent="0.25">
      <c r="I3834" s="1"/>
      <c r="J3834" s="71"/>
      <c r="M3834" s="46"/>
      <c r="R3834" s="51"/>
      <c r="S3834" s="51"/>
    </row>
    <row r="3835" spans="9:19" x14ac:dyDescent="0.25">
      <c r="I3835" s="1"/>
      <c r="J3835" s="71"/>
      <c r="M3835" s="46"/>
      <c r="R3835" s="51"/>
      <c r="S3835" s="51"/>
    </row>
    <row r="3836" spans="9:19" x14ac:dyDescent="0.25">
      <c r="I3836" s="1"/>
      <c r="J3836" s="71"/>
      <c r="M3836" s="46"/>
      <c r="R3836" s="51"/>
      <c r="S3836" s="51"/>
    </row>
    <row r="3837" spans="9:19" x14ac:dyDescent="0.25">
      <c r="I3837" s="1"/>
      <c r="J3837" s="71"/>
      <c r="M3837" s="46"/>
      <c r="R3837" s="51"/>
      <c r="S3837" s="51"/>
    </row>
    <row r="3838" spans="9:19" x14ac:dyDescent="0.25">
      <c r="I3838" s="1"/>
      <c r="J3838" s="71"/>
      <c r="M3838" s="46"/>
      <c r="R3838" s="51"/>
      <c r="S3838" s="51"/>
    </row>
    <row r="3839" spans="9:19" x14ac:dyDescent="0.25">
      <c r="I3839" s="1"/>
      <c r="J3839" s="71"/>
      <c r="M3839" s="46"/>
      <c r="R3839" s="51"/>
      <c r="S3839" s="51"/>
    </row>
    <row r="3840" spans="9:19" x14ac:dyDescent="0.25">
      <c r="I3840" s="1"/>
      <c r="J3840" s="71"/>
      <c r="M3840" s="46"/>
      <c r="R3840" s="51"/>
      <c r="S3840" s="51"/>
    </row>
    <row r="3841" spans="9:19" x14ac:dyDescent="0.25">
      <c r="I3841" s="1"/>
      <c r="J3841" s="71"/>
      <c r="M3841" s="46"/>
      <c r="R3841" s="51"/>
      <c r="S3841" s="51"/>
    </row>
    <row r="3842" spans="9:19" x14ac:dyDescent="0.25">
      <c r="I3842" s="1"/>
      <c r="J3842" s="71"/>
      <c r="M3842" s="46"/>
      <c r="R3842" s="51"/>
      <c r="S3842" s="51"/>
    </row>
    <row r="3843" spans="9:19" x14ac:dyDescent="0.25">
      <c r="I3843" s="1"/>
      <c r="J3843" s="71"/>
      <c r="M3843" s="46"/>
      <c r="R3843" s="51"/>
      <c r="S3843" s="51"/>
    </row>
    <row r="3844" spans="9:19" x14ac:dyDescent="0.25">
      <c r="I3844" s="1"/>
      <c r="J3844" s="71"/>
      <c r="M3844" s="46"/>
      <c r="R3844" s="51"/>
      <c r="S3844" s="51"/>
    </row>
    <row r="3845" spans="9:19" x14ac:dyDescent="0.25">
      <c r="I3845" s="1"/>
      <c r="J3845" s="71"/>
      <c r="M3845" s="46"/>
      <c r="R3845" s="51"/>
      <c r="S3845" s="51"/>
    </row>
    <row r="3846" spans="9:19" x14ac:dyDescent="0.25">
      <c r="I3846" s="1"/>
      <c r="J3846" s="71"/>
      <c r="M3846" s="46"/>
      <c r="R3846" s="51"/>
      <c r="S3846" s="51"/>
    </row>
    <row r="3847" spans="9:19" x14ac:dyDescent="0.25">
      <c r="I3847" s="1"/>
      <c r="J3847" s="71"/>
      <c r="M3847" s="46"/>
      <c r="R3847" s="51"/>
      <c r="S3847" s="51"/>
    </row>
    <row r="3848" spans="9:19" x14ac:dyDescent="0.25">
      <c r="I3848" s="1"/>
      <c r="J3848" s="71"/>
      <c r="M3848" s="46"/>
      <c r="R3848" s="51"/>
      <c r="S3848" s="51"/>
    </row>
    <row r="3849" spans="9:19" x14ac:dyDescent="0.25">
      <c r="I3849" s="1"/>
      <c r="J3849" s="71"/>
      <c r="M3849" s="46"/>
      <c r="R3849" s="51"/>
      <c r="S3849" s="51"/>
    </row>
    <row r="3850" spans="9:19" x14ac:dyDescent="0.25">
      <c r="I3850" s="1"/>
      <c r="J3850" s="71"/>
      <c r="M3850" s="46"/>
      <c r="R3850" s="51"/>
      <c r="S3850" s="51"/>
    </row>
    <row r="3851" spans="9:19" x14ac:dyDescent="0.25">
      <c r="I3851" s="1"/>
      <c r="J3851" s="71"/>
      <c r="M3851" s="46"/>
      <c r="R3851" s="51"/>
      <c r="S3851" s="51"/>
    </row>
    <row r="3852" spans="9:19" x14ac:dyDescent="0.25">
      <c r="I3852" s="1"/>
      <c r="J3852" s="71"/>
      <c r="M3852" s="46"/>
      <c r="R3852" s="51"/>
      <c r="S3852" s="51"/>
    </row>
    <row r="3853" spans="9:19" x14ac:dyDescent="0.25">
      <c r="I3853" s="1"/>
      <c r="J3853" s="71"/>
      <c r="M3853" s="46"/>
      <c r="R3853" s="51"/>
      <c r="S3853" s="51"/>
    </row>
    <row r="3854" spans="9:19" x14ac:dyDescent="0.25">
      <c r="I3854" s="1"/>
      <c r="J3854" s="71"/>
      <c r="M3854" s="46"/>
      <c r="R3854" s="51"/>
      <c r="S3854" s="51"/>
    </row>
    <row r="3855" spans="9:19" x14ac:dyDescent="0.25">
      <c r="I3855" s="1"/>
      <c r="J3855" s="71"/>
      <c r="M3855" s="46"/>
      <c r="R3855" s="51"/>
      <c r="S3855" s="51"/>
    </row>
    <row r="3856" spans="9:19" x14ac:dyDescent="0.25">
      <c r="I3856" s="1"/>
      <c r="J3856" s="71"/>
      <c r="M3856" s="46"/>
      <c r="R3856" s="51"/>
      <c r="S3856" s="51"/>
    </row>
    <row r="3857" spans="9:19" x14ac:dyDescent="0.25">
      <c r="I3857" s="1"/>
      <c r="J3857" s="71"/>
      <c r="M3857" s="46"/>
      <c r="R3857" s="51"/>
      <c r="S3857" s="51"/>
    </row>
    <row r="3858" spans="9:19" x14ac:dyDescent="0.25">
      <c r="I3858" s="1"/>
      <c r="J3858" s="71"/>
      <c r="M3858" s="46"/>
      <c r="R3858" s="51"/>
      <c r="S3858" s="51"/>
    </row>
    <row r="3859" spans="9:19" x14ac:dyDescent="0.25">
      <c r="I3859" s="1"/>
      <c r="J3859" s="71"/>
      <c r="M3859" s="46"/>
      <c r="R3859" s="51"/>
      <c r="S3859" s="51"/>
    </row>
    <row r="3860" spans="9:19" x14ac:dyDescent="0.25">
      <c r="I3860" s="1"/>
      <c r="J3860" s="71"/>
      <c r="M3860" s="46"/>
      <c r="R3860" s="51"/>
      <c r="S3860" s="51"/>
    </row>
    <row r="3861" spans="9:19" x14ac:dyDescent="0.25">
      <c r="I3861" s="1"/>
      <c r="J3861" s="71"/>
      <c r="M3861" s="46"/>
      <c r="R3861" s="51"/>
      <c r="S3861" s="51"/>
    </row>
    <row r="3862" spans="9:19" x14ac:dyDescent="0.25">
      <c r="I3862" s="1"/>
      <c r="J3862" s="71"/>
      <c r="M3862" s="46"/>
      <c r="R3862" s="51"/>
      <c r="S3862" s="51"/>
    </row>
    <row r="3863" spans="9:19" x14ac:dyDescent="0.25">
      <c r="I3863" s="1"/>
      <c r="J3863" s="71"/>
      <c r="M3863" s="46"/>
      <c r="R3863" s="51"/>
      <c r="S3863" s="51"/>
    </row>
    <row r="3864" spans="9:19" x14ac:dyDescent="0.25">
      <c r="I3864" s="1"/>
      <c r="J3864" s="71"/>
      <c r="M3864" s="46"/>
      <c r="R3864" s="51"/>
      <c r="S3864" s="51"/>
    </row>
    <row r="3865" spans="9:19" x14ac:dyDescent="0.25">
      <c r="I3865" s="1"/>
      <c r="J3865" s="71"/>
      <c r="M3865" s="46"/>
      <c r="R3865" s="51"/>
      <c r="S3865" s="51"/>
    </row>
    <row r="3866" spans="9:19" x14ac:dyDescent="0.25">
      <c r="I3866" s="1"/>
      <c r="J3866" s="71"/>
      <c r="M3866" s="46"/>
      <c r="R3866" s="51"/>
      <c r="S3866" s="51"/>
    </row>
    <row r="3867" spans="9:19" x14ac:dyDescent="0.25">
      <c r="I3867" s="1"/>
      <c r="J3867" s="71"/>
      <c r="M3867" s="46"/>
      <c r="R3867" s="51"/>
      <c r="S3867" s="51"/>
    </row>
    <row r="3868" spans="9:19" x14ac:dyDescent="0.25">
      <c r="I3868" s="1"/>
      <c r="J3868" s="71"/>
      <c r="M3868" s="46"/>
      <c r="R3868" s="51"/>
      <c r="S3868" s="51"/>
    </row>
    <row r="3869" spans="9:19" x14ac:dyDescent="0.25">
      <c r="I3869" s="1"/>
      <c r="J3869" s="71"/>
      <c r="M3869" s="46"/>
      <c r="R3869" s="51"/>
      <c r="S3869" s="51"/>
    </row>
    <row r="3870" spans="9:19" x14ac:dyDescent="0.25">
      <c r="I3870" s="1"/>
      <c r="J3870" s="71"/>
      <c r="M3870" s="46"/>
      <c r="R3870" s="51"/>
      <c r="S3870" s="51"/>
    </row>
    <row r="3871" spans="9:19" x14ac:dyDescent="0.25">
      <c r="I3871" s="1"/>
      <c r="J3871" s="71"/>
      <c r="M3871" s="46"/>
      <c r="R3871" s="51"/>
      <c r="S3871" s="51"/>
    </row>
    <row r="3872" spans="9:19" x14ac:dyDescent="0.25">
      <c r="I3872" s="1"/>
      <c r="J3872" s="71"/>
      <c r="M3872" s="46"/>
      <c r="R3872" s="51"/>
      <c r="S3872" s="51"/>
    </row>
    <row r="3873" spans="9:19" x14ac:dyDescent="0.25">
      <c r="I3873" s="1"/>
      <c r="J3873" s="71"/>
      <c r="M3873" s="46"/>
      <c r="R3873" s="51"/>
      <c r="S3873" s="51"/>
    </row>
    <row r="3874" spans="9:19" x14ac:dyDescent="0.25">
      <c r="I3874" s="1"/>
      <c r="J3874" s="71"/>
      <c r="M3874" s="46"/>
      <c r="R3874" s="51"/>
      <c r="S3874" s="51"/>
    </row>
    <row r="3875" spans="9:19" x14ac:dyDescent="0.25">
      <c r="I3875" s="1"/>
      <c r="J3875" s="71"/>
      <c r="M3875" s="46"/>
      <c r="R3875" s="51"/>
      <c r="S3875" s="51"/>
    </row>
    <row r="3876" spans="9:19" x14ac:dyDescent="0.25">
      <c r="I3876" s="1"/>
      <c r="J3876" s="71"/>
      <c r="M3876" s="46"/>
      <c r="R3876" s="51"/>
      <c r="S3876" s="51"/>
    </row>
    <row r="3877" spans="9:19" x14ac:dyDescent="0.25">
      <c r="I3877" s="1"/>
      <c r="J3877" s="71"/>
      <c r="M3877" s="46"/>
      <c r="R3877" s="51"/>
      <c r="S3877" s="51"/>
    </row>
    <row r="3878" spans="9:19" x14ac:dyDescent="0.25">
      <c r="I3878" s="1"/>
      <c r="J3878" s="71"/>
      <c r="M3878" s="46"/>
      <c r="R3878" s="51"/>
      <c r="S3878" s="51"/>
    </row>
    <row r="3879" spans="9:19" x14ac:dyDescent="0.25">
      <c r="I3879" s="1"/>
      <c r="J3879" s="71"/>
      <c r="M3879" s="46"/>
      <c r="R3879" s="51"/>
      <c r="S3879" s="51"/>
    </row>
    <row r="3880" spans="9:19" x14ac:dyDescent="0.25">
      <c r="I3880" s="1"/>
      <c r="J3880" s="71"/>
      <c r="M3880" s="46"/>
      <c r="R3880" s="51"/>
      <c r="S3880" s="51"/>
    </row>
    <row r="3881" spans="9:19" x14ac:dyDescent="0.25">
      <c r="I3881" s="1"/>
      <c r="J3881" s="71"/>
      <c r="M3881" s="46"/>
      <c r="R3881" s="51"/>
      <c r="S3881" s="51"/>
    </row>
    <row r="3882" spans="9:19" x14ac:dyDescent="0.25">
      <c r="I3882" s="1"/>
      <c r="J3882" s="71"/>
      <c r="M3882" s="46"/>
      <c r="R3882" s="51"/>
      <c r="S3882" s="51"/>
    </row>
    <row r="3883" spans="9:19" x14ac:dyDescent="0.25">
      <c r="I3883" s="1"/>
      <c r="J3883" s="71"/>
      <c r="M3883" s="46"/>
      <c r="R3883" s="51"/>
      <c r="S3883" s="51"/>
    </row>
    <row r="3884" spans="9:19" x14ac:dyDescent="0.25">
      <c r="I3884" s="1"/>
      <c r="J3884" s="71"/>
      <c r="M3884" s="46"/>
      <c r="R3884" s="51"/>
      <c r="S3884" s="51"/>
    </row>
    <row r="3885" spans="9:19" x14ac:dyDescent="0.25">
      <c r="I3885" s="1"/>
      <c r="J3885" s="71"/>
      <c r="M3885" s="46"/>
      <c r="R3885" s="51"/>
      <c r="S3885" s="51"/>
    </row>
    <row r="3886" spans="9:19" x14ac:dyDescent="0.25">
      <c r="I3886" s="1"/>
      <c r="J3886" s="71"/>
      <c r="M3886" s="46"/>
      <c r="R3886" s="51"/>
      <c r="S3886" s="51"/>
    </row>
    <row r="3887" spans="9:19" x14ac:dyDescent="0.25">
      <c r="I3887" s="1"/>
      <c r="J3887" s="71"/>
      <c r="M3887" s="46"/>
      <c r="R3887" s="51"/>
      <c r="S3887" s="51"/>
    </row>
    <row r="3888" spans="9:19" x14ac:dyDescent="0.25">
      <c r="I3888" s="1"/>
      <c r="J3888" s="71"/>
      <c r="M3888" s="46"/>
      <c r="R3888" s="51"/>
      <c r="S3888" s="51"/>
    </row>
    <row r="3889" spans="9:19" x14ac:dyDescent="0.25">
      <c r="I3889" s="1"/>
      <c r="J3889" s="71"/>
      <c r="M3889" s="46"/>
      <c r="R3889" s="51"/>
      <c r="S3889" s="51"/>
    </row>
    <row r="3890" spans="9:19" x14ac:dyDescent="0.25">
      <c r="I3890" s="1"/>
      <c r="J3890" s="71"/>
      <c r="M3890" s="46"/>
      <c r="R3890" s="51"/>
      <c r="S3890" s="51"/>
    </row>
    <row r="3891" spans="9:19" x14ac:dyDescent="0.25">
      <c r="I3891" s="1"/>
      <c r="J3891" s="71"/>
      <c r="M3891" s="46"/>
      <c r="R3891" s="51"/>
      <c r="S3891" s="51"/>
    </row>
    <row r="3892" spans="9:19" x14ac:dyDescent="0.25">
      <c r="I3892" s="1"/>
      <c r="J3892" s="71"/>
      <c r="M3892" s="46"/>
      <c r="R3892" s="51"/>
      <c r="S3892" s="51"/>
    </row>
    <row r="3893" spans="9:19" x14ac:dyDescent="0.25">
      <c r="I3893" s="1"/>
      <c r="J3893" s="71"/>
      <c r="M3893" s="46"/>
      <c r="R3893" s="51"/>
      <c r="S3893" s="51"/>
    </row>
    <row r="3894" spans="9:19" x14ac:dyDescent="0.25">
      <c r="I3894" s="1"/>
      <c r="J3894" s="71"/>
      <c r="M3894" s="46"/>
      <c r="R3894" s="51"/>
      <c r="S3894" s="51"/>
    </row>
    <row r="3895" spans="9:19" x14ac:dyDescent="0.25">
      <c r="I3895" s="1"/>
      <c r="J3895" s="71"/>
      <c r="M3895" s="46"/>
      <c r="R3895" s="51"/>
      <c r="S3895" s="51"/>
    </row>
    <row r="3896" spans="9:19" x14ac:dyDescent="0.25">
      <c r="I3896" s="1"/>
      <c r="J3896" s="71"/>
      <c r="M3896" s="46"/>
      <c r="R3896" s="51"/>
      <c r="S3896" s="51"/>
    </row>
    <row r="3897" spans="9:19" x14ac:dyDescent="0.25">
      <c r="I3897" s="1"/>
      <c r="J3897" s="71"/>
      <c r="M3897" s="46"/>
      <c r="R3897" s="51"/>
      <c r="S3897" s="51"/>
    </row>
    <row r="3898" spans="9:19" x14ac:dyDescent="0.25">
      <c r="I3898" s="1"/>
      <c r="J3898" s="71"/>
      <c r="M3898" s="46"/>
      <c r="R3898" s="51"/>
      <c r="S3898" s="51"/>
    </row>
    <row r="3899" spans="9:19" x14ac:dyDescent="0.25">
      <c r="I3899" s="1"/>
      <c r="J3899" s="71"/>
      <c r="M3899" s="46"/>
      <c r="R3899" s="51"/>
      <c r="S3899" s="51"/>
    </row>
    <row r="3900" spans="9:19" x14ac:dyDescent="0.25">
      <c r="I3900" s="1"/>
      <c r="J3900" s="71"/>
      <c r="M3900" s="46"/>
      <c r="R3900" s="51"/>
      <c r="S3900" s="51"/>
    </row>
    <row r="3901" spans="9:19" x14ac:dyDescent="0.25">
      <c r="I3901" s="1"/>
      <c r="J3901" s="71"/>
      <c r="M3901" s="46"/>
      <c r="R3901" s="51"/>
      <c r="S3901" s="51"/>
    </row>
    <row r="3902" spans="9:19" x14ac:dyDescent="0.25">
      <c r="I3902" s="1"/>
      <c r="J3902" s="71"/>
      <c r="M3902" s="46"/>
      <c r="R3902" s="51"/>
      <c r="S3902" s="51"/>
    </row>
    <row r="3903" spans="9:19" x14ac:dyDescent="0.25">
      <c r="I3903" s="1"/>
      <c r="J3903" s="71"/>
      <c r="M3903" s="46"/>
      <c r="R3903" s="51"/>
      <c r="S3903" s="51"/>
    </row>
    <row r="3904" spans="9:19" x14ac:dyDescent="0.25">
      <c r="I3904" s="1"/>
      <c r="J3904" s="71"/>
      <c r="M3904" s="46"/>
      <c r="R3904" s="51"/>
      <c r="S3904" s="51"/>
    </row>
    <row r="3905" spans="9:19" x14ac:dyDescent="0.25">
      <c r="I3905" s="1"/>
      <c r="J3905" s="71"/>
      <c r="M3905" s="46"/>
      <c r="R3905" s="51"/>
      <c r="S3905" s="51"/>
    </row>
    <row r="3906" spans="9:19" x14ac:dyDescent="0.25">
      <c r="I3906" s="1"/>
      <c r="J3906" s="71"/>
      <c r="M3906" s="46"/>
      <c r="R3906" s="51"/>
      <c r="S3906" s="51"/>
    </row>
    <row r="3907" spans="9:19" x14ac:dyDescent="0.25">
      <c r="I3907" s="1"/>
      <c r="J3907" s="71"/>
      <c r="M3907" s="46"/>
      <c r="R3907" s="51"/>
      <c r="S3907" s="51"/>
    </row>
    <row r="3908" spans="9:19" x14ac:dyDescent="0.25">
      <c r="I3908" s="1"/>
      <c r="J3908" s="71"/>
      <c r="M3908" s="46"/>
      <c r="R3908" s="51"/>
      <c r="S3908" s="51"/>
    </row>
    <row r="3909" spans="9:19" x14ac:dyDescent="0.25">
      <c r="I3909" s="1"/>
      <c r="J3909" s="71"/>
      <c r="M3909" s="46"/>
      <c r="R3909" s="51"/>
      <c r="S3909" s="51"/>
    </row>
    <row r="3910" spans="9:19" x14ac:dyDescent="0.25">
      <c r="I3910" s="1"/>
      <c r="J3910" s="71"/>
      <c r="M3910" s="46"/>
      <c r="R3910" s="51"/>
      <c r="S3910" s="51"/>
    </row>
    <row r="3911" spans="9:19" x14ac:dyDescent="0.25">
      <c r="I3911" s="1"/>
      <c r="J3911" s="71"/>
      <c r="M3911" s="46"/>
      <c r="R3911" s="51"/>
      <c r="S3911" s="51"/>
    </row>
    <row r="3912" spans="9:19" x14ac:dyDescent="0.25">
      <c r="I3912" s="1"/>
      <c r="J3912" s="71"/>
      <c r="M3912" s="46"/>
      <c r="R3912" s="51"/>
      <c r="S3912" s="51"/>
    </row>
    <row r="3913" spans="9:19" x14ac:dyDescent="0.25">
      <c r="I3913" s="1"/>
      <c r="J3913" s="71"/>
      <c r="M3913" s="46"/>
      <c r="R3913" s="51"/>
      <c r="S3913" s="51"/>
    </row>
    <row r="3914" spans="9:19" x14ac:dyDescent="0.25">
      <c r="I3914" s="1"/>
      <c r="J3914" s="71"/>
      <c r="M3914" s="46"/>
      <c r="R3914" s="51"/>
      <c r="S3914" s="51"/>
    </row>
    <row r="3915" spans="9:19" x14ac:dyDescent="0.25">
      <c r="I3915" s="1"/>
      <c r="J3915" s="71"/>
      <c r="M3915" s="46"/>
      <c r="R3915" s="51"/>
      <c r="S3915" s="51"/>
    </row>
    <row r="3916" spans="9:19" x14ac:dyDescent="0.25">
      <c r="I3916" s="1"/>
      <c r="J3916" s="71"/>
      <c r="M3916" s="46"/>
      <c r="R3916" s="51"/>
      <c r="S3916" s="51"/>
    </row>
    <row r="3917" spans="9:19" x14ac:dyDescent="0.25">
      <c r="I3917" s="1"/>
      <c r="J3917" s="71"/>
      <c r="M3917" s="46"/>
      <c r="R3917" s="51"/>
      <c r="S3917" s="51"/>
    </row>
    <row r="3918" spans="9:19" x14ac:dyDescent="0.25">
      <c r="I3918" s="1"/>
      <c r="J3918" s="71"/>
      <c r="M3918" s="46"/>
      <c r="R3918" s="51"/>
      <c r="S3918" s="51"/>
    </row>
    <row r="3919" spans="9:19" x14ac:dyDescent="0.25">
      <c r="I3919" s="1"/>
      <c r="J3919" s="71"/>
      <c r="M3919" s="46"/>
      <c r="R3919" s="51"/>
      <c r="S3919" s="51"/>
    </row>
    <row r="3920" spans="9:19" x14ac:dyDescent="0.25">
      <c r="I3920" s="1"/>
      <c r="J3920" s="71"/>
      <c r="M3920" s="46"/>
      <c r="R3920" s="51"/>
      <c r="S3920" s="51"/>
    </row>
    <row r="3921" spans="9:19" x14ac:dyDescent="0.25">
      <c r="I3921" s="1"/>
      <c r="J3921" s="71"/>
      <c r="M3921" s="46"/>
      <c r="R3921" s="51"/>
      <c r="S3921" s="51"/>
    </row>
    <row r="3922" spans="9:19" x14ac:dyDescent="0.25">
      <c r="I3922" s="1"/>
      <c r="J3922" s="71"/>
      <c r="M3922" s="46"/>
      <c r="R3922" s="51"/>
      <c r="S3922" s="51"/>
    </row>
    <row r="3923" spans="9:19" x14ac:dyDescent="0.25">
      <c r="I3923" s="1"/>
      <c r="J3923" s="71"/>
      <c r="M3923" s="46"/>
      <c r="R3923" s="51"/>
      <c r="S3923" s="51"/>
    </row>
    <row r="3924" spans="9:19" x14ac:dyDescent="0.25">
      <c r="I3924" s="1"/>
      <c r="J3924" s="71"/>
      <c r="M3924" s="46"/>
      <c r="R3924" s="51"/>
      <c r="S3924" s="51"/>
    </row>
    <row r="3925" spans="9:19" x14ac:dyDescent="0.25">
      <c r="I3925" s="1"/>
      <c r="J3925" s="71"/>
      <c r="M3925" s="46"/>
      <c r="R3925" s="51"/>
      <c r="S3925" s="51"/>
    </row>
    <row r="3926" spans="9:19" x14ac:dyDescent="0.25">
      <c r="I3926" s="1"/>
      <c r="J3926" s="71"/>
      <c r="M3926" s="46"/>
      <c r="R3926" s="51"/>
      <c r="S3926" s="51"/>
    </row>
    <row r="3927" spans="9:19" x14ac:dyDescent="0.25">
      <c r="I3927" s="1"/>
      <c r="J3927" s="71"/>
      <c r="M3927" s="46"/>
      <c r="R3927" s="51"/>
      <c r="S3927" s="51"/>
    </row>
    <row r="3928" spans="9:19" x14ac:dyDescent="0.25">
      <c r="I3928" s="1"/>
      <c r="J3928" s="71"/>
      <c r="M3928" s="46"/>
      <c r="R3928" s="51"/>
      <c r="S3928" s="51"/>
    </row>
    <row r="3929" spans="9:19" x14ac:dyDescent="0.25">
      <c r="I3929" s="1"/>
      <c r="J3929" s="71"/>
      <c r="M3929" s="46"/>
      <c r="R3929" s="51"/>
      <c r="S3929" s="51"/>
    </row>
    <row r="3930" spans="9:19" x14ac:dyDescent="0.25">
      <c r="I3930" s="1"/>
      <c r="J3930" s="71"/>
      <c r="M3930" s="46"/>
      <c r="R3930" s="51"/>
      <c r="S3930" s="51"/>
    </row>
    <row r="3931" spans="9:19" x14ac:dyDescent="0.25">
      <c r="I3931" s="1"/>
      <c r="J3931" s="71"/>
      <c r="M3931" s="46"/>
      <c r="R3931" s="51"/>
      <c r="S3931" s="51"/>
    </row>
    <row r="3932" spans="9:19" x14ac:dyDescent="0.25">
      <c r="I3932" s="1"/>
      <c r="J3932" s="71"/>
      <c r="M3932" s="46"/>
      <c r="R3932" s="51"/>
      <c r="S3932" s="51"/>
    </row>
    <row r="3933" spans="9:19" x14ac:dyDescent="0.25">
      <c r="I3933" s="1"/>
      <c r="J3933" s="71"/>
      <c r="M3933" s="46"/>
      <c r="R3933" s="51"/>
      <c r="S3933" s="51"/>
    </row>
    <row r="3934" spans="9:19" x14ac:dyDescent="0.25">
      <c r="I3934" s="1"/>
      <c r="J3934" s="71"/>
      <c r="M3934" s="46"/>
      <c r="R3934" s="51"/>
      <c r="S3934" s="51"/>
    </row>
    <row r="3935" spans="9:19" x14ac:dyDescent="0.25">
      <c r="I3935" s="1"/>
      <c r="J3935" s="71"/>
      <c r="M3935" s="46"/>
      <c r="R3935" s="51"/>
      <c r="S3935" s="51"/>
    </row>
    <row r="3936" spans="9:19" x14ac:dyDescent="0.25">
      <c r="I3936" s="1"/>
      <c r="J3936" s="71"/>
      <c r="M3936" s="46"/>
      <c r="R3936" s="51"/>
      <c r="S3936" s="51"/>
    </row>
    <row r="3937" spans="9:19" x14ac:dyDescent="0.25">
      <c r="I3937" s="1"/>
      <c r="J3937" s="71"/>
      <c r="M3937" s="46"/>
      <c r="R3937" s="51"/>
      <c r="S3937" s="51"/>
    </row>
    <row r="3938" spans="9:19" x14ac:dyDescent="0.25">
      <c r="I3938" s="1"/>
      <c r="J3938" s="71"/>
      <c r="M3938" s="46"/>
      <c r="R3938" s="51"/>
      <c r="S3938" s="51"/>
    </row>
    <row r="3939" spans="9:19" x14ac:dyDescent="0.25">
      <c r="I3939" s="1"/>
      <c r="J3939" s="71"/>
      <c r="M3939" s="46"/>
      <c r="R3939" s="51"/>
      <c r="S3939" s="51"/>
    </row>
    <row r="3940" spans="9:19" x14ac:dyDescent="0.25">
      <c r="I3940" s="1"/>
      <c r="J3940" s="71"/>
      <c r="M3940" s="46"/>
      <c r="R3940" s="51"/>
      <c r="S3940" s="51"/>
    </row>
    <row r="3941" spans="9:19" x14ac:dyDescent="0.25">
      <c r="I3941" s="1"/>
      <c r="J3941" s="71"/>
      <c r="M3941" s="46"/>
      <c r="R3941" s="51"/>
      <c r="S3941" s="51"/>
    </row>
    <row r="3942" spans="9:19" x14ac:dyDescent="0.25">
      <c r="I3942" s="1"/>
      <c r="J3942" s="71"/>
      <c r="M3942" s="46"/>
      <c r="R3942" s="51"/>
      <c r="S3942" s="51"/>
    </row>
    <row r="3943" spans="9:19" x14ac:dyDescent="0.25">
      <c r="I3943" s="1"/>
      <c r="J3943" s="71"/>
      <c r="M3943" s="46"/>
      <c r="R3943" s="51"/>
      <c r="S3943" s="51"/>
    </row>
    <row r="3944" spans="9:19" x14ac:dyDescent="0.25">
      <c r="I3944" s="1"/>
      <c r="J3944" s="71"/>
      <c r="M3944" s="46"/>
      <c r="R3944" s="51"/>
      <c r="S3944" s="51"/>
    </row>
    <row r="3945" spans="9:19" x14ac:dyDescent="0.25">
      <c r="I3945" s="1"/>
      <c r="J3945" s="71"/>
      <c r="M3945" s="46"/>
      <c r="R3945" s="51"/>
      <c r="S3945" s="51"/>
    </row>
    <row r="3946" spans="9:19" x14ac:dyDescent="0.25">
      <c r="I3946" s="1"/>
      <c r="J3946" s="71"/>
      <c r="M3946" s="46"/>
      <c r="R3946" s="51"/>
      <c r="S3946" s="51"/>
    </row>
    <row r="3947" spans="9:19" x14ac:dyDescent="0.25">
      <c r="I3947" s="1"/>
      <c r="J3947" s="71"/>
      <c r="M3947" s="46"/>
      <c r="R3947" s="51"/>
      <c r="S3947" s="51"/>
    </row>
    <row r="3948" spans="9:19" x14ac:dyDescent="0.25">
      <c r="I3948" s="1"/>
      <c r="J3948" s="71"/>
      <c r="M3948" s="46"/>
      <c r="R3948" s="51"/>
      <c r="S3948" s="51"/>
    </row>
    <row r="3949" spans="9:19" x14ac:dyDescent="0.25">
      <c r="I3949" s="1"/>
      <c r="J3949" s="71"/>
      <c r="M3949" s="46"/>
      <c r="R3949" s="51"/>
      <c r="S3949" s="51"/>
    </row>
    <row r="3950" spans="9:19" x14ac:dyDescent="0.25">
      <c r="I3950" s="1"/>
      <c r="J3950" s="71"/>
      <c r="M3950" s="46"/>
      <c r="R3950" s="51"/>
      <c r="S3950" s="51"/>
    </row>
    <row r="3951" spans="9:19" x14ac:dyDescent="0.25">
      <c r="I3951" s="1"/>
      <c r="J3951" s="71"/>
      <c r="M3951" s="46"/>
      <c r="R3951" s="51"/>
      <c r="S3951" s="51"/>
    </row>
    <row r="3952" spans="9:19" x14ac:dyDescent="0.25">
      <c r="I3952" s="1"/>
      <c r="J3952" s="71"/>
      <c r="M3952" s="46"/>
      <c r="R3952" s="51"/>
      <c r="S3952" s="51"/>
    </row>
    <row r="3953" spans="9:19" x14ac:dyDescent="0.25">
      <c r="I3953" s="1"/>
      <c r="J3953" s="71"/>
      <c r="M3953" s="46"/>
      <c r="R3953" s="51"/>
      <c r="S3953" s="51"/>
    </row>
    <row r="3954" spans="9:19" x14ac:dyDescent="0.25">
      <c r="I3954" s="1"/>
      <c r="J3954" s="71"/>
      <c r="M3954" s="46"/>
      <c r="R3954" s="51"/>
      <c r="S3954" s="51"/>
    </row>
    <row r="3955" spans="9:19" x14ac:dyDescent="0.25">
      <c r="I3955" s="1"/>
      <c r="J3955" s="71"/>
      <c r="M3955" s="46"/>
      <c r="R3955" s="51"/>
      <c r="S3955" s="51"/>
    </row>
    <row r="3956" spans="9:19" x14ac:dyDescent="0.25">
      <c r="I3956" s="1"/>
      <c r="J3956" s="71"/>
      <c r="M3956" s="46"/>
      <c r="R3956" s="51"/>
      <c r="S3956" s="51"/>
    </row>
    <row r="3957" spans="9:19" x14ac:dyDescent="0.25">
      <c r="I3957" s="1"/>
      <c r="J3957" s="71"/>
      <c r="M3957" s="46"/>
      <c r="R3957" s="51"/>
      <c r="S3957" s="51"/>
    </row>
    <row r="3958" spans="9:19" x14ac:dyDescent="0.25">
      <c r="I3958" s="1"/>
      <c r="J3958" s="71"/>
      <c r="M3958" s="46"/>
      <c r="R3958" s="51"/>
      <c r="S3958" s="51"/>
    </row>
    <row r="3959" spans="9:19" x14ac:dyDescent="0.25">
      <c r="I3959" s="1"/>
      <c r="J3959" s="71"/>
      <c r="M3959" s="46"/>
      <c r="R3959" s="51"/>
      <c r="S3959" s="51"/>
    </row>
    <row r="3960" spans="9:19" x14ac:dyDescent="0.25">
      <c r="I3960" s="1"/>
      <c r="J3960" s="71"/>
      <c r="M3960" s="46"/>
      <c r="R3960" s="51"/>
      <c r="S3960" s="51"/>
    </row>
    <row r="3961" spans="9:19" x14ac:dyDescent="0.25">
      <c r="I3961" s="1"/>
      <c r="J3961" s="71"/>
      <c r="M3961" s="46"/>
      <c r="R3961" s="51"/>
      <c r="S3961" s="51"/>
    </row>
    <row r="3962" spans="9:19" x14ac:dyDescent="0.25">
      <c r="I3962" s="1"/>
      <c r="J3962" s="71"/>
      <c r="M3962" s="46"/>
      <c r="R3962" s="51"/>
      <c r="S3962" s="51"/>
    </row>
    <row r="3963" spans="9:19" x14ac:dyDescent="0.25">
      <c r="I3963" s="1"/>
      <c r="J3963" s="71"/>
      <c r="M3963" s="46"/>
      <c r="R3963" s="51"/>
      <c r="S3963" s="51"/>
    </row>
    <row r="3964" spans="9:19" x14ac:dyDescent="0.25">
      <c r="I3964" s="1"/>
      <c r="J3964" s="71"/>
      <c r="M3964" s="46"/>
      <c r="R3964" s="51"/>
      <c r="S3964" s="51"/>
    </row>
    <row r="3965" spans="9:19" x14ac:dyDescent="0.25">
      <c r="I3965" s="1"/>
      <c r="J3965" s="71"/>
      <c r="M3965" s="46"/>
      <c r="R3965" s="51"/>
      <c r="S3965" s="51"/>
    </row>
    <row r="3966" spans="9:19" x14ac:dyDescent="0.25">
      <c r="I3966" s="1"/>
      <c r="J3966" s="71"/>
      <c r="M3966" s="46"/>
      <c r="R3966" s="51"/>
      <c r="S3966" s="51"/>
    </row>
    <row r="3967" spans="9:19" x14ac:dyDescent="0.25">
      <c r="I3967" s="1"/>
      <c r="J3967" s="71"/>
      <c r="M3967" s="46"/>
      <c r="R3967" s="51"/>
      <c r="S3967" s="51"/>
    </row>
    <row r="3968" spans="9:19" x14ac:dyDescent="0.25">
      <c r="I3968" s="1"/>
      <c r="J3968" s="71"/>
      <c r="M3968" s="46"/>
      <c r="R3968" s="51"/>
      <c r="S3968" s="51"/>
    </row>
    <row r="3969" spans="9:19" x14ac:dyDescent="0.25">
      <c r="I3969" s="1"/>
      <c r="J3969" s="71"/>
      <c r="M3969" s="46"/>
      <c r="R3969" s="51"/>
      <c r="S3969" s="51"/>
    </row>
    <row r="3970" spans="9:19" x14ac:dyDescent="0.25">
      <c r="I3970" s="1"/>
      <c r="J3970" s="71"/>
      <c r="M3970" s="46"/>
      <c r="R3970" s="51"/>
      <c r="S3970" s="51"/>
    </row>
    <row r="3971" spans="9:19" x14ac:dyDescent="0.25">
      <c r="I3971" s="1"/>
      <c r="J3971" s="71"/>
      <c r="M3971" s="46"/>
      <c r="R3971" s="51"/>
      <c r="S3971" s="51"/>
    </row>
    <row r="3972" spans="9:19" x14ac:dyDescent="0.25">
      <c r="I3972" s="1"/>
      <c r="J3972" s="71"/>
      <c r="M3972" s="46"/>
      <c r="R3972" s="51"/>
      <c r="S3972" s="51"/>
    </row>
    <row r="3973" spans="9:19" x14ac:dyDescent="0.25">
      <c r="I3973" s="1"/>
      <c r="J3973" s="71"/>
      <c r="M3973" s="46"/>
      <c r="R3973" s="51"/>
      <c r="S3973" s="51"/>
    </row>
    <row r="3974" spans="9:19" x14ac:dyDescent="0.25">
      <c r="I3974" s="1"/>
      <c r="J3974" s="71"/>
      <c r="M3974" s="46"/>
      <c r="R3974" s="51"/>
      <c r="S3974" s="51"/>
    </row>
    <row r="3975" spans="9:19" x14ac:dyDescent="0.25">
      <c r="I3975" s="1"/>
      <c r="J3975" s="71"/>
      <c r="M3975" s="46"/>
      <c r="R3975" s="51"/>
      <c r="S3975" s="51"/>
    </row>
    <row r="3976" spans="9:19" x14ac:dyDescent="0.25">
      <c r="I3976" s="1"/>
      <c r="J3976" s="71"/>
      <c r="M3976" s="46"/>
      <c r="R3976" s="51"/>
      <c r="S3976" s="51"/>
    </row>
    <row r="3977" spans="9:19" x14ac:dyDescent="0.25">
      <c r="I3977" s="1"/>
      <c r="J3977" s="71"/>
      <c r="M3977" s="46"/>
      <c r="R3977" s="51"/>
      <c r="S3977" s="51"/>
    </row>
    <row r="3978" spans="9:19" x14ac:dyDescent="0.25">
      <c r="I3978" s="1"/>
      <c r="J3978" s="71"/>
      <c r="M3978" s="46"/>
      <c r="R3978" s="51"/>
      <c r="S3978" s="51"/>
    </row>
    <row r="3979" spans="9:19" x14ac:dyDescent="0.25">
      <c r="I3979" s="1"/>
      <c r="J3979" s="71"/>
      <c r="M3979" s="46"/>
      <c r="R3979" s="51"/>
      <c r="S3979" s="51"/>
    </row>
    <row r="3980" spans="9:19" x14ac:dyDescent="0.25">
      <c r="I3980" s="1"/>
      <c r="J3980" s="71"/>
      <c r="M3980" s="46"/>
      <c r="R3980" s="51"/>
      <c r="S3980" s="51"/>
    </row>
    <row r="3981" spans="9:19" x14ac:dyDescent="0.25">
      <c r="I3981" s="1"/>
      <c r="J3981" s="71"/>
      <c r="M3981" s="46"/>
      <c r="R3981" s="51"/>
      <c r="S3981" s="51"/>
    </row>
    <row r="3982" spans="9:19" x14ac:dyDescent="0.25">
      <c r="I3982" s="1"/>
      <c r="J3982" s="71"/>
      <c r="M3982" s="46"/>
      <c r="R3982" s="51"/>
      <c r="S3982" s="51"/>
    </row>
    <row r="3983" spans="9:19" x14ac:dyDescent="0.25">
      <c r="I3983" s="1"/>
      <c r="J3983" s="71"/>
      <c r="M3983" s="46"/>
      <c r="R3983" s="51"/>
      <c r="S3983" s="51"/>
    </row>
    <row r="3984" spans="9:19" x14ac:dyDescent="0.25">
      <c r="I3984" s="1"/>
      <c r="J3984" s="71"/>
      <c r="M3984" s="46"/>
      <c r="R3984" s="51"/>
      <c r="S3984" s="51"/>
    </row>
    <row r="3985" spans="9:19" x14ac:dyDescent="0.25">
      <c r="I3985" s="1"/>
      <c r="J3985" s="71"/>
      <c r="M3985" s="46"/>
      <c r="R3985" s="51"/>
      <c r="S3985" s="51"/>
    </row>
    <row r="3986" spans="9:19" x14ac:dyDescent="0.25">
      <c r="I3986" s="1"/>
      <c r="J3986" s="71"/>
      <c r="M3986" s="46"/>
      <c r="R3986" s="51"/>
      <c r="S3986" s="51"/>
    </row>
    <row r="3987" spans="9:19" x14ac:dyDescent="0.25">
      <c r="I3987" s="1"/>
      <c r="J3987" s="71"/>
      <c r="M3987" s="46"/>
      <c r="R3987" s="51"/>
      <c r="S3987" s="51"/>
    </row>
    <row r="3988" spans="9:19" x14ac:dyDescent="0.25">
      <c r="I3988" s="1"/>
      <c r="J3988" s="71"/>
      <c r="M3988" s="46"/>
      <c r="R3988" s="51"/>
      <c r="S3988" s="51"/>
    </row>
    <row r="3989" spans="9:19" x14ac:dyDescent="0.25">
      <c r="I3989" s="1"/>
      <c r="J3989" s="71"/>
      <c r="M3989" s="46"/>
      <c r="R3989" s="51"/>
      <c r="S3989" s="51"/>
    </row>
    <row r="3990" spans="9:19" x14ac:dyDescent="0.25">
      <c r="I3990" s="1"/>
      <c r="J3990" s="71"/>
      <c r="M3990" s="46"/>
      <c r="R3990" s="51"/>
      <c r="S3990" s="51"/>
    </row>
    <row r="3991" spans="9:19" x14ac:dyDescent="0.25">
      <c r="I3991" s="1"/>
      <c r="J3991" s="71"/>
      <c r="M3991" s="46"/>
      <c r="R3991" s="51"/>
      <c r="S3991" s="51"/>
    </row>
    <row r="3992" spans="9:19" x14ac:dyDescent="0.25">
      <c r="I3992" s="1"/>
      <c r="J3992" s="71"/>
      <c r="M3992" s="46"/>
      <c r="R3992" s="51"/>
      <c r="S3992" s="51"/>
    </row>
    <row r="3993" spans="9:19" x14ac:dyDescent="0.25">
      <c r="I3993" s="1"/>
      <c r="J3993" s="71"/>
      <c r="M3993" s="46"/>
      <c r="R3993" s="51"/>
      <c r="S3993" s="51"/>
    </row>
    <row r="3994" spans="9:19" x14ac:dyDescent="0.25">
      <c r="I3994" s="1"/>
      <c r="J3994" s="71"/>
      <c r="M3994" s="46"/>
      <c r="R3994" s="51"/>
      <c r="S3994" s="51"/>
    </row>
    <row r="3995" spans="9:19" x14ac:dyDescent="0.25">
      <c r="I3995" s="1"/>
      <c r="J3995" s="71"/>
      <c r="M3995" s="46"/>
      <c r="R3995" s="51"/>
      <c r="S3995" s="51"/>
    </row>
    <row r="3996" spans="9:19" x14ac:dyDescent="0.25">
      <c r="I3996" s="1"/>
      <c r="J3996" s="71"/>
      <c r="M3996" s="46"/>
      <c r="R3996" s="51"/>
      <c r="S3996" s="51"/>
    </row>
    <row r="3997" spans="9:19" x14ac:dyDescent="0.25">
      <c r="I3997" s="1"/>
      <c r="J3997" s="71"/>
      <c r="M3997" s="46"/>
      <c r="R3997" s="51"/>
      <c r="S3997" s="51"/>
    </row>
    <row r="3998" spans="9:19" x14ac:dyDescent="0.25">
      <c r="I3998" s="1"/>
      <c r="J3998" s="71"/>
      <c r="M3998" s="46"/>
      <c r="R3998" s="51"/>
      <c r="S3998" s="51"/>
    </row>
    <row r="3999" spans="9:19" x14ac:dyDescent="0.25">
      <c r="I3999" s="1"/>
      <c r="J3999" s="71"/>
      <c r="M3999" s="46"/>
      <c r="R3999" s="51"/>
      <c r="S3999" s="51"/>
    </row>
    <row r="4000" spans="9:19" x14ac:dyDescent="0.25">
      <c r="I4000" s="1"/>
      <c r="J4000" s="71"/>
      <c r="M4000" s="46"/>
      <c r="R4000" s="51"/>
      <c r="S4000" s="51"/>
    </row>
    <row r="4001" spans="9:19" x14ac:dyDescent="0.25">
      <c r="I4001" s="1"/>
      <c r="J4001" s="71"/>
      <c r="M4001" s="46"/>
      <c r="R4001" s="51"/>
      <c r="S4001" s="51"/>
    </row>
    <row r="4002" spans="9:19" x14ac:dyDescent="0.25">
      <c r="I4002" s="1"/>
      <c r="J4002" s="71"/>
      <c r="M4002" s="46"/>
      <c r="R4002" s="51"/>
      <c r="S4002" s="51"/>
    </row>
    <row r="4003" spans="9:19" x14ac:dyDescent="0.25">
      <c r="I4003" s="1"/>
      <c r="J4003" s="71"/>
      <c r="M4003" s="46"/>
      <c r="R4003" s="51"/>
      <c r="S4003" s="51"/>
    </row>
    <row r="4004" spans="9:19" x14ac:dyDescent="0.25">
      <c r="I4004" s="1"/>
      <c r="J4004" s="71"/>
      <c r="M4004" s="46"/>
      <c r="R4004" s="51"/>
      <c r="S4004" s="51"/>
    </row>
    <row r="4005" spans="9:19" x14ac:dyDescent="0.25">
      <c r="I4005" s="1"/>
      <c r="J4005" s="71"/>
      <c r="M4005" s="46"/>
      <c r="R4005" s="51"/>
      <c r="S4005" s="51"/>
    </row>
    <row r="4006" spans="9:19" x14ac:dyDescent="0.25">
      <c r="I4006" s="1"/>
      <c r="J4006" s="71"/>
      <c r="M4006" s="46"/>
      <c r="R4006" s="51"/>
      <c r="S4006" s="51"/>
    </row>
    <row r="4007" spans="9:19" x14ac:dyDescent="0.25">
      <c r="I4007" s="1"/>
      <c r="J4007" s="71"/>
      <c r="M4007" s="46"/>
      <c r="R4007" s="51"/>
      <c r="S4007" s="51"/>
    </row>
    <row r="4008" spans="9:19" x14ac:dyDescent="0.25">
      <c r="I4008" s="1"/>
      <c r="J4008" s="71"/>
      <c r="M4008" s="46"/>
      <c r="R4008" s="51"/>
      <c r="S4008" s="51"/>
    </row>
    <row r="4009" spans="9:19" x14ac:dyDescent="0.25">
      <c r="I4009" s="1"/>
      <c r="J4009" s="71"/>
      <c r="M4009" s="46"/>
      <c r="R4009" s="51"/>
      <c r="S4009" s="51"/>
    </row>
    <row r="4010" spans="9:19" x14ac:dyDescent="0.25">
      <c r="I4010" s="1"/>
      <c r="J4010" s="71"/>
      <c r="M4010" s="46"/>
      <c r="R4010" s="51"/>
      <c r="S4010" s="51"/>
    </row>
    <row r="4011" spans="9:19" x14ac:dyDescent="0.25">
      <c r="I4011" s="1"/>
      <c r="J4011" s="71"/>
      <c r="M4011" s="46"/>
      <c r="R4011" s="51"/>
      <c r="S4011" s="51"/>
    </row>
    <row r="4012" spans="9:19" x14ac:dyDescent="0.25">
      <c r="I4012" s="1"/>
      <c r="J4012" s="71"/>
      <c r="M4012" s="46"/>
      <c r="R4012" s="51"/>
      <c r="S4012" s="51"/>
    </row>
    <row r="4013" spans="9:19" x14ac:dyDescent="0.25">
      <c r="I4013" s="1"/>
      <c r="J4013" s="71"/>
      <c r="M4013" s="46"/>
      <c r="R4013" s="51"/>
      <c r="S4013" s="51"/>
    </row>
    <row r="4014" spans="9:19" x14ac:dyDescent="0.25">
      <c r="I4014" s="1"/>
      <c r="J4014" s="71"/>
      <c r="M4014" s="46"/>
      <c r="R4014" s="51"/>
      <c r="S4014" s="51"/>
    </row>
    <row r="4015" spans="9:19" x14ac:dyDescent="0.25">
      <c r="I4015" s="1"/>
      <c r="J4015" s="71"/>
      <c r="M4015" s="46"/>
      <c r="R4015" s="51"/>
      <c r="S4015" s="51"/>
    </row>
    <row r="4016" spans="9:19" x14ac:dyDescent="0.25">
      <c r="I4016" s="1"/>
      <c r="J4016" s="71"/>
      <c r="M4016" s="46"/>
      <c r="R4016" s="51"/>
      <c r="S4016" s="51"/>
    </row>
    <row r="4017" spans="9:19" x14ac:dyDescent="0.25">
      <c r="I4017" s="1"/>
      <c r="J4017" s="71"/>
      <c r="M4017" s="46"/>
      <c r="R4017" s="51"/>
      <c r="S4017" s="51"/>
    </row>
    <row r="4018" spans="9:19" x14ac:dyDescent="0.25">
      <c r="I4018" s="1"/>
      <c r="J4018" s="71"/>
      <c r="M4018" s="46"/>
      <c r="R4018" s="51"/>
      <c r="S4018" s="51"/>
    </row>
    <row r="4019" spans="9:19" x14ac:dyDescent="0.25">
      <c r="I4019" s="1"/>
      <c r="J4019" s="71"/>
      <c r="M4019" s="46"/>
      <c r="R4019" s="51"/>
      <c r="S4019" s="51"/>
    </row>
    <row r="4020" spans="9:19" x14ac:dyDescent="0.25">
      <c r="I4020" s="1"/>
      <c r="J4020" s="71"/>
      <c r="M4020" s="46"/>
      <c r="R4020" s="51"/>
      <c r="S4020" s="51"/>
    </row>
    <row r="4021" spans="9:19" x14ac:dyDescent="0.25">
      <c r="I4021" s="1"/>
      <c r="J4021" s="71"/>
      <c r="M4021" s="46"/>
      <c r="R4021" s="51"/>
      <c r="S4021" s="51"/>
    </row>
    <row r="4022" spans="9:19" x14ac:dyDescent="0.25">
      <c r="I4022" s="1"/>
      <c r="J4022" s="71"/>
      <c r="M4022" s="46"/>
      <c r="R4022" s="51"/>
      <c r="S4022" s="51"/>
    </row>
    <row r="4023" spans="9:19" x14ac:dyDescent="0.25">
      <c r="I4023" s="1"/>
      <c r="J4023" s="71"/>
      <c r="M4023" s="46"/>
      <c r="R4023" s="51"/>
      <c r="S4023" s="51"/>
    </row>
    <row r="4024" spans="9:19" x14ac:dyDescent="0.25">
      <c r="I4024" s="1"/>
      <c r="J4024" s="71"/>
      <c r="M4024" s="46"/>
      <c r="R4024" s="51"/>
      <c r="S4024" s="51"/>
    </row>
    <row r="4025" spans="9:19" x14ac:dyDescent="0.25">
      <c r="I4025" s="1"/>
      <c r="J4025" s="71"/>
      <c r="M4025" s="46"/>
      <c r="R4025" s="51"/>
      <c r="S4025" s="51"/>
    </row>
    <row r="4026" spans="9:19" x14ac:dyDescent="0.25">
      <c r="I4026" s="1"/>
      <c r="J4026" s="71"/>
      <c r="M4026" s="46"/>
      <c r="R4026" s="51"/>
      <c r="S4026" s="51"/>
    </row>
    <row r="4027" spans="9:19" x14ac:dyDescent="0.25">
      <c r="I4027" s="1"/>
      <c r="J4027" s="71"/>
      <c r="M4027" s="46"/>
      <c r="R4027" s="51"/>
      <c r="S4027" s="51"/>
    </row>
    <row r="4028" spans="9:19" x14ac:dyDescent="0.25">
      <c r="I4028" s="1"/>
      <c r="J4028" s="71"/>
      <c r="M4028" s="46"/>
      <c r="R4028" s="51"/>
      <c r="S4028" s="51"/>
    </row>
    <row r="4029" spans="9:19" x14ac:dyDescent="0.25">
      <c r="I4029" s="1"/>
      <c r="J4029" s="71"/>
      <c r="M4029" s="46"/>
      <c r="R4029" s="51"/>
      <c r="S4029" s="51"/>
    </row>
    <row r="4030" spans="9:19" x14ac:dyDescent="0.25">
      <c r="I4030" s="1"/>
      <c r="J4030" s="71"/>
      <c r="M4030" s="46"/>
      <c r="R4030" s="51"/>
      <c r="S4030" s="51"/>
    </row>
    <row r="4031" spans="9:19" x14ac:dyDescent="0.25">
      <c r="I4031" s="1"/>
      <c r="J4031" s="71"/>
      <c r="M4031" s="46"/>
      <c r="R4031" s="51"/>
      <c r="S4031" s="51"/>
    </row>
    <row r="4032" spans="9:19" x14ac:dyDescent="0.25">
      <c r="I4032" s="1"/>
      <c r="J4032" s="71"/>
      <c r="M4032" s="46"/>
      <c r="R4032" s="51"/>
      <c r="S4032" s="51"/>
    </row>
    <row r="4033" spans="9:19" x14ac:dyDescent="0.25">
      <c r="I4033" s="1"/>
      <c r="J4033" s="71"/>
      <c r="M4033" s="46"/>
      <c r="R4033" s="51"/>
      <c r="S4033" s="51"/>
    </row>
    <row r="4034" spans="9:19" x14ac:dyDescent="0.25">
      <c r="I4034" s="1"/>
      <c r="J4034" s="71"/>
      <c r="M4034" s="46"/>
      <c r="R4034" s="51"/>
      <c r="S4034" s="51"/>
    </row>
    <row r="4035" spans="9:19" x14ac:dyDescent="0.25">
      <c r="I4035" s="1"/>
      <c r="J4035" s="71"/>
      <c r="M4035" s="46"/>
      <c r="R4035" s="51"/>
      <c r="S4035" s="51"/>
    </row>
    <row r="4036" spans="9:19" x14ac:dyDescent="0.25">
      <c r="I4036" s="1"/>
      <c r="J4036" s="71"/>
      <c r="M4036" s="46"/>
      <c r="R4036" s="51"/>
      <c r="S4036" s="51"/>
    </row>
    <row r="4037" spans="9:19" x14ac:dyDescent="0.25">
      <c r="I4037" s="1"/>
      <c r="J4037" s="71"/>
      <c r="M4037" s="46"/>
      <c r="R4037" s="51"/>
      <c r="S4037" s="51"/>
    </row>
    <row r="4038" spans="9:19" x14ac:dyDescent="0.25">
      <c r="I4038" s="1"/>
      <c r="J4038" s="71"/>
      <c r="M4038" s="46"/>
      <c r="R4038" s="51"/>
      <c r="S4038" s="51"/>
    </row>
    <row r="4039" spans="9:19" x14ac:dyDescent="0.25">
      <c r="I4039" s="1"/>
      <c r="J4039" s="71"/>
      <c r="M4039" s="46"/>
      <c r="R4039" s="51"/>
      <c r="S4039" s="51"/>
    </row>
    <row r="4040" spans="9:19" x14ac:dyDescent="0.25">
      <c r="I4040" s="1"/>
      <c r="J4040" s="71"/>
      <c r="M4040" s="46"/>
      <c r="R4040" s="51"/>
      <c r="S4040" s="51"/>
    </row>
    <row r="4041" spans="9:19" x14ac:dyDescent="0.25">
      <c r="I4041" s="1"/>
      <c r="J4041" s="71"/>
      <c r="M4041" s="46"/>
      <c r="R4041" s="51"/>
      <c r="S4041" s="51"/>
    </row>
    <row r="4042" spans="9:19" x14ac:dyDescent="0.25">
      <c r="I4042" s="1"/>
      <c r="J4042" s="71"/>
      <c r="M4042" s="46"/>
      <c r="R4042" s="51"/>
      <c r="S4042" s="51"/>
    </row>
    <row r="4043" spans="9:19" x14ac:dyDescent="0.25">
      <c r="I4043" s="1"/>
      <c r="J4043" s="71"/>
      <c r="M4043" s="46"/>
      <c r="R4043" s="51"/>
      <c r="S4043" s="51"/>
    </row>
    <row r="4044" spans="9:19" x14ac:dyDescent="0.25">
      <c r="I4044" s="1"/>
      <c r="J4044" s="71"/>
      <c r="M4044" s="46"/>
      <c r="R4044" s="51"/>
      <c r="S4044" s="51"/>
    </row>
    <row r="4045" spans="9:19" x14ac:dyDescent="0.25">
      <c r="I4045" s="1"/>
      <c r="J4045" s="71"/>
      <c r="M4045" s="46"/>
      <c r="R4045" s="51"/>
      <c r="S4045" s="51"/>
    </row>
    <row r="4046" spans="9:19" x14ac:dyDescent="0.25">
      <c r="I4046" s="1"/>
      <c r="J4046" s="71"/>
      <c r="M4046" s="46"/>
      <c r="R4046" s="51"/>
      <c r="S4046" s="51"/>
    </row>
    <row r="4047" spans="9:19" x14ac:dyDescent="0.25">
      <c r="I4047" s="1"/>
      <c r="J4047" s="71"/>
      <c r="M4047" s="46"/>
      <c r="R4047" s="51"/>
      <c r="S4047" s="51"/>
    </row>
    <row r="4048" spans="9:19" x14ac:dyDescent="0.25">
      <c r="I4048" s="1"/>
      <c r="J4048" s="71"/>
      <c r="M4048" s="46"/>
      <c r="R4048" s="51"/>
      <c r="S4048" s="51"/>
    </row>
    <row r="4049" spans="9:19" x14ac:dyDescent="0.25">
      <c r="I4049" s="1"/>
      <c r="J4049" s="71"/>
      <c r="M4049" s="46"/>
      <c r="R4049" s="51"/>
      <c r="S4049" s="51"/>
    </row>
    <row r="4050" spans="9:19" x14ac:dyDescent="0.25">
      <c r="I4050" s="1"/>
      <c r="J4050" s="71"/>
      <c r="M4050" s="46"/>
      <c r="R4050" s="51"/>
      <c r="S4050" s="51"/>
    </row>
    <row r="4051" spans="9:19" x14ac:dyDescent="0.25">
      <c r="I4051" s="1"/>
      <c r="J4051" s="71"/>
      <c r="M4051" s="46"/>
      <c r="R4051" s="51"/>
      <c r="S4051" s="51"/>
    </row>
    <row r="4052" spans="9:19" x14ac:dyDescent="0.25">
      <c r="I4052" s="1"/>
      <c r="J4052" s="71"/>
      <c r="M4052" s="46"/>
      <c r="R4052" s="51"/>
      <c r="S4052" s="51"/>
    </row>
    <row r="4053" spans="9:19" x14ac:dyDescent="0.25">
      <c r="I4053" s="1"/>
      <c r="J4053" s="71"/>
      <c r="M4053" s="46"/>
      <c r="R4053" s="51"/>
      <c r="S4053" s="51"/>
    </row>
    <row r="4054" spans="9:19" x14ac:dyDescent="0.25">
      <c r="I4054" s="1"/>
      <c r="J4054" s="71"/>
      <c r="M4054" s="46"/>
      <c r="R4054" s="51"/>
      <c r="S4054" s="51"/>
    </row>
    <row r="4055" spans="9:19" x14ac:dyDescent="0.25">
      <c r="I4055" s="1"/>
      <c r="J4055" s="71"/>
      <c r="M4055" s="46"/>
      <c r="R4055" s="51"/>
      <c r="S4055" s="51"/>
    </row>
    <row r="4056" spans="9:19" x14ac:dyDescent="0.25">
      <c r="I4056" s="1"/>
      <c r="J4056" s="71"/>
      <c r="M4056" s="46"/>
      <c r="R4056" s="51"/>
      <c r="S4056" s="51"/>
    </row>
    <row r="4057" spans="9:19" x14ac:dyDescent="0.25">
      <c r="I4057" s="1"/>
      <c r="J4057" s="71"/>
      <c r="M4057" s="46"/>
      <c r="R4057" s="51"/>
      <c r="S4057" s="51"/>
    </row>
    <row r="4058" spans="9:19" x14ac:dyDescent="0.25">
      <c r="I4058" s="1"/>
      <c r="J4058" s="71"/>
      <c r="M4058" s="46"/>
      <c r="R4058" s="51"/>
      <c r="S4058" s="51"/>
    </row>
    <row r="4059" spans="9:19" x14ac:dyDescent="0.25">
      <c r="I4059" s="1"/>
      <c r="J4059" s="71"/>
      <c r="M4059" s="46"/>
      <c r="R4059" s="51"/>
      <c r="S4059" s="51"/>
    </row>
    <row r="4060" spans="9:19" x14ac:dyDescent="0.25">
      <c r="I4060" s="1"/>
      <c r="J4060" s="71"/>
      <c r="M4060" s="46"/>
      <c r="R4060" s="51"/>
      <c r="S4060" s="51"/>
    </row>
    <row r="4061" spans="9:19" x14ac:dyDescent="0.25">
      <c r="I4061" s="1"/>
      <c r="J4061" s="71"/>
      <c r="M4061" s="46"/>
      <c r="R4061" s="51"/>
      <c r="S4061" s="51"/>
    </row>
    <row r="4062" spans="9:19" x14ac:dyDescent="0.25">
      <c r="I4062" s="1"/>
      <c r="J4062" s="71"/>
      <c r="M4062" s="46"/>
      <c r="R4062" s="51"/>
      <c r="S4062" s="51"/>
    </row>
    <row r="4063" spans="9:19" x14ac:dyDescent="0.25">
      <c r="I4063" s="1"/>
      <c r="J4063" s="71"/>
      <c r="M4063" s="46"/>
      <c r="R4063" s="51"/>
      <c r="S4063" s="51"/>
    </row>
    <row r="4064" spans="9:19" x14ac:dyDescent="0.25">
      <c r="I4064" s="1"/>
      <c r="J4064" s="71"/>
      <c r="M4064" s="46"/>
      <c r="R4064" s="51"/>
      <c r="S4064" s="51"/>
    </row>
    <row r="4065" spans="9:19" x14ac:dyDescent="0.25">
      <c r="I4065" s="1"/>
      <c r="J4065" s="71"/>
      <c r="M4065" s="46"/>
      <c r="R4065" s="51"/>
      <c r="S4065" s="51"/>
    </row>
    <row r="4066" spans="9:19" x14ac:dyDescent="0.25">
      <c r="I4066" s="1"/>
      <c r="J4066" s="71"/>
      <c r="M4066" s="46"/>
      <c r="R4066" s="51"/>
      <c r="S4066" s="51"/>
    </row>
    <row r="4067" spans="9:19" x14ac:dyDescent="0.25">
      <c r="I4067" s="1"/>
      <c r="J4067" s="71"/>
      <c r="M4067" s="46"/>
      <c r="R4067" s="51"/>
      <c r="S4067" s="51"/>
    </row>
    <row r="4068" spans="9:19" x14ac:dyDescent="0.25">
      <c r="I4068" s="1"/>
      <c r="J4068" s="71"/>
      <c r="M4068" s="46"/>
      <c r="R4068" s="51"/>
      <c r="S4068" s="51"/>
    </row>
    <row r="4069" spans="9:19" x14ac:dyDescent="0.25">
      <c r="I4069" s="1"/>
      <c r="J4069" s="71"/>
      <c r="M4069" s="46"/>
      <c r="R4069" s="51"/>
      <c r="S4069" s="51"/>
    </row>
    <row r="4070" spans="9:19" x14ac:dyDescent="0.25">
      <c r="I4070" s="1"/>
      <c r="J4070" s="71"/>
      <c r="M4070" s="46"/>
      <c r="R4070" s="51"/>
      <c r="S4070" s="51"/>
    </row>
    <row r="4071" spans="9:19" x14ac:dyDescent="0.25">
      <c r="I4071" s="1"/>
      <c r="J4071" s="71"/>
      <c r="M4071" s="46"/>
      <c r="R4071" s="51"/>
      <c r="S4071" s="51"/>
    </row>
    <row r="4072" spans="9:19" x14ac:dyDescent="0.25">
      <c r="I4072" s="1"/>
      <c r="J4072" s="71"/>
      <c r="M4072" s="46"/>
      <c r="R4072" s="51"/>
      <c r="S4072" s="51"/>
    </row>
    <row r="4073" spans="9:19" x14ac:dyDescent="0.25">
      <c r="I4073" s="1"/>
      <c r="J4073" s="71"/>
      <c r="M4073" s="46"/>
      <c r="R4073" s="51"/>
      <c r="S4073" s="51"/>
    </row>
    <row r="4074" spans="9:19" x14ac:dyDescent="0.25">
      <c r="I4074" s="1"/>
      <c r="J4074" s="71"/>
      <c r="M4074" s="46"/>
      <c r="R4074" s="51"/>
      <c r="S4074" s="51"/>
    </row>
    <row r="4075" spans="9:19" x14ac:dyDescent="0.25">
      <c r="I4075" s="1"/>
      <c r="J4075" s="71"/>
      <c r="M4075" s="46"/>
      <c r="R4075" s="51"/>
      <c r="S4075" s="51"/>
    </row>
    <row r="4076" spans="9:19" x14ac:dyDescent="0.25">
      <c r="I4076" s="1"/>
      <c r="J4076" s="71"/>
      <c r="M4076" s="46"/>
      <c r="R4076" s="51"/>
      <c r="S4076" s="51"/>
    </row>
    <row r="4077" spans="9:19" x14ac:dyDescent="0.25">
      <c r="I4077" s="1"/>
      <c r="J4077" s="71"/>
      <c r="M4077" s="46"/>
      <c r="R4077" s="51"/>
      <c r="S4077" s="51"/>
    </row>
    <row r="4078" spans="9:19" x14ac:dyDescent="0.25">
      <c r="I4078" s="1"/>
      <c r="J4078" s="71"/>
      <c r="M4078" s="46"/>
      <c r="R4078" s="51"/>
      <c r="S4078" s="51"/>
    </row>
    <row r="4079" spans="9:19" x14ac:dyDescent="0.25">
      <c r="I4079" s="1"/>
      <c r="J4079" s="71"/>
      <c r="M4079" s="46"/>
      <c r="R4079" s="51"/>
      <c r="S4079" s="51"/>
    </row>
    <row r="4080" spans="9:19" x14ac:dyDescent="0.25">
      <c r="I4080" s="1"/>
      <c r="J4080" s="71"/>
      <c r="M4080" s="46"/>
      <c r="R4080" s="51"/>
      <c r="S4080" s="51"/>
    </row>
    <row r="4081" spans="9:19" x14ac:dyDescent="0.25">
      <c r="I4081" s="1"/>
      <c r="J4081" s="71"/>
      <c r="M4081" s="46"/>
      <c r="R4081" s="51"/>
      <c r="S4081" s="51"/>
    </row>
    <row r="4082" spans="9:19" x14ac:dyDescent="0.25">
      <c r="I4082" s="1"/>
      <c r="J4082" s="71"/>
      <c r="M4082" s="46"/>
      <c r="R4082" s="51"/>
      <c r="S4082" s="51"/>
    </row>
    <row r="4083" spans="9:19" x14ac:dyDescent="0.25">
      <c r="I4083" s="1"/>
      <c r="J4083" s="71"/>
      <c r="M4083" s="46"/>
      <c r="R4083" s="51"/>
      <c r="S4083" s="51"/>
    </row>
    <row r="4084" spans="9:19" x14ac:dyDescent="0.25">
      <c r="I4084" s="1"/>
      <c r="J4084" s="71"/>
      <c r="M4084" s="46"/>
      <c r="R4084" s="51"/>
      <c r="S4084" s="51"/>
    </row>
    <row r="4085" spans="9:19" x14ac:dyDescent="0.25">
      <c r="I4085" s="1"/>
      <c r="J4085" s="71"/>
      <c r="M4085" s="46"/>
      <c r="R4085" s="51"/>
      <c r="S4085" s="51"/>
    </row>
    <row r="4086" spans="9:19" x14ac:dyDescent="0.25">
      <c r="I4086" s="1"/>
      <c r="J4086" s="71"/>
      <c r="M4086" s="46"/>
      <c r="R4086" s="51"/>
      <c r="S4086" s="51"/>
    </row>
    <row r="4087" spans="9:19" x14ac:dyDescent="0.25">
      <c r="I4087" s="1"/>
      <c r="J4087" s="71"/>
      <c r="M4087" s="46"/>
      <c r="R4087" s="51"/>
      <c r="S4087" s="51"/>
    </row>
    <row r="4088" spans="9:19" x14ac:dyDescent="0.25">
      <c r="I4088" s="1"/>
      <c r="J4088" s="71"/>
      <c r="M4088" s="46"/>
      <c r="R4088" s="51"/>
      <c r="S4088" s="51"/>
    </row>
    <row r="4089" spans="9:19" x14ac:dyDescent="0.25">
      <c r="I4089" s="1"/>
      <c r="J4089" s="71"/>
      <c r="M4089" s="46"/>
      <c r="R4089" s="51"/>
      <c r="S4089" s="51"/>
    </row>
    <row r="4090" spans="9:19" x14ac:dyDescent="0.25">
      <c r="I4090" s="1"/>
      <c r="J4090" s="71"/>
      <c r="M4090" s="46"/>
      <c r="R4090" s="51"/>
      <c r="S4090" s="51"/>
    </row>
    <row r="4091" spans="9:19" x14ac:dyDescent="0.25">
      <c r="I4091" s="1"/>
      <c r="J4091" s="71"/>
      <c r="M4091" s="46"/>
      <c r="R4091" s="51"/>
      <c r="S4091" s="51"/>
    </row>
    <row r="4092" spans="9:19" x14ac:dyDescent="0.25">
      <c r="I4092" s="1"/>
      <c r="J4092" s="71"/>
      <c r="M4092" s="46"/>
      <c r="R4092" s="51"/>
      <c r="S4092" s="51"/>
    </row>
    <row r="4093" spans="9:19" x14ac:dyDescent="0.25">
      <c r="I4093" s="1"/>
      <c r="J4093" s="71"/>
      <c r="M4093" s="46"/>
      <c r="R4093" s="51"/>
      <c r="S4093" s="51"/>
    </row>
    <row r="4094" spans="9:19" x14ac:dyDescent="0.25">
      <c r="I4094" s="1"/>
      <c r="J4094" s="71"/>
      <c r="M4094" s="46"/>
      <c r="R4094" s="51"/>
      <c r="S4094" s="51"/>
    </row>
    <row r="4095" spans="9:19" x14ac:dyDescent="0.25">
      <c r="I4095" s="1"/>
      <c r="J4095" s="71"/>
      <c r="M4095" s="46"/>
      <c r="R4095" s="51"/>
      <c r="S4095" s="51"/>
    </row>
    <row r="4096" spans="9:19" x14ac:dyDescent="0.25">
      <c r="I4096" s="1"/>
      <c r="J4096" s="71"/>
      <c r="M4096" s="46"/>
      <c r="R4096" s="51"/>
      <c r="S4096" s="51"/>
    </row>
    <row r="4097" spans="9:19" x14ac:dyDescent="0.25">
      <c r="I4097" s="1"/>
      <c r="J4097" s="71"/>
      <c r="M4097" s="46"/>
      <c r="R4097" s="51"/>
      <c r="S4097" s="51"/>
    </row>
    <row r="4098" spans="9:19" x14ac:dyDescent="0.25">
      <c r="I4098" s="1"/>
      <c r="J4098" s="71"/>
      <c r="M4098" s="46"/>
      <c r="R4098" s="51"/>
      <c r="S4098" s="51"/>
    </row>
    <row r="4099" spans="9:19" x14ac:dyDescent="0.25">
      <c r="I4099" s="1"/>
      <c r="J4099" s="71"/>
      <c r="M4099" s="46"/>
      <c r="R4099" s="51"/>
      <c r="S4099" s="51"/>
    </row>
    <row r="4100" spans="9:19" x14ac:dyDescent="0.25">
      <c r="I4100" s="1"/>
      <c r="J4100" s="71"/>
      <c r="M4100" s="46"/>
      <c r="R4100" s="51"/>
      <c r="S4100" s="51"/>
    </row>
    <row r="4101" spans="9:19" x14ac:dyDescent="0.25">
      <c r="I4101" s="1"/>
      <c r="J4101" s="71"/>
      <c r="M4101" s="46"/>
      <c r="R4101" s="51"/>
      <c r="S4101" s="51"/>
    </row>
    <row r="4102" spans="9:19" x14ac:dyDescent="0.25">
      <c r="I4102" s="1"/>
      <c r="J4102" s="71"/>
      <c r="M4102" s="46"/>
      <c r="R4102" s="51"/>
      <c r="S4102" s="51"/>
    </row>
    <row r="4103" spans="9:19" x14ac:dyDescent="0.25">
      <c r="I4103" s="1"/>
      <c r="J4103" s="71"/>
      <c r="M4103" s="46"/>
      <c r="R4103" s="51"/>
      <c r="S4103" s="51"/>
    </row>
    <row r="4104" spans="9:19" x14ac:dyDescent="0.25">
      <c r="I4104" s="1"/>
      <c r="J4104" s="71"/>
      <c r="M4104" s="46"/>
      <c r="R4104" s="51"/>
      <c r="S4104" s="51"/>
    </row>
    <row r="4105" spans="9:19" x14ac:dyDescent="0.25">
      <c r="I4105" s="1"/>
      <c r="J4105" s="71"/>
      <c r="M4105" s="46"/>
      <c r="R4105" s="51"/>
      <c r="S4105" s="51"/>
    </row>
    <row r="4106" spans="9:19" x14ac:dyDescent="0.25">
      <c r="I4106" s="1"/>
      <c r="J4106" s="71"/>
      <c r="M4106" s="46"/>
      <c r="R4106" s="51"/>
      <c r="S4106" s="51"/>
    </row>
    <row r="4107" spans="9:19" x14ac:dyDescent="0.25">
      <c r="I4107" s="1"/>
      <c r="J4107" s="71"/>
      <c r="M4107" s="46"/>
      <c r="R4107" s="51"/>
      <c r="S4107" s="51"/>
    </row>
    <row r="4108" spans="9:19" x14ac:dyDescent="0.25">
      <c r="I4108" s="1"/>
      <c r="J4108" s="71"/>
      <c r="M4108" s="46"/>
      <c r="R4108" s="51"/>
      <c r="S4108" s="51"/>
    </row>
    <row r="4109" spans="9:19" x14ac:dyDescent="0.25">
      <c r="I4109" s="1"/>
      <c r="J4109" s="71"/>
      <c r="M4109" s="46"/>
      <c r="R4109" s="51"/>
      <c r="S4109" s="51"/>
    </row>
    <row r="4110" spans="9:19" x14ac:dyDescent="0.25">
      <c r="I4110" s="1"/>
      <c r="J4110" s="71"/>
      <c r="M4110" s="46"/>
      <c r="R4110" s="51"/>
      <c r="S4110" s="51"/>
    </row>
    <row r="4111" spans="9:19" x14ac:dyDescent="0.25">
      <c r="I4111" s="1"/>
      <c r="J4111" s="71"/>
      <c r="M4111" s="46"/>
      <c r="R4111" s="51"/>
      <c r="S4111" s="51"/>
    </row>
    <row r="4112" spans="9:19" x14ac:dyDescent="0.25">
      <c r="I4112" s="1"/>
      <c r="J4112" s="71"/>
      <c r="M4112" s="46"/>
      <c r="R4112" s="51"/>
      <c r="S4112" s="51"/>
    </row>
    <row r="4113" spans="9:19" x14ac:dyDescent="0.25">
      <c r="I4113" s="1"/>
      <c r="J4113" s="71"/>
      <c r="M4113" s="46"/>
      <c r="R4113" s="51"/>
      <c r="S4113" s="51"/>
    </row>
    <row r="4114" spans="9:19" x14ac:dyDescent="0.25">
      <c r="I4114" s="1"/>
      <c r="J4114" s="71"/>
      <c r="M4114" s="46"/>
      <c r="R4114" s="51"/>
      <c r="S4114" s="51"/>
    </row>
    <row r="4115" spans="9:19" x14ac:dyDescent="0.25">
      <c r="I4115" s="1"/>
      <c r="J4115" s="71"/>
      <c r="M4115" s="46"/>
      <c r="R4115" s="51"/>
      <c r="S4115" s="51"/>
    </row>
    <row r="4116" spans="9:19" x14ac:dyDescent="0.25">
      <c r="I4116" s="1"/>
      <c r="J4116" s="71"/>
      <c r="M4116" s="46"/>
      <c r="R4116" s="51"/>
      <c r="S4116" s="51"/>
    </row>
    <row r="4117" spans="9:19" x14ac:dyDescent="0.25">
      <c r="I4117" s="1"/>
      <c r="J4117" s="71"/>
      <c r="M4117" s="46"/>
      <c r="R4117" s="51"/>
      <c r="S4117" s="51"/>
    </row>
    <row r="4118" spans="9:19" x14ac:dyDescent="0.25">
      <c r="I4118" s="1"/>
      <c r="J4118" s="71"/>
      <c r="M4118" s="46"/>
      <c r="R4118" s="51"/>
      <c r="S4118" s="51"/>
    </row>
    <row r="4119" spans="9:19" x14ac:dyDescent="0.25">
      <c r="I4119" s="1"/>
      <c r="J4119" s="71"/>
      <c r="M4119" s="46"/>
      <c r="R4119" s="51"/>
      <c r="S4119" s="51"/>
    </row>
    <row r="4120" spans="9:19" x14ac:dyDescent="0.25">
      <c r="I4120" s="1"/>
      <c r="J4120" s="71"/>
      <c r="M4120" s="46"/>
      <c r="R4120" s="51"/>
      <c r="S4120" s="51"/>
    </row>
    <row r="4121" spans="9:19" x14ac:dyDescent="0.25">
      <c r="I4121" s="1"/>
      <c r="J4121" s="71"/>
      <c r="M4121" s="46"/>
      <c r="R4121" s="51"/>
      <c r="S4121" s="51"/>
    </row>
    <row r="4122" spans="9:19" x14ac:dyDescent="0.25">
      <c r="I4122" s="1"/>
      <c r="J4122" s="71"/>
      <c r="M4122" s="46"/>
      <c r="R4122" s="51"/>
      <c r="S4122" s="51"/>
    </row>
    <row r="4123" spans="9:19" x14ac:dyDescent="0.25">
      <c r="I4123" s="1"/>
      <c r="J4123" s="71"/>
      <c r="M4123" s="46"/>
      <c r="R4123" s="51"/>
      <c r="S4123" s="51"/>
    </row>
    <row r="4124" spans="9:19" x14ac:dyDescent="0.25">
      <c r="I4124" s="1"/>
      <c r="J4124" s="71"/>
      <c r="M4124" s="46"/>
      <c r="R4124" s="51"/>
      <c r="S4124" s="51"/>
    </row>
    <row r="4125" spans="9:19" x14ac:dyDescent="0.25">
      <c r="I4125" s="1"/>
      <c r="J4125" s="71"/>
      <c r="M4125" s="46"/>
      <c r="R4125" s="51"/>
      <c r="S4125" s="51"/>
    </row>
    <row r="4126" spans="9:19" x14ac:dyDescent="0.25">
      <c r="I4126" s="1"/>
      <c r="J4126" s="71"/>
      <c r="M4126" s="46"/>
      <c r="R4126" s="51"/>
      <c r="S4126" s="51"/>
    </row>
    <row r="4127" spans="9:19" x14ac:dyDescent="0.25">
      <c r="I4127" s="1"/>
      <c r="J4127" s="71"/>
      <c r="M4127" s="46"/>
      <c r="R4127" s="51"/>
      <c r="S4127" s="51"/>
    </row>
    <row r="4128" spans="9:19" x14ac:dyDescent="0.25">
      <c r="I4128" s="1"/>
      <c r="J4128" s="71"/>
      <c r="M4128" s="46"/>
      <c r="R4128" s="51"/>
      <c r="S4128" s="51"/>
    </row>
    <row r="4129" spans="9:19" x14ac:dyDescent="0.25">
      <c r="I4129" s="1"/>
      <c r="J4129" s="71"/>
      <c r="M4129" s="46"/>
      <c r="R4129" s="51"/>
      <c r="S4129" s="51"/>
    </row>
    <row r="4130" spans="9:19" x14ac:dyDescent="0.25">
      <c r="I4130" s="1"/>
      <c r="J4130" s="71"/>
      <c r="M4130" s="46"/>
      <c r="R4130" s="51"/>
      <c r="S4130" s="51"/>
    </row>
    <row r="4131" spans="9:19" x14ac:dyDescent="0.25">
      <c r="I4131" s="1"/>
      <c r="J4131" s="71"/>
      <c r="M4131" s="46"/>
      <c r="R4131" s="51"/>
      <c r="S4131" s="51"/>
    </row>
    <row r="4132" spans="9:19" x14ac:dyDescent="0.25">
      <c r="I4132" s="1"/>
      <c r="J4132" s="71"/>
      <c r="M4132" s="46"/>
      <c r="R4132" s="51"/>
      <c r="S4132" s="51"/>
    </row>
    <row r="4133" spans="9:19" x14ac:dyDescent="0.25">
      <c r="I4133" s="1"/>
      <c r="J4133" s="71"/>
      <c r="M4133" s="46"/>
      <c r="R4133" s="51"/>
      <c r="S4133" s="51"/>
    </row>
    <row r="4134" spans="9:19" x14ac:dyDescent="0.25">
      <c r="I4134" s="1"/>
      <c r="J4134" s="71"/>
      <c r="M4134" s="46"/>
      <c r="R4134" s="51"/>
      <c r="S4134" s="51"/>
    </row>
    <row r="4135" spans="9:19" x14ac:dyDescent="0.25">
      <c r="I4135" s="1"/>
      <c r="J4135" s="71"/>
      <c r="M4135" s="46"/>
      <c r="R4135" s="51"/>
      <c r="S4135" s="51"/>
    </row>
    <row r="4136" spans="9:19" x14ac:dyDescent="0.25">
      <c r="I4136" s="1"/>
      <c r="J4136" s="71"/>
      <c r="M4136" s="46"/>
      <c r="R4136" s="51"/>
      <c r="S4136" s="51"/>
    </row>
    <row r="4137" spans="9:19" x14ac:dyDescent="0.25">
      <c r="I4137" s="1"/>
      <c r="J4137" s="71"/>
      <c r="M4137" s="46"/>
      <c r="R4137" s="51"/>
      <c r="S4137" s="51"/>
    </row>
    <row r="4138" spans="9:19" x14ac:dyDescent="0.25">
      <c r="I4138" s="1"/>
      <c r="J4138" s="71"/>
      <c r="M4138" s="46"/>
      <c r="R4138" s="51"/>
      <c r="S4138" s="51"/>
    </row>
    <row r="4139" spans="9:19" x14ac:dyDescent="0.25">
      <c r="I4139" s="1"/>
      <c r="J4139" s="71"/>
      <c r="M4139" s="46"/>
      <c r="R4139" s="51"/>
      <c r="S4139" s="51"/>
    </row>
    <row r="4140" spans="9:19" x14ac:dyDescent="0.25">
      <c r="I4140" s="1"/>
      <c r="J4140" s="71"/>
      <c r="M4140" s="46"/>
      <c r="R4140" s="51"/>
      <c r="S4140" s="51"/>
    </row>
    <row r="4141" spans="9:19" x14ac:dyDescent="0.25">
      <c r="I4141" s="1"/>
      <c r="J4141" s="71"/>
      <c r="M4141" s="46"/>
      <c r="R4141" s="51"/>
      <c r="S4141" s="51"/>
    </row>
    <row r="4142" spans="9:19" x14ac:dyDescent="0.25">
      <c r="I4142" s="1"/>
      <c r="J4142" s="71"/>
      <c r="M4142" s="46"/>
      <c r="R4142" s="51"/>
      <c r="S4142" s="51"/>
    </row>
    <row r="4143" spans="9:19" x14ac:dyDescent="0.25">
      <c r="I4143" s="1"/>
      <c r="J4143" s="71"/>
      <c r="M4143" s="46"/>
      <c r="R4143" s="51"/>
      <c r="S4143" s="51"/>
    </row>
    <row r="4144" spans="9:19" x14ac:dyDescent="0.25">
      <c r="I4144" s="1"/>
      <c r="J4144" s="71"/>
      <c r="M4144" s="46"/>
      <c r="R4144" s="51"/>
      <c r="S4144" s="51"/>
    </row>
    <row r="4145" spans="9:19" x14ac:dyDescent="0.25">
      <c r="I4145" s="1"/>
      <c r="J4145" s="71"/>
      <c r="M4145" s="46"/>
      <c r="R4145" s="51"/>
      <c r="S4145" s="51"/>
    </row>
    <row r="4146" spans="9:19" x14ac:dyDescent="0.25">
      <c r="I4146" s="1"/>
      <c r="J4146" s="71"/>
      <c r="M4146" s="46"/>
      <c r="R4146" s="51"/>
      <c r="S4146" s="51"/>
    </row>
    <row r="4147" spans="9:19" x14ac:dyDescent="0.25">
      <c r="I4147" s="1"/>
      <c r="J4147" s="71"/>
      <c r="M4147" s="46"/>
      <c r="R4147" s="51"/>
      <c r="S4147" s="51"/>
    </row>
    <row r="4148" spans="9:19" x14ac:dyDescent="0.25">
      <c r="I4148" s="1"/>
      <c r="J4148" s="71"/>
      <c r="M4148" s="46"/>
      <c r="R4148" s="51"/>
      <c r="S4148" s="51"/>
    </row>
    <row r="4149" spans="9:19" x14ac:dyDescent="0.25">
      <c r="I4149" s="1"/>
      <c r="J4149" s="71"/>
      <c r="M4149" s="46"/>
      <c r="R4149" s="51"/>
      <c r="S4149" s="51"/>
    </row>
    <row r="4150" spans="9:19" x14ac:dyDescent="0.25">
      <c r="I4150" s="1"/>
      <c r="J4150" s="71"/>
      <c r="M4150" s="46"/>
      <c r="R4150" s="51"/>
      <c r="S4150" s="51"/>
    </row>
    <row r="4151" spans="9:19" x14ac:dyDescent="0.25">
      <c r="I4151" s="1"/>
      <c r="J4151" s="71"/>
      <c r="M4151" s="46"/>
      <c r="R4151" s="51"/>
      <c r="S4151" s="51"/>
    </row>
    <row r="4152" spans="9:19" x14ac:dyDescent="0.25">
      <c r="I4152" s="1"/>
      <c r="J4152" s="71"/>
      <c r="M4152" s="46"/>
      <c r="R4152" s="51"/>
      <c r="S4152" s="51"/>
    </row>
    <row r="4153" spans="9:19" x14ac:dyDescent="0.25">
      <c r="I4153" s="1"/>
      <c r="J4153" s="71"/>
      <c r="M4153" s="46"/>
      <c r="R4153" s="51"/>
      <c r="S4153" s="51"/>
    </row>
    <row r="4154" spans="9:19" x14ac:dyDescent="0.25">
      <c r="I4154" s="1"/>
      <c r="J4154" s="71"/>
      <c r="M4154" s="46"/>
      <c r="R4154" s="51"/>
      <c r="S4154" s="51"/>
    </row>
    <row r="4155" spans="9:19" x14ac:dyDescent="0.25">
      <c r="I4155" s="1"/>
      <c r="J4155" s="71"/>
      <c r="M4155" s="46"/>
      <c r="R4155" s="51"/>
      <c r="S4155" s="51"/>
    </row>
    <row r="4156" spans="9:19" x14ac:dyDescent="0.25">
      <c r="I4156" s="1"/>
      <c r="J4156" s="71"/>
      <c r="M4156" s="46"/>
      <c r="R4156" s="51"/>
      <c r="S4156" s="51"/>
    </row>
    <row r="4157" spans="9:19" x14ac:dyDescent="0.25">
      <c r="I4157" s="1"/>
      <c r="J4157" s="71"/>
      <c r="M4157" s="46"/>
      <c r="R4157" s="51"/>
      <c r="S4157" s="51"/>
    </row>
    <row r="4158" spans="9:19" x14ac:dyDescent="0.25">
      <c r="I4158" s="1"/>
      <c r="J4158" s="71"/>
      <c r="M4158" s="46"/>
      <c r="R4158" s="51"/>
      <c r="S4158" s="51"/>
    </row>
    <row r="4159" spans="9:19" x14ac:dyDescent="0.25">
      <c r="I4159" s="1"/>
      <c r="J4159" s="71"/>
      <c r="M4159" s="46"/>
      <c r="R4159" s="51"/>
      <c r="S4159" s="51"/>
    </row>
    <row r="4160" spans="9:19" x14ac:dyDescent="0.25">
      <c r="I4160" s="1"/>
      <c r="J4160" s="71"/>
      <c r="M4160" s="46"/>
      <c r="R4160" s="51"/>
      <c r="S4160" s="51"/>
    </row>
    <row r="4161" spans="9:19" x14ac:dyDescent="0.25">
      <c r="I4161" s="1"/>
      <c r="J4161" s="71"/>
      <c r="M4161" s="46"/>
      <c r="R4161" s="51"/>
      <c r="S4161" s="51"/>
    </row>
    <row r="4162" spans="9:19" x14ac:dyDescent="0.25">
      <c r="I4162" s="1"/>
      <c r="J4162" s="71"/>
      <c r="M4162" s="46"/>
      <c r="R4162" s="51"/>
      <c r="S4162" s="51"/>
    </row>
    <row r="4163" spans="9:19" x14ac:dyDescent="0.25">
      <c r="I4163" s="1"/>
      <c r="J4163" s="71"/>
      <c r="M4163" s="46"/>
      <c r="R4163" s="51"/>
      <c r="S4163" s="51"/>
    </row>
    <row r="4164" spans="9:19" x14ac:dyDescent="0.25">
      <c r="I4164" s="1"/>
      <c r="J4164" s="71"/>
      <c r="M4164" s="46"/>
      <c r="R4164" s="51"/>
      <c r="S4164" s="51"/>
    </row>
    <row r="4165" spans="9:19" x14ac:dyDescent="0.25">
      <c r="I4165" s="1"/>
      <c r="J4165" s="71"/>
      <c r="M4165" s="46"/>
      <c r="R4165" s="51"/>
      <c r="S4165" s="51"/>
    </row>
    <row r="4166" spans="9:19" x14ac:dyDescent="0.25">
      <c r="I4166" s="1"/>
      <c r="J4166" s="71"/>
      <c r="M4166" s="46"/>
      <c r="R4166" s="51"/>
      <c r="S4166" s="51"/>
    </row>
    <row r="4167" spans="9:19" x14ac:dyDescent="0.25">
      <c r="I4167" s="1"/>
      <c r="J4167" s="71"/>
      <c r="M4167" s="46"/>
      <c r="R4167" s="51"/>
      <c r="S4167" s="51"/>
    </row>
    <row r="4168" spans="9:19" x14ac:dyDescent="0.25">
      <c r="I4168" s="1"/>
      <c r="J4168" s="71"/>
      <c r="M4168" s="46"/>
      <c r="R4168" s="51"/>
      <c r="S4168" s="51"/>
    </row>
    <row r="4169" spans="9:19" x14ac:dyDescent="0.25">
      <c r="I4169" s="1"/>
      <c r="J4169" s="71"/>
      <c r="M4169" s="46"/>
      <c r="R4169" s="51"/>
      <c r="S4169" s="51"/>
    </row>
    <row r="4170" spans="9:19" x14ac:dyDescent="0.25">
      <c r="I4170" s="1"/>
      <c r="J4170" s="71"/>
      <c r="M4170" s="46"/>
      <c r="R4170" s="51"/>
      <c r="S4170" s="51"/>
    </row>
    <row r="4171" spans="9:19" x14ac:dyDescent="0.25">
      <c r="I4171" s="1"/>
      <c r="J4171" s="71"/>
      <c r="M4171" s="46"/>
      <c r="R4171" s="51"/>
      <c r="S4171" s="51"/>
    </row>
    <row r="4172" spans="9:19" x14ac:dyDescent="0.25">
      <c r="I4172" s="1"/>
      <c r="J4172" s="71"/>
      <c r="M4172" s="46"/>
      <c r="R4172" s="51"/>
      <c r="S4172" s="51"/>
    </row>
    <row r="4173" spans="9:19" x14ac:dyDescent="0.25">
      <c r="I4173" s="1"/>
      <c r="J4173" s="71"/>
      <c r="M4173" s="46"/>
      <c r="R4173" s="51"/>
      <c r="S4173" s="51"/>
    </row>
    <row r="4174" spans="9:19" x14ac:dyDescent="0.25">
      <c r="I4174" s="1"/>
      <c r="J4174" s="71"/>
      <c r="M4174" s="46"/>
      <c r="R4174" s="51"/>
      <c r="S4174" s="51"/>
    </row>
    <row r="4175" spans="9:19" x14ac:dyDescent="0.25">
      <c r="I4175" s="1"/>
      <c r="J4175" s="71"/>
      <c r="M4175" s="46"/>
      <c r="R4175" s="51"/>
      <c r="S4175" s="51"/>
    </row>
    <row r="4176" spans="9:19" x14ac:dyDescent="0.25">
      <c r="I4176" s="1"/>
      <c r="J4176" s="71"/>
      <c r="M4176" s="46"/>
      <c r="R4176" s="51"/>
      <c r="S4176" s="51"/>
    </row>
    <row r="4177" spans="9:19" x14ac:dyDescent="0.25">
      <c r="I4177" s="1"/>
      <c r="J4177" s="71"/>
      <c r="M4177" s="46"/>
      <c r="R4177" s="51"/>
      <c r="S4177" s="51"/>
    </row>
    <row r="4178" spans="9:19" x14ac:dyDescent="0.25">
      <c r="I4178" s="1"/>
      <c r="J4178" s="71"/>
      <c r="M4178" s="46"/>
      <c r="R4178" s="51"/>
      <c r="S4178" s="51"/>
    </row>
    <row r="4179" spans="9:19" x14ac:dyDescent="0.25">
      <c r="I4179" s="1"/>
      <c r="J4179" s="71"/>
      <c r="M4179" s="46"/>
      <c r="R4179" s="51"/>
      <c r="S4179" s="51"/>
    </row>
    <row r="4180" spans="9:19" x14ac:dyDescent="0.25">
      <c r="I4180" s="1"/>
      <c r="J4180" s="71"/>
      <c r="M4180" s="46"/>
      <c r="R4180" s="51"/>
      <c r="S4180" s="51"/>
    </row>
    <row r="4181" spans="9:19" x14ac:dyDescent="0.25">
      <c r="I4181" s="1"/>
      <c r="J4181" s="71"/>
      <c r="M4181" s="46"/>
      <c r="R4181" s="51"/>
      <c r="S4181" s="51"/>
    </row>
    <row r="4182" spans="9:19" x14ac:dyDescent="0.25">
      <c r="I4182" s="1"/>
      <c r="J4182" s="71"/>
      <c r="M4182" s="46"/>
      <c r="R4182" s="51"/>
      <c r="S4182" s="51"/>
    </row>
    <row r="4183" spans="9:19" x14ac:dyDescent="0.25">
      <c r="I4183" s="1"/>
      <c r="J4183" s="71"/>
      <c r="M4183" s="46"/>
      <c r="R4183" s="51"/>
      <c r="S4183" s="51"/>
    </row>
    <row r="4184" spans="9:19" x14ac:dyDescent="0.25">
      <c r="I4184" s="1"/>
      <c r="J4184" s="71"/>
      <c r="M4184" s="46"/>
      <c r="R4184" s="51"/>
      <c r="S4184" s="51"/>
    </row>
    <row r="4185" spans="9:19" x14ac:dyDescent="0.25">
      <c r="I4185" s="1"/>
      <c r="J4185" s="71"/>
      <c r="M4185" s="46"/>
      <c r="R4185" s="51"/>
      <c r="S4185" s="51"/>
    </row>
    <row r="4186" spans="9:19" x14ac:dyDescent="0.25">
      <c r="I4186" s="1"/>
      <c r="J4186" s="71"/>
      <c r="M4186" s="46"/>
      <c r="R4186" s="51"/>
      <c r="S4186" s="51"/>
    </row>
    <row r="4187" spans="9:19" x14ac:dyDescent="0.25">
      <c r="I4187" s="1"/>
      <c r="J4187" s="71"/>
      <c r="M4187" s="46"/>
      <c r="R4187" s="51"/>
      <c r="S4187" s="51"/>
    </row>
    <row r="4188" spans="9:19" x14ac:dyDescent="0.25">
      <c r="I4188" s="1"/>
      <c r="J4188" s="71"/>
      <c r="M4188" s="46"/>
      <c r="R4188" s="51"/>
      <c r="S4188" s="51"/>
    </row>
    <row r="4189" spans="9:19" x14ac:dyDescent="0.25">
      <c r="I4189" s="1"/>
      <c r="J4189" s="71"/>
      <c r="M4189" s="46"/>
      <c r="R4189" s="51"/>
      <c r="S4189" s="51"/>
    </row>
    <row r="4190" spans="9:19" x14ac:dyDescent="0.25">
      <c r="I4190" s="1"/>
      <c r="J4190" s="71"/>
      <c r="M4190" s="46"/>
      <c r="R4190" s="51"/>
      <c r="S4190" s="51"/>
    </row>
    <row r="4191" spans="9:19" x14ac:dyDescent="0.25">
      <c r="I4191" s="1"/>
      <c r="J4191" s="71"/>
      <c r="M4191" s="46"/>
      <c r="R4191" s="51"/>
      <c r="S4191" s="51"/>
    </row>
    <row r="4192" spans="9:19" x14ac:dyDescent="0.25">
      <c r="I4192" s="1"/>
      <c r="J4192" s="71"/>
      <c r="M4192" s="46"/>
      <c r="R4192" s="51"/>
      <c r="S4192" s="51"/>
    </row>
    <row r="4193" spans="9:19" x14ac:dyDescent="0.25">
      <c r="I4193" s="1"/>
      <c r="J4193" s="71"/>
      <c r="M4193" s="46"/>
      <c r="R4193" s="51"/>
      <c r="S4193" s="51"/>
    </row>
    <row r="4194" spans="9:19" x14ac:dyDescent="0.25">
      <c r="I4194" s="1"/>
      <c r="J4194" s="71"/>
      <c r="M4194" s="46"/>
      <c r="R4194" s="51"/>
      <c r="S4194" s="51"/>
    </row>
    <row r="4195" spans="9:19" x14ac:dyDescent="0.25">
      <c r="I4195" s="1"/>
      <c r="J4195" s="71"/>
      <c r="M4195" s="46"/>
      <c r="R4195" s="51"/>
      <c r="S4195" s="51"/>
    </row>
    <row r="4196" spans="9:19" x14ac:dyDescent="0.25">
      <c r="I4196" s="1"/>
      <c r="J4196" s="71"/>
      <c r="M4196" s="46"/>
      <c r="R4196" s="51"/>
      <c r="S4196" s="51"/>
    </row>
    <row r="4197" spans="9:19" x14ac:dyDescent="0.25">
      <c r="I4197" s="1"/>
      <c r="J4197" s="71"/>
      <c r="M4197" s="46"/>
      <c r="R4197" s="51"/>
      <c r="S4197" s="51"/>
    </row>
    <row r="4198" spans="9:19" x14ac:dyDescent="0.25">
      <c r="I4198" s="1"/>
      <c r="J4198" s="71"/>
      <c r="M4198" s="46"/>
      <c r="R4198" s="51"/>
      <c r="S4198" s="51"/>
    </row>
    <row r="4199" spans="9:19" x14ac:dyDescent="0.25">
      <c r="I4199" s="1"/>
      <c r="J4199" s="71"/>
      <c r="M4199" s="46"/>
      <c r="R4199" s="51"/>
      <c r="S4199" s="51"/>
    </row>
    <row r="4200" spans="9:19" x14ac:dyDescent="0.25">
      <c r="I4200" s="1"/>
      <c r="J4200" s="71"/>
      <c r="M4200" s="46"/>
      <c r="R4200" s="51"/>
      <c r="S4200" s="51"/>
    </row>
    <row r="4201" spans="9:19" x14ac:dyDescent="0.25">
      <c r="I4201" s="1"/>
      <c r="J4201" s="71"/>
      <c r="M4201" s="46"/>
      <c r="R4201" s="51"/>
      <c r="S4201" s="51"/>
    </row>
    <row r="4202" spans="9:19" x14ac:dyDescent="0.25">
      <c r="I4202" s="1"/>
      <c r="J4202" s="71"/>
      <c r="M4202" s="46"/>
      <c r="R4202" s="51"/>
      <c r="S4202" s="51"/>
    </row>
    <row r="4203" spans="9:19" x14ac:dyDescent="0.25">
      <c r="I4203" s="1"/>
      <c r="J4203" s="71"/>
      <c r="M4203" s="46"/>
      <c r="R4203" s="51"/>
      <c r="S4203" s="51"/>
    </row>
    <row r="4204" spans="9:19" x14ac:dyDescent="0.25">
      <c r="I4204" s="1"/>
      <c r="J4204" s="71"/>
      <c r="M4204" s="46"/>
      <c r="R4204" s="51"/>
      <c r="S4204" s="51"/>
    </row>
    <row r="4205" spans="9:19" x14ac:dyDescent="0.25">
      <c r="I4205" s="1"/>
      <c r="J4205" s="71"/>
      <c r="M4205" s="46"/>
      <c r="R4205" s="51"/>
      <c r="S4205" s="51"/>
    </row>
    <row r="4206" spans="9:19" x14ac:dyDescent="0.25">
      <c r="I4206" s="1"/>
      <c r="J4206" s="71"/>
      <c r="M4206" s="46"/>
      <c r="R4206" s="51"/>
      <c r="S4206" s="51"/>
    </row>
    <row r="4207" spans="9:19" x14ac:dyDescent="0.25">
      <c r="I4207" s="1"/>
      <c r="J4207" s="71"/>
      <c r="M4207" s="46"/>
      <c r="R4207" s="51"/>
      <c r="S4207" s="51"/>
    </row>
    <row r="4208" spans="9:19" x14ac:dyDescent="0.25">
      <c r="I4208" s="1"/>
      <c r="J4208" s="71"/>
      <c r="M4208" s="46"/>
      <c r="R4208" s="51"/>
      <c r="S4208" s="51"/>
    </row>
    <row r="4209" spans="9:19" x14ac:dyDescent="0.25">
      <c r="I4209" s="1"/>
      <c r="J4209" s="71"/>
      <c r="M4209" s="46"/>
      <c r="R4209" s="51"/>
      <c r="S4209" s="51"/>
    </row>
    <row r="4210" spans="9:19" x14ac:dyDescent="0.25">
      <c r="I4210" s="1"/>
      <c r="J4210" s="71"/>
      <c r="M4210" s="46"/>
      <c r="R4210" s="51"/>
      <c r="S4210" s="51"/>
    </row>
    <row r="4211" spans="9:19" x14ac:dyDescent="0.25">
      <c r="I4211" s="1"/>
      <c r="J4211" s="71"/>
      <c r="M4211" s="46"/>
      <c r="R4211" s="51"/>
      <c r="S4211" s="51"/>
    </row>
    <row r="4212" spans="9:19" x14ac:dyDescent="0.25">
      <c r="I4212" s="1"/>
      <c r="J4212" s="71"/>
      <c r="M4212" s="46"/>
      <c r="R4212" s="51"/>
      <c r="S4212" s="51"/>
    </row>
    <row r="4213" spans="9:19" x14ac:dyDescent="0.25">
      <c r="I4213" s="1"/>
      <c r="J4213" s="71"/>
      <c r="M4213" s="46"/>
      <c r="R4213" s="51"/>
      <c r="S4213" s="51"/>
    </row>
    <row r="4214" spans="9:19" x14ac:dyDescent="0.25">
      <c r="I4214" s="1"/>
      <c r="J4214" s="71"/>
      <c r="M4214" s="46"/>
      <c r="R4214" s="51"/>
      <c r="S4214" s="51"/>
    </row>
    <row r="4215" spans="9:19" x14ac:dyDescent="0.25">
      <c r="I4215" s="1"/>
      <c r="J4215" s="71"/>
      <c r="M4215" s="46"/>
      <c r="R4215" s="51"/>
      <c r="S4215" s="51"/>
    </row>
    <row r="4216" spans="9:19" x14ac:dyDescent="0.25">
      <c r="I4216" s="1"/>
      <c r="J4216" s="71"/>
      <c r="M4216" s="46"/>
      <c r="R4216" s="51"/>
      <c r="S4216" s="51"/>
    </row>
    <row r="4217" spans="9:19" x14ac:dyDescent="0.25">
      <c r="I4217" s="1"/>
      <c r="J4217" s="71"/>
      <c r="M4217" s="46"/>
      <c r="R4217" s="51"/>
      <c r="S4217" s="51"/>
    </row>
    <row r="4218" spans="9:19" x14ac:dyDescent="0.25">
      <c r="I4218" s="1"/>
      <c r="J4218" s="71"/>
      <c r="M4218" s="46"/>
      <c r="R4218" s="51"/>
      <c r="S4218" s="51"/>
    </row>
    <row r="4219" spans="9:19" x14ac:dyDescent="0.25">
      <c r="I4219" s="1"/>
      <c r="J4219" s="71"/>
      <c r="M4219" s="46"/>
      <c r="R4219" s="51"/>
      <c r="S4219" s="51"/>
    </row>
    <row r="4220" spans="9:19" x14ac:dyDescent="0.25">
      <c r="I4220" s="1"/>
      <c r="J4220" s="71"/>
      <c r="M4220" s="46"/>
      <c r="R4220" s="51"/>
      <c r="S4220" s="51"/>
    </row>
    <row r="4221" spans="9:19" x14ac:dyDescent="0.25">
      <c r="I4221" s="1"/>
      <c r="J4221" s="71"/>
      <c r="M4221" s="46"/>
      <c r="R4221" s="51"/>
      <c r="S4221" s="51"/>
    </row>
    <row r="4222" spans="9:19" x14ac:dyDescent="0.25">
      <c r="I4222" s="1"/>
      <c r="J4222" s="71"/>
      <c r="M4222" s="46"/>
      <c r="R4222" s="51"/>
      <c r="S4222" s="51"/>
    </row>
    <row r="4223" spans="9:19" x14ac:dyDescent="0.25">
      <c r="I4223" s="1"/>
      <c r="J4223" s="71"/>
      <c r="M4223" s="46"/>
      <c r="R4223" s="51"/>
      <c r="S4223" s="51"/>
    </row>
    <row r="4224" spans="9:19" x14ac:dyDescent="0.25">
      <c r="I4224" s="1"/>
      <c r="J4224" s="71"/>
      <c r="M4224" s="46"/>
      <c r="R4224" s="51"/>
      <c r="S4224" s="51"/>
    </row>
    <row r="4225" spans="9:19" x14ac:dyDescent="0.25">
      <c r="I4225" s="1"/>
      <c r="J4225" s="71"/>
      <c r="M4225" s="46"/>
      <c r="R4225" s="51"/>
      <c r="S4225" s="51"/>
    </row>
    <row r="4226" spans="9:19" x14ac:dyDescent="0.25">
      <c r="I4226" s="1"/>
      <c r="J4226" s="71"/>
      <c r="M4226" s="46"/>
      <c r="R4226" s="51"/>
      <c r="S4226" s="51"/>
    </row>
    <row r="4227" spans="9:19" x14ac:dyDescent="0.25">
      <c r="I4227" s="1"/>
      <c r="J4227" s="71"/>
      <c r="M4227" s="46"/>
      <c r="R4227" s="51"/>
      <c r="S4227" s="51"/>
    </row>
    <row r="4228" spans="9:19" x14ac:dyDescent="0.25">
      <c r="I4228" s="1"/>
      <c r="J4228" s="71"/>
      <c r="M4228" s="46"/>
      <c r="R4228" s="51"/>
      <c r="S4228" s="51"/>
    </row>
    <row r="4229" spans="9:19" x14ac:dyDescent="0.25">
      <c r="I4229" s="1"/>
      <c r="J4229" s="71"/>
      <c r="M4229" s="46"/>
      <c r="R4229" s="51"/>
      <c r="S4229" s="51"/>
    </row>
    <row r="4230" spans="9:19" x14ac:dyDescent="0.25">
      <c r="I4230" s="1"/>
      <c r="J4230" s="71"/>
      <c r="M4230" s="46"/>
      <c r="R4230" s="51"/>
      <c r="S4230" s="51"/>
    </row>
    <row r="4231" spans="9:19" x14ac:dyDescent="0.25">
      <c r="I4231" s="1"/>
      <c r="J4231" s="71"/>
      <c r="M4231" s="46"/>
      <c r="R4231" s="51"/>
      <c r="S4231" s="51"/>
    </row>
    <row r="4232" spans="9:19" x14ac:dyDescent="0.25">
      <c r="I4232" s="1"/>
      <c r="J4232" s="71"/>
      <c r="M4232" s="46"/>
      <c r="R4232" s="51"/>
      <c r="S4232" s="51"/>
    </row>
    <row r="4233" spans="9:19" x14ac:dyDescent="0.25">
      <c r="I4233" s="1"/>
      <c r="J4233" s="71"/>
      <c r="M4233" s="46"/>
      <c r="R4233" s="51"/>
      <c r="S4233" s="51"/>
    </row>
    <row r="4234" spans="9:19" x14ac:dyDescent="0.25">
      <c r="I4234" s="1"/>
      <c r="J4234" s="71"/>
      <c r="M4234" s="46"/>
      <c r="R4234" s="51"/>
      <c r="S4234" s="51"/>
    </row>
    <row r="4235" spans="9:19" x14ac:dyDescent="0.25">
      <c r="I4235" s="1"/>
      <c r="J4235" s="71"/>
      <c r="M4235" s="46"/>
      <c r="R4235" s="51"/>
      <c r="S4235" s="51"/>
    </row>
    <row r="4236" spans="9:19" x14ac:dyDescent="0.25">
      <c r="I4236" s="1"/>
      <c r="J4236" s="71"/>
      <c r="M4236" s="46"/>
      <c r="R4236" s="51"/>
      <c r="S4236" s="51"/>
    </row>
    <row r="4237" spans="9:19" x14ac:dyDescent="0.25">
      <c r="I4237" s="1"/>
      <c r="J4237" s="71"/>
      <c r="M4237" s="46"/>
      <c r="R4237" s="51"/>
      <c r="S4237" s="51"/>
    </row>
    <row r="4238" spans="9:19" x14ac:dyDescent="0.25">
      <c r="I4238" s="1"/>
      <c r="J4238" s="71"/>
      <c r="M4238" s="46"/>
      <c r="R4238" s="51"/>
      <c r="S4238" s="51"/>
    </row>
    <row r="4239" spans="9:19" x14ac:dyDescent="0.25">
      <c r="I4239" s="1"/>
      <c r="J4239" s="71"/>
      <c r="M4239" s="46"/>
      <c r="R4239" s="51"/>
      <c r="S4239" s="51"/>
    </row>
    <row r="4240" spans="9:19" x14ac:dyDescent="0.25">
      <c r="I4240" s="1"/>
      <c r="J4240" s="71"/>
      <c r="M4240" s="46"/>
      <c r="R4240" s="51"/>
      <c r="S4240" s="51"/>
    </row>
    <row r="4241" spans="9:19" x14ac:dyDescent="0.25">
      <c r="I4241" s="1"/>
      <c r="J4241" s="71"/>
      <c r="M4241" s="46"/>
      <c r="R4241" s="51"/>
      <c r="S4241" s="51"/>
    </row>
    <row r="4242" spans="9:19" x14ac:dyDescent="0.25">
      <c r="I4242" s="1"/>
      <c r="J4242" s="71"/>
      <c r="M4242" s="46"/>
      <c r="R4242" s="51"/>
      <c r="S4242" s="51"/>
    </row>
    <row r="4243" spans="9:19" x14ac:dyDescent="0.25">
      <c r="I4243" s="1"/>
      <c r="J4243" s="71"/>
      <c r="M4243" s="46"/>
      <c r="R4243" s="51"/>
      <c r="S4243" s="51"/>
    </row>
    <row r="4244" spans="9:19" x14ac:dyDescent="0.25">
      <c r="I4244" s="1"/>
      <c r="J4244" s="71"/>
      <c r="M4244" s="46"/>
      <c r="R4244" s="51"/>
      <c r="S4244" s="51"/>
    </row>
    <row r="4245" spans="9:19" x14ac:dyDescent="0.25">
      <c r="I4245" s="1"/>
      <c r="J4245" s="71"/>
      <c r="M4245" s="46"/>
      <c r="R4245" s="51"/>
      <c r="S4245" s="51"/>
    </row>
    <row r="4246" spans="9:19" x14ac:dyDescent="0.25">
      <c r="I4246" s="1"/>
      <c r="J4246" s="71"/>
      <c r="M4246" s="46"/>
      <c r="R4246" s="51"/>
      <c r="S4246" s="51"/>
    </row>
    <row r="4247" spans="9:19" x14ac:dyDescent="0.25">
      <c r="I4247" s="1"/>
      <c r="J4247" s="71"/>
      <c r="M4247" s="46"/>
      <c r="R4247" s="51"/>
      <c r="S4247" s="51"/>
    </row>
    <row r="4248" spans="9:19" x14ac:dyDescent="0.25">
      <c r="I4248" s="1"/>
      <c r="J4248" s="71"/>
      <c r="M4248" s="46"/>
      <c r="R4248" s="51"/>
      <c r="S4248" s="51"/>
    </row>
    <row r="4249" spans="9:19" x14ac:dyDescent="0.25">
      <c r="I4249" s="1"/>
      <c r="J4249" s="71"/>
      <c r="M4249" s="46"/>
      <c r="R4249" s="51"/>
      <c r="S4249" s="51"/>
    </row>
    <row r="4250" spans="9:19" x14ac:dyDescent="0.25">
      <c r="I4250" s="1"/>
      <c r="J4250" s="71"/>
      <c r="M4250" s="46"/>
      <c r="R4250" s="51"/>
      <c r="S4250" s="51"/>
    </row>
    <row r="4251" spans="9:19" x14ac:dyDescent="0.25">
      <c r="I4251" s="1"/>
      <c r="J4251" s="71"/>
      <c r="M4251" s="46"/>
      <c r="R4251" s="51"/>
      <c r="S4251" s="51"/>
    </row>
    <row r="4252" spans="9:19" x14ac:dyDescent="0.25">
      <c r="I4252" s="1"/>
      <c r="J4252" s="71"/>
      <c r="M4252" s="46"/>
      <c r="R4252" s="51"/>
      <c r="S4252" s="51"/>
    </row>
    <row r="4253" spans="9:19" x14ac:dyDescent="0.25">
      <c r="I4253" s="1"/>
      <c r="J4253" s="71"/>
      <c r="M4253" s="46"/>
      <c r="R4253" s="51"/>
      <c r="S4253" s="51"/>
    </row>
    <row r="4254" spans="9:19" x14ac:dyDescent="0.25">
      <c r="I4254" s="1"/>
      <c r="J4254" s="71"/>
      <c r="M4254" s="46"/>
      <c r="R4254" s="51"/>
      <c r="S4254" s="51"/>
    </row>
    <row r="4255" spans="9:19" x14ac:dyDescent="0.25">
      <c r="I4255" s="1"/>
      <c r="J4255" s="71"/>
      <c r="M4255" s="46"/>
      <c r="R4255" s="51"/>
      <c r="S4255" s="51"/>
    </row>
    <row r="4256" spans="9:19" x14ac:dyDescent="0.25">
      <c r="I4256" s="1"/>
      <c r="J4256" s="71"/>
      <c r="M4256" s="46"/>
      <c r="R4256" s="51"/>
      <c r="S4256" s="51"/>
    </row>
    <row r="4257" spans="9:19" x14ac:dyDescent="0.25">
      <c r="I4257" s="1"/>
      <c r="J4257" s="71"/>
      <c r="M4257" s="46"/>
      <c r="R4257" s="51"/>
      <c r="S4257" s="51"/>
    </row>
    <row r="4258" spans="9:19" x14ac:dyDescent="0.25">
      <c r="I4258" s="1"/>
      <c r="J4258" s="71"/>
      <c r="M4258" s="46"/>
      <c r="R4258" s="51"/>
      <c r="S4258" s="51"/>
    </row>
    <row r="4259" spans="9:19" x14ac:dyDescent="0.25">
      <c r="I4259" s="1"/>
      <c r="J4259" s="71"/>
      <c r="M4259" s="46"/>
      <c r="R4259" s="51"/>
      <c r="S4259" s="51"/>
    </row>
    <row r="4260" spans="9:19" x14ac:dyDescent="0.25">
      <c r="I4260" s="1"/>
      <c r="J4260" s="71"/>
      <c r="M4260" s="46"/>
      <c r="R4260" s="51"/>
      <c r="S4260" s="51"/>
    </row>
    <row r="4261" spans="9:19" x14ac:dyDescent="0.25">
      <c r="I4261" s="1"/>
      <c r="J4261" s="71"/>
      <c r="M4261" s="46"/>
      <c r="R4261" s="51"/>
      <c r="S4261" s="51"/>
    </row>
    <row r="4262" spans="9:19" x14ac:dyDescent="0.25">
      <c r="I4262" s="1"/>
      <c r="J4262" s="71"/>
      <c r="M4262" s="46"/>
      <c r="R4262" s="51"/>
      <c r="S4262" s="51"/>
    </row>
    <row r="4263" spans="9:19" x14ac:dyDescent="0.25">
      <c r="I4263" s="1"/>
      <c r="J4263" s="71"/>
      <c r="M4263" s="46"/>
      <c r="R4263" s="51"/>
      <c r="S4263" s="51"/>
    </row>
    <row r="4264" spans="9:19" x14ac:dyDescent="0.25">
      <c r="I4264" s="1"/>
      <c r="J4264" s="71"/>
      <c r="M4264" s="46"/>
      <c r="R4264" s="51"/>
      <c r="S4264" s="51"/>
    </row>
    <row r="4265" spans="9:19" x14ac:dyDescent="0.25">
      <c r="I4265" s="1"/>
      <c r="J4265" s="71"/>
      <c r="M4265" s="46"/>
      <c r="R4265" s="51"/>
      <c r="S4265" s="51"/>
    </row>
    <row r="4266" spans="9:19" x14ac:dyDescent="0.25">
      <c r="I4266" s="1"/>
      <c r="J4266" s="71"/>
      <c r="M4266" s="46"/>
      <c r="R4266" s="51"/>
      <c r="S4266" s="51"/>
    </row>
    <row r="4267" spans="9:19" x14ac:dyDescent="0.25">
      <c r="I4267" s="1"/>
      <c r="J4267" s="71"/>
      <c r="M4267" s="46"/>
      <c r="R4267" s="51"/>
      <c r="S4267" s="51"/>
    </row>
    <row r="4268" spans="9:19" x14ac:dyDescent="0.25">
      <c r="I4268" s="1"/>
      <c r="J4268" s="71"/>
      <c r="M4268" s="46"/>
      <c r="R4268" s="51"/>
      <c r="S4268" s="51"/>
    </row>
    <row r="4269" spans="9:19" x14ac:dyDescent="0.25">
      <c r="I4269" s="1"/>
      <c r="J4269" s="71"/>
      <c r="M4269" s="46"/>
      <c r="R4269" s="51"/>
      <c r="S4269" s="51"/>
    </row>
    <row r="4270" spans="9:19" x14ac:dyDescent="0.25">
      <c r="I4270" s="1"/>
      <c r="J4270" s="71"/>
      <c r="M4270" s="46"/>
      <c r="R4270" s="51"/>
      <c r="S4270" s="51"/>
    </row>
    <row r="4271" spans="9:19" x14ac:dyDescent="0.25">
      <c r="I4271" s="1"/>
      <c r="J4271" s="71"/>
      <c r="M4271" s="46"/>
      <c r="R4271" s="51"/>
      <c r="S4271" s="51"/>
    </row>
    <row r="4272" spans="9:19" x14ac:dyDescent="0.25">
      <c r="I4272" s="1"/>
      <c r="J4272" s="71"/>
      <c r="M4272" s="46"/>
      <c r="R4272" s="51"/>
      <c r="S4272" s="51"/>
    </row>
    <row r="4273" spans="9:19" x14ac:dyDescent="0.25">
      <c r="I4273" s="1"/>
      <c r="J4273" s="71"/>
      <c r="M4273" s="46"/>
      <c r="R4273" s="51"/>
      <c r="S4273" s="51"/>
    </row>
    <row r="4274" spans="9:19" x14ac:dyDescent="0.25">
      <c r="I4274" s="1"/>
      <c r="J4274" s="71"/>
      <c r="M4274" s="46"/>
      <c r="R4274" s="51"/>
      <c r="S4274" s="51"/>
    </row>
    <row r="4275" spans="9:19" x14ac:dyDescent="0.25">
      <c r="I4275" s="1"/>
      <c r="J4275" s="71"/>
      <c r="M4275" s="46"/>
      <c r="R4275" s="51"/>
      <c r="S4275" s="51"/>
    </row>
    <row r="4276" spans="9:19" x14ac:dyDescent="0.25">
      <c r="I4276" s="1"/>
      <c r="J4276" s="71"/>
      <c r="M4276" s="46"/>
      <c r="R4276" s="51"/>
      <c r="S4276" s="51"/>
    </row>
    <row r="4277" spans="9:19" x14ac:dyDescent="0.25">
      <c r="I4277" s="1"/>
      <c r="J4277" s="71"/>
      <c r="M4277" s="46"/>
      <c r="R4277" s="51"/>
      <c r="S4277" s="51"/>
    </row>
    <row r="4278" spans="9:19" x14ac:dyDescent="0.25">
      <c r="I4278" s="1"/>
      <c r="J4278" s="71"/>
      <c r="M4278" s="46"/>
      <c r="R4278" s="51"/>
      <c r="S4278" s="51"/>
    </row>
    <row r="4279" spans="9:19" x14ac:dyDescent="0.25">
      <c r="I4279" s="1"/>
      <c r="J4279" s="71"/>
      <c r="M4279" s="46"/>
      <c r="R4279" s="51"/>
      <c r="S4279" s="51"/>
    </row>
    <row r="4280" spans="9:19" x14ac:dyDescent="0.25">
      <c r="I4280" s="1"/>
      <c r="J4280" s="71"/>
      <c r="M4280" s="46"/>
      <c r="R4280" s="51"/>
      <c r="S4280" s="51"/>
    </row>
    <row r="4281" spans="9:19" x14ac:dyDescent="0.25">
      <c r="I4281" s="1"/>
      <c r="J4281" s="71"/>
      <c r="M4281" s="46"/>
      <c r="R4281" s="51"/>
      <c r="S4281" s="51"/>
    </row>
    <row r="4282" spans="9:19" x14ac:dyDescent="0.25">
      <c r="I4282" s="1"/>
      <c r="J4282" s="71"/>
      <c r="M4282" s="46"/>
      <c r="R4282" s="51"/>
      <c r="S4282" s="51"/>
    </row>
    <row r="4283" spans="9:19" x14ac:dyDescent="0.25">
      <c r="I4283" s="1"/>
      <c r="J4283" s="71"/>
      <c r="M4283" s="46"/>
      <c r="R4283" s="51"/>
      <c r="S4283" s="51"/>
    </row>
    <row r="4284" spans="9:19" x14ac:dyDescent="0.25">
      <c r="I4284" s="1"/>
      <c r="J4284" s="71"/>
      <c r="M4284" s="46"/>
      <c r="R4284" s="51"/>
      <c r="S4284" s="51"/>
    </row>
    <row r="4285" spans="9:19" x14ac:dyDescent="0.25">
      <c r="I4285" s="1"/>
      <c r="J4285" s="71"/>
      <c r="M4285" s="46"/>
      <c r="R4285" s="51"/>
      <c r="S4285" s="51"/>
    </row>
    <row r="4286" spans="9:19" x14ac:dyDescent="0.25">
      <c r="I4286" s="1"/>
      <c r="J4286" s="71"/>
      <c r="M4286" s="46"/>
      <c r="R4286" s="51"/>
      <c r="S4286" s="51"/>
    </row>
    <row r="4287" spans="9:19" x14ac:dyDescent="0.25">
      <c r="I4287" s="1"/>
      <c r="J4287" s="71"/>
      <c r="M4287" s="46"/>
      <c r="R4287" s="51"/>
      <c r="S4287" s="51"/>
    </row>
    <row r="4288" spans="9:19" x14ac:dyDescent="0.25">
      <c r="I4288" s="1"/>
      <c r="J4288" s="71"/>
      <c r="M4288" s="46"/>
      <c r="R4288" s="51"/>
      <c r="S4288" s="51"/>
    </row>
    <row r="4289" spans="9:19" x14ac:dyDescent="0.25">
      <c r="I4289" s="1"/>
      <c r="J4289" s="71"/>
      <c r="M4289" s="46"/>
      <c r="R4289" s="51"/>
      <c r="S4289" s="51"/>
    </row>
    <row r="4290" spans="9:19" x14ac:dyDescent="0.25">
      <c r="I4290" s="1"/>
      <c r="J4290" s="71"/>
      <c r="M4290" s="46"/>
      <c r="R4290" s="51"/>
      <c r="S4290" s="51"/>
    </row>
    <row r="4291" spans="9:19" x14ac:dyDescent="0.25">
      <c r="I4291" s="1"/>
      <c r="J4291" s="71"/>
      <c r="M4291" s="46"/>
      <c r="R4291" s="51"/>
      <c r="S4291" s="51"/>
    </row>
    <row r="4292" spans="9:19" x14ac:dyDescent="0.25">
      <c r="I4292" s="1"/>
      <c r="J4292" s="71"/>
      <c r="M4292" s="46"/>
      <c r="R4292" s="51"/>
      <c r="S4292" s="51"/>
    </row>
    <row r="4293" spans="9:19" x14ac:dyDescent="0.25">
      <c r="I4293" s="1"/>
      <c r="J4293" s="71"/>
      <c r="M4293" s="46"/>
      <c r="R4293" s="51"/>
      <c r="S4293" s="51"/>
    </row>
    <row r="4294" spans="9:19" x14ac:dyDescent="0.25">
      <c r="I4294" s="1"/>
      <c r="J4294" s="71"/>
      <c r="M4294" s="46"/>
      <c r="R4294" s="51"/>
      <c r="S4294" s="51"/>
    </row>
    <row r="4295" spans="9:19" x14ac:dyDescent="0.25">
      <c r="I4295" s="1"/>
      <c r="J4295" s="71"/>
      <c r="M4295" s="46"/>
      <c r="R4295" s="51"/>
      <c r="S4295" s="51"/>
    </row>
    <row r="4296" spans="9:19" x14ac:dyDescent="0.25">
      <c r="I4296" s="1"/>
      <c r="J4296" s="71"/>
      <c r="M4296" s="46"/>
      <c r="R4296" s="51"/>
      <c r="S4296" s="51"/>
    </row>
    <row r="4297" spans="9:19" x14ac:dyDescent="0.25">
      <c r="I4297" s="1"/>
      <c r="J4297" s="71"/>
      <c r="M4297" s="46"/>
      <c r="R4297" s="51"/>
      <c r="S4297" s="51"/>
    </row>
    <row r="4298" spans="9:19" x14ac:dyDescent="0.25">
      <c r="I4298" s="1"/>
      <c r="J4298" s="71"/>
      <c r="M4298" s="46"/>
      <c r="R4298" s="51"/>
      <c r="S4298" s="51"/>
    </row>
    <row r="4299" spans="9:19" x14ac:dyDescent="0.25">
      <c r="I4299" s="1"/>
      <c r="J4299" s="71"/>
      <c r="M4299" s="46"/>
      <c r="R4299" s="51"/>
      <c r="S4299" s="51"/>
    </row>
    <row r="4300" spans="9:19" x14ac:dyDescent="0.25">
      <c r="I4300" s="1"/>
      <c r="J4300" s="71"/>
      <c r="M4300" s="46"/>
      <c r="R4300" s="51"/>
      <c r="S4300" s="51"/>
    </row>
    <row r="4301" spans="9:19" x14ac:dyDescent="0.25">
      <c r="I4301" s="1"/>
      <c r="J4301" s="71"/>
      <c r="M4301" s="46"/>
      <c r="R4301" s="51"/>
      <c r="S4301" s="51"/>
    </row>
    <row r="4302" spans="9:19" x14ac:dyDescent="0.25">
      <c r="I4302" s="1"/>
      <c r="J4302" s="71"/>
      <c r="M4302" s="46"/>
      <c r="R4302" s="51"/>
      <c r="S4302" s="51"/>
    </row>
    <row r="4303" spans="9:19" x14ac:dyDescent="0.25">
      <c r="I4303" s="1"/>
      <c r="J4303" s="71"/>
      <c r="M4303" s="46"/>
      <c r="R4303" s="51"/>
      <c r="S4303" s="51"/>
    </row>
    <row r="4304" spans="9:19" x14ac:dyDescent="0.25">
      <c r="I4304" s="1"/>
      <c r="J4304" s="71"/>
      <c r="M4304" s="46"/>
      <c r="R4304" s="51"/>
      <c r="S4304" s="51"/>
    </row>
    <row r="4305" spans="9:19" x14ac:dyDescent="0.25">
      <c r="I4305" s="1"/>
      <c r="J4305" s="71"/>
      <c r="M4305" s="46"/>
      <c r="R4305" s="51"/>
      <c r="S4305" s="51"/>
    </row>
    <row r="4306" spans="9:19" x14ac:dyDescent="0.25">
      <c r="I4306" s="1"/>
      <c r="J4306" s="71"/>
      <c r="M4306" s="46"/>
      <c r="R4306" s="51"/>
      <c r="S4306" s="51"/>
    </row>
    <row r="4307" spans="9:19" x14ac:dyDescent="0.25">
      <c r="I4307" s="1"/>
      <c r="J4307" s="71"/>
      <c r="M4307" s="46"/>
      <c r="R4307" s="51"/>
      <c r="S4307" s="51"/>
    </row>
    <row r="4308" spans="9:19" x14ac:dyDescent="0.25">
      <c r="I4308" s="1"/>
      <c r="J4308" s="71"/>
      <c r="M4308" s="46"/>
      <c r="R4308" s="51"/>
      <c r="S4308" s="51"/>
    </row>
    <row r="4309" spans="9:19" x14ac:dyDescent="0.25">
      <c r="I4309" s="1"/>
      <c r="J4309" s="71"/>
      <c r="M4309" s="46"/>
      <c r="R4309" s="51"/>
      <c r="S4309" s="51"/>
    </row>
    <row r="4310" spans="9:19" x14ac:dyDescent="0.25">
      <c r="I4310" s="1"/>
      <c r="J4310" s="71"/>
      <c r="M4310" s="46"/>
      <c r="R4310" s="51"/>
      <c r="S4310" s="51"/>
    </row>
    <row r="4311" spans="9:19" x14ac:dyDescent="0.25">
      <c r="I4311" s="1"/>
      <c r="J4311" s="71"/>
      <c r="M4311" s="46"/>
      <c r="R4311" s="51"/>
      <c r="S4311" s="51"/>
    </row>
    <row r="4312" spans="9:19" x14ac:dyDescent="0.25">
      <c r="I4312" s="1"/>
      <c r="J4312" s="71"/>
      <c r="M4312" s="46"/>
      <c r="R4312" s="51"/>
      <c r="S4312" s="51"/>
    </row>
    <row r="4313" spans="9:19" x14ac:dyDescent="0.25">
      <c r="I4313" s="1"/>
      <c r="J4313" s="71"/>
      <c r="M4313" s="46"/>
      <c r="R4313" s="51"/>
      <c r="S4313" s="51"/>
    </row>
    <row r="4314" spans="9:19" x14ac:dyDescent="0.25">
      <c r="I4314" s="1"/>
      <c r="J4314" s="71"/>
      <c r="M4314" s="46"/>
      <c r="R4314" s="51"/>
      <c r="S4314" s="51"/>
    </row>
    <row r="4315" spans="9:19" x14ac:dyDescent="0.25">
      <c r="I4315" s="1"/>
      <c r="J4315" s="71"/>
      <c r="M4315" s="46"/>
      <c r="R4315" s="51"/>
      <c r="S4315" s="51"/>
    </row>
    <row r="4316" spans="9:19" x14ac:dyDescent="0.25">
      <c r="I4316" s="1"/>
      <c r="J4316" s="71"/>
      <c r="M4316" s="46"/>
      <c r="R4316" s="51"/>
      <c r="S4316" s="51"/>
    </row>
    <row r="4317" spans="9:19" x14ac:dyDescent="0.25">
      <c r="I4317" s="1"/>
      <c r="J4317" s="71"/>
      <c r="M4317" s="46"/>
      <c r="R4317" s="51"/>
      <c r="S4317" s="51"/>
    </row>
    <row r="4318" spans="9:19" x14ac:dyDescent="0.25">
      <c r="I4318" s="1"/>
      <c r="J4318" s="71"/>
      <c r="M4318" s="46"/>
      <c r="R4318" s="51"/>
      <c r="S4318" s="51"/>
    </row>
    <row r="4319" spans="9:19" x14ac:dyDescent="0.25">
      <c r="I4319" s="1"/>
      <c r="J4319" s="71"/>
      <c r="M4319" s="46"/>
      <c r="R4319" s="51"/>
      <c r="S4319" s="51"/>
    </row>
    <row r="4320" spans="9:19" x14ac:dyDescent="0.25">
      <c r="I4320" s="1"/>
      <c r="J4320" s="71"/>
      <c r="M4320" s="46"/>
      <c r="R4320" s="51"/>
      <c r="S4320" s="51"/>
    </row>
    <row r="4321" spans="9:19" x14ac:dyDescent="0.25">
      <c r="I4321" s="1"/>
      <c r="J4321" s="71"/>
      <c r="M4321" s="46"/>
      <c r="R4321" s="51"/>
      <c r="S4321" s="51"/>
    </row>
    <row r="4322" spans="9:19" x14ac:dyDescent="0.25">
      <c r="I4322" s="1"/>
      <c r="J4322" s="71"/>
      <c r="M4322" s="46"/>
      <c r="R4322" s="51"/>
      <c r="S4322" s="51"/>
    </row>
    <row r="4323" spans="9:19" x14ac:dyDescent="0.25">
      <c r="I4323" s="1"/>
      <c r="J4323" s="71"/>
      <c r="M4323" s="46"/>
      <c r="R4323" s="51"/>
      <c r="S4323" s="51"/>
    </row>
    <row r="4324" spans="9:19" x14ac:dyDescent="0.25">
      <c r="I4324" s="1"/>
      <c r="J4324" s="71"/>
      <c r="M4324" s="46"/>
      <c r="R4324" s="51"/>
      <c r="S4324" s="51"/>
    </row>
    <row r="4325" spans="9:19" x14ac:dyDescent="0.25">
      <c r="I4325" s="1"/>
      <c r="J4325" s="71"/>
      <c r="M4325" s="46"/>
      <c r="R4325" s="51"/>
      <c r="S4325" s="51"/>
    </row>
    <row r="4326" spans="9:19" x14ac:dyDescent="0.25">
      <c r="I4326" s="1"/>
      <c r="J4326" s="71"/>
      <c r="M4326" s="46"/>
      <c r="R4326" s="51"/>
      <c r="S4326" s="51"/>
    </row>
    <row r="4327" spans="9:19" x14ac:dyDescent="0.25">
      <c r="I4327" s="1"/>
      <c r="J4327" s="71"/>
      <c r="M4327" s="46"/>
      <c r="R4327" s="51"/>
      <c r="S4327" s="51"/>
    </row>
    <row r="4328" spans="9:19" x14ac:dyDescent="0.25">
      <c r="I4328" s="1"/>
      <c r="J4328" s="71"/>
      <c r="M4328" s="46"/>
      <c r="R4328" s="51"/>
      <c r="S4328" s="51"/>
    </row>
    <row r="4329" spans="9:19" x14ac:dyDescent="0.25">
      <c r="I4329" s="1"/>
      <c r="J4329" s="71"/>
      <c r="M4329" s="46"/>
      <c r="R4329" s="51"/>
      <c r="S4329" s="51"/>
    </row>
    <row r="4330" spans="9:19" x14ac:dyDescent="0.25">
      <c r="I4330" s="1"/>
      <c r="J4330" s="71"/>
      <c r="M4330" s="46"/>
      <c r="R4330" s="51"/>
      <c r="S4330" s="51"/>
    </row>
    <row r="4331" spans="9:19" x14ac:dyDescent="0.25">
      <c r="I4331" s="1"/>
      <c r="J4331" s="71"/>
      <c r="M4331" s="46"/>
      <c r="R4331" s="51"/>
      <c r="S4331" s="51"/>
    </row>
    <row r="4332" spans="9:19" x14ac:dyDescent="0.25">
      <c r="I4332" s="1"/>
      <c r="J4332" s="71"/>
      <c r="M4332" s="46"/>
      <c r="R4332" s="51"/>
      <c r="S4332" s="51"/>
    </row>
    <row r="4333" spans="9:19" x14ac:dyDescent="0.25">
      <c r="I4333" s="1"/>
      <c r="J4333" s="71"/>
      <c r="M4333" s="46"/>
      <c r="R4333" s="51"/>
      <c r="S4333" s="51"/>
    </row>
    <row r="4334" spans="9:19" x14ac:dyDescent="0.25">
      <c r="I4334" s="1"/>
      <c r="J4334" s="71"/>
      <c r="M4334" s="46"/>
      <c r="R4334" s="51"/>
      <c r="S4334" s="51"/>
    </row>
    <row r="4335" spans="9:19" x14ac:dyDescent="0.25">
      <c r="I4335" s="1"/>
      <c r="J4335" s="71"/>
      <c r="M4335" s="46"/>
      <c r="R4335" s="51"/>
      <c r="S4335" s="51"/>
    </row>
    <row r="4336" spans="9:19" x14ac:dyDescent="0.25">
      <c r="I4336" s="1"/>
      <c r="J4336" s="71"/>
      <c r="M4336" s="46"/>
      <c r="R4336" s="51"/>
      <c r="S4336" s="51"/>
    </row>
    <row r="4337" spans="9:19" x14ac:dyDescent="0.25">
      <c r="I4337" s="1"/>
      <c r="J4337" s="71"/>
      <c r="M4337" s="46"/>
      <c r="R4337" s="51"/>
      <c r="S4337" s="51"/>
    </row>
    <row r="4338" spans="9:19" x14ac:dyDescent="0.25">
      <c r="I4338" s="1"/>
      <c r="J4338" s="71"/>
      <c r="M4338" s="46"/>
      <c r="R4338" s="51"/>
      <c r="S4338" s="51"/>
    </row>
    <row r="4339" spans="9:19" x14ac:dyDescent="0.25">
      <c r="I4339" s="1"/>
      <c r="J4339" s="71"/>
      <c r="M4339" s="46"/>
      <c r="R4339" s="51"/>
      <c r="S4339" s="51"/>
    </row>
    <row r="4340" spans="9:19" x14ac:dyDescent="0.25">
      <c r="I4340" s="1"/>
      <c r="J4340" s="71"/>
      <c r="M4340" s="46"/>
      <c r="R4340" s="51"/>
      <c r="S4340" s="51"/>
    </row>
    <row r="4341" spans="9:19" x14ac:dyDescent="0.25">
      <c r="I4341" s="1"/>
      <c r="J4341" s="71"/>
      <c r="M4341" s="46"/>
      <c r="R4341" s="51"/>
      <c r="S4341" s="51"/>
    </row>
    <row r="4342" spans="9:19" x14ac:dyDescent="0.25">
      <c r="I4342" s="1"/>
      <c r="J4342" s="71"/>
      <c r="M4342" s="46"/>
      <c r="R4342" s="51"/>
      <c r="S4342" s="51"/>
    </row>
    <row r="4343" spans="9:19" x14ac:dyDescent="0.25">
      <c r="I4343" s="1"/>
      <c r="J4343" s="71"/>
      <c r="M4343" s="46"/>
      <c r="R4343" s="51"/>
      <c r="S4343" s="51"/>
    </row>
    <row r="4344" spans="9:19" x14ac:dyDescent="0.25">
      <c r="I4344" s="1"/>
      <c r="J4344" s="71"/>
      <c r="M4344" s="46"/>
      <c r="R4344" s="51"/>
      <c r="S4344" s="51"/>
    </row>
    <row r="4345" spans="9:19" x14ac:dyDescent="0.25">
      <c r="I4345" s="1"/>
      <c r="J4345" s="71"/>
      <c r="M4345" s="46"/>
      <c r="R4345" s="51"/>
      <c r="S4345" s="51"/>
    </row>
    <row r="4346" spans="9:19" x14ac:dyDescent="0.25">
      <c r="I4346" s="1"/>
      <c r="J4346" s="71"/>
      <c r="M4346" s="46"/>
      <c r="R4346" s="51"/>
      <c r="S4346" s="51"/>
    </row>
    <row r="4347" spans="9:19" x14ac:dyDescent="0.25">
      <c r="I4347" s="1"/>
      <c r="J4347" s="71"/>
      <c r="M4347" s="46"/>
      <c r="R4347" s="51"/>
      <c r="S4347" s="51"/>
    </row>
    <row r="4348" spans="9:19" x14ac:dyDescent="0.25">
      <c r="I4348" s="1"/>
      <c r="J4348" s="71"/>
      <c r="M4348" s="46"/>
      <c r="R4348" s="51"/>
      <c r="S4348" s="51"/>
    </row>
    <row r="4349" spans="9:19" x14ac:dyDescent="0.25">
      <c r="I4349" s="1"/>
      <c r="J4349" s="71"/>
      <c r="M4349" s="46"/>
      <c r="R4349" s="51"/>
      <c r="S4349" s="51"/>
    </row>
    <row r="4350" spans="9:19" x14ac:dyDescent="0.25">
      <c r="I4350" s="1"/>
      <c r="J4350" s="71"/>
      <c r="M4350" s="46"/>
      <c r="R4350" s="51"/>
      <c r="S4350" s="51"/>
    </row>
    <row r="4351" spans="9:19" x14ac:dyDescent="0.25">
      <c r="I4351" s="1"/>
      <c r="J4351" s="71"/>
      <c r="M4351" s="46"/>
      <c r="R4351" s="51"/>
      <c r="S4351" s="51"/>
    </row>
    <row r="4352" spans="9:19" x14ac:dyDescent="0.25">
      <c r="I4352" s="1"/>
      <c r="J4352" s="71"/>
      <c r="M4352" s="46"/>
      <c r="R4352" s="51"/>
      <c r="S4352" s="51"/>
    </row>
    <row r="4353" spans="9:19" x14ac:dyDescent="0.25">
      <c r="I4353" s="1"/>
      <c r="J4353" s="71"/>
      <c r="M4353" s="46"/>
      <c r="R4353" s="51"/>
      <c r="S4353" s="51"/>
    </row>
    <row r="4354" spans="9:19" x14ac:dyDescent="0.25">
      <c r="I4354" s="1"/>
      <c r="J4354" s="71"/>
      <c r="M4354" s="46"/>
      <c r="R4354" s="51"/>
      <c r="S4354" s="51"/>
    </row>
    <row r="4355" spans="9:19" x14ac:dyDescent="0.25">
      <c r="I4355" s="1"/>
      <c r="J4355" s="71"/>
      <c r="M4355" s="46"/>
      <c r="R4355" s="51"/>
      <c r="S4355" s="51"/>
    </row>
    <row r="4356" spans="9:19" x14ac:dyDescent="0.25">
      <c r="I4356" s="1"/>
      <c r="J4356" s="71"/>
      <c r="M4356" s="46"/>
      <c r="R4356" s="51"/>
      <c r="S4356" s="51"/>
    </row>
    <row r="4357" spans="9:19" x14ac:dyDescent="0.25">
      <c r="I4357" s="1"/>
      <c r="J4357" s="71"/>
      <c r="M4357" s="46"/>
      <c r="R4357" s="51"/>
      <c r="S4357" s="51"/>
    </row>
    <row r="4358" spans="9:19" x14ac:dyDescent="0.25">
      <c r="I4358" s="1"/>
      <c r="J4358" s="71"/>
      <c r="M4358" s="46"/>
      <c r="R4358" s="51"/>
      <c r="S4358" s="51"/>
    </row>
    <row r="4359" spans="9:19" x14ac:dyDescent="0.25">
      <c r="I4359" s="1"/>
      <c r="J4359" s="71"/>
      <c r="M4359" s="46"/>
      <c r="R4359" s="51"/>
      <c r="S4359" s="51"/>
    </row>
    <row r="4360" spans="9:19" x14ac:dyDescent="0.25">
      <c r="I4360" s="1"/>
      <c r="J4360" s="71"/>
      <c r="M4360" s="46"/>
      <c r="R4360" s="51"/>
      <c r="S4360" s="51"/>
    </row>
    <row r="4361" spans="9:19" x14ac:dyDescent="0.25">
      <c r="I4361" s="1"/>
      <c r="J4361" s="71"/>
      <c r="M4361" s="46"/>
      <c r="R4361" s="51"/>
      <c r="S4361" s="51"/>
    </row>
    <row r="4362" spans="9:19" x14ac:dyDescent="0.25">
      <c r="I4362" s="1"/>
      <c r="J4362" s="71"/>
      <c r="M4362" s="46"/>
      <c r="R4362" s="51"/>
      <c r="S4362" s="51"/>
    </row>
    <row r="4363" spans="9:19" x14ac:dyDescent="0.25">
      <c r="I4363" s="1"/>
      <c r="J4363" s="71"/>
      <c r="M4363" s="46"/>
      <c r="R4363" s="51"/>
      <c r="S4363" s="51"/>
    </row>
    <row r="4364" spans="9:19" x14ac:dyDescent="0.25">
      <c r="I4364" s="1"/>
      <c r="J4364" s="71"/>
      <c r="M4364" s="46"/>
      <c r="R4364" s="51"/>
      <c r="S4364" s="51"/>
    </row>
    <row r="4365" spans="9:19" x14ac:dyDescent="0.25">
      <c r="I4365" s="1"/>
      <c r="J4365" s="71"/>
      <c r="M4365" s="46"/>
      <c r="R4365" s="51"/>
      <c r="S4365" s="51"/>
    </row>
    <row r="4366" spans="9:19" x14ac:dyDescent="0.25">
      <c r="I4366" s="1"/>
      <c r="J4366" s="71"/>
      <c r="M4366" s="46"/>
      <c r="R4366" s="51"/>
      <c r="S4366" s="51"/>
    </row>
    <row r="4367" spans="9:19" x14ac:dyDescent="0.25">
      <c r="I4367" s="1"/>
      <c r="J4367" s="71"/>
      <c r="M4367" s="46"/>
      <c r="R4367" s="51"/>
      <c r="S4367" s="51"/>
    </row>
    <row r="4368" spans="9:19" x14ac:dyDescent="0.25">
      <c r="I4368" s="1"/>
      <c r="J4368" s="71"/>
      <c r="M4368" s="46"/>
      <c r="R4368" s="51"/>
      <c r="S4368" s="51"/>
    </row>
    <row r="4369" spans="9:19" x14ac:dyDescent="0.25">
      <c r="I4369" s="1"/>
      <c r="J4369" s="71"/>
      <c r="M4369" s="46"/>
      <c r="R4369" s="51"/>
      <c r="S4369" s="51"/>
    </row>
    <row r="4370" spans="9:19" x14ac:dyDescent="0.25">
      <c r="I4370" s="1"/>
      <c r="J4370" s="71"/>
      <c r="M4370" s="46"/>
      <c r="R4370" s="51"/>
      <c r="S4370" s="51"/>
    </row>
    <row r="4371" spans="9:19" x14ac:dyDescent="0.25">
      <c r="I4371" s="1"/>
      <c r="J4371" s="71"/>
      <c r="M4371" s="46"/>
      <c r="R4371" s="51"/>
      <c r="S4371" s="51"/>
    </row>
    <row r="4372" spans="9:19" x14ac:dyDescent="0.25">
      <c r="I4372" s="1"/>
      <c r="J4372" s="71"/>
      <c r="M4372" s="46"/>
      <c r="R4372" s="51"/>
      <c r="S4372" s="51"/>
    </row>
    <row r="4373" spans="9:19" x14ac:dyDescent="0.25">
      <c r="I4373" s="1"/>
      <c r="J4373" s="71"/>
      <c r="M4373" s="46"/>
      <c r="R4373" s="51"/>
      <c r="S4373" s="51"/>
    </row>
    <row r="4374" spans="9:19" x14ac:dyDescent="0.25">
      <c r="I4374" s="1"/>
      <c r="J4374" s="71"/>
      <c r="M4374" s="46"/>
      <c r="R4374" s="51"/>
      <c r="S4374" s="51"/>
    </row>
    <row r="4375" spans="9:19" x14ac:dyDescent="0.25">
      <c r="I4375" s="1"/>
      <c r="J4375" s="71"/>
      <c r="M4375" s="46"/>
      <c r="R4375" s="51"/>
      <c r="S4375" s="51"/>
    </row>
    <row r="4376" spans="9:19" x14ac:dyDescent="0.25">
      <c r="I4376" s="1"/>
      <c r="J4376" s="71"/>
      <c r="M4376" s="46"/>
      <c r="R4376" s="51"/>
      <c r="S4376" s="51"/>
    </row>
    <row r="4377" spans="9:19" x14ac:dyDescent="0.25">
      <c r="I4377" s="1"/>
      <c r="J4377" s="71"/>
      <c r="M4377" s="46"/>
      <c r="R4377" s="51"/>
      <c r="S4377" s="51"/>
    </row>
    <row r="4378" spans="9:19" x14ac:dyDescent="0.25">
      <c r="I4378" s="1"/>
      <c r="J4378" s="71"/>
      <c r="M4378" s="46"/>
      <c r="R4378" s="51"/>
      <c r="S4378" s="51"/>
    </row>
    <row r="4379" spans="9:19" x14ac:dyDescent="0.25">
      <c r="I4379" s="1"/>
      <c r="J4379" s="71"/>
      <c r="M4379" s="46"/>
      <c r="R4379" s="51"/>
      <c r="S4379" s="51"/>
    </row>
    <row r="4380" spans="9:19" x14ac:dyDescent="0.25">
      <c r="I4380" s="1"/>
      <c r="J4380" s="71"/>
      <c r="M4380" s="46"/>
      <c r="R4380" s="51"/>
      <c r="S4380" s="51"/>
    </row>
    <row r="4381" spans="9:19" x14ac:dyDescent="0.25">
      <c r="I4381" s="1"/>
      <c r="J4381" s="71"/>
      <c r="M4381" s="46"/>
      <c r="R4381" s="51"/>
      <c r="S4381" s="51"/>
    </row>
    <row r="4382" spans="9:19" x14ac:dyDescent="0.25">
      <c r="I4382" s="1"/>
      <c r="J4382" s="71"/>
      <c r="M4382" s="46"/>
      <c r="R4382" s="51"/>
      <c r="S4382" s="51"/>
    </row>
    <row r="4383" spans="9:19" x14ac:dyDescent="0.25">
      <c r="I4383" s="1"/>
      <c r="J4383" s="71"/>
      <c r="M4383" s="46"/>
      <c r="R4383" s="51"/>
      <c r="S4383" s="51"/>
    </row>
    <row r="4384" spans="9:19" x14ac:dyDescent="0.25">
      <c r="I4384" s="1"/>
      <c r="J4384" s="71"/>
      <c r="M4384" s="46"/>
      <c r="R4384" s="51"/>
      <c r="S4384" s="51"/>
    </row>
    <row r="4385" spans="9:19" x14ac:dyDescent="0.25">
      <c r="I4385" s="1"/>
      <c r="J4385" s="71"/>
      <c r="M4385" s="46"/>
      <c r="R4385" s="51"/>
      <c r="S4385" s="51"/>
    </row>
    <row r="4386" spans="9:19" x14ac:dyDescent="0.25">
      <c r="I4386" s="1"/>
      <c r="J4386" s="71"/>
      <c r="M4386" s="46"/>
      <c r="R4386" s="51"/>
      <c r="S4386" s="51"/>
    </row>
    <row r="4387" spans="9:19" x14ac:dyDescent="0.25">
      <c r="I4387" s="1"/>
      <c r="J4387" s="71"/>
      <c r="M4387" s="46"/>
      <c r="R4387" s="51"/>
      <c r="S4387" s="51"/>
    </row>
    <row r="4388" spans="9:19" x14ac:dyDescent="0.25">
      <c r="I4388" s="1"/>
      <c r="J4388" s="71"/>
      <c r="M4388" s="46"/>
      <c r="R4388" s="51"/>
      <c r="S4388" s="51"/>
    </row>
    <row r="4389" spans="9:19" x14ac:dyDescent="0.25">
      <c r="I4389" s="1"/>
      <c r="J4389" s="71"/>
      <c r="M4389" s="46"/>
      <c r="R4389" s="51"/>
      <c r="S4389" s="51"/>
    </row>
    <row r="4390" spans="9:19" x14ac:dyDescent="0.25">
      <c r="I4390" s="1"/>
      <c r="J4390" s="71"/>
      <c r="M4390" s="46"/>
      <c r="R4390" s="51"/>
      <c r="S4390" s="51"/>
    </row>
    <row r="4391" spans="9:19" x14ac:dyDescent="0.25">
      <c r="I4391" s="1"/>
      <c r="J4391" s="71"/>
      <c r="M4391" s="46"/>
      <c r="R4391" s="51"/>
      <c r="S4391" s="51"/>
    </row>
    <row r="4392" spans="9:19" x14ac:dyDescent="0.25">
      <c r="I4392" s="1"/>
      <c r="J4392" s="71"/>
      <c r="M4392" s="46"/>
      <c r="R4392" s="51"/>
      <c r="S4392" s="51"/>
    </row>
    <row r="4393" spans="9:19" x14ac:dyDescent="0.25">
      <c r="I4393" s="1"/>
      <c r="J4393" s="71"/>
      <c r="M4393" s="46"/>
      <c r="R4393" s="51"/>
      <c r="S4393" s="51"/>
    </row>
    <row r="4394" spans="9:19" x14ac:dyDescent="0.25">
      <c r="I4394" s="1"/>
      <c r="J4394" s="71"/>
      <c r="M4394" s="46"/>
      <c r="R4394" s="51"/>
      <c r="S4394" s="51"/>
    </row>
    <row r="4395" spans="9:19" x14ac:dyDescent="0.25">
      <c r="I4395" s="1"/>
      <c r="J4395" s="71"/>
      <c r="M4395" s="46"/>
      <c r="R4395" s="51"/>
      <c r="S4395" s="51"/>
    </row>
    <row r="4396" spans="9:19" x14ac:dyDescent="0.25">
      <c r="I4396" s="1"/>
      <c r="J4396" s="71"/>
      <c r="M4396" s="46"/>
      <c r="R4396" s="51"/>
      <c r="S4396" s="51"/>
    </row>
    <row r="4397" spans="9:19" x14ac:dyDescent="0.25">
      <c r="I4397" s="1"/>
      <c r="J4397" s="71"/>
      <c r="M4397" s="46"/>
      <c r="R4397" s="51"/>
      <c r="S4397" s="51"/>
    </row>
    <row r="4398" spans="9:19" x14ac:dyDescent="0.25">
      <c r="I4398" s="1"/>
      <c r="J4398" s="71"/>
      <c r="M4398" s="46"/>
      <c r="R4398" s="51"/>
      <c r="S4398" s="51"/>
    </row>
    <row r="4399" spans="9:19" x14ac:dyDescent="0.25">
      <c r="I4399" s="1"/>
      <c r="J4399" s="71"/>
      <c r="M4399" s="46"/>
      <c r="R4399" s="51"/>
      <c r="S4399" s="51"/>
    </row>
    <row r="4400" spans="9:19" x14ac:dyDescent="0.25">
      <c r="I4400" s="1"/>
      <c r="J4400" s="71"/>
      <c r="M4400" s="46"/>
      <c r="R4400" s="51"/>
      <c r="S4400" s="51"/>
    </row>
    <row r="4401" spans="9:19" x14ac:dyDescent="0.25">
      <c r="I4401" s="1"/>
      <c r="J4401" s="71"/>
      <c r="M4401" s="46"/>
      <c r="R4401" s="51"/>
      <c r="S4401" s="51"/>
    </row>
    <row r="4402" spans="9:19" x14ac:dyDescent="0.25">
      <c r="I4402" s="1"/>
      <c r="J4402" s="71"/>
      <c r="M4402" s="46"/>
      <c r="R4402" s="51"/>
      <c r="S4402" s="51"/>
    </row>
    <row r="4403" spans="9:19" x14ac:dyDescent="0.25">
      <c r="I4403" s="1"/>
      <c r="J4403" s="71"/>
      <c r="M4403" s="46"/>
      <c r="R4403" s="51"/>
      <c r="S4403" s="51"/>
    </row>
    <row r="4404" spans="9:19" x14ac:dyDescent="0.25">
      <c r="I4404" s="1"/>
      <c r="J4404" s="71"/>
      <c r="M4404" s="46"/>
      <c r="R4404" s="51"/>
      <c r="S4404" s="51"/>
    </row>
    <row r="4405" spans="9:19" x14ac:dyDescent="0.25">
      <c r="I4405" s="1"/>
      <c r="J4405" s="71"/>
      <c r="M4405" s="46"/>
      <c r="R4405" s="51"/>
      <c r="S4405" s="51"/>
    </row>
    <row r="4406" spans="9:19" x14ac:dyDescent="0.25">
      <c r="I4406" s="1"/>
      <c r="J4406" s="71"/>
      <c r="M4406" s="46"/>
      <c r="R4406" s="51"/>
      <c r="S4406" s="51"/>
    </row>
    <row r="4407" spans="9:19" x14ac:dyDescent="0.25">
      <c r="I4407" s="1"/>
      <c r="J4407" s="71"/>
      <c r="M4407" s="46"/>
      <c r="R4407" s="51"/>
      <c r="S4407" s="51"/>
    </row>
    <row r="4408" spans="9:19" x14ac:dyDescent="0.25">
      <c r="I4408" s="1"/>
      <c r="J4408" s="71"/>
      <c r="M4408" s="46"/>
      <c r="R4408" s="51"/>
      <c r="S4408" s="51"/>
    </row>
    <row r="4409" spans="9:19" x14ac:dyDescent="0.25">
      <c r="I4409" s="1"/>
      <c r="J4409" s="71"/>
      <c r="M4409" s="46"/>
      <c r="R4409" s="51"/>
      <c r="S4409" s="51"/>
    </row>
    <row r="4410" spans="9:19" x14ac:dyDescent="0.25">
      <c r="I4410" s="1"/>
      <c r="J4410" s="71"/>
      <c r="M4410" s="46"/>
      <c r="R4410" s="51"/>
      <c r="S4410" s="51"/>
    </row>
    <row r="4411" spans="9:19" x14ac:dyDescent="0.25">
      <c r="I4411" s="1"/>
      <c r="J4411" s="71"/>
      <c r="M4411" s="46"/>
      <c r="R4411" s="51"/>
      <c r="S4411" s="51"/>
    </row>
    <row r="4412" spans="9:19" x14ac:dyDescent="0.25">
      <c r="I4412" s="1"/>
      <c r="J4412" s="71"/>
      <c r="M4412" s="46"/>
      <c r="R4412" s="51"/>
      <c r="S4412" s="51"/>
    </row>
    <row r="4413" spans="9:19" x14ac:dyDescent="0.25">
      <c r="I4413" s="1"/>
      <c r="J4413" s="71"/>
      <c r="M4413" s="46"/>
      <c r="R4413" s="51"/>
      <c r="S4413" s="51"/>
    </row>
    <row r="4414" spans="9:19" x14ac:dyDescent="0.25">
      <c r="I4414" s="1"/>
      <c r="J4414" s="71"/>
      <c r="M4414" s="46"/>
      <c r="R4414" s="51"/>
      <c r="S4414" s="51"/>
    </row>
    <row r="4415" spans="9:19" x14ac:dyDescent="0.25">
      <c r="I4415" s="1"/>
      <c r="J4415" s="71"/>
      <c r="M4415" s="46"/>
      <c r="R4415" s="51"/>
      <c r="S4415" s="51"/>
    </row>
    <row r="4416" spans="9:19" x14ac:dyDescent="0.25">
      <c r="I4416" s="1"/>
      <c r="J4416" s="71"/>
      <c r="M4416" s="46"/>
      <c r="R4416" s="51"/>
      <c r="S4416" s="51"/>
    </row>
    <row r="4417" spans="9:19" x14ac:dyDescent="0.25">
      <c r="I4417" s="1"/>
      <c r="J4417" s="71"/>
      <c r="M4417" s="46"/>
      <c r="R4417" s="51"/>
      <c r="S4417" s="51"/>
    </row>
    <row r="4418" spans="9:19" x14ac:dyDescent="0.25">
      <c r="I4418" s="1"/>
      <c r="J4418" s="71"/>
      <c r="M4418" s="46"/>
      <c r="R4418" s="51"/>
      <c r="S4418" s="51"/>
    </row>
    <row r="4419" spans="9:19" x14ac:dyDescent="0.25">
      <c r="I4419" s="1"/>
      <c r="J4419" s="71"/>
      <c r="M4419" s="46"/>
      <c r="R4419" s="51"/>
      <c r="S4419" s="51"/>
    </row>
    <row r="4420" spans="9:19" x14ac:dyDescent="0.25">
      <c r="I4420" s="1"/>
      <c r="J4420" s="71"/>
      <c r="M4420" s="46"/>
      <c r="R4420" s="51"/>
      <c r="S4420" s="51"/>
    </row>
    <row r="4421" spans="9:19" x14ac:dyDescent="0.25">
      <c r="I4421" s="1"/>
      <c r="J4421" s="71"/>
      <c r="M4421" s="46"/>
      <c r="R4421" s="51"/>
      <c r="S4421" s="51"/>
    </row>
    <row r="4422" spans="9:19" x14ac:dyDescent="0.25">
      <c r="I4422" s="1"/>
      <c r="J4422" s="71"/>
      <c r="M4422" s="46"/>
      <c r="R4422" s="51"/>
      <c r="S4422" s="51"/>
    </row>
    <row r="4423" spans="9:19" x14ac:dyDescent="0.25">
      <c r="I4423" s="1"/>
      <c r="J4423" s="71"/>
      <c r="M4423" s="46"/>
      <c r="R4423" s="51"/>
      <c r="S4423" s="51"/>
    </row>
    <row r="4424" spans="9:19" x14ac:dyDescent="0.25">
      <c r="I4424" s="1"/>
      <c r="J4424" s="71"/>
      <c r="M4424" s="46"/>
      <c r="R4424" s="51"/>
      <c r="S4424" s="51"/>
    </row>
    <row r="4425" spans="9:19" x14ac:dyDescent="0.25">
      <c r="I4425" s="1"/>
      <c r="J4425" s="71"/>
      <c r="M4425" s="46"/>
      <c r="R4425" s="51"/>
      <c r="S4425" s="51"/>
    </row>
    <row r="4426" spans="9:19" x14ac:dyDescent="0.25">
      <c r="I4426" s="1"/>
      <c r="J4426" s="71"/>
      <c r="M4426" s="46"/>
      <c r="R4426" s="51"/>
      <c r="S4426" s="51"/>
    </row>
    <row r="4427" spans="9:19" x14ac:dyDescent="0.25">
      <c r="I4427" s="1"/>
      <c r="J4427" s="71"/>
      <c r="M4427" s="46"/>
      <c r="R4427" s="51"/>
      <c r="S4427" s="51"/>
    </row>
    <row r="4428" spans="9:19" x14ac:dyDescent="0.25">
      <c r="I4428" s="1"/>
      <c r="J4428" s="71"/>
      <c r="M4428" s="46"/>
      <c r="R4428" s="51"/>
      <c r="S4428" s="51"/>
    </row>
    <row r="4429" spans="9:19" x14ac:dyDescent="0.25">
      <c r="I4429" s="1"/>
      <c r="J4429" s="71"/>
      <c r="M4429" s="46"/>
      <c r="R4429" s="51"/>
      <c r="S4429" s="51"/>
    </row>
    <row r="4430" spans="9:19" x14ac:dyDescent="0.25">
      <c r="I4430" s="1"/>
      <c r="J4430" s="71"/>
      <c r="M4430" s="46"/>
      <c r="R4430" s="51"/>
      <c r="S4430" s="51"/>
    </row>
    <row r="4431" spans="9:19" x14ac:dyDescent="0.25">
      <c r="I4431" s="1"/>
      <c r="J4431" s="71"/>
      <c r="M4431" s="46"/>
      <c r="R4431" s="51"/>
      <c r="S4431" s="51"/>
    </row>
    <row r="4432" spans="9:19" x14ac:dyDescent="0.25">
      <c r="I4432" s="1"/>
      <c r="J4432" s="71"/>
      <c r="M4432" s="46"/>
      <c r="R4432" s="51"/>
      <c r="S4432" s="51"/>
    </row>
    <row r="4433" spans="9:19" x14ac:dyDescent="0.25">
      <c r="I4433" s="1"/>
      <c r="J4433" s="71"/>
      <c r="M4433" s="46"/>
      <c r="R4433" s="51"/>
      <c r="S4433" s="51"/>
    </row>
    <row r="4434" spans="9:19" x14ac:dyDescent="0.25">
      <c r="I4434" s="1"/>
      <c r="J4434" s="71"/>
      <c r="M4434" s="46"/>
      <c r="R4434" s="51"/>
      <c r="S4434" s="51"/>
    </row>
    <row r="4435" spans="9:19" x14ac:dyDescent="0.25">
      <c r="I4435" s="1"/>
      <c r="J4435" s="71"/>
      <c r="M4435" s="46"/>
      <c r="R4435" s="51"/>
      <c r="S4435" s="51"/>
    </row>
    <row r="4436" spans="9:19" x14ac:dyDescent="0.25">
      <c r="I4436" s="1"/>
      <c r="J4436" s="71"/>
      <c r="M4436" s="46"/>
      <c r="R4436" s="51"/>
      <c r="S4436" s="51"/>
    </row>
    <row r="4437" spans="9:19" x14ac:dyDescent="0.25">
      <c r="I4437" s="1"/>
      <c r="J4437" s="71"/>
      <c r="M4437" s="46"/>
      <c r="R4437" s="51"/>
      <c r="S4437" s="51"/>
    </row>
    <row r="4438" spans="9:19" x14ac:dyDescent="0.25">
      <c r="I4438" s="1"/>
      <c r="J4438" s="71"/>
      <c r="M4438" s="46"/>
      <c r="R4438" s="51"/>
      <c r="S4438" s="51"/>
    </row>
    <row r="4439" spans="9:19" x14ac:dyDescent="0.25">
      <c r="I4439" s="1"/>
      <c r="J4439" s="71"/>
      <c r="M4439" s="46"/>
      <c r="R4439" s="51"/>
      <c r="S4439" s="51"/>
    </row>
    <row r="4440" spans="9:19" x14ac:dyDescent="0.25">
      <c r="I4440" s="1"/>
      <c r="J4440" s="71"/>
      <c r="M4440" s="46"/>
      <c r="R4440" s="51"/>
      <c r="S4440" s="51"/>
    </row>
    <row r="4441" spans="9:19" x14ac:dyDescent="0.25">
      <c r="I4441" s="1"/>
      <c r="J4441" s="71"/>
      <c r="M4441" s="46"/>
      <c r="R4441" s="51"/>
      <c r="S4441" s="51"/>
    </row>
    <row r="4442" spans="9:19" x14ac:dyDescent="0.25">
      <c r="I4442" s="1"/>
      <c r="J4442" s="71"/>
      <c r="M4442" s="46"/>
      <c r="R4442" s="51"/>
      <c r="S4442" s="51"/>
    </row>
    <row r="4443" spans="9:19" x14ac:dyDescent="0.25">
      <c r="I4443" s="1"/>
      <c r="J4443" s="71"/>
      <c r="M4443" s="46"/>
      <c r="R4443" s="51"/>
      <c r="S4443" s="51"/>
    </row>
    <row r="4444" spans="9:19" x14ac:dyDescent="0.25">
      <c r="I4444" s="1"/>
      <c r="J4444" s="71"/>
      <c r="M4444" s="46"/>
      <c r="R4444" s="51"/>
      <c r="S4444" s="51"/>
    </row>
    <row r="4445" spans="9:19" x14ac:dyDescent="0.25">
      <c r="I4445" s="1"/>
      <c r="J4445" s="71"/>
      <c r="M4445" s="46"/>
      <c r="R4445" s="51"/>
      <c r="S4445" s="51"/>
    </row>
    <row r="4446" spans="9:19" x14ac:dyDescent="0.25">
      <c r="I4446" s="1"/>
      <c r="J4446" s="71"/>
      <c r="M4446" s="46"/>
      <c r="R4446" s="51"/>
      <c r="S4446" s="51"/>
    </row>
    <row r="4447" spans="9:19" x14ac:dyDescent="0.25">
      <c r="I4447" s="1"/>
      <c r="J4447" s="71"/>
      <c r="M4447" s="46"/>
      <c r="R4447" s="51"/>
      <c r="S4447" s="51"/>
    </row>
    <row r="4448" spans="9:19" x14ac:dyDescent="0.25">
      <c r="I4448" s="1"/>
      <c r="J4448" s="71"/>
      <c r="M4448" s="46"/>
      <c r="R4448" s="51"/>
      <c r="S4448" s="51"/>
    </row>
    <row r="4449" spans="9:19" x14ac:dyDescent="0.25">
      <c r="I4449" s="1"/>
      <c r="J4449" s="71"/>
      <c r="M4449" s="46"/>
      <c r="R4449" s="51"/>
      <c r="S4449" s="51"/>
    </row>
    <row r="4450" spans="9:19" x14ac:dyDescent="0.25">
      <c r="I4450" s="1"/>
      <c r="J4450" s="71"/>
      <c r="M4450" s="46"/>
      <c r="R4450" s="51"/>
      <c r="S4450" s="51"/>
    </row>
    <row r="4451" spans="9:19" x14ac:dyDescent="0.25">
      <c r="I4451" s="1"/>
      <c r="J4451" s="71"/>
      <c r="M4451" s="46"/>
      <c r="R4451" s="51"/>
      <c r="S4451" s="51"/>
    </row>
    <row r="4452" spans="9:19" x14ac:dyDescent="0.25">
      <c r="I4452" s="1"/>
      <c r="J4452" s="71"/>
      <c r="M4452" s="46"/>
      <c r="R4452" s="51"/>
      <c r="S4452" s="51"/>
    </row>
    <row r="4453" spans="9:19" x14ac:dyDescent="0.25">
      <c r="I4453" s="1"/>
      <c r="J4453" s="71"/>
      <c r="M4453" s="46"/>
      <c r="R4453" s="51"/>
      <c r="S4453" s="51"/>
    </row>
    <row r="4454" spans="9:19" x14ac:dyDescent="0.25">
      <c r="I4454" s="1"/>
      <c r="J4454" s="71"/>
      <c r="M4454" s="46"/>
      <c r="R4454" s="51"/>
      <c r="S4454" s="51"/>
    </row>
    <row r="4455" spans="9:19" x14ac:dyDescent="0.25">
      <c r="I4455" s="1"/>
      <c r="J4455" s="71"/>
      <c r="M4455" s="46"/>
      <c r="R4455" s="51"/>
      <c r="S4455" s="51"/>
    </row>
    <row r="4456" spans="9:19" x14ac:dyDescent="0.25">
      <c r="I4456" s="1"/>
      <c r="J4456" s="71"/>
      <c r="M4456" s="46"/>
      <c r="R4456" s="51"/>
      <c r="S4456" s="51"/>
    </row>
    <row r="4457" spans="9:19" x14ac:dyDescent="0.25">
      <c r="I4457" s="1"/>
      <c r="J4457" s="71"/>
      <c r="M4457" s="46"/>
      <c r="R4457" s="51"/>
      <c r="S4457" s="51"/>
    </row>
    <row r="4458" spans="9:19" x14ac:dyDescent="0.25">
      <c r="I4458" s="1"/>
      <c r="J4458" s="71"/>
      <c r="M4458" s="46"/>
      <c r="R4458" s="51"/>
      <c r="S4458" s="51"/>
    </row>
    <row r="4459" spans="9:19" x14ac:dyDescent="0.25">
      <c r="I4459" s="1"/>
      <c r="J4459" s="71"/>
      <c r="M4459" s="46"/>
      <c r="R4459" s="51"/>
      <c r="S4459" s="51"/>
    </row>
    <row r="4460" spans="9:19" x14ac:dyDescent="0.25">
      <c r="I4460" s="1"/>
      <c r="J4460" s="71"/>
      <c r="M4460" s="46"/>
      <c r="R4460" s="51"/>
      <c r="S4460" s="51"/>
    </row>
    <row r="4461" spans="9:19" x14ac:dyDescent="0.25">
      <c r="I4461" s="1"/>
      <c r="J4461" s="71"/>
      <c r="M4461" s="46"/>
      <c r="R4461" s="51"/>
      <c r="S4461" s="51"/>
    </row>
    <row r="4462" spans="9:19" x14ac:dyDescent="0.25">
      <c r="I4462" s="1"/>
      <c r="J4462" s="71"/>
      <c r="M4462" s="46"/>
      <c r="R4462" s="51"/>
      <c r="S4462" s="51"/>
    </row>
    <row r="4463" spans="9:19" x14ac:dyDescent="0.25">
      <c r="I4463" s="1"/>
      <c r="J4463" s="71"/>
      <c r="M4463" s="46"/>
      <c r="R4463" s="51"/>
      <c r="S4463" s="51"/>
    </row>
    <row r="4464" spans="9:19" x14ac:dyDescent="0.25">
      <c r="I4464" s="1"/>
      <c r="J4464" s="71"/>
      <c r="M4464" s="46"/>
      <c r="R4464" s="51"/>
      <c r="S4464" s="51"/>
    </row>
    <row r="4465" spans="9:19" x14ac:dyDescent="0.25">
      <c r="I4465" s="1"/>
      <c r="J4465" s="71"/>
      <c r="M4465" s="46"/>
      <c r="R4465" s="51"/>
      <c r="S4465" s="51"/>
    </row>
    <row r="4466" spans="9:19" x14ac:dyDescent="0.25">
      <c r="I4466" s="1"/>
      <c r="J4466" s="71"/>
      <c r="M4466" s="46"/>
      <c r="R4466" s="51"/>
      <c r="S4466" s="51"/>
    </row>
    <row r="4467" spans="9:19" x14ac:dyDescent="0.25">
      <c r="I4467" s="1"/>
      <c r="J4467" s="71"/>
      <c r="M4467" s="46"/>
      <c r="R4467" s="51"/>
      <c r="S4467" s="51"/>
    </row>
    <row r="4468" spans="9:19" x14ac:dyDescent="0.25">
      <c r="I4468" s="1"/>
      <c r="J4468" s="71"/>
      <c r="M4468" s="46"/>
      <c r="R4468" s="51"/>
      <c r="S4468" s="51"/>
    </row>
    <row r="4469" spans="9:19" x14ac:dyDescent="0.25">
      <c r="I4469" s="1"/>
      <c r="J4469" s="71"/>
      <c r="M4469" s="46"/>
      <c r="R4469" s="51"/>
      <c r="S4469" s="51"/>
    </row>
    <row r="4470" spans="9:19" x14ac:dyDescent="0.25">
      <c r="I4470" s="1"/>
      <c r="J4470" s="71"/>
      <c r="M4470" s="46"/>
      <c r="R4470" s="51"/>
      <c r="S4470" s="51"/>
    </row>
    <row r="4471" spans="9:19" x14ac:dyDescent="0.25">
      <c r="I4471" s="1"/>
      <c r="J4471" s="71"/>
      <c r="M4471" s="46"/>
      <c r="R4471" s="51"/>
      <c r="S4471" s="51"/>
    </row>
    <row r="4472" spans="9:19" x14ac:dyDescent="0.25">
      <c r="I4472" s="1"/>
      <c r="J4472" s="71"/>
      <c r="M4472" s="46"/>
      <c r="R4472" s="51"/>
      <c r="S4472" s="51"/>
    </row>
    <row r="4473" spans="9:19" x14ac:dyDescent="0.25">
      <c r="I4473" s="1"/>
      <c r="J4473" s="71"/>
      <c r="M4473" s="46"/>
      <c r="R4473" s="51"/>
      <c r="S4473" s="51"/>
    </row>
    <row r="4474" spans="9:19" x14ac:dyDescent="0.25">
      <c r="I4474" s="1"/>
      <c r="J4474" s="71"/>
      <c r="M4474" s="46"/>
      <c r="R4474" s="51"/>
      <c r="S4474" s="51"/>
    </row>
    <row r="4475" spans="9:19" x14ac:dyDescent="0.25">
      <c r="I4475" s="1"/>
      <c r="J4475" s="71"/>
      <c r="M4475" s="46"/>
      <c r="R4475" s="51"/>
      <c r="S4475" s="51"/>
    </row>
    <row r="4476" spans="9:19" x14ac:dyDescent="0.25">
      <c r="I4476" s="1"/>
      <c r="J4476" s="71"/>
      <c r="M4476" s="46"/>
      <c r="R4476" s="51"/>
      <c r="S4476" s="51"/>
    </row>
    <row r="4477" spans="9:19" x14ac:dyDescent="0.25">
      <c r="I4477" s="1"/>
      <c r="J4477" s="71"/>
      <c r="M4477" s="46"/>
      <c r="R4477" s="51"/>
      <c r="S4477" s="51"/>
    </row>
    <row r="4478" spans="9:19" x14ac:dyDescent="0.25">
      <c r="I4478" s="1"/>
      <c r="J4478" s="71"/>
      <c r="M4478" s="46"/>
      <c r="R4478" s="51"/>
      <c r="S4478" s="51"/>
    </row>
    <row r="4479" spans="9:19" x14ac:dyDescent="0.25">
      <c r="I4479" s="1"/>
      <c r="J4479" s="71"/>
      <c r="M4479" s="46"/>
      <c r="R4479" s="51"/>
      <c r="S4479" s="51"/>
    </row>
    <row r="4480" spans="9:19" x14ac:dyDescent="0.25">
      <c r="I4480" s="1"/>
      <c r="J4480" s="71"/>
      <c r="M4480" s="46"/>
      <c r="R4480" s="51"/>
      <c r="S4480" s="51"/>
    </row>
    <row r="4481" spans="9:19" x14ac:dyDescent="0.25">
      <c r="I4481" s="1"/>
      <c r="J4481" s="71"/>
      <c r="M4481" s="46"/>
      <c r="R4481" s="51"/>
      <c r="S4481" s="51"/>
    </row>
    <row r="4482" spans="9:19" x14ac:dyDescent="0.25">
      <c r="I4482" s="1"/>
      <c r="J4482" s="71"/>
      <c r="M4482" s="46"/>
      <c r="R4482" s="51"/>
      <c r="S4482" s="51"/>
    </row>
    <row r="4483" spans="9:19" x14ac:dyDescent="0.25">
      <c r="I4483" s="1"/>
      <c r="J4483" s="71"/>
      <c r="M4483" s="46"/>
      <c r="R4483" s="51"/>
      <c r="S4483" s="51"/>
    </row>
    <row r="4484" spans="9:19" x14ac:dyDescent="0.25">
      <c r="I4484" s="1"/>
      <c r="J4484" s="71"/>
      <c r="M4484" s="46"/>
      <c r="R4484" s="51"/>
      <c r="S4484" s="51"/>
    </row>
    <row r="4485" spans="9:19" x14ac:dyDescent="0.25">
      <c r="I4485" s="1"/>
      <c r="J4485" s="71"/>
      <c r="M4485" s="46"/>
      <c r="R4485" s="51"/>
      <c r="S4485" s="51"/>
    </row>
    <row r="4486" spans="9:19" x14ac:dyDescent="0.25">
      <c r="I4486" s="1"/>
      <c r="J4486" s="71"/>
      <c r="M4486" s="46"/>
      <c r="R4486" s="51"/>
      <c r="S4486" s="51"/>
    </row>
    <row r="4487" spans="9:19" x14ac:dyDescent="0.25">
      <c r="I4487" s="1"/>
      <c r="J4487" s="71"/>
      <c r="M4487" s="46"/>
      <c r="R4487" s="51"/>
      <c r="S4487" s="51"/>
    </row>
    <row r="4488" spans="9:19" x14ac:dyDescent="0.25">
      <c r="I4488" s="1"/>
      <c r="J4488" s="71"/>
      <c r="M4488" s="46"/>
      <c r="R4488" s="51"/>
      <c r="S4488" s="51"/>
    </row>
    <row r="4489" spans="9:19" x14ac:dyDescent="0.25">
      <c r="I4489" s="1"/>
      <c r="J4489" s="71"/>
      <c r="M4489" s="46"/>
      <c r="R4489" s="51"/>
      <c r="S4489" s="51"/>
    </row>
    <row r="4490" spans="9:19" x14ac:dyDescent="0.25">
      <c r="I4490" s="1"/>
      <c r="J4490" s="71"/>
      <c r="M4490" s="46"/>
      <c r="R4490" s="51"/>
      <c r="S4490" s="51"/>
    </row>
    <row r="4491" spans="9:19" x14ac:dyDescent="0.25">
      <c r="I4491" s="1"/>
      <c r="J4491" s="71"/>
      <c r="M4491" s="46"/>
      <c r="R4491" s="51"/>
      <c r="S4491" s="51"/>
    </row>
    <row r="4492" spans="9:19" x14ac:dyDescent="0.25">
      <c r="I4492" s="1"/>
      <c r="J4492" s="71"/>
      <c r="M4492" s="46"/>
      <c r="R4492" s="51"/>
      <c r="S4492" s="51"/>
    </row>
    <row r="4493" spans="9:19" x14ac:dyDescent="0.25">
      <c r="I4493" s="1"/>
      <c r="J4493" s="71"/>
      <c r="M4493" s="46"/>
      <c r="R4493" s="51"/>
      <c r="S4493" s="51"/>
    </row>
    <row r="4494" spans="9:19" x14ac:dyDescent="0.25">
      <c r="I4494" s="1"/>
      <c r="J4494" s="71"/>
      <c r="M4494" s="46"/>
      <c r="R4494" s="51"/>
      <c r="S4494" s="51"/>
    </row>
    <row r="4495" spans="9:19" x14ac:dyDescent="0.25">
      <c r="I4495" s="1"/>
      <c r="J4495" s="71"/>
      <c r="M4495" s="46"/>
      <c r="R4495" s="51"/>
      <c r="S4495" s="51"/>
    </row>
    <row r="4496" spans="9:19" x14ac:dyDescent="0.25">
      <c r="I4496" s="1"/>
      <c r="J4496" s="71"/>
      <c r="M4496" s="46"/>
      <c r="R4496" s="51"/>
      <c r="S4496" s="51"/>
    </row>
    <row r="4497" spans="9:19" x14ac:dyDescent="0.25">
      <c r="I4497" s="1"/>
      <c r="J4497" s="71"/>
      <c r="M4497" s="46"/>
      <c r="R4497" s="51"/>
      <c r="S4497" s="51"/>
    </row>
    <row r="4498" spans="9:19" x14ac:dyDescent="0.25">
      <c r="I4498" s="1"/>
      <c r="J4498" s="71"/>
      <c r="M4498" s="46"/>
      <c r="R4498" s="51"/>
      <c r="S4498" s="51"/>
    </row>
    <row r="4499" spans="9:19" x14ac:dyDescent="0.25">
      <c r="I4499" s="1"/>
      <c r="J4499" s="71"/>
      <c r="M4499" s="46"/>
      <c r="R4499" s="51"/>
      <c r="S4499" s="51"/>
    </row>
    <row r="4500" spans="9:19" x14ac:dyDescent="0.25">
      <c r="I4500" s="1"/>
      <c r="J4500" s="71"/>
      <c r="M4500" s="46"/>
      <c r="R4500" s="51"/>
      <c r="S4500" s="51"/>
    </row>
    <row r="4501" spans="9:19" x14ac:dyDescent="0.25">
      <c r="I4501" s="1"/>
      <c r="J4501" s="71"/>
      <c r="M4501" s="46"/>
      <c r="R4501" s="51"/>
      <c r="S4501" s="51"/>
    </row>
    <row r="4502" spans="9:19" x14ac:dyDescent="0.25">
      <c r="I4502" s="1"/>
      <c r="J4502" s="71"/>
      <c r="M4502" s="46"/>
      <c r="R4502" s="51"/>
      <c r="S4502" s="51"/>
    </row>
    <row r="4503" spans="9:19" x14ac:dyDescent="0.25">
      <c r="I4503" s="1"/>
      <c r="J4503" s="71"/>
      <c r="M4503" s="46"/>
      <c r="R4503" s="51"/>
      <c r="S4503" s="51"/>
    </row>
    <row r="4504" spans="9:19" x14ac:dyDescent="0.25">
      <c r="I4504" s="1"/>
      <c r="J4504" s="71"/>
      <c r="M4504" s="46"/>
      <c r="R4504" s="51"/>
      <c r="S4504" s="51"/>
    </row>
    <row r="4505" spans="9:19" x14ac:dyDescent="0.25">
      <c r="I4505" s="1"/>
      <c r="J4505" s="71"/>
      <c r="M4505" s="46"/>
      <c r="R4505" s="51"/>
      <c r="S4505" s="51"/>
    </row>
    <row r="4506" spans="9:19" x14ac:dyDescent="0.25">
      <c r="I4506" s="1"/>
      <c r="J4506" s="71"/>
      <c r="M4506" s="46"/>
      <c r="R4506" s="51"/>
      <c r="S4506" s="51"/>
    </row>
    <row r="4507" spans="9:19" x14ac:dyDescent="0.25">
      <c r="I4507" s="1"/>
      <c r="J4507" s="71"/>
      <c r="M4507" s="46"/>
      <c r="R4507" s="51"/>
      <c r="S4507" s="51"/>
    </row>
    <row r="4508" spans="9:19" x14ac:dyDescent="0.25">
      <c r="I4508" s="1"/>
      <c r="J4508" s="71"/>
      <c r="M4508" s="46"/>
      <c r="R4508" s="51"/>
      <c r="S4508" s="51"/>
    </row>
    <row r="4509" spans="9:19" x14ac:dyDescent="0.25">
      <c r="I4509" s="1"/>
      <c r="J4509" s="71"/>
      <c r="M4509" s="46"/>
      <c r="R4509" s="51"/>
      <c r="S4509" s="51"/>
    </row>
    <row r="4510" spans="9:19" x14ac:dyDescent="0.25">
      <c r="I4510" s="1"/>
      <c r="J4510" s="71"/>
      <c r="M4510" s="46"/>
      <c r="R4510" s="51"/>
      <c r="S4510" s="51"/>
    </row>
    <row r="4511" spans="9:19" x14ac:dyDescent="0.25">
      <c r="I4511" s="1"/>
      <c r="J4511" s="71"/>
      <c r="M4511" s="46"/>
      <c r="R4511" s="51"/>
      <c r="S4511" s="51"/>
    </row>
    <row r="4512" spans="9:19" x14ac:dyDescent="0.25">
      <c r="I4512" s="1"/>
      <c r="J4512" s="71"/>
      <c r="M4512" s="46"/>
      <c r="R4512" s="51"/>
      <c r="S4512" s="51"/>
    </row>
    <row r="4513" spans="9:19" x14ac:dyDescent="0.25">
      <c r="I4513" s="1"/>
      <c r="J4513" s="71"/>
      <c r="M4513" s="46"/>
      <c r="R4513" s="51"/>
      <c r="S4513" s="51"/>
    </row>
    <row r="4514" spans="9:19" x14ac:dyDescent="0.25">
      <c r="I4514" s="1"/>
      <c r="J4514" s="71"/>
      <c r="M4514" s="46"/>
      <c r="R4514" s="51"/>
      <c r="S4514" s="51"/>
    </row>
    <row r="4515" spans="9:19" x14ac:dyDescent="0.25">
      <c r="I4515" s="1"/>
      <c r="J4515" s="71"/>
      <c r="M4515" s="46"/>
      <c r="R4515" s="51"/>
      <c r="S4515" s="51"/>
    </row>
    <row r="4516" spans="9:19" x14ac:dyDescent="0.25">
      <c r="I4516" s="1"/>
      <c r="J4516" s="71"/>
      <c r="M4516" s="46"/>
      <c r="R4516" s="51"/>
      <c r="S4516" s="51"/>
    </row>
    <row r="4517" spans="9:19" x14ac:dyDescent="0.25">
      <c r="I4517" s="1"/>
      <c r="J4517" s="71"/>
      <c r="M4517" s="46"/>
      <c r="R4517" s="51"/>
      <c r="S4517" s="51"/>
    </row>
    <row r="4518" spans="9:19" x14ac:dyDescent="0.25">
      <c r="I4518" s="1"/>
      <c r="J4518" s="71"/>
      <c r="M4518" s="46"/>
      <c r="R4518" s="51"/>
      <c r="S4518" s="51"/>
    </row>
    <row r="4519" spans="9:19" x14ac:dyDescent="0.25">
      <c r="I4519" s="1"/>
      <c r="J4519" s="71"/>
      <c r="M4519" s="46"/>
      <c r="R4519" s="51"/>
      <c r="S4519" s="51"/>
    </row>
    <row r="4520" spans="9:19" x14ac:dyDescent="0.25">
      <c r="I4520" s="1"/>
      <c r="J4520" s="71"/>
      <c r="M4520" s="46"/>
      <c r="R4520" s="51"/>
      <c r="S4520" s="51"/>
    </row>
    <row r="4521" spans="9:19" x14ac:dyDescent="0.25">
      <c r="I4521" s="1"/>
      <c r="J4521" s="71"/>
      <c r="M4521" s="46"/>
      <c r="R4521" s="51"/>
      <c r="S4521" s="51"/>
    </row>
    <row r="4522" spans="9:19" x14ac:dyDescent="0.25">
      <c r="I4522" s="1"/>
      <c r="J4522" s="71"/>
      <c r="M4522" s="46"/>
      <c r="R4522" s="51"/>
      <c r="S4522" s="51"/>
    </row>
    <row r="4523" spans="9:19" x14ac:dyDescent="0.25">
      <c r="I4523" s="1"/>
      <c r="J4523" s="71"/>
      <c r="M4523" s="46"/>
      <c r="R4523" s="51"/>
      <c r="S4523" s="51"/>
    </row>
    <row r="4524" spans="9:19" x14ac:dyDescent="0.25">
      <c r="I4524" s="1"/>
      <c r="J4524" s="71"/>
      <c r="M4524" s="46"/>
      <c r="R4524" s="51"/>
      <c r="S4524" s="51"/>
    </row>
    <row r="4525" spans="9:19" x14ac:dyDescent="0.25">
      <c r="I4525" s="1"/>
      <c r="J4525" s="71"/>
      <c r="M4525" s="46"/>
      <c r="R4525" s="51"/>
      <c r="S4525" s="51"/>
    </row>
    <row r="4526" spans="9:19" x14ac:dyDescent="0.25">
      <c r="I4526" s="1"/>
      <c r="J4526" s="71"/>
      <c r="M4526" s="46"/>
      <c r="R4526" s="51"/>
      <c r="S4526" s="51"/>
    </row>
    <row r="4527" spans="9:19" x14ac:dyDescent="0.25">
      <c r="I4527" s="1"/>
      <c r="J4527" s="71"/>
      <c r="M4527" s="46"/>
      <c r="R4527" s="51"/>
      <c r="S4527" s="51"/>
    </row>
    <row r="4528" spans="9:19" x14ac:dyDescent="0.25">
      <c r="I4528" s="1"/>
      <c r="J4528" s="71"/>
      <c r="M4528" s="46"/>
      <c r="R4528" s="51"/>
      <c r="S4528" s="51"/>
    </row>
    <row r="4529" spans="9:19" x14ac:dyDescent="0.25">
      <c r="I4529" s="1"/>
      <c r="J4529" s="71"/>
      <c r="M4529" s="46"/>
      <c r="R4529" s="51"/>
      <c r="S4529" s="51"/>
    </row>
    <row r="4530" spans="9:19" x14ac:dyDescent="0.25">
      <c r="I4530" s="1"/>
      <c r="J4530" s="71"/>
      <c r="M4530" s="46"/>
      <c r="R4530" s="51"/>
      <c r="S4530" s="51"/>
    </row>
    <row r="4531" spans="9:19" x14ac:dyDescent="0.25">
      <c r="I4531" s="1"/>
      <c r="J4531" s="71"/>
      <c r="M4531" s="46"/>
      <c r="R4531" s="51"/>
      <c r="S4531" s="51"/>
    </row>
    <row r="4532" spans="9:19" x14ac:dyDescent="0.25">
      <c r="I4532" s="1"/>
      <c r="J4532" s="71"/>
      <c r="M4532" s="46"/>
      <c r="R4532" s="51"/>
      <c r="S4532" s="51"/>
    </row>
    <row r="4533" spans="9:19" x14ac:dyDescent="0.25">
      <c r="I4533" s="1"/>
      <c r="J4533" s="71"/>
      <c r="M4533" s="46"/>
      <c r="R4533" s="51"/>
      <c r="S4533" s="51"/>
    </row>
    <row r="4534" spans="9:19" x14ac:dyDescent="0.25">
      <c r="I4534" s="1"/>
      <c r="J4534" s="71"/>
      <c r="M4534" s="46"/>
      <c r="R4534" s="51"/>
      <c r="S4534" s="51"/>
    </row>
    <row r="4535" spans="9:19" x14ac:dyDescent="0.25">
      <c r="I4535" s="1"/>
      <c r="J4535" s="71"/>
      <c r="M4535" s="46"/>
      <c r="R4535" s="51"/>
      <c r="S4535" s="51"/>
    </row>
    <row r="4536" spans="9:19" x14ac:dyDescent="0.25">
      <c r="I4536" s="1"/>
      <c r="J4536" s="71"/>
      <c r="M4536" s="46"/>
      <c r="R4536" s="51"/>
      <c r="S4536" s="51"/>
    </row>
    <row r="4537" spans="9:19" x14ac:dyDescent="0.25">
      <c r="I4537" s="1"/>
      <c r="J4537" s="71"/>
      <c r="M4537" s="46"/>
      <c r="R4537" s="51"/>
      <c r="S4537" s="51"/>
    </row>
    <row r="4538" spans="9:19" x14ac:dyDescent="0.25">
      <c r="I4538" s="1"/>
      <c r="J4538" s="71"/>
      <c r="M4538" s="46"/>
      <c r="R4538" s="51"/>
      <c r="S4538" s="51"/>
    </row>
    <row r="4539" spans="9:19" x14ac:dyDescent="0.25">
      <c r="I4539" s="1"/>
      <c r="J4539" s="71"/>
      <c r="M4539" s="46"/>
      <c r="R4539" s="51"/>
      <c r="S4539" s="51"/>
    </row>
    <row r="4540" spans="9:19" x14ac:dyDescent="0.25">
      <c r="I4540" s="1"/>
      <c r="J4540" s="71"/>
      <c r="M4540" s="46"/>
      <c r="R4540" s="51"/>
      <c r="S4540" s="51"/>
    </row>
    <row r="4541" spans="9:19" x14ac:dyDescent="0.25">
      <c r="I4541" s="1"/>
      <c r="J4541" s="71"/>
      <c r="M4541" s="46"/>
      <c r="R4541" s="51"/>
      <c r="S4541" s="51"/>
    </row>
    <row r="4542" spans="9:19" x14ac:dyDescent="0.25">
      <c r="I4542" s="1"/>
      <c r="J4542" s="71"/>
      <c r="M4542" s="46"/>
      <c r="R4542" s="51"/>
      <c r="S4542" s="51"/>
    </row>
    <row r="4543" spans="9:19" x14ac:dyDescent="0.25">
      <c r="I4543" s="1"/>
      <c r="J4543" s="71"/>
      <c r="M4543" s="46"/>
      <c r="R4543" s="51"/>
      <c r="S4543" s="51"/>
    </row>
    <row r="4544" spans="9:19" x14ac:dyDescent="0.25">
      <c r="I4544" s="1"/>
      <c r="J4544" s="71"/>
      <c r="M4544" s="46"/>
      <c r="R4544" s="51"/>
      <c r="S4544" s="51"/>
    </row>
    <row r="4545" spans="9:19" x14ac:dyDescent="0.25">
      <c r="I4545" s="1"/>
      <c r="J4545" s="71"/>
      <c r="M4545" s="46"/>
      <c r="R4545" s="51"/>
      <c r="S4545" s="51"/>
    </row>
    <row r="4546" spans="9:19" x14ac:dyDescent="0.25">
      <c r="I4546" s="1"/>
      <c r="J4546" s="71"/>
      <c r="M4546" s="46"/>
      <c r="R4546" s="51"/>
      <c r="S4546" s="51"/>
    </row>
    <row r="4547" spans="9:19" x14ac:dyDescent="0.25">
      <c r="I4547" s="1"/>
      <c r="J4547" s="71"/>
      <c r="M4547" s="46"/>
      <c r="R4547" s="51"/>
      <c r="S4547" s="51"/>
    </row>
    <row r="4548" spans="9:19" x14ac:dyDescent="0.25">
      <c r="I4548" s="1"/>
      <c r="J4548" s="71"/>
      <c r="M4548" s="46"/>
      <c r="R4548" s="51"/>
      <c r="S4548" s="51"/>
    </row>
    <row r="4549" spans="9:19" x14ac:dyDescent="0.25">
      <c r="I4549" s="1"/>
      <c r="J4549" s="71"/>
      <c r="M4549" s="46"/>
      <c r="R4549" s="51"/>
      <c r="S4549" s="51"/>
    </row>
    <row r="4550" spans="9:19" x14ac:dyDescent="0.25">
      <c r="I4550" s="1"/>
      <c r="J4550" s="71"/>
      <c r="M4550" s="46"/>
      <c r="R4550" s="51"/>
      <c r="S4550" s="51"/>
    </row>
    <row r="4551" spans="9:19" x14ac:dyDescent="0.25">
      <c r="I4551" s="1"/>
      <c r="J4551" s="71"/>
      <c r="M4551" s="46"/>
      <c r="R4551" s="51"/>
      <c r="S4551" s="51"/>
    </row>
    <row r="4552" spans="9:19" x14ac:dyDescent="0.25">
      <c r="I4552" s="1"/>
      <c r="J4552" s="71"/>
      <c r="M4552" s="46"/>
      <c r="R4552" s="51"/>
      <c r="S4552" s="51"/>
    </row>
    <row r="4553" spans="9:19" x14ac:dyDescent="0.25">
      <c r="I4553" s="1"/>
      <c r="J4553" s="71"/>
      <c r="M4553" s="46"/>
      <c r="R4553" s="51"/>
      <c r="S4553" s="51"/>
    </row>
    <row r="4554" spans="9:19" x14ac:dyDescent="0.25">
      <c r="I4554" s="1"/>
      <c r="J4554" s="71"/>
      <c r="M4554" s="46"/>
      <c r="R4554" s="51"/>
      <c r="S4554" s="51"/>
    </row>
    <row r="4555" spans="9:19" x14ac:dyDescent="0.25">
      <c r="I4555" s="1"/>
      <c r="J4555" s="71"/>
      <c r="M4555" s="46"/>
      <c r="R4555" s="51"/>
      <c r="S4555" s="51"/>
    </row>
    <row r="4556" spans="9:19" x14ac:dyDescent="0.25">
      <c r="I4556" s="1"/>
      <c r="J4556" s="71"/>
      <c r="M4556" s="46"/>
      <c r="R4556" s="51"/>
      <c r="S4556" s="51"/>
    </row>
    <row r="4557" spans="9:19" x14ac:dyDescent="0.25">
      <c r="I4557" s="1"/>
      <c r="J4557" s="71"/>
      <c r="M4557" s="46"/>
      <c r="R4557" s="51"/>
      <c r="S4557" s="51"/>
    </row>
    <row r="4558" spans="9:19" x14ac:dyDescent="0.25">
      <c r="I4558" s="1"/>
      <c r="J4558" s="71"/>
      <c r="M4558" s="46"/>
      <c r="R4558" s="51"/>
      <c r="S4558" s="51"/>
    </row>
    <row r="4559" spans="9:19" x14ac:dyDescent="0.25">
      <c r="I4559" s="1"/>
      <c r="J4559" s="71"/>
      <c r="M4559" s="46"/>
      <c r="R4559" s="51"/>
      <c r="S4559" s="51"/>
    </row>
    <row r="4560" spans="9:19" x14ac:dyDescent="0.25">
      <c r="I4560" s="1"/>
      <c r="J4560" s="71"/>
      <c r="M4560" s="46"/>
      <c r="R4560" s="51"/>
      <c r="S4560" s="51"/>
    </row>
    <row r="4561" spans="9:19" x14ac:dyDescent="0.25">
      <c r="I4561" s="1"/>
      <c r="J4561" s="71"/>
      <c r="M4561" s="46"/>
      <c r="R4561" s="51"/>
      <c r="S4561" s="51"/>
    </row>
    <row r="4562" spans="9:19" x14ac:dyDescent="0.25">
      <c r="I4562" s="1"/>
      <c r="J4562" s="71"/>
      <c r="M4562" s="46"/>
      <c r="R4562" s="51"/>
      <c r="S4562" s="51"/>
    </row>
    <row r="4563" spans="9:19" x14ac:dyDescent="0.25">
      <c r="I4563" s="1"/>
      <c r="J4563" s="71"/>
      <c r="M4563" s="46"/>
      <c r="R4563" s="51"/>
      <c r="S4563" s="51"/>
    </row>
    <row r="4564" spans="9:19" x14ac:dyDescent="0.25">
      <c r="I4564" s="1"/>
      <c r="J4564" s="71"/>
      <c r="M4564" s="46"/>
      <c r="R4564" s="51"/>
      <c r="S4564" s="51"/>
    </row>
    <row r="4565" spans="9:19" x14ac:dyDescent="0.25">
      <c r="I4565" s="1"/>
      <c r="J4565" s="71"/>
      <c r="M4565" s="46"/>
      <c r="R4565" s="51"/>
      <c r="S4565" s="51"/>
    </row>
    <row r="4566" spans="9:19" x14ac:dyDescent="0.25">
      <c r="I4566" s="1"/>
      <c r="J4566" s="71"/>
      <c r="M4566" s="46"/>
      <c r="R4566" s="51"/>
      <c r="S4566" s="51"/>
    </row>
    <row r="4567" spans="9:19" x14ac:dyDescent="0.25">
      <c r="I4567" s="1"/>
      <c r="J4567" s="71"/>
      <c r="M4567" s="46"/>
      <c r="R4567" s="51"/>
      <c r="S4567" s="51"/>
    </row>
    <row r="4568" spans="9:19" x14ac:dyDescent="0.25">
      <c r="I4568" s="1"/>
      <c r="J4568" s="71"/>
      <c r="M4568" s="46"/>
      <c r="R4568" s="51"/>
      <c r="S4568" s="51"/>
    </row>
    <row r="4569" spans="9:19" x14ac:dyDescent="0.25">
      <c r="I4569" s="1"/>
      <c r="J4569" s="71"/>
      <c r="M4569" s="46"/>
      <c r="R4569" s="51"/>
      <c r="S4569" s="51"/>
    </row>
    <row r="4570" spans="9:19" x14ac:dyDescent="0.25">
      <c r="I4570" s="1"/>
      <c r="J4570" s="71"/>
      <c r="M4570" s="46"/>
      <c r="R4570" s="51"/>
      <c r="S4570" s="51"/>
    </row>
    <row r="4571" spans="9:19" x14ac:dyDescent="0.25">
      <c r="I4571" s="1"/>
      <c r="J4571" s="71"/>
      <c r="M4571" s="46"/>
      <c r="R4571" s="51"/>
      <c r="S4571" s="51"/>
    </row>
    <row r="4572" spans="9:19" x14ac:dyDescent="0.25">
      <c r="I4572" s="1"/>
      <c r="J4572" s="71"/>
      <c r="M4572" s="46"/>
      <c r="R4572" s="51"/>
      <c r="S4572" s="51"/>
    </row>
    <row r="4573" spans="9:19" x14ac:dyDescent="0.25">
      <c r="I4573" s="1"/>
      <c r="J4573" s="71"/>
      <c r="M4573" s="46"/>
      <c r="R4573" s="51"/>
      <c r="S4573" s="51"/>
    </row>
    <row r="4574" spans="9:19" x14ac:dyDescent="0.25">
      <c r="I4574" s="1"/>
      <c r="J4574" s="71"/>
      <c r="M4574" s="46"/>
      <c r="R4574" s="51"/>
      <c r="S4574" s="51"/>
    </row>
    <row r="4575" spans="9:19" x14ac:dyDescent="0.25">
      <c r="I4575" s="1"/>
      <c r="J4575" s="71"/>
      <c r="M4575" s="46"/>
      <c r="R4575" s="51"/>
      <c r="S4575" s="51"/>
    </row>
    <row r="4576" spans="9:19" x14ac:dyDescent="0.25">
      <c r="I4576" s="1"/>
      <c r="J4576" s="71"/>
      <c r="M4576" s="46"/>
      <c r="R4576" s="51"/>
      <c r="S4576" s="51"/>
    </row>
    <row r="4577" spans="9:19" x14ac:dyDescent="0.25">
      <c r="I4577" s="1"/>
      <c r="J4577" s="71"/>
      <c r="M4577" s="46"/>
      <c r="R4577" s="51"/>
      <c r="S4577" s="51"/>
    </row>
    <row r="4578" spans="9:19" x14ac:dyDescent="0.25">
      <c r="I4578" s="1"/>
      <c r="J4578" s="71"/>
      <c r="M4578" s="46"/>
      <c r="R4578" s="51"/>
      <c r="S4578" s="51"/>
    </row>
    <row r="4579" spans="9:19" x14ac:dyDescent="0.25">
      <c r="I4579" s="1"/>
      <c r="J4579" s="71"/>
      <c r="M4579" s="46"/>
      <c r="R4579" s="51"/>
      <c r="S4579" s="51"/>
    </row>
    <row r="4580" spans="9:19" x14ac:dyDescent="0.25">
      <c r="I4580" s="1"/>
      <c r="J4580" s="71"/>
      <c r="M4580" s="46"/>
      <c r="R4580" s="51"/>
      <c r="S4580" s="51"/>
    </row>
    <row r="4581" spans="9:19" x14ac:dyDescent="0.25">
      <c r="I4581" s="1"/>
      <c r="J4581" s="71"/>
      <c r="M4581" s="46"/>
      <c r="R4581" s="51"/>
      <c r="S4581" s="51"/>
    </row>
    <row r="4582" spans="9:19" x14ac:dyDescent="0.25">
      <c r="I4582" s="1"/>
      <c r="J4582" s="71"/>
      <c r="M4582" s="46"/>
      <c r="R4582" s="51"/>
      <c r="S4582" s="51"/>
    </row>
    <row r="4583" spans="9:19" x14ac:dyDescent="0.25">
      <c r="I4583" s="1"/>
      <c r="J4583" s="71"/>
      <c r="M4583" s="46"/>
      <c r="R4583" s="51"/>
      <c r="S4583" s="51"/>
    </row>
    <row r="4584" spans="9:19" x14ac:dyDescent="0.25">
      <c r="I4584" s="1"/>
      <c r="J4584" s="71"/>
      <c r="M4584" s="46"/>
      <c r="R4584" s="51"/>
      <c r="S4584" s="51"/>
    </row>
    <row r="4585" spans="9:19" x14ac:dyDescent="0.25">
      <c r="I4585" s="1"/>
      <c r="J4585" s="71"/>
      <c r="M4585" s="46"/>
      <c r="R4585" s="51"/>
      <c r="S4585" s="51"/>
    </row>
    <row r="4586" spans="9:19" x14ac:dyDescent="0.25">
      <c r="I4586" s="1"/>
      <c r="J4586" s="71"/>
      <c r="M4586" s="46"/>
      <c r="R4586" s="51"/>
      <c r="S4586" s="51"/>
    </row>
    <row r="4587" spans="9:19" x14ac:dyDescent="0.25">
      <c r="I4587" s="1"/>
      <c r="J4587" s="71"/>
      <c r="M4587" s="46"/>
      <c r="R4587" s="51"/>
      <c r="S4587" s="51"/>
    </row>
    <row r="4588" spans="9:19" x14ac:dyDescent="0.25">
      <c r="I4588" s="1"/>
      <c r="J4588" s="71"/>
      <c r="M4588" s="46"/>
      <c r="R4588" s="51"/>
      <c r="S4588" s="51"/>
    </row>
    <row r="4589" spans="9:19" x14ac:dyDescent="0.25">
      <c r="I4589" s="1"/>
      <c r="J4589" s="71"/>
      <c r="M4589" s="46"/>
      <c r="R4589" s="51"/>
      <c r="S4589" s="51"/>
    </row>
    <row r="4590" spans="9:19" x14ac:dyDescent="0.25">
      <c r="I4590" s="1"/>
      <c r="J4590" s="71"/>
      <c r="M4590" s="46"/>
      <c r="R4590" s="51"/>
      <c r="S4590" s="51"/>
    </row>
    <row r="4591" spans="9:19" x14ac:dyDescent="0.25">
      <c r="I4591" s="1"/>
      <c r="J4591" s="71"/>
      <c r="M4591" s="46"/>
      <c r="R4591" s="51"/>
      <c r="S4591" s="51"/>
    </row>
    <row r="4592" spans="9:19" x14ac:dyDescent="0.25">
      <c r="I4592" s="1"/>
      <c r="J4592" s="71"/>
      <c r="M4592" s="46"/>
      <c r="R4592" s="51"/>
      <c r="S4592" s="51"/>
    </row>
    <row r="4593" spans="9:19" x14ac:dyDescent="0.25">
      <c r="I4593" s="1"/>
      <c r="J4593" s="71"/>
      <c r="M4593" s="46"/>
      <c r="R4593" s="51"/>
      <c r="S4593" s="51"/>
    </row>
    <row r="4594" spans="9:19" x14ac:dyDescent="0.25">
      <c r="I4594" s="1"/>
      <c r="J4594" s="71"/>
      <c r="M4594" s="46"/>
      <c r="R4594" s="51"/>
      <c r="S4594" s="51"/>
    </row>
    <row r="4595" spans="9:19" x14ac:dyDescent="0.25">
      <c r="I4595" s="1"/>
      <c r="J4595" s="71"/>
      <c r="M4595" s="46"/>
      <c r="R4595" s="51"/>
      <c r="S4595" s="51"/>
    </row>
    <row r="4596" spans="9:19" x14ac:dyDescent="0.25">
      <c r="I4596" s="1"/>
      <c r="J4596" s="71"/>
      <c r="M4596" s="46"/>
      <c r="R4596" s="51"/>
      <c r="S4596" s="51"/>
    </row>
    <row r="4597" spans="9:19" x14ac:dyDescent="0.25">
      <c r="I4597" s="1"/>
      <c r="J4597" s="71"/>
      <c r="M4597" s="46"/>
      <c r="R4597" s="51"/>
      <c r="S4597" s="51"/>
    </row>
    <row r="4598" spans="9:19" x14ac:dyDescent="0.25">
      <c r="I4598" s="1"/>
      <c r="J4598" s="71"/>
      <c r="M4598" s="46"/>
      <c r="R4598" s="51"/>
      <c r="S4598" s="51"/>
    </row>
    <row r="4599" spans="9:19" x14ac:dyDescent="0.25">
      <c r="I4599" s="1"/>
      <c r="J4599" s="71"/>
      <c r="M4599" s="46"/>
      <c r="R4599" s="51"/>
      <c r="S4599" s="51"/>
    </row>
    <row r="4600" spans="9:19" x14ac:dyDescent="0.25">
      <c r="I4600" s="1"/>
      <c r="J4600" s="71"/>
      <c r="M4600" s="46"/>
      <c r="R4600" s="51"/>
      <c r="S4600" s="51"/>
    </row>
    <row r="4601" spans="9:19" x14ac:dyDescent="0.25">
      <c r="I4601" s="1"/>
      <c r="J4601" s="71"/>
      <c r="M4601" s="46"/>
      <c r="R4601" s="51"/>
      <c r="S4601" s="51"/>
    </row>
    <row r="4602" spans="9:19" x14ac:dyDescent="0.25">
      <c r="I4602" s="1"/>
      <c r="J4602" s="71"/>
      <c r="M4602" s="46"/>
      <c r="R4602" s="51"/>
      <c r="S4602" s="51"/>
    </row>
    <row r="4603" spans="9:19" x14ac:dyDescent="0.25">
      <c r="I4603" s="1"/>
      <c r="J4603" s="71"/>
      <c r="M4603" s="46"/>
      <c r="R4603" s="51"/>
      <c r="S4603" s="51"/>
    </row>
    <row r="4604" spans="9:19" x14ac:dyDescent="0.25">
      <c r="I4604" s="1"/>
      <c r="J4604" s="71"/>
      <c r="M4604" s="46"/>
      <c r="R4604" s="51"/>
      <c r="S4604" s="51"/>
    </row>
    <row r="4605" spans="9:19" x14ac:dyDescent="0.25">
      <c r="I4605" s="1"/>
      <c r="J4605" s="71"/>
      <c r="M4605" s="46"/>
      <c r="R4605" s="51"/>
      <c r="S4605" s="51"/>
    </row>
    <row r="4606" spans="9:19" x14ac:dyDescent="0.25">
      <c r="I4606" s="1"/>
      <c r="J4606" s="71"/>
      <c r="M4606" s="46"/>
      <c r="R4606" s="51"/>
      <c r="S4606" s="51"/>
    </row>
    <row r="4607" spans="9:19" x14ac:dyDescent="0.25">
      <c r="I4607" s="1"/>
      <c r="J4607" s="71"/>
      <c r="M4607" s="46"/>
      <c r="R4607" s="51"/>
      <c r="S4607" s="51"/>
    </row>
    <row r="4608" spans="9:19" x14ac:dyDescent="0.25">
      <c r="I4608" s="1"/>
      <c r="J4608" s="71"/>
      <c r="M4608" s="46"/>
      <c r="R4608" s="51"/>
      <c r="S4608" s="51"/>
    </row>
    <row r="4609" spans="9:19" x14ac:dyDescent="0.25">
      <c r="I4609" s="1"/>
      <c r="J4609" s="71"/>
      <c r="M4609" s="46"/>
      <c r="R4609" s="51"/>
      <c r="S4609" s="51"/>
    </row>
    <row r="4610" spans="9:19" x14ac:dyDescent="0.25">
      <c r="I4610" s="1"/>
      <c r="J4610" s="71"/>
      <c r="M4610" s="46"/>
      <c r="R4610" s="51"/>
      <c r="S4610" s="51"/>
    </row>
    <row r="4611" spans="9:19" x14ac:dyDescent="0.25">
      <c r="I4611" s="1"/>
      <c r="J4611" s="71"/>
      <c r="M4611" s="46"/>
      <c r="R4611" s="51"/>
      <c r="S4611" s="51"/>
    </row>
    <row r="4612" spans="9:19" x14ac:dyDescent="0.25">
      <c r="I4612" s="1"/>
      <c r="J4612" s="71"/>
      <c r="M4612" s="46"/>
      <c r="R4612" s="51"/>
      <c r="S4612" s="51"/>
    </row>
    <row r="4613" spans="9:19" x14ac:dyDescent="0.25">
      <c r="I4613" s="1"/>
      <c r="J4613" s="71"/>
      <c r="M4613" s="46"/>
      <c r="R4613" s="51"/>
      <c r="S4613" s="51"/>
    </row>
    <row r="4614" spans="9:19" x14ac:dyDescent="0.25">
      <c r="I4614" s="1"/>
      <c r="J4614" s="71"/>
      <c r="M4614" s="46"/>
      <c r="R4614" s="51"/>
      <c r="S4614" s="51"/>
    </row>
    <row r="4615" spans="9:19" x14ac:dyDescent="0.25">
      <c r="I4615" s="1"/>
      <c r="J4615" s="71"/>
      <c r="M4615" s="46"/>
      <c r="R4615" s="51"/>
      <c r="S4615" s="51"/>
    </row>
    <row r="4616" spans="9:19" x14ac:dyDescent="0.25">
      <c r="I4616" s="1"/>
      <c r="J4616" s="71"/>
      <c r="M4616" s="46"/>
      <c r="R4616" s="51"/>
      <c r="S4616" s="51"/>
    </row>
    <row r="4617" spans="9:19" x14ac:dyDescent="0.25">
      <c r="I4617" s="1"/>
      <c r="J4617" s="71"/>
      <c r="M4617" s="46"/>
      <c r="R4617" s="51"/>
      <c r="S4617" s="51"/>
    </row>
    <row r="4618" spans="9:19" x14ac:dyDescent="0.25">
      <c r="I4618" s="1"/>
      <c r="J4618" s="71"/>
      <c r="M4618" s="46"/>
      <c r="R4618" s="51"/>
      <c r="S4618" s="51"/>
    </row>
    <row r="4619" spans="9:19" x14ac:dyDescent="0.25">
      <c r="I4619" s="1"/>
      <c r="J4619" s="71"/>
      <c r="M4619" s="46"/>
      <c r="R4619" s="51"/>
      <c r="S4619" s="51"/>
    </row>
    <row r="4620" spans="9:19" x14ac:dyDescent="0.25">
      <c r="I4620" s="1"/>
      <c r="J4620" s="71"/>
      <c r="M4620" s="46"/>
      <c r="R4620" s="51"/>
      <c r="S4620" s="51"/>
    </row>
    <row r="4621" spans="9:19" x14ac:dyDescent="0.25">
      <c r="I4621" s="1"/>
      <c r="J4621" s="71"/>
      <c r="M4621" s="46"/>
      <c r="R4621" s="51"/>
      <c r="S4621" s="51"/>
    </row>
    <row r="4622" spans="9:19" x14ac:dyDescent="0.25">
      <c r="I4622" s="1"/>
      <c r="J4622" s="71"/>
      <c r="M4622" s="46"/>
      <c r="R4622" s="51"/>
      <c r="S4622" s="51"/>
    </row>
    <row r="4623" spans="9:19" x14ac:dyDescent="0.25">
      <c r="I4623" s="1"/>
      <c r="J4623" s="71"/>
      <c r="M4623" s="46"/>
      <c r="R4623" s="51"/>
      <c r="S4623" s="51"/>
    </row>
    <row r="4624" spans="9:19" x14ac:dyDescent="0.25">
      <c r="I4624" s="1"/>
      <c r="J4624" s="71"/>
      <c r="M4624" s="46"/>
      <c r="R4624" s="51"/>
      <c r="S4624" s="51"/>
    </row>
    <row r="4625" spans="9:19" x14ac:dyDescent="0.25">
      <c r="I4625" s="1"/>
      <c r="J4625" s="71"/>
      <c r="M4625" s="46"/>
      <c r="R4625" s="51"/>
      <c r="S4625" s="51"/>
    </row>
    <row r="4626" spans="9:19" x14ac:dyDescent="0.25">
      <c r="I4626" s="1"/>
      <c r="J4626" s="71"/>
      <c r="M4626" s="46"/>
      <c r="R4626" s="51"/>
      <c r="S4626" s="51"/>
    </row>
    <row r="4627" spans="9:19" x14ac:dyDescent="0.25">
      <c r="I4627" s="1"/>
      <c r="J4627" s="71"/>
      <c r="M4627" s="46"/>
      <c r="R4627" s="51"/>
      <c r="S4627" s="51"/>
    </row>
    <row r="4628" spans="9:19" x14ac:dyDescent="0.25">
      <c r="I4628" s="1"/>
      <c r="J4628" s="71"/>
      <c r="M4628" s="46"/>
      <c r="R4628" s="51"/>
      <c r="S4628" s="51"/>
    </row>
    <row r="4629" spans="9:19" x14ac:dyDescent="0.25">
      <c r="I4629" s="1"/>
      <c r="J4629" s="71"/>
      <c r="M4629" s="46"/>
      <c r="R4629" s="51"/>
      <c r="S4629" s="51"/>
    </row>
    <row r="4630" spans="9:19" x14ac:dyDescent="0.25">
      <c r="I4630" s="1"/>
      <c r="J4630" s="71"/>
      <c r="M4630" s="46"/>
      <c r="R4630" s="51"/>
      <c r="S4630" s="51"/>
    </row>
    <row r="4631" spans="9:19" x14ac:dyDescent="0.25">
      <c r="I4631" s="1"/>
      <c r="J4631" s="71"/>
      <c r="M4631" s="46"/>
      <c r="R4631" s="51"/>
      <c r="S4631" s="51"/>
    </row>
    <row r="4632" spans="9:19" x14ac:dyDescent="0.25">
      <c r="I4632" s="1"/>
      <c r="J4632" s="71"/>
      <c r="M4632" s="46"/>
      <c r="R4632" s="51"/>
      <c r="S4632" s="51"/>
    </row>
    <row r="4633" spans="9:19" x14ac:dyDescent="0.25">
      <c r="I4633" s="1"/>
      <c r="J4633" s="71"/>
      <c r="M4633" s="46"/>
      <c r="R4633" s="51"/>
      <c r="S4633" s="51"/>
    </row>
    <row r="4634" spans="9:19" x14ac:dyDescent="0.25">
      <c r="I4634" s="1"/>
      <c r="J4634" s="71"/>
      <c r="M4634" s="46"/>
      <c r="R4634" s="51"/>
      <c r="S4634" s="51"/>
    </row>
    <row r="4635" spans="9:19" x14ac:dyDescent="0.25">
      <c r="I4635" s="1"/>
      <c r="J4635" s="71"/>
      <c r="M4635" s="46"/>
      <c r="R4635" s="51"/>
      <c r="S4635" s="51"/>
    </row>
    <row r="4636" spans="9:19" x14ac:dyDescent="0.25">
      <c r="I4636" s="1"/>
      <c r="J4636" s="71"/>
      <c r="M4636" s="46"/>
      <c r="R4636" s="51"/>
      <c r="S4636" s="51"/>
    </row>
    <row r="4637" spans="9:19" x14ac:dyDescent="0.25">
      <c r="I4637" s="1"/>
      <c r="J4637" s="71"/>
      <c r="M4637" s="46"/>
      <c r="R4637" s="51"/>
      <c r="S4637" s="51"/>
    </row>
    <row r="4638" spans="9:19" x14ac:dyDescent="0.25">
      <c r="I4638" s="1"/>
      <c r="J4638" s="71"/>
      <c r="M4638" s="46"/>
      <c r="R4638" s="51"/>
      <c r="S4638" s="51"/>
    </row>
    <row r="4639" spans="9:19" x14ac:dyDescent="0.25">
      <c r="I4639" s="1"/>
      <c r="J4639" s="71"/>
      <c r="M4639" s="46"/>
      <c r="R4639" s="51"/>
      <c r="S4639" s="51"/>
    </row>
    <row r="4640" spans="9:19" x14ac:dyDescent="0.25">
      <c r="I4640" s="1"/>
      <c r="J4640" s="71"/>
      <c r="M4640" s="46"/>
      <c r="R4640" s="51"/>
      <c r="S4640" s="51"/>
    </row>
    <row r="4641" spans="9:19" x14ac:dyDescent="0.25">
      <c r="I4641" s="1"/>
      <c r="J4641" s="71"/>
      <c r="M4641" s="46"/>
      <c r="R4641" s="51"/>
      <c r="S4641" s="51"/>
    </row>
    <row r="4642" spans="9:19" x14ac:dyDescent="0.25">
      <c r="I4642" s="1"/>
      <c r="J4642" s="71"/>
      <c r="M4642" s="46"/>
      <c r="R4642" s="51"/>
      <c r="S4642" s="51"/>
    </row>
    <row r="4643" spans="9:19" x14ac:dyDescent="0.25">
      <c r="I4643" s="1"/>
      <c r="J4643" s="71"/>
      <c r="M4643" s="46"/>
      <c r="R4643" s="51"/>
      <c r="S4643" s="51"/>
    </row>
    <row r="4644" spans="9:19" x14ac:dyDescent="0.25">
      <c r="I4644" s="1"/>
      <c r="J4644" s="71"/>
      <c r="M4644" s="46"/>
      <c r="R4644" s="51"/>
      <c r="S4644" s="51"/>
    </row>
    <row r="4645" spans="9:19" x14ac:dyDescent="0.25">
      <c r="I4645" s="1"/>
      <c r="J4645" s="71"/>
      <c r="M4645" s="46"/>
      <c r="R4645" s="51"/>
      <c r="S4645" s="51"/>
    </row>
    <row r="4646" spans="9:19" x14ac:dyDescent="0.25">
      <c r="I4646" s="1"/>
      <c r="J4646" s="71"/>
      <c r="M4646" s="46"/>
      <c r="R4646" s="51"/>
      <c r="S4646" s="51"/>
    </row>
    <row r="4647" spans="9:19" x14ac:dyDescent="0.25">
      <c r="I4647" s="1"/>
      <c r="J4647" s="71"/>
      <c r="M4647" s="46"/>
      <c r="R4647" s="51"/>
      <c r="S4647" s="51"/>
    </row>
    <row r="4648" spans="9:19" x14ac:dyDescent="0.25">
      <c r="I4648" s="1"/>
      <c r="J4648" s="71"/>
      <c r="M4648" s="46"/>
      <c r="R4648" s="51"/>
      <c r="S4648" s="51"/>
    </row>
    <row r="4649" spans="9:19" x14ac:dyDescent="0.25">
      <c r="I4649" s="1"/>
      <c r="J4649" s="71"/>
      <c r="M4649" s="46"/>
      <c r="R4649" s="51"/>
      <c r="S4649" s="51"/>
    </row>
    <row r="4650" spans="9:19" x14ac:dyDescent="0.25">
      <c r="I4650" s="1"/>
      <c r="J4650" s="71"/>
      <c r="M4650" s="46"/>
      <c r="R4650" s="51"/>
      <c r="S4650" s="51"/>
    </row>
    <row r="4651" spans="9:19" x14ac:dyDescent="0.25">
      <c r="I4651" s="1"/>
      <c r="J4651" s="71"/>
      <c r="M4651" s="46"/>
      <c r="R4651" s="51"/>
      <c r="S4651" s="51"/>
    </row>
    <row r="4652" spans="9:19" x14ac:dyDescent="0.25">
      <c r="I4652" s="1"/>
      <c r="J4652" s="71"/>
      <c r="M4652" s="46"/>
      <c r="R4652" s="51"/>
      <c r="S4652" s="51"/>
    </row>
    <row r="4653" spans="9:19" x14ac:dyDescent="0.25">
      <c r="I4653" s="1"/>
      <c r="J4653" s="71"/>
      <c r="M4653" s="46"/>
      <c r="R4653" s="51"/>
      <c r="S4653" s="51"/>
    </row>
    <row r="4654" spans="9:19" x14ac:dyDescent="0.25">
      <c r="I4654" s="1"/>
      <c r="J4654" s="71"/>
      <c r="M4654" s="46"/>
      <c r="R4654" s="51"/>
      <c r="S4654" s="51"/>
    </row>
    <row r="4655" spans="9:19" x14ac:dyDescent="0.25">
      <c r="I4655" s="1"/>
      <c r="J4655" s="71"/>
      <c r="M4655" s="46"/>
      <c r="R4655" s="51"/>
      <c r="S4655" s="51"/>
    </row>
    <row r="4656" spans="9:19" x14ac:dyDescent="0.25">
      <c r="I4656" s="1"/>
      <c r="J4656" s="71"/>
      <c r="M4656" s="46"/>
      <c r="R4656" s="51"/>
      <c r="S4656" s="51"/>
    </row>
    <row r="4657" spans="9:19" x14ac:dyDescent="0.25">
      <c r="I4657" s="1"/>
      <c r="J4657" s="71"/>
      <c r="M4657" s="46"/>
      <c r="R4657" s="51"/>
      <c r="S4657" s="51"/>
    </row>
    <row r="4658" spans="9:19" x14ac:dyDescent="0.25">
      <c r="I4658" s="1"/>
      <c r="J4658" s="71"/>
      <c r="M4658" s="46"/>
      <c r="R4658" s="51"/>
      <c r="S4658" s="51"/>
    </row>
    <row r="4659" spans="9:19" x14ac:dyDescent="0.25">
      <c r="I4659" s="1"/>
      <c r="J4659" s="71"/>
      <c r="M4659" s="46"/>
      <c r="R4659" s="51"/>
      <c r="S4659" s="51"/>
    </row>
    <row r="4660" spans="9:19" x14ac:dyDescent="0.25">
      <c r="I4660" s="1"/>
      <c r="J4660" s="71"/>
      <c r="M4660" s="46"/>
      <c r="R4660" s="51"/>
      <c r="S4660" s="51"/>
    </row>
    <row r="4661" spans="9:19" x14ac:dyDescent="0.25">
      <c r="I4661" s="1"/>
      <c r="J4661" s="71"/>
      <c r="M4661" s="46"/>
      <c r="R4661" s="51"/>
      <c r="S4661" s="51"/>
    </row>
    <row r="4662" spans="9:19" x14ac:dyDescent="0.25">
      <c r="I4662" s="1"/>
      <c r="J4662" s="71"/>
      <c r="M4662" s="46"/>
      <c r="R4662" s="51"/>
      <c r="S4662" s="51"/>
    </row>
    <row r="4663" spans="9:19" x14ac:dyDescent="0.25">
      <c r="I4663" s="1"/>
      <c r="J4663" s="71"/>
      <c r="M4663" s="46"/>
      <c r="R4663" s="51"/>
      <c r="S4663" s="51"/>
    </row>
    <row r="4664" spans="9:19" x14ac:dyDescent="0.25">
      <c r="I4664" s="1"/>
      <c r="J4664" s="71"/>
      <c r="M4664" s="46"/>
      <c r="R4664" s="51"/>
      <c r="S4664" s="51"/>
    </row>
    <row r="4665" spans="9:19" x14ac:dyDescent="0.25">
      <c r="I4665" s="1"/>
      <c r="J4665" s="71"/>
      <c r="M4665" s="46"/>
      <c r="R4665" s="51"/>
      <c r="S4665" s="51"/>
    </row>
    <row r="4666" spans="9:19" x14ac:dyDescent="0.25">
      <c r="I4666" s="1"/>
      <c r="J4666" s="71"/>
      <c r="M4666" s="46"/>
      <c r="R4666" s="51"/>
      <c r="S4666" s="51"/>
    </row>
    <row r="4667" spans="9:19" x14ac:dyDescent="0.25">
      <c r="I4667" s="1"/>
      <c r="J4667" s="71"/>
      <c r="M4667" s="46"/>
      <c r="R4667" s="51"/>
      <c r="S4667" s="51"/>
    </row>
    <row r="4668" spans="9:19" x14ac:dyDescent="0.25">
      <c r="I4668" s="1"/>
      <c r="J4668" s="71"/>
      <c r="M4668" s="46"/>
      <c r="R4668" s="51"/>
      <c r="S4668" s="51"/>
    </row>
    <row r="4669" spans="9:19" x14ac:dyDescent="0.25">
      <c r="I4669" s="1"/>
      <c r="J4669" s="71"/>
      <c r="M4669" s="46"/>
      <c r="R4669" s="51"/>
      <c r="S4669" s="51"/>
    </row>
    <row r="4670" spans="9:19" x14ac:dyDescent="0.25">
      <c r="I4670" s="1"/>
      <c r="J4670" s="71"/>
      <c r="M4670" s="46"/>
      <c r="R4670" s="51"/>
      <c r="S4670" s="51"/>
    </row>
    <row r="4671" spans="9:19" x14ac:dyDescent="0.25">
      <c r="I4671" s="1"/>
      <c r="J4671" s="71"/>
      <c r="M4671" s="46"/>
      <c r="R4671" s="51"/>
      <c r="S4671" s="51"/>
    </row>
    <row r="4672" spans="9:19" x14ac:dyDescent="0.25">
      <c r="I4672" s="1"/>
      <c r="J4672" s="71"/>
      <c r="M4672" s="46"/>
      <c r="R4672" s="51"/>
      <c r="S4672" s="51"/>
    </row>
    <row r="4673" spans="9:19" x14ac:dyDescent="0.25">
      <c r="I4673" s="1"/>
      <c r="J4673" s="71"/>
      <c r="M4673" s="46"/>
      <c r="R4673" s="51"/>
      <c r="S4673" s="51"/>
    </row>
    <row r="4674" spans="9:19" x14ac:dyDescent="0.25">
      <c r="I4674" s="1"/>
      <c r="J4674" s="71"/>
      <c r="M4674" s="46"/>
      <c r="R4674" s="51"/>
      <c r="S4674" s="51"/>
    </row>
    <row r="4675" spans="9:19" x14ac:dyDescent="0.25">
      <c r="I4675" s="1"/>
      <c r="J4675" s="71"/>
      <c r="M4675" s="46"/>
      <c r="R4675" s="51"/>
      <c r="S4675" s="51"/>
    </row>
    <row r="4676" spans="9:19" x14ac:dyDescent="0.25">
      <c r="I4676" s="1"/>
      <c r="J4676" s="71"/>
      <c r="M4676" s="46"/>
      <c r="R4676" s="51"/>
      <c r="S4676" s="51"/>
    </row>
    <row r="4677" spans="9:19" x14ac:dyDescent="0.25">
      <c r="I4677" s="1"/>
      <c r="J4677" s="71"/>
      <c r="M4677" s="46"/>
      <c r="R4677" s="51"/>
      <c r="S4677" s="51"/>
    </row>
    <row r="4678" spans="9:19" x14ac:dyDescent="0.25">
      <c r="I4678" s="1"/>
      <c r="J4678" s="71"/>
      <c r="M4678" s="46"/>
      <c r="R4678" s="51"/>
      <c r="S4678" s="51"/>
    </row>
    <row r="4679" spans="9:19" x14ac:dyDescent="0.25">
      <c r="I4679" s="1"/>
      <c r="J4679" s="71"/>
      <c r="M4679" s="46"/>
      <c r="R4679" s="51"/>
      <c r="S4679" s="51"/>
    </row>
    <row r="4680" spans="9:19" x14ac:dyDescent="0.25">
      <c r="I4680" s="1"/>
      <c r="J4680" s="71"/>
      <c r="M4680" s="46"/>
      <c r="R4680" s="51"/>
      <c r="S4680" s="51"/>
    </row>
    <row r="4681" spans="9:19" x14ac:dyDescent="0.25">
      <c r="I4681" s="1"/>
      <c r="J4681" s="71"/>
      <c r="M4681" s="46"/>
      <c r="R4681" s="51"/>
      <c r="S4681" s="51"/>
    </row>
    <row r="4682" spans="9:19" x14ac:dyDescent="0.25">
      <c r="I4682" s="1"/>
      <c r="J4682" s="71"/>
      <c r="M4682" s="46"/>
      <c r="R4682" s="51"/>
      <c r="S4682" s="51"/>
    </row>
    <row r="4683" spans="9:19" x14ac:dyDescent="0.25">
      <c r="I4683" s="1"/>
      <c r="J4683" s="71"/>
      <c r="M4683" s="46"/>
      <c r="R4683" s="51"/>
      <c r="S4683" s="51"/>
    </row>
    <row r="4684" spans="9:19" x14ac:dyDescent="0.25">
      <c r="I4684" s="1"/>
      <c r="J4684" s="71"/>
      <c r="M4684" s="46"/>
      <c r="R4684" s="51"/>
      <c r="S4684" s="51"/>
    </row>
    <row r="4685" spans="9:19" x14ac:dyDescent="0.25">
      <c r="I4685" s="1"/>
      <c r="J4685" s="71"/>
      <c r="M4685" s="46"/>
      <c r="R4685" s="51"/>
      <c r="S4685" s="51"/>
    </row>
    <row r="4686" spans="9:19" x14ac:dyDescent="0.25">
      <c r="I4686" s="1"/>
      <c r="J4686" s="71"/>
      <c r="M4686" s="46"/>
      <c r="R4686" s="51"/>
      <c r="S4686" s="51"/>
    </row>
    <row r="4687" spans="9:19" x14ac:dyDescent="0.25">
      <c r="I4687" s="1"/>
      <c r="J4687" s="71"/>
      <c r="M4687" s="46"/>
      <c r="R4687" s="51"/>
      <c r="S4687" s="51"/>
    </row>
    <row r="4688" spans="9:19" x14ac:dyDescent="0.25">
      <c r="I4688" s="1"/>
      <c r="J4688" s="71"/>
      <c r="M4688" s="46"/>
      <c r="R4688" s="51"/>
      <c r="S4688" s="51"/>
    </row>
    <row r="4689" spans="9:19" x14ac:dyDescent="0.25">
      <c r="I4689" s="1"/>
      <c r="J4689" s="71"/>
      <c r="M4689" s="46"/>
      <c r="R4689" s="51"/>
      <c r="S4689" s="51"/>
    </row>
    <row r="4690" spans="9:19" x14ac:dyDescent="0.25">
      <c r="I4690" s="1"/>
      <c r="J4690" s="71"/>
      <c r="M4690" s="46"/>
      <c r="R4690" s="51"/>
      <c r="S4690" s="51"/>
    </row>
    <row r="4691" spans="9:19" x14ac:dyDescent="0.25">
      <c r="I4691" s="1"/>
      <c r="J4691" s="71"/>
      <c r="M4691" s="46"/>
      <c r="R4691" s="51"/>
      <c r="S4691" s="51"/>
    </row>
    <row r="4692" spans="9:19" x14ac:dyDescent="0.25">
      <c r="I4692" s="1"/>
      <c r="J4692" s="71"/>
      <c r="M4692" s="46"/>
      <c r="R4692" s="51"/>
      <c r="S4692" s="51"/>
    </row>
    <row r="4693" spans="9:19" x14ac:dyDescent="0.25">
      <c r="I4693" s="1"/>
      <c r="J4693" s="71"/>
      <c r="M4693" s="46"/>
      <c r="R4693" s="51"/>
      <c r="S4693" s="51"/>
    </row>
    <row r="4694" spans="9:19" x14ac:dyDescent="0.25">
      <c r="I4694" s="1"/>
      <c r="J4694" s="71"/>
      <c r="M4694" s="46"/>
      <c r="R4694" s="51"/>
      <c r="S4694" s="51"/>
    </row>
    <row r="4695" spans="9:19" x14ac:dyDescent="0.25">
      <c r="I4695" s="1"/>
      <c r="J4695" s="71"/>
      <c r="M4695" s="46"/>
      <c r="R4695" s="51"/>
      <c r="S4695" s="51"/>
    </row>
    <row r="4696" spans="9:19" x14ac:dyDescent="0.25">
      <c r="I4696" s="1"/>
      <c r="J4696" s="71"/>
      <c r="M4696" s="46"/>
      <c r="R4696" s="51"/>
      <c r="S4696" s="51"/>
    </row>
    <row r="4697" spans="9:19" x14ac:dyDescent="0.25">
      <c r="I4697" s="1"/>
      <c r="J4697" s="71"/>
      <c r="M4697" s="46"/>
      <c r="R4697" s="51"/>
      <c r="S4697" s="51"/>
    </row>
    <row r="4698" spans="9:19" x14ac:dyDescent="0.25">
      <c r="I4698" s="1"/>
      <c r="J4698" s="71"/>
      <c r="M4698" s="46"/>
      <c r="R4698" s="51"/>
      <c r="S4698" s="51"/>
    </row>
    <row r="4699" spans="9:19" x14ac:dyDescent="0.25">
      <c r="I4699" s="1"/>
      <c r="J4699" s="71"/>
      <c r="M4699" s="46"/>
      <c r="R4699" s="51"/>
      <c r="S4699" s="51"/>
    </row>
    <row r="4700" spans="9:19" x14ac:dyDescent="0.25">
      <c r="I4700" s="1"/>
      <c r="J4700" s="71"/>
      <c r="M4700" s="46"/>
      <c r="R4700" s="51"/>
      <c r="S4700" s="51"/>
    </row>
    <row r="4701" spans="9:19" x14ac:dyDescent="0.25">
      <c r="I4701" s="1"/>
      <c r="J4701" s="71"/>
      <c r="M4701" s="46"/>
      <c r="R4701" s="51"/>
      <c r="S4701" s="51"/>
    </row>
    <row r="4702" spans="9:19" x14ac:dyDescent="0.25">
      <c r="I4702" s="1"/>
      <c r="J4702" s="71"/>
      <c r="M4702" s="46"/>
      <c r="R4702" s="51"/>
      <c r="S4702" s="51"/>
    </row>
    <row r="4703" spans="9:19" x14ac:dyDescent="0.25">
      <c r="I4703" s="1"/>
      <c r="J4703" s="71"/>
      <c r="M4703" s="46"/>
      <c r="R4703" s="51"/>
      <c r="S4703" s="51"/>
    </row>
    <row r="4704" spans="9:19" x14ac:dyDescent="0.25">
      <c r="I4704" s="1"/>
      <c r="J4704" s="71"/>
      <c r="M4704" s="46"/>
      <c r="R4704" s="51"/>
      <c r="S4704" s="51"/>
    </row>
    <row r="4705" spans="9:19" x14ac:dyDescent="0.25">
      <c r="I4705" s="1"/>
      <c r="J4705" s="71"/>
      <c r="M4705" s="46"/>
      <c r="R4705" s="51"/>
      <c r="S4705" s="51"/>
    </row>
    <row r="4706" spans="9:19" x14ac:dyDescent="0.25">
      <c r="I4706" s="1"/>
      <c r="J4706" s="71"/>
      <c r="M4706" s="46"/>
      <c r="R4706" s="51"/>
      <c r="S4706" s="51"/>
    </row>
    <row r="4707" spans="9:19" x14ac:dyDescent="0.25">
      <c r="I4707" s="1"/>
      <c r="J4707" s="71"/>
      <c r="M4707" s="46"/>
      <c r="R4707" s="51"/>
      <c r="S4707" s="51"/>
    </row>
    <row r="4708" spans="9:19" x14ac:dyDescent="0.25">
      <c r="I4708" s="1"/>
      <c r="J4708" s="71"/>
      <c r="M4708" s="46"/>
      <c r="R4708" s="51"/>
      <c r="S4708" s="51"/>
    </row>
    <row r="4709" spans="9:19" x14ac:dyDescent="0.25">
      <c r="I4709" s="1"/>
      <c r="J4709" s="71"/>
      <c r="M4709" s="46"/>
      <c r="R4709" s="51"/>
      <c r="S4709" s="51"/>
    </row>
    <row r="4710" spans="9:19" x14ac:dyDescent="0.25">
      <c r="I4710" s="1"/>
      <c r="J4710" s="71"/>
      <c r="M4710" s="46"/>
      <c r="R4710" s="51"/>
      <c r="S4710" s="51"/>
    </row>
    <row r="4711" spans="9:19" x14ac:dyDescent="0.25">
      <c r="I4711" s="1"/>
      <c r="J4711" s="71"/>
      <c r="M4711" s="46"/>
      <c r="R4711" s="51"/>
      <c r="S4711" s="51"/>
    </row>
    <row r="4712" spans="9:19" x14ac:dyDescent="0.25">
      <c r="I4712" s="1"/>
      <c r="J4712" s="71"/>
      <c r="M4712" s="46"/>
      <c r="R4712" s="51"/>
      <c r="S4712" s="51"/>
    </row>
    <row r="4713" spans="9:19" x14ac:dyDescent="0.25">
      <c r="I4713" s="1"/>
      <c r="J4713" s="71"/>
      <c r="M4713" s="46"/>
      <c r="R4713" s="51"/>
      <c r="S4713" s="51"/>
    </row>
    <row r="4714" spans="9:19" x14ac:dyDescent="0.25">
      <c r="I4714" s="1"/>
      <c r="J4714" s="71"/>
      <c r="M4714" s="46"/>
      <c r="R4714" s="51"/>
      <c r="S4714" s="51"/>
    </row>
    <row r="4715" spans="9:19" x14ac:dyDescent="0.25">
      <c r="I4715" s="1"/>
      <c r="J4715" s="71"/>
      <c r="M4715" s="46"/>
      <c r="R4715" s="51"/>
      <c r="S4715" s="51"/>
    </row>
    <row r="4716" spans="9:19" x14ac:dyDescent="0.25">
      <c r="I4716" s="1"/>
      <c r="J4716" s="71"/>
      <c r="M4716" s="46"/>
      <c r="R4716" s="51"/>
      <c r="S4716" s="51"/>
    </row>
    <row r="4717" spans="9:19" x14ac:dyDescent="0.25">
      <c r="I4717" s="1"/>
      <c r="J4717" s="71"/>
      <c r="M4717" s="46"/>
      <c r="R4717" s="51"/>
      <c r="S4717" s="51"/>
    </row>
    <row r="4718" spans="9:19" x14ac:dyDescent="0.25">
      <c r="I4718" s="1"/>
      <c r="J4718" s="71"/>
      <c r="M4718" s="46"/>
      <c r="R4718" s="51"/>
      <c r="S4718" s="51"/>
    </row>
    <row r="4719" spans="9:19" x14ac:dyDescent="0.25">
      <c r="I4719" s="1"/>
      <c r="J4719" s="71"/>
      <c r="M4719" s="46"/>
      <c r="R4719" s="51"/>
      <c r="S4719" s="51"/>
    </row>
    <row r="4720" spans="9:19" x14ac:dyDescent="0.25">
      <c r="I4720" s="1"/>
      <c r="J4720" s="71"/>
      <c r="M4720" s="46"/>
      <c r="R4720" s="51"/>
      <c r="S4720" s="51"/>
    </row>
    <row r="4721" spans="9:19" x14ac:dyDescent="0.25">
      <c r="I4721" s="1"/>
      <c r="J4721" s="71"/>
      <c r="M4721" s="46"/>
      <c r="R4721" s="51"/>
      <c r="S4721" s="51"/>
    </row>
    <row r="4722" spans="9:19" x14ac:dyDescent="0.25">
      <c r="I4722" s="1"/>
      <c r="J4722" s="71"/>
      <c r="M4722" s="46"/>
      <c r="R4722" s="51"/>
      <c r="S4722" s="51"/>
    </row>
    <row r="4723" spans="9:19" x14ac:dyDescent="0.25">
      <c r="I4723" s="1"/>
      <c r="J4723" s="71"/>
      <c r="M4723" s="46"/>
      <c r="R4723" s="51"/>
      <c r="S4723" s="51"/>
    </row>
    <row r="4724" spans="9:19" x14ac:dyDescent="0.25">
      <c r="I4724" s="1"/>
      <c r="J4724" s="71"/>
      <c r="M4724" s="46"/>
      <c r="R4724" s="51"/>
      <c r="S4724" s="51"/>
    </row>
    <row r="4725" spans="9:19" x14ac:dyDescent="0.25">
      <c r="I4725" s="1"/>
      <c r="J4725" s="71"/>
      <c r="M4725" s="46"/>
      <c r="R4725" s="51"/>
      <c r="S4725" s="51"/>
    </row>
    <row r="4726" spans="9:19" x14ac:dyDescent="0.25">
      <c r="I4726" s="1"/>
      <c r="J4726" s="71"/>
      <c r="M4726" s="46"/>
      <c r="R4726" s="51"/>
      <c r="S4726" s="51"/>
    </row>
    <row r="4727" spans="9:19" x14ac:dyDescent="0.25">
      <c r="I4727" s="1"/>
      <c r="J4727" s="71"/>
      <c r="M4727" s="46"/>
      <c r="R4727" s="51"/>
      <c r="S4727" s="51"/>
    </row>
    <row r="4728" spans="9:19" x14ac:dyDescent="0.25">
      <c r="I4728" s="1"/>
      <c r="J4728" s="71"/>
      <c r="M4728" s="46"/>
      <c r="R4728" s="51"/>
      <c r="S4728" s="51"/>
    </row>
    <row r="4729" spans="9:19" x14ac:dyDescent="0.25">
      <c r="I4729" s="1"/>
      <c r="J4729" s="71"/>
      <c r="M4729" s="46"/>
      <c r="R4729" s="51"/>
      <c r="S4729" s="51"/>
    </row>
    <row r="4730" spans="9:19" x14ac:dyDescent="0.25">
      <c r="I4730" s="1"/>
      <c r="J4730" s="71"/>
      <c r="M4730" s="46"/>
      <c r="R4730" s="51"/>
      <c r="S4730" s="51"/>
    </row>
    <row r="4731" spans="9:19" x14ac:dyDescent="0.25">
      <c r="I4731" s="1"/>
      <c r="J4731" s="71"/>
      <c r="M4731" s="46"/>
      <c r="R4731" s="51"/>
      <c r="S4731" s="51"/>
    </row>
    <row r="4732" spans="9:19" x14ac:dyDescent="0.25">
      <c r="I4732" s="1"/>
      <c r="J4732" s="71"/>
      <c r="M4732" s="46"/>
      <c r="R4732" s="51"/>
      <c r="S4732" s="51"/>
    </row>
    <row r="4733" spans="9:19" x14ac:dyDescent="0.25">
      <c r="I4733" s="1"/>
      <c r="J4733" s="71"/>
      <c r="M4733" s="46"/>
      <c r="R4733" s="51"/>
      <c r="S4733" s="51"/>
    </row>
    <row r="4734" spans="9:19" x14ac:dyDescent="0.25">
      <c r="I4734" s="1"/>
      <c r="J4734" s="71"/>
      <c r="M4734" s="46"/>
      <c r="R4734" s="51"/>
      <c r="S4734" s="51"/>
    </row>
    <row r="4735" spans="9:19" x14ac:dyDescent="0.25">
      <c r="I4735" s="1"/>
      <c r="J4735" s="71"/>
      <c r="M4735" s="46"/>
      <c r="R4735" s="51"/>
      <c r="S4735" s="51"/>
    </row>
    <row r="4736" spans="9:19" x14ac:dyDescent="0.25">
      <c r="I4736" s="1"/>
      <c r="J4736" s="71"/>
      <c r="M4736" s="46"/>
      <c r="R4736" s="51"/>
      <c r="S4736" s="51"/>
    </row>
    <row r="4737" spans="9:19" x14ac:dyDescent="0.25">
      <c r="I4737" s="1"/>
      <c r="J4737" s="71"/>
      <c r="M4737" s="46"/>
      <c r="R4737" s="51"/>
      <c r="S4737" s="51"/>
    </row>
    <row r="4738" spans="9:19" x14ac:dyDescent="0.25">
      <c r="I4738" s="1"/>
      <c r="J4738" s="71"/>
      <c r="M4738" s="46"/>
      <c r="R4738" s="51"/>
      <c r="S4738" s="51"/>
    </row>
    <row r="4739" spans="9:19" x14ac:dyDescent="0.25">
      <c r="I4739" s="1"/>
      <c r="J4739" s="71"/>
      <c r="M4739" s="46"/>
      <c r="R4739" s="51"/>
      <c r="S4739" s="51"/>
    </row>
    <row r="4740" spans="9:19" x14ac:dyDescent="0.25">
      <c r="I4740" s="1"/>
      <c r="J4740" s="71"/>
      <c r="M4740" s="46"/>
      <c r="R4740" s="51"/>
      <c r="S4740" s="51"/>
    </row>
    <row r="4741" spans="9:19" x14ac:dyDescent="0.25">
      <c r="I4741" s="1"/>
      <c r="J4741" s="71"/>
      <c r="M4741" s="46"/>
      <c r="R4741" s="51"/>
      <c r="S4741" s="51"/>
    </row>
    <row r="4742" spans="9:19" x14ac:dyDescent="0.25">
      <c r="I4742" s="1"/>
      <c r="J4742" s="71"/>
      <c r="M4742" s="46"/>
      <c r="R4742" s="51"/>
      <c r="S4742" s="51"/>
    </row>
    <row r="4743" spans="9:19" x14ac:dyDescent="0.25">
      <c r="I4743" s="1"/>
      <c r="J4743" s="71"/>
      <c r="M4743" s="46"/>
      <c r="R4743" s="51"/>
      <c r="S4743" s="51"/>
    </row>
    <row r="4744" spans="9:19" x14ac:dyDescent="0.25">
      <c r="I4744" s="1"/>
      <c r="J4744" s="71"/>
      <c r="M4744" s="46"/>
      <c r="R4744" s="51"/>
      <c r="S4744" s="51"/>
    </row>
    <row r="4745" spans="9:19" x14ac:dyDescent="0.25">
      <c r="I4745" s="1"/>
      <c r="J4745" s="71"/>
      <c r="M4745" s="46"/>
      <c r="R4745" s="51"/>
      <c r="S4745" s="51"/>
    </row>
    <row r="4746" spans="9:19" x14ac:dyDescent="0.25">
      <c r="I4746" s="1"/>
      <c r="J4746" s="71"/>
      <c r="M4746" s="46"/>
      <c r="R4746" s="51"/>
      <c r="S4746" s="51"/>
    </row>
    <row r="4747" spans="9:19" x14ac:dyDescent="0.25">
      <c r="I4747" s="1"/>
      <c r="J4747" s="71"/>
      <c r="M4747" s="46"/>
      <c r="R4747" s="51"/>
      <c r="S4747" s="51"/>
    </row>
    <row r="4748" spans="9:19" x14ac:dyDescent="0.25">
      <c r="I4748" s="1"/>
      <c r="J4748" s="71"/>
      <c r="M4748" s="46"/>
      <c r="R4748" s="51"/>
      <c r="S4748" s="51"/>
    </row>
    <row r="4749" spans="9:19" x14ac:dyDescent="0.25">
      <c r="I4749" s="1"/>
      <c r="J4749" s="71"/>
      <c r="M4749" s="46"/>
      <c r="R4749" s="51"/>
      <c r="S4749" s="51"/>
    </row>
    <row r="4750" spans="9:19" x14ac:dyDescent="0.25">
      <c r="I4750" s="1"/>
      <c r="J4750" s="71"/>
      <c r="M4750" s="46"/>
      <c r="R4750" s="51"/>
      <c r="S4750" s="51"/>
    </row>
    <row r="4751" spans="9:19" x14ac:dyDescent="0.25">
      <c r="I4751" s="1"/>
      <c r="J4751" s="71"/>
      <c r="M4751" s="46"/>
      <c r="R4751" s="51"/>
      <c r="S4751" s="51"/>
    </row>
    <row r="4752" spans="9:19" x14ac:dyDescent="0.25">
      <c r="I4752" s="1"/>
      <c r="J4752" s="71"/>
      <c r="M4752" s="46"/>
      <c r="R4752" s="51"/>
      <c r="S4752" s="51"/>
    </row>
    <row r="4753" spans="9:19" x14ac:dyDescent="0.25">
      <c r="I4753" s="1"/>
      <c r="J4753" s="71"/>
      <c r="M4753" s="46"/>
      <c r="R4753" s="51"/>
      <c r="S4753" s="51"/>
    </row>
    <row r="4754" spans="9:19" x14ac:dyDescent="0.25">
      <c r="I4754" s="1"/>
      <c r="J4754" s="71"/>
      <c r="M4754" s="46"/>
      <c r="R4754" s="51"/>
      <c r="S4754" s="51"/>
    </row>
    <row r="4755" spans="9:19" x14ac:dyDescent="0.25">
      <c r="I4755" s="1"/>
      <c r="J4755" s="71"/>
      <c r="M4755" s="46"/>
      <c r="R4755" s="51"/>
      <c r="S4755" s="51"/>
    </row>
    <row r="4756" spans="9:19" x14ac:dyDescent="0.25">
      <c r="I4756" s="1"/>
      <c r="J4756" s="71"/>
      <c r="M4756" s="46"/>
      <c r="R4756" s="51"/>
      <c r="S4756" s="51"/>
    </row>
    <row r="4757" spans="9:19" x14ac:dyDescent="0.25">
      <c r="I4757" s="1"/>
      <c r="J4757" s="71"/>
      <c r="M4757" s="46"/>
      <c r="R4757" s="51"/>
      <c r="S4757" s="51"/>
    </row>
    <row r="4758" spans="9:19" x14ac:dyDescent="0.25">
      <c r="I4758" s="1"/>
      <c r="J4758" s="71"/>
      <c r="M4758" s="46"/>
      <c r="R4758" s="51"/>
      <c r="S4758" s="51"/>
    </row>
    <row r="4759" spans="9:19" x14ac:dyDescent="0.25">
      <c r="I4759" s="1"/>
      <c r="J4759" s="71"/>
      <c r="M4759" s="46"/>
      <c r="R4759" s="51"/>
      <c r="S4759" s="51"/>
    </row>
    <row r="4760" spans="9:19" x14ac:dyDescent="0.25">
      <c r="I4760" s="1"/>
      <c r="J4760" s="71"/>
      <c r="M4760" s="46"/>
      <c r="R4760" s="51"/>
      <c r="S4760" s="51"/>
    </row>
    <row r="4761" spans="9:19" x14ac:dyDescent="0.25">
      <c r="I4761" s="1"/>
      <c r="J4761" s="71"/>
      <c r="M4761" s="46"/>
      <c r="R4761" s="51"/>
      <c r="S4761" s="51"/>
    </row>
    <row r="4762" spans="9:19" x14ac:dyDescent="0.25">
      <c r="I4762" s="1"/>
      <c r="J4762" s="71"/>
      <c r="M4762" s="46"/>
      <c r="R4762" s="51"/>
      <c r="S4762" s="51"/>
    </row>
    <row r="4763" spans="9:19" x14ac:dyDescent="0.25">
      <c r="I4763" s="1"/>
      <c r="J4763" s="71"/>
      <c r="M4763" s="46"/>
      <c r="R4763" s="51"/>
      <c r="S4763" s="51"/>
    </row>
    <row r="4764" spans="9:19" x14ac:dyDescent="0.25">
      <c r="I4764" s="1"/>
      <c r="J4764" s="71"/>
      <c r="M4764" s="46"/>
      <c r="R4764" s="51"/>
      <c r="S4764" s="51"/>
    </row>
    <row r="4765" spans="9:19" x14ac:dyDescent="0.25">
      <c r="I4765" s="1"/>
      <c r="J4765" s="71"/>
      <c r="M4765" s="46"/>
      <c r="R4765" s="51"/>
      <c r="S4765" s="51"/>
    </row>
    <row r="4766" spans="9:19" x14ac:dyDescent="0.25">
      <c r="I4766" s="1"/>
      <c r="J4766" s="71"/>
      <c r="M4766" s="46"/>
      <c r="R4766" s="51"/>
      <c r="S4766" s="51"/>
    </row>
    <row r="4767" spans="9:19" x14ac:dyDescent="0.25">
      <c r="I4767" s="1"/>
      <c r="J4767" s="71"/>
      <c r="M4767" s="46"/>
      <c r="R4767" s="51"/>
      <c r="S4767" s="51"/>
    </row>
    <row r="4768" spans="9:19" x14ac:dyDescent="0.25">
      <c r="I4768" s="1"/>
      <c r="J4768" s="71"/>
      <c r="M4768" s="46"/>
      <c r="R4768" s="51"/>
      <c r="S4768" s="51"/>
    </row>
    <row r="4769" spans="9:19" x14ac:dyDescent="0.25">
      <c r="I4769" s="1"/>
      <c r="J4769" s="71"/>
      <c r="M4769" s="46"/>
      <c r="R4769" s="51"/>
      <c r="S4769" s="51"/>
    </row>
    <row r="4770" spans="9:19" x14ac:dyDescent="0.25">
      <c r="I4770" s="1"/>
      <c r="J4770" s="71"/>
      <c r="M4770" s="46"/>
      <c r="R4770" s="51"/>
      <c r="S4770" s="51"/>
    </row>
    <row r="4771" spans="9:19" x14ac:dyDescent="0.25">
      <c r="I4771" s="1"/>
      <c r="J4771" s="71"/>
      <c r="M4771" s="46"/>
      <c r="R4771" s="51"/>
      <c r="S4771" s="51"/>
    </row>
    <row r="4772" spans="9:19" x14ac:dyDescent="0.25">
      <c r="I4772" s="1"/>
      <c r="J4772" s="71"/>
      <c r="M4772" s="46"/>
      <c r="R4772" s="51"/>
      <c r="S4772" s="51"/>
    </row>
    <row r="4773" spans="9:19" x14ac:dyDescent="0.25">
      <c r="I4773" s="1"/>
      <c r="J4773" s="71"/>
      <c r="M4773" s="46"/>
      <c r="R4773" s="51"/>
      <c r="S4773" s="51"/>
    </row>
    <row r="4774" spans="9:19" x14ac:dyDescent="0.25">
      <c r="I4774" s="1"/>
      <c r="J4774" s="71"/>
      <c r="M4774" s="46"/>
      <c r="R4774" s="51"/>
      <c r="S4774" s="51"/>
    </row>
    <row r="4775" spans="9:19" x14ac:dyDescent="0.25">
      <c r="I4775" s="1"/>
      <c r="J4775" s="71"/>
      <c r="M4775" s="46"/>
      <c r="R4775" s="51"/>
      <c r="S4775" s="51"/>
    </row>
    <row r="4776" spans="9:19" x14ac:dyDescent="0.25">
      <c r="I4776" s="1"/>
      <c r="J4776" s="71"/>
      <c r="M4776" s="46"/>
      <c r="R4776" s="51"/>
      <c r="S4776" s="51"/>
    </row>
    <row r="4777" spans="9:19" x14ac:dyDescent="0.25">
      <c r="I4777" s="1"/>
      <c r="J4777" s="71"/>
      <c r="M4777" s="46"/>
      <c r="R4777" s="51"/>
      <c r="S4777" s="51"/>
    </row>
    <row r="4778" spans="9:19" x14ac:dyDescent="0.25">
      <c r="I4778" s="1"/>
      <c r="J4778" s="71"/>
      <c r="M4778" s="46"/>
      <c r="R4778" s="51"/>
      <c r="S4778" s="51"/>
    </row>
    <row r="4779" spans="9:19" x14ac:dyDescent="0.25">
      <c r="I4779" s="1"/>
      <c r="J4779" s="71"/>
      <c r="M4779" s="46"/>
      <c r="R4779" s="51"/>
      <c r="S4779" s="51"/>
    </row>
    <row r="4780" spans="9:19" x14ac:dyDescent="0.25">
      <c r="I4780" s="1"/>
      <c r="J4780" s="71"/>
      <c r="M4780" s="46"/>
      <c r="R4780" s="51"/>
      <c r="S4780" s="51"/>
    </row>
    <row r="4781" spans="9:19" x14ac:dyDescent="0.25">
      <c r="I4781" s="1"/>
      <c r="J4781" s="71"/>
      <c r="M4781" s="46"/>
      <c r="R4781" s="51"/>
      <c r="S4781" s="51"/>
    </row>
    <row r="4782" spans="9:19" x14ac:dyDescent="0.25">
      <c r="I4782" s="1"/>
      <c r="J4782" s="71"/>
      <c r="M4782" s="46"/>
      <c r="R4782" s="51"/>
      <c r="S4782" s="51"/>
    </row>
    <row r="4783" spans="9:19" x14ac:dyDescent="0.25">
      <c r="I4783" s="1"/>
      <c r="J4783" s="71"/>
      <c r="M4783" s="46"/>
      <c r="R4783" s="51"/>
      <c r="S4783" s="51"/>
    </row>
    <row r="4784" spans="9:19" x14ac:dyDescent="0.25">
      <c r="I4784" s="1"/>
      <c r="J4784" s="71"/>
      <c r="M4784" s="46"/>
      <c r="R4784" s="51"/>
      <c r="S4784" s="51"/>
    </row>
    <row r="4785" spans="9:19" x14ac:dyDescent="0.25">
      <c r="I4785" s="1"/>
      <c r="J4785" s="71"/>
      <c r="M4785" s="46"/>
      <c r="R4785" s="51"/>
      <c r="S4785" s="51"/>
    </row>
    <row r="4786" spans="9:19" x14ac:dyDescent="0.25">
      <c r="I4786" s="1"/>
      <c r="J4786" s="71"/>
      <c r="M4786" s="46"/>
      <c r="R4786" s="51"/>
      <c r="S4786" s="51"/>
    </row>
    <row r="4787" spans="9:19" x14ac:dyDescent="0.25">
      <c r="I4787" s="1"/>
      <c r="J4787" s="71"/>
      <c r="M4787" s="46"/>
      <c r="R4787" s="51"/>
      <c r="S4787" s="51"/>
    </row>
    <row r="4788" spans="9:19" x14ac:dyDescent="0.25">
      <c r="I4788" s="1"/>
      <c r="J4788" s="71"/>
      <c r="M4788" s="46"/>
      <c r="R4788" s="51"/>
      <c r="S4788" s="51"/>
    </row>
    <row r="4789" spans="9:19" x14ac:dyDescent="0.25">
      <c r="I4789" s="1"/>
      <c r="J4789" s="71"/>
      <c r="M4789" s="46"/>
      <c r="R4789" s="51"/>
      <c r="S4789" s="51"/>
    </row>
    <row r="4790" spans="9:19" x14ac:dyDescent="0.25">
      <c r="I4790" s="1"/>
      <c r="J4790" s="71"/>
      <c r="M4790" s="46"/>
      <c r="R4790" s="51"/>
      <c r="S4790" s="51"/>
    </row>
    <row r="4791" spans="9:19" x14ac:dyDescent="0.25">
      <c r="I4791" s="1"/>
      <c r="J4791" s="71"/>
      <c r="M4791" s="46"/>
      <c r="R4791" s="51"/>
      <c r="S4791" s="51"/>
    </row>
    <row r="4792" spans="9:19" x14ac:dyDescent="0.25">
      <c r="I4792" s="1"/>
      <c r="J4792" s="71"/>
      <c r="M4792" s="46"/>
      <c r="R4792" s="51"/>
      <c r="S4792" s="51"/>
    </row>
    <row r="4793" spans="9:19" x14ac:dyDescent="0.25">
      <c r="I4793" s="1"/>
      <c r="J4793" s="71"/>
      <c r="M4793" s="46"/>
      <c r="R4793" s="51"/>
      <c r="S4793" s="51"/>
    </row>
    <row r="4794" spans="9:19" x14ac:dyDescent="0.25">
      <c r="I4794" s="1"/>
      <c r="J4794" s="71"/>
      <c r="M4794" s="46"/>
      <c r="R4794" s="51"/>
      <c r="S4794" s="51"/>
    </row>
    <row r="4795" spans="9:19" x14ac:dyDescent="0.25">
      <c r="I4795" s="1"/>
      <c r="J4795" s="71"/>
      <c r="M4795" s="46"/>
      <c r="R4795" s="51"/>
      <c r="S4795" s="51"/>
    </row>
    <row r="4796" spans="9:19" x14ac:dyDescent="0.25">
      <c r="I4796" s="1"/>
      <c r="J4796" s="71"/>
      <c r="M4796" s="46"/>
      <c r="R4796" s="51"/>
      <c r="S4796" s="51"/>
    </row>
    <row r="4797" spans="9:19" x14ac:dyDescent="0.25">
      <c r="I4797" s="1"/>
      <c r="J4797" s="71"/>
      <c r="M4797" s="46"/>
      <c r="R4797" s="51"/>
      <c r="S4797" s="51"/>
    </row>
    <row r="4798" spans="9:19" x14ac:dyDescent="0.25">
      <c r="I4798" s="1"/>
      <c r="J4798" s="71"/>
      <c r="M4798" s="46"/>
      <c r="R4798" s="51"/>
      <c r="S4798" s="51"/>
    </row>
    <row r="4799" spans="9:19" x14ac:dyDescent="0.25">
      <c r="I4799" s="1"/>
      <c r="J4799" s="71"/>
      <c r="M4799" s="46"/>
      <c r="R4799" s="51"/>
      <c r="S4799" s="51"/>
    </row>
    <row r="4800" spans="9:19" x14ac:dyDescent="0.25">
      <c r="I4800" s="1"/>
      <c r="J4800" s="71"/>
      <c r="M4800" s="46"/>
      <c r="R4800" s="51"/>
      <c r="S4800" s="51"/>
    </row>
    <row r="4801" spans="9:19" x14ac:dyDescent="0.25">
      <c r="I4801" s="1"/>
      <c r="J4801" s="71"/>
      <c r="M4801" s="46"/>
      <c r="R4801" s="51"/>
      <c r="S4801" s="51"/>
    </row>
    <row r="4802" spans="9:19" x14ac:dyDescent="0.25">
      <c r="I4802" s="1"/>
      <c r="J4802" s="71"/>
      <c r="M4802" s="46"/>
      <c r="R4802" s="51"/>
      <c r="S4802" s="51"/>
    </row>
    <row r="4803" spans="9:19" x14ac:dyDescent="0.25">
      <c r="I4803" s="1"/>
      <c r="J4803" s="71"/>
      <c r="M4803" s="46"/>
      <c r="R4803" s="51"/>
      <c r="S4803" s="51"/>
    </row>
    <row r="4804" spans="9:19" x14ac:dyDescent="0.25">
      <c r="I4804" s="1"/>
      <c r="J4804" s="71"/>
      <c r="M4804" s="46"/>
      <c r="R4804" s="51"/>
      <c r="S4804" s="51"/>
    </row>
    <row r="4805" spans="9:19" x14ac:dyDescent="0.25">
      <c r="I4805" s="1"/>
      <c r="J4805" s="71"/>
      <c r="M4805" s="46"/>
      <c r="R4805" s="51"/>
      <c r="S4805" s="51"/>
    </row>
    <row r="4806" spans="9:19" x14ac:dyDescent="0.25">
      <c r="I4806" s="1"/>
      <c r="J4806" s="71"/>
      <c r="M4806" s="46"/>
      <c r="R4806" s="51"/>
      <c r="S4806" s="51"/>
    </row>
    <row r="4807" spans="9:19" x14ac:dyDescent="0.25">
      <c r="I4807" s="1"/>
      <c r="J4807" s="71"/>
      <c r="M4807" s="46"/>
      <c r="R4807" s="51"/>
      <c r="S4807" s="51"/>
    </row>
    <row r="4808" spans="9:19" x14ac:dyDescent="0.25">
      <c r="I4808" s="1"/>
      <c r="J4808" s="71"/>
      <c r="M4808" s="46"/>
      <c r="R4808" s="51"/>
      <c r="S4808" s="51"/>
    </row>
    <row r="4809" spans="9:19" x14ac:dyDescent="0.25">
      <c r="I4809" s="1"/>
      <c r="J4809" s="71"/>
      <c r="M4809" s="46"/>
      <c r="R4809" s="51"/>
      <c r="S4809" s="51"/>
    </row>
    <row r="4810" spans="9:19" x14ac:dyDescent="0.25">
      <c r="I4810" s="1"/>
      <c r="J4810" s="71"/>
      <c r="M4810" s="46"/>
      <c r="R4810" s="51"/>
      <c r="S4810" s="51"/>
    </row>
    <row r="4811" spans="9:19" x14ac:dyDescent="0.25">
      <c r="I4811" s="1"/>
      <c r="J4811" s="71"/>
      <c r="M4811" s="46"/>
      <c r="R4811" s="51"/>
      <c r="S4811" s="51"/>
    </row>
    <row r="4812" spans="9:19" x14ac:dyDescent="0.25">
      <c r="I4812" s="1"/>
      <c r="J4812" s="71"/>
      <c r="M4812" s="46"/>
      <c r="R4812" s="51"/>
      <c r="S4812" s="51"/>
    </row>
    <row r="4813" spans="9:19" x14ac:dyDescent="0.25">
      <c r="I4813" s="1"/>
      <c r="J4813" s="71"/>
      <c r="M4813" s="46"/>
      <c r="R4813" s="51"/>
      <c r="S4813" s="51"/>
    </row>
    <row r="4814" spans="9:19" x14ac:dyDescent="0.25">
      <c r="I4814" s="1"/>
      <c r="J4814" s="71"/>
      <c r="M4814" s="46"/>
      <c r="R4814" s="51"/>
      <c r="S4814" s="51"/>
    </row>
    <row r="4815" spans="9:19" x14ac:dyDescent="0.25">
      <c r="I4815" s="1"/>
      <c r="J4815" s="71"/>
      <c r="M4815" s="46"/>
      <c r="R4815" s="51"/>
      <c r="S4815" s="51"/>
    </row>
    <row r="4816" spans="9:19" x14ac:dyDescent="0.25">
      <c r="I4816" s="1"/>
      <c r="J4816" s="71"/>
      <c r="M4816" s="46"/>
      <c r="R4816" s="51"/>
      <c r="S4816" s="51"/>
    </row>
    <row r="4817" spans="9:19" x14ac:dyDescent="0.25">
      <c r="I4817" s="1"/>
      <c r="J4817" s="71"/>
      <c r="M4817" s="46"/>
      <c r="R4817" s="51"/>
      <c r="S4817" s="51"/>
    </row>
    <row r="4818" spans="9:19" x14ac:dyDescent="0.25">
      <c r="I4818" s="1"/>
      <c r="J4818" s="71"/>
      <c r="M4818" s="46"/>
      <c r="R4818" s="51"/>
      <c r="S4818" s="51"/>
    </row>
    <row r="4819" spans="9:19" x14ac:dyDescent="0.25">
      <c r="I4819" s="1"/>
      <c r="J4819" s="71"/>
      <c r="M4819" s="46"/>
      <c r="R4819" s="51"/>
      <c r="S4819" s="51"/>
    </row>
    <row r="4820" spans="9:19" x14ac:dyDescent="0.25">
      <c r="I4820" s="1"/>
      <c r="J4820" s="71"/>
      <c r="M4820" s="46"/>
      <c r="R4820" s="51"/>
      <c r="S4820" s="51"/>
    </row>
    <row r="4821" spans="9:19" x14ac:dyDescent="0.25">
      <c r="I4821" s="1"/>
      <c r="J4821" s="71"/>
      <c r="M4821" s="46"/>
      <c r="R4821" s="51"/>
      <c r="S4821" s="51"/>
    </row>
    <row r="4822" spans="9:19" x14ac:dyDescent="0.25">
      <c r="I4822" s="1"/>
      <c r="J4822" s="71"/>
      <c r="M4822" s="46"/>
      <c r="R4822" s="51"/>
      <c r="S4822" s="51"/>
    </row>
    <row r="4823" spans="9:19" x14ac:dyDescent="0.25">
      <c r="I4823" s="1"/>
      <c r="J4823" s="71"/>
      <c r="M4823" s="46"/>
      <c r="R4823" s="51"/>
      <c r="S4823" s="51"/>
    </row>
    <row r="4824" spans="9:19" x14ac:dyDescent="0.25">
      <c r="I4824" s="1"/>
      <c r="J4824" s="71"/>
      <c r="M4824" s="46"/>
      <c r="R4824" s="51"/>
      <c r="S4824" s="51"/>
    </row>
    <row r="4825" spans="9:19" x14ac:dyDescent="0.25">
      <c r="I4825" s="1"/>
      <c r="J4825" s="71"/>
      <c r="M4825" s="46"/>
      <c r="R4825" s="51"/>
      <c r="S4825" s="51"/>
    </row>
    <row r="4826" spans="9:19" x14ac:dyDescent="0.25">
      <c r="I4826" s="1"/>
      <c r="J4826" s="71"/>
      <c r="M4826" s="46"/>
      <c r="R4826" s="51"/>
      <c r="S4826" s="51"/>
    </row>
    <row r="4827" spans="9:19" x14ac:dyDescent="0.25">
      <c r="I4827" s="1"/>
      <c r="J4827" s="71"/>
      <c r="M4827" s="46"/>
      <c r="R4827" s="51"/>
      <c r="S4827" s="51"/>
    </row>
    <row r="4828" spans="9:19" x14ac:dyDescent="0.25">
      <c r="I4828" s="1"/>
      <c r="J4828" s="71"/>
      <c r="M4828" s="46"/>
      <c r="R4828" s="51"/>
      <c r="S4828" s="51"/>
    </row>
    <row r="4829" spans="9:19" x14ac:dyDescent="0.25">
      <c r="I4829" s="1"/>
      <c r="J4829" s="71"/>
      <c r="M4829" s="46"/>
      <c r="R4829" s="51"/>
      <c r="S4829" s="51"/>
    </row>
    <row r="4830" spans="9:19" x14ac:dyDescent="0.25">
      <c r="I4830" s="1"/>
      <c r="J4830" s="71"/>
      <c r="M4830" s="46"/>
      <c r="R4830" s="51"/>
      <c r="S4830" s="51"/>
    </row>
    <row r="4831" spans="9:19" x14ac:dyDescent="0.25">
      <c r="I4831" s="1"/>
      <c r="J4831" s="71"/>
      <c r="M4831" s="46"/>
      <c r="R4831" s="51"/>
      <c r="S4831" s="51"/>
    </row>
    <row r="4832" spans="9:19" x14ac:dyDescent="0.25">
      <c r="I4832" s="1"/>
      <c r="J4832" s="71"/>
      <c r="M4832" s="46"/>
      <c r="R4832" s="51"/>
      <c r="S4832" s="51"/>
    </row>
    <row r="4833" spans="9:19" x14ac:dyDescent="0.25">
      <c r="I4833" s="1"/>
      <c r="J4833" s="71"/>
      <c r="M4833" s="46"/>
      <c r="R4833" s="51"/>
      <c r="S4833" s="51"/>
    </row>
    <row r="4834" spans="9:19" x14ac:dyDescent="0.25">
      <c r="I4834" s="1"/>
      <c r="J4834" s="71"/>
      <c r="M4834" s="46"/>
      <c r="R4834" s="51"/>
      <c r="S4834" s="51"/>
    </row>
    <row r="4835" spans="9:19" x14ac:dyDescent="0.25">
      <c r="I4835" s="1"/>
      <c r="J4835" s="71"/>
      <c r="M4835" s="46"/>
      <c r="R4835" s="51"/>
      <c r="S4835" s="51"/>
    </row>
    <row r="4836" spans="9:19" x14ac:dyDescent="0.25">
      <c r="I4836" s="1"/>
      <c r="J4836" s="71"/>
      <c r="M4836" s="46"/>
      <c r="R4836" s="51"/>
      <c r="S4836" s="51"/>
    </row>
    <row r="4837" spans="9:19" x14ac:dyDescent="0.25">
      <c r="I4837" s="1"/>
      <c r="J4837" s="71"/>
      <c r="M4837" s="46"/>
      <c r="R4837" s="51"/>
      <c r="S4837" s="51"/>
    </row>
    <row r="4838" spans="9:19" x14ac:dyDescent="0.25">
      <c r="I4838" s="1"/>
      <c r="J4838" s="71"/>
      <c r="M4838" s="46"/>
      <c r="R4838" s="51"/>
      <c r="S4838" s="51"/>
    </row>
    <row r="4839" spans="9:19" x14ac:dyDescent="0.25">
      <c r="I4839" s="1"/>
      <c r="J4839" s="71"/>
      <c r="M4839" s="46"/>
      <c r="R4839" s="51"/>
      <c r="S4839" s="51"/>
    </row>
    <row r="4840" spans="9:19" x14ac:dyDescent="0.25">
      <c r="I4840" s="1"/>
      <c r="J4840" s="71"/>
      <c r="M4840" s="46"/>
      <c r="R4840" s="51"/>
      <c r="S4840" s="51"/>
    </row>
    <row r="4841" spans="9:19" x14ac:dyDescent="0.25">
      <c r="I4841" s="1"/>
      <c r="J4841" s="71"/>
      <c r="M4841" s="46"/>
      <c r="R4841" s="51"/>
      <c r="S4841" s="51"/>
    </row>
    <row r="4842" spans="9:19" x14ac:dyDescent="0.25">
      <c r="I4842" s="1"/>
      <c r="J4842" s="71"/>
      <c r="M4842" s="46"/>
      <c r="R4842" s="51"/>
      <c r="S4842" s="51"/>
    </row>
    <row r="4843" spans="9:19" x14ac:dyDescent="0.25">
      <c r="I4843" s="1"/>
      <c r="J4843" s="71"/>
      <c r="M4843" s="46"/>
      <c r="R4843" s="51"/>
      <c r="S4843" s="51"/>
    </row>
    <row r="4844" spans="9:19" x14ac:dyDescent="0.25">
      <c r="I4844" s="1"/>
      <c r="J4844" s="71"/>
      <c r="M4844" s="46"/>
      <c r="R4844" s="51"/>
      <c r="S4844" s="51"/>
    </row>
    <row r="4845" spans="9:19" x14ac:dyDescent="0.25">
      <c r="I4845" s="1"/>
      <c r="J4845" s="71"/>
      <c r="M4845" s="46"/>
      <c r="R4845" s="51"/>
      <c r="S4845" s="51"/>
    </row>
    <row r="4846" spans="9:19" x14ac:dyDescent="0.25">
      <c r="I4846" s="1"/>
      <c r="J4846" s="71"/>
      <c r="M4846" s="46"/>
      <c r="R4846" s="51"/>
      <c r="S4846" s="51"/>
    </row>
    <row r="4847" spans="9:19" x14ac:dyDescent="0.25">
      <c r="I4847" s="1"/>
      <c r="J4847" s="71"/>
      <c r="M4847" s="46"/>
      <c r="R4847" s="51"/>
      <c r="S4847" s="51"/>
    </row>
    <row r="4848" spans="9:19" x14ac:dyDescent="0.25">
      <c r="I4848" s="1"/>
      <c r="J4848" s="71"/>
      <c r="M4848" s="46"/>
      <c r="R4848" s="51"/>
      <c r="S4848" s="51"/>
    </row>
    <row r="4849" spans="9:19" x14ac:dyDescent="0.25">
      <c r="I4849" s="1"/>
      <c r="J4849" s="71"/>
      <c r="M4849" s="46"/>
      <c r="R4849" s="51"/>
      <c r="S4849" s="51"/>
    </row>
    <row r="4850" spans="9:19" x14ac:dyDescent="0.25">
      <c r="I4850" s="1"/>
      <c r="J4850" s="71"/>
      <c r="M4850" s="46"/>
      <c r="R4850" s="51"/>
      <c r="S4850" s="51"/>
    </row>
    <row r="4851" spans="9:19" x14ac:dyDescent="0.25">
      <c r="I4851" s="1"/>
      <c r="J4851" s="71"/>
      <c r="M4851" s="46"/>
      <c r="R4851" s="51"/>
      <c r="S4851" s="51"/>
    </row>
    <row r="4852" spans="9:19" x14ac:dyDescent="0.25">
      <c r="I4852" s="1"/>
      <c r="J4852" s="71"/>
      <c r="M4852" s="46"/>
      <c r="R4852" s="51"/>
      <c r="S4852" s="51"/>
    </row>
    <row r="4853" spans="9:19" x14ac:dyDescent="0.25">
      <c r="I4853" s="1"/>
      <c r="J4853" s="71"/>
      <c r="M4853" s="46"/>
      <c r="R4853" s="51"/>
      <c r="S4853" s="51"/>
    </row>
    <row r="4854" spans="9:19" x14ac:dyDescent="0.25">
      <c r="I4854" s="1"/>
      <c r="J4854" s="71"/>
      <c r="M4854" s="46"/>
      <c r="R4854" s="51"/>
      <c r="S4854" s="51"/>
    </row>
    <row r="4855" spans="9:19" x14ac:dyDescent="0.25">
      <c r="I4855" s="1"/>
      <c r="J4855" s="71"/>
      <c r="M4855" s="46"/>
      <c r="R4855" s="51"/>
      <c r="S4855" s="51"/>
    </row>
    <row r="4856" spans="9:19" x14ac:dyDescent="0.25">
      <c r="I4856" s="1"/>
      <c r="J4856" s="71"/>
      <c r="M4856" s="46"/>
      <c r="R4856" s="51"/>
      <c r="S4856" s="51"/>
    </row>
    <row r="4857" spans="9:19" x14ac:dyDescent="0.25">
      <c r="I4857" s="1"/>
      <c r="J4857" s="71"/>
      <c r="M4857" s="46"/>
      <c r="R4857" s="51"/>
      <c r="S4857" s="51"/>
    </row>
    <row r="4858" spans="9:19" x14ac:dyDescent="0.25">
      <c r="I4858" s="1"/>
      <c r="J4858" s="71"/>
      <c r="M4858" s="46"/>
      <c r="R4858" s="51"/>
      <c r="S4858" s="51"/>
    </row>
    <row r="4859" spans="9:19" x14ac:dyDescent="0.25">
      <c r="I4859" s="1"/>
      <c r="J4859" s="71"/>
      <c r="M4859" s="46"/>
      <c r="R4859" s="51"/>
      <c r="S4859" s="51"/>
    </row>
    <row r="4860" spans="9:19" x14ac:dyDescent="0.25">
      <c r="I4860" s="1"/>
      <c r="J4860" s="71"/>
      <c r="M4860" s="46"/>
      <c r="R4860" s="51"/>
      <c r="S4860" s="51"/>
    </row>
    <row r="4861" spans="9:19" x14ac:dyDescent="0.25">
      <c r="I4861" s="1"/>
      <c r="J4861" s="71"/>
      <c r="M4861" s="46"/>
      <c r="R4861" s="51"/>
      <c r="S4861" s="51"/>
    </row>
    <row r="4862" spans="9:19" x14ac:dyDescent="0.25">
      <c r="I4862" s="1"/>
      <c r="J4862" s="71"/>
      <c r="M4862" s="46"/>
      <c r="R4862" s="51"/>
      <c r="S4862" s="51"/>
    </row>
    <row r="4863" spans="9:19" x14ac:dyDescent="0.25">
      <c r="I4863" s="1"/>
      <c r="J4863" s="71"/>
      <c r="M4863" s="46"/>
      <c r="R4863" s="51"/>
      <c r="S4863" s="51"/>
    </row>
    <row r="4864" spans="9:19" x14ac:dyDescent="0.25">
      <c r="I4864" s="1"/>
      <c r="J4864" s="71"/>
      <c r="M4864" s="46"/>
      <c r="R4864" s="51"/>
      <c r="S4864" s="51"/>
    </row>
    <row r="4865" spans="9:19" x14ac:dyDescent="0.25">
      <c r="I4865" s="1"/>
      <c r="J4865" s="71"/>
      <c r="M4865" s="46"/>
      <c r="R4865" s="51"/>
      <c r="S4865" s="51"/>
    </row>
    <row r="4866" spans="9:19" x14ac:dyDescent="0.25">
      <c r="I4866" s="1"/>
      <c r="J4866" s="71"/>
      <c r="M4866" s="46"/>
      <c r="R4866" s="51"/>
      <c r="S4866" s="51"/>
    </row>
    <row r="4867" spans="9:19" x14ac:dyDescent="0.25">
      <c r="I4867" s="1"/>
      <c r="J4867" s="71"/>
      <c r="M4867" s="46"/>
      <c r="R4867" s="51"/>
      <c r="S4867" s="51"/>
    </row>
    <row r="4868" spans="9:19" x14ac:dyDescent="0.25">
      <c r="I4868" s="1"/>
      <c r="J4868" s="71"/>
      <c r="M4868" s="46"/>
      <c r="R4868" s="51"/>
      <c r="S4868" s="51"/>
    </row>
    <row r="4869" spans="9:19" x14ac:dyDescent="0.25">
      <c r="I4869" s="1"/>
      <c r="J4869" s="71"/>
      <c r="M4869" s="46"/>
      <c r="R4869" s="51"/>
      <c r="S4869" s="51"/>
    </row>
    <row r="4870" spans="9:19" x14ac:dyDescent="0.25">
      <c r="I4870" s="1"/>
      <c r="J4870" s="71"/>
      <c r="M4870" s="46"/>
      <c r="R4870" s="51"/>
      <c r="S4870" s="51"/>
    </row>
    <row r="4871" spans="9:19" x14ac:dyDescent="0.25">
      <c r="I4871" s="1"/>
      <c r="J4871" s="71"/>
      <c r="M4871" s="46"/>
      <c r="R4871" s="51"/>
      <c r="S4871" s="51"/>
    </row>
    <row r="4872" spans="9:19" x14ac:dyDescent="0.25">
      <c r="I4872" s="1"/>
      <c r="J4872" s="71"/>
      <c r="M4872" s="46"/>
      <c r="R4872" s="51"/>
      <c r="S4872" s="51"/>
    </row>
    <row r="4873" spans="9:19" x14ac:dyDescent="0.25">
      <c r="I4873" s="1"/>
      <c r="J4873" s="71"/>
      <c r="M4873" s="46"/>
      <c r="R4873" s="51"/>
      <c r="S4873" s="51"/>
    </row>
    <row r="4874" spans="9:19" x14ac:dyDescent="0.25">
      <c r="I4874" s="1"/>
      <c r="J4874" s="71"/>
      <c r="M4874" s="46"/>
      <c r="R4874" s="51"/>
      <c r="S4874" s="51"/>
    </row>
    <row r="4875" spans="9:19" x14ac:dyDescent="0.25">
      <c r="I4875" s="1"/>
      <c r="J4875" s="71"/>
      <c r="M4875" s="46"/>
      <c r="R4875" s="51"/>
      <c r="S4875" s="51"/>
    </row>
    <row r="4876" spans="9:19" x14ac:dyDescent="0.25">
      <c r="I4876" s="1"/>
      <c r="J4876" s="71"/>
      <c r="M4876" s="46"/>
      <c r="R4876" s="51"/>
      <c r="S4876" s="51"/>
    </row>
    <row r="4877" spans="9:19" x14ac:dyDescent="0.25">
      <c r="I4877" s="1"/>
      <c r="J4877" s="71"/>
      <c r="M4877" s="46"/>
      <c r="R4877" s="51"/>
      <c r="S4877" s="51"/>
    </row>
    <row r="4878" spans="9:19" x14ac:dyDescent="0.25">
      <c r="I4878" s="1"/>
      <c r="J4878" s="71"/>
      <c r="M4878" s="46"/>
      <c r="R4878" s="51"/>
      <c r="S4878" s="51"/>
    </row>
    <row r="4879" spans="9:19" x14ac:dyDescent="0.25">
      <c r="I4879" s="1"/>
      <c r="J4879" s="71"/>
      <c r="M4879" s="46"/>
      <c r="R4879" s="51"/>
      <c r="S4879" s="51"/>
    </row>
    <row r="4880" spans="9:19" x14ac:dyDescent="0.25">
      <c r="I4880" s="1"/>
      <c r="J4880" s="71"/>
      <c r="M4880" s="46"/>
      <c r="R4880" s="51"/>
      <c r="S4880" s="51"/>
    </row>
    <row r="4881" spans="9:19" x14ac:dyDescent="0.25">
      <c r="I4881" s="1"/>
      <c r="J4881" s="71"/>
      <c r="M4881" s="46"/>
      <c r="R4881" s="51"/>
      <c r="S4881" s="51"/>
    </row>
    <row r="4882" spans="9:19" x14ac:dyDescent="0.25">
      <c r="I4882" s="1"/>
      <c r="J4882" s="71"/>
      <c r="M4882" s="46"/>
      <c r="R4882" s="51"/>
      <c r="S4882" s="51"/>
    </row>
    <row r="4883" spans="9:19" x14ac:dyDescent="0.25">
      <c r="I4883" s="1"/>
      <c r="J4883" s="71"/>
      <c r="M4883" s="46"/>
      <c r="R4883" s="51"/>
      <c r="S4883" s="51"/>
    </row>
    <row r="4884" spans="9:19" x14ac:dyDescent="0.25">
      <c r="I4884" s="1"/>
      <c r="J4884" s="71"/>
      <c r="M4884" s="46"/>
      <c r="R4884" s="51"/>
      <c r="S4884" s="51"/>
    </row>
    <row r="4885" spans="9:19" x14ac:dyDescent="0.25">
      <c r="I4885" s="1"/>
      <c r="J4885" s="71"/>
      <c r="M4885" s="46"/>
      <c r="R4885" s="51"/>
      <c r="S4885" s="51"/>
    </row>
    <row r="4886" spans="9:19" x14ac:dyDescent="0.25">
      <c r="I4886" s="1"/>
      <c r="J4886" s="71"/>
      <c r="M4886" s="46"/>
      <c r="R4886" s="51"/>
      <c r="S4886" s="51"/>
    </row>
    <row r="4887" spans="9:19" x14ac:dyDescent="0.25">
      <c r="I4887" s="1"/>
      <c r="J4887" s="71"/>
      <c r="M4887" s="46"/>
      <c r="R4887" s="51"/>
      <c r="S4887" s="51"/>
    </row>
    <row r="4888" spans="9:19" x14ac:dyDescent="0.25">
      <c r="I4888" s="1"/>
      <c r="J4888" s="71"/>
      <c r="M4888" s="46"/>
      <c r="R4888" s="51"/>
      <c r="S4888" s="51"/>
    </row>
    <row r="4889" spans="9:19" x14ac:dyDescent="0.25">
      <c r="I4889" s="1"/>
      <c r="J4889" s="71"/>
      <c r="M4889" s="46"/>
      <c r="R4889" s="51"/>
      <c r="S4889" s="51"/>
    </row>
    <row r="4890" spans="9:19" x14ac:dyDescent="0.25">
      <c r="I4890" s="1"/>
      <c r="J4890" s="71"/>
      <c r="M4890" s="46"/>
      <c r="R4890" s="51"/>
      <c r="S4890" s="51"/>
    </row>
    <row r="4891" spans="9:19" x14ac:dyDescent="0.25">
      <c r="I4891" s="1"/>
      <c r="J4891" s="71"/>
      <c r="M4891" s="46"/>
      <c r="R4891" s="51"/>
      <c r="S4891" s="51"/>
    </row>
    <row r="4892" spans="9:19" x14ac:dyDescent="0.25">
      <c r="I4892" s="1"/>
      <c r="J4892" s="71"/>
      <c r="M4892" s="46"/>
      <c r="R4892" s="51"/>
      <c r="S4892" s="51"/>
    </row>
    <row r="4893" spans="9:19" x14ac:dyDescent="0.25">
      <c r="I4893" s="1"/>
      <c r="J4893" s="71"/>
      <c r="M4893" s="46"/>
      <c r="R4893" s="51"/>
      <c r="S4893" s="51"/>
    </row>
    <row r="4894" spans="9:19" x14ac:dyDescent="0.25">
      <c r="I4894" s="1"/>
      <c r="J4894" s="71"/>
      <c r="M4894" s="46"/>
      <c r="R4894" s="51"/>
      <c r="S4894" s="51"/>
    </row>
    <row r="4895" spans="9:19" x14ac:dyDescent="0.25">
      <c r="I4895" s="1"/>
      <c r="J4895" s="71"/>
      <c r="M4895" s="46"/>
      <c r="R4895" s="51"/>
      <c r="S4895" s="51"/>
    </row>
    <row r="4896" spans="9:19" x14ac:dyDescent="0.25">
      <c r="I4896" s="1"/>
      <c r="J4896" s="71"/>
      <c r="M4896" s="46"/>
      <c r="R4896" s="51"/>
      <c r="S4896" s="51"/>
    </row>
    <row r="4897" spans="9:19" x14ac:dyDescent="0.25">
      <c r="I4897" s="1"/>
      <c r="J4897" s="71"/>
      <c r="M4897" s="46"/>
      <c r="R4897" s="51"/>
      <c r="S4897" s="51"/>
    </row>
    <row r="4898" spans="9:19" x14ac:dyDescent="0.25">
      <c r="I4898" s="1"/>
      <c r="J4898" s="71"/>
      <c r="M4898" s="46"/>
      <c r="R4898" s="51"/>
      <c r="S4898" s="51"/>
    </row>
    <row r="4899" spans="9:19" x14ac:dyDescent="0.25">
      <c r="I4899" s="1"/>
      <c r="J4899" s="71"/>
      <c r="M4899" s="46"/>
      <c r="R4899" s="51"/>
      <c r="S4899" s="51"/>
    </row>
    <row r="4900" spans="9:19" x14ac:dyDescent="0.25">
      <c r="I4900" s="1"/>
      <c r="J4900" s="71"/>
      <c r="M4900" s="46"/>
      <c r="R4900" s="51"/>
      <c r="S4900" s="51"/>
    </row>
    <row r="4901" spans="9:19" x14ac:dyDescent="0.25">
      <c r="I4901" s="1"/>
      <c r="J4901" s="71"/>
      <c r="M4901" s="46"/>
      <c r="R4901" s="51"/>
      <c r="S4901" s="51"/>
    </row>
    <row r="4902" spans="9:19" x14ac:dyDescent="0.25">
      <c r="I4902" s="1"/>
      <c r="J4902" s="71"/>
      <c r="M4902" s="46"/>
      <c r="R4902" s="51"/>
      <c r="S4902" s="51"/>
    </row>
    <row r="4903" spans="9:19" x14ac:dyDescent="0.25">
      <c r="I4903" s="1"/>
      <c r="J4903" s="71"/>
      <c r="M4903" s="46"/>
      <c r="R4903" s="51"/>
      <c r="S4903" s="51"/>
    </row>
    <row r="4904" spans="9:19" x14ac:dyDescent="0.25">
      <c r="I4904" s="1"/>
      <c r="J4904" s="71"/>
      <c r="M4904" s="46"/>
      <c r="R4904" s="51"/>
      <c r="S4904" s="51"/>
    </row>
    <row r="4905" spans="9:19" x14ac:dyDescent="0.25">
      <c r="I4905" s="1"/>
      <c r="J4905" s="71"/>
      <c r="M4905" s="46"/>
      <c r="R4905" s="51"/>
      <c r="S4905" s="51"/>
    </row>
    <row r="4906" spans="9:19" x14ac:dyDescent="0.25">
      <c r="I4906" s="1"/>
      <c r="J4906" s="71"/>
      <c r="M4906" s="46"/>
      <c r="R4906" s="51"/>
      <c r="S4906" s="51"/>
    </row>
    <row r="4907" spans="9:19" x14ac:dyDescent="0.25">
      <c r="I4907" s="1"/>
      <c r="J4907" s="71"/>
      <c r="M4907" s="46"/>
      <c r="R4907" s="51"/>
      <c r="S4907" s="51"/>
    </row>
    <row r="4908" spans="9:19" x14ac:dyDescent="0.25">
      <c r="I4908" s="1"/>
      <c r="J4908" s="71"/>
      <c r="M4908" s="46"/>
      <c r="R4908" s="51"/>
      <c r="S4908" s="51"/>
    </row>
    <row r="4909" spans="9:19" x14ac:dyDescent="0.25">
      <c r="I4909" s="1"/>
      <c r="J4909" s="71"/>
      <c r="M4909" s="46"/>
      <c r="R4909" s="51"/>
      <c r="S4909" s="51"/>
    </row>
    <row r="4910" spans="9:19" x14ac:dyDescent="0.25">
      <c r="I4910" s="1"/>
      <c r="J4910" s="71"/>
      <c r="M4910" s="46"/>
      <c r="R4910" s="51"/>
      <c r="S4910" s="51"/>
    </row>
    <row r="4911" spans="9:19" x14ac:dyDescent="0.25">
      <c r="I4911" s="1"/>
      <c r="J4911" s="71"/>
      <c r="M4911" s="46"/>
      <c r="R4911" s="51"/>
      <c r="S4911" s="51"/>
    </row>
    <row r="4912" spans="9:19" x14ac:dyDescent="0.25">
      <c r="I4912" s="1"/>
      <c r="J4912" s="71"/>
      <c r="M4912" s="46"/>
      <c r="R4912" s="51"/>
      <c r="S4912" s="51"/>
    </row>
    <row r="4913" spans="9:19" x14ac:dyDescent="0.25">
      <c r="I4913" s="1"/>
      <c r="J4913" s="71"/>
      <c r="M4913" s="46"/>
      <c r="R4913" s="51"/>
      <c r="S4913" s="51"/>
    </row>
    <row r="4914" spans="9:19" x14ac:dyDescent="0.25">
      <c r="I4914" s="1"/>
      <c r="J4914" s="71"/>
      <c r="M4914" s="46"/>
      <c r="R4914" s="51"/>
      <c r="S4914" s="51"/>
    </row>
    <row r="4915" spans="9:19" x14ac:dyDescent="0.25">
      <c r="I4915" s="1"/>
      <c r="J4915" s="71"/>
      <c r="M4915" s="46"/>
      <c r="R4915" s="51"/>
      <c r="S4915" s="51"/>
    </row>
    <row r="4916" spans="9:19" x14ac:dyDescent="0.25">
      <c r="I4916" s="1"/>
      <c r="J4916" s="71"/>
      <c r="M4916" s="46"/>
      <c r="R4916" s="51"/>
      <c r="S4916" s="51"/>
    </row>
    <row r="4917" spans="9:19" x14ac:dyDescent="0.25">
      <c r="I4917" s="1"/>
      <c r="J4917" s="71"/>
      <c r="M4917" s="46"/>
      <c r="R4917" s="51"/>
      <c r="S4917" s="51"/>
    </row>
    <row r="4918" spans="9:19" x14ac:dyDescent="0.25">
      <c r="I4918" s="1"/>
      <c r="J4918" s="71"/>
      <c r="M4918" s="46"/>
      <c r="R4918" s="51"/>
      <c r="S4918" s="51"/>
    </row>
    <row r="4919" spans="9:19" x14ac:dyDescent="0.25">
      <c r="I4919" s="1"/>
      <c r="J4919" s="71"/>
      <c r="M4919" s="46"/>
      <c r="R4919" s="51"/>
      <c r="S4919" s="51"/>
    </row>
    <row r="4920" spans="9:19" x14ac:dyDescent="0.25">
      <c r="I4920" s="1"/>
      <c r="J4920" s="71"/>
      <c r="M4920" s="46"/>
      <c r="R4920" s="51"/>
      <c r="S4920" s="51"/>
    </row>
    <row r="4921" spans="9:19" x14ac:dyDescent="0.25">
      <c r="I4921" s="1"/>
      <c r="J4921" s="71"/>
      <c r="M4921" s="46"/>
      <c r="R4921" s="51"/>
      <c r="S4921" s="51"/>
    </row>
    <row r="4922" spans="9:19" x14ac:dyDescent="0.25">
      <c r="I4922" s="1"/>
      <c r="J4922" s="71"/>
      <c r="M4922" s="46"/>
      <c r="R4922" s="51"/>
      <c r="S4922" s="51"/>
    </row>
    <row r="4923" spans="9:19" x14ac:dyDescent="0.25">
      <c r="I4923" s="1"/>
      <c r="J4923" s="71"/>
      <c r="M4923" s="46"/>
      <c r="R4923" s="51"/>
      <c r="S4923" s="51"/>
    </row>
    <row r="4924" spans="9:19" x14ac:dyDescent="0.25">
      <c r="I4924" s="1"/>
      <c r="J4924" s="71"/>
      <c r="M4924" s="46"/>
      <c r="R4924" s="51"/>
      <c r="S4924" s="51"/>
    </row>
    <row r="4925" spans="9:19" x14ac:dyDescent="0.25">
      <c r="I4925" s="1"/>
      <c r="J4925" s="71"/>
      <c r="M4925" s="46"/>
      <c r="R4925" s="51"/>
      <c r="S4925" s="51"/>
    </row>
    <row r="4926" spans="9:19" x14ac:dyDescent="0.25">
      <c r="I4926" s="1"/>
      <c r="J4926" s="71"/>
      <c r="M4926" s="46"/>
      <c r="R4926" s="51"/>
      <c r="S4926" s="51"/>
    </row>
    <row r="4927" spans="9:19" x14ac:dyDescent="0.25">
      <c r="I4927" s="1"/>
      <c r="J4927" s="71"/>
      <c r="M4927" s="46"/>
      <c r="R4927" s="51"/>
      <c r="S4927" s="51"/>
    </row>
    <row r="4928" spans="9:19" x14ac:dyDescent="0.25">
      <c r="I4928" s="1"/>
      <c r="J4928" s="71"/>
      <c r="M4928" s="46"/>
      <c r="R4928" s="51"/>
      <c r="S4928" s="51"/>
    </row>
    <row r="4929" spans="9:19" x14ac:dyDescent="0.25">
      <c r="I4929" s="1"/>
      <c r="J4929" s="71"/>
      <c r="M4929" s="46"/>
      <c r="R4929" s="51"/>
      <c r="S4929" s="51"/>
    </row>
    <row r="4930" spans="9:19" x14ac:dyDescent="0.25">
      <c r="I4930" s="1"/>
      <c r="J4930" s="71"/>
      <c r="M4930" s="46"/>
      <c r="R4930" s="51"/>
      <c r="S4930" s="51"/>
    </row>
    <row r="4931" spans="9:19" x14ac:dyDescent="0.25">
      <c r="I4931" s="1"/>
      <c r="J4931" s="71"/>
      <c r="M4931" s="46"/>
      <c r="R4931" s="51"/>
      <c r="S4931" s="51"/>
    </row>
    <row r="4932" spans="9:19" x14ac:dyDescent="0.25">
      <c r="I4932" s="1"/>
      <c r="J4932" s="71"/>
      <c r="M4932" s="46"/>
      <c r="R4932" s="51"/>
      <c r="S4932" s="51"/>
    </row>
    <row r="4933" spans="9:19" x14ac:dyDescent="0.25">
      <c r="I4933" s="1"/>
      <c r="J4933" s="71"/>
      <c r="M4933" s="46"/>
      <c r="R4933" s="51"/>
      <c r="S4933" s="51"/>
    </row>
    <row r="4934" spans="9:19" x14ac:dyDescent="0.25">
      <c r="I4934" s="1"/>
      <c r="J4934" s="71"/>
      <c r="M4934" s="46"/>
      <c r="R4934" s="51"/>
      <c r="S4934" s="51"/>
    </row>
    <row r="4935" spans="9:19" x14ac:dyDescent="0.25">
      <c r="I4935" s="1"/>
      <c r="J4935" s="71"/>
      <c r="M4935" s="46"/>
      <c r="R4935" s="51"/>
      <c r="S4935" s="51"/>
    </row>
    <row r="4936" spans="9:19" x14ac:dyDescent="0.25">
      <c r="I4936" s="1"/>
      <c r="J4936" s="71"/>
      <c r="M4936" s="46"/>
      <c r="R4936" s="51"/>
      <c r="S4936" s="51"/>
    </row>
    <row r="4937" spans="9:19" x14ac:dyDescent="0.25">
      <c r="I4937" s="1"/>
      <c r="J4937" s="71"/>
      <c r="M4937" s="46"/>
      <c r="R4937" s="51"/>
      <c r="S4937" s="51"/>
    </row>
    <row r="4938" spans="9:19" x14ac:dyDescent="0.25">
      <c r="I4938" s="1"/>
      <c r="J4938" s="71"/>
      <c r="M4938" s="46"/>
      <c r="R4938" s="51"/>
      <c r="S4938" s="51"/>
    </row>
    <row r="4939" spans="9:19" x14ac:dyDescent="0.25">
      <c r="I4939" s="1"/>
      <c r="J4939" s="71"/>
      <c r="M4939" s="46"/>
      <c r="R4939" s="51"/>
      <c r="S4939" s="51"/>
    </row>
    <row r="4940" spans="9:19" x14ac:dyDescent="0.25">
      <c r="I4940" s="1"/>
      <c r="J4940" s="71"/>
      <c r="M4940" s="46"/>
      <c r="R4940" s="51"/>
      <c r="S4940" s="51"/>
    </row>
    <row r="4941" spans="9:19" x14ac:dyDescent="0.25">
      <c r="I4941" s="1"/>
      <c r="J4941" s="71"/>
      <c r="M4941" s="46"/>
      <c r="R4941" s="51"/>
      <c r="S4941" s="51"/>
    </row>
    <row r="4942" spans="9:19" x14ac:dyDescent="0.25">
      <c r="I4942" s="1"/>
      <c r="J4942" s="71"/>
      <c r="M4942" s="46"/>
      <c r="R4942" s="51"/>
      <c r="S4942" s="51"/>
    </row>
    <row r="4943" spans="9:19" x14ac:dyDescent="0.25">
      <c r="I4943" s="1"/>
      <c r="J4943" s="71"/>
      <c r="M4943" s="46"/>
      <c r="R4943" s="51"/>
      <c r="S4943" s="51"/>
    </row>
    <row r="4944" spans="9:19" x14ac:dyDescent="0.25">
      <c r="I4944" s="1"/>
      <c r="J4944" s="71"/>
      <c r="M4944" s="46"/>
      <c r="R4944" s="51"/>
      <c r="S4944" s="51"/>
    </row>
    <row r="4945" spans="9:19" x14ac:dyDescent="0.25">
      <c r="I4945" s="1"/>
      <c r="J4945" s="71"/>
      <c r="M4945" s="46"/>
      <c r="R4945" s="51"/>
      <c r="S4945" s="51"/>
    </row>
    <row r="4946" spans="9:19" x14ac:dyDescent="0.25">
      <c r="I4946" s="1"/>
      <c r="J4946" s="71"/>
      <c r="M4946" s="46"/>
      <c r="R4946" s="51"/>
      <c r="S4946" s="51"/>
    </row>
    <row r="4947" spans="9:19" x14ac:dyDescent="0.25">
      <c r="I4947" s="1"/>
      <c r="J4947" s="71"/>
      <c r="M4947" s="46"/>
      <c r="R4947" s="51"/>
      <c r="S4947" s="51"/>
    </row>
    <row r="4948" spans="9:19" x14ac:dyDescent="0.25">
      <c r="I4948" s="1"/>
      <c r="J4948" s="71"/>
      <c r="M4948" s="46"/>
      <c r="R4948" s="51"/>
      <c r="S4948" s="51"/>
    </row>
    <row r="4949" spans="9:19" x14ac:dyDescent="0.25">
      <c r="I4949" s="1"/>
      <c r="J4949" s="71"/>
      <c r="M4949" s="46"/>
      <c r="R4949" s="51"/>
      <c r="S4949" s="51"/>
    </row>
    <row r="4950" spans="9:19" x14ac:dyDescent="0.25">
      <c r="I4950" s="1"/>
      <c r="J4950" s="71"/>
      <c r="M4950" s="46"/>
      <c r="R4950" s="51"/>
      <c r="S4950" s="51"/>
    </row>
    <row r="4951" spans="9:19" x14ac:dyDescent="0.25">
      <c r="I4951" s="1"/>
      <c r="J4951" s="71"/>
      <c r="M4951" s="46"/>
      <c r="R4951" s="51"/>
      <c r="S4951" s="51"/>
    </row>
    <row r="4952" spans="9:19" x14ac:dyDescent="0.25">
      <c r="I4952" s="1"/>
      <c r="J4952" s="71"/>
      <c r="M4952" s="46"/>
      <c r="R4952" s="51"/>
      <c r="S4952" s="51"/>
    </row>
    <row r="4953" spans="9:19" x14ac:dyDescent="0.25">
      <c r="I4953" s="1"/>
      <c r="J4953" s="71"/>
      <c r="M4953" s="46"/>
      <c r="R4953" s="51"/>
      <c r="S4953" s="51"/>
    </row>
    <row r="4954" spans="9:19" x14ac:dyDescent="0.25">
      <c r="I4954" s="1"/>
      <c r="J4954" s="71"/>
      <c r="M4954" s="46"/>
      <c r="R4954" s="51"/>
      <c r="S4954" s="51"/>
    </row>
    <row r="4955" spans="9:19" x14ac:dyDescent="0.25">
      <c r="I4955" s="1"/>
      <c r="J4955" s="71"/>
      <c r="M4955" s="46"/>
      <c r="R4955" s="51"/>
      <c r="S4955" s="51"/>
    </row>
    <row r="4956" spans="9:19" x14ac:dyDescent="0.25">
      <c r="I4956" s="1"/>
      <c r="J4956" s="71"/>
      <c r="M4956" s="46"/>
      <c r="R4956" s="51"/>
      <c r="S4956" s="51"/>
    </row>
    <row r="4957" spans="9:19" x14ac:dyDescent="0.25">
      <c r="I4957" s="1"/>
      <c r="J4957" s="71"/>
      <c r="M4957" s="46"/>
      <c r="R4957" s="51"/>
      <c r="S4957" s="51"/>
    </row>
    <row r="4958" spans="9:19" x14ac:dyDescent="0.25">
      <c r="I4958" s="1"/>
      <c r="J4958" s="71"/>
      <c r="M4958" s="46"/>
      <c r="R4958" s="51"/>
      <c r="S4958" s="51"/>
    </row>
    <row r="4959" spans="9:19" x14ac:dyDescent="0.25">
      <c r="I4959" s="1"/>
      <c r="J4959" s="71"/>
      <c r="M4959" s="46"/>
      <c r="R4959" s="51"/>
      <c r="S4959" s="51"/>
    </row>
    <row r="4960" spans="9:19" x14ac:dyDescent="0.25">
      <c r="I4960" s="1"/>
      <c r="J4960" s="71"/>
      <c r="M4960" s="46"/>
      <c r="R4960" s="51"/>
      <c r="S4960" s="51"/>
    </row>
    <row r="4961" spans="9:19" x14ac:dyDescent="0.25">
      <c r="I4961" s="1"/>
      <c r="J4961" s="71"/>
      <c r="M4961" s="46"/>
      <c r="R4961" s="51"/>
      <c r="S4961" s="51"/>
    </row>
    <row r="4962" spans="9:19" x14ac:dyDescent="0.25">
      <c r="I4962" s="1"/>
      <c r="J4962" s="71"/>
      <c r="M4962" s="46"/>
      <c r="R4962" s="51"/>
      <c r="S4962" s="51"/>
    </row>
    <row r="4963" spans="9:19" x14ac:dyDescent="0.25">
      <c r="I4963" s="1"/>
      <c r="J4963" s="71"/>
      <c r="M4963" s="46"/>
      <c r="R4963" s="51"/>
      <c r="S4963" s="51"/>
    </row>
    <row r="4964" spans="9:19" x14ac:dyDescent="0.25">
      <c r="I4964" s="1"/>
      <c r="J4964" s="71"/>
      <c r="M4964" s="46"/>
      <c r="R4964" s="51"/>
      <c r="S4964" s="51"/>
    </row>
    <row r="4965" spans="9:19" x14ac:dyDescent="0.25">
      <c r="I4965" s="1"/>
      <c r="J4965" s="71"/>
      <c r="M4965" s="46"/>
      <c r="R4965" s="51"/>
      <c r="S4965" s="51"/>
    </row>
    <row r="4966" spans="9:19" x14ac:dyDescent="0.25">
      <c r="I4966" s="1"/>
      <c r="J4966" s="71"/>
      <c r="M4966" s="46"/>
      <c r="R4966" s="51"/>
      <c r="S4966" s="51"/>
    </row>
    <row r="4967" spans="9:19" x14ac:dyDescent="0.25">
      <c r="I4967" s="1"/>
      <c r="J4967" s="71"/>
      <c r="M4967" s="46"/>
      <c r="R4967" s="51"/>
      <c r="S4967" s="51"/>
    </row>
    <row r="4968" spans="9:19" x14ac:dyDescent="0.25">
      <c r="I4968" s="1"/>
      <c r="J4968" s="71"/>
      <c r="M4968" s="46"/>
      <c r="R4968" s="51"/>
      <c r="S4968" s="51"/>
    </row>
    <row r="4969" spans="9:19" x14ac:dyDescent="0.25">
      <c r="I4969" s="1"/>
      <c r="J4969" s="71"/>
      <c r="M4969" s="46"/>
      <c r="R4969" s="51"/>
      <c r="S4969" s="51"/>
    </row>
    <row r="4970" spans="9:19" x14ac:dyDescent="0.25">
      <c r="I4970" s="1"/>
      <c r="J4970" s="71"/>
      <c r="M4970" s="46"/>
      <c r="R4970" s="51"/>
      <c r="S4970" s="51"/>
    </row>
    <row r="4971" spans="9:19" x14ac:dyDescent="0.25">
      <c r="I4971" s="1"/>
      <c r="J4971" s="71"/>
      <c r="M4971" s="46"/>
      <c r="R4971" s="51"/>
      <c r="S4971" s="51"/>
    </row>
    <row r="4972" spans="9:19" x14ac:dyDescent="0.25">
      <c r="I4972" s="1"/>
      <c r="J4972" s="71"/>
      <c r="M4972" s="46"/>
      <c r="R4972" s="51"/>
      <c r="S4972" s="51"/>
    </row>
    <row r="4973" spans="9:19" x14ac:dyDescent="0.25">
      <c r="I4973" s="1"/>
      <c r="J4973" s="71"/>
      <c r="M4973" s="46"/>
      <c r="R4973" s="51"/>
      <c r="S4973" s="51"/>
    </row>
    <row r="4974" spans="9:19" x14ac:dyDescent="0.25">
      <c r="I4974" s="1"/>
      <c r="J4974" s="71"/>
      <c r="M4974" s="46"/>
      <c r="R4974" s="51"/>
      <c r="S4974" s="51"/>
    </row>
    <row r="4975" spans="9:19" x14ac:dyDescent="0.25">
      <c r="I4975" s="1"/>
      <c r="J4975" s="71"/>
      <c r="M4975" s="46"/>
      <c r="R4975" s="51"/>
      <c r="S4975" s="51"/>
    </row>
    <row r="4976" spans="9:19" x14ac:dyDescent="0.25">
      <c r="I4976" s="1"/>
      <c r="J4976" s="71"/>
      <c r="M4976" s="46"/>
      <c r="R4976" s="51"/>
      <c r="S4976" s="51"/>
    </row>
    <row r="4977" spans="9:19" x14ac:dyDescent="0.25">
      <c r="I4977" s="1"/>
      <c r="J4977" s="71"/>
      <c r="M4977" s="46"/>
      <c r="R4977" s="51"/>
      <c r="S4977" s="51"/>
    </row>
    <row r="4978" spans="9:19" x14ac:dyDescent="0.25">
      <c r="I4978" s="1"/>
      <c r="J4978" s="71"/>
      <c r="M4978" s="46"/>
      <c r="R4978" s="51"/>
      <c r="S4978" s="51"/>
    </row>
    <row r="4979" spans="9:19" x14ac:dyDescent="0.25">
      <c r="I4979" s="1"/>
      <c r="J4979" s="71"/>
      <c r="M4979" s="46"/>
      <c r="R4979" s="51"/>
      <c r="S4979" s="51"/>
    </row>
    <row r="4980" spans="9:19" x14ac:dyDescent="0.25">
      <c r="I4980" s="1"/>
      <c r="J4980" s="71"/>
      <c r="M4980" s="46"/>
      <c r="R4980" s="51"/>
      <c r="S4980" s="51"/>
    </row>
    <row r="4981" spans="9:19" x14ac:dyDescent="0.25">
      <c r="I4981" s="1"/>
      <c r="J4981" s="71"/>
      <c r="M4981" s="46"/>
      <c r="R4981" s="51"/>
      <c r="S4981" s="51"/>
    </row>
    <row r="4982" spans="9:19" x14ac:dyDescent="0.25">
      <c r="I4982" s="1"/>
      <c r="J4982" s="71"/>
      <c r="M4982" s="46"/>
      <c r="R4982" s="51"/>
      <c r="S4982" s="51"/>
    </row>
    <row r="4983" spans="9:19" x14ac:dyDescent="0.25">
      <c r="I4983" s="1"/>
      <c r="J4983" s="71"/>
      <c r="M4983" s="46"/>
      <c r="R4983" s="51"/>
      <c r="S4983" s="51"/>
    </row>
    <row r="4984" spans="9:19" x14ac:dyDescent="0.25">
      <c r="I4984" s="1"/>
      <c r="J4984" s="71"/>
      <c r="M4984" s="46"/>
      <c r="R4984" s="51"/>
      <c r="S4984" s="51"/>
    </row>
    <row r="4985" spans="9:19" x14ac:dyDescent="0.25">
      <c r="I4985" s="1"/>
      <c r="J4985" s="71"/>
      <c r="M4985" s="46"/>
      <c r="R4985" s="51"/>
      <c r="S4985" s="51"/>
    </row>
    <row r="4986" spans="9:19" x14ac:dyDescent="0.25">
      <c r="I4986" s="1"/>
      <c r="J4986" s="71"/>
      <c r="M4986" s="46"/>
      <c r="R4986" s="51"/>
      <c r="S4986" s="51"/>
    </row>
    <row r="4987" spans="9:19" x14ac:dyDescent="0.25">
      <c r="I4987" s="1"/>
      <c r="J4987" s="71"/>
      <c r="M4987" s="46"/>
      <c r="R4987" s="51"/>
      <c r="S4987" s="51"/>
    </row>
    <row r="4988" spans="9:19" x14ac:dyDescent="0.25">
      <c r="I4988" s="1"/>
      <c r="J4988" s="71"/>
      <c r="M4988" s="46"/>
      <c r="R4988" s="51"/>
      <c r="S4988" s="51"/>
    </row>
    <row r="4989" spans="9:19" x14ac:dyDescent="0.25">
      <c r="I4989" s="1"/>
      <c r="J4989" s="71"/>
      <c r="M4989" s="46"/>
      <c r="R4989" s="51"/>
      <c r="S4989" s="51"/>
    </row>
    <row r="4990" spans="9:19" x14ac:dyDescent="0.25">
      <c r="I4990" s="1"/>
      <c r="J4990" s="71"/>
      <c r="M4990" s="46"/>
      <c r="R4990" s="51"/>
      <c r="S4990" s="51"/>
    </row>
    <row r="4991" spans="9:19" x14ac:dyDescent="0.25">
      <c r="I4991" s="1"/>
      <c r="J4991" s="71"/>
      <c r="M4991" s="46"/>
      <c r="R4991" s="51"/>
      <c r="S4991" s="51"/>
    </row>
    <row r="4992" spans="9:19" x14ac:dyDescent="0.25">
      <c r="I4992" s="1"/>
      <c r="J4992" s="71"/>
      <c r="M4992" s="46"/>
      <c r="R4992" s="51"/>
      <c r="S4992" s="51"/>
    </row>
    <row r="4993" spans="9:19" x14ac:dyDescent="0.25">
      <c r="I4993" s="1"/>
      <c r="J4993" s="71"/>
      <c r="M4993" s="46"/>
      <c r="R4993" s="51"/>
      <c r="S4993" s="51"/>
    </row>
    <row r="4994" spans="9:19" x14ac:dyDescent="0.25">
      <c r="I4994" s="1"/>
      <c r="J4994" s="71"/>
      <c r="M4994" s="46"/>
      <c r="R4994" s="51"/>
      <c r="S4994" s="51"/>
    </row>
    <row r="4995" spans="9:19" x14ac:dyDescent="0.25">
      <c r="I4995" s="1"/>
      <c r="J4995" s="71"/>
      <c r="M4995" s="46"/>
      <c r="R4995" s="51"/>
      <c r="S4995" s="51"/>
    </row>
    <row r="4996" spans="9:19" x14ac:dyDescent="0.25">
      <c r="I4996" s="1"/>
      <c r="J4996" s="71"/>
      <c r="M4996" s="46"/>
      <c r="R4996" s="51"/>
      <c r="S4996" s="51"/>
    </row>
    <row r="4997" spans="9:19" x14ac:dyDescent="0.25">
      <c r="I4997" s="1"/>
      <c r="J4997" s="71"/>
      <c r="M4997" s="46"/>
      <c r="R4997" s="51"/>
      <c r="S4997" s="51"/>
    </row>
    <row r="4998" spans="9:19" x14ac:dyDescent="0.25">
      <c r="I4998" s="1"/>
      <c r="J4998" s="71"/>
      <c r="M4998" s="46"/>
      <c r="R4998" s="51"/>
      <c r="S4998" s="51"/>
    </row>
    <row r="4999" spans="9:19" x14ac:dyDescent="0.25">
      <c r="I4999" s="1"/>
      <c r="J4999" s="71"/>
      <c r="M4999" s="46"/>
      <c r="R4999" s="51"/>
      <c r="S4999" s="51"/>
    </row>
    <row r="5000" spans="9:19" x14ac:dyDescent="0.25">
      <c r="I5000" s="1"/>
      <c r="J5000" s="71"/>
      <c r="M5000" s="46"/>
      <c r="R5000" s="51"/>
      <c r="S5000" s="51"/>
    </row>
    <row r="5001" spans="9:19" x14ac:dyDescent="0.25">
      <c r="I5001" s="1"/>
      <c r="J5001" s="71"/>
      <c r="M5001" s="46"/>
      <c r="R5001" s="51"/>
      <c r="S5001" s="51"/>
    </row>
    <row r="5002" spans="9:19" x14ac:dyDescent="0.25">
      <c r="I5002" s="1"/>
      <c r="J5002" s="71"/>
      <c r="M5002" s="46"/>
      <c r="R5002" s="51"/>
      <c r="S5002" s="51"/>
    </row>
    <row r="5003" spans="9:19" x14ac:dyDescent="0.25">
      <c r="I5003" s="1"/>
      <c r="J5003" s="71"/>
      <c r="M5003" s="46"/>
      <c r="R5003" s="51"/>
      <c r="S5003" s="51"/>
    </row>
    <row r="5004" spans="9:19" x14ac:dyDescent="0.25">
      <c r="I5004" s="1"/>
      <c r="J5004" s="71"/>
      <c r="M5004" s="46"/>
      <c r="R5004" s="51"/>
      <c r="S5004" s="51"/>
    </row>
    <row r="5005" spans="9:19" x14ac:dyDescent="0.25">
      <c r="I5005" s="1"/>
      <c r="J5005" s="71"/>
      <c r="M5005" s="46"/>
      <c r="R5005" s="51"/>
      <c r="S5005" s="51"/>
    </row>
    <row r="5006" spans="9:19" x14ac:dyDescent="0.25">
      <c r="I5006" s="1"/>
      <c r="J5006" s="71"/>
      <c r="M5006" s="46"/>
      <c r="R5006" s="51"/>
      <c r="S5006" s="51"/>
    </row>
    <row r="5007" spans="9:19" x14ac:dyDescent="0.25">
      <c r="I5007" s="1"/>
      <c r="J5007" s="71"/>
      <c r="M5007" s="46"/>
      <c r="R5007" s="51"/>
      <c r="S5007" s="51"/>
    </row>
    <row r="5008" spans="9:19" x14ac:dyDescent="0.25">
      <c r="I5008" s="1"/>
      <c r="J5008" s="71"/>
      <c r="M5008" s="46"/>
      <c r="R5008" s="51"/>
      <c r="S5008" s="51"/>
    </row>
    <row r="5009" spans="9:19" x14ac:dyDescent="0.25">
      <c r="I5009" s="1"/>
      <c r="J5009" s="71"/>
      <c r="M5009" s="46"/>
      <c r="R5009" s="51"/>
      <c r="S5009" s="51"/>
    </row>
    <row r="5010" spans="9:19" x14ac:dyDescent="0.25">
      <c r="I5010" s="1"/>
      <c r="J5010" s="71"/>
      <c r="M5010" s="46"/>
      <c r="R5010" s="51"/>
      <c r="S5010" s="51"/>
    </row>
    <row r="5011" spans="9:19" x14ac:dyDescent="0.25">
      <c r="I5011" s="1"/>
      <c r="J5011" s="71"/>
      <c r="M5011" s="46"/>
      <c r="R5011" s="51"/>
      <c r="S5011" s="51"/>
    </row>
    <row r="5012" spans="9:19" x14ac:dyDescent="0.25">
      <c r="I5012" s="1"/>
      <c r="J5012" s="71"/>
      <c r="M5012" s="46"/>
      <c r="R5012" s="51"/>
      <c r="S5012" s="51"/>
    </row>
    <row r="5013" spans="9:19" x14ac:dyDescent="0.25">
      <c r="I5013" s="1"/>
      <c r="J5013" s="71"/>
      <c r="M5013" s="46"/>
      <c r="R5013" s="51"/>
      <c r="S5013" s="51"/>
    </row>
    <row r="5014" spans="9:19" x14ac:dyDescent="0.25">
      <c r="I5014" s="1"/>
      <c r="J5014" s="71"/>
      <c r="M5014" s="46"/>
      <c r="R5014" s="51"/>
      <c r="S5014" s="51"/>
    </row>
    <row r="5015" spans="9:19" x14ac:dyDescent="0.25">
      <c r="I5015" s="1"/>
      <c r="J5015" s="71"/>
      <c r="M5015" s="46"/>
      <c r="R5015" s="51"/>
      <c r="S5015" s="51"/>
    </row>
    <row r="5016" spans="9:19" x14ac:dyDescent="0.25">
      <c r="I5016" s="1"/>
      <c r="J5016" s="71"/>
      <c r="M5016" s="46"/>
      <c r="R5016" s="51"/>
      <c r="S5016" s="51"/>
    </row>
    <row r="5017" spans="9:19" x14ac:dyDescent="0.25">
      <c r="I5017" s="1"/>
      <c r="J5017" s="71"/>
      <c r="M5017" s="46"/>
      <c r="R5017" s="51"/>
      <c r="S5017" s="51"/>
    </row>
    <row r="5018" spans="9:19" x14ac:dyDescent="0.25">
      <c r="I5018" s="1"/>
      <c r="J5018" s="71"/>
      <c r="M5018" s="46"/>
      <c r="R5018" s="51"/>
      <c r="S5018" s="51"/>
    </row>
    <row r="5019" spans="9:19" x14ac:dyDescent="0.25">
      <c r="I5019" s="1"/>
      <c r="J5019" s="71"/>
      <c r="M5019" s="46"/>
      <c r="R5019" s="51"/>
      <c r="S5019" s="51"/>
    </row>
    <row r="5020" spans="9:19" x14ac:dyDescent="0.25">
      <c r="I5020" s="1"/>
      <c r="J5020" s="71"/>
      <c r="M5020" s="46"/>
      <c r="R5020" s="51"/>
      <c r="S5020" s="51"/>
    </row>
    <row r="5021" spans="9:19" x14ac:dyDescent="0.25">
      <c r="I5021" s="1"/>
      <c r="J5021" s="71"/>
      <c r="M5021" s="46"/>
      <c r="R5021" s="51"/>
      <c r="S5021" s="51"/>
    </row>
    <row r="5022" spans="9:19" x14ac:dyDescent="0.25">
      <c r="I5022" s="1"/>
      <c r="J5022" s="71"/>
      <c r="M5022" s="46"/>
      <c r="R5022" s="51"/>
      <c r="S5022" s="51"/>
    </row>
    <row r="5023" spans="9:19" x14ac:dyDescent="0.25">
      <c r="I5023" s="1"/>
      <c r="J5023" s="71"/>
      <c r="M5023" s="46"/>
      <c r="R5023" s="51"/>
      <c r="S5023" s="51"/>
    </row>
    <row r="5024" spans="9:19" x14ac:dyDescent="0.25">
      <c r="I5024" s="1"/>
      <c r="J5024" s="71"/>
      <c r="M5024" s="46"/>
      <c r="R5024" s="51"/>
      <c r="S5024" s="51"/>
    </row>
    <row r="5025" spans="9:19" x14ac:dyDescent="0.25">
      <c r="I5025" s="1"/>
      <c r="J5025" s="71"/>
      <c r="M5025" s="46"/>
      <c r="R5025" s="51"/>
      <c r="S5025" s="51"/>
    </row>
    <row r="5026" spans="9:19" x14ac:dyDescent="0.25">
      <c r="I5026" s="1"/>
      <c r="J5026" s="71"/>
      <c r="M5026" s="46"/>
      <c r="R5026" s="51"/>
      <c r="S5026" s="51"/>
    </row>
    <row r="5027" spans="9:19" x14ac:dyDescent="0.25">
      <c r="I5027" s="1"/>
      <c r="J5027" s="71"/>
      <c r="M5027" s="46"/>
      <c r="R5027" s="51"/>
      <c r="S5027" s="51"/>
    </row>
    <row r="5028" spans="9:19" x14ac:dyDescent="0.25">
      <c r="I5028" s="1"/>
      <c r="J5028" s="71"/>
      <c r="M5028" s="46"/>
      <c r="R5028" s="51"/>
      <c r="S5028" s="51"/>
    </row>
    <row r="5029" spans="9:19" x14ac:dyDescent="0.25">
      <c r="I5029" s="1"/>
      <c r="J5029" s="71"/>
      <c r="M5029" s="46"/>
      <c r="R5029" s="51"/>
      <c r="S5029" s="51"/>
    </row>
    <row r="5030" spans="9:19" x14ac:dyDescent="0.25">
      <c r="I5030" s="1"/>
      <c r="J5030" s="71"/>
      <c r="M5030" s="46"/>
      <c r="R5030" s="51"/>
      <c r="S5030" s="51"/>
    </row>
    <row r="5031" spans="9:19" x14ac:dyDescent="0.25">
      <c r="I5031" s="1"/>
      <c r="J5031" s="71"/>
      <c r="M5031" s="46"/>
      <c r="R5031" s="51"/>
      <c r="S5031" s="51"/>
    </row>
    <row r="5032" spans="9:19" x14ac:dyDescent="0.25">
      <c r="I5032" s="1"/>
      <c r="J5032" s="71"/>
      <c r="M5032" s="46"/>
      <c r="R5032" s="51"/>
      <c r="S5032" s="51"/>
    </row>
    <row r="5033" spans="9:19" x14ac:dyDescent="0.25">
      <c r="I5033" s="1"/>
      <c r="J5033" s="71"/>
      <c r="M5033" s="46"/>
      <c r="R5033" s="51"/>
      <c r="S5033" s="51"/>
    </row>
    <row r="5034" spans="9:19" x14ac:dyDescent="0.25">
      <c r="I5034" s="1"/>
      <c r="J5034" s="71"/>
      <c r="M5034" s="46"/>
      <c r="R5034" s="51"/>
      <c r="S5034" s="51"/>
    </row>
    <row r="5035" spans="9:19" x14ac:dyDescent="0.25">
      <c r="I5035" s="1"/>
      <c r="J5035" s="71"/>
      <c r="M5035" s="46"/>
      <c r="R5035" s="51"/>
      <c r="S5035" s="51"/>
    </row>
    <row r="5036" spans="9:19" x14ac:dyDescent="0.25">
      <c r="I5036" s="1"/>
      <c r="J5036" s="71"/>
      <c r="M5036" s="46"/>
      <c r="R5036" s="51"/>
      <c r="S5036" s="51"/>
    </row>
    <row r="5037" spans="9:19" x14ac:dyDescent="0.25">
      <c r="I5037" s="1"/>
      <c r="J5037" s="71"/>
      <c r="M5037" s="46"/>
      <c r="R5037" s="51"/>
      <c r="S5037" s="51"/>
    </row>
    <row r="5038" spans="9:19" x14ac:dyDescent="0.25">
      <c r="I5038" s="1"/>
      <c r="J5038" s="71"/>
      <c r="M5038" s="46"/>
      <c r="R5038" s="51"/>
      <c r="S5038" s="51"/>
    </row>
    <row r="5039" spans="9:19" x14ac:dyDescent="0.25">
      <c r="I5039" s="1"/>
      <c r="J5039" s="71"/>
      <c r="M5039" s="46"/>
      <c r="R5039" s="51"/>
      <c r="S5039" s="51"/>
    </row>
    <row r="5040" spans="9:19" x14ac:dyDescent="0.25">
      <c r="I5040" s="1"/>
      <c r="J5040" s="71"/>
      <c r="M5040" s="46"/>
      <c r="R5040" s="51"/>
      <c r="S5040" s="51"/>
    </row>
    <row r="5041" spans="9:19" x14ac:dyDescent="0.25">
      <c r="I5041" s="1"/>
      <c r="J5041" s="71"/>
      <c r="M5041" s="46"/>
      <c r="R5041" s="51"/>
      <c r="S5041" s="51"/>
    </row>
    <row r="5042" spans="9:19" x14ac:dyDescent="0.25">
      <c r="I5042" s="1"/>
      <c r="J5042" s="71"/>
      <c r="M5042" s="46"/>
      <c r="R5042" s="51"/>
      <c r="S5042" s="51"/>
    </row>
    <row r="5043" spans="9:19" x14ac:dyDescent="0.25">
      <c r="I5043" s="1"/>
      <c r="J5043" s="71"/>
      <c r="M5043" s="46"/>
      <c r="R5043" s="51"/>
      <c r="S5043" s="51"/>
    </row>
    <row r="5044" spans="9:19" x14ac:dyDescent="0.25">
      <c r="I5044" s="1"/>
      <c r="J5044" s="71"/>
      <c r="M5044" s="46"/>
      <c r="R5044" s="51"/>
      <c r="S5044" s="51"/>
    </row>
    <row r="5045" spans="9:19" x14ac:dyDescent="0.25">
      <c r="I5045" s="1"/>
      <c r="J5045" s="71"/>
      <c r="M5045" s="46"/>
      <c r="R5045" s="51"/>
      <c r="S5045" s="51"/>
    </row>
    <row r="5046" spans="9:19" x14ac:dyDescent="0.25">
      <c r="I5046" s="1"/>
      <c r="J5046" s="71"/>
      <c r="M5046" s="46"/>
      <c r="R5046" s="51"/>
      <c r="S5046" s="51"/>
    </row>
    <row r="5047" spans="9:19" x14ac:dyDescent="0.25">
      <c r="I5047" s="1"/>
      <c r="J5047" s="71"/>
      <c r="M5047" s="46"/>
      <c r="R5047" s="51"/>
      <c r="S5047" s="51"/>
    </row>
    <row r="5048" spans="9:19" x14ac:dyDescent="0.25">
      <c r="I5048" s="1"/>
      <c r="J5048" s="71"/>
      <c r="M5048" s="46"/>
      <c r="R5048" s="51"/>
      <c r="S5048" s="51"/>
    </row>
    <row r="5049" spans="9:19" x14ac:dyDescent="0.25">
      <c r="I5049" s="1"/>
      <c r="J5049" s="71"/>
      <c r="M5049" s="46"/>
      <c r="R5049" s="51"/>
      <c r="S5049" s="51"/>
    </row>
    <row r="5050" spans="9:19" x14ac:dyDescent="0.25">
      <c r="I5050" s="1"/>
      <c r="J5050" s="71"/>
      <c r="M5050" s="46"/>
      <c r="R5050" s="51"/>
      <c r="S5050" s="51"/>
    </row>
    <row r="5051" spans="9:19" x14ac:dyDescent="0.25">
      <c r="I5051" s="1"/>
      <c r="J5051" s="71"/>
      <c r="M5051" s="46"/>
      <c r="R5051" s="51"/>
      <c r="S5051" s="51"/>
    </row>
    <row r="5052" spans="9:19" x14ac:dyDescent="0.25">
      <c r="I5052" s="1"/>
      <c r="J5052" s="71"/>
      <c r="M5052" s="46"/>
      <c r="R5052" s="51"/>
      <c r="S5052" s="51"/>
    </row>
    <row r="5053" spans="9:19" x14ac:dyDescent="0.25">
      <c r="I5053" s="1"/>
      <c r="J5053" s="71"/>
      <c r="M5053" s="46"/>
      <c r="R5053" s="51"/>
      <c r="S5053" s="51"/>
    </row>
    <row r="5054" spans="9:19" x14ac:dyDescent="0.25">
      <c r="I5054" s="1"/>
      <c r="J5054" s="71"/>
      <c r="M5054" s="46"/>
      <c r="R5054" s="51"/>
      <c r="S5054" s="51"/>
    </row>
    <row r="5055" spans="9:19" x14ac:dyDescent="0.25">
      <c r="I5055" s="1"/>
      <c r="J5055" s="71"/>
      <c r="M5055" s="46"/>
      <c r="R5055" s="51"/>
      <c r="S5055" s="51"/>
    </row>
    <row r="5056" spans="9:19" x14ac:dyDescent="0.25">
      <c r="I5056" s="1"/>
      <c r="J5056" s="71"/>
      <c r="M5056" s="46"/>
      <c r="R5056" s="51"/>
      <c r="S5056" s="51"/>
    </row>
    <row r="5057" spans="9:19" x14ac:dyDescent="0.25">
      <c r="I5057" s="1"/>
      <c r="J5057" s="71"/>
      <c r="M5057" s="46"/>
      <c r="R5057" s="51"/>
      <c r="S5057" s="51"/>
    </row>
    <row r="5058" spans="9:19" x14ac:dyDescent="0.25">
      <c r="I5058" s="1"/>
      <c r="J5058" s="71"/>
      <c r="M5058" s="46"/>
      <c r="R5058" s="51"/>
      <c r="S5058" s="51"/>
    </row>
    <row r="5059" spans="9:19" x14ac:dyDescent="0.25">
      <c r="I5059" s="1"/>
      <c r="J5059" s="71"/>
      <c r="M5059" s="46"/>
      <c r="R5059" s="51"/>
      <c r="S5059" s="51"/>
    </row>
    <row r="5060" spans="9:19" x14ac:dyDescent="0.25">
      <c r="I5060" s="1"/>
      <c r="J5060" s="71"/>
      <c r="M5060" s="46"/>
      <c r="R5060" s="51"/>
      <c r="S5060" s="51"/>
    </row>
    <row r="5061" spans="9:19" x14ac:dyDescent="0.25">
      <c r="I5061" s="1"/>
      <c r="J5061" s="71"/>
      <c r="M5061" s="46"/>
      <c r="R5061" s="51"/>
      <c r="S5061" s="51"/>
    </row>
    <row r="5062" spans="9:19" x14ac:dyDescent="0.25">
      <c r="I5062" s="1"/>
      <c r="J5062" s="71"/>
      <c r="M5062" s="46"/>
      <c r="R5062" s="51"/>
      <c r="S5062" s="51"/>
    </row>
    <row r="5063" spans="9:19" x14ac:dyDescent="0.25">
      <c r="I5063" s="1"/>
      <c r="J5063" s="71"/>
      <c r="M5063" s="46"/>
      <c r="R5063" s="51"/>
      <c r="S5063" s="51"/>
    </row>
    <row r="5064" spans="9:19" x14ac:dyDescent="0.25">
      <c r="I5064" s="1"/>
      <c r="J5064" s="71"/>
      <c r="M5064" s="46"/>
      <c r="R5064" s="51"/>
      <c r="S5064" s="51"/>
    </row>
    <row r="5065" spans="9:19" x14ac:dyDescent="0.25">
      <c r="I5065" s="1"/>
      <c r="J5065" s="71"/>
      <c r="M5065" s="46"/>
      <c r="R5065" s="51"/>
      <c r="S5065" s="51"/>
    </row>
    <row r="5066" spans="9:19" x14ac:dyDescent="0.25">
      <c r="I5066" s="1"/>
      <c r="J5066" s="71"/>
      <c r="M5066" s="46"/>
      <c r="R5066" s="51"/>
      <c r="S5066" s="51"/>
    </row>
    <row r="5067" spans="9:19" x14ac:dyDescent="0.25">
      <c r="I5067" s="1"/>
      <c r="J5067" s="71"/>
      <c r="M5067" s="46"/>
      <c r="R5067" s="51"/>
      <c r="S5067" s="51"/>
    </row>
    <row r="5068" spans="9:19" x14ac:dyDescent="0.25">
      <c r="I5068" s="1"/>
      <c r="J5068" s="71"/>
      <c r="M5068" s="46"/>
      <c r="R5068" s="51"/>
      <c r="S5068" s="51"/>
    </row>
    <row r="5069" spans="9:19" x14ac:dyDescent="0.25">
      <c r="I5069" s="1"/>
      <c r="J5069" s="71"/>
      <c r="M5069" s="46"/>
      <c r="R5069" s="51"/>
      <c r="S5069" s="51"/>
    </row>
    <row r="5070" spans="9:19" x14ac:dyDescent="0.25">
      <c r="I5070" s="1"/>
      <c r="J5070" s="71"/>
      <c r="M5070" s="46"/>
      <c r="R5070" s="51"/>
      <c r="S5070" s="51"/>
    </row>
    <row r="5071" spans="9:19" x14ac:dyDescent="0.25">
      <c r="I5071" s="1"/>
      <c r="J5071" s="71"/>
      <c r="M5071" s="46"/>
      <c r="R5071" s="51"/>
      <c r="S5071" s="51"/>
    </row>
    <row r="5072" spans="9:19" x14ac:dyDescent="0.25">
      <c r="I5072" s="1"/>
      <c r="J5072" s="71"/>
      <c r="M5072" s="46"/>
      <c r="R5072" s="51"/>
      <c r="S5072" s="51"/>
    </row>
    <row r="5073" spans="9:19" x14ac:dyDescent="0.25">
      <c r="I5073" s="1"/>
      <c r="J5073" s="71"/>
      <c r="M5073" s="46"/>
      <c r="R5073" s="51"/>
      <c r="S5073" s="51"/>
    </row>
    <row r="5074" spans="9:19" x14ac:dyDescent="0.25">
      <c r="I5074" s="1"/>
      <c r="J5074" s="71"/>
      <c r="M5074" s="46"/>
      <c r="R5074" s="51"/>
      <c r="S5074" s="51"/>
    </row>
    <row r="5075" spans="9:19" x14ac:dyDescent="0.25">
      <c r="I5075" s="1"/>
      <c r="J5075" s="71"/>
      <c r="M5075" s="46"/>
      <c r="R5075" s="51"/>
      <c r="S5075" s="51"/>
    </row>
    <row r="5076" spans="9:19" x14ac:dyDescent="0.25">
      <c r="I5076" s="1"/>
      <c r="J5076" s="71"/>
      <c r="M5076" s="46"/>
      <c r="R5076" s="51"/>
      <c r="S5076" s="51"/>
    </row>
    <row r="5077" spans="9:19" x14ac:dyDescent="0.25">
      <c r="I5077" s="1"/>
      <c r="J5077" s="71"/>
      <c r="M5077" s="46"/>
      <c r="R5077" s="51"/>
      <c r="S5077" s="51"/>
    </row>
    <row r="5078" spans="9:19" x14ac:dyDescent="0.25">
      <c r="I5078" s="1"/>
      <c r="J5078" s="71"/>
      <c r="M5078" s="46"/>
      <c r="R5078" s="51"/>
      <c r="S5078" s="51"/>
    </row>
    <row r="5079" spans="9:19" x14ac:dyDescent="0.25">
      <c r="I5079" s="1"/>
      <c r="J5079" s="71"/>
      <c r="M5079" s="46"/>
      <c r="R5079" s="51"/>
      <c r="S5079" s="51"/>
    </row>
    <row r="5080" spans="9:19" x14ac:dyDescent="0.25">
      <c r="I5080" s="1"/>
      <c r="J5080" s="71"/>
      <c r="M5080" s="46"/>
      <c r="R5080" s="51"/>
      <c r="S5080" s="51"/>
    </row>
    <row r="5081" spans="9:19" x14ac:dyDescent="0.25">
      <c r="I5081" s="1"/>
      <c r="J5081" s="71"/>
      <c r="M5081" s="46"/>
      <c r="R5081" s="51"/>
      <c r="S5081" s="51"/>
    </row>
    <row r="5082" spans="9:19" x14ac:dyDescent="0.25">
      <c r="I5082" s="1"/>
      <c r="J5082" s="71"/>
      <c r="M5082" s="46"/>
      <c r="R5082" s="51"/>
      <c r="S5082" s="51"/>
    </row>
    <row r="5083" spans="9:19" x14ac:dyDescent="0.25">
      <c r="I5083" s="1"/>
      <c r="J5083" s="71"/>
      <c r="M5083" s="46"/>
      <c r="R5083" s="51"/>
      <c r="S5083" s="51"/>
    </row>
    <row r="5084" spans="9:19" x14ac:dyDescent="0.25">
      <c r="I5084" s="1"/>
      <c r="J5084" s="71"/>
      <c r="M5084" s="46"/>
      <c r="R5084" s="51"/>
      <c r="S5084" s="51"/>
    </row>
    <row r="5085" spans="9:19" x14ac:dyDescent="0.25">
      <c r="I5085" s="1"/>
      <c r="J5085" s="71"/>
      <c r="M5085" s="46"/>
      <c r="R5085" s="51"/>
      <c r="S5085" s="51"/>
    </row>
    <row r="5086" spans="9:19" x14ac:dyDescent="0.25">
      <c r="I5086" s="1"/>
      <c r="J5086" s="71"/>
      <c r="M5086" s="46"/>
      <c r="R5086" s="51"/>
      <c r="S5086" s="51"/>
    </row>
    <row r="5087" spans="9:19" x14ac:dyDescent="0.25">
      <c r="I5087" s="1"/>
      <c r="J5087" s="71"/>
      <c r="M5087" s="46"/>
      <c r="R5087" s="51"/>
      <c r="S5087" s="51"/>
    </row>
    <row r="5088" spans="9:19" x14ac:dyDescent="0.25">
      <c r="I5088" s="1"/>
      <c r="J5088" s="71"/>
      <c r="M5088" s="46"/>
      <c r="R5088" s="51"/>
      <c r="S5088" s="51"/>
    </row>
    <row r="5089" spans="9:19" x14ac:dyDescent="0.25">
      <c r="I5089" s="1"/>
      <c r="J5089" s="71"/>
      <c r="M5089" s="46"/>
      <c r="R5089" s="51"/>
      <c r="S5089" s="51"/>
    </row>
    <row r="5090" spans="9:19" x14ac:dyDescent="0.25">
      <c r="I5090" s="1"/>
      <c r="J5090" s="71"/>
      <c r="M5090" s="46"/>
      <c r="R5090" s="51"/>
      <c r="S5090" s="51"/>
    </row>
    <row r="5091" spans="9:19" x14ac:dyDescent="0.25">
      <c r="I5091" s="1"/>
      <c r="J5091" s="71"/>
      <c r="M5091" s="46"/>
      <c r="R5091" s="51"/>
      <c r="S5091" s="51"/>
    </row>
    <row r="5092" spans="9:19" x14ac:dyDescent="0.25">
      <c r="I5092" s="1"/>
      <c r="J5092" s="71"/>
      <c r="M5092" s="46"/>
      <c r="R5092" s="51"/>
      <c r="S5092" s="51"/>
    </row>
    <row r="5093" spans="9:19" x14ac:dyDescent="0.25">
      <c r="I5093" s="1"/>
      <c r="J5093" s="71"/>
      <c r="M5093" s="46"/>
      <c r="R5093" s="51"/>
      <c r="S5093" s="51"/>
    </row>
    <row r="5094" spans="9:19" x14ac:dyDescent="0.25">
      <c r="I5094" s="1"/>
      <c r="J5094" s="71"/>
      <c r="M5094" s="46"/>
      <c r="R5094" s="51"/>
      <c r="S5094" s="51"/>
    </row>
    <row r="5095" spans="9:19" x14ac:dyDescent="0.25">
      <c r="I5095" s="1"/>
      <c r="J5095" s="71"/>
      <c r="M5095" s="46"/>
      <c r="R5095" s="51"/>
      <c r="S5095" s="51"/>
    </row>
    <row r="5096" spans="9:19" x14ac:dyDescent="0.25">
      <c r="I5096" s="1"/>
      <c r="J5096" s="71"/>
      <c r="M5096" s="46"/>
      <c r="R5096" s="51"/>
      <c r="S5096" s="51"/>
    </row>
    <row r="5097" spans="9:19" x14ac:dyDescent="0.25">
      <c r="I5097" s="1"/>
      <c r="J5097" s="71"/>
      <c r="M5097" s="46"/>
      <c r="R5097" s="51"/>
      <c r="S5097" s="51"/>
    </row>
    <row r="5098" spans="9:19" x14ac:dyDescent="0.25">
      <c r="I5098" s="1"/>
      <c r="J5098" s="71"/>
      <c r="M5098" s="46"/>
      <c r="R5098" s="51"/>
      <c r="S5098" s="51"/>
    </row>
    <row r="5099" spans="9:19" x14ac:dyDescent="0.25">
      <c r="I5099" s="1"/>
      <c r="J5099" s="71"/>
      <c r="M5099" s="46"/>
      <c r="R5099" s="51"/>
      <c r="S5099" s="51"/>
    </row>
    <row r="5100" spans="9:19" x14ac:dyDescent="0.25">
      <c r="I5100" s="1"/>
      <c r="J5100" s="71"/>
      <c r="M5100" s="46"/>
      <c r="R5100" s="51"/>
      <c r="S5100" s="51"/>
    </row>
    <row r="5101" spans="9:19" x14ac:dyDescent="0.25">
      <c r="I5101" s="1"/>
      <c r="J5101" s="71"/>
      <c r="M5101" s="46"/>
      <c r="R5101" s="51"/>
      <c r="S5101" s="51"/>
    </row>
    <row r="5102" spans="9:19" x14ac:dyDescent="0.25">
      <c r="I5102" s="1"/>
      <c r="J5102" s="71"/>
      <c r="M5102" s="46"/>
      <c r="R5102" s="51"/>
      <c r="S5102" s="51"/>
    </row>
    <row r="5103" spans="9:19" x14ac:dyDescent="0.25">
      <c r="I5103" s="1"/>
      <c r="J5103" s="71"/>
      <c r="M5103" s="46"/>
      <c r="R5103" s="51"/>
      <c r="S5103" s="51"/>
    </row>
    <row r="5104" spans="9:19" x14ac:dyDescent="0.25">
      <c r="I5104" s="1"/>
      <c r="J5104" s="71"/>
      <c r="M5104" s="46"/>
      <c r="R5104" s="51"/>
      <c r="S5104" s="51"/>
    </row>
    <row r="5105" spans="9:19" x14ac:dyDescent="0.25">
      <c r="I5105" s="1"/>
      <c r="J5105" s="71"/>
      <c r="M5105" s="46"/>
      <c r="R5105" s="51"/>
      <c r="S5105" s="51"/>
    </row>
    <row r="5106" spans="9:19" x14ac:dyDescent="0.25">
      <c r="I5106" s="1"/>
      <c r="J5106" s="71"/>
      <c r="M5106" s="46"/>
      <c r="R5106" s="51"/>
      <c r="S5106" s="51"/>
    </row>
    <row r="5107" spans="9:19" x14ac:dyDescent="0.25">
      <c r="I5107" s="1"/>
      <c r="J5107" s="71"/>
      <c r="M5107" s="46"/>
      <c r="R5107" s="51"/>
      <c r="S5107" s="51"/>
    </row>
    <row r="5108" spans="9:19" x14ac:dyDescent="0.25">
      <c r="I5108" s="1"/>
      <c r="J5108" s="71"/>
      <c r="M5108" s="46"/>
      <c r="R5108" s="51"/>
      <c r="S5108" s="51"/>
    </row>
    <row r="5109" spans="9:19" x14ac:dyDescent="0.25">
      <c r="I5109" s="1"/>
      <c r="J5109" s="71"/>
      <c r="M5109" s="46"/>
      <c r="R5109" s="51"/>
      <c r="S5109" s="51"/>
    </row>
    <row r="5110" spans="9:19" x14ac:dyDescent="0.25">
      <c r="I5110" s="1"/>
      <c r="J5110" s="71"/>
      <c r="M5110" s="46"/>
      <c r="R5110" s="51"/>
      <c r="S5110" s="51"/>
    </row>
    <row r="5111" spans="9:19" x14ac:dyDescent="0.25">
      <c r="I5111" s="1"/>
      <c r="J5111" s="71"/>
      <c r="M5111" s="46"/>
      <c r="R5111" s="51"/>
      <c r="S5111" s="51"/>
    </row>
    <row r="5112" spans="9:19" x14ac:dyDescent="0.25">
      <c r="I5112" s="1"/>
      <c r="J5112" s="71"/>
      <c r="M5112" s="46"/>
      <c r="R5112" s="51"/>
      <c r="S5112" s="51"/>
    </row>
    <row r="5113" spans="9:19" x14ac:dyDescent="0.25">
      <c r="I5113" s="1"/>
      <c r="J5113" s="71"/>
      <c r="M5113" s="46"/>
      <c r="R5113" s="51"/>
      <c r="S5113" s="51"/>
    </row>
    <row r="5114" spans="9:19" x14ac:dyDescent="0.25">
      <c r="I5114" s="1"/>
      <c r="J5114" s="71"/>
      <c r="M5114" s="46"/>
      <c r="R5114" s="51"/>
      <c r="S5114" s="51"/>
    </row>
    <row r="5115" spans="9:19" x14ac:dyDescent="0.25">
      <c r="I5115" s="1"/>
      <c r="J5115" s="71"/>
      <c r="M5115" s="46"/>
      <c r="R5115" s="51"/>
      <c r="S5115" s="51"/>
    </row>
    <row r="5116" spans="9:19" x14ac:dyDescent="0.25">
      <c r="I5116" s="1"/>
      <c r="J5116" s="71"/>
      <c r="M5116" s="46"/>
      <c r="R5116" s="51"/>
      <c r="S5116" s="51"/>
    </row>
    <row r="5117" spans="9:19" x14ac:dyDescent="0.25">
      <c r="I5117" s="1"/>
      <c r="J5117" s="71"/>
      <c r="M5117" s="46"/>
      <c r="R5117" s="51"/>
      <c r="S5117" s="51"/>
    </row>
    <row r="5118" spans="9:19" x14ac:dyDescent="0.25">
      <c r="I5118" s="1"/>
      <c r="J5118" s="71"/>
      <c r="M5118" s="46"/>
      <c r="R5118" s="51"/>
      <c r="S5118" s="51"/>
    </row>
    <row r="5119" spans="9:19" x14ac:dyDescent="0.25">
      <c r="I5119" s="1"/>
      <c r="J5119" s="71"/>
      <c r="M5119" s="46"/>
      <c r="R5119" s="51"/>
      <c r="S5119" s="51"/>
    </row>
    <row r="5120" spans="9:19" x14ac:dyDescent="0.25">
      <c r="I5120" s="1"/>
      <c r="J5120" s="71"/>
      <c r="M5120" s="46"/>
      <c r="R5120" s="51"/>
      <c r="S5120" s="51"/>
    </row>
    <row r="5121" spans="9:19" x14ac:dyDescent="0.25">
      <c r="I5121" s="1"/>
      <c r="J5121" s="71"/>
      <c r="M5121" s="46"/>
      <c r="R5121" s="51"/>
      <c r="S5121" s="51"/>
    </row>
    <row r="5122" spans="9:19" x14ac:dyDescent="0.25">
      <c r="I5122" s="1"/>
      <c r="J5122" s="71"/>
      <c r="M5122" s="46"/>
      <c r="R5122" s="51"/>
      <c r="S5122" s="51"/>
    </row>
    <row r="5123" spans="9:19" x14ac:dyDescent="0.25">
      <c r="I5123" s="1"/>
      <c r="J5123" s="71"/>
      <c r="M5123" s="46"/>
      <c r="R5123" s="51"/>
      <c r="S5123" s="51"/>
    </row>
    <row r="5124" spans="9:19" x14ac:dyDescent="0.25">
      <c r="I5124" s="1"/>
      <c r="J5124" s="71"/>
      <c r="M5124" s="46"/>
      <c r="R5124" s="51"/>
      <c r="S5124" s="51"/>
    </row>
    <row r="5125" spans="9:19" x14ac:dyDescent="0.25">
      <c r="I5125" s="1"/>
      <c r="J5125" s="71"/>
      <c r="M5125" s="46"/>
      <c r="R5125" s="51"/>
      <c r="S5125" s="51"/>
    </row>
    <row r="5126" spans="9:19" x14ac:dyDescent="0.25">
      <c r="I5126" s="1"/>
      <c r="J5126" s="71"/>
      <c r="M5126" s="46"/>
      <c r="R5126" s="51"/>
      <c r="S5126" s="51"/>
    </row>
    <row r="5127" spans="9:19" x14ac:dyDescent="0.25">
      <c r="I5127" s="1"/>
      <c r="J5127" s="71"/>
      <c r="M5127" s="46"/>
      <c r="R5127" s="51"/>
      <c r="S5127" s="51"/>
    </row>
    <row r="5128" spans="9:19" x14ac:dyDescent="0.25">
      <c r="I5128" s="1"/>
      <c r="J5128" s="71"/>
      <c r="M5128" s="46"/>
      <c r="R5128" s="51"/>
      <c r="S5128" s="51"/>
    </row>
    <row r="5129" spans="9:19" x14ac:dyDescent="0.25">
      <c r="I5129" s="1"/>
      <c r="J5129" s="71"/>
      <c r="M5129" s="46"/>
      <c r="R5129" s="51"/>
      <c r="S5129" s="51"/>
    </row>
    <row r="5130" spans="9:19" x14ac:dyDescent="0.25">
      <c r="I5130" s="1"/>
      <c r="J5130" s="71"/>
      <c r="M5130" s="46"/>
      <c r="R5130" s="51"/>
      <c r="S5130" s="51"/>
    </row>
    <row r="5131" spans="9:19" x14ac:dyDescent="0.25">
      <c r="I5131" s="1"/>
      <c r="J5131" s="71"/>
      <c r="M5131" s="46"/>
      <c r="R5131" s="51"/>
      <c r="S5131" s="51"/>
    </row>
    <row r="5132" spans="9:19" x14ac:dyDescent="0.25">
      <c r="I5132" s="1"/>
      <c r="J5132" s="71"/>
      <c r="M5132" s="46"/>
      <c r="R5132" s="51"/>
      <c r="S5132" s="51"/>
    </row>
    <row r="5133" spans="9:19" x14ac:dyDescent="0.25">
      <c r="I5133" s="1"/>
      <c r="J5133" s="71"/>
      <c r="M5133" s="46"/>
      <c r="R5133" s="51"/>
      <c r="S5133" s="51"/>
    </row>
    <row r="5134" spans="9:19" x14ac:dyDescent="0.25">
      <c r="I5134" s="1"/>
      <c r="J5134" s="71"/>
      <c r="M5134" s="46"/>
      <c r="R5134" s="51"/>
      <c r="S5134" s="51"/>
    </row>
    <row r="5135" spans="9:19" x14ac:dyDescent="0.25">
      <c r="I5135" s="1"/>
      <c r="J5135" s="71"/>
      <c r="M5135" s="46"/>
      <c r="R5135" s="51"/>
      <c r="S5135" s="51"/>
    </row>
    <row r="5136" spans="9:19" x14ac:dyDescent="0.25">
      <c r="I5136" s="1"/>
      <c r="J5136" s="71"/>
      <c r="M5136" s="46"/>
      <c r="R5136" s="51"/>
      <c r="S5136" s="51"/>
    </row>
    <row r="5137" spans="9:19" x14ac:dyDescent="0.25">
      <c r="I5137" s="1"/>
      <c r="J5137" s="71"/>
      <c r="M5137" s="46"/>
      <c r="R5137" s="51"/>
      <c r="S5137" s="51"/>
    </row>
    <row r="5138" spans="9:19" x14ac:dyDescent="0.25">
      <c r="I5138" s="1"/>
      <c r="J5138" s="71"/>
      <c r="M5138" s="46"/>
      <c r="R5138" s="51"/>
      <c r="S5138" s="51"/>
    </row>
    <row r="5139" spans="9:19" x14ac:dyDescent="0.25">
      <c r="I5139" s="1"/>
      <c r="J5139" s="71"/>
      <c r="M5139" s="46"/>
      <c r="R5139" s="51"/>
      <c r="S5139" s="51"/>
    </row>
    <row r="5140" spans="9:19" x14ac:dyDescent="0.25">
      <c r="I5140" s="1"/>
      <c r="J5140" s="71"/>
      <c r="M5140" s="46"/>
      <c r="R5140" s="51"/>
      <c r="S5140" s="51"/>
    </row>
    <row r="5141" spans="9:19" x14ac:dyDescent="0.25">
      <c r="I5141" s="1"/>
      <c r="J5141" s="71"/>
      <c r="M5141" s="46"/>
      <c r="R5141" s="51"/>
      <c r="S5141" s="51"/>
    </row>
    <row r="5142" spans="9:19" x14ac:dyDescent="0.25">
      <c r="I5142" s="1"/>
      <c r="J5142" s="71"/>
      <c r="M5142" s="46"/>
      <c r="R5142" s="51"/>
      <c r="S5142" s="51"/>
    </row>
    <row r="5143" spans="9:19" x14ac:dyDescent="0.25">
      <c r="I5143" s="1"/>
      <c r="J5143" s="71"/>
      <c r="M5143" s="46"/>
      <c r="R5143" s="51"/>
      <c r="S5143" s="51"/>
    </row>
    <row r="5144" spans="9:19" x14ac:dyDescent="0.25">
      <c r="I5144" s="1"/>
      <c r="J5144" s="71"/>
      <c r="M5144" s="46"/>
      <c r="R5144" s="51"/>
      <c r="S5144" s="51"/>
    </row>
    <row r="5145" spans="9:19" x14ac:dyDescent="0.25">
      <c r="I5145" s="1"/>
      <c r="J5145" s="71"/>
      <c r="M5145" s="46"/>
      <c r="R5145" s="51"/>
      <c r="S5145" s="51"/>
    </row>
    <row r="5146" spans="9:19" x14ac:dyDescent="0.25">
      <c r="I5146" s="1"/>
      <c r="J5146" s="71"/>
      <c r="M5146" s="46"/>
      <c r="R5146" s="51"/>
      <c r="S5146" s="51"/>
    </row>
    <row r="5147" spans="9:19" x14ac:dyDescent="0.25">
      <c r="I5147" s="1"/>
      <c r="J5147" s="71"/>
      <c r="M5147" s="46"/>
      <c r="R5147" s="51"/>
      <c r="S5147" s="51"/>
    </row>
    <row r="5148" spans="9:19" x14ac:dyDescent="0.25">
      <c r="I5148" s="1"/>
      <c r="J5148" s="71"/>
      <c r="M5148" s="46"/>
      <c r="R5148" s="51"/>
      <c r="S5148" s="51"/>
    </row>
    <row r="5149" spans="9:19" x14ac:dyDescent="0.25">
      <c r="I5149" s="1"/>
      <c r="J5149" s="71"/>
      <c r="M5149" s="46"/>
      <c r="R5149" s="51"/>
      <c r="S5149" s="51"/>
    </row>
    <row r="5150" spans="9:19" x14ac:dyDescent="0.25">
      <c r="I5150" s="1"/>
      <c r="J5150" s="71"/>
      <c r="M5150" s="46"/>
      <c r="R5150" s="51"/>
      <c r="S5150" s="51"/>
    </row>
    <row r="5151" spans="9:19" x14ac:dyDescent="0.25">
      <c r="I5151" s="1"/>
      <c r="J5151" s="71"/>
      <c r="M5151" s="46"/>
      <c r="R5151" s="51"/>
      <c r="S5151" s="51"/>
    </row>
    <row r="5152" spans="9:19" x14ac:dyDescent="0.25">
      <c r="I5152" s="1"/>
      <c r="J5152" s="71"/>
      <c r="M5152" s="46"/>
      <c r="R5152" s="51"/>
      <c r="S5152" s="51"/>
    </row>
    <row r="5153" spans="9:19" x14ac:dyDescent="0.25">
      <c r="I5153" s="1"/>
      <c r="J5153" s="71"/>
      <c r="M5153" s="46"/>
      <c r="R5153" s="51"/>
      <c r="S5153" s="51"/>
    </row>
    <row r="5154" spans="9:19" x14ac:dyDescent="0.25">
      <c r="I5154" s="1"/>
      <c r="J5154" s="71"/>
      <c r="M5154" s="46"/>
      <c r="R5154" s="51"/>
      <c r="S5154" s="51"/>
    </row>
    <row r="5155" spans="9:19" x14ac:dyDescent="0.25">
      <c r="I5155" s="1"/>
      <c r="J5155" s="71"/>
      <c r="M5155" s="46"/>
      <c r="R5155" s="51"/>
      <c r="S5155" s="51"/>
    </row>
    <row r="5156" spans="9:19" x14ac:dyDescent="0.25">
      <c r="I5156" s="1"/>
      <c r="J5156" s="71"/>
      <c r="M5156" s="46"/>
      <c r="R5156" s="51"/>
      <c r="S5156" s="51"/>
    </row>
    <row r="5157" spans="9:19" x14ac:dyDescent="0.25">
      <c r="I5157" s="1"/>
      <c r="J5157" s="71"/>
      <c r="M5157" s="46"/>
      <c r="R5157" s="51"/>
      <c r="S5157" s="51"/>
    </row>
    <row r="5158" spans="9:19" x14ac:dyDescent="0.25">
      <c r="I5158" s="1"/>
      <c r="J5158" s="71"/>
      <c r="M5158" s="46"/>
      <c r="R5158" s="51"/>
      <c r="S5158" s="51"/>
    </row>
    <row r="5159" spans="9:19" x14ac:dyDescent="0.25">
      <c r="I5159" s="1"/>
      <c r="J5159" s="71"/>
      <c r="M5159" s="46"/>
      <c r="R5159" s="51"/>
      <c r="S5159" s="51"/>
    </row>
    <row r="5160" spans="9:19" x14ac:dyDescent="0.25">
      <c r="I5160" s="1"/>
      <c r="J5160" s="71"/>
      <c r="M5160" s="46"/>
      <c r="R5160" s="51"/>
      <c r="S5160" s="51"/>
    </row>
    <row r="5161" spans="9:19" x14ac:dyDescent="0.25">
      <c r="I5161" s="1"/>
      <c r="J5161" s="71"/>
      <c r="M5161" s="46"/>
      <c r="R5161" s="51"/>
      <c r="S5161" s="51"/>
    </row>
    <row r="5162" spans="9:19" x14ac:dyDescent="0.25">
      <c r="I5162" s="1"/>
      <c r="J5162" s="71"/>
      <c r="M5162" s="46"/>
      <c r="R5162" s="51"/>
      <c r="S5162" s="51"/>
    </row>
    <row r="5163" spans="9:19" x14ac:dyDescent="0.25">
      <c r="I5163" s="1"/>
      <c r="J5163" s="71"/>
      <c r="M5163" s="46"/>
      <c r="R5163" s="51"/>
      <c r="S5163" s="51"/>
    </row>
    <row r="5164" spans="9:19" x14ac:dyDescent="0.25">
      <c r="I5164" s="1"/>
      <c r="J5164" s="71"/>
      <c r="M5164" s="46"/>
      <c r="R5164" s="51"/>
      <c r="S5164" s="51"/>
    </row>
    <row r="5165" spans="9:19" x14ac:dyDescent="0.25">
      <c r="I5165" s="1"/>
      <c r="J5165" s="71"/>
      <c r="M5165" s="46"/>
      <c r="R5165" s="51"/>
      <c r="S5165" s="51"/>
    </row>
    <row r="5166" spans="9:19" x14ac:dyDescent="0.25">
      <c r="I5166" s="1"/>
      <c r="J5166" s="71"/>
      <c r="M5166" s="46"/>
      <c r="R5166" s="51"/>
      <c r="S5166" s="51"/>
    </row>
    <row r="5167" spans="9:19" x14ac:dyDescent="0.25">
      <c r="I5167" s="1"/>
      <c r="J5167" s="71"/>
      <c r="M5167" s="46"/>
      <c r="R5167" s="51"/>
      <c r="S5167" s="51"/>
    </row>
    <row r="5168" spans="9:19" x14ac:dyDescent="0.25">
      <c r="I5168" s="1"/>
      <c r="J5168" s="71"/>
      <c r="M5168" s="46"/>
      <c r="R5168" s="51"/>
      <c r="S5168" s="51"/>
    </row>
    <row r="5169" spans="9:19" x14ac:dyDescent="0.25">
      <c r="I5169" s="1"/>
      <c r="J5169" s="71"/>
      <c r="M5169" s="46"/>
      <c r="R5169" s="51"/>
      <c r="S5169" s="51"/>
    </row>
    <row r="5170" spans="9:19" x14ac:dyDescent="0.25">
      <c r="I5170" s="1"/>
      <c r="J5170" s="71"/>
      <c r="M5170" s="46"/>
      <c r="R5170" s="51"/>
      <c r="S5170" s="51"/>
    </row>
    <row r="5171" spans="9:19" x14ac:dyDescent="0.25">
      <c r="I5171" s="1"/>
      <c r="J5171" s="71"/>
      <c r="M5171" s="46"/>
      <c r="R5171" s="51"/>
      <c r="S5171" s="51"/>
    </row>
    <row r="5172" spans="9:19" x14ac:dyDescent="0.25">
      <c r="I5172" s="1"/>
      <c r="J5172" s="71"/>
      <c r="M5172" s="46"/>
      <c r="R5172" s="51"/>
      <c r="S5172" s="51"/>
    </row>
    <row r="5173" spans="9:19" x14ac:dyDescent="0.25">
      <c r="I5173" s="1"/>
      <c r="J5173" s="71"/>
      <c r="M5173" s="46"/>
      <c r="R5173" s="51"/>
      <c r="S5173" s="51"/>
    </row>
    <row r="5174" spans="9:19" x14ac:dyDescent="0.25">
      <c r="I5174" s="1"/>
      <c r="J5174" s="71"/>
      <c r="M5174" s="46"/>
      <c r="R5174" s="51"/>
      <c r="S5174" s="51"/>
    </row>
    <row r="5175" spans="9:19" x14ac:dyDescent="0.25">
      <c r="I5175" s="1"/>
      <c r="J5175" s="71"/>
      <c r="M5175" s="46"/>
      <c r="R5175" s="51"/>
      <c r="S5175" s="51"/>
    </row>
    <row r="5176" spans="9:19" x14ac:dyDescent="0.25">
      <c r="I5176" s="1"/>
      <c r="J5176" s="71"/>
      <c r="M5176" s="46"/>
      <c r="R5176" s="51"/>
      <c r="S5176" s="51"/>
    </row>
    <row r="5177" spans="9:19" x14ac:dyDescent="0.25">
      <c r="I5177" s="1"/>
      <c r="J5177" s="71"/>
      <c r="M5177" s="46"/>
      <c r="R5177" s="51"/>
      <c r="S5177" s="51"/>
    </row>
    <row r="5178" spans="9:19" x14ac:dyDescent="0.25">
      <c r="I5178" s="1"/>
      <c r="J5178" s="71"/>
      <c r="M5178" s="46"/>
      <c r="R5178" s="51"/>
      <c r="S5178" s="51"/>
    </row>
    <row r="5179" spans="9:19" x14ac:dyDescent="0.25">
      <c r="I5179" s="1"/>
      <c r="J5179" s="71"/>
      <c r="M5179" s="46"/>
      <c r="R5179" s="51"/>
      <c r="S5179" s="51"/>
    </row>
    <row r="5180" spans="9:19" x14ac:dyDescent="0.25">
      <c r="I5180" s="1"/>
      <c r="J5180" s="71"/>
      <c r="M5180" s="46"/>
      <c r="R5180" s="51"/>
      <c r="S5180" s="51"/>
    </row>
    <row r="5181" spans="9:19" x14ac:dyDescent="0.25">
      <c r="I5181" s="1"/>
      <c r="J5181" s="71"/>
      <c r="M5181" s="46"/>
      <c r="R5181" s="51"/>
      <c r="S5181" s="51"/>
    </row>
    <row r="5182" spans="9:19" x14ac:dyDescent="0.25">
      <c r="I5182" s="1"/>
      <c r="J5182" s="71"/>
      <c r="M5182" s="46"/>
      <c r="R5182" s="51"/>
      <c r="S5182" s="51"/>
    </row>
    <row r="5183" spans="9:19" x14ac:dyDescent="0.25">
      <c r="I5183" s="1"/>
      <c r="J5183" s="71"/>
      <c r="M5183" s="46"/>
      <c r="R5183" s="51"/>
      <c r="S5183" s="51"/>
    </row>
    <row r="5184" spans="9:19" x14ac:dyDescent="0.25">
      <c r="I5184" s="1"/>
      <c r="J5184" s="71"/>
      <c r="M5184" s="46"/>
      <c r="R5184" s="51"/>
      <c r="S5184" s="51"/>
    </row>
    <row r="5185" spans="9:19" x14ac:dyDescent="0.25">
      <c r="I5185" s="1"/>
      <c r="J5185" s="71"/>
      <c r="M5185" s="46"/>
      <c r="R5185" s="51"/>
      <c r="S5185" s="51"/>
    </row>
    <row r="5186" spans="9:19" x14ac:dyDescent="0.25">
      <c r="I5186" s="1"/>
      <c r="J5186" s="71"/>
      <c r="M5186" s="46"/>
      <c r="R5186" s="51"/>
      <c r="S5186" s="51"/>
    </row>
    <row r="5187" spans="9:19" x14ac:dyDescent="0.25">
      <c r="I5187" s="1"/>
      <c r="J5187" s="71"/>
      <c r="M5187" s="46"/>
      <c r="R5187" s="51"/>
      <c r="S5187" s="51"/>
    </row>
    <row r="5188" spans="9:19" x14ac:dyDescent="0.25">
      <c r="I5188" s="1"/>
      <c r="J5188" s="71"/>
      <c r="M5188" s="46"/>
      <c r="R5188" s="51"/>
      <c r="S5188" s="51"/>
    </row>
    <row r="5189" spans="9:19" x14ac:dyDescent="0.25">
      <c r="I5189" s="1"/>
      <c r="J5189" s="71"/>
      <c r="M5189" s="46"/>
      <c r="R5189" s="51"/>
      <c r="S5189" s="51"/>
    </row>
    <row r="5190" spans="9:19" x14ac:dyDescent="0.25">
      <c r="I5190" s="1"/>
      <c r="J5190" s="71"/>
      <c r="M5190" s="46"/>
      <c r="R5190" s="51"/>
      <c r="S5190" s="51"/>
    </row>
    <row r="5191" spans="9:19" x14ac:dyDescent="0.25">
      <c r="I5191" s="1"/>
      <c r="J5191" s="71"/>
      <c r="M5191" s="46"/>
      <c r="R5191" s="51"/>
      <c r="S5191" s="51"/>
    </row>
    <row r="5192" spans="9:19" x14ac:dyDescent="0.25">
      <c r="I5192" s="1"/>
      <c r="J5192" s="71"/>
      <c r="M5192" s="46"/>
      <c r="R5192" s="51"/>
      <c r="S5192" s="51"/>
    </row>
    <row r="5193" spans="9:19" x14ac:dyDescent="0.25">
      <c r="I5193" s="1"/>
      <c r="J5193" s="71"/>
      <c r="M5193" s="46"/>
      <c r="R5193" s="51"/>
      <c r="S5193" s="51"/>
    </row>
    <row r="5194" spans="9:19" x14ac:dyDescent="0.25">
      <c r="I5194" s="1"/>
      <c r="J5194" s="71"/>
      <c r="M5194" s="46"/>
      <c r="R5194" s="51"/>
      <c r="S5194" s="51"/>
    </row>
    <row r="5195" spans="9:19" x14ac:dyDescent="0.25">
      <c r="I5195" s="1"/>
      <c r="J5195" s="71"/>
      <c r="M5195" s="46"/>
      <c r="R5195" s="51"/>
      <c r="S5195" s="51"/>
    </row>
    <row r="5196" spans="9:19" x14ac:dyDescent="0.25">
      <c r="I5196" s="1"/>
      <c r="J5196" s="71"/>
      <c r="M5196" s="46"/>
      <c r="R5196" s="51"/>
      <c r="S5196" s="51"/>
    </row>
    <row r="5197" spans="9:19" x14ac:dyDescent="0.25">
      <c r="I5197" s="1"/>
      <c r="J5197" s="71"/>
      <c r="M5197" s="46"/>
      <c r="R5197" s="51"/>
      <c r="S5197" s="51"/>
    </row>
    <row r="5198" spans="9:19" x14ac:dyDescent="0.25">
      <c r="I5198" s="1"/>
      <c r="J5198" s="71"/>
      <c r="M5198" s="46"/>
      <c r="R5198" s="51"/>
      <c r="S5198" s="51"/>
    </row>
    <row r="5199" spans="9:19" x14ac:dyDescent="0.25">
      <c r="I5199" s="1"/>
      <c r="J5199" s="71"/>
      <c r="M5199" s="46"/>
      <c r="R5199" s="51"/>
      <c r="S5199" s="51"/>
    </row>
    <row r="5200" spans="9:19" x14ac:dyDescent="0.25">
      <c r="I5200" s="1"/>
      <c r="J5200" s="71"/>
      <c r="M5200" s="46"/>
      <c r="R5200" s="51"/>
      <c r="S5200" s="51"/>
    </row>
    <row r="5201" spans="9:19" x14ac:dyDescent="0.25">
      <c r="I5201" s="1"/>
      <c r="J5201" s="71"/>
      <c r="M5201" s="46"/>
      <c r="R5201" s="51"/>
      <c r="S5201" s="51"/>
    </row>
    <row r="5202" spans="9:19" x14ac:dyDescent="0.25">
      <c r="I5202" s="1"/>
      <c r="J5202" s="71"/>
      <c r="M5202" s="46"/>
      <c r="R5202" s="51"/>
      <c r="S5202" s="51"/>
    </row>
    <row r="5203" spans="9:19" x14ac:dyDescent="0.25">
      <c r="I5203" s="1"/>
      <c r="J5203" s="71"/>
      <c r="M5203" s="46"/>
      <c r="R5203" s="51"/>
      <c r="S5203" s="51"/>
    </row>
    <row r="5204" spans="9:19" x14ac:dyDescent="0.25">
      <c r="I5204" s="1"/>
      <c r="J5204" s="71"/>
      <c r="M5204" s="46"/>
      <c r="R5204" s="51"/>
      <c r="S5204" s="51"/>
    </row>
    <row r="5205" spans="9:19" x14ac:dyDescent="0.25">
      <c r="I5205" s="1"/>
      <c r="J5205" s="71"/>
      <c r="M5205" s="46"/>
      <c r="R5205" s="51"/>
      <c r="S5205" s="51"/>
    </row>
    <row r="5206" spans="9:19" x14ac:dyDescent="0.25">
      <c r="I5206" s="1"/>
      <c r="J5206" s="71"/>
      <c r="M5206" s="46"/>
      <c r="R5206" s="51"/>
      <c r="S5206" s="51"/>
    </row>
    <row r="5207" spans="9:19" x14ac:dyDescent="0.25">
      <c r="I5207" s="1"/>
      <c r="J5207" s="71"/>
      <c r="M5207" s="46"/>
      <c r="R5207" s="51"/>
      <c r="S5207" s="51"/>
    </row>
    <row r="5208" spans="9:19" x14ac:dyDescent="0.25">
      <c r="I5208" s="1"/>
      <c r="J5208" s="71"/>
      <c r="M5208" s="46"/>
      <c r="R5208" s="51"/>
      <c r="S5208" s="51"/>
    </row>
    <row r="5209" spans="9:19" x14ac:dyDescent="0.25">
      <c r="I5209" s="1"/>
      <c r="J5209" s="71"/>
      <c r="M5209" s="46"/>
      <c r="R5209" s="51"/>
      <c r="S5209" s="51"/>
    </row>
    <row r="5210" spans="9:19" x14ac:dyDescent="0.25">
      <c r="I5210" s="1"/>
      <c r="J5210" s="71"/>
      <c r="M5210" s="46"/>
      <c r="R5210" s="51"/>
      <c r="S5210" s="51"/>
    </row>
    <row r="5211" spans="9:19" x14ac:dyDescent="0.25">
      <c r="I5211" s="1"/>
      <c r="J5211" s="71"/>
      <c r="M5211" s="46"/>
      <c r="R5211" s="51"/>
      <c r="S5211" s="51"/>
    </row>
    <row r="5212" spans="9:19" x14ac:dyDescent="0.25">
      <c r="I5212" s="1"/>
      <c r="J5212" s="71"/>
      <c r="M5212" s="46"/>
      <c r="R5212" s="51"/>
      <c r="S5212" s="51"/>
    </row>
    <row r="5213" spans="9:19" x14ac:dyDescent="0.25">
      <c r="I5213" s="1"/>
      <c r="J5213" s="71"/>
      <c r="M5213" s="46"/>
      <c r="R5213" s="51"/>
      <c r="S5213" s="51"/>
    </row>
    <row r="5214" spans="9:19" x14ac:dyDescent="0.25">
      <c r="I5214" s="1"/>
      <c r="J5214" s="71"/>
      <c r="M5214" s="46"/>
      <c r="R5214" s="51"/>
      <c r="S5214" s="51"/>
    </row>
    <row r="5215" spans="9:19" x14ac:dyDescent="0.25">
      <c r="I5215" s="1"/>
      <c r="J5215" s="71"/>
      <c r="M5215" s="46"/>
      <c r="R5215" s="51"/>
      <c r="S5215" s="51"/>
    </row>
    <row r="5216" spans="9:19" x14ac:dyDescent="0.25">
      <c r="I5216" s="1"/>
      <c r="J5216" s="71"/>
      <c r="M5216" s="46"/>
      <c r="R5216" s="51"/>
      <c r="S5216" s="51"/>
    </row>
    <row r="5217" spans="9:19" x14ac:dyDescent="0.25">
      <c r="I5217" s="1"/>
      <c r="J5217" s="71"/>
      <c r="M5217" s="46"/>
      <c r="R5217" s="51"/>
      <c r="S5217" s="51"/>
    </row>
    <row r="5218" spans="9:19" x14ac:dyDescent="0.25">
      <c r="I5218" s="1"/>
      <c r="J5218" s="71"/>
      <c r="M5218" s="46"/>
      <c r="R5218" s="51"/>
      <c r="S5218" s="51"/>
    </row>
    <row r="5219" spans="9:19" x14ac:dyDescent="0.25">
      <c r="I5219" s="1"/>
      <c r="J5219" s="71"/>
      <c r="M5219" s="46"/>
      <c r="R5219" s="51"/>
      <c r="S5219" s="51"/>
    </row>
    <row r="5220" spans="9:19" x14ac:dyDescent="0.25">
      <c r="I5220" s="1"/>
      <c r="J5220" s="71"/>
      <c r="M5220" s="46"/>
      <c r="R5220" s="51"/>
      <c r="S5220" s="51"/>
    </row>
    <row r="5221" spans="9:19" x14ac:dyDescent="0.25">
      <c r="I5221" s="1"/>
      <c r="J5221" s="71"/>
      <c r="M5221" s="46"/>
      <c r="R5221" s="51"/>
      <c r="S5221" s="51"/>
    </row>
    <row r="5222" spans="9:19" x14ac:dyDescent="0.25">
      <c r="I5222" s="1"/>
      <c r="J5222" s="71"/>
      <c r="M5222" s="46"/>
      <c r="R5222" s="51"/>
      <c r="S5222" s="51"/>
    </row>
    <row r="5223" spans="9:19" x14ac:dyDescent="0.25">
      <c r="I5223" s="1"/>
      <c r="J5223" s="71"/>
      <c r="M5223" s="46"/>
      <c r="R5223" s="51"/>
      <c r="S5223" s="51"/>
    </row>
    <row r="5224" spans="9:19" x14ac:dyDescent="0.25">
      <c r="I5224" s="1"/>
      <c r="J5224" s="71"/>
      <c r="M5224" s="46"/>
      <c r="R5224" s="51"/>
      <c r="S5224" s="51"/>
    </row>
    <row r="5225" spans="9:19" x14ac:dyDescent="0.25">
      <c r="I5225" s="1"/>
      <c r="J5225" s="71"/>
      <c r="M5225" s="46"/>
      <c r="R5225" s="51"/>
      <c r="S5225" s="51"/>
    </row>
    <row r="5226" spans="9:19" x14ac:dyDescent="0.25">
      <c r="I5226" s="1"/>
      <c r="J5226" s="71"/>
      <c r="M5226" s="46"/>
      <c r="R5226" s="51"/>
      <c r="S5226" s="51"/>
    </row>
    <row r="5227" spans="9:19" x14ac:dyDescent="0.25">
      <c r="I5227" s="1"/>
      <c r="J5227" s="71"/>
      <c r="M5227" s="46"/>
      <c r="R5227" s="51"/>
      <c r="S5227" s="51"/>
    </row>
    <row r="5228" spans="9:19" x14ac:dyDescent="0.25">
      <c r="I5228" s="1"/>
      <c r="J5228" s="71"/>
      <c r="M5228" s="46"/>
      <c r="R5228" s="51"/>
      <c r="S5228" s="51"/>
    </row>
    <row r="5229" spans="9:19" x14ac:dyDescent="0.25">
      <c r="I5229" s="1"/>
      <c r="J5229" s="71"/>
      <c r="M5229" s="46"/>
      <c r="R5229" s="51"/>
      <c r="S5229" s="51"/>
    </row>
    <row r="5230" spans="9:19" x14ac:dyDescent="0.25">
      <c r="I5230" s="1"/>
      <c r="J5230" s="71"/>
      <c r="M5230" s="46"/>
      <c r="R5230" s="51"/>
      <c r="S5230" s="51"/>
    </row>
    <row r="5231" spans="9:19" x14ac:dyDescent="0.25">
      <c r="I5231" s="1"/>
      <c r="J5231" s="71"/>
      <c r="M5231" s="46"/>
      <c r="R5231" s="51"/>
      <c r="S5231" s="51"/>
    </row>
    <row r="5232" spans="9:19" x14ac:dyDescent="0.25">
      <c r="I5232" s="1"/>
      <c r="J5232" s="71"/>
      <c r="M5232" s="46"/>
      <c r="R5232" s="51"/>
      <c r="S5232" s="51"/>
    </row>
    <row r="5233" spans="9:19" x14ac:dyDescent="0.25">
      <c r="I5233" s="1"/>
      <c r="J5233" s="71"/>
      <c r="M5233" s="46"/>
      <c r="R5233" s="51"/>
      <c r="S5233" s="51"/>
    </row>
    <row r="5234" spans="9:19" x14ac:dyDescent="0.25">
      <c r="I5234" s="1"/>
      <c r="J5234" s="71"/>
      <c r="M5234" s="46"/>
      <c r="R5234" s="51"/>
      <c r="S5234" s="51"/>
    </row>
    <row r="5235" spans="9:19" x14ac:dyDescent="0.25">
      <c r="I5235" s="1"/>
      <c r="J5235" s="71"/>
      <c r="M5235" s="46"/>
      <c r="R5235" s="51"/>
      <c r="S5235" s="51"/>
    </row>
    <row r="5236" spans="9:19" x14ac:dyDescent="0.25">
      <c r="I5236" s="1"/>
      <c r="J5236" s="71"/>
      <c r="M5236" s="46"/>
      <c r="R5236" s="51"/>
      <c r="S5236" s="51"/>
    </row>
    <row r="5237" spans="9:19" x14ac:dyDescent="0.25">
      <c r="I5237" s="1"/>
      <c r="J5237" s="71"/>
      <c r="M5237" s="46"/>
      <c r="R5237" s="51"/>
      <c r="S5237" s="51"/>
    </row>
    <row r="5238" spans="9:19" x14ac:dyDescent="0.25">
      <c r="I5238" s="1"/>
      <c r="J5238" s="71"/>
      <c r="M5238" s="46"/>
      <c r="R5238" s="51"/>
      <c r="S5238" s="51"/>
    </row>
    <row r="5239" spans="9:19" x14ac:dyDescent="0.25">
      <c r="I5239" s="1"/>
      <c r="J5239" s="71"/>
      <c r="M5239" s="46"/>
      <c r="R5239" s="51"/>
      <c r="S5239" s="51"/>
    </row>
    <row r="5240" spans="9:19" x14ac:dyDescent="0.25">
      <c r="I5240" s="1"/>
      <c r="J5240" s="71"/>
      <c r="M5240" s="46"/>
      <c r="R5240" s="51"/>
      <c r="S5240" s="51"/>
    </row>
    <row r="5241" spans="9:19" x14ac:dyDescent="0.25">
      <c r="I5241" s="1"/>
      <c r="J5241" s="71"/>
      <c r="M5241" s="46"/>
      <c r="R5241" s="51"/>
      <c r="S5241" s="51"/>
    </row>
    <row r="5242" spans="9:19" x14ac:dyDescent="0.25">
      <c r="I5242" s="1"/>
      <c r="J5242" s="71"/>
      <c r="M5242" s="46"/>
      <c r="R5242" s="51"/>
      <c r="S5242" s="51"/>
    </row>
    <row r="5243" spans="9:19" x14ac:dyDescent="0.25">
      <c r="I5243" s="1"/>
      <c r="J5243" s="71"/>
      <c r="M5243" s="46"/>
      <c r="R5243" s="51"/>
      <c r="S5243" s="51"/>
    </row>
    <row r="5244" spans="9:19" x14ac:dyDescent="0.25">
      <c r="I5244" s="1"/>
      <c r="J5244" s="71"/>
      <c r="M5244" s="46"/>
      <c r="R5244" s="51"/>
      <c r="S5244" s="51"/>
    </row>
    <row r="5245" spans="9:19" x14ac:dyDescent="0.25">
      <c r="I5245" s="1"/>
      <c r="J5245" s="71"/>
      <c r="M5245" s="46"/>
      <c r="R5245" s="51"/>
      <c r="S5245" s="51"/>
    </row>
    <row r="5246" spans="9:19" x14ac:dyDescent="0.25">
      <c r="I5246" s="1"/>
      <c r="J5246" s="71"/>
      <c r="M5246" s="46"/>
      <c r="R5246" s="51"/>
      <c r="S5246" s="51"/>
    </row>
    <row r="5247" spans="9:19" x14ac:dyDescent="0.25">
      <c r="I5247" s="1"/>
      <c r="J5247" s="71"/>
      <c r="M5247" s="46"/>
      <c r="R5247" s="51"/>
      <c r="S5247" s="51"/>
    </row>
    <row r="5248" spans="9:19" x14ac:dyDescent="0.25">
      <c r="I5248" s="1"/>
      <c r="J5248" s="71"/>
      <c r="M5248" s="46"/>
      <c r="R5248" s="51"/>
      <c r="S5248" s="51"/>
    </row>
    <row r="5249" spans="9:19" x14ac:dyDescent="0.25">
      <c r="I5249" s="1"/>
      <c r="J5249" s="71"/>
      <c r="M5249" s="46"/>
      <c r="R5249" s="51"/>
      <c r="S5249" s="51"/>
    </row>
    <row r="5250" spans="9:19" x14ac:dyDescent="0.25">
      <c r="I5250" s="1"/>
      <c r="J5250" s="71"/>
      <c r="M5250" s="46"/>
      <c r="R5250" s="51"/>
      <c r="S5250" s="51"/>
    </row>
    <row r="5251" spans="9:19" x14ac:dyDescent="0.25">
      <c r="I5251" s="1"/>
      <c r="J5251" s="71"/>
      <c r="M5251" s="46"/>
      <c r="R5251" s="51"/>
      <c r="S5251" s="51"/>
    </row>
    <row r="5252" spans="9:19" x14ac:dyDescent="0.25">
      <c r="I5252" s="1"/>
      <c r="J5252" s="71"/>
      <c r="M5252" s="46"/>
      <c r="R5252" s="51"/>
      <c r="S5252" s="51"/>
    </row>
    <row r="5253" spans="9:19" x14ac:dyDescent="0.25">
      <c r="I5253" s="1"/>
      <c r="J5253" s="71"/>
      <c r="M5253" s="46"/>
      <c r="R5253" s="51"/>
      <c r="S5253" s="51"/>
    </row>
    <row r="5254" spans="9:19" x14ac:dyDescent="0.25">
      <c r="I5254" s="1"/>
      <c r="J5254" s="71"/>
      <c r="M5254" s="46"/>
      <c r="R5254" s="51"/>
      <c r="S5254" s="51"/>
    </row>
    <row r="5255" spans="9:19" x14ac:dyDescent="0.25">
      <c r="I5255" s="1"/>
      <c r="J5255" s="71"/>
      <c r="M5255" s="46"/>
      <c r="R5255" s="51"/>
      <c r="S5255" s="51"/>
    </row>
    <row r="5256" spans="9:19" x14ac:dyDescent="0.25">
      <c r="I5256" s="1"/>
      <c r="J5256" s="71"/>
      <c r="M5256" s="46"/>
      <c r="R5256" s="51"/>
      <c r="S5256" s="51"/>
    </row>
    <row r="5257" spans="9:19" x14ac:dyDescent="0.25">
      <c r="I5257" s="1"/>
      <c r="J5257" s="71"/>
      <c r="M5257" s="46"/>
      <c r="R5257" s="51"/>
      <c r="S5257" s="51"/>
    </row>
    <row r="5258" spans="9:19" x14ac:dyDescent="0.25">
      <c r="I5258" s="1"/>
      <c r="J5258" s="71"/>
      <c r="M5258" s="46"/>
      <c r="R5258" s="51"/>
      <c r="S5258" s="51"/>
    </row>
    <row r="5259" spans="9:19" x14ac:dyDescent="0.25">
      <c r="I5259" s="1"/>
      <c r="J5259" s="71"/>
      <c r="M5259" s="46"/>
      <c r="R5259" s="51"/>
      <c r="S5259" s="51"/>
    </row>
    <row r="5260" spans="9:19" x14ac:dyDescent="0.25">
      <c r="I5260" s="1"/>
      <c r="J5260" s="71"/>
      <c r="M5260" s="46"/>
      <c r="R5260" s="51"/>
      <c r="S5260" s="51"/>
    </row>
    <row r="5261" spans="9:19" x14ac:dyDescent="0.25">
      <c r="I5261" s="1"/>
      <c r="J5261" s="71"/>
      <c r="M5261" s="46"/>
      <c r="R5261" s="51"/>
      <c r="S5261" s="51"/>
    </row>
    <row r="5262" spans="9:19" x14ac:dyDescent="0.25">
      <c r="I5262" s="1"/>
      <c r="J5262" s="71"/>
      <c r="M5262" s="46"/>
      <c r="R5262" s="51"/>
      <c r="S5262" s="51"/>
    </row>
    <row r="5263" spans="9:19" x14ac:dyDescent="0.25">
      <c r="I5263" s="1"/>
      <c r="J5263" s="71"/>
      <c r="M5263" s="46"/>
      <c r="R5263" s="51"/>
      <c r="S5263" s="51"/>
    </row>
    <row r="5264" spans="9:19" x14ac:dyDescent="0.25">
      <c r="I5264" s="1"/>
      <c r="J5264" s="71"/>
      <c r="M5264" s="46"/>
      <c r="R5264" s="51"/>
      <c r="S5264" s="51"/>
    </row>
    <row r="5265" spans="9:19" x14ac:dyDescent="0.25">
      <c r="I5265" s="1"/>
      <c r="J5265" s="71"/>
      <c r="M5265" s="46"/>
      <c r="R5265" s="51"/>
      <c r="S5265" s="51"/>
    </row>
    <row r="5266" spans="9:19" x14ac:dyDescent="0.25">
      <c r="I5266" s="1"/>
      <c r="J5266" s="71"/>
      <c r="M5266" s="46"/>
      <c r="R5266" s="51"/>
      <c r="S5266" s="51"/>
    </row>
    <row r="5267" spans="9:19" x14ac:dyDescent="0.25">
      <c r="I5267" s="1"/>
      <c r="J5267" s="71"/>
      <c r="M5267" s="46"/>
      <c r="R5267" s="51"/>
      <c r="S5267" s="51"/>
    </row>
    <row r="5268" spans="9:19" x14ac:dyDescent="0.25">
      <c r="I5268" s="1"/>
      <c r="J5268" s="71"/>
      <c r="M5268" s="46"/>
      <c r="R5268" s="51"/>
      <c r="S5268" s="51"/>
    </row>
    <row r="5269" spans="9:19" x14ac:dyDescent="0.25">
      <c r="I5269" s="1"/>
      <c r="J5269" s="71"/>
      <c r="M5269" s="46"/>
      <c r="R5269" s="51"/>
      <c r="S5269" s="51"/>
    </row>
    <row r="5270" spans="9:19" x14ac:dyDescent="0.25">
      <c r="I5270" s="1"/>
      <c r="J5270" s="71"/>
      <c r="M5270" s="46"/>
      <c r="R5270" s="51"/>
      <c r="S5270" s="51"/>
    </row>
    <row r="5271" spans="9:19" x14ac:dyDescent="0.25">
      <c r="I5271" s="1"/>
      <c r="J5271" s="71"/>
      <c r="M5271" s="46"/>
      <c r="R5271" s="51"/>
      <c r="S5271" s="51"/>
    </row>
    <row r="5272" spans="9:19" x14ac:dyDescent="0.25">
      <c r="I5272" s="1"/>
      <c r="J5272" s="71"/>
      <c r="M5272" s="46"/>
      <c r="R5272" s="51"/>
      <c r="S5272" s="51"/>
    </row>
    <row r="5273" spans="9:19" x14ac:dyDescent="0.25">
      <c r="I5273" s="1"/>
      <c r="J5273" s="71"/>
      <c r="M5273" s="46"/>
      <c r="R5273" s="51"/>
      <c r="S5273" s="51"/>
    </row>
    <row r="5274" spans="9:19" x14ac:dyDescent="0.25">
      <c r="I5274" s="1"/>
      <c r="J5274" s="71"/>
      <c r="M5274" s="46"/>
      <c r="R5274" s="51"/>
      <c r="S5274" s="51"/>
    </row>
    <row r="5275" spans="9:19" x14ac:dyDescent="0.25">
      <c r="I5275" s="1"/>
      <c r="J5275" s="71"/>
      <c r="M5275" s="46"/>
      <c r="R5275" s="51"/>
      <c r="S5275" s="51"/>
    </row>
    <row r="5276" spans="9:19" x14ac:dyDescent="0.25">
      <c r="I5276" s="1"/>
      <c r="J5276" s="71"/>
      <c r="M5276" s="46"/>
      <c r="R5276" s="51"/>
      <c r="S5276" s="51"/>
    </row>
    <row r="5277" spans="9:19" x14ac:dyDescent="0.25">
      <c r="I5277" s="1"/>
      <c r="J5277" s="71"/>
      <c r="M5277" s="46"/>
      <c r="R5277" s="51"/>
      <c r="S5277" s="51"/>
    </row>
    <row r="5278" spans="9:19" x14ac:dyDescent="0.25">
      <c r="I5278" s="1"/>
      <c r="J5278" s="71"/>
      <c r="M5278" s="46"/>
      <c r="R5278" s="51"/>
      <c r="S5278" s="51"/>
    </row>
    <row r="5279" spans="9:19" x14ac:dyDescent="0.25">
      <c r="I5279" s="1"/>
      <c r="J5279" s="71"/>
      <c r="M5279" s="46"/>
      <c r="R5279" s="51"/>
      <c r="S5279" s="51"/>
    </row>
    <row r="5280" spans="9:19" x14ac:dyDescent="0.25">
      <c r="I5280" s="1"/>
      <c r="J5280" s="71"/>
      <c r="M5280" s="46"/>
      <c r="R5280" s="51"/>
      <c r="S5280" s="51"/>
    </row>
    <row r="5281" spans="9:19" x14ac:dyDescent="0.25">
      <c r="I5281" s="1"/>
      <c r="J5281" s="71"/>
      <c r="M5281" s="46"/>
      <c r="R5281" s="51"/>
      <c r="S5281" s="51"/>
    </row>
    <row r="5282" spans="9:19" x14ac:dyDescent="0.25">
      <c r="I5282" s="1"/>
      <c r="J5282" s="71"/>
      <c r="M5282" s="46"/>
      <c r="R5282" s="51"/>
      <c r="S5282" s="51"/>
    </row>
    <row r="5283" spans="9:19" x14ac:dyDescent="0.25">
      <c r="I5283" s="1"/>
      <c r="J5283" s="71"/>
      <c r="M5283" s="46"/>
      <c r="R5283" s="51"/>
      <c r="S5283" s="51"/>
    </row>
    <row r="5284" spans="9:19" x14ac:dyDescent="0.25">
      <c r="I5284" s="1"/>
      <c r="J5284" s="71"/>
      <c r="M5284" s="46"/>
      <c r="R5284" s="51"/>
      <c r="S5284" s="51"/>
    </row>
    <row r="5285" spans="9:19" x14ac:dyDescent="0.25">
      <c r="I5285" s="1"/>
      <c r="J5285" s="71"/>
      <c r="M5285" s="46"/>
      <c r="R5285" s="51"/>
      <c r="S5285" s="51"/>
    </row>
    <row r="5286" spans="9:19" x14ac:dyDescent="0.25">
      <c r="I5286" s="1"/>
      <c r="J5286" s="71"/>
      <c r="M5286" s="46"/>
      <c r="R5286" s="51"/>
      <c r="S5286" s="51"/>
    </row>
    <row r="5287" spans="9:19" x14ac:dyDescent="0.25">
      <c r="I5287" s="1"/>
      <c r="J5287" s="71"/>
      <c r="M5287" s="46"/>
      <c r="R5287" s="51"/>
      <c r="S5287" s="51"/>
    </row>
    <row r="5288" spans="9:19" x14ac:dyDescent="0.25">
      <c r="I5288" s="1"/>
      <c r="J5288" s="71"/>
      <c r="M5288" s="46"/>
      <c r="R5288" s="51"/>
      <c r="S5288" s="51"/>
    </row>
    <row r="5289" spans="9:19" x14ac:dyDescent="0.25">
      <c r="I5289" s="1"/>
      <c r="J5289" s="71"/>
      <c r="M5289" s="46"/>
      <c r="R5289" s="51"/>
      <c r="S5289" s="51"/>
    </row>
    <row r="5290" spans="9:19" x14ac:dyDescent="0.25">
      <c r="I5290" s="1"/>
      <c r="J5290" s="71"/>
      <c r="M5290" s="46"/>
      <c r="R5290" s="51"/>
      <c r="S5290" s="51"/>
    </row>
    <row r="5291" spans="9:19" x14ac:dyDescent="0.25">
      <c r="I5291" s="1"/>
      <c r="J5291" s="71"/>
      <c r="M5291" s="46"/>
      <c r="R5291" s="51"/>
      <c r="S5291" s="51"/>
    </row>
    <row r="5292" spans="9:19" x14ac:dyDescent="0.25">
      <c r="I5292" s="1"/>
      <c r="J5292" s="71"/>
      <c r="M5292" s="46"/>
      <c r="R5292" s="51"/>
      <c r="S5292" s="51"/>
    </row>
    <row r="5293" spans="9:19" x14ac:dyDescent="0.25">
      <c r="I5293" s="1"/>
      <c r="J5293" s="71"/>
      <c r="M5293" s="46"/>
      <c r="R5293" s="51"/>
      <c r="S5293" s="51"/>
    </row>
    <row r="5294" spans="9:19" x14ac:dyDescent="0.25">
      <c r="I5294" s="1"/>
      <c r="J5294" s="71"/>
      <c r="M5294" s="46"/>
      <c r="R5294" s="51"/>
      <c r="S5294" s="51"/>
    </row>
    <row r="5295" spans="9:19" x14ac:dyDescent="0.25">
      <c r="I5295" s="1"/>
      <c r="J5295" s="71"/>
      <c r="M5295" s="46"/>
      <c r="R5295" s="51"/>
      <c r="S5295" s="51"/>
    </row>
    <row r="5296" spans="9:19" x14ac:dyDescent="0.25">
      <c r="I5296" s="1"/>
      <c r="J5296" s="71"/>
      <c r="M5296" s="46"/>
      <c r="R5296" s="51"/>
      <c r="S5296" s="51"/>
    </row>
    <row r="5297" spans="9:19" x14ac:dyDescent="0.25">
      <c r="I5297" s="1"/>
      <c r="J5297" s="71"/>
      <c r="M5297" s="46"/>
      <c r="R5297" s="51"/>
      <c r="S5297" s="51"/>
    </row>
    <row r="5298" spans="9:19" x14ac:dyDescent="0.25">
      <c r="I5298" s="1"/>
      <c r="J5298" s="71"/>
      <c r="M5298" s="46"/>
      <c r="R5298" s="51"/>
      <c r="S5298" s="51"/>
    </row>
    <row r="5299" spans="9:19" x14ac:dyDescent="0.25">
      <c r="I5299" s="1"/>
      <c r="J5299" s="71"/>
      <c r="M5299" s="46"/>
      <c r="R5299" s="51"/>
      <c r="S5299" s="51"/>
    </row>
    <row r="5300" spans="9:19" x14ac:dyDescent="0.25">
      <c r="I5300" s="1"/>
      <c r="J5300" s="71"/>
      <c r="M5300" s="46"/>
      <c r="R5300" s="51"/>
      <c r="S5300" s="51"/>
    </row>
    <row r="5301" spans="9:19" x14ac:dyDescent="0.25">
      <c r="I5301" s="1"/>
      <c r="J5301" s="71"/>
      <c r="M5301" s="46"/>
      <c r="R5301" s="51"/>
      <c r="S5301" s="51"/>
    </row>
    <row r="5302" spans="9:19" x14ac:dyDescent="0.25">
      <c r="I5302" s="1"/>
      <c r="J5302" s="71"/>
      <c r="M5302" s="46"/>
      <c r="R5302" s="51"/>
      <c r="S5302" s="51"/>
    </row>
    <row r="5303" spans="9:19" x14ac:dyDescent="0.25">
      <c r="I5303" s="1"/>
      <c r="J5303" s="71"/>
      <c r="M5303" s="46"/>
      <c r="R5303" s="51"/>
      <c r="S5303" s="51"/>
    </row>
    <row r="5304" spans="9:19" x14ac:dyDescent="0.25">
      <c r="I5304" s="1"/>
      <c r="J5304" s="71"/>
      <c r="M5304" s="46"/>
      <c r="R5304" s="51"/>
      <c r="S5304" s="51"/>
    </row>
    <row r="5305" spans="9:19" x14ac:dyDescent="0.25">
      <c r="I5305" s="1"/>
      <c r="J5305" s="71"/>
      <c r="M5305" s="46"/>
      <c r="R5305" s="51"/>
      <c r="S5305" s="51"/>
    </row>
    <row r="5306" spans="9:19" x14ac:dyDescent="0.25">
      <c r="I5306" s="1"/>
      <c r="J5306" s="71"/>
      <c r="M5306" s="46"/>
      <c r="R5306" s="51"/>
      <c r="S5306" s="51"/>
    </row>
    <row r="5307" spans="9:19" x14ac:dyDescent="0.25">
      <c r="I5307" s="1"/>
      <c r="J5307" s="71"/>
      <c r="M5307" s="46"/>
      <c r="R5307" s="51"/>
      <c r="S5307" s="51"/>
    </row>
    <row r="5308" spans="9:19" x14ac:dyDescent="0.25">
      <c r="I5308" s="1"/>
      <c r="J5308" s="71"/>
      <c r="M5308" s="46"/>
      <c r="R5308" s="51"/>
      <c r="S5308" s="51"/>
    </row>
    <row r="5309" spans="9:19" x14ac:dyDescent="0.25">
      <c r="I5309" s="1"/>
      <c r="J5309" s="71"/>
      <c r="M5309" s="46"/>
      <c r="R5309" s="51"/>
      <c r="S5309" s="51"/>
    </row>
    <row r="5310" spans="9:19" x14ac:dyDescent="0.25">
      <c r="I5310" s="1"/>
      <c r="J5310" s="71"/>
      <c r="M5310" s="46"/>
      <c r="R5310" s="51"/>
      <c r="S5310" s="51"/>
    </row>
    <row r="5311" spans="9:19" x14ac:dyDescent="0.25">
      <c r="I5311" s="1"/>
      <c r="J5311" s="71"/>
      <c r="M5311" s="46"/>
      <c r="R5311" s="51"/>
      <c r="S5311" s="51"/>
    </row>
    <row r="5312" spans="9:19" x14ac:dyDescent="0.25">
      <c r="I5312" s="1"/>
      <c r="J5312" s="71"/>
      <c r="M5312" s="46"/>
      <c r="R5312" s="51"/>
      <c r="S5312" s="51"/>
    </row>
    <row r="5313" spans="9:19" x14ac:dyDescent="0.25">
      <c r="I5313" s="1"/>
      <c r="J5313" s="71"/>
      <c r="M5313" s="46"/>
      <c r="R5313" s="51"/>
      <c r="S5313" s="51"/>
    </row>
    <row r="5314" spans="9:19" x14ac:dyDescent="0.25">
      <c r="I5314" s="1"/>
      <c r="J5314" s="71"/>
      <c r="M5314" s="46"/>
      <c r="R5314" s="51"/>
      <c r="S5314" s="51"/>
    </row>
    <row r="5315" spans="9:19" x14ac:dyDescent="0.25">
      <c r="I5315" s="1"/>
      <c r="J5315" s="71"/>
      <c r="M5315" s="46"/>
      <c r="R5315" s="51"/>
      <c r="S5315" s="51"/>
    </row>
    <row r="5316" spans="9:19" x14ac:dyDescent="0.25">
      <c r="I5316" s="1"/>
      <c r="J5316" s="71"/>
      <c r="M5316" s="46"/>
      <c r="R5316" s="51"/>
      <c r="S5316" s="51"/>
    </row>
    <row r="5317" spans="9:19" x14ac:dyDescent="0.25">
      <c r="I5317" s="1"/>
      <c r="J5317" s="71"/>
      <c r="M5317" s="46"/>
      <c r="R5317" s="51"/>
      <c r="S5317" s="51"/>
    </row>
    <row r="5318" spans="9:19" x14ac:dyDescent="0.25">
      <c r="I5318" s="1"/>
      <c r="J5318" s="71"/>
      <c r="M5318" s="46"/>
      <c r="R5318" s="51"/>
      <c r="S5318" s="51"/>
    </row>
    <row r="5319" spans="9:19" x14ac:dyDescent="0.25">
      <c r="I5319" s="1"/>
      <c r="J5319" s="71"/>
      <c r="M5319" s="46"/>
      <c r="R5319" s="51"/>
      <c r="S5319" s="51"/>
    </row>
    <row r="5320" spans="9:19" x14ac:dyDescent="0.25">
      <c r="I5320" s="1"/>
      <c r="J5320" s="71"/>
      <c r="M5320" s="46"/>
      <c r="R5320" s="51"/>
      <c r="S5320" s="51"/>
    </row>
    <row r="5321" spans="9:19" x14ac:dyDescent="0.25">
      <c r="I5321" s="1"/>
      <c r="J5321" s="71"/>
      <c r="M5321" s="46"/>
      <c r="R5321" s="51"/>
      <c r="S5321" s="51"/>
    </row>
    <row r="5322" spans="9:19" x14ac:dyDescent="0.25">
      <c r="I5322" s="1"/>
      <c r="J5322" s="71"/>
      <c r="M5322" s="46"/>
      <c r="R5322" s="51"/>
      <c r="S5322" s="51"/>
    </row>
    <row r="5323" spans="9:19" x14ac:dyDescent="0.25">
      <c r="I5323" s="1"/>
      <c r="J5323" s="71"/>
      <c r="M5323" s="46"/>
      <c r="R5323" s="51"/>
      <c r="S5323" s="51"/>
    </row>
    <row r="5324" spans="9:19" x14ac:dyDescent="0.25">
      <c r="I5324" s="1"/>
      <c r="J5324" s="71"/>
      <c r="M5324" s="46"/>
      <c r="R5324" s="51"/>
      <c r="S5324" s="51"/>
    </row>
    <row r="5325" spans="9:19" x14ac:dyDescent="0.25">
      <c r="I5325" s="1"/>
      <c r="J5325" s="71"/>
      <c r="M5325" s="46"/>
      <c r="R5325" s="51"/>
      <c r="S5325" s="51"/>
    </row>
    <row r="5326" spans="9:19" x14ac:dyDescent="0.25">
      <c r="I5326" s="1"/>
      <c r="J5326" s="71"/>
      <c r="M5326" s="46"/>
      <c r="R5326" s="51"/>
      <c r="S5326" s="51"/>
    </row>
    <row r="5327" spans="9:19" x14ac:dyDescent="0.25">
      <c r="I5327" s="1"/>
      <c r="J5327" s="71"/>
      <c r="M5327" s="46"/>
      <c r="R5327" s="51"/>
      <c r="S5327" s="51"/>
    </row>
    <row r="5328" spans="9:19" x14ac:dyDescent="0.25">
      <c r="I5328" s="1"/>
      <c r="J5328" s="71"/>
      <c r="M5328" s="46"/>
      <c r="R5328" s="51"/>
      <c r="S5328" s="51"/>
    </row>
    <row r="5329" spans="9:19" x14ac:dyDescent="0.25">
      <c r="I5329" s="1"/>
      <c r="J5329" s="71"/>
      <c r="M5329" s="46"/>
      <c r="R5329" s="51"/>
      <c r="S5329" s="51"/>
    </row>
    <row r="5330" spans="9:19" x14ac:dyDescent="0.25">
      <c r="I5330" s="1"/>
      <c r="J5330" s="71"/>
      <c r="M5330" s="46"/>
      <c r="R5330" s="51"/>
      <c r="S5330" s="51"/>
    </row>
    <row r="5331" spans="9:19" x14ac:dyDescent="0.25">
      <c r="I5331" s="1"/>
      <c r="J5331" s="71"/>
      <c r="M5331" s="46"/>
      <c r="R5331" s="51"/>
      <c r="S5331" s="51"/>
    </row>
    <row r="5332" spans="9:19" x14ac:dyDescent="0.25">
      <c r="I5332" s="1"/>
      <c r="J5332" s="71"/>
      <c r="M5332" s="46"/>
      <c r="R5332" s="51"/>
      <c r="S5332" s="51"/>
    </row>
    <row r="5333" spans="9:19" x14ac:dyDescent="0.25">
      <c r="I5333" s="1"/>
      <c r="J5333" s="71"/>
      <c r="M5333" s="46"/>
      <c r="R5333" s="51"/>
      <c r="S5333" s="51"/>
    </row>
    <row r="5334" spans="9:19" x14ac:dyDescent="0.25">
      <c r="I5334" s="1"/>
      <c r="J5334" s="71"/>
      <c r="M5334" s="46"/>
      <c r="R5334" s="51"/>
      <c r="S5334" s="51"/>
    </row>
    <row r="5335" spans="9:19" x14ac:dyDescent="0.25">
      <c r="I5335" s="1"/>
      <c r="J5335" s="71"/>
      <c r="M5335" s="46"/>
      <c r="R5335" s="51"/>
      <c r="S5335" s="51"/>
    </row>
    <row r="5336" spans="9:19" x14ac:dyDescent="0.25">
      <c r="I5336" s="1"/>
      <c r="J5336" s="71"/>
      <c r="M5336" s="46"/>
      <c r="R5336" s="51"/>
      <c r="S5336" s="51"/>
    </row>
    <row r="5337" spans="9:19" x14ac:dyDescent="0.25">
      <c r="I5337" s="1"/>
      <c r="J5337" s="71"/>
      <c r="M5337" s="46"/>
      <c r="R5337" s="51"/>
      <c r="S5337" s="51"/>
    </row>
    <row r="5338" spans="9:19" x14ac:dyDescent="0.25">
      <c r="I5338" s="1"/>
      <c r="J5338" s="71"/>
      <c r="M5338" s="46"/>
      <c r="R5338" s="51"/>
      <c r="S5338" s="51"/>
    </row>
    <row r="5339" spans="9:19" x14ac:dyDescent="0.25">
      <c r="I5339" s="1"/>
      <c r="J5339" s="71"/>
      <c r="M5339" s="46"/>
      <c r="R5339" s="51"/>
      <c r="S5339" s="51"/>
    </row>
    <row r="5340" spans="9:19" x14ac:dyDescent="0.25">
      <c r="I5340" s="1"/>
      <c r="J5340" s="71"/>
      <c r="M5340" s="46"/>
      <c r="R5340" s="51"/>
      <c r="S5340" s="51"/>
    </row>
    <row r="5341" spans="9:19" x14ac:dyDescent="0.25">
      <c r="I5341" s="1"/>
      <c r="J5341" s="71"/>
      <c r="M5341" s="46"/>
      <c r="R5341" s="51"/>
      <c r="S5341" s="51"/>
    </row>
    <row r="5342" spans="9:19" x14ac:dyDescent="0.25">
      <c r="I5342" s="1"/>
      <c r="J5342" s="71"/>
      <c r="M5342" s="46"/>
      <c r="R5342" s="51"/>
      <c r="S5342" s="51"/>
    </row>
    <row r="5343" spans="9:19" x14ac:dyDescent="0.25">
      <c r="I5343" s="1"/>
      <c r="J5343" s="71"/>
      <c r="M5343" s="46"/>
      <c r="R5343" s="51"/>
      <c r="S5343" s="51"/>
    </row>
    <row r="5344" spans="9:19" x14ac:dyDescent="0.25">
      <c r="I5344" s="1"/>
      <c r="J5344" s="71"/>
      <c r="M5344" s="46"/>
      <c r="R5344" s="51"/>
      <c r="S5344" s="51"/>
    </row>
    <row r="5345" spans="9:19" x14ac:dyDescent="0.25">
      <c r="I5345" s="1"/>
      <c r="J5345" s="71"/>
      <c r="M5345" s="46"/>
      <c r="R5345" s="51"/>
      <c r="S5345" s="51"/>
    </row>
    <row r="5346" spans="9:19" x14ac:dyDescent="0.25">
      <c r="I5346" s="1"/>
      <c r="J5346" s="71"/>
      <c r="M5346" s="46"/>
      <c r="R5346" s="51"/>
      <c r="S5346" s="51"/>
    </row>
    <row r="5347" spans="9:19" x14ac:dyDescent="0.25">
      <c r="I5347" s="1"/>
      <c r="J5347" s="71"/>
      <c r="M5347" s="46"/>
      <c r="R5347" s="51"/>
      <c r="S5347" s="51"/>
    </row>
    <row r="5348" spans="9:19" x14ac:dyDescent="0.25">
      <c r="I5348" s="1"/>
      <c r="J5348" s="71"/>
      <c r="M5348" s="46"/>
      <c r="R5348" s="51"/>
      <c r="S5348" s="51"/>
    </row>
    <row r="5349" spans="9:19" x14ac:dyDescent="0.25">
      <c r="I5349" s="1"/>
      <c r="J5349" s="71"/>
      <c r="M5349" s="46"/>
      <c r="R5349" s="51"/>
      <c r="S5349" s="51"/>
    </row>
    <row r="5350" spans="9:19" x14ac:dyDescent="0.25">
      <c r="I5350" s="1"/>
      <c r="J5350" s="71"/>
      <c r="M5350" s="46"/>
      <c r="R5350" s="51"/>
      <c r="S5350" s="51"/>
    </row>
    <row r="5351" spans="9:19" x14ac:dyDescent="0.25">
      <c r="I5351" s="1"/>
      <c r="J5351" s="71"/>
      <c r="M5351" s="46"/>
      <c r="R5351" s="51"/>
      <c r="S5351" s="51"/>
    </row>
    <row r="5352" spans="9:19" x14ac:dyDescent="0.25">
      <c r="I5352" s="1"/>
      <c r="J5352" s="71"/>
      <c r="M5352" s="46"/>
      <c r="R5352" s="51"/>
      <c r="S5352" s="51"/>
    </row>
    <row r="5353" spans="9:19" x14ac:dyDescent="0.25">
      <c r="I5353" s="1"/>
      <c r="J5353" s="71"/>
      <c r="M5353" s="46"/>
      <c r="R5353" s="51"/>
      <c r="S5353" s="51"/>
    </row>
    <row r="5354" spans="9:19" x14ac:dyDescent="0.25">
      <c r="I5354" s="1"/>
      <c r="J5354" s="71"/>
      <c r="M5354" s="46"/>
      <c r="R5354" s="51"/>
      <c r="S5354" s="51"/>
    </row>
    <row r="5355" spans="9:19" x14ac:dyDescent="0.25">
      <c r="I5355" s="1"/>
      <c r="J5355" s="71"/>
      <c r="M5355" s="46"/>
      <c r="R5355" s="51"/>
      <c r="S5355" s="51"/>
    </row>
    <row r="5356" spans="9:19" x14ac:dyDescent="0.25">
      <c r="I5356" s="1"/>
      <c r="J5356" s="71"/>
      <c r="M5356" s="46"/>
      <c r="R5356" s="51"/>
      <c r="S5356" s="51"/>
    </row>
    <row r="5357" spans="9:19" x14ac:dyDescent="0.25">
      <c r="I5357" s="1"/>
      <c r="J5357" s="71"/>
      <c r="M5357" s="46"/>
      <c r="R5357" s="51"/>
      <c r="S5357" s="51"/>
    </row>
    <row r="5358" spans="9:19" x14ac:dyDescent="0.25">
      <c r="I5358" s="1"/>
      <c r="J5358" s="71"/>
      <c r="M5358" s="46"/>
      <c r="R5358" s="51"/>
      <c r="S5358" s="51"/>
    </row>
    <row r="5359" spans="9:19" x14ac:dyDescent="0.25">
      <c r="I5359" s="1"/>
      <c r="J5359" s="71"/>
      <c r="M5359" s="46"/>
      <c r="R5359" s="51"/>
      <c r="S5359" s="51"/>
    </row>
    <row r="5360" spans="9:19" x14ac:dyDescent="0.25">
      <c r="I5360" s="1"/>
      <c r="J5360" s="71"/>
      <c r="M5360" s="46"/>
      <c r="R5360" s="51"/>
      <c r="S5360" s="51"/>
    </row>
    <row r="5361" spans="9:19" x14ac:dyDescent="0.25">
      <c r="I5361" s="1"/>
      <c r="J5361" s="71"/>
      <c r="M5361" s="46"/>
      <c r="R5361" s="51"/>
      <c r="S5361" s="51"/>
    </row>
    <row r="5362" spans="9:19" x14ac:dyDescent="0.25">
      <c r="I5362" s="1"/>
      <c r="J5362" s="71"/>
      <c r="M5362" s="46"/>
      <c r="R5362" s="51"/>
      <c r="S5362" s="51"/>
    </row>
    <row r="5363" spans="9:19" x14ac:dyDescent="0.25">
      <c r="I5363" s="1"/>
      <c r="J5363" s="71"/>
      <c r="M5363" s="46"/>
      <c r="R5363" s="51"/>
      <c r="S5363" s="51"/>
    </row>
    <row r="5364" spans="9:19" x14ac:dyDescent="0.25">
      <c r="I5364" s="1"/>
      <c r="J5364" s="71"/>
      <c r="M5364" s="46"/>
      <c r="R5364" s="51"/>
      <c r="S5364" s="51"/>
    </row>
    <row r="5365" spans="9:19" x14ac:dyDescent="0.25">
      <c r="I5365" s="1"/>
      <c r="J5365" s="71"/>
      <c r="M5365" s="46"/>
      <c r="R5365" s="51"/>
      <c r="S5365" s="51"/>
    </row>
    <row r="5366" spans="9:19" x14ac:dyDescent="0.25">
      <c r="I5366" s="1"/>
      <c r="J5366" s="71"/>
      <c r="M5366" s="46"/>
      <c r="R5366" s="51"/>
      <c r="S5366" s="51"/>
    </row>
    <row r="5367" spans="9:19" x14ac:dyDescent="0.25">
      <c r="I5367" s="1"/>
      <c r="J5367" s="71"/>
      <c r="M5367" s="46"/>
      <c r="R5367" s="51"/>
      <c r="S5367" s="51"/>
    </row>
    <row r="5368" spans="9:19" x14ac:dyDescent="0.25">
      <c r="I5368" s="1"/>
      <c r="J5368" s="71"/>
      <c r="M5368" s="46"/>
      <c r="R5368" s="51"/>
      <c r="S5368" s="51"/>
    </row>
    <row r="5369" spans="9:19" x14ac:dyDescent="0.25">
      <c r="I5369" s="1"/>
      <c r="J5369" s="71"/>
      <c r="M5369" s="46"/>
      <c r="R5369" s="51"/>
      <c r="S5369" s="51"/>
    </row>
    <row r="5370" spans="9:19" x14ac:dyDescent="0.25">
      <c r="I5370" s="1"/>
      <c r="J5370" s="71"/>
      <c r="M5370" s="46"/>
      <c r="R5370" s="51"/>
      <c r="S5370" s="51"/>
    </row>
    <row r="5371" spans="9:19" x14ac:dyDescent="0.25">
      <c r="I5371" s="1"/>
      <c r="J5371" s="71"/>
      <c r="M5371" s="46"/>
      <c r="R5371" s="51"/>
      <c r="S5371" s="51"/>
    </row>
    <row r="5372" spans="9:19" x14ac:dyDescent="0.25">
      <c r="I5372" s="1"/>
      <c r="J5372" s="71"/>
      <c r="M5372" s="46"/>
      <c r="R5372" s="51"/>
      <c r="S5372" s="51"/>
    </row>
    <row r="5373" spans="9:19" x14ac:dyDescent="0.25">
      <c r="I5373" s="1"/>
      <c r="J5373" s="71"/>
      <c r="M5373" s="46"/>
      <c r="R5373" s="51"/>
      <c r="S5373" s="51"/>
    </row>
    <row r="5374" spans="9:19" x14ac:dyDescent="0.25">
      <c r="I5374" s="1"/>
      <c r="J5374" s="71"/>
      <c r="M5374" s="46"/>
      <c r="R5374" s="51"/>
      <c r="S5374" s="51"/>
    </row>
    <row r="5375" spans="9:19" x14ac:dyDescent="0.25">
      <c r="I5375" s="1"/>
      <c r="J5375" s="71"/>
      <c r="M5375" s="46"/>
      <c r="R5375" s="51"/>
      <c r="S5375" s="51"/>
    </row>
    <row r="5376" spans="9:19" x14ac:dyDescent="0.25">
      <c r="I5376" s="1"/>
      <c r="J5376" s="71"/>
      <c r="M5376" s="46"/>
      <c r="R5376" s="51"/>
      <c r="S5376" s="51"/>
    </row>
    <row r="5377" spans="9:19" x14ac:dyDescent="0.25">
      <c r="I5377" s="1"/>
      <c r="J5377" s="71"/>
      <c r="M5377" s="46"/>
      <c r="R5377" s="51"/>
      <c r="S5377" s="51"/>
    </row>
    <row r="5378" spans="9:19" x14ac:dyDescent="0.25">
      <c r="I5378" s="1"/>
      <c r="J5378" s="71"/>
      <c r="M5378" s="46"/>
      <c r="R5378" s="51"/>
      <c r="S5378" s="51"/>
    </row>
    <row r="5379" spans="9:19" x14ac:dyDescent="0.25">
      <c r="I5379" s="1"/>
      <c r="J5379" s="71"/>
      <c r="M5379" s="46"/>
      <c r="R5379" s="51"/>
      <c r="S5379" s="51"/>
    </row>
    <row r="5380" spans="9:19" x14ac:dyDescent="0.25">
      <c r="I5380" s="1"/>
      <c r="J5380" s="71"/>
      <c r="M5380" s="46"/>
      <c r="R5380" s="51"/>
      <c r="S5380" s="51"/>
    </row>
    <row r="5381" spans="9:19" x14ac:dyDescent="0.25">
      <c r="I5381" s="1"/>
      <c r="J5381" s="71"/>
      <c r="M5381" s="46"/>
      <c r="R5381" s="51"/>
      <c r="S5381" s="51"/>
    </row>
    <row r="5382" spans="9:19" x14ac:dyDescent="0.25">
      <c r="I5382" s="1"/>
      <c r="J5382" s="71"/>
      <c r="M5382" s="46"/>
      <c r="R5382" s="51"/>
      <c r="S5382" s="51"/>
    </row>
    <row r="5383" spans="9:19" x14ac:dyDescent="0.25">
      <c r="I5383" s="1"/>
      <c r="J5383" s="71"/>
      <c r="M5383" s="46"/>
      <c r="R5383" s="51"/>
      <c r="S5383" s="51"/>
    </row>
    <row r="5384" spans="9:19" x14ac:dyDescent="0.25">
      <c r="I5384" s="1"/>
      <c r="J5384" s="71"/>
      <c r="M5384" s="46"/>
      <c r="R5384" s="51"/>
      <c r="S5384" s="51"/>
    </row>
    <row r="5385" spans="9:19" x14ac:dyDescent="0.25">
      <c r="I5385" s="1"/>
      <c r="J5385" s="71"/>
      <c r="M5385" s="46"/>
      <c r="R5385" s="51"/>
      <c r="S5385" s="51"/>
    </row>
    <row r="5386" spans="9:19" x14ac:dyDescent="0.25">
      <c r="I5386" s="1"/>
      <c r="J5386" s="71"/>
      <c r="M5386" s="46"/>
      <c r="R5386" s="51"/>
      <c r="S5386" s="51"/>
    </row>
    <row r="5387" spans="9:19" x14ac:dyDescent="0.25">
      <c r="I5387" s="1"/>
      <c r="J5387" s="71"/>
      <c r="M5387" s="46"/>
      <c r="R5387" s="51"/>
      <c r="S5387" s="51"/>
    </row>
    <row r="5388" spans="9:19" x14ac:dyDescent="0.25">
      <c r="I5388" s="1"/>
      <c r="J5388" s="71"/>
      <c r="M5388" s="46"/>
      <c r="R5388" s="51"/>
      <c r="S5388" s="51"/>
    </row>
    <row r="5389" spans="9:19" x14ac:dyDescent="0.25">
      <c r="I5389" s="1"/>
      <c r="J5389" s="71"/>
      <c r="M5389" s="46"/>
      <c r="R5389" s="51"/>
      <c r="S5389" s="51"/>
    </row>
    <row r="5390" spans="9:19" x14ac:dyDescent="0.25">
      <c r="I5390" s="1"/>
      <c r="J5390" s="71"/>
      <c r="M5390" s="46"/>
      <c r="R5390" s="51"/>
      <c r="S5390" s="51"/>
    </row>
    <row r="5391" spans="9:19" x14ac:dyDescent="0.25">
      <c r="I5391" s="1"/>
      <c r="J5391" s="71"/>
      <c r="M5391" s="46"/>
      <c r="R5391" s="51"/>
      <c r="S5391" s="51"/>
    </row>
    <row r="5392" spans="9:19" x14ac:dyDescent="0.25">
      <c r="I5392" s="1"/>
      <c r="J5392" s="71"/>
      <c r="M5392" s="46"/>
      <c r="R5392" s="51"/>
      <c r="S5392" s="51"/>
    </row>
    <row r="5393" spans="9:19" x14ac:dyDescent="0.25">
      <c r="I5393" s="1"/>
      <c r="J5393" s="71"/>
      <c r="M5393" s="46"/>
      <c r="R5393" s="51"/>
      <c r="S5393" s="51"/>
    </row>
    <row r="5394" spans="9:19" x14ac:dyDescent="0.25">
      <c r="I5394" s="1"/>
      <c r="J5394" s="71"/>
      <c r="M5394" s="46"/>
      <c r="R5394" s="51"/>
      <c r="S5394" s="51"/>
    </row>
    <row r="5395" spans="9:19" x14ac:dyDescent="0.25">
      <c r="I5395" s="1"/>
      <c r="J5395" s="71"/>
      <c r="M5395" s="46"/>
      <c r="R5395" s="51"/>
      <c r="S5395" s="51"/>
    </row>
    <row r="5396" spans="9:19" x14ac:dyDescent="0.25">
      <c r="I5396" s="1"/>
      <c r="J5396" s="71"/>
      <c r="M5396" s="46"/>
      <c r="R5396" s="51"/>
      <c r="S5396" s="51"/>
    </row>
    <row r="5397" spans="9:19" x14ac:dyDescent="0.25">
      <c r="I5397" s="1"/>
      <c r="J5397" s="71"/>
      <c r="M5397" s="46"/>
      <c r="R5397" s="51"/>
      <c r="S5397" s="51"/>
    </row>
    <row r="5398" spans="9:19" x14ac:dyDescent="0.25">
      <c r="I5398" s="1"/>
      <c r="J5398" s="71"/>
      <c r="M5398" s="46"/>
      <c r="R5398" s="51"/>
      <c r="S5398" s="51"/>
    </row>
    <row r="5399" spans="9:19" x14ac:dyDescent="0.25">
      <c r="I5399" s="1"/>
      <c r="J5399" s="71"/>
      <c r="M5399" s="46"/>
      <c r="R5399" s="51"/>
      <c r="S5399" s="51"/>
    </row>
    <row r="5400" spans="9:19" x14ac:dyDescent="0.25">
      <c r="I5400" s="1"/>
      <c r="J5400" s="71"/>
      <c r="M5400" s="46"/>
      <c r="R5400" s="51"/>
      <c r="S5400" s="51"/>
    </row>
    <row r="5401" spans="9:19" x14ac:dyDescent="0.25">
      <c r="I5401" s="1"/>
      <c r="J5401" s="71"/>
      <c r="M5401" s="46"/>
      <c r="R5401" s="51"/>
      <c r="S5401" s="51"/>
    </row>
    <row r="5402" spans="9:19" x14ac:dyDescent="0.25">
      <c r="I5402" s="1"/>
      <c r="J5402" s="71"/>
      <c r="M5402" s="46"/>
      <c r="R5402" s="51"/>
      <c r="S5402" s="51"/>
    </row>
    <row r="5403" spans="9:19" x14ac:dyDescent="0.25">
      <c r="I5403" s="1"/>
      <c r="J5403" s="71"/>
      <c r="M5403" s="46"/>
      <c r="R5403" s="51"/>
      <c r="S5403" s="51"/>
    </row>
    <row r="5404" spans="9:19" x14ac:dyDescent="0.25">
      <c r="I5404" s="1"/>
      <c r="J5404" s="71"/>
      <c r="M5404" s="46"/>
      <c r="R5404" s="51"/>
      <c r="S5404" s="51"/>
    </row>
    <row r="5405" spans="9:19" x14ac:dyDescent="0.25">
      <c r="I5405" s="1"/>
      <c r="J5405" s="71"/>
      <c r="M5405" s="46"/>
      <c r="R5405" s="51"/>
      <c r="S5405" s="51"/>
    </row>
    <row r="5406" spans="9:19" x14ac:dyDescent="0.25">
      <c r="I5406" s="1"/>
      <c r="J5406" s="71"/>
      <c r="M5406" s="46"/>
      <c r="R5406" s="51"/>
      <c r="S5406" s="51"/>
    </row>
    <row r="5407" spans="9:19" x14ac:dyDescent="0.25">
      <c r="I5407" s="1"/>
      <c r="J5407" s="71"/>
      <c r="M5407" s="46"/>
      <c r="R5407" s="51"/>
      <c r="S5407" s="51"/>
    </row>
    <row r="5408" spans="9:19" x14ac:dyDescent="0.25">
      <c r="I5408" s="1"/>
      <c r="J5408" s="71"/>
      <c r="M5408" s="46"/>
      <c r="R5408" s="51"/>
      <c r="S5408" s="51"/>
    </row>
    <row r="5409" spans="9:19" x14ac:dyDescent="0.25">
      <c r="I5409" s="1"/>
      <c r="J5409" s="71"/>
      <c r="M5409" s="46"/>
      <c r="R5409" s="51"/>
      <c r="S5409" s="51"/>
    </row>
    <row r="5410" spans="9:19" x14ac:dyDescent="0.25">
      <c r="I5410" s="1"/>
      <c r="J5410" s="71"/>
      <c r="M5410" s="46"/>
      <c r="R5410" s="51"/>
      <c r="S5410" s="51"/>
    </row>
    <row r="5411" spans="9:19" x14ac:dyDescent="0.25">
      <c r="I5411" s="1"/>
      <c r="J5411" s="71"/>
      <c r="M5411" s="46"/>
      <c r="R5411" s="51"/>
      <c r="S5411" s="51"/>
    </row>
    <row r="5412" spans="9:19" x14ac:dyDescent="0.25">
      <c r="I5412" s="1"/>
      <c r="J5412" s="71"/>
      <c r="M5412" s="46"/>
      <c r="R5412" s="51"/>
      <c r="S5412" s="51"/>
    </row>
    <row r="5413" spans="9:19" x14ac:dyDescent="0.25">
      <c r="I5413" s="1"/>
      <c r="J5413" s="71"/>
      <c r="M5413" s="46"/>
      <c r="R5413" s="51"/>
      <c r="S5413" s="51"/>
    </row>
    <row r="5414" spans="9:19" x14ac:dyDescent="0.25">
      <c r="I5414" s="1"/>
      <c r="J5414" s="71"/>
      <c r="M5414" s="46"/>
      <c r="R5414" s="51"/>
      <c r="S5414" s="51"/>
    </row>
    <row r="5415" spans="9:19" x14ac:dyDescent="0.25">
      <c r="I5415" s="1"/>
      <c r="J5415" s="71"/>
      <c r="M5415" s="46"/>
      <c r="R5415" s="51"/>
      <c r="S5415" s="51"/>
    </row>
    <row r="5416" spans="9:19" x14ac:dyDescent="0.25">
      <c r="I5416" s="1"/>
      <c r="J5416" s="71"/>
      <c r="M5416" s="46"/>
      <c r="R5416" s="51"/>
      <c r="S5416" s="51"/>
    </row>
    <row r="5417" spans="9:19" x14ac:dyDescent="0.25">
      <c r="I5417" s="1"/>
      <c r="J5417" s="71"/>
      <c r="M5417" s="46"/>
      <c r="R5417" s="51"/>
      <c r="S5417" s="51"/>
    </row>
    <row r="5418" spans="9:19" x14ac:dyDescent="0.25">
      <c r="I5418" s="1"/>
      <c r="J5418" s="71"/>
      <c r="M5418" s="46"/>
      <c r="R5418" s="51"/>
      <c r="S5418" s="51"/>
    </row>
    <row r="5419" spans="9:19" x14ac:dyDescent="0.25">
      <c r="I5419" s="1"/>
      <c r="J5419" s="71"/>
      <c r="M5419" s="46"/>
      <c r="R5419" s="51"/>
      <c r="S5419" s="51"/>
    </row>
    <row r="5420" spans="9:19" x14ac:dyDescent="0.25">
      <c r="I5420" s="1"/>
      <c r="J5420" s="71"/>
      <c r="M5420" s="46"/>
      <c r="R5420" s="51"/>
      <c r="S5420" s="51"/>
    </row>
    <row r="5421" spans="9:19" x14ac:dyDescent="0.25">
      <c r="I5421" s="1"/>
      <c r="J5421" s="71"/>
      <c r="M5421" s="46"/>
      <c r="R5421" s="51"/>
      <c r="S5421" s="51"/>
    </row>
    <row r="5422" spans="9:19" x14ac:dyDescent="0.25">
      <c r="I5422" s="1"/>
      <c r="J5422" s="71"/>
      <c r="M5422" s="46"/>
      <c r="R5422" s="51"/>
      <c r="S5422" s="51"/>
    </row>
    <row r="5423" spans="9:19" x14ac:dyDescent="0.25">
      <c r="I5423" s="1"/>
      <c r="J5423" s="71"/>
      <c r="M5423" s="46"/>
      <c r="R5423" s="51"/>
      <c r="S5423" s="51"/>
    </row>
    <row r="5424" spans="9:19" x14ac:dyDescent="0.25">
      <c r="I5424" s="1"/>
      <c r="J5424" s="71"/>
      <c r="M5424" s="46"/>
      <c r="R5424" s="51"/>
      <c r="S5424" s="51"/>
    </row>
    <row r="5425" spans="9:19" x14ac:dyDescent="0.25">
      <c r="I5425" s="1"/>
      <c r="J5425" s="71"/>
      <c r="M5425" s="46"/>
      <c r="R5425" s="51"/>
      <c r="S5425" s="51"/>
    </row>
    <row r="5426" spans="9:19" x14ac:dyDescent="0.25">
      <c r="I5426" s="1"/>
      <c r="J5426" s="71"/>
      <c r="M5426" s="46"/>
      <c r="R5426" s="51"/>
      <c r="S5426" s="51"/>
    </row>
    <row r="5427" spans="9:19" x14ac:dyDescent="0.25">
      <c r="I5427" s="1"/>
      <c r="J5427" s="71"/>
      <c r="M5427" s="46"/>
      <c r="R5427" s="51"/>
      <c r="S5427" s="51"/>
    </row>
    <row r="5428" spans="9:19" x14ac:dyDescent="0.25">
      <c r="I5428" s="1"/>
      <c r="J5428" s="71"/>
      <c r="M5428" s="46"/>
      <c r="R5428" s="51"/>
      <c r="S5428" s="51"/>
    </row>
    <row r="5429" spans="9:19" x14ac:dyDescent="0.25">
      <c r="I5429" s="1"/>
      <c r="J5429" s="71"/>
      <c r="M5429" s="46"/>
      <c r="R5429" s="51"/>
      <c r="S5429" s="51"/>
    </row>
    <row r="5430" spans="9:19" x14ac:dyDescent="0.25">
      <c r="I5430" s="1"/>
      <c r="J5430" s="71"/>
      <c r="M5430" s="46"/>
      <c r="R5430" s="51"/>
      <c r="S5430" s="51"/>
    </row>
    <row r="5431" spans="9:19" x14ac:dyDescent="0.25">
      <c r="I5431" s="1"/>
      <c r="J5431" s="71"/>
      <c r="M5431" s="46"/>
      <c r="R5431" s="51"/>
      <c r="S5431" s="51"/>
    </row>
    <row r="5432" spans="9:19" x14ac:dyDescent="0.25">
      <c r="I5432" s="1"/>
      <c r="J5432" s="71"/>
      <c r="M5432" s="46"/>
      <c r="R5432" s="51"/>
      <c r="S5432" s="51"/>
    </row>
    <row r="5433" spans="9:19" x14ac:dyDescent="0.25">
      <c r="I5433" s="1"/>
      <c r="J5433" s="71"/>
      <c r="M5433" s="46"/>
      <c r="R5433" s="51"/>
      <c r="S5433" s="51"/>
    </row>
    <row r="5434" spans="9:19" x14ac:dyDescent="0.25">
      <c r="I5434" s="1"/>
      <c r="J5434" s="71"/>
      <c r="M5434" s="46"/>
      <c r="R5434" s="51"/>
      <c r="S5434" s="51"/>
    </row>
    <row r="5435" spans="9:19" x14ac:dyDescent="0.25">
      <c r="I5435" s="1"/>
      <c r="J5435" s="71"/>
      <c r="M5435" s="46"/>
      <c r="R5435" s="51"/>
      <c r="S5435" s="51"/>
    </row>
    <row r="5436" spans="9:19" x14ac:dyDescent="0.25">
      <c r="I5436" s="1"/>
      <c r="J5436" s="71"/>
      <c r="M5436" s="46"/>
      <c r="R5436" s="51"/>
      <c r="S5436" s="51"/>
    </row>
    <row r="5437" spans="9:19" x14ac:dyDescent="0.25">
      <c r="I5437" s="1"/>
      <c r="J5437" s="71"/>
      <c r="M5437" s="46"/>
      <c r="R5437" s="51"/>
      <c r="S5437" s="51"/>
    </row>
    <row r="5438" spans="9:19" x14ac:dyDescent="0.25">
      <c r="I5438" s="1"/>
      <c r="J5438" s="71"/>
      <c r="M5438" s="46"/>
      <c r="R5438" s="51"/>
      <c r="S5438" s="51"/>
    </row>
    <row r="5439" spans="9:19" x14ac:dyDescent="0.25">
      <c r="I5439" s="1"/>
      <c r="J5439" s="71"/>
      <c r="M5439" s="46"/>
      <c r="R5439" s="51"/>
      <c r="S5439" s="51"/>
    </row>
    <row r="5440" spans="9:19" x14ac:dyDescent="0.25">
      <c r="I5440" s="1"/>
      <c r="J5440" s="71"/>
      <c r="M5440" s="46"/>
      <c r="R5440" s="51"/>
      <c r="S5440" s="51"/>
    </row>
    <row r="5441" spans="9:19" x14ac:dyDescent="0.25">
      <c r="I5441" s="1"/>
      <c r="J5441" s="71"/>
      <c r="M5441" s="46"/>
      <c r="R5441" s="51"/>
      <c r="S5441" s="51"/>
    </row>
    <row r="5442" spans="9:19" x14ac:dyDescent="0.25">
      <c r="I5442" s="1"/>
      <c r="J5442" s="71"/>
      <c r="M5442" s="46"/>
      <c r="R5442" s="51"/>
      <c r="S5442" s="51"/>
    </row>
    <row r="5443" spans="9:19" x14ac:dyDescent="0.25">
      <c r="I5443" s="1"/>
      <c r="J5443" s="71"/>
      <c r="M5443" s="46"/>
      <c r="R5443" s="51"/>
      <c r="S5443" s="51"/>
    </row>
    <row r="5444" spans="9:19" x14ac:dyDescent="0.25">
      <c r="I5444" s="1"/>
      <c r="J5444" s="71"/>
      <c r="M5444" s="46"/>
      <c r="R5444" s="51"/>
      <c r="S5444" s="51"/>
    </row>
    <row r="5445" spans="9:19" x14ac:dyDescent="0.25">
      <c r="I5445" s="1"/>
      <c r="J5445" s="71"/>
      <c r="M5445" s="46"/>
      <c r="R5445" s="51"/>
      <c r="S5445" s="51"/>
    </row>
    <row r="5446" spans="9:19" x14ac:dyDescent="0.25">
      <c r="I5446" s="1"/>
      <c r="J5446" s="71"/>
      <c r="M5446" s="46"/>
      <c r="R5446" s="51"/>
      <c r="S5446" s="51"/>
    </row>
    <row r="5447" spans="9:19" x14ac:dyDescent="0.25">
      <c r="I5447" s="1"/>
      <c r="J5447" s="71"/>
      <c r="M5447" s="46"/>
      <c r="R5447" s="51"/>
      <c r="S5447" s="51"/>
    </row>
    <row r="5448" spans="9:19" x14ac:dyDescent="0.25">
      <c r="I5448" s="1"/>
      <c r="J5448" s="71"/>
      <c r="M5448" s="46"/>
      <c r="R5448" s="51"/>
      <c r="S5448" s="51"/>
    </row>
    <row r="5449" spans="9:19" x14ac:dyDescent="0.25">
      <c r="I5449" s="1"/>
      <c r="J5449" s="71"/>
      <c r="M5449" s="46"/>
      <c r="R5449" s="51"/>
      <c r="S5449" s="51"/>
    </row>
    <row r="5450" spans="9:19" x14ac:dyDescent="0.25">
      <c r="I5450" s="1"/>
      <c r="J5450" s="71"/>
      <c r="M5450" s="46"/>
      <c r="R5450" s="51"/>
      <c r="S5450" s="51"/>
    </row>
    <row r="5451" spans="9:19" x14ac:dyDescent="0.25">
      <c r="I5451" s="1"/>
      <c r="J5451" s="71"/>
      <c r="M5451" s="46"/>
      <c r="R5451" s="51"/>
      <c r="S5451" s="51"/>
    </row>
    <row r="5452" spans="9:19" x14ac:dyDescent="0.25">
      <c r="I5452" s="1"/>
      <c r="J5452" s="71"/>
      <c r="M5452" s="46"/>
      <c r="R5452" s="51"/>
      <c r="S5452" s="51"/>
    </row>
    <row r="5453" spans="9:19" x14ac:dyDescent="0.25">
      <c r="I5453" s="1"/>
      <c r="J5453" s="71"/>
      <c r="M5453" s="46"/>
      <c r="R5453" s="51"/>
      <c r="S5453" s="51"/>
    </row>
    <row r="5454" spans="9:19" x14ac:dyDescent="0.25">
      <c r="I5454" s="1"/>
      <c r="J5454" s="71"/>
      <c r="M5454" s="46"/>
      <c r="R5454" s="51"/>
      <c r="S5454" s="51"/>
    </row>
    <row r="5455" spans="9:19" x14ac:dyDescent="0.25">
      <c r="I5455" s="1"/>
      <c r="J5455" s="71"/>
      <c r="M5455" s="46"/>
      <c r="R5455" s="51"/>
      <c r="S5455" s="51"/>
    </row>
    <row r="5456" spans="9:19" x14ac:dyDescent="0.25">
      <c r="I5456" s="1"/>
      <c r="J5456" s="71"/>
      <c r="M5456" s="46"/>
      <c r="R5456" s="51"/>
      <c r="S5456" s="51"/>
    </row>
    <row r="5457" spans="9:19" x14ac:dyDescent="0.25">
      <c r="I5457" s="1"/>
      <c r="J5457" s="71"/>
      <c r="M5457" s="46"/>
      <c r="R5457" s="51"/>
      <c r="S5457" s="51"/>
    </row>
    <row r="5458" spans="9:19" x14ac:dyDescent="0.25">
      <c r="I5458" s="1"/>
      <c r="J5458" s="71"/>
      <c r="M5458" s="46"/>
      <c r="R5458" s="51"/>
      <c r="S5458" s="51"/>
    </row>
    <row r="5459" spans="9:19" x14ac:dyDescent="0.25">
      <c r="I5459" s="1"/>
      <c r="J5459" s="71"/>
      <c r="M5459" s="46"/>
      <c r="R5459" s="51"/>
      <c r="S5459" s="51"/>
    </row>
    <row r="5460" spans="9:19" x14ac:dyDescent="0.25">
      <c r="I5460" s="1"/>
      <c r="J5460" s="71"/>
      <c r="M5460" s="46"/>
      <c r="R5460" s="51"/>
      <c r="S5460" s="51"/>
    </row>
    <row r="5461" spans="9:19" x14ac:dyDescent="0.25">
      <c r="I5461" s="1"/>
      <c r="J5461" s="71"/>
      <c r="M5461" s="46"/>
      <c r="R5461" s="51"/>
      <c r="S5461" s="51"/>
    </row>
    <row r="5462" spans="9:19" x14ac:dyDescent="0.25">
      <c r="I5462" s="1"/>
      <c r="J5462" s="71"/>
      <c r="M5462" s="46"/>
      <c r="R5462" s="51"/>
      <c r="S5462" s="51"/>
    </row>
    <row r="5463" spans="9:19" x14ac:dyDescent="0.25">
      <c r="I5463" s="1"/>
      <c r="J5463" s="71"/>
      <c r="M5463" s="46"/>
      <c r="R5463" s="51"/>
      <c r="S5463" s="51"/>
    </row>
    <row r="5464" spans="9:19" x14ac:dyDescent="0.25">
      <c r="I5464" s="1"/>
      <c r="J5464" s="71"/>
      <c r="M5464" s="46"/>
      <c r="R5464" s="51"/>
      <c r="S5464" s="51"/>
    </row>
    <row r="5465" spans="9:19" x14ac:dyDescent="0.25">
      <c r="I5465" s="1"/>
      <c r="J5465" s="71"/>
      <c r="M5465" s="46"/>
      <c r="R5465" s="51"/>
      <c r="S5465" s="51"/>
    </row>
    <row r="5466" spans="9:19" x14ac:dyDescent="0.25">
      <c r="I5466" s="1"/>
      <c r="J5466" s="71"/>
      <c r="M5466" s="46"/>
      <c r="R5466" s="51"/>
      <c r="S5466" s="51"/>
    </row>
    <row r="5467" spans="9:19" x14ac:dyDescent="0.25">
      <c r="I5467" s="1"/>
      <c r="J5467" s="71"/>
      <c r="M5467" s="46"/>
      <c r="R5467" s="51"/>
      <c r="S5467" s="51"/>
    </row>
    <row r="5468" spans="9:19" x14ac:dyDescent="0.25">
      <c r="I5468" s="1"/>
      <c r="J5468" s="71"/>
      <c r="M5468" s="46"/>
      <c r="R5468" s="51"/>
      <c r="S5468" s="51"/>
    </row>
    <row r="5469" spans="9:19" x14ac:dyDescent="0.25">
      <c r="I5469" s="1"/>
      <c r="J5469" s="71"/>
      <c r="M5469" s="46"/>
      <c r="R5469" s="51"/>
      <c r="S5469" s="51"/>
    </row>
    <row r="5470" spans="9:19" x14ac:dyDescent="0.25">
      <c r="I5470" s="1"/>
      <c r="J5470" s="71"/>
      <c r="M5470" s="46"/>
      <c r="R5470" s="51"/>
      <c r="S5470" s="51"/>
    </row>
    <row r="5471" spans="9:19" x14ac:dyDescent="0.25">
      <c r="I5471" s="1"/>
      <c r="J5471" s="71"/>
      <c r="M5471" s="46"/>
      <c r="R5471" s="51"/>
      <c r="S5471" s="51"/>
    </row>
    <row r="5472" spans="9:19" x14ac:dyDescent="0.25">
      <c r="I5472" s="1"/>
      <c r="J5472" s="71"/>
      <c r="M5472" s="46"/>
      <c r="R5472" s="51"/>
      <c r="S5472" s="51"/>
    </row>
    <row r="5473" spans="9:19" x14ac:dyDescent="0.25">
      <c r="I5473" s="1"/>
      <c r="J5473" s="71"/>
      <c r="M5473" s="46"/>
      <c r="R5473" s="51"/>
      <c r="S5473" s="51"/>
    </row>
    <row r="5474" spans="9:19" x14ac:dyDescent="0.25">
      <c r="I5474" s="1"/>
      <c r="J5474" s="71"/>
      <c r="M5474" s="46"/>
      <c r="R5474" s="51"/>
      <c r="S5474" s="51"/>
    </row>
    <row r="5475" spans="9:19" x14ac:dyDescent="0.25">
      <c r="I5475" s="1"/>
      <c r="J5475" s="71"/>
      <c r="M5475" s="46"/>
      <c r="R5475" s="51"/>
      <c r="S5475" s="51"/>
    </row>
    <row r="5476" spans="9:19" x14ac:dyDescent="0.25">
      <c r="I5476" s="1"/>
      <c r="J5476" s="71"/>
      <c r="M5476" s="46"/>
      <c r="R5476" s="51"/>
      <c r="S5476" s="51"/>
    </row>
    <row r="5477" spans="9:19" x14ac:dyDescent="0.25">
      <c r="I5477" s="1"/>
      <c r="J5477" s="71"/>
      <c r="M5477" s="46"/>
      <c r="R5477" s="51"/>
      <c r="S5477" s="51"/>
    </row>
    <row r="5478" spans="9:19" x14ac:dyDescent="0.25">
      <c r="I5478" s="1"/>
      <c r="J5478" s="71"/>
      <c r="M5478" s="46"/>
      <c r="R5478" s="51"/>
      <c r="S5478" s="51"/>
    </row>
    <row r="5479" spans="9:19" x14ac:dyDescent="0.25">
      <c r="I5479" s="1"/>
      <c r="J5479" s="71"/>
      <c r="M5479" s="46"/>
      <c r="R5479" s="51"/>
      <c r="S5479" s="51"/>
    </row>
    <row r="5480" spans="9:19" x14ac:dyDescent="0.25">
      <c r="I5480" s="1"/>
      <c r="J5480" s="71"/>
      <c r="M5480" s="46"/>
      <c r="R5480" s="51"/>
      <c r="S5480" s="51"/>
    </row>
    <row r="5481" spans="9:19" x14ac:dyDescent="0.25">
      <c r="I5481" s="1"/>
      <c r="J5481" s="71"/>
      <c r="M5481" s="46"/>
      <c r="R5481" s="51"/>
      <c r="S5481" s="51"/>
    </row>
    <row r="5482" spans="9:19" x14ac:dyDescent="0.25">
      <c r="I5482" s="1"/>
      <c r="J5482" s="71"/>
      <c r="M5482" s="46"/>
      <c r="R5482" s="51"/>
      <c r="S5482" s="51"/>
    </row>
    <row r="5483" spans="9:19" x14ac:dyDescent="0.25">
      <c r="I5483" s="1"/>
      <c r="J5483" s="71"/>
      <c r="M5483" s="46"/>
      <c r="R5483" s="51"/>
      <c r="S5483" s="51"/>
    </row>
    <row r="5484" spans="9:19" x14ac:dyDescent="0.25">
      <c r="I5484" s="1"/>
      <c r="J5484" s="71"/>
      <c r="M5484" s="46"/>
      <c r="R5484" s="51"/>
      <c r="S5484" s="51"/>
    </row>
    <row r="5485" spans="9:19" x14ac:dyDescent="0.25">
      <c r="I5485" s="1"/>
      <c r="J5485" s="71"/>
      <c r="M5485" s="46"/>
      <c r="R5485" s="51"/>
      <c r="S5485" s="51"/>
    </row>
    <row r="5486" spans="9:19" x14ac:dyDescent="0.25">
      <c r="I5486" s="1"/>
      <c r="J5486" s="71"/>
      <c r="M5486" s="46"/>
      <c r="R5486" s="51"/>
      <c r="S5486" s="51"/>
    </row>
    <row r="5487" spans="9:19" x14ac:dyDescent="0.25">
      <c r="I5487" s="1"/>
      <c r="J5487" s="71"/>
      <c r="M5487" s="46"/>
      <c r="R5487" s="51"/>
      <c r="S5487" s="51"/>
    </row>
    <row r="5488" spans="9:19" x14ac:dyDescent="0.25">
      <c r="I5488" s="1"/>
      <c r="J5488" s="71"/>
      <c r="M5488" s="46"/>
      <c r="R5488" s="51"/>
      <c r="S5488" s="51"/>
    </row>
    <row r="5489" spans="9:19" x14ac:dyDescent="0.25">
      <c r="I5489" s="1"/>
      <c r="J5489" s="71"/>
      <c r="M5489" s="46"/>
      <c r="R5489" s="51"/>
      <c r="S5489" s="51"/>
    </row>
    <row r="5490" spans="9:19" x14ac:dyDescent="0.25">
      <c r="I5490" s="1"/>
      <c r="J5490" s="71"/>
      <c r="M5490" s="46"/>
      <c r="R5490" s="51"/>
      <c r="S5490" s="51"/>
    </row>
    <row r="5491" spans="9:19" x14ac:dyDescent="0.25">
      <c r="I5491" s="1"/>
      <c r="J5491" s="71"/>
      <c r="M5491" s="46"/>
      <c r="R5491" s="51"/>
      <c r="S5491" s="51"/>
    </row>
    <row r="5492" spans="9:19" x14ac:dyDescent="0.25">
      <c r="I5492" s="1"/>
      <c r="J5492" s="71"/>
      <c r="M5492" s="46"/>
      <c r="R5492" s="51"/>
      <c r="S5492" s="51"/>
    </row>
    <row r="5493" spans="9:19" x14ac:dyDescent="0.25">
      <c r="I5493" s="1"/>
      <c r="J5493" s="71"/>
      <c r="M5493" s="46"/>
      <c r="R5493" s="51"/>
      <c r="S5493" s="51"/>
    </row>
    <row r="5494" spans="9:19" x14ac:dyDescent="0.25">
      <c r="I5494" s="1"/>
      <c r="J5494" s="71"/>
      <c r="M5494" s="46"/>
      <c r="R5494" s="51"/>
      <c r="S5494" s="51"/>
    </row>
    <row r="5495" spans="9:19" x14ac:dyDescent="0.25">
      <c r="I5495" s="1"/>
      <c r="J5495" s="71"/>
      <c r="M5495" s="46"/>
      <c r="R5495" s="51"/>
      <c r="S5495" s="51"/>
    </row>
    <row r="5496" spans="9:19" x14ac:dyDescent="0.25">
      <c r="I5496" s="1"/>
      <c r="J5496" s="71"/>
      <c r="M5496" s="46"/>
      <c r="R5496" s="51"/>
      <c r="S5496" s="51"/>
    </row>
    <row r="5497" spans="9:19" x14ac:dyDescent="0.25">
      <c r="I5497" s="1"/>
      <c r="J5497" s="71"/>
      <c r="M5497" s="46"/>
      <c r="R5497" s="51"/>
      <c r="S5497" s="51"/>
    </row>
    <row r="5498" spans="9:19" x14ac:dyDescent="0.25">
      <c r="I5498" s="1"/>
      <c r="J5498" s="71"/>
      <c r="M5498" s="46"/>
      <c r="R5498" s="51"/>
      <c r="S5498" s="51"/>
    </row>
    <row r="5499" spans="9:19" x14ac:dyDescent="0.25">
      <c r="I5499" s="1"/>
      <c r="J5499" s="71"/>
      <c r="M5499" s="46"/>
      <c r="R5499" s="51"/>
      <c r="S5499" s="51"/>
    </row>
    <row r="5500" spans="9:19" x14ac:dyDescent="0.25">
      <c r="I5500" s="1"/>
      <c r="J5500" s="71"/>
      <c r="M5500" s="46"/>
      <c r="R5500" s="51"/>
      <c r="S5500" s="51"/>
    </row>
    <row r="5501" spans="9:19" x14ac:dyDescent="0.25">
      <c r="I5501" s="1"/>
      <c r="J5501" s="71"/>
      <c r="M5501" s="46"/>
      <c r="R5501" s="51"/>
      <c r="S5501" s="51"/>
    </row>
    <row r="5502" spans="9:19" x14ac:dyDescent="0.25">
      <c r="I5502" s="1"/>
      <c r="J5502" s="71"/>
      <c r="M5502" s="46"/>
      <c r="R5502" s="51"/>
      <c r="S5502" s="51"/>
    </row>
    <row r="5503" spans="9:19" x14ac:dyDescent="0.25">
      <c r="I5503" s="1"/>
      <c r="J5503" s="71"/>
      <c r="M5503" s="46"/>
      <c r="R5503" s="51"/>
      <c r="S5503" s="51"/>
    </row>
    <row r="5504" spans="9:19" x14ac:dyDescent="0.25">
      <c r="I5504" s="1"/>
      <c r="J5504" s="71"/>
      <c r="M5504" s="46"/>
      <c r="R5504" s="51"/>
      <c r="S5504" s="51"/>
    </row>
    <row r="5505" spans="9:19" x14ac:dyDescent="0.25">
      <c r="I5505" s="1"/>
      <c r="J5505" s="71"/>
      <c r="M5505" s="46"/>
      <c r="R5505" s="51"/>
      <c r="S5505" s="51"/>
    </row>
    <row r="5506" spans="9:19" x14ac:dyDescent="0.25">
      <c r="I5506" s="1"/>
      <c r="J5506" s="71"/>
      <c r="M5506" s="46"/>
      <c r="R5506" s="51"/>
      <c r="S5506" s="51"/>
    </row>
    <row r="5507" spans="9:19" x14ac:dyDescent="0.25">
      <c r="I5507" s="1"/>
      <c r="J5507" s="71"/>
      <c r="M5507" s="46"/>
      <c r="R5507" s="51"/>
      <c r="S5507" s="51"/>
    </row>
    <row r="5508" spans="9:19" x14ac:dyDescent="0.25">
      <c r="I5508" s="1"/>
      <c r="J5508" s="71"/>
      <c r="M5508" s="46"/>
      <c r="R5508" s="51"/>
      <c r="S5508" s="51"/>
    </row>
    <row r="5509" spans="9:19" x14ac:dyDescent="0.25">
      <c r="I5509" s="1"/>
      <c r="J5509" s="71"/>
      <c r="M5509" s="46"/>
      <c r="R5509" s="51"/>
      <c r="S5509" s="51"/>
    </row>
    <row r="5510" spans="9:19" x14ac:dyDescent="0.25">
      <c r="I5510" s="1"/>
      <c r="J5510" s="71"/>
      <c r="M5510" s="46"/>
      <c r="R5510" s="51"/>
      <c r="S5510" s="51"/>
    </row>
    <row r="5511" spans="9:19" x14ac:dyDescent="0.25">
      <c r="I5511" s="1"/>
      <c r="J5511" s="71"/>
      <c r="M5511" s="46"/>
      <c r="R5511" s="51"/>
      <c r="S5511" s="51"/>
    </row>
    <row r="5512" spans="9:19" x14ac:dyDescent="0.25">
      <c r="I5512" s="1"/>
      <c r="J5512" s="71"/>
      <c r="M5512" s="46"/>
      <c r="R5512" s="51"/>
      <c r="S5512" s="51"/>
    </row>
    <row r="5513" spans="9:19" x14ac:dyDescent="0.25">
      <c r="I5513" s="1"/>
      <c r="J5513" s="71"/>
      <c r="M5513" s="46"/>
      <c r="R5513" s="51"/>
      <c r="S5513" s="51"/>
    </row>
    <row r="5514" spans="9:19" x14ac:dyDescent="0.25">
      <c r="I5514" s="1"/>
      <c r="J5514" s="71"/>
      <c r="M5514" s="46"/>
      <c r="R5514" s="51"/>
      <c r="S5514" s="51"/>
    </row>
    <row r="5515" spans="9:19" x14ac:dyDescent="0.25">
      <c r="I5515" s="1"/>
      <c r="J5515" s="71"/>
      <c r="M5515" s="46"/>
      <c r="R5515" s="51"/>
      <c r="S5515" s="51"/>
    </row>
    <row r="5516" spans="9:19" x14ac:dyDescent="0.25">
      <c r="I5516" s="1"/>
      <c r="J5516" s="71"/>
      <c r="M5516" s="46"/>
      <c r="R5516" s="51"/>
      <c r="S5516" s="51"/>
    </row>
    <row r="5517" spans="9:19" x14ac:dyDescent="0.25">
      <c r="I5517" s="1"/>
      <c r="J5517" s="71"/>
      <c r="M5517" s="46"/>
      <c r="R5517" s="51"/>
      <c r="S5517" s="51"/>
    </row>
    <row r="5518" spans="9:19" x14ac:dyDescent="0.25">
      <c r="I5518" s="1"/>
      <c r="J5518" s="71"/>
      <c r="M5518" s="46"/>
      <c r="R5518" s="51"/>
      <c r="S5518" s="51"/>
    </row>
    <row r="5519" spans="9:19" x14ac:dyDescent="0.25">
      <c r="I5519" s="1"/>
      <c r="J5519" s="71"/>
      <c r="M5519" s="46"/>
      <c r="R5519" s="51"/>
      <c r="S5519" s="51"/>
    </row>
    <row r="5520" spans="9:19" x14ac:dyDescent="0.25">
      <c r="I5520" s="1"/>
      <c r="J5520" s="71"/>
      <c r="M5520" s="46"/>
      <c r="R5520" s="51"/>
      <c r="S5520" s="51"/>
    </row>
    <row r="5521" spans="9:19" x14ac:dyDescent="0.25">
      <c r="I5521" s="1"/>
      <c r="J5521" s="71"/>
      <c r="M5521" s="46"/>
      <c r="R5521" s="51"/>
      <c r="S5521" s="51"/>
    </row>
    <row r="5522" spans="9:19" x14ac:dyDescent="0.25">
      <c r="I5522" s="1"/>
      <c r="J5522" s="71"/>
      <c r="M5522" s="46"/>
      <c r="R5522" s="51"/>
      <c r="S5522" s="51"/>
    </row>
    <row r="5523" spans="9:19" x14ac:dyDescent="0.25">
      <c r="I5523" s="1"/>
      <c r="J5523" s="71"/>
      <c r="M5523" s="46"/>
      <c r="R5523" s="51"/>
      <c r="S5523" s="51"/>
    </row>
    <row r="5524" spans="9:19" x14ac:dyDescent="0.25">
      <c r="I5524" s="1"/>
      <c r="J5524" s="71"/>
      <c r="M5524" s="46"/>
      <c r="R5524" s="51"/>
      <c r="S5524" s="51"/>
    </row>
    <row r="5525" spans="9:19" x14ac:dyDescent="0.25">
      <c r="I5525" s="1"/>
      <c r="J5525" s="71"/>
      <c r="M5525" s="46"/>
      <c r="R5525" s="51"/>
      <c r="S5525" s="51"/>
    </row>
    <row r="5526" spans="9:19" x14ac:dyDescent="0.25">
      <c r="I5526" s="1"/>
      <c r="J5526" s="71"/>
      <c r="M5526" s="46"/>
      <c r="R5526" s="51"/>
      <c r="S5526" s="51"/>
    </row>
    <row r="5527" spans="9:19" x14ac:dyDescent="0.25">
      <c r="I5527" s="1"/>
      <c r="J5527" s="71"/>
      <c r="M5527" s="46"/>
      <c r="R5527" s="51"/>
      <c r="S5527" s="51"/>
    </row>
    <row r="5528" spans="9:19" x14ac:dyDescent="0.25">
      <c r="I5528" s="1"/>
      <c r="J5528" s="71"/>
      <c r="M5528" s="46"/>
      <c r="R5528" s="51"/>
      <c r="S5528" s="51"/>
    </row>
    <row r="5529" spans="9:19" x14ac:dyDescent="0.25">
      <c r="I5529" s="1"/>
      <c r="J5529" s="71"/>
      <c r="M5529" s="46"/>
      <c r="R5529" s="51"/>
      <c r="S5529" s="51"/>
    </row>
    <row r="5530" spans="9:19" x14ac:dyDescent="0.25">
      <c r="I5530" s="1"/>
      <c r="J5530" s="71"/>
      <c r="M5530" s="46"/>
      <c r="R5530" s="51"/>
      <c r="S5530" s="51"/>
    </row>
    <row r="5531" spans="9:19" x14ac:dyDescent="0.25">
      <c r="I5531" s="1"/>
      <c r="J5531" s="71"/>
      <c r="M5531" s="46"/>
      <c r="R5531" s="51"/>
      <c r="S5531" s="51"/>
    </row>
    <row r="5532" spans="9:19" x14ac:dyDescent="0.25">
      <c r="I5532" s="1"/>
      <c r="J5532" s="71"/>
      <c r="M5532" s="46"/>
      <c r="R5532" s="51"/>
      <c r="S5532" s="51"/>
    </row>
    <row r="5533" spans="9:19" x14ac:dyDescent="0.25">
      <c r="I5533" s="1"/>
      <c r="J5533" s="71"/>
      <c r="M5533" s="46"/>
      <c r="R5533" s="51"/>
      <c r="S5533" s="51"/>
    </row>
    <row r="5534" spans="9:19" x14ac:dyDescent="0.25">
      <c r="I5534" s="1"/>
      <c r="J5534" s="71"/>
      <c r="M5534" s="46"/>
      <c r="R5534" s="51"/>
      <c r="S5534" s="51"/>
    </row>
    <row r="5535" spans="9:19" x14ac:dyDescent="0.25">
      <c r="I5535" s="1"/>
      <c r="J5535" s="71"/>
      <c r="M5535" s="46"/>
      <c r="R5535" s="51"/>
      <c r="S5535" s="51"/>
    </row>
    <row r="5536" spans="9:19" x14ac:dyDescent="0.25">
      <c r="I5536" s="1"/>
      <c r="J5536" s="71"/>
      <c r="M5536" s="46"/>
      <c r="R5536" s="51"/>
      <c r="S5536" s="51"/>
    </row>
    <row r="5537" spans="9:19" x14ac:dyDescent="0.25">
      <c r="I5537" s="1"/>
      <c r="J5537" s="71"/>
      <c r="M5537" s="46"/>
      <c r="R5537" s="51"/>
      <c r="S5537" s="51"/>
    </row>
    <row r="5538" spans="9:19" x14ac:dyDescent="0.25">
      <c r="I5538" s="1"/>
      <c r="J5538" s="71"/>
      <c r="M5538" s="46"/>
      <c r="R5538" s="51"/>
      <c r="S5538" s="51"/>
    </row>
    <row r="5539" spans="9:19" x14ac:dyDescent="0.25">
      <c r="I5539" s="1"/>
      <c r="J5539" s="71"/>
      <c r="M5539" s="46"/>
      <c r="R5539" s="51"/>
      <c r="S5539" s="51"/>
    </row>
    <row r="5540" spans="9:19" x14ac:dyDescent="0.25">
      <c r="I5540" s="1"/>
      <c r="J5540" s="71"/>
      <c r="M5540" s="46"/>
      <c r="R5540" s="51"/>
      <c r="S5540" s="51"/>
    </row>
    <row r="5541" spans="9:19" x14ac:dyDescent="0.25">
      <c r="I5541" s="1"/>
      <c r="J5541" s="71"/>
      <c r="M5541" s="46"/>
      <c r="R5541" s="51"/>
      <c r="S5541" s="51"/>
    </row>
    <row r="5542" spans="9:19" x14ac:dyDescent="0.25">
      <c r="I5542" s="1"/>
      <c r="J5542" s="71"/>
      <c r="M5542" s="46"/>
      <c r="R5542" s="51"/>
      <c r="S5542" s="51"/>
    </row>
    <row r="5543" spans="9:19" x14ac:dyDescent="0.25">
      <c r="I5543" s="1"/>
      <c r="J5543" s="71"/>
      <c r="M5543" s="46"/>
      <c r="R5543" s="51"/>
      <c r="S5543" s="51"/>
    </row>
    <row r="5544" spans="9:19" x14ac:dyDescent="0.25">
      <c r="I5544" s="1"/>
      <c r="J5544" s="71"/>
      <c r="M5544" s="46"/>
      <c r="R5544" s="51"/>
      <c r="S5544" s="51"/>
    </row>
    <row r="5545" spans="9:19" x14ac:dyDescent="0.25">
      <c r="I5545" s="1"/>
      <c r="J5545" s="71"/>
      <c r="M5545" s="46"/>
      <c r="R5545" s="51"/>
      <c r="S5545" s="51"/>
    </row>
    <row r="5546" spans="9:19" x14ac:dyDescent="0.25">
      <c r="I5546" s="1"/>
      <c r="J5546" s="71"/>
      <c r="M5546" s="46"/>
      <c r="R5546" s="51"/>
      <c r="S5546" s="51"/>
    </row>
    <row r="5547" spans="9:19" x14ac:dyDescent="0.25">
      <c r="I5547" s="1"/>
      <c r="J5547" s="71"/>
      <c r="M5547" s="46"/>
      <c r="R5547" s="51"/>
      <c r="S5547" s="51"/>
    </row>
    <row r="5548" spans="9:19" x14ac:dyDescent="0.25">
      <c r="I5548" s="1"/>
      <c r="J5548" s="71"/>
      <c r="M5548" s="46"/>
      <c r="R5548" s="51"/>
      <c r="S5548" s="51"/>
    </row>
    <row r="5549" spans="9:19" x14ac:dyDescent="0.25">
      <c r="I5549" s="1"/>
      <c r="J5549" s="71"/>
      <c r="M5549" s="46"/>
      <c r="R5549" s="51"/>
      <c r="S5549" s="51"/>
    </row>
    <row r="5550" spans="9:19" x14ac:dyDescent="0.25">
      <c r="I5550" s="1"/>
      <c r="J5550" s="71"/>
      <c r="M5550" s="46"/>
      <c r="R5550" s="51"/>
      <c r="S5550" s="51"/>
    </row>
    <row r="5551" spans="9:19" x14ac:dyDescent="0.25">
      <c r="I5551" s="1"/>
      <c r="J5551" s="71"/>
      <c r="M5551" s="46"/>
      <c r="R5551" s="51"/>
      <c r="S5551" s="51"/>
    </row>
    <row r="5552" spans="9:19" x14ac:dyDescent="0.25">
      <c r="I5552" s="1"/>
      <c r="J5552" s="71"/>
      <c r="M5552" s="46"/>
      <c r="R5552" s="51"/>
      <c r="S5552" s="51"/>
    </row>
    <row r="5553" spans="9:19" x14ac:dyDescent="0.25">
      <c r="I5553" s="1"/>
      <c r="J5553" s="71"/>
      <c r="M5553" s="46"/>
      <c r="R5553" s="51"/>
      <c r="S5553" s="51"/>
    </row>
    <row r="5554" spans="9:19" x14ac:dyDescent="0.25">
      <c r="I5554" s="1"/>
      <c r="J5554" s="71"/>
      <c r="M5554" s="46"/>
      <c r="R5554" s="51"/>
      <c r="S5554" s="51"/>
    </row>
    <row r="5555" spans="9:19" x14ac:dyDescent="0.25">
      <c r="I5555" s="1"/>
      <c r="J5555" s="71"/>
      <c r="M5555" s="46"/>
      <c r="R5555" s="51"/>
      <c r="S5555" s="51"/>
    </row>
    <row r="5556" spans="9:19" x14ac:dyDescent="0.25">
      <c r="I5556" s="1"/>
      <c r="J5556" s="71"/>
      <c r="M5556" s="46"/>
      <c r="R5556" s="51"/>
      <c r="S5556" s="51"/>
    </row>
    <row r="5557" spans="9:19" x14ac:dyDescent="0.25">
      <c r="I5557" s="1"/>
      <c r="J5557" s="71"/>
      <c r="M5557" s="46"/>
      <c r="R5557" s="51"/>
      <c r="S5557" s="51"/>
    </row>
    <row r="5558" spans="9:19" x14ac:dyDescent="0.25">
      <c r="I5558" s="1"/>
      <c r="J5558" s="71"/>
      <c r="M5558" s="46"/>
      <c r="R5558" s="51"/>
      <c r="S5558" s="51"/>
    </row>
    <row r="5559" spans="9:19" x14ac:dyDescent="0.25">
      <c r="I5559" s="1"/>
      <c r="J5559" s="71"/>
      <c r="M5559" s="46"/>
      <c r="R5559" s="51"/>
      <c r="S5559" s="51"/>
    </row>
    <row r="5560" spans="9:19" x14ac:dyDescent="0.25">
      <c r="I5560" s="1"/>
      <c r="J5560" s="71"/>
      <c r="M5560" s="46"/>
      <c r="R5560" s="51"/>
      <c r="S5560" s="51"/>
    </row>
    <row r="5561" spans="9:19" x14ac:dyDescent="0.25">
      <c r="I5561" s="1"/>
      <c r="J5561" s="71"/>
      <c r="M5561" s="46"/>
      <c r="R5561" s="51"/>
      <c r="S5561" s="51"/>
    </row>
    <row r="5562" spans="9:19" x14ac:dyDescent="0.25">
      <c r="I5562" s="1"/>
      <c r="J5562" s="71"/>
      <c r="M5562" s="46"/>
      <c r="R5562" s="51"/>
      <c r="S5562" s="51"/>
    </row>
    <row r="5563" spans="9:19" x14ac:dyDescent="0.25">
      <c r="I5563" s="1"/>
      <c r="J5563" s="71"/>
      <c r="M5563" s="46"/>
      <c r="R5563" s="51"/>
      <c r="S5563" s="51"/>
    </row>
    <row r="5564" spans="9:19" x14ac:dyDescent="0.25">
      <c r="I5564" s="1"/>
      <c r="J5564" s="71"/>
      <c r="M5564" s="46"/>
      <c r="R5564" s="51"/>
      <c r="S5564" s="51"/>
    </row>
    <row r="5565" spans="9:19" x14ac:dyDescent="0.25">
      <c r="I5565" s="1"/>
      <c r="J5565" s="71"/>
      <c r="M5565" s="46"/>
      <c r="R5565" s="51"/>
      <c r="S5565" s="51"/>
    </row>
    <row r="5566" spans="9:19" x14ac:dyDescent="0.25">
      <c r="I5566" s="1"/>
      <c r="J5566" s="71"/>
      <c r="M5566" s="46"/>
      <c r="R5566" s="51"/>
      <c r="S5566" s="51"/>
    </row>
    <row r="5567" spans="9:19" x14ac:dyDescent="0.25">
      <c r="I5567" s="1"/>
      <c r="J5567" s="71"/>
      <c r="M5567" s="46"/>
      <c r="R5567" s="51"/>
      <c r="S5567" s="51"/>
    </row>
    <row r="5568" spans="9:19" x14ac:dyDescent="0.25">
      <c r="I5568" s="1"/>
      <c r="J5568" s="71"/>
      <c r="M5568" s="46"/>
      <c r="R5568" s="51"/>
      <c r="S5568" s="51"/>
    </row>
    <row r="5569" spans="9:19" x14ac:dyDescent="0.25">
      <c r="I5569" s="1"/>
      <c r="J5569" s="71"/>
      <c r="M5569" s="46"/>
      <c r="R5569" s="51"/>
      <c r="S5569" s="51"/>
    </row>
    <row r="5570" spans="9:19" x14ac:dyDescent="0.25">
      <c r="I5570" s="1"/>
      <c r="J5570" s="71"/>
      <c r="M5570" s="46"/>
      <c r="R5570" s="51"/>
      <c r="S5570" s="51"/>
    </row>
    <row r="5571" spans="9:19" x14ac:dyDescent="0.25">
      <c r="I5571" s="1"/>
      <c r="J5571" s="71"/>
      <c r="M5571" s="46"/>
      <c r="R5571" s="51"/>
      <c r="S5571" s="51"/>
    </row>
    <row r="5572" spans="9:19" x14ac:dyDescent="0.25">
      <c r="I5572" s="1"/>
      <c r="J5572" s="71"/>
      <c r="M5572" s="46"/>
      <c r="R5572" s="51"/>
      <c r="S5572" s="51"/>
    </row>
    <row r="5573" spans="9:19" x14ac:dyDescent="0.25">
      <c r="I5573" s="1"/>
      <c r="J5573" s="71"/>
      <c r="M5573" s="46"/>
      <c r="R5573" s="51"/>
      <c r="S5573" s="51"/>
    </row>
    <row r="5574" spans="9:19" x14ac:dyDescent="0.25">
      <c r="I5574" s="1"/>
      <c r="J5574" s="71"/>
      <c r="M5574" s="46"/>
      <c r="R5574" s="51"/>
      <c r="S5574" s="51"/>
    </row>
    <row r="5575" spans="9:19" x14ac:dyDescent="0.25">
      <c r="I5575" s="1"/>
      <c r="J5575" s="71"/>
      <c r="M5575" s="46"/>
      <c r="R5575" s="51"/>
      <c r="S5575" s="51"/>
    </row>
    <row r="5576" spans="9:19" x14ac:dyDescent="0.25">
      <c r="I5576" s="1"/>
      <c r="J5576" s="71"/>
      <c r="M5576" s="46"/>
      <c r="R5576" s="51"/>
      <c r="S5576" s="51"/>
    </row>
    <row r="5577" spans="9:19" x14ac:dyDescent="0.25">
      <c r="I5577" s="1"/>
      <c r="J5577" s="71"/>
      <c r="M5577" s="46"/>
      <c r="R5577" s="51"/>
      <c r="S5577" s="51"/>
    </row>
    <row r="5578" spans="9:19" x14ac:dyDescent="0.25">
      <c r="I5578" s="1"/>
      <c r="J5578" s="71"/>
      <c r="M5578" s="46"/>
      <c r="R5578" s="51"/>
      <c r="S5578" s="51"/>
    </row>
    <row r="5579" spans="9:19" x14ac:dyDescent="0.25">
      <c r="I5579" s="1"/>
      <c r="J5579" s="71"/>
      <c r="M5579" s="46"/>
      <c r="R5579" s="51"/>
      <c r="S5579" s="51"/>
    </row>
    <row r="5580" spans="9:19" x14ac:dyDescent="0.25">
      <c r="I5580" s="1"/>
      <c r="J5580" s="71"/>
      <c r="M5580" s="46"/>
      <c r="R5580" s="51"/>
      <c r="S5580" s="51"/>
    </row>
    <row r="5581" spans="9:19" x14ac:dyDescent="0.25">
      <c r="I5581" s="1"/>
      <c r="J5581" s="71"/>
      <c r="M5581" s="46"/>
      <c r="R5581" s="51"/>
      <c r="S5581" s="51"/>
    </row>
    <row r="5582" spans="9:19" x14ac:dyDescent="0.25">
      <c r="I5582" s="1"/>
      <c r="J5582" s="71"/>
      <c r="M5582" s="46"/>
      <c r="R5582" s="51"/>
      <c r="S5582" s="51"/>
    </row>
    <row r="5583" spans="9:19" x14ac:dyDescent="0.25">
      <c r="I5583" s="1"/>
      <c r="J5583" s="71"/>
      <c r="M5583" s="46"/>
      <c r="R5583" s="51"/>
      <c r="S5583" s="51"/>
    </row>
    <row r="5584" spans="9:19" x14ac:dyDescent="0.25">
      <c r="I5584" s="1"/>
      <c r="J5584" s="71"/>
      <c r="M5584" s="46"/>
      <c r="R5584" s="51"/>
      <c r="S5584" s="51"/>
    </row>
    <row r="5585" spans="9:19" x14ac:dyDescent="0.25">
      <c r="I5585" s="1"/>
      <c r="J5585" s="71"/>
      <c r="M5585" s="46"/>
      <c r="R5585" s="51"/>
      <c r="S5585" s="51"/>
    </row>
    <row r="5586" spans="9:19" x14ac:dyDescent="0.25">
      <c r="I5586" s="1"/>
      <c r="J5586" s="71"/>
      <c r="M5586" s="46"/>
      <c r="R5586" s="51"/>
      <c r="S5586" s="51"/>
    </row>
    <row r="5587" spans="9:19" x14ac:dyDescent="0.25">
      <c r="I5587" s="1"/>
      <c r="J5587" s="71"/>
      <c r="M5587" s="46"/>
      <c r="R5587" s="51"/>
      <c r="S5587" s="51"/>
    </row>
    <row r="5588" spans="9:19" x14ac:dyDescent="0.25">
      <c r="I5588" s="1"/>
      <c r="J5588" s="71"/>
      <c r="M5588" s="46"/>
      <c r="R5588" s="51"/>
      <c r="S5588" s="51"/>
    </row>
    <row r="5589" spans="9:19" x14ac:dyDescent="0.25">
      <c r="I5589" s="1"/>
      <c r="J5589" s="71"/>
      <c r="M5589" s="46"/>
      <c r="R5589" s="51"/>
      <c r="S5589" s="51"/>
    </row>
    <row r="5590" spans="9:19" x14ac:dyDescent="0.25">
      <c r="I5590" s="1"/>
      <c r="J5590" s="71"/>
      <c r="M5590" s="46"/>
      <c r="R5590" s="51"/>
      <c r="S5590" s="51"/>
    </row>
    <row r="5591" spans="9:19" x14ac:dyDescent="0.25">
      <c r="I5591" s="1"/>
      <c r="J5591" s="71"/>
      <c r="M5591" s="46"/>
      <c r="R5591" s="51"/>
      <c r="S5591" s="51"/>
    </row>
    <row r="5592" spans="9:19" x14ac:dyDescent="0.25">
      <c r="I5592" s="1"/>
      <c r="J5592" s="71"/>
      <c r="M5592" s="46"/>
      <c r="R5592" s="51"/>
      <c r="S5592" s="51"/>
    </row>
    <row r="5593" spans="9:19" x14ac:dyDescent="0.25">
      <c r="I5593" s="1"/>
      <c r="J5593" s="71"/>
      <c r="M5593" s="46"/>
      <c r="R5593" s="51"/>
      <c r="S5593" s="51"/>
    </row>
    <row r="5594" spans="9:19" x14ac:dyDescent="0.25">
      <c r="I5594" s="1"/>
      <c r="J5594" s="71"/>
      <c r="M5594" s="46"/>
      <c r="R5594" s="51"/>
      <c r="S5594" s="51"/>
    </row>
    <row r="5595" spans="9:19" x14ac:dyDescent="0.25">
      <c r="I5595" s="1"/>
      <c r="J5595" s="71"/>
      <c r="M5595" s="46"/>
      <c r="R5595" s="51"/>
      <c r="S5595" s="51"/>
    </row>
    <row r="5596" spans="9:19" x14ac:dyDescent="0.25">
      <c r="I5596" s="1"/>
      <c r="J5596" s="71"/>
      <c r="M5596" s="46"/>
      <c r="R5596" s="51"/>
      <c r="S5596" s="51"/>
    </row>
    <row r="5597" spans="9:19" x14ac:dyDescent="0.25">
      <c r="I5597" s="1"/>
      <c r="J5597" s="71"/>
      <c r="M5597" s="46"/>
      <c r="R5597" s="51"/>
      <c r="S5597" s="51"/>
    </row>
    <row r="5598" spans="9:19" x14ac:dyDescent="0.25">
      <c r="I5598" s="1"/>
      <c r="J5598" s="71"/>
      <c r="M5598" s="46"/>
      <c r="R5598" s="51"/>
      <c r="S5598" s="51"/>
    </row>
    <row r="5599" spans="9:19" x14ac:dyDescent="0.25">
      <c r="I5599" s="1"/>
      <c r="J5599" s="71"/>
      <c r="M5599" s="46"/>
      <c r="R5599" s="51"/>
      <c r="S5599" s="51"/>
    </row>
    <row r="5600" spans="9:19" x14ac:dyDescent="0.25">
      <c r="I5600" s="1"/>
      <c r="J5600" s="71"/>
      <c r="M5600" s="46"/>
      <c r="R5600" s="51"/>
      <c r="S5600" s="51"/>
    </row>
    <row r="5601" spans="9:19" x14ac:dyDescent="0.25">
      <c r="I5601" s="1"/>
      <c r="J5601" s="71"/>
      <c r="M5601" s="46"/>
      <c r="R5601" s="51"/>
      <c r="S5601" s="51"/>
    </row>
    <row r="5602" spans="9:19" x14ac:dyDescent="0.25">
      <c r="I5602" s="1"/>
      <c r="J5602" s="71"/>
      <c r="M5602" s="46"/>
      <c r="R5602" s="51"/>
      <c r="S5602" s="51"/>
    </row>
    <row r="5603" spans="9:19" x14ac:dyDescent="0.25">
      <c r="I5603" s="1"/>
      <c r="J5603" s="71"/>
      <c r="M5603" s="46"/>
      <c r="R5603" s="51"/>
      <c r="S5603" s="51"/>
    </row>
    <row r="5604" spans="9:19" x14ac:dyDescent="0.25">
      <c r="I5604" s="1"/>
      <c r="J5604" s="71"/>
      <c r="M5604" s="46"/>
      <c r="R5604" s="51"/>
      <c r="S5604" s="51"/>
    </row>
    <row r="5605" spans="9:19" x14ac:dyDescent="0.25">
      <c r="I5605" s="1"/>
      <c r="J5605" s="71"/>
      <c r="M5605" s="46"/>
      <c r="R5605" s="51"/>
      <c r="S5605" s="51"/>
    </row>
    <row r="5606" spans="9:19" x14ac:dyDescent="0.25">
      <c r="I5606" s="1"/>
      <c r="J5606" s="71"/>
      <c r="M5606" s="46"/>
      <c r="R5606" s="51"/>
      <c r="S5606" s="51"/>
    </row>
    <row r="5607" spans="9:19" x14ac:dyDescent="0.25">
      <c r="I5607" s="1"/>
      <c r="J5607" s="71"/>
      <c r="M5607" s="46"/>
      <c r="R5607" s="51"/>
      <c r="S5607" s="51"/>
    </row>
    <row r="5608" spans="9:19" x14ac:dyDescent="0.25">
      <c r="I5608" s="1"/>
      <c r="J5608" s="71"/>
      <c r="M5608" s="46"/>
      <c r="R5608" s="51"/>
      <c r="S5608" s="51"/>
    </row>
    <row r="5609" spans="9:19" x14ac:dyDescent="0.25">
      <c r="I5609" s="1"/>
      <c r="J5609" s="71"/>
      <c r="M5609" s="46"/>
      <c r="R5609" s="51"/>
      <c r="S5609" s="51"/>
    </row>
    <row r="5610" spans="9:19" x14ac:dyDescent="0.25">
      <c r="I5610" s="1"/>
      <c r="J5610" s="71"/>
      <c r="M5610" s="46"/>
      <c r="R5610" s="51"/>
      <c r="S5610" s="51"/>
    </row>
    <row r="5611" spans="9:19" x14ac:dyDescent="0.25">
      <c r="I5611" s="1"/>
      <c r="J5611" s="71"/>
      <c r="M5611" s="46"/>
      <c r="R5611" s="51"/>
      <c r="S5611" s="51"/>
    </row>
    <row r="5612" spans="9:19" x14ac:dyDescent="0.25">
      <c r="I5612" s="1"/>
      <c r="J5612" s="71"/>
      <c r="M5612" s="46"/>
      <c r="R5612" s="51"/>
      <c r="S5612" s="51"/>
    </row>
    <row r="5613" spans="9:19" x14ac:dyDescent="0.25">
      <c r="I5613" s="1"/>
      <c r="J5613" s="71"/>
      <c r="M5613" s="46"/>
      <c r="R5613" s="51"/>
      <c r="S5613" s="51"/>
    </row>
    <row r="5614" spans="9:19" x14ac:dyDescent="0.25">
      <c r="I5614" s="1"/>
      <c r="J5614" s="71"/>
      <c r="M5614" s="46"/>
      <c r="R5614" s="51"/>
      <c r="S5614" s="51"/>
    </row>
    <row r="5615" spans="9:19" x14ac:dyDescent="0.25">
      <c r="I5615" s="1"/>
      <c r="J5615" s="71"/>
      <c r="M5615" s="46"/>
      <c r="R5615" s="51"/>
      <c r="S5615" s="51"/>
    </row>
    <row r="5616" spans="9:19" x14ac:dyDescent="0.25">
      <c r="I5616" s="1"/>
      <c r="J5616" s="71"/>
      <c r="M5616" s="46"/>
      <c r="R5616" s="51"/>
      <c r="S5616" s="51"/>
    </row>
    <row r="5617" spans="9:19" x14ac:dyDescent="0.25">
      <c r="I5617" s="1"/>
      <c r="J5617" s="71"/>
      <c r="M5617" s="46"/>
      <c r="R5617" s="51"/>
      <c r="S5617" s="51"/>
    </row>
    <row r="5618" spans="9:19" x14ac:dyDescent="0.25">
      <c r="I5618" s="1"/>
      <c r="J5618" s="71"/>
      <c r="M5618" s="46"/>
      <c r="R5618" s="51"/>
      <c r="S5618" s="51"/>
    </row>
    <row r="5619" spans="9:19" x14ac:dyDescent="0.25">
      <c r="I5619" s="1"/>
      <c r="J5619" s="71"/>
      <c r="M5619" s="46"/>
      <c r="R5619" s="51"/>
      <c r="S5619" s="51"/>
    </row>
    <row r="5620" spans="9:19" x14ac:dyDescent="0.25">
      <c r="I5620" s="1"/>
      <c r="J5620" s="71"/>
      <c r="M5620" s="46"/>
      <c r="R5620" s="51"/>
      <c r="S5620" s="51"/>
    </row>
    <row r="5621" spans="9:19" x14ac:dyDescent="0.25">
      <c r="I5621" s="1"/>
      <c r="J5621" s="71"/>
      <c r="M5621" s="46"/>
      <c r="R5621" s="51"/>
      <c r="S5621" s="51"/>
    </row>
    <row r="5622" spans="9:19" x14ac:dyDescent="0.25">
      <c r="I5622" s="1"/>
      <c r="J5622" s="71"/>
      <c r="M5622" s="46"/>
      <c r="R5622" s="51"/>
      <c r="S5622" s="51"/>
    </row>
    <row r="5623" spans="9:19" x14ac:dyDescent="0.25">
      <c r="I5623" s="1"/>
      <c r="J5623" s="71"/>
      <c r="M5623" s="46"/>
      <c r="R5623" s="51"/>
      <c r="S5623" s="51"/>
    </row>
    <row r="5624" spans="9:19" x14ac:dyDescent="0.25">
      <c r="I5624" s="1"/>
      <c r="J5624" s="71"/>
      <c r="M5624" s="46"/>
      <c r="R5624" s="51"/>
      <c r="S5624" s="51"/>
    </row>
    <row r="5625" spans="9:19" x14ac:dyDescent="0.25">
      <c r="I5625" s="1"/>
      <c r="J5625" s="71"/>
      <c r="M5625" s="46"/>
      <c r="R5625" s="51"/>
      <c r="S5625" s="51"/>
    </row>
    <row r="5626" spans="9:19" x14ac:dyDescent="0.25">
      <c r="I5626" s="1"/>
      <c r="J5626" s="71"/>
      <c r="M5626" s="46"/>
      <c r="R5626" s="51"/>
      <c r="S5626" s="51"/>
    </row>
    <row r="5627" spans="9:19" x14ac:dyDescent="0.25">
      <c r="I5627" s="1"/>
      <c r="J5627" s="71"/>
      <c r="M5627" s="46"/>
      <c r="R5627" s="51"/>
      <c r="S5627" s="51"/>
    </row>
    <row r="5628" spans="9:19" x14ac:dyDescent="0.25">
      <c r="I5628" s="1"/>
      <c r="J5628" s="71"/>
      <c r="M5628" s="46"/>
      <c r="R5628" s="51"/>
      <c r="S5628" s="51"/>
    </row>
    <row r="5629" spans="9:19" x14ac:dyDescent="0.25">
      <c r="I5629" s="1"/>
      <c r="J5629" s="71"/>
      <c r="M5629" s="46"/>
      <c r="R5629" s="51"/>
      <c r="S5629" s="51"/>
    </row>
    <row r="5630" spans="9:19" x14ac:dyDescent="0.25">
      <c r="I5630" s="1"/>
      <c r="J5630" s="71"/>
      <c r="M5630" s="46"/>
      <c r="R5630" s="51"/>
      <c r="S5630" s="51"/>
    </row>
    <row r="5631" spans="9:19" x14ac:dyDescent="0.25">
      <c r="I5631" s="1"/>
      <c r="J5631" s="71"/>
      <c r="M5631" s="46"/>
      <c r="R5631" s="51"/>
      <c r="S5631" s="51"/>
    </row>
    <row r="5632" spans="9:19" x14ac:dyDescent="0.25">
      <c r="I5632" s="1"/>
      <c r="J5632" s="71"/>
      <c r="M5632" s="46"/>
      <c r="R5632" s="51"/>
      <c r="S5632" s="51"/>
    </row>
    <row r="5633" spans="9:19" x14ac:dyDescent="0.25">
      <c r="I5633" s="1"/>
      <c r="J5633" s="71"/>
      <c r="M5633" s="46"/>
      <c r="R5633" s="51"/>
      <c r="S5633" s="51"/>
    </row>
    <row r="5634" spans="9:19" x14ac:dyDescent="0.25">
      <c r="I5634" s="1"/>
      <c r="J5634" s="71"/>
      <c r="M5634" s="46"/>
      <c r="R5634" s="51"/>
      <c r="S5634" s="51"/>
    </row>
    <row r="5635" spans="9:19" x14ac:dyDescent="0.25">
      <c r="I5635" s="1"/>
      <c r="J5635" s="71"/>
      <c r="M5635" s="46"/>
      <c r="R5635" s="51"/>
      <c r="S5635" s="51"/>
    </row>
    <row r="5636" spans="9:19" x14ac:dyDescent="0.25">
      <c r="I5636" s="1"/>
      <c r="J5636" s="71"/>
      <c r="M5636" s="46"/>
      <c r="R5636" s="51"/>
      <c r="S5636" s="51"/>
    </row>
    <row r="5637" spans="9:19" x14ac:dyDescent="0.25">
      <c r="I5637" s="1"/>
      <c r="J5637" s="71"/>
      <c r="M5637" s="46"/>
      <c r="R5637" s="51"/>
      <c r="S5637" s="51"/>
    </row>
    <row r="5638" spans="9:19" x14ac:dyDescent="0.25">
      <c r="I5638" s="1"/>
      <c r="J5638" s="71"/>
      <c r="M5638" s="46"/>
      <c r="R5638" s="51"/>
      <c r="S5638" s="51"/>
    </row>
    <row r="5639" spans="9:19" x14ac:dyDescent="0.25">
      <c r="I5639" s="1"/>
      <c r="J5639" s="71"/>
      <c r="M5639" s="46"/>
      <c r="R5639" s="51"/>
      <c r="S5639" s="51"/>
    </row>
    <row r="5640" spans="9:19" x14ac:dyDescent="0.25">
      <c r="I5640" s="1"/>
      <c r="J5640" s="71"/>
      <c r="M5640" s="46"/>
      <c r="R5640" s="51"/>
      <c r="S5640" s="51"/>
    </row>
    <row r="5641" spans="9:19" x14ac:dyDescent="0.25">
      <c r="I5641" s="1"/>
      <c r="J5641" s="71"/>
      <c r="M5641" s="46"/>
      <c r="R5641" s="51"/>
      <c r="S5641" s="51"/>
    </row>
    <row r="5642" spans="9:19" x14ac:dyDescent="0.25">
      <c r="I5642" s="1"/>
      <c r="J5642" s="71"/>
      <c r="M5642" s="46"/>
      <c r="R5642" s="51"/>
      <c r="S5642" s="51"/>
    </row>
    <row r="5643" spans="9:19" x14ac:dyDescent="0.25">
      <c r="I5643" s="1"/>
      <c r="J5643" s="71"/>
      <c r="M5643" s="46"/>
      <c r="R5643" s="51"/>
      <c r="S5643" s="51"/>
    </row>
    <row r="5644" spans="9:19" x14ac:dyDescent="0.25">
      <c r="I5644" s="1"/>
      <c r="J5644" s="71"/>
      <c r="M5644" s="46"/>
      <c r="R5644" s="51"/>
      <c r="S5644" s="51"/>
    </row>
    <row r="5645" spans="9:19" x14ac:dyDescent="0.25">
      <c r="I5645" s="1"/>
      <c r="J5645" s="71"/>
      <c r="M5645" s="46"/>
      <c r="R5645" s="51"/>
      <c r="S5645" s="51"/>
    </row>
    <row r="5646" spans="9:19" x14ac:dyDescent="0.25">
      <c r="I5646" s="1"/>
      <c r="J5646" s="71"/>
      <c r="M5646" s="46"/>
      <c r="R5646" s="51"/>
      <c r="S5646" s="51"/>
    </row>
    <row r="5647" spans="9:19" x14ac:dyDescent="0.25">
      <c r="I5647" s="1"/>
      <c r="J5647" s="71"/>
      <c r="M5647" s="46"/>
      <c r="R5647" s="51"/>
      <c r="S5647" s="51"/>
    </row>
    <row r="5648" spans="9:19" x14ac:dyDescent="0.25">
      <c r="I5648" s="1"/>
      <c r="J5648" s="71"/>
      <c r="M5648" s="46"/>
      <c r="R5648" s="51"/>
      <c r="S5648" s="51"/>
    </row>
    <row r="5649" spans="9:19" x14ac:dyDescent="0.25">
      <c r="I5649" s="1"/>
      <c r="J5649" s="71"/>
      <c r="M5649" s="46"/>
      <c r="R5649" s="51"/>
      <c r="S5649" s="51"/>
    </row>
    <row r="5650" spans="9:19" x14ac:dyDescent="0.25">
      <c r="I5650" s="1"/>
      <c r="J5650" s="71"/>
      <c r="M5650" s="46"/>
      <c r="R5650" s="51"/>
      <c r="S5650" s="51"/>
    </row>
    <row r="5651" spans="9:19" x14ac:dyDescent="0.25">
      <c r="I5651" s="1"/>
      <c r="J5651" s="71"/>
      <c r="M5651" s="46"/>
      <c r="R5651" s="51"/>
      <c r="S5651" s="51"/>
    </row>
    <row r="5652" spans="9:19" x14ac:dyDescent="0.25">
      <c r="I5652" s="1"/>
      <c r="J5652" s="71"/>
      <c r="M5652" s="46"/>
      <c r="R5652" s="51"/>
      <c r="S5652" s="51"/>
    </row>
    <row r="5653" spans="9:19" x14ac:dyDescent="0.25">
      <c r="I5653" s="1"/>
      <c r="J5653" s="71"/>
      <c r="M5653" s="46"/>
      <c r="R5653" s="51"/>
      <c r="S5653" s="51"/>
    </row>
    <row r="5654" spans="9:19" x14ac:dyDescent="0.25">
      <c r="I5654" s="1"/>
      <c r="J5654" s="71"/>
      <c r="M5654" s="46"/>
      <c r="R5654" s="51"/>
      <c r="S5654" s="51"/>
    </row>
    <row r="5655" spans="9:19" x14ac:dyDescent="0.25">
      <c r="I5655" s="1"/>
      <c r="J5655" s="71"/>
      <c r="M5655" s="46"/>
      <c r="R5655" s="51"/>
      <c r="S5655" s="51"/>
    </row>
    <row r="5656" spans="9:19" x14ac:dyDescent="0.25">
      <c r="I5656" s="1"/>
      <c r="J5656" s="71"/>
      <c r="M5656" s="46"/>
      <c r="R5656" s="51"/>
      <c r="S5656" s="51"/>
    </row>
    <row r="5657" spans="9:19" x14ac:dyDescent="0.25">
      <c r="I5657" s="1"/>
      <c r="J5657" s="71"/>
      <c r="M5657" s="46"/>
      <c r="R5657" s="51"/>
      <c r="S5657" s="51"/>
    </row>
    <row r="5658" spans="9:19" x14ac:dyDescent="0.25">
      <c r="I5658" s="1"/>
      <c r="J5658" s="71"/>
      <c r="M5658" s="46"/>
      <c r="R5658" s="51"/>
      <c r="S5658" s="51"/>
    </row>
    <row r="5659" spans="9:19" x14ac:dyDescent="0.25">
      <c r="I5659" s="1"/>
      <c r="J5659" s="71"/>
      <c r="M5659" s="46"/>
      <c r="R5659" s="51"/>
      <c r="S5659" s="51"/>
    </row>
    <row r="5660" spans="9:19" x14ac:dyDescent="0.25">
      <c r="I5660" s="1"/>
      <c r="J5660" s="71"/>
      <c r="M5660" s="46"/>
      <c r="R5660" s="51"/>
      <c r="S5660" s="51"/>
    </row>
    <row r="5661" spans="9:19" x14ac:dyDescent="0.25">
      <c r="I5661" s="1"/>
      <c r="J5661" s="71"/>
      <c r="M5661" s="46"/>
      <c r="R5661" s="51"/>
      <c r="S5661" s="51"/>
    </row>
    <row r="5662" spans="9:19" x14ac:dyDescent="0.25">
      <c r="I5662" s="1"/>
      <c r="J5662" s="71"/>
      <c r="M5662" s="46"/>
      <c r="R5662" s="51"/>
      <c r="S5662" s="51"/>
    </row>
    <row r="5663" spans="9:19" x14ac:dyDescent="0.25">
      <c r="I5663" s="1"/>
      <c r="J5663" s="71"/>
      <c r="M5663" s="46"/>
      <c r="R5663" s="51"/>
      <c r="S5663" s="51"/>
    </row>
    <row r="5664" spans="9:19" x14ac:dyDescent="0.25">
      <c r="I5664" s="1"/>
      <c r="J5664" s="71"/>
      <c r="M5664" s="46"/>
      <c r="R5664" s="51"/>
      <c r="S5664" s="51"/>
    </row>
    <row r="5665" spans="9:19" x14ac:dyDescent="0.25">
      <c r="I5665" s="1"/>
      <c r="J5665" s="71"/>
      <c r="M5665" s="46"/>
      <c r="R5665" s="51"/>
      <c r="S5665" s="51"/>
    </row>
    <row r="5666" spans="9:19" x14ac:dyDescent="0.25">
      <c r="I5666" s="1"/>
      <c r="J5666" s="71"/>
      <c r="M5666" s="46"/>
      <c r="R5666" s="51"/>
      <c r="S5666" s="51"/>
    </row>
    <row r="5667" spans="9:19" x14ac:dyDescent="0.25">
      <c r="I5667" s="1"/>
      <c r="J5667" s="71"/>
      <c r="M5667" s="46"/>
      <c r="R5667" s="51"/>
      <c r="S5667" s="51"/>
    </row>
    <row r="5668" spans="9:19" x14ac:dyDescent="0.25">
      <c r="I5668" s="1"/>
      <c r="J5668" s="71"/>
      <c r="M5668" s="46"/>
      <c r="R5668" s="51"/>
      <c r="S5668" s="51"/>
    </row>
    <row r="5669" spans="9:19" x14ac:dyDescent="0.25">
      <c r="I5669" s="1"/>
      <c r="J5669" s="71"/>
      <c r="M5669" s="46"/>
      <c r="R5669" s="51"/>
      <c r="S5669" s="51"/>
    </row>
    <row r="5670" spans="9:19" x14ac:dyDescent="0.25">
      <c r="I5670" s="1"/>
      <c r="J5670" s="71"/>
      <c r="M5670" s="46"/>
      <c r="R5670" s="51"/>
      <c r="S5670" s="51"/>
    </row>
    <row r="5671" spans="9:19" x14ac:dyDescent="0.25">
      <c r="I5671" s="1"/>
      <c r="J5671" s="71"/>
      <c r="M5671" s="46"/>
      <c r="R5671" s="51"/>
      <c r="S5671" s="51"/>
    </row>
    <row r="5672" spans="9:19" x14ac:dyDescent="0.25">
      <c r="I5672" s="1"/>
      <c r="J5672" s="71"/>
      <c r="M5672" s="46"/>
      <c r="R5672" s="51"/>
      <c r="S5672" s="51"/>
    </row>
    <row r="5673" spans="9:19" x14ac:dyDescent="0.25">
      <c r="I5673" s="1"/>
      <c r="J5673" s="71"/>
      <c r="M5673" s="46"/>
      <c r="R5673" s="51"/>
      <c r="S5673" s="51"/>
    </row>
    <row r="5674" spans="9:19" x14ac:dyDescent="0.25">
      <c r="I5674" s="1"/>
      <c r="J5674" s="71"/>
      <c r="M5674" s="46"/>
      <c r="R5674" s="51"/>
      <c r="S5674" s="51"/>
    </row>
    <row r="5675" spans="9:19" x14ac:dyDescent="0.25">
      <c r="I5675" s="1"/>
      <c r="J5675" s="71"/>
      <c r="M5675" s="46"/>
      <c r="R5675" s="51"/>
      <c r="S5675" s="51"/>
    </row>
    <row r="5676" spans="9:19" x14ac:dyDescent="0.25">
      <c r="I5676" s="1"/>
      <c r="J5676" s="71"/>
      <c r="M5676" s="46"/>
      <c r="R5676" s="51"/>
      <c r="S5676" s="51"/>
    </row>
    <row r="5677" spans="9:19" x14ac:dyDescent="0.25">
      <c r="I5677" s="1"/>
      <c r="J5677" s="71"/>
      <c r="M5677" s="46"/>
      <c r="R5677" s="51"/>
      <c r="S5677" s="51"/>
    </row>
    <row r="5678" spans="9:19" x14ac:dyDescent="0.25">
      <c r="I5678" s="1"/>
      <c r="J5678" s="71"/>
      <c r="M5678" s="46"/>
      <c r="R5678" s="51"/>
      <c r="S5678" s="51"/>
    </row>
    <row r="5679" spans="9:19" x14ac:dyDescent="0.25">
      <c r="I5679" s="1"/>
      <c r="J5679" s="71"/>
      <c r="M5679" s="46"/>
      <c r="R5679" s="51"/>
      <c r="S5679" s="51"/>
    </row>
    <row r="5680" spans="9:19" x14ac:dyDescent="0.25">
      <c r="I5680" s="1"/>
      <c r="J5680" s="71"/>
      <c r="M5680" s="46"/>
      <c r="R5680" s="51"/>
      <c r="S5680" s="51"/>
    </row>
    <row r="5681" spans="9:19" x14ac:dyDescent="0.25">
      <c r="I5681" s="1"/>
      <c r="J5681" s="71"/>
      <c r="M5681" s="46"/>
      <c r="R5681" s="51"/>
      <c r="S5681" s="51"/>
    </row>
    <row r="5682" spans="9:19" x14ac:dyDescent="0.25">
      <c r="I5682" s="1"/>
      <c r="J5682" s="71"/>
      <c r="M5682" s="46"/>
      <c r="R5682" s="51"/>
      <c r="S5682" s="51"/>
    </row>
    <row r="5683" spans="9:19" x14ac:dyDescent="0.25">
      <c r="I5683" s="1"/>
      <c r="J5683" s="71"/>
      <c r="M5683" s="46"/>
      <c r="R5683" s="51"/>
      <c r="S5683" s="51"/>
    </row>
    <row r="5684" spans="9:19" x14ac:dyDescent="0.25">
      <c r="I5684" s="1"/>
      <c r="J5684" s="71"/>
      <c r="M5684" s="46"/>
      <c r="R5684" s="51"/>
      <c r="S5684" s="51"/>
    </row>
    <row r="5685" spans="9:19" x14ac:dyDescent="0.25">
      <c r="I5685" s="1"/>
      <c r="J5685" s="71"/>
      <c r="M5685" s="46"/>
      <c r="R5685" s="51"/>
      <c r="S5685" s="51"/>
    </row>
    <row r="5686" spans="9:19" x14ac:dyDescent="0.25">
      <c r="I5686" s="1"/>
      <c r="J5686" s="71"/>
      <c r="M5686" s="46"/>
      <c r="R5686" s="51"/>
      <c r="S5686" s="51"/>
    </row>
    <row r="5687" spans="9:19" x14ac:dyDescent="0.25">
      <c r="I5687" s="1"/>
      <c r="J5687" s="71"/>
      <c r="M5687" s="46"/>
      <c r="R5687" s="51"/>
      <c r="S5687" s="51"/>
    </row>
    <row r="5688" spans="9:19" x14ac:dyDescent="0.25">
      <c r="I5688" s="1"/>
      <c r="J5688" s="71"/>
      <c r="M5688" s="46"/>
      <c r="R5688" s="51"/>
      <c r="S5688" s="51"/>
    </row>
    <row r="5689" spans="9:19" x14ac:dyDescent="0.25">
      <c r="I5689" s="1"/>
      <c r="J5689" s="71"/>
      <c r="M5689" s="46"/>
      <c r="R5689" s="51"/>
      <c r="S5689" s="51"/>
    </row>
    <row r="5690" spans="9:19" x14ac:dyDescent="0.25">
      <c r="I5690" s="1"/>
      <c r="J5690" s="71"/>
      <c r="M5690" s="46"/>
      <c r="R5690" s="51"/>
      <c r="S5690" s="51"/>
    </row>
    <row r="5691" spans="9:19" x14ac:dyDescent="0.25">
      <c r="I5691" s="1"/>
      <c r="J5691" s="71"/>
      <c r="M5691" s="46"/>
      <c r="R5691" s="51"/>
      <c r="S5691" s="51"/>
    </row>
    <row r="5692" spans="9:19" x14ac:dyDescent="0.25">
      <c r="I5692" s="1"/>
      <c r="J5692" s="71"/>
      <c r="M5692" s="46"/>
      <c r="R5692" s="51"/>
      <c r="S5692" s="51"/>
    </row>
    <row r="5693" spans="9:19" x14ac:dyDescent="0.25">
      <c r="I5693" s="1"/>
      <c r="J5693" s="71"/>
      <c r="M5693" s="46"/>
      <c r="R5693" s="51"/>
      <c r="S5693" s="51"/>
    </row>
    <row r="5694" spans="9:19" x14ac:dyDescent="0.25">
      <c r="I5694" s="1"/>
      <c r="J5694" s="71"/>
      <c r="M5694" s="46"/>
      <c r="R5694" s="51"/>
      <c r="S5694" s="51"/>
    </row>
    <row r="5695" spans="9:19" x14ac:dyDescent="0.25">
      <c r="I5695" s="1"/>
      <c r="J5695" s="71"/>
      <c r="M5695" s="46"/>
      <c r="R5695" s="51"/>
      <c r="S5695" s="51"/>
    </row>
    <row r="5696" spans="9:19" x14ac:dyDescent="0.25">
      <c r="I5696" s="1"/>
      <c r="J5696" s="71"/>
      <c r="M5696" s="46"/>
      <c r="R5696" s="51"/>
      <c r="S5696" s="51"/>
    </row>
    <row r="5697" spans="9:19" x14ac:dyDescent="0.25">
      <c r="I5697" s="1"/>
      <c r="J5697" s="71"/>
      <c r="M5697" s="46"/>
      <c r="R5697" s="51"/>
      <c r="S5697" s="51"/>
    </row>
    <row r="5698" spans="9:19" x14ac:dyDescent="0.25">
      <c r="I5698" s="1"/>
      <c r="J5698" s="71"/>
      <c r="M5698" s="46"/>
      <c r="R5698" s="51"/>
      <c r="S5698" s="51"/>
    </row>
    <row r="5699" spans="9:19" x14ac:dyDescent="0.25">
      <c r="I5699" s="1"/>
      <c r="J5699" s="71"/>
      <c r="M5699" s="46"/>
      <c r="R5699" s="51"/>
      <c r="S5699" s="51"/>
    </row>
    <row r="5700" spans="9:19" x14ac:dyDescent="0.25">
      <c r="I5700" s="1"/>
      <c r="J5700" s="71"/>
      <c r="M5700" s="46"/>
      <c r="R5700" s="51"/>
      <c r="S5700" s="51"/>
    </row>
    <row r="5701" spans="9:19" x14ac:dyDescent="0.25">
      <c r="I5701" s="1"/>
      <c r="J5701" s="71"/>
      <c r="M5701" s="46"/>
      <c r="R5701" s="51"/>
      <c r="S5701" s="51"/>
    </row>
    <row r="5702" spans="9:19" x14ac:dyDescent="0.25">
      <c r="I5702" s="1"/>
      <c r="J5702" s="71"/>
      <c r="M5702" s="46"/>
      <c r="R5702" s="51"/>
      <c r="S5702" s="51"/>
    </row>
    <row r="5703" spans="9:19" x14ac:dyDescent="0.25">
      <c r="I5703" s="1"/>
      <c r="J5703" s="71"/>
      <c r="M5703" s="46"/>
      <c r="R5703" s="51"/>
      <c r="S5703" s="51"/>
    </row>
    <row r="5704" spans="9:19" x14ac:dyDescent="0.25">
      <c r="I5704" s="1"/>
      <c r="J5704" s="71"/>
      <c r="M5704" s="46"/>
      <c r="R5704" s="51"/>
      <c r="S5704" s="51"/>
    </row>
    <row r="5705" spans="9:19" x14ac:dyDescent="0.25">
      <c r="I5705" s="1"/>
      <c r="J5705" s="71"/>
      <c r="M5705" s="46"/>
      <c r="R5705" s="51"/>
      <c r="S5705" s="51"/>
    </row>
    <row r="5706" spans="9:19" x14ac:dyDescent="0.25">
      <c r="I5706" s="1"/>
      <c r="J5706" s="71"/>
      <c r="M5706" s="46"/>
      <c r="R5706" s="51"/>
      <c r="S5706" s="51"/>
    </row>
    <row r="5707" spans="9:19" x14ac:dyDescent="0.25">
      <c r="I5707" s="1"/>
      <c r="J5707" s="71"/>
      <c r="M5707" s="46"/>
      <c r="R5707" s="51"/>
      <c r="S5707" s="51"/>
    </row>
    <row r="5708" spans="9:19" x14ac:dyDescent="0.25">
      <c r="I5708" s="1"/>
      <c r="J5708" s="71"/>
      <c r="M5708" s="46"/>
      <c r="R5708" s="51"/>
      <c r="S5708" s="51"/>
    </row>
    <row r="5709" spans="9:19" x14ac:dyDescent="0.25">
      <c r="I5709" s="1"/>
      <c r="J5709" s="71"/>
      <c r="M5709" s="46"/>
      <c r="R5709" s="51"/>
      <c r="S5709" s="51"/>
    </row>
    <row r="5710" spans="9:19" x14ac:dyDescent="0.25">
      <c r="I5710" s="1"/>
      <c r="J5710" s="71"/>
      <c r="M5710" s="46"/>
      <c r="R5710" s="51"/>
      <c r="S5710" s="51"/>
    </row>
    <row r="5711" spans="9:19" x14ac:dyDescent="0.25">
      <c r="I5711" s="1"/>
      <c r="J5711" s="71"/>
      <c r="M5711" s="46"/>
      <c r="R5711" s="51"/>
      <c r="S5711" s="51"/>
    </row>
    <row r="5712" spans="9:19" x14ac:dyDescent="0.25">
      <c r="I5712" s="1"/>
      <c r="J5712" s="71"/>
      <c r="M5712" s="46"/>
      <c r="R5712" s="51"/>
      <c r="S5712" s="51"/>
    </row>
    <row r="5713" spans="9:19" x14ac:dyDescent="0.25">
      <c r="I5713" s="1"/>
      <c r="J5713" s="71"/>
      <c r="M5713" s="46"/>
      <c r="R5713" s="51"/>
      <c r="S5713" s="51"/>
    </row>
    <row r="5714" spans="9:19" x14ac:dyDescent="0.25">
      <c r="I5714" s="1"/>
      <c r="J5714" s="71"/>
      <c r="M5714" s="46"/>
      <c r="R5714" s="51"/>
      <c r="S5714" s="51"/>
    </row>
    <row r="5715" spans="9:19" x14ac:dyDescent="0.25">
      <c r="I5715" s="1"/>
      <c r="J5715" s="71"/>
      <c r="M5715" s="46"/>
      <c r="R5715" s="51"/>
      <c r="S5715" s="51"/>
    </row>
    <row r="5716" spans="9:19" x14ac:dyDescent="0.25">
      <c r="I5716" s="1"/>
      <c r="J5716" s="71"/>
      <c r="M5716" s="46"/>
      <c r="R5716" s="51"/>
      <c r="S5716" s="51"/>
    </row>
    <row r="5717" spans="9:19" x14ac:dyDescent="0.25">
      <c r="I5717" s="1"/>
      <c r="J5717" s="71"/>
      <c r="M5717" s="46"/>
      <c r="R5717" s="51"/>
      <c r="S5717" s="51"/>
    </row>
    <row r="5718" spans="9:19" x14ac:dyDescent="0.25">
      <c r="I5718" s="1"/>
      <c r="J5718" s="71"/>
      <c r="M5718" s="46"/>
      <c r="R5718" s="51"/>
      <c r="S5718" s="51"/>
    </row>
    <row r="5719" spans="9:19" x14ac:dyDescent="0.25">
      <c r="I5719" s="1"/>
      <c r="J5719" s="71"/>
      <c r="M5719" s="46"/>
      <c r="R5719" s="51"/>
      <c r="S5719" s="51"/>
    </row>
    <row r="5720" spans="9:19" x14ac:dyDescent="0.25">
      <c r="I5720" s="1"/>
      <c r="J5720" s="71"/>
      <c r="M5720" s="46"/>
      <c r="R5720" s="51"/>
      <c r="S5720" s="51"/>
    </row>
    <row r="5721" spans="9:19" x14ac:dyDescent="0.25">
      <c r="I5721" s="1"/>
      <c r="J5721" s="71"/>
      <c r="M5721" s="46"/>
      <c r="R5721" s="51"/>
      <c r="S5721" s="51"/>
    </row>
    <row r="5722" spans="9:19" x14ac:dyDescent="0.25">
      <c r="I5722" s="1"/>
      <c r="J5722" s="71"/>
      <c r="M5722" s="46"/>
      <c r="R5722" s="51"/>
      <c r="S5722" s="51"/>
    </row>
    <row r="5723" spans="9:19" x14ac:dyDescent="0.25">
      <c r="I5723" s="1"/>
      <c r="J5723" s="71"/>
      <c r="M5723" s="46"/>
      <c r="R5723" s="51"/>
      <c r="S5723" s="51"/>
    </row>
    <row r="5724" spans="9:19" x14ac:dyDescent="0.25">
      <c r="I5724" s="1"/>
      <c r="J5724" s="71"/>
      <c r="M5724" s="46"/>
      <c r="R5724" s="51"/>
      <c r="S5724" s="51"/>
    </row>
    <row r="5725" spans="9:19" x14ac:dyDescent="0.25">
      <c r="I5725" s="1"/>
      <c r="J5725" s="71"/>
      <c r="M5725" s="46"/>
      <c r="R5725" s="51"/>
      <c r="S5725" s="51"/>
    </row>
    <row r="5726" spans="9:19" x14ac:dyDescent="0.25">
      <c r="I5726" s="1"/>
      <c r="J5726" s="71"/>
      <c r="M5726" s="46"/>
      <c r="R5726" s="51"/>
      <c r="S5726" s="51"/>
    </row>
    <row r="5727" spans="9:19" x14ac:dyDescent="0.25">
      <c r="I5727" s="1"/>
      <c r="J5727" s="71"/>
      <c r="M5727" s="46"/>
      <c r="R5727" s="51"/>
      <c r="S5727" s="51"/>
    </row>
    <row r="5728" spans="9:19" x14ac:dyDescent="0.25">
      <c r="I5728" s="1"/>
      <c r="J5728" s="71"/>
      <c r="M5728" s="46"/>
      <c r="R5728" s="51"/>
      <c r="S5728" s="51"/>
    </row>
    <row r="5729" spans="9:19" x14ac:dyDescent="0.25">
      <c r="I5729" s="1"/>
      <c r="J5729" s="71"/>
      <c r="M5729" s="46"/>
      <c r="R5729" s="51"/>
      <c r="S5729" s="51"/>
    </row>
    <row r="5730" spans="9:19" x14ac:dyDescent="0.25">
      <c r="I5730" s="1"/>
      <c r="J5730" s="71"/>
      <c r="M5730" s="46"/>
      <c r="R5730" s="51"/>
      <c r="S5730" s="51"/>
    </row>
    <row r="5731" spans="9:19" x14ac:dyDescent="0.25">
      <c r="I5731" s="1"/>
      <c r="J5731" s="71"/>
      <c r="M5731" s="46"/>
      <c r="R5731" s="51"/>
      <c r="S5731" s="51"/>
    </row>
    <row r="5732" spans="9:19" x14ac:dyDescent="0.25">
      <c r="I5732" s="1"/>
      <c r="J5732" s="71"/>
      <c r="M5732" s="46"/>
      <c r="R5732" s="51"/>
      <c r="S5732" s="51"/>
    </row>
    <row r="5733" spans="9:19" x14ac:dyDescent="0.25">
      <c r="I5733" s="1"/>
      <c r="J5733" s="71"/>
      <c r="M5733" s="46"/>
      <c r="R5733" s="51"/>
      <c r="S5733" s="51"/>
    </row>
    <row r="5734" spans="9:19" x14ac:dyDescent="0.25">
      <c r="I5734" s="1"/>
      <c r="J5734" s="71"/>
      <c r="M5734" s="46"/>
      <c r="R5734" s="51"/>
      <c r="S5734" s="51"/>
    </row>
    <row r="5735" spans="9:19" x14ac:dyDescent="0.25">
      <c r="I5735" s="1"/>
      <c r="J5735" s="71"/>
      <c r="M5735" s="46"/>
      <c r="R5735" s="51"/>
      <c r="S5735" s="51"/>
    </row>
    <row r="5736" spans="9:19" x14ac:dyDescent="0.25">
      <c r="I5736" s="1"/>
      <c r="J5736" s="71"/>
      <c r="M5736" s="46"/>
      <c r="R5736" s="51"/>
      <c r="S5736" s="51"/>
    </row>
    <row r="5737" spans="9:19" x14ac:dyDescent="0.25">
      <c r="I5737" s="1"/>
      <c r="J5737" s="71"/>
      <c r="M5737" s="46"/>
      <c r="R5737" s="51"/>
      <c r="S5737" s="51"/>
    </row>
    <row r="5738" spans="9:19" x14ac:dyDescent="0.25">
      <c r="I5738" s="1"/>
      <c r="J5738" s="71"/>
      <c r="M5738" s="46"/>
      <c r="R5738" s="51"/>
      <c r="S5738" s="51"/>
    </row>
    <row r="5739" spans="9:19" x14ac:dyDescent="0.25">
      <c r="I5739" s="1"/>
      <c r="J5739" s="71"/>
      <c r="M5739" s="46"/>
      <c r="R5739" s="51"/>
      <c r="S5739" s="51"/>
    </row>
    <row r="5740" spans="9:19" x14ac:dyDescent="0.25">
      <c r="I5740" s="1"/>
      <c r="J5740" s="71"/>
      <c r="M5740" s="46"/>
      <c r="R5740" s="51"/>
      <c r="S5740" s="51"/>
    </row>
    <row r="5741" spans="9:19" x14ac:dyDescent="0.25">
      <c r="I5741" s="1"/>
      <c r="J5741" s="71"/>
      <c r="M5741" s="46"/>
      <c r="R5741" s="51"/>
      <c r="S5741" s="51"/>
    </row>
    <row r="5742" spans="9:19" x14ac:dyDescent="0.25">
      <c r="I5742" s="1"/>
      <c r="J5742" s="71"/>
      <c r="M5742" s="46"/>
      <c r="R5742" s="51"/>
      <c r="S5742" s="51"/>
    </row>
    <row r="5743" spans="9:19" x14ac:dyDescent="0.25">
      <c r="I5743" s="1"/>
      <c r="J5743" s="71"/>
      <c r="M5743" s="46"/>
      <c r="R5743" s="51"/>
      <c r="S5743" s="51"/>
    </row>
    <row r="5744" spans="9:19" x14ac:dyDescent="0.25">
      <c r="I5744" s="1"/>
      <c r="J5744" s="71"/>
      <c r="M5744" s="46"/>
      <c r="R5744" s="51"/>
      <c r="S5744" s="51"/>
    </row>
    <row r="5745" spans="9:19" x14ac:dyDescent="0.25">
      <c r="I5745" s="1"/>
      <c r="J5745" s="71"/>
      <c r="M5745" s="46"/>
      <c r="R5745" s="51"/>
      <c r="S5745" s="51"/>
    </row>
    <row r="5746" spans="9:19" x14ac:dyDescent="0.25">
      <c r="I5746" s="1"/>
      <c r="J5746" s="71"/>
      <c r="M5746" s="46"/>
      <c r="R5746" s="51"/>
      <c r="S5746" s="51"/>
    </row>
    <row r="5747" spans="9:19" x14ac:dyDescent="0.25">
      <c r="I5747" s="1"/>
      <c r="J5747" s="71"/>
      <c r="M5747" s="46"/>
      <c r="R5747" s="51"/>
      <c r="S5747" s="51"/>
    </row>
    <row r="5748" spans="9:19" x14ac:dyDescent="0.25">
      <c r="I5748" s="1"/>
      <c r="J5748" s="71"/>
      <c r="M5748" s="46"/>
      <c r="R5748" s="51"/>
      <c r="S5748" s="51"/>
    </row>
    <row r="5749" spans="9:19" x14ac:dyDescent="0.25">
      <c r="I5749" s="1"/>
      <c r="J5749" s="71"/>
      <c r="M5749" s="46"/>
      <c r="R5749" s="51"/>
      <c r="S5749" s="51"/>
    </row>
    <row r="5750" spans="9:19" x14ac:dyDescent="0.25">
      <c r="I5750" s="1"/>
      <c r="J5750" s="71"/>
      <c r="M5750" s="46"/>
      <c r="R5750" s="51"/>
      <c r="S5750" s="51"/>
    </row>
    <row r="5751" spans="9:19" x14ac:dyDescent="0.25">
      <c r="I5751" s="1"/>
      <c r="J5751" s="71"/>
      <c r="M5751" s="46"/>
      <c r="R5751" s="51"/>
      <c r="S5751" s="51"/>
    </row>
    <row r="5752" spans="9:19" x14ac:dyDescent="0.25">
      <c r="I5752" s="1"/>
      <c r="J5752" s="71"/>
      <c r="M5752" s="46"/>
      <c r="R5752" s="51"/>
      <c r="S5752" s="51"/>
    </row>
    <row r="5753" spans="9:19" x14ac:dyDescent="0.25">
      <c r="I5753" s="1"/>
      <c r="J5753" s="71"/>
      <c r="M5753" s="46"/>
      <c r="R5753" s="51"/>
      <c r="S5753" s="51"/>
    </row>
    <row r="5754" spans="9:19" x14ac:dyDescent="0.25">
      <c r="I5754" s="1"/>
      <c r="J5754" s="71"/>
      <c r="M5754" s="46"/>
      <c r="R5754" s="51"/>
      <c r="S5754" s="51"/>
    </row>
    <row r="5755" spans="9:19" x14ac:dyDescent="0.25">
      <c r="I5755" s="1"/>
      <c r="J5755" s="71"/>
      <c r="M5755" s="46"/>
      <c r="R5755" s="51"/>
      <c r="S5755" s="51"/>
    </row>
    <row r="5756" spans="9:19" x14ac:dyDescent="0.25">
      <c r="I5756" s="1"/>
      <c r="J5756" s="71"/>
      <c r="M5756" s="46"/>
      <c r="R5756" s="51"/>
      <c r="S5756" s="51"/>
    </row>
    <row r="5757" spans="9:19" x14ac:dyDescent="0.25">
      <c r="I5757" s="1"/>
      <c r="J5757" s="71"/>
      <c r="M5757" s="46"/>
      <c r="R5757" s="51"/>
      <c r="S5757" s="51"/>
    </row>
    <row r="5758" spans="9:19" x14ac:dyDescent="0.25">
      <c r="I5758" s="1"/>
      <c r="J5758" s="71"/>
      <c r="M5758" s="46"/>
      <c r="R5758" s="51"/>
      <c r="S5758" s="51"/>
    </row>
    <row r="5759" spans="9:19" x14ac:dyDescent="0.25">
      <c r="I5759" s="1"/>
      <c r="J5759" s="71"/>
      <c r="M5759" s="46"/>
      <c r="R5759" s="51"/>
      <c r="S5759" s="51"/>
    </row>
    <row r="5760" spans="9:19" x14ac:dyDescent="0.25">
      <c r="I5760" s="1"/>
      <c r="J5760" s="71"/>
      <c r="M5760" s="46"/>
      <c r="R5760" s="51"/>
      <c r="S5760" s="51"/>
    </row>
    <row r="5761" spans="9:19" x14ac:dyDescent="0.25">
      <c r="I5761" s="1"/>
      <c r="J5761" s="71"/>
      <c r="M5761" s="46"/>
      <c r="R5761" s="51"/>
      <c r="S5761" s="51"/>
    </row>
    <row r="5762" spans="9:19" x14ac:dyDescent="0.25">
      <c r="I5762" s="1"/>
      <c r="J5762" s="71"/>
      <c r="M5762" s="46"/>
      <c r="R5762" s="51"/>
      <c r="S5762" s="51"/>
    </row>
    <row r="5763" spans="9:19" x14ac:dyDescent="0.25">
      <c r="I5763" s="1"/>
      <c r="J5763" s="71"/>
      <c r="M5763" s="46"/>
      <c r="R5763" s="51"/>
      <c r="S5763" s="51"/>
    </row>
    <row r="5764" spans="9:19" x14ac:dyDescent="0.25">
      <c r="I5764" s="1"/>
      <c r="J5764" s="71"/>
      <c r="M5764" s="46"/>
      <c r="R5764" s="51"/>
      <c r="S5764" s="51"/>
    </row>
    <row r="5765" spans="9:19" x14ac:dyDescent="0.25">
      <c r="I5765" s="1"/>
      <c r="J5765" s="71"/>
      <c r="M5765" s="46"/>
      <c r="R5765" s="51"/>
      <c r="S5765" s="51"/>
    </row>
    <row r="5766" spans="9:19" x14ac:dyDescent="0.25">
      <c r="I5766" s="1"/>
      <c r="J5766" s="71"/>
      <c r="M5766" s="46"/>
      <c r="R5766" s="51"/>
      <c r="S5766" s="51"/>
    </row>
    <row r="5767" spans="9:19" x14ac:dyDescent="0.25">
      <c r="I5767" s="1"/>
      <c r="J5767" s="71"/>
      <c r="M5767" s="46"/>
      <c r="R5767" s="51"/>
      <c r="S5767" s="51"/>
    </row>
    <row r="5768" spans="9:19" x14ac:dyDescent="0.25">
      <c r="I5768" s="1"/>
      <c r="J5768" s="71"/>
      <c r="M5768" s="46"/>
      <c r="R5768" s="51"/>
      <c r="S5768" s="51"/>
    </row>
    <row r="5769" spans="9:19" x14ac:dyDescent="0.25">
      <c r="I5769" s="1"/>
      <c r="J5769" s="71"/>
      <c r="M5769" s="46"/>
      <c r="R5769" s="51"/>
      <c r="S5769" s="51"/>
    </row>
    <row r="5770" spans="9:19" x14ac:dyDescent="0.25">
      <c r="I5770" s="1"/>
      <c r="J5770" s="71"/>
      <c r="M5770" s="46"/>
      <c r="R5770" s="51"/>
      <c r="S5770" s="51"/>
    </row>
    <row r="5771" spans="9:19" x14ac:dyDescent="0.25">
      <c r="I5771" s="1"/>
      <c r="J5771" s="71"/>
      <c r="M5771" s="46"/>
      <c r="R5771" s="51"/>
      <c r="S5771" s="51"/>
    </row>
    <row r="5772" spans="9:19" x14ac:dyDescent="0.25">
      <c r="I5772" s="1"/>
      <c r="J5772" s="71"/>
      <c r="M5772" s="46"/>
      <c r="R5772" s="51"/>
      <c r="S5772" s="51"/>
    </row>
    <row r="5773" spans="9:19" x14ac:dyDescent="0.25">
      <c r="I5773" s="1"/>
      <c r="J5773" s="71"/>
      <c r="M5773" s="46"/>
      <c r="R5773" s="51"/>
      <c r="S5773" s="51"/>
    </row>
    <row r="5774" spans="9:19" x14ac:dyDescent="0.25">
      <c r="I5774" s="1"/>
      <c r="J5774" s="71"/>
      <c r="M5774" s="46"/>
      <c r="R5774" s="51"/>
      <c r="S5774" s="51"/>
    </row>
    <row r="5775" spans="9:19" x14ac:dyDescent="0.25">
      <c r="I5775" s="1"/>
      <c r="J5775" s="71"/>
      <c r="M5775" s="46"/>
      <c r="R5775" s="51"/>
      <c r="S5775" s="51"/>
    </row>
    <row r="5776" spans="9:19" x14ac:dyDescent="0.25">
      <c r="I5776" s="1"/>
      <c r="J5776" s="71"/>
      <c r="M5776" s="46"/>
      <c r="R5776" s="51"/>
      <c r="S5776" s="51"/>
    </row>
    <row r="5777" spans="9:19" x14ac:dyDescent="0.25">
      <c r="I5777" s="1"/>
      <c r="J5777" s="71"/>
      <c r="M5777" s="46"/>
      <c r="R5777" s="51"/>
      <c r="S5777" s="51"/>
    </row>
    <row r="5778" spans="9:19" x14ac:dyDescent="0.25">
      <c r="I5778" s="1"/>
      <c r="J5778" s="71"/>
      <c r="M5778" s="46"/>
      <c r="R5778" s="51"/>
      <c r="S5778" s="51"/>
    </row>
    <row r="5779" spans="9:19" x14ac:dyDescent="0.25">
      <c r="I5779" s="1"/>
      <c r="J5779" s="71"/>
      <c r="M5779" s="46"/>
      <c r="R5779" s="51"/>
      <c r="S5779" s="51"/>
    </row>
    <row r="5780" spans="9:19" x14ac:dyDescent="0.25">
      <c r="I5780" s="1"/>
      <c r="J5780" s="71"/>
      <c r="M5780" s="46"/>
      <c r="R5780" s="51"/>
      <c r="S5780" s="51"/>
    </row>
    <row r="5781" spans="9:19" x14ac:dyDescent="0.25">
      <c r="I5781" s="1"/>
      <c r="J5781" s="71"/>
      <c r="M5781" s="46"/>
      <c r="R5781" s="51"/>
      <c r="S5781" s="51"/>
    </row>
    <row r="5782" spans="9:19" x14ac:dyDescent="0.25">
      <c r="I5782" s="1"/>
      <c r="J5782" s="71"/>
      <c r="M5782" s="46"/>
      <c r="R5782" s="51"/>
      <c r="S5782" s="51"/>
    </row>
    <row r="5783" spans="9:19" x14ac:dyDescent="0.25">
      <c r="I5783" s="1"/>
      <c r="J5783" s="71"/>
      <c r="M5783" s="46"/>
      <c r="R5783" s="51"/>
      <c r="S5783" s="51"/>
    </row>
    <row r="5784" spans="9:19" x14ac:dyDescent="0.25">
      <c r="I5784" s="1"/>
      <c r="J5784" s="71"/>
      <c r="M5784" s="46"/>
      <c r="R5784" s="51"/>
      <c r="S5784" s="51"/>
    </row>
    <row r="5785" spans="9:19" x14ac:dyDescent="0.25">
      <c r="I5785" s="1"/>
      <c r="J5785" s="71"/>
      <c r="M5785" s="46"/>
      <c r="R5785" s="51"/>
      <c r="S5785" s="51"/>
    </row>
    <row r="5786" spans="9:19" x14ac:dyDescent="0.25">
      <c r="I5786" s="1"/>
      <c r="J5786" s="71"/>
      <c r="M5786" s="46"/>
      <c r="R5786" s="51"/>
      <c r="S5786" s="51"/>
    </row>
    <row r="5787" spans="9:19" x14ac:dyDescent="0.25">
      <c r="I5787" s="1"/>
      <c r="J5787" s="71"/>
      <c r="M5787" s="46"/>
      <c r="R5787" s="51"/>
      <c r="S5787" s="51"/>
    </row>
    <row r="5788" spans="9:19" x14ac:dyDescent="0.25">
      <c r="I5788" s="1"/>
      <c r="J5788" s="71"/>
      <c r="M5788" s="46"/>
      <c r="R5788" s="51"/>
      <c r="S5788" s="51"/>
    </row>
    <row r="5789" spans="9:19" x14ac:dyDescent="0.25">
      <c r="I5789" s="1"/>
      <c r="J5789" s="71"/>
      <c r="M5789" s="46"/>
      <c r="R5789" s="51"/>
      <c r="S5789" s="51"/>
    </row>
    <row r="5790" spans="9:19" x14ac:dyDescent="0.25">
      <c r="I5790" s="1"/>
      <c r="J5790" s="71"/>
      <c r="M5790" s="46"/>
      <c r="R5790" s="51"/>
      <c r="S5790" s="51"/>
    </row>
    <row r="5791" spans="9:19" x14ac:dyDescent="0.25">
      <c r="I5791" s="1"/>
      <c r="J5791" s="71"/>
      <c r="M5791" s="46"/>
      <c r="R5791" s="51"/>
      <c r="S5791" s="51"/>
    </row>
    <row r="5792" spans="9:19" x14ac:dyDescent="0.25">
      <c r="I5792" s="1"/>
      <c r="J5792" s="71"/>
      <c r="M5792" s="46"/>
      <c r="R5792" s="51"/>
      <c r="S5792" s="51"/>
    </row>
    <row r="5793" spans="9:19" x14ac:dyDescent="0.25">
      <c r="I5793" s="1"/>
      <c r="J5793" s="71"/>
      <c r="M5793" s="46"/>
      <c r="R5793" s="51"/>
      <c r="S5793" s="51"/>
    </row>
    <row r="5794" spans="9:19" x14ac:dyDescent="0.25">
      <c r="I5794" s="1"/>
      <c r="J5794" s="71"/>
      <c r="M5794" s="46"/>
      <c r="R5794" s="51"/>
      <c r="S5794" s="51"/>
    </row>
    <row r="5795" spans="9:19" x14ac:dyDescent="0.25">
      <c r="I5795" s="1"/>
      <c r="J5795" s="71"/>
      <c r="M5795" s="46"/>
      <c r="R5795" s="51"/>
      <c r="S5795" s="51"/>
    </row>
    <row r="5796" spans="9:19" x14ac:dyDescent="0.25">
      <c r="I5796" s="1"/>
      <c r="J5796" s="71"/>
      <c r="M5796" s="46"/>
      <c r="R5796" s="51"/>
      <c r="S5796" s="51"/>
    </row>
    <row r="5797" spans="9:19" x14ac:dyDescent="0.25">
      <c r="I5797" s="1"/>
      <c r="J5797" s="71"/>
      <c r="M5797" s="46"/>
      <c r="R5797" s="51"/>
      <c r="S5797" s="51"/>
    </row>
    <row r="5798" spans="9:19" x14ac:dyDescent="0.25">
      <c r="I5798" s="1"/>
      <c r="J5798" s="71"/>
      <c r="M5798" s="46"/>
      <c r="R5798" s="51"/>
      <c r="S5798" s="51"/>
    </row>
    <row r="5799" spans="9:19" x14ac:dyDescent="0.25">
      <c r="I5799" s="1"/>
      <c r="J5799" s="71"/>
      <c r="M5799" s="46"/>
      <c r="R5799" s="51"/>
      <c r="S5799" s="51"/>
    </row>
    <row r="5800" spans="9:19" x14ac:dyDescent="0.25">
      <c r="I5800" s="1"/>
      <c r="J5800" s="71"/>
      <c r="M5800" s="46"/>
      <c r="R5800" s="51"/>
      <c r="S5800" s="51"/>
    </row>
    <row r="5801" spans="9:19" x14ac:dyDescent="0.25">
      <c r="I5801" s="1"/>
      <c r="J5801" s="71"/>
      <c r="M5801" s="46"/>
      <c r="R5801" s="51"/>
      <c r="S5801" s="51"/>
    </row>
    <row r="5802" spans="9:19" x14ac:dyDescent="0.25">
      <c r="I5802" s="1"/>
      <c r="J5802" s="71"/>
      <c r="M5802" s="46"/>
      <c r="R5802" s="51"/>
      <c r="S5802" s="51"/>
    </row>
    <row r="5803" spans="9:19" x14ac:dyDescent="0.25">
      <c r="I5803" s="1"/>
      <c r="J5803" s="71"/>
      <c r="M5803" s="46"/>
      <c r="R5803" s="51"/>
      <c r="S5803" s="51"/>
    </row>
    <row r="5804" spans="9:19" x14ac:dyDescent="0.25">
      <c r="I5804" s="1"/>
      <c r="J5804" s="71"/>
      <c r="M5804" s="46"/>
      <c r="R5804" s="51"/>
      <c r="S5804" s="51"/>
    </row>
    <row r="5805" spans="9:19" x14ac:dyDescent="0.25">
      <c r="I5805" s="1"/>
      <c r="J5805" s="71"/>
      <c r="M5805" s="46"/>
      <c r="R5805" s="51"/>
      <c r="S5805" s="51"/>
    </row>
    <row r="5806" spans="9:19" x14ac:dyDescent="0.25">
      <c r="I5806" s="1"/>
      <c r="J5806" s="71"/>
      <c r="M5806" s="46"/>
      <c r="R5806" s="51"/>
      <c r="S5806" s="51"/>
    </row>
    <row r="5807" spans="9:19" x14ac:dyDescent="0.25">
      <c r="I5807" s="1"/>
      <c r="J5807" s="71"/>
      <c r="M5807" s="46"/>
      <c r="R5807" s="51"/>
      <c r="S5807" s="51"/>
    </row>
    <row r="5808" spans="9:19" x14ac:dyDescent="0.25">
      <c r="I5808" s="1"/>
      <c r="J5808" s="71"/>
      <c r="M5808" s="46"/>
      <c r="R5808" s="51"/>
      <c r="S5808" s="51"/>
    </row>
    <row r="5809" spans="9:19" x14ac:dyDescent="0.25">
      <c r="I5809" s="1"/>
      <c r="J5809" s="71"/>
      <c r="M5809" s="46"/>
      <c r="R5809" s="51"/>
      <c r="S5809" s="51"/>
    </row>
    <row r="5810" spans="9:19" x14ac:dyDescent="0.25">
      <c r="I5810" s="1"/>
      <c r="J5810" s="71"/>
      <c r="M5810" s="46"/>
      <c r="R5810" s="51"/>
      <c r="S5810" s="51"/>
    </row>
    <row r="5811" spans="9:19" x14ac:dyDescent="0.25">
      <c r="I5811" s="1"/>
      <c r="J5811" s="71"/>
      <c r="M5811" s="46"/>
      <c r="R5811" s="51"/>
      <c r="S5811" s="51"/>
    </row>
    <row r="5812" spans="9:19" x14ac:dyDescent="0.25">
      <c r="I5812" s="1"/>
      <c r="J5812" s="71"/>
      <c r="M5812" s="46"/>
      <c r="R5812" s="51"/>
      <c r="S5812" s="51"/>
    </row>
    <row r="5813" spans="9:19" x14ac:dyDescent="0.25">
      <c r="I5813" s="1"/>
      <c r="J5813" s="71"/>
      <c r="M5813" s="46"/>
      <c r="R5813" s="51"/>
      <c r="S5813" s="51"/>
    </row>
    <row r="5814" spans="9:19" x14ac:dyDescent="0.25">
      <c r="I5814" s="1"/>
      <c r="J5814" s="71"/>
      <c r="M5814" s="46"/>
      <c r="R5814" s="51"/>
      <c r="S5814" s="51"/>
    </row>
    <row r="5815" spans="9:19" x14ac:dyDescent="0.25">
      <c r="I5815" s="1"/>
      <c r="J5815" s="71"/>
      <c r="M5815" s="46"/>
      <c r="R5815" s="51"/>
      <c r="S5815" s="51"/>
    </row>
    <row r="5816" spans="9:19" x14ac:dyDescent="0.25">
      <c r="I5816" s="1"/>
      <c r="J5816" s="71"/>
      <c r="M5816" s="46"/>
      <c r="R5816" s="51"/>
      <c r="S5816" s="51"/>
    </row>
    <row r="5817" spans="9:19" x14ac:dyDescent="0.25">
      <c r="I5817" s="1"/>
      <c r="J5817" s="71"/>
      <c r="M5817" s="46"/>
      <c r="R5817" s="51"/>
      <c r="S5817" s="51"/>
    </row>
    <row r="5818" spans="9:19" x14ac:dyDescent="0.25">
      <c r="I5818" s="1"/>
      <c r="J5818" s="71"/>
      <c r="M5818" s="46"/>
      <c r="R5818" s="51"/>
      <c r="S5818" s="51"/>
    </row>
    <row r="5819" spans="9:19" x14ac:dyDescent="0.25">
      <c r="I5819" s="1"/>
      <c r="J5819" s="71"/>
      <c r="M5819" s="46"/>
      <c r="R5819" s="51"/>
      <c r="S5819" s="51"/>
    </row>
    <row r="5820" spans="9:19" x14ac:dyDescent="0.25">
      <c r="I5820" s="1"/>
      <c r="J5820" s="71"/>
      <c r="M5820" s="46"/>
      <c r="R5820" s="51"/>
      <c r="S5820" s="51"/>
    </row>
    <row r="5821" spans="9:19" x14ac:dyDescent="0.25">
      <c r="I5821" s="1"/>
      <c r="J5821" s="71"/>
      <c r="M5821" s="46"/>
      <c r="R5821" s="51"/>
      <c r="S5821" s="51"/>
    </row>
    <row r="5822" spans="9:19" x14ac:dyDescent="0.25">
      <c r="I5822" s="1"/>
      <c r="J5822" s="71"/>
      <c r="M5822" s="46"/>
      <c r="R5822" s="51"/>
      <c r="S5822" s="51"/>
    </row>
    <row r="5823" spans="9:19" x14ac:dyDescent="0.25">
      <c r="I5823" s="1"/>
      <c r="J5823" s="71"/>
      <c r="M5823" s="46"/>
      <c r="R5823" s="51"/>
      <c r="S5823" s="51"/>
    </row>
    <row r="5824" spans="9:19" x14ac:dyDescent="0.25">
      <c r="I5824" s="1"/>
      <c r="J5824" s="71"/>
      <c r="M5824" s="46"/>
      <c r="R5824" s="51"/>
      <c r="S5824" s="51"/>
    </row>
    <row r="5825" spans="9:19" x14ac:dyDescent="0.25">
      <c r="I5825" s="1"/>
      <c r="J5825" s="71"/>
      <c r="M5825" s="46"/>
      <c r="R5825" s="51"/>
      <c r="S5825" s="51"/>
    </row>
    <row r="5826" spans="9:19" x14ac:dyDescent="0.25">
      <c r="I5826" s="1"/>
      <c r="J5826" s="71"/>
      <c r="M5826" s="46"/>
      <c r="R5826" s="51"/>
      <c r="S5826" s="51"/>
    </row>
    <row r="5827" spans="9:19" x14ac:dyDescent="0.25">
      <c r="I5827" s="1"/>
      <c r="J5827" s="71"/>
      <c r="M5827" s="46"/>
      <c r="R5827" s="51"/>
      <c r="S5827" s="51"/>
    </row>
    <row r="5828" spans="9:19" x14ac:dyDescent="0.25">
      <c r="I5828" s="1"/>
      <c r="J5828" s="71"/>
      <c r="M5828" s="46"/>
      <c r="R5828" s="51"/>
      <c r="S5828" s="51"/>
    </row>
    <row r="5829" spans="9:19" x14ac:dyDescent="0.25">
      <c r="I5829" s="1"/>
      <c r="J5829" s="71"/>
      <c r="M5829" s="46"/>
      <c r="R5829" s="51"/>
      <c r="S5829" s="51"/>
    </row>
    <row r="5830" spans="9:19" x14ac:dyDescent="0.25">
      <c r="I5830" s="1"/>
      <c r="J5830" s="71"/>
      <c r="M5830" s="46"/>
      <c r="R5830" s="51"/>
      <c r="S5830" s="51"/>
    </row>
    <row r="5831" spans="9:19" x14ac:dyDescent="0.25">
      <c r="I5831" s="1"/>
      <c r="J5831" s="71"/>
      <c r="M5831" s="46"/>
      <c r="R5831" s="51"/>
      <c r="S5831" s="51"/>
    </row>
    <row r="5832" spans="9:19" x14ac:dyDescent="0.25">
      <c r="I5832" s="1"/>
      <c r="J5832" s="71"/>
      <c r="M5832" s="46"/>
      <c r="R5832" s="51"/>
      <c r="S5832" s="51"/>
    </row>
    <row r="5833" spans="9:19" x14ac:dyDescent="0.25">
      <c r="I5833" s="1"/>
      <c r="J5833" s="71"/>
      <c r="M5833" s="46"/>
      <c r="R5833" s="51"/>
      <c r="S5833" s="51"/>
    </row>
    <row r="5834" spans="9:19" x14ac:dyDescent="0.25">
      <c r="I5834" s="1"/>
      <c r="J5834" s="71"/>
      <c r="M5834" s="46"/>
      <c r="R5834" s="51"/>
      <c r="S5834" s="51"/>
    </row>
    <row r="5835" spans="9:19" x14ac:dyDescent="0.25">
      <c r="I5835" s="1"/>
      <c r="J5835" s="71"/>
      <c r="M5835" s="46"/>
      <c r="R5835" s="51"/>
      <c r="S5835" s="51"/>
    </row>
    <row r="5836" spans="9:19" x14ac:dyDescent="0.25">
      <c r="I5836" s="1"/>
      <c r="J5836" s="71"/>
      <c r="M5836" s="46"/>
      <c r="R5836" s="51"/>
      <c r="S5836" s="51"/>
    </row>
    <row r="5837" spans="9:19" x14ac:dyDescent="0.25">
      <c r="I5837" s="1"/>
      <c r="J5837" s="71"/>
      <c r="M5837" s="46"/>
      <c r="R5837" s="51"/>
      <c r="S5837" s="51"/>
    </row>
    <row r="5838" spans="9:19" x14ac:dyDescent="0.25">
      <c r="I5838" s="1"/>
      <c r="J5838" s="71"/>
      <c r="M5838" s="46"/>
      <c r="R5838" s="51"/>
      <c r="S5838" s="51"/>
    </row>
    <row r="5839" spans="9:19" x14ac:dyDescent="0.25">
      <c r="I5839" s="1"/>
      <c r="J5839" s="71"/>
      <c r="M5839" s="46"/>
      <c r="R5839" s="51"/>
      <c r="S5839" s="51"/>
    </row>
    <row r="5840" spans="9:19" x14ac:dyDescent="0.25">
      <c r="I5840" s="1"/>
      <c r="J5840" s="71"/>
      <c r="M5840" s="46"/>
      <c r="R5840" s="51"/>
      <c r="S5840" s="51"/>
    </row>
    <row r="5841" spans="9:19" x14ac:dyDescent="0.25">
      <c r="I5841" s="1"/>
      <c r="J5841" s="71"/>
      <c r="M5841" s="46"/>
      <c r="R5841" s="51"/>
      <c r="S5841" s="51"/>
    </row>
    <row r="5842" spans="9:19" x14ac:dyDescent="0.25">
      <c r="I5842" s="1"/>
      <c r="J5842" s="71"/>
      <c r="M5842" s="46"/>
      <c r="R5842" s="51"/>
      <c r="S5842" s="51"/>
    </row>
    <row r="5843" spans="9:19" x14ac:dyDescent="0.25">
      <c r="I5843" s="1"/>
      <c r="J5843" s="71"/>
      <c r="M5843" s="46"/>
      <c r="R5843" s="51"/>
      <c r="S5843" s="51"/>
    </row>
    <row r="5844" spans="9:19" x14ac:dyDescent="0.25">
      <c r="I5844" s="1"/>
      <c r="J5844" s="71"/>
      <c r="M5844" s="46"/>
      <c r="R5844" s="51"/>
      <c r="S5844" s="51"/>
    </row>
    <row r="5845" spans="9:19" x14ac:dyDescent="0.25">
      <c r="I5845" s="1"/>
      <c r="J5845" s="71"/>
      <c r="M5845" s="46"/>
      <c r="R5845" s="51"/>
      <c r="S5845" s="51"/>
    </row>
    <row r="5846" spans="9:19" x14ac:dyDescent="0.25">
      <c r="I5846" s="1"/>
      <c r="J5846" s="71"/>
      <c r="M5846" s="46"/>
      <c r="R5846" s="51"/>
      <c r="S5846" s="51"/>
    </row>
    <row r="5847" spans="9:19" x14ac:dyDescent="0.25">
      <c r="I5847" s="1"/>
      <c r="J5847" s="71"/>
      <c r="M5847" s="46"/>
      <c r="R5847" s="51"/>
      <c r="S5847" s="51"/>
    </row>
    <row r="5848" spans="9:19" x14ac:dyDescent="0.25">
      <c r="I5848" s="1"/>
      <c r="J5848" s="71"/>
      <c r="M5848" s="46"/>
      <c r="R5848" s="51"/>
      <c r="S5848" s="51"/>
    </row>
    <row r="5849" spans="9:19" x14ac:dyDescent="0.25">
      <c r="I5849" s="1"/>
      <c r="J5849" s="71"/>
      <c r="M5849" s="46"/>
      <c r="R5849" s="51"/>
      <c r="S5849" s="51"/>
    </row>
    <row r="5850" spans="9:19" x14ac:dyDescent="0.25">
      <c r="I5850" s="1"/>
      <c r="J5850" s="71"/>
      <c r="M5850" s="46"/>
      <c r="R5850" s="51"/>
      <c r="S5850" s="51"/>
    </row>
    <row r="5851" spans="9:19" x14ac:dyDescent="0.25">
      <c r="I5851" s="1"/>
      <c r="J5851" s="71"/>
      <c r="M5851" s="46"/>
      <c r="R5851" s="51"/>
      <c r="S5851" s="51"/>
    </row>
    <row r="5852" spans="9:19" x14ac:dyDescent="0.25">
      <c r="I5852" s="1"/>
      <c r="J5852" s="71"/>
      <c r="M5852" s="46"/>
      <c r="R5852" s="51"/>
      <c r="S5852" s="51"/>
    </row>
    <row r="5853" spans="9:19" x14ac:dyDescent="0.25">
      <c r="I5853" s="1"/>
      <c r="J5853" s="71"/>
      <c r="M5853" s="46"/>
      <c r="R5853" s="51"/>
      <c r="S5853" s="51"/>
    </row>
    <row r="5854" spans="9:19" x14ac:dyDescent="0.25">
      <c r="I5854" s="1"/>
      <c r="J5854" s="71"/>
      <c r="M5854" s="46"/>
      <c r="R5854" s="51"/>
      <c r="S5854" s="51"/>
    </row>
    <row r="5855" spans="9:19" x14ac:dyDescent="0.25">
      <c r="I5855" s="1"/>
      <c r="J5855" s="71"/>
      <c r="M5855" s="46"/>
      <c r="R5855" s="51"/>
      <c r="S5855" s="51"/>
    </row>
    <row r="5856" spans="9:19" x14ac:dyDescent="0.25">
      <c r="I5856" s="1"/>
      <c r="J5856" s="71"/>
      <c r="M5856" s="46"/>
      <c r="R5856" s="51"/>
      <c r="S5856" s="51"/>
    </row>
    <row r="5857" spans="9:19" x14ac:dyDescent="0.25">
      <c r="I5857" s="1"/>
      <c r="J5857" s="71"/>
      <c r="M5857" s="46"/>
      <c r="R5857" s="51"/>
      <c r="S5857" s="51"/>
    </row>
    <row r="5858" spans="9:19" x14ac:dyDescent="0.25">
      <c r="I5858" s="1"/>
      <c r="J5858" s="71"/>
      <c r="M5858" s="46"/>
      <c r="R5858" s="51"/>
      <c r="S5858" s="51"/>
    </row>
    <row r="5859" spans="9:19" x14ac:dyDescent="0.25">
      <c r="I5859" s="1"/>
      <c r="J5859" s="71"/>
      <c r="M5859" s="46"/>
      <c r="R5859" s="51"/>
      <c r="S5859" s="51"/>
    </row>
    <row r="5860" spans="9:19" x14ac:dyDescent="0.25">
      <c r="I5860" s="1"/>
      <c r="J5860" s="71"/>
      <c r="M5860" s="46"/>
      <c r="R5860" s="51"/>
      <c r="S5860" s="51"/>
    </row>
    <row r="5861" spans="9:19" x14ac:dyDescent="0.25">
      <c r="I5861" s="1"/>
      <c r="J5861" s="71"/>
      <c r="M5861" s="46"/>
      <c r="R5861" s="51"/>
      <c r="S5861" s="51"/>
    </row>
    <row r="5862" spans="9:19" x14ac:dyDescent="0.25">
      <c r="I5862" s="1"/>
      <c r="J5862" s="71"/>
      <c r="M5862" s="46"/>
      <c r="R5862" s="51"/>
      <c r="S5862" s="51"/>
    </row>
    <row r="5863" spans="9:19" x14ac:dyDescent="0.25">
      <c r="I5863" s="1"/>
      <c r="J5863" s="71"/>
      <c r="M5863" s="46"/>
      <c r="R5863" s="51"/>
      <c r="S5863" s="51"/>
    </row>
    <row r="5864" spans="9:19" x14ac:dyDescent="0.25">
      <c r="I5864" s="1"/>
      <c r="J5864" s="71"/>
      <c r="M5864" s="46"/>
      <c r="R5864" s="51"/>
      <c r="S5864" s="51"/>
    </row>
    <row r="5865" spans="9:19" x14ac:dyDescent="0.25">
      <c r="I5865" s="1"/>
      <c r="J5865" s="71"/>
      <c r="M5865" s="46"/>
      <c r="R5865" s="51"/>
      <c r="S5865" s="51"/>
    </row>
    <row r="5866" spans="9:19" x14ac:dyDescent="0.25">
      <c r="I5866" s="1"/>
      <c r="J5866" s="71"/>
      <c r="M5866" s="46"/>
      <c r="R5866" s="51"/>
      <c r="S5866" s="51"/>
    </row>
    <row r="5867" spans="9:19" x14ac:dyDescent="0.25">
      <c r="I5867" s="1"/>
      <c r="J5867" s="71"/>
      <c r="M5867" s="46"/>
      <c r="R5867" s="51"/>
      <c r="S5867" s="51"/>
    </row>
    <row r="5868" spans="9:19" x14ac:dyDescent="0.25">
      <c r="I5868" s="1"/>
      <c r="J5868" s="71"/>
      <c r="M5868" s="46"/>
      <c r="R5868" s="51"/>
      <c r="S5868" s="51"/>
    </row>
    <row r="5869" spans="9:19" x14ac:dyDescent="0.25">
      <c r="I5869" s="1"/>
      <c r="J5869" s="71"/>
      <c r="M5869" s="46"/>
      <c r="R5869" s="51"/>
      <c r="S5869" s="51"/>
    </row>
    <row r="5870" spans="9:19" x14ac:dyDescent="0.25">
      <c r="I5870" s="1"/>
      <c r="J5870" s="71"/>
      <c r="M5870" s="46"/>
      <c r="R5870" s="51"/>
      <c r="S5870" s="51"/>
    </row>
    <row r="5871" spans="9:19" x14ac:dyDescent="0.25">
      <c r="I5871" s="1"/>
      <c r="J5871" s="71"/>
      <c r="M5871" s="46"/>
      <c r="R5871" s="51"/>
      <c r="S5871" s="51"/>
    </row>
    <row r="5872" spans="9:19" x14ac:dyDescent="0.25">
      <c r="I5872" s="1"/>
      <c r="J5872" s="71"/>
      <c r="M5872" s="46"/>
      <c r="R5872" s="51"/>
      <c r="S5872" s="51"/>
    </row>
    <row r="5873" spans="9:19" x14ac:dyDescent="0.25">
      <c r="I5873" s="1"/>
      <c r="J5873" s="71"/>
      <c r="M5873" s="46"/>
      <c r="R5873" s="51"/>
      <c r="S5873" s="51"/>
    </row>
    <row r="5874" spans="9:19" x14ac:dyDescent="0.25">
      <c r="I5874" s="1"/>
      <c r="J5874" s="71"/>
      <c r="M5874" s="46"/>
      <c r="R5874" s="51"/>
      <c r="S5874" s="51"/>
    </row>
    <row r="5875" spans="9:19" x14ac:dyDescent="0.25">
      <c r="I5875" s="1"/>
      <c r="J5875" s="71"/>
      <c r="M5875" s="46"/>
      <c r="R5875" s="51"/>
      <c r="S5875" s="51"/>
    </row>
    <row r="5876" spans="9:19" x14ac:dyDescent="0.25">
      <c r="I5876" s="1"/>
      <c r="J5876" s="71"/>
      <c r="M5876" s="46"/>
      <c r="R5876" s="51"/>
      <c r="S5876" s="51"/>
    </row>
    <row r="5877" spans="9:19" x14ac:dyDescent="0.25">
      <c r="I5877" s="1"/>
      <c r="J5877" s="71"/>
      <c r="M5877" s="46"/>
      <c r="R5877" s="51"/>
      <c r="S5877" s="51"/>
    </row>
    <row r="5878" spans="9:19" x14ac:dyDescent="0.25">
      <c r="I5878" s="1"/>
      <c r="J5878" s="71"/>
      <c r="M5878" s="46"/>
      <c r="R5878" s="51"/>
      <c r="S5878" s="51"/>
    </row>
    <row r="5879" spans="9:19" x14ac:dyDescent="0.25">
      <c r="I5879" s="1"/>
      <c r="J5879" s="71"/>
      <c r="M5879" s="46"/>
      <c r="R5879" s="51"/>
      <c r="S5879" s="51"/>
    </row>
    <row r="5880" spans="9:19" x14ac:dyDescent="0.25">
      <c r="I5880" s="1"/>
      <c r="J5880" s="71"/>
      <c r="M5880" s="46"/>
      <c r="R5880" s="51"/>
      <c r="S5880" s="51"/>
    </row>
    <row r="5881" spans="9:19" x14ac:dyDescent="0.25">
      <c r="I5881" s="1"/>
      <c r="J5881" s="71"/>
      <c r="M5881" s="46"/>
      <c r="R5881" s="51"/>
      <c r="S5881" s="51"/>
    </row>
    <row r="5882" spans="9:19" x14ac:dyDescent="0.25">
      <c r="I5882" s="1"/>
      <c r="J5882" s="71"/>
      <c r="M5882" s="46"/>
      <c r="R5882" s="51"/>
      <c r="S5882" s="51"/>
    </row>
    <row r="5883" spans="9:19" x14ac:dyDescent="0.25">
      <c r="I5883" s="1"/>
      <c r="J5883" s="71"/>
      <c r="M5883" s="46"/>
      <c r="R5883" s="51"/>
      <c r="S5883" s="51"/>
    </row>
    <row r="5884" spans="9:19" x14ac:dyDescent="0.25">
      <c r="I5884" s="1"/>
      <c r="J5884" s="71"/>
      <c r="M5884" s="46"/>
      <c r="R5884" s="51"/>
      <c r="S5884" s="51"/>
    </row>
    <row r="5885" spans="9:19" x14ac:dyDescent="0.25">
      <c r="I5885" s="1"/>
      <c r="J5885" s="71"/>
      <c r="M5885" s="46"/>
      <c r="R5885" s="51"/>
      <c r="S5885" s="51"/>
    </row>
    <row r="5886" spans="9:19" x14ac:dyDescent="0.25">
      <c r="I5886" s="1"/>
      <c r="J5886" s="71"/>
      <c r="M5886" s="46"/>
      <c r="R5886" s="51"/>
      <c r="S5886" s="51"/>
    </row>
    <row r="5887" spans="9:19" x14ac:dyDescent="0.25">
      <c r="I5887" s="1"/>
      <c r="J5887" s="71"/>
      <c r="M5887" s="46"/>
      <c r="R5887" s="51"/>
      <c r="S5887" s="51"/>
    </row>
    <row r="5888" spans="9:19" x14ac:dyDescent="0.25">
      <c r="I5888" s="1"/>
      <c r="J5888" s="71"/>
      <c r="M5888" s="46"/>
      <c r="R5888" s="51"/>
      <c r="S5888" s="51"/>
    </row>
    <row r="5889" spans="9:19" x14ac:dyDescent="0.25">
      <c r="I5889" s="1"/>
      <c r="J5889" s="71"/>
      <c r="M5889" s="46"/>
      <c r="R5889" s="51"/>
      <c r="S5889" s="51"/>
    </row>
    <row r="5890" spans="9:19" x14ac:dyDescent="0.25">
      <c r="I5890" s="1"/>
      <c r="J5890" s="71"/>
      <c r="M5890" s="46"/>
      <c r="R5890" s="51"/>
      <c r="S5890" s="51"/>
    </row>
    <row r="5891" spans="9:19" x14ac:dyDescent="0.25">
      <c r="I5891" s="1"/>
      <c r="J5891" s="71"/>
      <c r="M5891" s="46"/>
      <c r="R5891" s="51"/>
      <c r="S5891" s="51"/>
    </row>
    <row r="5892" spans="9:19" x14ac:dyDescent="0.25">
      <c r="I5892" s="1"/>
      <c r="J5892" s="71"/>
      <c r="M5892" s="46"/>
      <c r="R5892" s="51"/>
      <c r="S5892" s="51"/>
    </row>
    <row r="5893" spans="9:19" x14ac:dyDescent="0.25">
      <c r="I5893" s="1"/>
      <c r="J5893" s="71"/>
      <c r="M5893" s="46"/>
      <c r="R5893" s="51"/>
      <c r="S5893" s="51"/>
    </row>
    <row r="5894" spans="9:19" x14ac:dyDescent="0.25">
      <c r="I5894" s="1"/>
      <c r="J5894" s="71"/>
      <c r="M5894" s="46"/>
      <c r="R5894" s="51"/>
      <c r="S5894" s="51"/>
    </row>
    <row r="5895" spans="9:19" x14ac:dyDescent="0.25">
      <c r="I5895" s="1"/>
      <c r="J5895" s="71"/>
      <c r="M5895" s="46"/>
      <c r="R5895" s="51"/>
      <c r="S5895" s="51"/>
    </row>
    <row r="5896" spans="9:19" x14ac:dyDescent="0.25">
      <c r="I5896" s="1"/>
      <c r="J5896" s="71"/>
      <c r="M5896" s="46"/>
      <c r="R5896" s="51"/>
      <c r="S5896" s="51"/>
    </row>
    <row r="5897" spans="9:19" x14ac:dyDescent="0.25">
      <c r="I5897" s="1"/>
      <c r="J5897" s="71"/>
      <c r="M5897" s="46"/>
      <c r="R5897" s="51"/>
      <c r="S5897" s="51"/>
    </row>
    <row r="5898" spans="9:19" x14ac:dyDescent="0.25">
      <c r="I5898" s="1"/>
      <c r="J5898" s="71"/>
      <c r="M5898" s="46"/>
      <c r="R5898" s="51"/>
      <c r="S5898" s="51"/>
    </row>
    <row r="5899" spans="9:19" x14ac:dyDescent="0.25">
      <c r="I5899" s="1"/>
      <c r="J5899" s="71"/>
      <c r="M5899" s="46"/>
      <c r="R5899" s="51"/>
      <c r="S5899" s="51"/>
    </row>
    <row r="5900" spans="9:19" x14ac:dyDescent="0.25">
      <c r="I5900" s="1"/>
      <c r="J5900" s="71"/>
      <c r="M5900" s="46"/>
      <c r="R5900" s="51"/>
      <c r="S5900" s="51"/>
    </row>
    <row r="5901" spans="9:19" x14ac:dyDescent="0.25">
      <c r="I5901" s="1"/>
      <c r="J5901" s="71"/>
      <c r="M5901" s="46"/>
      <c r="R5901" s="51"/>
      <c r="S5901" s="51"/>
    </row>
    <row r="5902" spans="9:19" x14ac:dyDescent="0.25">
      <c r="I5902" s="1"/>
      <c r="J5902" s="71"/>
      <c r="M5902" s="46"/>
      <c r="R5902" s="51"/>
      <c r="S5902" s="51"/>
    </row>
    <row r="5903" spans="9:19" x14ac:dyDescent="0.25">
      <c r="I5903" s="1"/>
      <c r="J5903" s="71"/>
      <c r="M5903" s="46"/>
      <c r="R5903" s="51"/>
      <c r="S5903" s="51"/>
    </row>
    <row r="5904" spans="9:19" x14ac:dyDescent="0.25">
      <c r="I5904" s="1"/>
      <c r="J5904" s="71"/>
      <c r="M5904" s="46"/>
      <c r="R5904" s="51"/>
      <c r="S5904" s="51"/>
    </row>
    <row r="5905" spans="9:19" x14ac:dyDescent="0.25">
      <c r="I5905" s="1"/>
      <c r="J5905" s="71"/>
      <c r="M5905" s="46"/>
      <c r="R5905" s="51"/>
      <c r="S5905" s="51"/>
    </row>
    <row r="5906" spans="9:19" x14ac:dyDescent="0.25">
      <c r="I5906" s="1"/>
      <c r="J5906" s="71"/>
      <c r="M5906" s="46"/>
      <c r="R5906" s="51"/>
      <c r="S5906" s="51"/>
    </row>
    <row r="5907" spans="9:19" x14ac:dyDescent="0.25">
      <c r="I5907" s="1"/>
      <c r="J5907" s="71"/>
      <c r="M5907" s="46"/>
      <c r="R5907" s="51"/>
      <c r="S5907" s="51"/>
    </row>
    <row r="5908" spans="9:19" x14ac:dyDescent="0.25">
      <c r="I5908" s="1"/>
      <c r="J5908" s="71"/>
      <c r="M5908" s="46"/>
      <c r="R5908" s="51"/>
      <c r="S5908" s="51"/>
    </row>
    <row r="5909" spans="9:19" x14ac:dyDescent="0.25">
      <c r="I5909" s="1"/>
      <c r="J5909" s="71"/>
      <c r="M5909" s="46"/>
      <c r="R5909" s="51"/>
      <c r="S5909" s="51"/>
    </row>
    <row r="5910" spans="9:19" x14ac:dyDescent="0.25">
      <c r="I5910" s="1"/>
      <c r="J5910" s="71"/>
      <c r="M5910" s="46"/>
      <c r="R5910" s="51"/>
      <c r="S5910" s="51"/>
    </row>
    <row r="5911" spans="9:19" x14ac:dyDescent="0.25">
      <c r="I5911" s="1"/>
      <c r="J5911" s="71"/>
      <c r="M5911" s="46"/>
      <c r="R5911" s="51"/>
      <c r="S5911" s="51"/>
    </row>
    <row r="5912" spans="9:19" x14ac:dyDescent="0.25">
      <c r="I5912" s="1"/>
      <c r="J5912" s="71"/>
      <c r="M5912" s="46"/>
      <c r="R5912" s="51"/>
      <c r="S5912" s="51"/>
    </row>
    <row r="5913" spans="9:19" x14ac:dyDescent="0.25">
      <c r="I5913" s="1"/>
      <c r="J5913" s="71"/>
      <c r="M5913" s="46"/>
      <c r="R5913" s="51"/>
      <c r="S5913" s="51"/>
    </row>
    <row r="5914" spans="9:19" x14ac:dyDescent="0.25">
      <c r="I5914" s="1"/>
      <c r="J5914" s="71"/>
      <c r="M5914" s="46"/>
      <c r="R5914" s="51"/>
      <c r="S5914" s="51"/>
    </row>
    <row r="5915" spans="9:19" x14ac:dyDescent="0.25">
      <c r="I5915" s="1"/>
      <c r="J5915" s="71"/>
      <c r="M5915" s="46"/>
      <c r="R5915" s="51"/>
      <c r="S5915" s="51"/>
    </row>
    <row r="5916" spans="9:19" x14ac:dyDescent="0.25">
      <c r="I5916" s="1"/>
      <c r="J5916" s="71"/>
      <c r="M5916" s="46"/>
      <c r="R5916" s="51"/>
      <c r="S5916" s="51"/>
    </row>
    <row r="5917" spans="9:19" x14ac:dyDescent="0.25">
      <c r="I5917" s="1"/>
      <c r="J5917" s="71"/>
      <c r="M5917" s="46"/>
      <c r="R5917" s="51"/>
      <c r="S5917" s="51"/>
    </row>
    <row r="5918" spans="9:19" x14ac:dyDescent="0.25">
      <c r="I5918" s="1"/>
      <c r="J5918" s="71"/>
      <c r="M5918" s="46"/>
      <c r="R5918" s="51"/>
      <c r="S5918" s="51"/>
    </row>
    <row r="5919" spans="9:19" x14ac:dyDescent="0.25">
      <c r="I5919" s="1"/>
      <c r="J5919" s="71"/>
      <c r="M5919" s="46"/>
      <c r="R5919" s="51"/>
      <c r="S5919" s="51"/>
    </row>
    <row r="5920" spans="9:19" x14ac:dyDescent="0.25">
      <c r="I5920" s="1"/>
      <c r="J5920" s="71"/>
      <c r="M5920" s="46"/>
      <c r="R5920" s="51"/>
      <c r="S5920" s="51"/>
    </row>
    <row r="5921" spans="9:19" x14ac:dyDescent="0.25">
      <c r="I5921" s="1"/>
      <c r="J5921" s="71"/>
      <c r="M5921" s="46"/>
      <c r="R5921" s="51"/>
      <c r="S5921" s="51"/>
    </row>
    <row r="5922" spans="9:19" x14ac:dyDescent="0.25">
      <c r="I5922" s="1"/>
      <c r="J5922" s="71"/>
      <c r="M5922" s="46"/>
      <c r="R5922" s="51"/>
      <c r="S5922" s="51"/>
    </row>
    <row r="5923" spans="9:19" x14ac:dyDescent="0.25">
      <c r="I5923" s="1"/>
      <c r="J5923" s="71"/>
      <c r="M5923" s="46"/>
      <c r="R5923" s="51"/>
      <c r="S5923" s="51"/>
    </row>
    <row r="5924" spans="9:19" x14ac:dyDescent="0.25">
      <c r="I5924" s="1"/>
      <c r="J5924" s="71"/>
      <c r="M5924" s="46"/>
      <c r="R5924" s="51"/>
      <c r="S5924" s="51"/>
    </row>
    <row r="5925" spans="9:19" x14ac:dyDescent="0.25">
      <c r="I5925" s="1"/>
      <c r="J5925" s="71"/>
      <c r="M5925" s="46"/>
      <c r="R5925" s="51"/>
      <c r="S5925" s="51"/>
    </row>
    <row r="5926" spans="9:19" x14ac:dyDescent="0.25">
      <c r="I5926" s="1"/>
      <c r="J5926" s="71"/>
      <c r="M5926" s="46"/>
      <c r="R5926" s="51"/>
      <c r="S5926" s="51"/>
    </row>
    <row r="5927" spans="9:19" x14ac:dyDescent="0.25">
      <c r="I5927" s="1"/>
      <c r="J5927" s="71"/>
      <c r="M5927" s="46"/>
      <c r="R5927" s="51"/>
      <c r="S5927" s="51"/>
    </row>
    <row r="5928" spans="9:19" x14ac:dyDescent="0.25">
      <c r="I5928" s="1"/>
      <c r="J5928" s="71"/>
      <c r="M5928" s="46"/>
      <c r="R5928" s="51"/>
      <c r="S5928" s="51"/>
    </row>
    <row r="5929" spans="9:19" x14ac:dyDescent="0.25">
      <c r="I5929" s="1"/>
      <c r="J5929" s="71"/>
      <c r="M5929" s="46"/>
      <c r="R5929" s="51"/>
      <c r="S5929" s="51"/>
    </row>
    <row r="5930" spans="9:19" x14ac:dyDescent="0.25">
      <c r="I5930" s="1"/>
      <c r="J5930" s="71"/>
      <c r="M5930" s="46"/>
      <c r="R5930" s="51"/>
      <c r="S5930" s="51"/>
    </row>
    <row r="5931" spans="9:19" x14ac:dyDescent="0.25">
      <c r="I5931" s="1"/>
      <c r="J5931" s="71"/>
      <c r="M5931" s="46"/>
      <c r="R5931" s="51"/>
      <c r="S5931" s="51"/>
    </row>
    <row r="5932" spans="9:19" x14ac:dyDescent="0.25">
      <c r="I5932" s="1"/>
      <c r="J5932" s="71"/>
      <c r="M5932" s="46"/>
      <c r="R5932" s="51"/>
      <c r="S5932" s="51"/>
    </row>
    <row r="5933" spans="9:19" x14ac:dyDescent="0.25">
      <c r="I5933" s="1"/>
      <c r="J5933" s="71"/>
      <c r="M5933" s="46"/>
      <c r="R5933" s="51"/>
      <c r="S5933" s="51"/>
    </row>
    <row r="5934" spans="9:19" x14ac:dyDescent="0.25">
      <c r="I5934" s="1"/>
      <c r="J5934" s="71"/>
      <c r="M5934" s="46"/>
      <c r="R5934" s="51"/>
      <c r="S5934" s="51"/>
    </row>
    <row r="5935" spans="9:19" x14ac:dyDescent="0.25">
      <c r="I5935" s="1"/>
      <c r="J5935" s="71"/>
      <c r="M5935" s="46"/>
      <c r="R5935" s="51"/>
      <c r="S5935" s="51"/>
    </row>
    <row r="5936" spans="9:19" x14ac:dyDescent="0.25">
      <c r="I5936" s="1"/>
      <c r="J5936" s="71"/>
      <c r="M5936" s="46"/>
      <c r="R5936" s="51"/>
      <c r="S5936" s="51"/>
    </row>
    <row r="5937" spans="9:19" x14ac:dyDescent="0.25">
      <c r="I5937" s="1"/>
      <c r="J5937" s="71"/>
      <c r="M5937" s="46"/>
      <c r="R5937" s="51"/>
      <c r="S5937" s="51"/>
    </row>
    <row r="5938" spans="9:19" x14ac:dyDescent="0.25">
      <c r="I5938" s="1"/>
      <c r="J5938" s="71"/>
      <c r="M5938" s="46"/>
      <c r="R5938" s="51"/>
      <c r="S5938" s="51"/>
    </row>
    <row r="5939" spans="9:19" x14ac:dyDescent="0.25">
      <c r="I5939" s="1"/>
      <c r="J5939" s="71"/>
      <c r="M5939" s="46"/>
      <c r="R5939" s="51"/>
      <c r="S5939" s="51"/>
    </row>
    <row r="5940" spans="9:19" x14ac:dyDescent="0.25">
      <c r="I5940" s="1"/>
      <c r="J5940" s="71"/>
      <c r="M5940" s="46"/>
      <c r="R5940" s="51"/>
      <c r="S5940" s="51"/>
    </row>
    <row r="5941" spans="9:19" x14ac:dyDescent="0.25">
      <c r="I5941" s="1"/>
      <c r="J5941" s="71"/>
      <c r="M5941" s="46"/>
      <c r="R5941" s="51"/>
      <c r="S5941" s="51"/>
    </row>
    <row r="5942" spans="9:19" x14ac:dyDescent="0.25">
      <c r="I5942" s="1"/>
      <c r="J5942" s="71"/>
      <c r="M5942" s="46"/>
      <c r="R5942" s="51"/>
      <c r="S5942" s="51"/>
    </row>
    <row r="5943" spans="9:19" x14ac:dyDescent="0.25">
      <c r="I5943" s="1"/>
      <c r="J5943" s="71"/>
      <c r="M5943" s="46"/>
      <c r="R5943" s="51"/>
      <c r="S5943" s="51"/>
    </row>
    <row r="5944" spans="9:19" x14ac:dyDescent="0.25">
      <c r="I5944" s="1"/>
      <c r="J5944" s="71"/>
      <c r="M5944" s="46"/>
      <c r="R5944" s="51"/>
      <c r="S5944" s="51"/>
    </row>
    <row r="5945" spans="9:19" x14ac:dyDescent="0.25">
      <c r="I5945" s="1"/>
      <c r="J5945" s="71"/>
      <c r="M5945" s="46"/>
      <c r="R5945" s="51"/>
      <c r="S5945" s="51"/>
    </row>
    <row r="5946" spans="9:19" x14ac:dyDescent="0.25">
      <c r="I5946" s="1"/>
      <c r="J5946" s="71"/>
      <c r="M5946" s="46"/>
      <c r="R5946" s="51"/>
      <c r="S5946" s="51"/>
    </row>
    <row r="5947" spans="9:19" x14ac:dyDescent="0.25">
      <c r="I5947" s="1"/>
      <c r="J5947" s="71"/>
      <c r="M5947" s="46"/>
      <c r="R5947" s="51"/>
      <c r="S5947" s="51"/>
    </row>
    <row r="5948" spans="9:19" x14ac:dyDescent="0.25">
      <c r="I5948" s="1"/>
      <c r="J5948" s="71"/>
      <c r="M5948" s="46"/>
      <c r="R5948" s="51"/>
      <c r="S5948" s="51"/>
    </row>
    <row r="5949" spans="9:19" x14ac:dyDescent="0.25">
      <c r="I5949" s="1"/>
      <c r="J5949" s="71"/>
      <c r="M5949" s="46"/>
      <c r="R5949" s="51"/>
      <c r="S5949" s="51"/>
    </row>
    <row r="5950" spans="9:19" x14ac:dyDescent="0.25">
      <c r="I5950" s="1"/>
      <c r="J5950" s="71"/>
      <c r="M5950" s="46"/>
      <c r="R5950" s="51"/>
      <c r="S5950" s="51"/>
    </row>
    <row r="5951" spans="9:19" x14ac:dyDescent="0.25">
      <c r="I5951" s="1"/>
      <c r="J5951" s="71"/>
      <c r="M5951" s="46"/>
      <c r="R5951" s="51"/>
      <c r="S5951" s="51"/>
    </row>
    <row r="5952" spans="9:19" x14ac:dyDescent="0.25">
      <c r="I5952" s="1"/>
      <c r="J5952" s="71"/>
      <c r="M5952" s="46"/>
      <c r="R5952" s="51"/>
      <c r="S5952" s="51"/>
    </row>
    <row r="5953" spans="9:19" x14ac:dyDescent="0.25">
      <c r="I5953" s="1"/>
      <c r="J5953" s="71"/>
      <c r="M5953" s="46"/>
      <c r="R5953" s="51"/>
      <c r="S5953" s="51"/>
    </row>
    <row r="5954" spans="9:19" x14ac:dyDescent="0.25">
      <c r="I5954" s="1"/>
      <c r="J5954" s="71"/>
      <c r="M5954" s="46"/>
      <c r="R5954" s="51"/>
      <c r="S5954" s="51"/>
    </row>
    <row r="5955" spans="9:19" x14ac:dyDescent="0.25">
      <c r="I5955" s="1"/>
      <c r="J5955" s="71"/>
      <c r="M5955" s="46"/>
      <c r="R5955" s="51"/>
      <c r="S5955" s="51"/>
    </row>
    <row r="5956" spans="9:19" x14ac:dyDescent="0.25">
      <c r="I5956" s="1"/>
      <c r="J5956" s="71"/>
      <c r="M5956" s="46"/>
      <c r="R5956" s="51"/>
      <c r="S5956" s="51"/>
    </row>
    <row r="5957" spans="9:19" x14ac:dyDescent="0.25">
      <c r="I5957" s="1"/>
      <c r="J5957" s="71"/>
      <c r="M5957" s="46"/>
      <c r="R5957" s="51"/>
      <c r="S5957" s="51"/>
    </row>
    <row r="5958" spans="9:19" x14ac:dyDescent="0.25">
      <c r="I5958" s="1"/>
      <c r="J5958" s="71"/>
      <c r="M5958" s="46"/>
      <c r="R5958" s="51"/>
      <c r="S5958" s="51"/>
    </row>
    <row r="5959" spans="9:19" x14ac:dyDescent="0.25">
      <c r="I5959" s="1"/>
      <c r="J5959" s="71"/>
      <c r="M5959" s="46"/>
      <c r="R5959" s="51"/>
      <c r="S5959" s="51"/>
    </row>
    <row r="5960" spans="9:19" x14ac:dyDescent="0.25">
      <c r="I5960" s="1"/>
      <c r="J5960" s="71"/>
      <c r="M5960" s="46"/>
      <c r="R5960" s="51"/>
      <c r="S5960" s="51"/>
    </row>
    <row r="5961" spans="9:19" x14ac:dyDescent="0.25">
      <c r="I5961" s="1"/>
      <c r="J5961" s="71"/>
      <c r="M5961" s="46"/>
      <c r="R5961" s="51"/>
      <c r="S5961" s="51"/>
    </row>
    <row r="5962" spans="9:19" x14ac:dyDescent="0.25">
      <c r="I5962" s="1"/>
      <c r="J5962" s="71"/>
      <c r="M5962" s="46"/>
      <c r="R5962" s="51"/>
      <c r="S5962" s="51"/>
    </row>
    <row r="5963" spans="9:19" x14ac:dyDescent="0.25">
      <c r="I5963" s="1"/>
      <c r="J5963" s="71"/>
      <c r="M5963" s="46"/>
      <c r="R5963" s="51"/>
      <c r="S5963" s="51"/>
    </row>
    <row r="5964" spans="9:19" x14ac:dyDescent="0.25">
      <c r="I5964" s="1"/>
      <c r="J5964" s="71"/>
      <c r="M5964" s="46"/>
      <c r="R5964" s="51"/>
      <c r="S5964" s="51"/>
    </row>
    <row r="5965" spans="9:19" x14ac:dyDescent="0.25">
      <c r="I5965" s="1"/>
      <c r="J5965" s="71"/>
      <c r="M5965" s="46"/>
      <c r="R5965" s="51"/>
      <c r="S5965" s="51"/>
    </row>
    <row r="5966" spans="9:19" x14ac:dyDescent="0.25">
      <c r="I5966" s="1"/>
      <c r="J5966" s="71"/>
      <c r="M5966" s="46"/>
      <c r="R5966" s="51"/>
      <c r="S5966" s="51"/>
    </row>
    <row r="5967" spans="9:19" x14ac:dyDescent="0.25">
      <c r="I5967" s="1"/>
      <c r="J5967" s="71"/>
      <c r="M5967" s="46"/>
      <c r="R5967" s="51"/>
      <c r="S5967" s="51"/>
    </row>
    <row r="5968" spans="9:19" x14ac:dyDescent="0.25">
      <c r="I5968" s="1"/>
      <c r="J5968" s="71"/>
      <c r="M5968" s="46"/>
      <c r="R5968" s="51"/>
      <c r="S5968" s="51"/>
    </row>
    <row r="5969" spans="9:19" x14ac:dyDescent="0.25">
      <c r="I5969" s="1"/>
      <c r="J5969" s="71"/>
      <c r="M5969" s="46"/>
      <c r="R5969" s="51"/>
      <c r="S5969" s="51"/>
    </row>
    <row r="5970" spans="9:19" x14ac:dyDescent="0.25">
      <c r="I5970" s="1"/>
      <c r="J5970" s="71"/>
      <c r="M5970" s="46"/>
      <c r="R5970" s="51"/>
      <c r="S5970" s="51"/>
    </row>
    <row r="5971" spans="9:19" x14ac:dyDescent="0.25">
      <c r="I5971" s="1"/>
      <c r="J5971" s="71"/>
      <c r="M5971" s="46"/>
      <c r="R5971" s="51"/>
      <c r="S5971" s="51"/>
    </row>
    <row r="5972" spans="9:19" x14ac:dyDescent="0.25">
      <c r="I5972" s="1"/>
      <c r="J5972" s="71"/>
      <c r="M5972" s="46"/>
      <c r="R5972" s="51"/>
      <c r="S5972" s="51"/>
    </row>
    <row r="5973" spans="9:19" x14ac:dyDescent="0.25">
      <c r="I5973" s="1"/>
      <c r="J5973" s="71"/>
      <c r="M5973" s="46"/>
      <c r="R5973" s="51"/>
      <c r="S5973" s="51"/>
    </row>
    <row r="5974" spans="9:19" x14ac:dyDescent="0.25">
      <c r="I5974" s="1"/>
      <c r="J5974" s="71"/>
      <c r="M5974" s="46"/>
      <c r="R5974" s="51"/>
      <c r="S5974" s="51"/>
    </row>
    <row r="5975" spans="9:19" x14ac:dyDescent="0.25">
      <c r="I5975" s="1"/>
      <c r="J5975" s="71"/>
      <c r="M5975" s="46"/>
      <c r="R5975" s="51"/>
      <c r="S5975" s="51"/>
    </row>
    <row r="5976" spans="9:19" x14ac:dyDescent="0.25">
      <c r="I5976" s="1"/>
      <c r="J5976" s="71"/>
      <c r="M5976" s="46"/>
      <c r="R5976" s="51"/>
      <c r="S5976" s="51"/>
    </row>
    <row r="5977" spans="9:19" x14ac:dyDescent="0.25">
      <c r="I5977" s="1"/>
      <c r="J5977" s="71"/>
      <c r="M5977" s="46"/>
      <c r="R5977" s="51"/>
      <c r="S5977" s="51"/>
    </row>
    <row r="5978" spans="9:19" x14ac:dyDescent="0.25">
      <c r="I5978" s="1"/>
      <c r="J5978" s="71"/>
      <c r="M5978" s="46"/>
      <c r="R5978" s="51"/>
      <c r="S5978" s="51"/>
    </row>
    <row r="5979" spans="9:19" x14ac:dyDescent="0.25">
      <c r="I5979" s="1"/>
      <c r="J5979" s="71"/>
      <c r="M5979" s="46"/>
      <c r="R5979" s="51"/>
      <c r="S5979" s="51"/>
    </row>
    <row r="5980" spans="9:19" x14ac:dyDescent="0.25">
      <c r="I5980" s="1"/>
      <c r="J5980" s="71"/>
      <c r="M5980" s="46"/>
      <c r="R5980" s="51"/>
      <c r="S5980" s="51"/>
    </row>
    <row r="5981" spans="9:19" x14ac:dyDescent="0.25">
      <c r="I5981" s="1"/>
      <c r="J5981" s="71"/>
      <c r="M5981" s="46"/>
      <c r="R5981" s="51"/>
      <c r="S5981" s="51"/>
    </row>
    <row r="5982" spans="9:19" x14ac:dyDescent="0.25">
      <c r="I5982" s="1"/>
      <c r="J5982" s="71"/>
      <c r="M5982" s="46"/>
      <c r="R5982" s="51"/>
      <c r="S5982" s="51"/>
    </row>
    <row r="5983" spans="9:19" x14ac:dyDescent="0.25">
      <c r="I5983" s="1"/>
      <c r="J5983" s="71"/>
      <c r="M5983" s="46"/>
      <c r="R5983" s="51"/>
      <c r="S5983" s="51"/>
    </row>
    <row r="5984" spans="9:19" x14ac:dyDescent="0.25">
      <c r="I5984" s="1"/>
      <c r="J5984" s="71"/>
      <c r="M5984" s="46"/>
      <c r="R5984" s="51"/>
      <c r="S5984" s="51"/>
    </row>
    <row r="5985" spans="9:19" x14ac:dyDescent="0.25">
      <c r="I5985" s="1"/>
      <c r="J5985" s="71"/>
      <c r="M5985" s="46"/>
      <c r="R5985" s="51"/>
      <c r="S5985" s="51"/>
    </row>
    <row r="5986" spans="9:19" x14ac:dyDescent="0.25">
      <c r="I5986" s="1"/>
      <c r="J5986" s="71"/>
      <c r="M5986" s="46"/>
      <c r="R5986" s="51"/>
      <c r="S5986" s="51"/>
    </row>
    <row r="5987" spans="9:19" x14ac:dyDescent="0.25">
      <c r="I5987" s="1"/>
      <c r="J5987" s="71"/>
      <c r="M5987" s="46"/>
      <c r="R5987" s="51"/>
      <c r="S5987" s="51"/>
    </row>
    <row r="5988" spans="9:19" x14ac:dyDescent="0.25">
      <c r="I5988" s="1"/>
      <c r="J5988" s="71"/>
      <c r="M5988" s="46"/>
      <c r="R5988" s="51"/>
      <c r="S5988" s="51"/>
    </row>
    <row r="5989" spans="9:19" x14ac:dyDescent="0.25">
      <c r="I5989" s="1"/>
      <c r="J5989" s="71"/>
      <c r="M5989" s="46"/>
      <c r="R5989" s="51"/>
      <c r="S5989" s="51"/>
    </row>
    <row r="5990" spans="9:19" x14ac:dyDescent="0.25">
      <c r="I5990" s="1"/>
      <c r="J5990" s="71"/>
      <c r="M5990" s="46"/>
      <c r="R5990" s="51"/>
      <c r="S5990" s="51"/>
    </row>
    <row r="5991" spans="9:19" x14ac:dyDescent="0.25">
      <c r="I5991" s="1"/>
      <c r="J5991" s="71"/>
      <c r="M5991" s="46"/>
      <c r="R5991" s="51"/>
      <c r="S5991" s="51"/>
    </row>
    <row r="5992" spans="9:19" x14ac:dyDescent="0.25">
      <c r="I5992" s="1"/>
      <c r="J5992" s="71"/>
      <c r="M5992" s="46"/>
      <c r="R5992" s="51"/>
      <c r="S5992" s="51"/>
    </row>
    <row r="5993" spans="9:19" x14ac:dyDescent="0.25">
      <c r="I5993" s="1"/>
      <c r="J5993" s="71"/>
      <c r="M5993" s="46"/>
      <c r="R5993" s="51"/>
      <c r="S5993" s="51"/>
    </row>
    <row r="5994" spans="9:19" x14ac:dyDescent="0.25">
      <c r="I5994" s="1"/>
      <c r="J5994" s="71"/>
      <c r="M5994" s="46"/>
      <c r="R5994" s="51"/>
      <c r="S5994" s="51"/>
    </row>
    <row r="5995" spans="9:19" x14ac:dyDescent="0.25">
      <c r="I5995" s="1"/>
      <c r="J5995" s="71"/>
      <c r="M5995" s="46"/>
      <c r="R5995" s="51"/>
      <c r="S5995" s="51"/>
    </row>
    <row r="5996" spans="9:19" x14ac:dyDescent="0.25">
      <c r="I5996" s="1"/>
      <c r="J5996" s="71"/>
      <c r="M5996" s="46"/>
      <c r="R5996" s="51"/>
      <c r="S5996" s="51"/>
    </row>
    <row r="5997" spans="9:19" x14ac:dyDescent="0.25">
      <c r="I5997" s="1"/>
      <c r="J5997" s="71"/>
      <c r="M5997" s="46"/>
      <c r="R5997" s="51"/>
      <c r="S5997" s="51"/>
    </row>
    <row r="5998" spans="9:19" x14ac:dyDescent="0.25">
      <c r="I5998" s="1"/>
      <c r="J5998" s="71"/>
      <c r="M5998" s="46"/>
      <c r="R5998" s="51"/>
      <c r="S5998" s="51"/>
    </row>
    <row r="5999" spans="9:19" x14ac:dyDescent="0.25">
      <c r="I5999" s="1"/>
      <c r="J5999" s="71"/>
      <c r="M5999" s="46"/>
      <c r="R5999" s="51"/>
      <c r="S5999" s="51"/>
    </row>
    <row r="6000" spans="9:19" x14ac:dyDescent="0.25">
      <c r="I6000" s="1"/>
      <c r="J6000" s="71"/>
      <c r="M6000" s="46"/>
      <c r="R6000" s="51"/>
      <c r="S6000" s="51"/>
    </row>
    <row r="6001" spans="9:19" x14ac:dyDescent="0.25">
      <c r="I6001" s="1"/>
      <c r="J6001" s="71"/>
      <c r="M6001" s="46"/>
      <c r="R6001" s="51"/>
      <c r="S6001" s="51"/>
    </row>
    <row r="6002" spans="9:19" x14ac:dyDescent="0.25">
      <c r="I6002" s="1"/>
      <c r="J6002" s="71"/>
      <c r="M6002" s="46"/>
      <c r="R6002" s="51"/>
      <c r="S6002" s="51"/>
    </row>
    <row r="6003" spans="9:19" x14ac:dyDescent="0.25">
      <c r="I6003" s="1"/>
      <c r="J6003" s="71"/>
      <c r="M6003" s="46"/>
      <c r="R6003" s="51"/>
      <c r="S6003" s="51"/>
    </row>
    <row r="6004" spans="9:19" x14ac:dyDescent="0.25">
      <c r="I6004" s="1"/>
      <c r="J6004" s="71"/>
      <c r="M6004" s="46"/>
      <c r="R6004" s="51"/>
      <c r="S6004" s="51"/>
    </row>
    <row r="6005" spans="9:19" x14ac:dyDescent="0.25">
      <c r="I6005" s="1"/>
      <c r="J6005" s="71"/>
      <c r="M6005" s="46"/>
      <c r="R6005" s="51"/>
      <c r="S6005" s="51"/>
    </row>
    <row r="6006" spans="9:19" x14ac:dyDescent="0.25">
      <c r="I6006" s="1"/>
      <c r="J6006" s="71"/>
      <c r="M6006" s="46"/>
      <c r="R6006" s="51"/>
      <c r="S6006" s="51"/>
    </row>
    <row r="6007" spans="9:19" x14ac:dyDescent="0.25">
      <c r="I6007" s="1"/>
      <c r="J6007" s="71"/>
      <c r="M6007" s="46"/>
      <c r="R6007" s="51"/>
      <c r="S6007" s="51"/>
    </row>
    <row r="6008" spans="9:19" x14ac:dyDescent="0.25">
      <c r="I6008" s="1"/>
      <c r="J6008" s="71"/>
      <c r="M6008" s="46"/>
      <c r="R6008" s="51"/>
      <c r="S6008" s="51"/>
    </row>
    <row r="6009" spans="9:19" x14ac:dyDescent="0.25">
      <c r="I6009" s="1"/>
      <c r="J6009" s="71"/>
      <c r="M6009" s="46"/>
      <c r="R6009" s="51"/>
      <c r="S6009" s="51"/>
    </row>
    <row r="6010" spans="9:19" x14ac:dyDescent="0.25">
      <c r="I6010" s="1"/>
      <c r="J6010" s="71"/>
      <c r="M6010" s="46"/>
      <c r="R6010" s="51"/>
      <c r="S6010" s="51"/>
    </row>
    <row r="6011" spans="9:19" x14ac:dyDescent="0.25">
      <c r="I6011" s="1"/>
      <c r="J6011" s="71"/>
      <c r="M6011" s="46"/>
      <c r="R6011" s="51"/>
      <c r="S6011" s="51"/>
    </row>
    <row r="6012" spans="9:19" x14ac:dyDescent="0.25">
      <c r="I6012" s="1"/>
      <c r="J6012" s="71"/>
      <c r="M6012" s="46"/>
      <c r="R6012" s="51"/>
      <c r="S6012" s="51"/>
    </row>
    <row r="6013" spans="9:19" x14ac:dyDescent="0.25">
      <c r="I6013" s="1"/>
      <c r="J6013" s="71"/>
      <c r="M6013" s="46"/>
      <c r="R6013" s="51"/>
      <c r="S6013" s="51"/>
    </row>
    <row r="6014" spans="9:19" x14ac:dyDescent="0.25">
      <c r="I6014" s="1"/>
      <c r="J6014" s="71"/>
      <c r="M6014" s="46"/>
      <c r="R6014" s="51"/>
      <c r="S6014" s="51"/>
    </row>
    <row r="6015" spans="9:19" x14ac:dyDescent="0.25">
      <c r="I6015" s="1"/>
      <c r="J6015" s="71"/>
      <c r="M6015" s="46"/>
      <c r="R6015" s="51"/>
      <c r="S6015" s="51"/>
    </row>
    <row r="6016" spans="9:19" x14ac:dyDescent="0.25">
      <c r="I6016" s="1"/>
      <c r="J6016" s="71"/>
      <c r="M6016" s="46"/>
      <c r="R6016" s="51"/>
      <c r="S6016" s="51"/>
    </row>
    <row r="6017" spans="9:19" x14ac:dyDescent="0.25">
      <c r="I6017" s="1"/>
      <c r="J6017" s="71"/>
      <c r="M6017" s="46"/>
      <c r="R6017" s="51"/>
      <c r="S6017" s="51"/>
    </row>
    <row r="6018" spans="9:19" x14ac:dyDescent="0.25">
      <c r="I6018" s="1"/>
      <c r="J6018" s="71"/>
      <c r="M6018" s="46"/>
      <c r="R6018" s="51"/>
      <c r="S6018" s="51"/>
    </row>
    <row r="6019" spans="9:19" x14ac:dyDescent="0.25">
      <c r="I6019" s="1"/>
      <c r="J6019" s="71"/>
      <c r="M6019" s="46"/>
      <c r="R6019" s="51"/>
      <c r="S6019" s="51"/>
    </row>
    <row r="6020" spans="9:19" x14ac:dyDescent="0.25">
      <c r="I6020" s="1"/>
      <c r="J6020" s="71"/>
      <c r="M6020" s="46"/>
      <c r="R6020" s="51"/>
      <c r="S6020" s="51"/>
    </row>
    <row r="6021" spans="9:19" x14ac:dyDescent="0.25">
      <c r="I6021" s="1"/>
      <c r="J6021" s="71"/>
      <c r="M6021" s="46"/>
      <c r="R6021" s="51"/>
      <c r="S6021" s="51"/>
    </row>
    <row r="6022" spans="9:19" x14ac:dyDescent="0.25">
      <c r="I6022" s="1"/>
      <c r="J6022" s="71"/>
      <c r="M6022" s="46"/>
      <c r="R6022" s="51"/>
      <c r="S6022" s="51"/>
    </row>
    <row r="6023" spans="9:19" x14ac:dyDescent="0.25">
      <c r="I6023" s="1"/>
      <c r="J6023" s="71"/>
      <c r="M6023" s="46"/>
      <c r="R6023" s="51"/>
      <c r="S6023" s="51"/>
    </row>
    <row r="6024" spans="9:19" x14ac:dyDescent="0.25">
      <c r="I6024" s="1"/>
      <c r="J6024" s="71"/>
      <c r="M6024" s="46"/>
      <c r="R6024" s="51"/>
      <c r="S6024" s="51"/>
    </row>
    <row r="6025" spans="9:19" x14ac:dyDescent="0.25">
      <c r="I6025" s="1"/>
      <c r="J6025" s="71"/>
      <c r="M6025" s="46"/>
      <c r="R6025" s="51"/>
      <c r="S6025" s="51"/>
    </row>
    <row r="6026" spans="9:19" x14ac:dyDescent="0.25">
      <c r="I6026" s="1"/>
      <c r="J6026" s="71"/>
      <c r="M6026" s="46"/>
      <c r="R6026" s="51"/>
      <c r="S6026" s="51"/>
    </row>
    <row r="6027" spans="9:19" x14ac:dyDescent="0.25">
      <c r="I6027" s="1"/>
      <c r="J6027" s="71"/>
      <c r="M6027" s="46"/>
      <c r="R6027" s="51"/>
      <c r="S6027" s="51"/>
    </row>
    <row r="6028" spans="9:19" x14ac:dyDescent="0.25">
      <c r="I6028" s="1"/>
      <c r="J6028" s="71"/>
      <c r="M6028" s="46"/>
      <c r="R6028" s="51"/>
      <c r="S6028" s="51"/>
    </row>
    <row r="6029" spans="9:19" x14ac:dyDescent="0.25">
      <c r="I6029" s="1"/>
      <c r="J6029" s="71"/>
      <c r="M6029" s="46"/>
      <c r="R6029" s="51"/>
      <c r="S6029" s="51"/>
    </row>
    <row r="6030" spans="9:19" x14ac:dyDescent="0.25">
      <c r="I6030" s="1"/>
      <c r="J6030" s="71"/>
      <c r="M6030" s="46"/>
      <c r="R6030" s="51"/>
      <c r="S6030" s="51"/>
    </row>
    <row r="6031" spans="9:19" x14ac:dyDescent="0.25">
      <c r="I6031" s="1"/>
      <c r="J6031" s="71"/>
      <c r="M6031" s="46"/>
      <c r="R6031" s="51"/>
      <c r="S6031" s="51"/>
    </row>
    <row r="6032" spans="9:19" x14ac:dyDescent="0.25">
      <c r="I6032" s="1"/>
      <c r="J6032" s="71"/>
      <c r="M6032" s="46"/>
      <c r="R6032" s="51"/>
      <c r="S6032" s="51"/>
    </row>
    <row r="6033" spans="9:19" x14ac:dyDescent="0.25">
      <c r="I6033" s="1"/>
      <c r="J6033" s="71"/>
      <c r="M6033" s="46"/>
      <c r="R6033" s="51"/>
      <c r="S6033" s="51"/>
    </row>
    <row r="6034" spans="9:19" x14ac:dyDescent="0.25">
      <c r="I6034" s="1"/>
      <c r="J6034" s="71"/>
      <c r="M6034" s="46"/>
      <c r="R6034" s="51"/>
      <c r="S6034" s="51"/>
    </row>
    <row r="6035" spans="9:19" x14ac:dyDescent="0.25">
      <c r="I6035" s="1"/>
      <c r="J6035" s="71"/>
      <c r="M6035" s="46"/>
      <c r="R6035" s="51"/>
      <c r="S6035" s="51"/>
    </row>
    <row r="6036" spans="9:19" x14ac:dyDescent="0.25">
      <c r="I6036" s="1"/>
      <c r="J6036" s="71"/>
      <c r="M6036" s="46"/>
      <c r="R6036" s="51"/>
      <c r="S6036" s="51"/>
    </row>
    <row r="6037" spans="9:19" x14ac:dyDescent="0.25">
      <c r="I6037" s="1"/>
      <c r="J6037" s="71"/>
      <c r="M6037" s="46"/>
      <c r="R6037" s="51"/>
      <c r="S6037" s="51"/>
    </row>
    <row r="6038" spans="9:19" x14ac:dyDescent="0.25">
      <c r="I6038" s="1"/>
      <c r="J6038" s="71"/>
      <c r="M6038" s="46"/>
      <c r="R6038" s="51"/>
      <c r="S6038" s="51"/>
    </row>
    <row r="6039" spans="9:19" x14ac:dyDescent="0.25">
      <c r="I6039" s="1"/>
      <c r="J6039" s="71"/>
      <c r="M6039" s="46"/>
      <c r="R6039" s="51"/>
      <c r="S6039" s="51"/>
    </row>
    <row r="6040" spans="9:19" x14ac:dyDescent="0.25">
      <c r="I6040" s="1"/>
      <c r="J6040" s="71"/>
      <c r="M6040" s="46"/>
      <c r="R6040" s="51"/>
      <c r="S6040" s="51"/>
    </row>
    <row r="6041" spans="9:19" x14ac:dyDescent="0.25">
      <c r="I6041" s="1"/>
      <c r="J6041" s="71"/>
      <c r="M6041" s="46"/>
      <c r="R6041" s="51"/>
      <c r="S6041" s="51"/>
    </row>
    <row r="6042" spans="9:19" x14ac:dyDescent="0.25">
      <c r="I6042" s="1"/>
      <c r="J6042" s="71"/>
      <c r="M6042" s="46"/>
      <c r="R6042" s="51"/>
      <c r="S6042" s="51"/>
    </row>
    <row r="6043" spans="9:19" x14ac:dyDescent="0.25">
      <c r="I6043" s="1"/>
      <c r="J6043" s="71"/>
      <c r="M6043" s="46"/>
      <c r="R6043" s="51"/>
      <c r="S6043" s="51"/>
    </row>
    <row r="6044" spans="9:19" x14ac:dyDescent="0.25">
      <c r="I6044" s="1"/>
      <c r="J6044" s="71"/>
      <c r="M6044" s="46"/>
      <c r="R6044" s="51"/>
      <c r="S6044" s="51"/>
    </row>
    <row r="6045" spans="9:19" x14ac:dyDescent="0.25">
      <c r="I6045" s="1"/>
      <c r="J6045" s="71"/>
      <c r="M6045" s="46"/>
      <c r="R6045" s="51"/>
      <c r="S6045" s="51"/>
    </row>
    <row r="6046" spans="9:19" x14ac:dyDescent="0.25">
      <c r="I6046" s="1"/>
      <c r="J6046" s="71"/>
      <c r="M6046" s="46"/>
      <c r="R6046" s="51"/>
      <c r="S6046" s="51"/>
    </row>
    <row r="6047" spans="9:19" x14ac:dyDescent="0.25">
      <c r="I6047" s="1"/>
      <c r="J6047" s="71"/>
      <c r="M6047" s="46"/>
      <c r="R6047" s="51"/>
      <c r="S6047" s="51"/>
    </row>
    <row r="6048" spans="9:19" x14ac:dyDescent="0.25">
      <c r="I6048" s="1"/>
      <c r="J6048" s="71"/>
      <c r="M6048" s="46"/>
      <c r="R6048" s="51"/>
      <c r="S6048" s="51"/>
    </row>
    <row r="6049" spans="9:19" x14ac:dyDescent="0.25">
      <c r="I6049" s="1"/>
      <c r="J6049" s="71"/>
      <c r="M6049" s="46"/>
      <c r="R6049" s="51"/>
      <c r="S6049" s="51"/>
    </row>
    <row r="6050" spans="9:19" x14ac:dyDescent="0.25">
      <c r="I6050" s="1"/>
      <c r="J6050" s="71"/>
      <c r="M6050" s="46"/>
      <c r="R6050" s="51"/>
      <c r="S6050" s="51"/>
    </row>
    <row r="6051" spans="9:19" x14ac:dyDescent="0.25">
      <c r="I6051" s="1"/>
      <c r="J6051" s="71"/>
      <c r="M6051" s="46"/>
      <c r="R6051" s="51"/>
      <c r="S6051" s="51"/>
    </row>
    <row r="6052" spans="9:19" x14ac:dyDescent="0.25">
      <c r="I6052" s="1"/>
      <c r="J6052" s="71"/>
      <c r="M6052" s="46"/>
      <c r="R6052" s="51"/>
      <c r="S6052" s="51"/>
    </row>
    <row r="6053" spans="9:19" x14ac:dyDescent="0.25">
      <c r="I6053" s="1"/>
      <c r="J6053" s="71"/>
      <c r="M6053" s="46"/>
      <c r="R6053" s="51"/>
      <c r="S6053" s="51"/>
    </row>
    <row r="6054" spans="9:19" x14ac:dyDescent="0.25">
      <c r="I6054" s="1"/>
      <c r="J6054" s="71"/>
      <c r="M6054" s="46"/>
      <c r="R6054" s="51"/>
      <c r="S6054" s="51"/>
    </row>
    <row r="6055" spans="9:19" x14ac:dyDescent="0.25">
      <c r="I6055" s="1"/>
      <c r="J6055" s="71"/>
      <c r="M6055" s="46"/>
      <c r="R6055" s="51"/>
      <c r="S6055" s="51"/>
    </row>
    <row r="6056" spans="9:19" x14ac:dyDescent="0.25">
      <c r="I6056" s="1"/>
      <c r="J6056" s="71"/>
      <c r="M6056" s="46"/>
      <c r="R6056" s="51"/>
      <c r="S6056" s="51"/>
    </row>
    <row r="6057" spans="9:19" x14ac:dyDescent="0.25">
      <c r="I6057" s="1"/>
      <c r="J6057" s="71"/>
      <c r="M6057" s="46"/>
      <c r="R6057" s="51"/>
      <c r="S6057" s="51"/>
    </row>
    <row r="6058" spans="9:19" x14ac:dyDescent="0.25">
      <c r="I6058" s="1"/>
      <c r="J6058" s="71"/>
      <c r="M6058" s="46"/>
      <c r="R6058" s="51"/>
      <c r="S6058" s="51"/>
    </row>
    <row r="6059" spans="9:19" x14ac:dyDescent="0.25">
      <c r="I6059" s="1"/>
      <c r="J6059" s="71"/>
      <c r="M6059" s="46"/>
      <c r="R6059" s="51"/>
      <c r="S6059" s="51"/>
    </row>
    <row r="6060" spans="9:19" x14ac:dyDescent="0.25">
      <c r="I6060" s="1"/>
      <c r="J6060" s="71"/>
      <c r="M6060" s="46"/>
      <c r="R6060" s="51"/>
      <c r="S6060" s="51"/>
    </row>
    <row r="6061" spans="9:19" x14ac:dyDescent="0.25">
      <c r="I6061" s="1"/>
      <c r="J6061" s="71"/>
      <c r="M6061" s="46"/>
      <c r="R6061" s="51"/>
      <c r="S6061" s="51"/>
    </row>
    <row r="6062" spans="9:19" x14ac:dyDescent="0.25">
      <c r="I6062" s="1"/>
      <c r="J6062" s="71"/>
      <c r="M6062" s="46"/>
      <c r="R6062" s="51"/>
      <c r="S6062" s="51"/>
    </row>
    <row r="6063" spans="9:19" x14ac:dyDescent="0.25">
      <c r="I6063" s="1"/>
      <c r="J6063" s="71"/>
      <c r="M6063" s="46"/>
      <c r="R6063" s="51"/>
      <c r="S6063" s="51"/>
    </row>
    <row r="6064" spans="9:19" x14ac:dyDescent="0.25">
      <c r="I6064" s="1"/>
      <c r="J6064" s="71"/>
      <c r="M6064" s="46"/>
      <c r="R6064" s="51"/>
      <c r="S6064" s="51"/>
    </row>
    <row r="6065" spans="9:19" x14ac:dyDescent="0.25">
      <c r="I6065" s="1"/>
      <c r="J6065" s="71"/>
      <c r="M6065" s="46"/>
      <c r="R6065" s="51"/>
      <c r="S6065" s="51"/>
    </row>
    <row r="6066" spans="9:19" x14ac:dyDescent="0.25">
      <c r="I6066" s="1"/>
      <c r="J6066" s="71"/>
      <c r="M6066" s="46"/>
      <c r="R6066" s="51"/>
      <c r="S6066" s="51"/>
    </row>
    <row r="6067" spans="9:19" x14ac:dyDescent="0.25">
      <c r="I6067" s="1"/>
      <c r="J6067" s="71"/>
      <c r="M6067" s="46"/>
      <c r="R6067" s="51"/>
      <c r="S6067" s="51"/>
    </row>
    <row r="6068" spans="9:19" x14ac:dyDescent="0.25">
      <c r="I6068" s="1"/>
      <c r="J6068" s="71"/>
      <c r="M6068" s="46"/>
      <c r="R6068" s="51"/>
      <c r="S6068" s="51"/>
    </row>
    <row r="6069" spans="9:19" x14ac:dyDescent="0.25">
      <c r="I6069" s="1"/>
      <c r="J6069" s="71"/>
      <c r="M6069" s="46"/>
      <c r="R6069" s="51"/>
      <c r="S6069" s="51"/>
    </row>
    <row r="6070" spans="9:19" x14ac:dyDescent="0.25">
      <c r="I6070" s="1"/>
      <c r="J6070" s="71"/>
      <c r="M6070" s="46"/>
      <c r="R6070" s="51"/>
      <c r="S6070" s="51"/>
    </row>
    <row r="6071" spans="9:19" x14ac:dyDescent="0.25">
      <c r="I6071" s="1"/>
      <c r="J6071" s="71"/>
      <c r="M6071" s="46"/>
      <c r="R6071" s="51"/>
      <c r="S6071" s="51"/>
    </row>
    <row r="6072" spans="9:19" x14ac:dyDescent="0.25">
      <c r="I6072" s="1"/>
      <c r="J6072" s="71"/>
      <c r="M6072" s="46"/>
      <c r="R6072" s="51"/>
      <c r="S6072" s="51"/>
    </row>
    <row r="6073" spans="9:19" x14ac:dyDescent="0.25">
      <c r="I6073" s="1"/>
      <c r="J6073" s="71"/>
      <c r="M6073" s="46"/>
      <c r="R6073" s="51"/>
      <c r="S6073" s="51"/>
    </row>
    <row r="6074" spans="9:19" x14ac:dyDescent="0.25">
      <c r="I6074" s="1"/>
      <c r="J6074" s="71"/>
      <c r="M6074" s="46"/>
      <c r="R6074" s="51"/>
      <c r="S6074" s="51"/>
    </row>
    <row r="6075" spans="9:19" x14ac:dyDescent="0.25">
      <c r="I6075" s="1"/>
      <c r="J6075" s="71"/>
      <c r="M6075" s="46"/>
      <c r="R6075" s="51"/>
      <c r="S6075" s="51"/>
    </row>
    <row r="6076" spans="9:19" x14ac:dyDescent="0.25">
      <c r="I6076" s="1"/>
      <c r="J6076" s="71"/>
      <c r="M6076" s="46"/>
      <c r="R6076" s="51"/>
      <c r="S6076" s="51"/>
    </row>
    <row r="6077" spans="9:19" x14ac:dyDescent="0.25">
      <c r="I6077" s="1"/>
      <c r="J6077" s="71"/>
      <c r="M6077" s="46"/>
      <c r="R6077" s="51"/>
      <c r="S6077" s="51"/>
    </row>
    <row r="6078" spans="9:19" x14ac:dyDescent="0.25">
      <c r="I6078" s="1"/>
      <c r="J6078" s="71"/>
      <c r="M6078" s="46"/>
      <c r="R6078" s="51"/>
      <c r="S6078" s="51"/>
    </row>
    <row r="6079" spans="9:19" x14ac:dyDescent="0.25">
      <c r="I6079" s="1"/>
      <c r="J6079" s="71"/>
      <c r="M6079" s="46"/>
      <c r="R6079" s="51"/>
      <c r="S6079" s="51"/>
    </row>
    <row r="6080" spans="9:19" x14ac:dyDescent="0.25">
      <c r="I6080" s="1"/>
      <c r="J6080" s="71"/>
      <c r="M6080" s="46"/>
      <c r="R6080" s="51"/>
      <c r="S6080" s="51"/>
    </row>
    <row r="6081" spans="9:19" x14ac:dyDescent="0.25">
      <c r="I6081" s="1"/>
      <c r="J6081" s="71"/>
      <c r="M6081" s="46"/>
      <c r="R6081" s="51"/>
      <c r="S6081" s="51"/>
    </row>
    <row r="6082" spans="9:19" x14ac:dyDescent="0.25">
      <c r="I6082" s="1"/>
      <c r="J6082" s="71"/>
      <c r="M6082" s="46"/>
      <c r="R6082" s="51"/>
      <c r="S6082" s="51"/>
    </row>
    <row r="6083" spans="9:19" x14ac:dyDescent="0.25">
      <c r="I6083" s="1"/>
      <c r="J6083" s="71"/>
      <c r="M6083" s="46"/>
      <c r="R6083" s="51"/>
      <c r="S6083" s="51"/>
    </row>
    <row r="6084" spans="9:19" x14ac:dyDescent="0.25">
      <c r="I6084" s="1"/>
      <c r="J6084" s="71"/>
      <c r="M6084" s="46"/>
      <c r="R6084" s="51"/>
      <c r="S6084" s="51"/>
    </row>
    <row r="6085" spans="9:19" x14ac:dyDescent="0.25">
      <c r="I6085" s="1"/>
      <c r="J6085" s="71"/>
      <c r="M6085" s="46"/>
      <c r="R6085" s="51"/>
      <c r="S6085" s="51"/>
    </row>
    <row r="6086" spans="9:19" x14ac:dyDescent="0.25">
      <c r="I6086" s="1"/>
      <c r="J6086" s="71"/>
      <c r="M6086" s="46"/>
      <c r="R6086" s="51"/>
      <c r="S6086" s="51"/>
    </row>
    <row r="6087" spans="9:19" x14ac:dyDescent="0.25">
      <c r="I6087" s="1"/>
      <c r="J6087" s="71"/>
      <c r="M6087" s="46"/>
      <c r="R6087" s="51"/>
      <c r="S6087" s="51"/>
    </row>
    <row r="6088" spans="9:19" x14ac:dyDescent="0.25">
      <c r="I6088" s="1"/>
      <c r="J6088" s="71"/>
      <c r="M6088" s="46"/>
      <c r="R6088" s="51"/>
      <c r="S6088" s="51"/>
    </row>
    <row r="6089" spans="9:19" x14ac:dyDescent="0.25">
      <c r="I6089" s="1"/>
      <c r="J6089" s="71"/>
      <c r="M6089" s="46"/>
      <c r="R6089" s="51"/>
      <c r="S6089" s="51"/>
    </row>
    <row r="6090" spans="9:19" x14ac:dyDescent="0.25">
      <c r="I6090" s="1"/>
      <c r="J6090" s="71"/>
      <c r="M6090" s="46"/>
      <c r="R6090" s="51"/>
      <c r="S6090" s="51"/>
    </row>
    <row r="6091" spans="9:19" x14ac:dyDescent="0.25">
      <c r="I6091" s="1"/>
      <c r="J6091" s="71"/>
      <c r="M6091" s="46"/>
      <c r="R6091" s="51"/>
      <c r="S6091" s="51"/>
    </row>
    <row r="6092" spans="9:19" x14ac:dyDescent="0.25">
      <c r="I6092" s="1"/>
      <c r="J6092" s="71"/>
      <c r="M6092" s="46"/>
      <c r="R6092" s="51"/>
      <c r="S6092" s="51"/>
    </row>
    <row r="6093" spans="9:19" x14ac:dyDescent="0.25">
      <c r="I6093" s="1"/>
      <c r="J6093" s="71"/>
      <c r="M6093" s="46"/>
      <c r="R6093" s="51"/>
      <c r="S6093" s="51"/>
    </row>
    <row r="6094" spans="9:19" x14ac:dyDescent="0.25">
      <c r="I6094" s="1"/>
      <c r="J6094" s="71"/>
      <c r="M6094" s="46"/>
      <c r="R6094" s="51"/>
      <c r="S6094" s="51"/>
    </row>
    <row r="6095" spans="9:19" x14ac:dyDescent="0.25">
      <c r="I6095" s="1"/>
      <c r="J6095" s="71"/>
      <c r="M6095" s="46"/>
      <c r="R6095" s="51"/>
      <c r="S6095" s="51"/>
    </row>
    <row r="6096" spans="9:19" x14ac:dyDescent="0.25">
      <c r="I6096" s="1"/>
      <c r="J6096" s="71"/>
      <c r="M6096" s="46"/>
      <c r="R6096" s="51"/>
      <c r="S6096" s="51"/>
    </row>
    <row r="6097" spans="9:19" x14ac:dyDescent="0.25">
      <c r="I6097" s="1"/>
      <c r="J6097" s="71"/>
      <c r="M6097" s="46"/>
      <c r="R6097" s="51"/>
      <c r="S6097" s="51"/>
    </row>
    <row r="6098" spans="9:19" x14ac:dyDescent="0.25">
      <c r="I6098" s="1"/>
      <c r="J6098" s="71"/>
      <c r="M6098" s="46"/>
      <c r="R6098" s="51"/>
      <c r="S6098" s="51"/>
    </row>
    <row r="6099" spans="9:19" x14ac:dyDescent="0.25">
      <c r="I6099" s="1"/>
      <c r="J6099" s="71"/>
      <c r="M6099" s="46"/>
      <c r="R6099" s="51"/>
      <c r="S6099" s="51"/>
    </row>
    <row r="6100" spans="9:19" x14ac:dyDescent="0.25">
      <c r="I6100" s="1"/>
      <c r="J6100" s="71"/>
      <c r="M6100" s="46"/>
      <c r="R6100" s="51"/>
      <c r="S6100" s="51"/>
    </row>
    <row r="6101" spans="9:19" x14ac:dyDescent="0.25">
      <c r="I6101" s="1"/>
      <c r="J6101" s="71"/>
      <c r="M6101" s="46"/>
      <c r="R6101" s="51"/>
      <c r="S6101" s="51"/>
    </row>
    <row r="6102" spans="9:19" x14ac:dyDescent="0.25">
      <c r="I6102" s="1"/>
      <c r="J6102" s="71"/>
      <c r="M6102" s="46"/>
      <c r="R6102" s="51"/>
      <c r="S6102" s="51"/>
    </row>
    <row r="6103" spans="9:19" x14ac:dyDescent="0.25">
      <c r="I6103" s="1"/>
      <c r="J6103" s="71"/>
      <c r="M6103" s="46"/>
      <c r="R6103" s="51"/>
      <c r="S6103" s="51"/>
    </row>
    <row r="6104" spans="9:19" x14ac:dyDescent="0.25">
      <c r="I6104" s="1"/>
      <c r="J6104" s="71"/>
      <c r="M6104" s="46"/>
      <c r="R6104" s="51"/>
      <c r="S6104" s="51"/>
    </row>
    <row r="6105" spans="9:19" x14ac:dyDescent="0.25">
      <c r="I6105" s="1"/>
      <c r="J6105" s="71"/>
      <c r="M6105" s="46"/>
      <c r="R6105" s="51"/>
      <c r="S6105" s="51"/>
    </row>
    <row r="6106" spans="9:19" x14ac:dyDescent="0.25">
      <c r="I6106" s="1"/>
      <c r="J6106" s="71"/>
      <c r="M6106" s="46"/>
      <c r="R6106" s="51"/>
      <c r="S6106" s="51"/>
    </row>
    <row r="6107" spans="9:19" x14ac:dyDescent="0.25">
      <c r="I6107" s="1"/>
      <c r="J6107" s="71"/>
      <c r="M6107" s="46"/>
      <c r="R6107" s="51"/>
      <c r="S6107" s="51"/>
    </row>
    <row r="6108" spans="9:19" x14ac:dyDescent="0.25">
      <c r="I6108" s="1"/>
      <c r="J6108" s="71"/>
      <c r="M6108" s="46"/>
      <c r="R6108" s="51"/>
      <c r="S6108" s="51"/>
    </row>
    <row r="6109" spans="9:19" x14ac:dyDescent="0.25">
      <c r="I6109" s="1"/>
      <c r="J6109" s="71"/>
      <c r="M6109" s="46"/>
      <c r="R6109" s="51"/>
      <c r="S6109" s="51"/>
    </row>
    <row r="6110" spans="9:19" x14ac:dyDescent="0.25">
      <c r="I6110" s="1"/>
      <c r="J6110" s="71"/>
      <c r="M6110" s="46"/>
      <c r="R6110" s="51"/>
      <c r="S6110" s="51"/>
    </row>
    <row r="6111" spans="9:19" x14ac:dyDescent="0.25">
      <c r="I6111" s="1"/>
      <c r="J6111" s="71"/>
      <c r="M6111" s="46"/>
      <c r="R6111" s="51"/>
      <c r="S6111" s="51"/>
    </row>
    <row r="6112" spans="9:19" x14ac:dyDescent="0.25">
      <c r="I6112" s="1"/>
      <c r="J6112" s="71"/>
      <c r="M6112" s="46"/>
      <c r="R6112" s="51"/>
      <c r="S6112" s="51"/>
    </row>
    <row r="6113" spans="9:19" x14ac:dyDescent="0.25">
      <c r="I6113" s="1"/>
      <c r="J6113" s="71"/>
      <c r="M6113" s="46"/>
      <c r="R6113" s="51"/>
      <c r="S6113" s="51"/>
    </row>
    <row r="6114" spans="9:19" x14ac:dyDescent="0.25">
      <c r="I6114" s="1"/>
      <c r="J6114" s="71"/>
      <c r="M6114" s="46"/>
      <c r="R6114" s="51"/>
      <c r="S6114" s="51"/>
    </row>
    <row r="6115" spans="9:19" x14ac:dyDescent="0.25">
      <c r="I6115" s="1"/>
      <c r="J6115" s="71"/>
      <c r="M6115" s="46"/>
      <c r="R6115" s="51"/>
      <c r="S6115" s="51"/>
    </row>
    <row r="6116" spans="9:19" x14ac:dyDescent="0.25">
      <c r="I6116" s="1"/>
      <c r="J6116" s="71"/>
      <c r="M6116" s="46"/>
      <c r="R6116" s="51"/>
      <c r="S6116" s="51"/>
    </row>
    <row r="6117" spans="9:19" x14ac:dyDescent="0.25">
      <c r="I6117" s="1"/>
      <c r="J6117" s="71"/>
      <c r="M6117" s="46"/>
      <c r="R6117" s="51"/>
      <c r="S6117" s="51"/>
    </row>
    <row r="6118" spans="9:19" x14ac:dyDescent="0.25">
      <c r="I6118" s="1"/>
      <c r="J6118" s="71"/>
      <c r="M6118" s="46"/>
      <c r="R6118" s="51"/>
      <c r="S6118" s="51"/>
    </row>
    <row r="6119" spans="9:19" x14ac:dyDescent="0.25">
      <c r="I6119" s="1"/>
      <c r="J6119" s="71"/>
      <c r="M6119" s="46"/>
      <c r="R6119" s="51"/>
      <c r="S6119" s="51"/>
    </row>
    <row r="6120" spans="9:19" x14ac:dyDescent="0.25">
      <c r="I6120" s="1"/>
      <c r="J6120" s="71"/>
      <c r="M6120" s="46"/>
      <c r="R6120" s="51"/>
      <c r="S6120" s="51"/>
    </row>
    <row r="6121" spans="9:19" x14ac:dyDescent="0.25">
      <c r="I6121" s="1"/>
      <c r="J6121" s="71"/>
      <c r="M6121" s="46"/>
      <c r="R6121" s="51"/>
      <c r="S6121" s="51"/>
    </row>
    <row r="6122" spans="9:19" x14ac:dyDescent="0.25">
      <c r="I6122" s="1"/>
      <c r="J6122" s="71"/>
      <c r="M6122" s="46"/>
      <c r="R6122" s="51"/>
      <c r="S6122" s="51"/>
    </row>
    <row r="6123" spans="9:19" x14ac:dyDescent="0.25">
      <c r="I6123" s="1"/>
      <c r="J6123" s="71"/>
      <c r="M6123" s="46"/>
      <c r="R6123" s="51"/>
      <c r="S6123" s="51"/>
    </row>
    <row r="6124" spans="9:19" x14ac:dyDescent="0.25">
      <c r="I6124" s="1"/>
      <c r="J6124" s="71"/>
      <c r="M6124" s="46"/>
      <c r="R6124" s="51"/>
      <c r="S6124" s="51"/>
    </row>
    <row r="6125" spans="9:19" x14ac:dyDescent="0.25">
      <c r="I6125" s="1"/>
      <c r="J6125" s="71"/>
      <c r="M6125" s="46"/>
      <c r="R6125" s="51"/>
      <c r="S6125" s="51"/>
    </row>
    <row r="6126" spans="9:19" x14ac:dyDescent="0.25">
      <c r="I6126" s="1"/>
      <c r="J6126" s="71"/>
      <c r="M6126" s="46"/>
      <c r="R6126" s="51"/>
      <c r="S6126" s="51"/>
    </row>
    <row r="6127" spans="9:19" x14ac:dyDescent="0.25">
      <c r="I6127" s="1"/>
      <c r="J6127" s="71"/>
      <c r="M6127" s="46"/>
      <c r="R6127" s="51"/>
      <c r="S6127" s="51"/>
    </row>
    <row r="6128" spans="9:19" x14ac:dyDescent="0.25">
      <c r="I6128" s="1"/>
      <c r="J6128" s="71"/>
      <c r="M6128" s="46"/>
      <c r="R6128" s="51"/>
      <c r="S6128" s="51"/>
    </row>
    <row r="6129" spans="9:19" x14ac:dyDescent="0.25">
      <c r="I6129" s="1"/>
      <c r="J6129" s="71"/>
      <c r="M6129" s="46"/>
      <c r="R6129" s="51"/>
      <c r="S6129" s="51"/>
    </row>
    <row r="6130" spans="9:19" x14ac:dyDescent="0.25">
      <c r="I6130" s="1"/>
      <c r="J6130" s="71"/>
      <c r="M6130" s="46"/>
      <c r="R6130" s="51"/>
      <c r="S6130" s="51"/>
    </row>
    <row r="6131" spans="9:19" x14ac:dyDescent="0.25">
      <c r="I6131" s="1"/>
      <c r="J6131" s="71"/>
      <c r="M6131" s="46"/>
      <c r="R6131" s="51"/>
      <c r="S6131" s="51"/>
    </row>
    <row r="6132" spans="9:19" x14ac:dyDescent="0.25">
      <c r="I6132" s="1"/>
      <c r="J6132" s="71"/>
      <c r="M6132" s="46"/>
      <c r="R6132" s="51"/>
      <c r="S6132" s="51"/>
    </row>
    <row r="6133" spans="9:19" x14ac:dyDescent="0.25">
      <c r="I6133" s="1"/>
      <c r="J6133" s="71"/>
      <c r="M6133" s="46"/>
      <c r="R6133" s="51"/>
      <c r="S6133" s="51"/>
    </row>
    <row r="6134" spans="9:19" x14ac:dyDescent="0.25">
      <c r="I6134" s="1"/>
      <c r="J6134" s="71"/>
      <c r="M6134" s="46"/>
      <c r="R6134" s="51"/>
      <c r="S6134" s="51"/>
    </row>
    <row r="6135" spans="9:19" x14ac:dyDescent="0.25">
      <c r="I6135" s="1"/>
      <c r="J6135" s="71"/>
      <c r="M6135" s="46"/>
      <c r="R6135" s="51"/>
      <c r="S6135" s="51"/>
    </row>
    <row r="6136" spans="9:19" x14ac:dyDescent="0.25">
      <c r="I6136" s="1"/>
      <c r="J6136" s="71"/>
      <c r="M6136" s="46"/>
      <c r="R6136" s="51"/>
      <c r="S6136" s="51"/>
    </row>
    <row r="6137" spans="9:19" x14ac:dyDescent="0.25">
      <c r="I6137" s="1"/>
      <c r="J6137" s="71"/>
      <c r="M6137" s="46"/>
      <c r="R6137" s="51"/>
      <c r="S6137" s="51"/>
    </row>
    <row r="6138" spans="9:19" x14ac:dyDescent="0.25">
      <c r="I6138" s="1"/>
      <c r="J6138" s="71"/>
      <c r="M6138" s="46"/>
      <c r="R6138" s="51"/>
      <c r="S6138" s="51"/>
    </row>
    <row r="6139" spans="9:19" x14ac:dyDescent="0.25">
      <c r="I6139" s="1"/>
      <c r="J6139" s="71"/>
      <c r="M6139" s="46"/>
      <c r="R6139" s="51"/>
      <c r="S6139" s="51"/>
    </row>
    <row r="6140" spans="9:19" x14ac:dyDescent="0.25">
      <c r="I6140" s="1"/>
      <c r="J6140" s="71"/>
      <c r="M6140" s="46"/>
      <c r="R6140" s="51"/>
      <c r="S6140" s="51"/>
    </row>
    <row r="6141" spans="9:19" x14ac:dyDescent="0.25">
      <c r="I6141" s="1"/>
      <c r="J6141" s="71"/>
      <c r="M6141" s="46"/>
      <c r="R6141" s="51"/>
      <c r="S6141" s="51"/>
    </row>
    <row r="6142" spans="9:19" x14ac:dyDescent="0.25">
      <c r="I6142" s="1"/>
      <c r="J6142" s="71"/>
      <c r="M6142" s="46"/>
      <c r="R6142" s="51"/>
      <c r="S6142" s="51"/>
    </row>
    <row r="6143" spans="9:19" x14ac:dyDescent="0.25">
      <c r="I6143" s="1"/>
      <c r="J6143" s="71"/>
      <c r="M6143" s="46"/>
      <c r="R6143" s="51"/>
      <c r="S6143" s="51"/>
    </row>
    <row r="6144" spans="9:19" x14ac:dyDescent="0.25">
      <c r="I6144" s="1"/>
      <c r="J6144" s="71"/>
      <c r="M6144" s="46"/>
      <c r="R6144" s="51"/>
      <c r="S6144" s="51"/>
    </row>
    <row r="6145" spans="9:19" x14ac:dyDescent="0.25">
      <c r="I6145" s="1"/>
      <c r="J6145" s="71"/>
      <c r="M6145" s="46"/>
      <c r="R6145" s="51"/>
      <c r="S6145" s="51"/>
    </row>
    <row r="6146" spans="9:19" x14ac:dyDescent="0.25">
      <c r="I6146" s="1"/>
      <c r="J6146" s="71"/>
      <c r="M6146" s="46"/>
      <c r="R6146" s="51"/>
      <c r="S6146" s="51"/>
    </row>
    <row r="6147" spans="9:19" x14ac:dyDescent="0.25">
      <c r="I6147" s="1"/>
      <c r="J6147" s="71"/>
      <c r="M6147" s="46"/>
      <c r="R6147" s="51"/>
      <c r="S6147" s="51"/>
    </row>
    <row r="6148" spans="9:19" x14ac:dyDescent="0.25">
      <c r="I6148" s="1"/>
      <c r="J6148" s="71"/>
      <c r="M6148" s="46"/>
      <c r="R6148" s="51"/>
      <c r="S6148" s="51"/>
    </row>
    <row r="6149" spans="9:19" x14ac:dyDescent="0.25">
      <c r="I6149" s="1"/>
      <c r="J6149" s="71"/>
      <c r="M6149" s="46"/>
      <c r="R6149" s="51"/>
      <c r="S6149" s="51"/>
    </row>
    <row r="6150" spans="9:19" x14ac:dyDescent="0.25">
      <c r="I6150" s="1"/>
      <c r="J6150" s="71"/>
      <c r="M6150" s="46"/>
      <c r="R6150" s="51"/>
      <c r="S6150" s="51"/>
    </row>
    <row r="6151" spans="9:19" x14ac:dyDescent="0.25">
      <c r="I6151" s="1"/>
      <c r="J6151" s="71"/>
      <c r="M6151" s="46"/>
      <c r="R6151" s="51"/>
      <c r="S6151" s="51"/>
    </row>
    <row r="6152" spans="9:19" x14ac:dyDescent="0.25">
      <c r="I6152" s="1"/>
      <c r="J6152" s="71"/>
      <c r="M6152" s="46"/>
      <c r="R6152" s="51"/>
      <c r="S6152" s="51"/>
    </row>
    <row r="6153" spans="9:19" x14ac:dyDescent="0.25">
      <c r="I6153" s="1"/>
      <c r="J6153" s="71"/>
      <c r="M6153" s="46"/>
      <c r="R6153" s="51"/>
      <c r="S6153" s="51"/>
    </row>
    <row r="6154" spans="9:19" x14ac:dyDescent="0.25">
      <c r="I6154" s="1"/>
      <c r="J6154" s="71"/>
      <c r="M6154" s="46"/>
      <c r="R6154" s="51"/>
      <c r="S6154" s="51"/>
    </row>
    <row r="6155" spans="9:19" x14ac:dyDescent="0.25">
      <c r="I6155" s="1"/>
      <c r="J6155" s="71"/>
      <c r="M6155" s="46"/>
      <c r="R6155" s="51"/>
      <c r="S6155" s="51"/>
    </row>
    <row r="6156" spans="9:19" x14ac:dyDescent="0.25">
      <c r="I6156" s="1"/>
      <c r="J6156" s="71"/>
      <c r="M6156" s="46"/>
      <c r="R6156" s="51"/>
      <c r="S6156" s="51"/>
    </row>
    <row r="6157" spans="9:19" x14ac:dyDescent="0.25">
      <c r="I6157" s="1"/>
      <c r="J6157" s="71"/>
      <c r="M6157" s="46"/>
      <c r="R6157" s="51"/>
      <c r="S6157" s="51"/>
    </row>
    <row r="6158" spans="9:19" x14ac:dyDescent="0.25">
      <c r="I6158" s="1"/>
      <c r="J6158" s="71"/>
      <c r="M6158" s="46"/>
      <c r="R6158" s="51"/>
      <c r="S6158" s="51"/>
    </row>
    <row r="6159" spans="9:19" x14ac:dyDescent="0.25">
      <c r="I6159" s="1"/>
      <c r="J6159" s="71"/>
      <c r="M6159" s="46"/>
      <c r="R6159" s="51"/>
      <c r="S6159" s="51"/>
    </row>
    <row r="6160" spans="9:19" x14ac:dyDescent="0.25">
      <c r="I6160" s="1"/>
      <c r="J6160" s="71"/>
      <c r="M6160" s="46"/>
      <c r="R6160" s="51"/>
      <c r="S6160" s="51"/>
    </row>
    <row r="6161" spans="9:19" x14ac:dyDescent="0.25">
      <c r="I6161" s="1"/>
      <c r="J6161" s="71"/>
      <c r="M6161" s="46"/>
      <c r="R6161" s="51"/>
      <c r="S6161" s="51"/>
    </row>
    <row r="6162" spans="9:19" x14ac:dyDescent="0.25">
      <c r="I6162" s="1"/>
      <c r="J6162" s="71"/>
      <c r="M6162" s="46"/>
      <c r="R6162" s="51"/>
      <c r="S6162" s="51"/>
    </row>
    <row r="6163" spans="9:19" x14ac:dyDescent="0.25">
      <c r="I6163" s="1"/>
      <c r="J6163" s="71"/>
      <c r="M6163" s="46"/>
      <c r="R6163" s="51"/>
      <c r="S6163" s="51"/>
    </row>
    <row r="6164" spans="9:19" x14ac:dyDescent="0.25">
      <c r="I6164" s="1"/>
      <c r="J6164" s="71"/>
      <c r="M6164" s="46"/>
      <c r="R6164" s="51"/>
      <c r="S6164" s="51"/>
    </row>
    <row r="6165" spans="9:19" x14ac:dyDescent="0.25">
      <c r="I6165" s="1"/>
      <c r="J6165" s="71"/>
      <c r="M6165" s="46"/>
      <c r="R6165" s="51"/>
      <c r="S6165" s="51"/>
    </row>
    <row r="6166" spans="9:19" x14ac:dyDescent="0.25">
      <c r="I6166" s="1"/>
      <c r="J6166" s="71"/>
      <c r="M6166" s="46"/>
      <c r="R6166" s="51"/>
      <c r="S6166" s="51"/>
    </row>
    <row r="6167" spans="9:19" x14ac:dyDescent="0.25">
      <c r="I6167" s="1"/>
      <c r="J6167" s="71"/>
      <c r="M6167" s="46"/>
      <c r="R6167" s="51"/>
      <c r="S6167" s="51"/>
    </row>
    <row r="6168" spans="9:19" x14ac:dyDescent="0.25">
      <c r="I6168" s="1"/>
      <c r="J6168" s="71"/>
      <c r="M6168" s="46"/>
      <c r="R6168" s="51"/>
      <c r="S6168" s="51"/>
    </row>
    <row r="6169" spans="9:19" x14ac:dyDescent="0.25">
      <c r="I6169" s="1"/>
      <c r="J6169" s="71"/>
      <c r="M6169" s="46"/>
      <c r="R6169" s="51"/>
      <c r="S6169" s="51"/>
    </row>
    <row r="6170" spans="9:19" x14ac:dyDescent="0.25">
      <c r="I6170" s="1"/>
      <c r="J6170" s="71"/>
      <c r="M6170" s="46"/>
      <c r="R6170" s="51"/>
      <c r="S6170" s="51"/>
    </row>
    <row r="6171" spans="9:19" x14ac:dyDescent="0.25">
      <c r="I6171" s="1"/>
      <c r="J6171" s="71"/>
      <c r="M6171" s="46"/>
      <c r="R6171" s="51"/>
      <c r="S6171" s="51"/>
    </row>
    <row r="6172" spans="9:19" x14ac:dyDescent="0.25">
      <c r="I6172" s="1"/>
      <c r="J6172" s="71"/>
      <c r="M6172" s="46"/>
      <c r="R6172" s="51"/>
      <c r="S6172" s="51"/>
    </row>
    <row r="6173" spans="9:19" x14ac:dyDescent="0.25">
      <c r="I6173" s="1"/>
      <c r="J6173" s="71"/>
      <c r="M6173" s="46"/>
      <c r="R6173" s="51"/>
      <c r="S6173" s="51"/>
    </row>
    <row r="6174" spans="9:19" x14ac:dyDescent="0.25">
      <c r="I6174" s="1"/>
      <c r="J6174" s="71"/>
      <c r="M6174" s="46"/>
      <c r="R6174" s="51"/>
      <c r="S6174" s="51"/>
    </row>
    <row r="6175" spans="9:19" x14ac:dyDescent="0.25">
      <c r="I6175" s="1"/>
      <c r="J6175" s="71"/>
      <c r="M6175" s="46"/>
      <c r="R6175" s="51"/>
      <c r="S6175" s="51"/>
    </row>
    <row r="6176" spans="9:19" x14ac:dyDescent="0.25">
      <c r="I6176" s="1"/>
      <c r="J6176" s="71"/>
      <c r="M6176" s="46"/>
      <c r="R6176" s="51"/>
      <c r="S6176" s="51"/>
    </row>
    <row r="6177" spans="9:19" x14ac:dyDescent="0.25">
      <c r="I6177" s="1"/>
      <c r="J6177" s="71"/>
      <c r="M6177" s="46"/>
      <c r="R6177" s="51"/>
      <c r="S6177" s="51"/>
    </row>
    <row r="6178" spans="9:19" x14ac:dyDescent="0.25">
      <c r="I6178" s="1"/>
      <c r="J6178" s="71"/>
      <c r="M6178" s="46"/>
      <c r="R6178" s="51"/>
      <c r="S6178" s="51"/>
    </row>
    <row r="6179" spans="9:19" x14ac:dyDescent="0.25">
      <c r="I6179" s="1"/>
      <c r="J6179" s="71"/>
      <c r="M6179" s="46"/>
      <c r="R6179" s="51"/>
      <c r="S6179" s="51"/>
    </row>
    <row r="6180" spans="9:19" x14ac:dyDescent="0.25">
      <c r="I6180" s="1"/>
      <c r="J6180" s="71"/>
      <c r="M6180" s="46"/>
      <c r="R6180" s="51"/>
      <c r="S6180" s="51"/>
    </row>
    <row r="6181" spans="9:19" x14ac:dyDescent="0.25">
      <c r="I6181" s="1"/>
      <c r="J6181" s="71"/>
      <c r="M6181" s="46"/>
      <c r="R6181" s="51"/>
      <c r="S6181" s="51"/>
    </row>
    <row r="6182" spans="9:19" x14ac:dyDescent="0.25">
      <c r="I6182" s="1"/>
      <c r="J6182" s="71"/>
      <c r="M6182" s="46"/>
      <c r="R6182" s="51"/>
      <c r="S6182" s="51"/>
    </row>
    <row r="6183" spans="9:19" x14ac:dyDescent="0.25">
      <c r="I6183" s="1"/>
      <c r="J6183" s="71"/>
      <c r="M6183" s="46"/>
      <c r="R6183" s="51"/>
      <c r="S6183" s="51"/>
    </row>
    <row r="6184" spans="9:19" x14ac:dyDescent="0.25">
      <c r="I6184" s="1"/>
      <c r="J6184" s="71"/>
      <c r="M6184" s="46"/>
      <c r="R6184" s="51"/>
      <c r="S6184" s="51"/>
    </row>
    <row r="6185" spans="9:19" x14ac:dyDescent="0.25">
      <c r="I6185" s="1"/>
      <c r="J6185" s="71"/>
      <c r="M6185" s="46"/>
      <c r="R6185" s="51"/>
      <c r="S6185" s="51"/>
    </row>
    <row r="6186" spans="9:19" x14ac:dyDescent="0.25">
      <c r="I6186" s="1"/>
      <c r="J6186" s="71"/>
      <c r="M6186" s="46"/>
      <c r="R6186" s="51"/>
      <c r="S6186" s="51"/>
    </row>
    <row r="6187" spans="9:19" x14ac:dyDescent="0.25">
      <c r="I6187" s="1"/>
      <c r="J6187" s="71"/>
      <c r="M6187" s="46"/>
      <c r="R6187" s="51"/>
      <c r="S6187" s="51"/>
    </row>
    <row r="6188" spans="9:19" x14ac:dyDescent="0.25">
      <c r="I6188" s="1"/>
      <c r="J6188" s="71"/>
      <c r="M6188" s="46"/>
      <c r="R6188" s="51"/>
      <c r="S6188" s="51"/>
    </row>
    <row r="6189" spans="9:19" x14ac:dyDescent="0.25">
      <c r="I6189" s="1"/>
      <c r="J6189" s="71"/>
      <c r="M6189" s="46"/>
      <c r="R6189" s="51"/>
      <c r="S6189" s="51"/>
    </row>
    <row r="6190" spans="9:19" x14ac:dyDescent="0.25">
      <c r="I6190" s="1"/>
      <c r="J6190" s="71"/>
      <c r="M6190" s="46"/>
      <c r="R6190" s="51"/>
      <c r="S6190" s="51"/>
    </row>
    <row r="6191" spans="9:19" x14ac:dyDescent="0.25">
      <c r="I6191" s="1"/>
      <c r="J6191" s="71"/>
      <c r="M6191" s="46"/>
      <c r="R6191" s="51"/>
      <c r="S6191" s="51"/>
    </row>
    <row r="6192" spans="9:19" x14ac:dyDescent="0.25">
      <c r="I6192" s="1"/>
      <c r="J6192" s="71"/>
      <c r="M6192" s="46"/>
      <c r="R6192" s="51"/>
      <c r="S6192" s="51"/>
    </row>
    <row r="6193" spans="9:19" x14ac:dyDescent="0.25">
      <c r="I6193" s="1"/>
      <c r="J6193" s="71"/>
      <c r="M6193" s="46"/>
      <c r="R6193" s="51"/>
      <c r="S6193" s="51"/>
    </row>
    <row r="6194" spans="9:19" x14ac:dyDescent="0.25">
      <c r="I6194" s="1"/>
      <c r="J6194" s="71"/>
      <c r="M6194" s="46"/>
      <c r="R6194" s="51"/>
      <c r="S6194" s="51"/>
    </row>
    <row r="6195" spans="9:19" x14ac:dyDescent="0.25">
      <c r="I6195" s="1"/>
      <c r="J6195" s="71"/>
      <c r="M6195" s="46"/>
      <c r="R6195" s="51"/>
      <c r="S6195" s="51"/>
    </row>
    <row r="6196" spans="9:19" x14ac:dyDescent="0.25">
      <c r="I6196" s="1"/>
      <c r="J6196" s="71"/>
      <c r="M6196" s="46"/>
      <c r="R6196" s="51"/>
      <c r="S6196" s="51"/>
    </row>
    <row r="6197" spans="9:19" x14ac:dyDescent="0.25">
      <c r="I6197" s="1"/>
      <c r="J6197" s="71"/>
      <c r="M6197" s="46"/>
      <c r="R6197" s="51"/>
      <c r="S6197" s="51"/>
    </row>
    <row r="6198" spans="9:19" x14ac:dyDescent="0.25">
      <c r="I6198" s="1"/>
      <c r="J6198" s="71"/>
      <c r="M6198" s="46"/>
      <c r="R6198" s="51"/>
      <c r="S6198" s="51"/>
    </row>
    <row r="6199" spans="9:19" x14ac:dyDescent="0.25">
      <c r="I6199" s="1"/>
      <c r="J6199" s="71"/>
      <c r="M6199" s="46"/>
      <c r="R6199" s="51"/>
      <c r="S6199" s="51"/>
    </row>
    <row r="6200" spans="9:19" x14ac:dyDescent="0.25">
      <c r="I6200" s="1"/>
      <c r="J6200" s="71"/>
      <c r="M6200" s="46"/>
      <c r="R6200" s="51"/>
      <c r="S6200" s="51"/>
    </row>
    <row r="6201" spans="9:19" x14ac:dyDescent="0.25">
      <c r="I6201" s="1"/>
      <c r="J6201" s="71"/>
      <c r="M6201" s="46"/>
      <c r="R6201" s="51"/>
      <c r="S6201" s="51"/>
    </row>
    <row r="6202" spans="9:19" x14ac:dyDescent="0.25">
      <c r="I6202" s="1"/>
      <c r="J6202" s="71"/>
      <c r="M6202" s="46"/>
      <c r="R6202" s="51"/>
      <c r="S6202" s="51"/>
    </row>
    <row r="6203" spans="9:19" x14ac:dyDescent="0.25">
      <c r="I6203" s="1"/>
      <c r="J6203" s="71"/>
      <c r="M6203" s="46"/>
      <c r="R6203" s="51"/>
      <c r="S6203" s="51"/>
    </row>
    <row r="6204" spans="9:19" x14ac:dyDescent="0.25">
      <c r="I6204" s="1"/>
      <c r="J6204" s="71"/>
      <c r="M6204" s="46"/>
      <c r="R6204" s="51"/>
      <c r="S6204" s="51"/>
    </row>
    <row r="6205" spans="9:19" x14ac:dyDescent="0.25">
      <c r="I6205" s="1"/>
      <c r="J6205" s="71"/>
      <c r="M6205" s="46"/>
      <c r="R6205" s="51"/>
      <c r="S6205" s="51"/>
    </row>
    <row r="6206" spans="9:19" x14ac:dyDescent="0.25">
      <c r="I6206" s="1"/>
      <c r="J6206" s="71"/>
      <c r="M6206" s="46"/>
      <c r="R6206" s="51"/>
      <c r="S6206" s="51"/>
    </row>
    <row r="6207" spans="9:19" x14ac:dyDescent="0.25">
      <c r="I6207" s="1"/>
      <c r="J6207" s="71"/>
      <c r="M6207" s="46"/>
      <c r="R6207" s="51"/>
      <c r="S6207" s="51"/>
    </row>
    <row r="6208" spans="9:19" x14ac:dyDescent="0.25">
      <c r="I6208" s="1"/>
      <c r="J6208" s="71"/>
      <c r="M6208" s="46"/>
      <c r="R6208" s="51"/>
      <c r="S6208" s="51"/>
    </row>
    <row r="6209" spans="9:19" x14ac:dyDescent="0.25">
      <c r="I6209" s="1"/>
      <c r="J6209" s="71"/>
      <c r="M6209" s="46"/>
      <c r="R6209" s="51"/>
      <c r="S6209" s="51"/>
    </row>
    <row r="6210" spans="9:19" x14ac:dyDescent="0.25">
      <c r="I6210" s="1"/>
      <c r="J6210" s="71"/>
      <c r="M6210" s="46"/>
      <c r="R6210" s="51"/>
      <c r="S6210" s="51"/>
    </row>
    <row r="6211" spans="9:19" x14ac:dyDescent="0.25">
      <c r="I6211" s="1"/>
      <c r="J6211" s="71"/>
      <c r="M6211" s="46"/>
      <c r="R6211" s="51"/>
      <c r="S6211" s="51"/>
    </row>
    <row r="6212" spans="9:19" x14ac:dyDescent="0.25">
      <c r="I6212" s="1"/>
      <c r="J6212" s="71"/>
      <c r="M6212" s="46"/>
      <c r="R6212" s="51"/>
      <c r="S6212" s="51"/>
    </row>
    <row r="6213" spans="9:19" x14ac:dyDescent="0.25">
      <c r="I6213" s="1"/>
      <c r="J6213" s="71"/>
      <c r="M6213" s="46"/>
      <c r="R6213" s="51"/>
      <c r="S6213" s="51"/>
    </row>
    <row r="6214" spans="9:19" x14ac:dyDescent="0.25">
      <c r="I6214" s="1"/>
      <c r="J6214" s="71"/>
      <c r="M6214" s="46"/>
      <c r="R6214" s="51"/>
      <c r="S6214" s="51"/>
    </row>
    <row r="6215" spans="9:19" x14ac:dyDescent="0.25">
      <c r="I6215" s="1"/>
      <c r="J6215" s="71"/>
      <c r="M6215" s="46"/>
      <c r="R6215" s="51"/>
      <c r="S6215" s="51"/>
    </row>
    <row r="6216" spans="9:19" x14ac:dyDescent="0.25">
      <c r="I6216" s="1"/>
      <c r="J6216" s="71"/>
      <c r="M6216" s="46"/>
      <c r="R6216" s="51"/>
      <c r="S6216" s="51"/>
    </row>
    <row r="6217" spans="9:19" x14ac:dyDescent="0.25">
      <c r="I6217" s="1"/>
      <c r="J6217" s="71"/>
      <c r="M6217" s="46"/>
      <c r="R6217" s="51"/>
      <c r="S6217" s="51"/>
    </row>
    <row r="6218" spans="9:19" x14ac:dyDescent="0.25">
      <c r="I6218" s="1"/>
      <c r="J6218" s="71"/>
      <c r="M6218" s="46"/>
      <c r="R6218" s="51"/>
      <c r="S6218" s="51"/>
    </row>
    <row r="6219" spans="9:19" x14ac:dyDescent="0.25">
      <c r="I6219" s="1"/>
      <c r="J6219" s="71"/>
      <c r="M6219" s="46"/>
      <c r="R6219" s="51"/>
      <c r="S6219" s="51"/>
    </row>
    <row r="6220" spans="9:19" x14ac:dyDescent="0.25">
      <c r="I6220" s="1"/>
      <c r="J6220" s="71"/>
      <c r="M6220" s="46"/>
      <c r="R6220" s="51"/>
      <c r="S6220" s="51"/>
    </row>
    <row r="6221" spans="9:19" x14ac:dyDescent="0.25">
      <c r="I6221" s="1"/>
      <c r="J6221" s="71"/>
      <c r="M6221" s="46"/>
      <c r="R6221" s="51"/>
      <c r="S6221" s="51"/>
    </row>
    <row r="6222" spans="9:19" x14ac:dyDescent="0.25">
      <c r="I6222" s="1"/>
      <c r="J6222" s="71"/>
      <c r="M6222" s="46"/>
      <c r="R6222" s="51"/>
      <c r="S6222" s="51"/>
    </row>
    <row r="6223" spans="9:19" x14ac:dyDescent="0.25">
      <c r="I6223" s="1"/>
      <c r="J6223" s="71"/>
      <c r="M6223" s="46"/>
      <c r="R6223" s="51"/>
      <c r="S6223" s="51"/>
    </row>
    <row r="6224" spans="9:19" x14ac:dyDescent="0.25">
      <c r="I6224" s="1"/>
      <c r="J6224" s="71"/>
      <c r="M6224" s="46"/>
      <c r="R6224" s="51"/>
      <c r="S6224" s="51"/>
    </row>
    <row r="6225" spans="9:19" x14ac:dyDescent="0.25">
      <c r="I6225" s="1"/>
      <c r="J6225" s="71"/>
      <c r="M6225" s="46"/>
      <c r="R6225" s="51"/>
      <c r="S6225" s="51"/>
    </row>
    <row r="6226" spans="9:19" x14ac:dyDescent="0.25">
      <c r="I6226" s="1"/>
      <c r="J6226" s="71"/>
      <c r="M6226" s="46"/>
      <c r="R6226" s="51"/>
      <c r="S6226" s="51"/>
    </row>
    <row r="6227" spans="9:19" x14ac:dyDescent="0.25">
      <c r="I6227" s="1"/>
      <c r="J6227" s="71"/>
      <c r="M6227" s="46"/>
      <c r="R6227" s="51"/>
      <c r="S6227" s="51"/>
    </row>
    <row r="6228" spans="9:19" x14ac:dyDescent="0.25">
      <c r="I6228" s="1"/>
      <c r="J6228" s="71"/>
      <c r="M6228" s="46"/>
      <c r="R6228" s="51"/>
      <c r="S6228" s="51"/>
    </row>
    <row r="6229" spans="9:19" x14ac:dyDescent="0.25">
      <c r="I6229" s="1"/>
      <c r="J6229" s="71"/>
      <c r="M6229" s="46"/>
      <c r="R6229" s="51"/>
      <c r="S6229" s="51"/>
    </row>
    <row r="6230" spans="9:19" x14ac:dyDescent="0.25">
      <c r="I6230" s="1"/>
      <c r="J6230" s="71"/>
      <c r="M6230" s="46"/>
      <c r="R6230" s="51"/>
      <c r="S6230" s="51"/>
    </row>
    <row r="6231" spans="9:19" x14ac:dyDescent="0.25">
      <c r="I6231" s="1"/>
      <c r="J6231" s="71"/>
      <c r="M6231" s="46"/>
      <c r="R6231" s="51"/>
      <c r="S6231" s="51"/>
    </row>
    <row r="6232" spans="9:19" x14ac:dyDescent="0.25">
      <c r="I6232" s="1"/>
      <c r="J6232" s="71"/>
      <c r="M6232" s="46"/>
      <c r="R6232" s="51"/>
      <c r="S6232" s="51"/>
    </row>
    <row r="6233" spans="9:19" x14ac:dyDescent="0.25">
      <c r="I6233" s="1"/>
      <c r="J6233" s="71"/>
      <c r="M6233" s="46"/>
      <c r="R6233" s="51"/>
      <c r="S6233" s="51"/>
    </row>
    <row r="6234" spans="9:19" x14ac:dyDescent="0.25">
      <c r="I6234" s="1"/>
      <c r="J6234" s="71"/>
      <c r="M6234" s="46"/>
      <c r="R6234" s="51"/>
      <c r="S6234" s="51"/>
    </row>
    <row r="6235" spans="9:19" x14ac:dyDescent="0.25">
      <c r="I6235" s="1"/>
      <c r="J6235" s="71"/>
      <c r="M6235" s="46"/>
      <c r="R6235" s="51"/>
      <c r="S6235" s="51"/>
    </row>
    <row r="6236" spans="9:19" x14ac:dyDescent="0.25">
      <c r="I6236" s="1"/>
      <c r="J6236" s="71"/>
      <c r="M6236" s="46"/>
      <c r="R6236" s="51"/>
      <c r="S6236" s="51"/>
    </row>
    <row r="6237" spans="9:19" x14ac:dyDescent="0.25">
      <c r="I6237" s="1"/>
      <c r="J6237" s="71"/>
      <c r="M6237" s="46"/>
      <c r="R6237" s="51"/>
      <c r="S6237" s="51"/>
    </row>
    <row r="6238" spans="9:19" x14ac:dyDescent="0.25">
      <c r="I6238" s="1"/>
      <c r="J6238" s="71"/>
      <c r="M6238" s="46"/>
      <c r="R6238" s="51"/>
      <c r="S6238" s="51"/>
    </row>
    <row r="6239" spans="9:19" x14ac:dyDescent="0.25">
      <c r="I6239" s="1"/>
      <c r="J6239" s="71"/>
      <c r="M6239" s="46"/>
      <c r="R6239" s="51"/>
      <c r="S6239" s="51"/>
    </row>
    <row r="6240" spans="9:19" x14ac:dyDescent="0.25">
      <c r="I6240" s="1"/>
      <c r="J6240" s="71"/>
      <c r="M6240" s="46"/>
      <c r="R6240" s="51"/>
      <c r="S6240" s="51"/>
    </row>
    <row r="6241" spans="9:19" x14ac:dyDescent="0.25">
      <c r="I6241" s="1"/>
      <c r="J6241" s="71"/>
      <c r="M6241" s="46"/>
      <c r="R6241" s="51"/>
      <c r="S6241" s="51"/>
    </row>
    <row r="6242" spans="9:19" x14ac:dyDescent="0.25">
      <c r="I6242" s="1"/>
      <c r="J6242" s="71"/>
      <c r="M6242" s="46"/>
      <c r="R6242" s="51"/>
      <c r="S6242" s="51"/>
    </row>
    <row r="6243" spans="9:19" x14ac:dyDescent="0.25">
      <c r="I6243" s="1"/>
      <c r="J6243" s="71"/>
      <c r="M6243" s="46"/>
      <c r="R6243" s="51"/>
      <c r="S6243" s="51"/>
    </row>
    <row r="6244" spans="9:19" x14ac:dyDescent="0.25">
      <c r="I6244" s="1"/>
      <c r="J6244" s="71"/>
      <c r="M6244" s="46"/>
      <c r="R6244" s="51"/>
      <c r="S6244" s="51"/>
    </row>
    <row r="6245" spans="9:19" x14ac:dyDescent="0.25">
      <c r="I6245" s="1"/>
      <c r="J6245" s="71"/>
      <c r="M6245" s="46"/>
      <c r="R6245" s="51"/>
      <c r="S6245" s="51"/>
    </row>
    <row r="6246" spans="9:19" x14ac:dyDescent="0.25">
      <c r="I6246" s="1"/>
      <c r="J6246" s="71"/>
      <c r="M6246" s="46"/>
      <c r="R6246" s="51"/>
      <c r="S6246" s="51"/>
    </row>
    <row r="6247" spans="9:19" x14ac:dyDescent="0.25">
      <c r="I6247" s="1"/>
      <c r="J6247" s="71"/>
      <c r="M6247" s="46"/>
      <c r="R6247" s="51"/>
      <c r="S6247" s="51"/>
    </row>
    <row r="6248" spans="9:19" x14ac:dyDescent="0.25">
      <c r="I6248" s="1"/>
      <c r="J6248" s="71"/>
      <c r="M6248" s="46"/>
      <c r="R6248" s="51"/>
      <c r="S6248" s="51"/>
    </row>
    <row r="6249" spans="9:19" x14ac:dyDescent="0.25">
      <c r="I6249" s="1"/>
      <c r="J6249" s="71"/>
      <c r="M6249" s="46"/>
      <c r="R6249" s="51"/>
      <c r="S6249" s="51"/>
    </row>
    <row r="6250" spans="9:19" x14ac:dyDescent="0.25">
      <c r="I6250" s="1"/>
      <c r="J6250" s="71"/>
      <c r="M6250" s="46"/>
      <c r="R6250" s="51"/>
      <c r="S6250" s="51"/>
    </row>
    <row r="6251" spans="9:19" x14ac:dyDescent="0.25">
      <c r="I6251" s="1"/>
      <c r="J6251" s="71"/>
      <c r="M6251" s="46"/>
      <c r="R6251" s="51"/>
      <c r="S6251" s="51"/>
    </row>
    <row r="6252" spans="9:19" x14ac:dyDescent="0.25">
      <c r="I6252" s="1"/>
      <c r="J6252" s="71"/>
      <c r="M6252" s="46"/>
      <c r="R6252" s="51"/>
      <c r="S6252" s="51"/>
    </row>
    <row r="6253" spans="9:19" x14ac:dyDescent="0.25">
      <c r="I6253" s="1"/>
      <c r="J6253" s="71"/>
      <c r="M6253" s="46"/>
      <c r="R6253" s="51"/>
      <c r="S6253" s="51"/>
    </row>
    <row r="6254" spans="9:19" x14ac:dyDescent="0.25">
      <c r="I6254" s="1"/>
      <c r="J6254" s="71"/>
      <c r="M6254" s="46"/>
      <c r="R6254" s="51"/>
      <c r="S6254" s="51"/>
    </row>
    <row r="6255" spans="9:19" x14ac:dyDescent="0.25">
      <c r="I6255" s="1"/>
      <c r="J6255" s="71"/>
      <c r="M6255" s="46"/>
      <c r="R6255" s="51"/>
      <c r="S6255" s="51"/>
    </row>
    <row r="6256" spans="9:19" x14ac:dyDescent="0.25">
      <c r="I6256" s="1"/>
      <c r="J6256" s="71"/>
      <c r="M6256" s="46"/>
      <c r="R6256" s="51"/>
      <c r="S6256" s="51"/>
    </row>
    <row r="6257" spans="9:19" x14ac:dyDescent="0.25">
      <c r="I6257" s="1"/>
      <c r="J6257" s="71"/>
      <c r="M6257" s="46"/>
      <c r="R6257" s="51"/>
      <c r="S6257" s="51"/>
    </row>
    <row r="6258" spans="9:19" x14ac:dyDescent="0.25">
      <c r="I6258" s="1"/>
      <c r="J6258" s="71"/>
      <c r="M6258" s="46"/>
      <c r="R6258" s="51"/>
      <c r="S6258" s="51"/>
    </row>
    <row r="6259" spans="9:19" x14ac:dyDescent="0.25">
      <c r="I6259" s="1"/>
      <c r="J6259" s="71"/>
      <c r="M6259" s="46"/>
      <c r="R6259" s="51"/>
      <c r="S6259" s="51"/>
    </row>
    <row r="6260" spans="9:19" x14ac:dyDescent="0.25">
      <c r="I6260" s="1"/>
      <c r="J6260" s="71"/>
      <c r="M6260" s="46"/>
      <c r="R6260" s="51"/>
      <c r="S6260" s="51"/>
    </row>
    <row r="6261" spans="9:19" x14ac:dyDescent="0.25">
      <c r="I6261" s="1"/>
      <c r="J6261" s="71"/>
      <c r="M6261" s="46"/>
      <c r="R6261" s="51"/>
      <c r="S6261" s="51"/>
    </row>
    <row r="6262" spans="9:19" x14ac:dyDescent="0.25">
      <c r="I6262" s="1"/>
      <c r="J6262" s="71"/>
      <c r="M6262" s="46"/>
      <c r="R6262" s="51"/>
      <c r="S6262" s="51"/>
    </row>
    <row r="6263" spans="9:19" x14ac:dyDescent="0.25">
      <c r="I6263" s="1"/>
      <c r="J6263" s="71"/>
      <c r="M6263" s="46"/>
      <c r="R6263" s="51"/>
      <c r="S6263" s="51"/>
    </row>
    <row r="6264" spans="9:19" x14ac:dyDescent="0.25">
      <c r="I6264" s="1"/>
      <c r="J6264" s="71"/>
      <c r="M6264" s="46"/>
      <c r="R6264" s="51"/>
      <c r="S6264" s="51"/>
    </row>
    <row r="6265" spans="9:19" x14ac:dyDescent="0.25">
      <c r="I6265" s="1"/>
      <c r="J6265" s="71"/>
      <c r="M6265" s="46"/>
      <c r="R6265" s="51"/>
      <c r="S6265" s="51"/>
    </row>
    <row r="6266" spans="9:19" x14ac:dyDescent="0.25">
      <c r="I6266" s="1"/>
      <c r="J6266" s="71"/>
      <c r="M6266" s="46"/>
      <c r="R6266" s="51"/>
      <c r="S6266" s="51"/>
    </row>
    <row r="6267" spans="9:19" x14ac:dyDescent="0.25">
      <c r="I6267" s="1"/>
      <c r="J6267" s="71"/>
      <c r="M6267" s="46"/>
      <c r="R6267" s="51"/>
      <c r="S6267" s="51"/>
    </row>
    <row r="6268" spans="9:19" x14ac:dyDescent="0.25">
      <c r="I6268" s="1"/>
      <c r="J6268" s="71"/>
      <c r="M6268" s="46"/>
      <c r="R6268" s="51"/>
      <c r="S6268" s="51"/>
    </row>
    <row r="6269" spans="9:19" x14ac:dyDescent="0.25">
      <c r="I6269" s="1"/>
      <c r="J6269" s="71"/>
      <c r="M6269" s="46"/>
      <c r="R6269" s="51"/>
      <c r="S6269" s="51"/>
    </row>
    <row r="6270" spans="9:19" x14ac:dyDescent="0.25">
      <c r="I6270" s="1"/>
      <c r="J6270" s="71"/>
      <c r="M6270" s="46"/>
      <c r="R6270" s="51"/>
      <c r="S6270" s="51"/>
    </row>
    <row r="6271" spans="9:19" x14ac:dyDescent="0.25">
      <c r="I6271" s="1"/>
      <c r="J6271" s="71"/>
      <c r="M6271" s="46"/>
      <c r="R6271" s="51"/>
      <c r="S6271" s="51"/>
    </row>
    <row r="6272" spans="9:19" x14ac:dyDescent="0.25">
      <c r="I6272" s="1"/>
      <c r="J6272" s="71"/>
      <c r="M6272" s="46"/>
      <c r="R6272" s="51"/>
      <c r="S6272" s="51"/>
    </row>
    <row r="6273" spans="9:19" x14ac:dyDescent="0.25">
      <c r="I6273" s="1"/>
      <c r="J6273" s="71"/>
      <c r="M6273" s="46"/>
      <c r="R6273" s="51"/>
      <c r="S6273" s="51"/>
    </row>
    <row r="6274" spans="9:19" x14ac:dyDescent="0.25">
      <c r="I6274" s="1"/>
      <c r="J6274" s="71"/>
      <c r="M6274" s="46"/>
      <c r="R6274" s="51"/>
      <c r="S6274" s="51"/>
    </row>
    <row r="6275" spans="9:19" x14ac:dyDescent="0.25">
      <c r="I6275" s="1"/>
      <c r="J6275" s="71"/>
      <c r="M6275" s="46"/>
      <c r="R6275" s="51"/>
      <c r="S6275" s="51"/>
    </row>
    <row r="6276" spans="9:19" x14ac:dyDescent="0.25">
      <c r="I6276" s="1"/>
      <c r="J6276" s="71"/>
      <c r="M6276" s="46"/>
      <c r="R6276" s="51"/>
      <c r="S6276" s="51"/>
    </row>
    <row r="6277" spans="9:19" x14ac:dyDescent="0.25">
      <c r="I6277" s="1"/>
      <c r="J6277" s="71"/>
      <c r="M6277" s="46"/>
      <c r="R6277" s="51"/>
      <c r="S6277" s="51"/>
    </row>
    <row r="6278" spans="9:19" x14ac:dyDescent="0.25">
      <c r="I6278" s="1"/>
      <c r="J6278" s="71"/>
      <c r="M6278" s="46"/>
      <c r="R6278" s="51"/>
      <c r="S6278" s="51"/>
    </row>
    <row r="6279" spans="9:19" x14ac:dyDescent="0.25">
      <c r="I6279" s="1"/>
      <c r="J6279" s="71"/>
      <c r="M6279" s="46"/>
      <c r="R6279" s="51"/>
      <c r="S6279" s="51"/>
    </row>
    <row r="6280" spans="9:19" x14ac:dyDescent="0.25">
      <c r="I6280" s="1"/>
      <c r="J6280" s="71"/>
      <c r="M6280" s="46"/>
      <c r="R6280" s="51"/>
      <c r="S6280" s="51"/>
    </row>
    <row r="6281" spans="9:19" x14ac:dyDescent="0.25">
      <c r="I6281" s="1"/>
      <c r="J6281" s="71"/>
      <c r="M6281" s="46"/>
      <c r="R6281" s="51"/>
      <c r="S6281" s="51"/>
    </row>
    <row r="6282" spans="9:19" x14ac:dyDescent="0.25">
      <c r="I6282" s="1"/>
      <c r="J6282" s="71"/>
      <c r="M6282" s="46"/>
      <c r="R6282" s="51"/>
      <c r="S6282" s="51"/>
    </row>
    <row r="6283" spans="9:19" x14ac:dyDescent="0.25">
      <c r="I6283" s="1"/>
      <c r="J6283" s="71"/>
      <c r="M6283" s="46"/>
      <c r="R6283" s="51"/>
      <c r="S6283" s="51"/>
    </row>
    <row r="6284" spans="9:19" x14ac:dyDescent="0.25">
      <c r="I6284" s="1"/>
      <c r="J6284" s="71"/>
      <c r="M6284" s="46"/>
      <c r="R6284" s="51"/>
      <c r="S6284" s="51"/>
    </row>
    <row r="6285" spans="9:19" x14ac:dyDescent="0.25">
      <c r="I6285" s="1"/>
      <c r="J6285" s="71"/>
      <c r="M6285" s="46"/>
      <c r="R6285" s="51"/>
      <c r="S6285" s="51"/>
    </row>
    <row r="6286" spans="9:19" x14ac:dyDescent="0.25">
      <c r="I6286" s="1"/>
      <c r="J6286" s="71"/>
      <c r="M6286" s="46"/>
      <c r="R6286" s="51"/>
      <c r="S6286" s="51"/>
    </row>
    <row r="6287" spans="9:19" x14ac:dyDescent="0.25">
      <c r="I6287" s="1"/>
      <c r="J6287" s="71"/>
      <c r="M6287" s="46"/>
      <c r="R6287" s="51"/>
      <c r="S6287" s="51"/>
    </row>
    <row r="6288" spans="9:19" x14ac:dyDescent="0.25">
      <c r="I6288" s="1"/>
      <c r="J6288" s="71"/>
      <c r="M6288" s="46"/>
      <c r="R6288" s="51"/>
      <c r="S6288" s="51"/>
    </row>
    <row r="6289" spans="9:19" x14ac:dyDescent="0.25">
      <c r="I6289" s="1"/>
      <c r="J6289" s="71"/>
      <c r="M6289" s="46"/>
      <c r="R6289" s="51"/>
      <c r="S6289" s="51"/>
    </row>
    <row r="6290" spans="9:19" x14ac:dyDescent="0.25">
      <c r="I6290" s="1"/>
      <c r="J6290" s="71"/>
      <c r="M6290" s="46"/>
      <c r="R6290" s="51"/>
      <c r="S6290" s="51"/>
    </row>
    <row r="6291" spans="9:19" x14ac:dyDescent="0.25">
      <c r="I6291" s="1"/>
      <c r="J6291" s="71"/>
      <c r="M6291" s="46"/>
      <c r="R6291" s="51"/>
      <c r="S6291" s="51"/>
    </row>
    <row r="6292" spans="9:19" x14ac:dyDescent="0.25">
      <c r="I6292" s="1"/>
      <c r="J6292" s="71"/>
      <c r="M6292" s="46"/>
      <c r="R6292" s="51"/>
      <c r="S6292" s="51"/>
    </row>
    <row r="6293" spans="9:19" x14ac:dyDescent="0.25">
      <c r="I6293" s="1"/>
      <c r="J6293" s="71"/>
      <c r="M6293" s="46"/>
      <c r="R6293" s="51"/>
      <c r="S6293" s="51"/>
    </row>
    <row r="6294" spans="9:19" x14ac:dyDescent="0.25">
      <c r="I6294" s="1"/>
      <c r="J6294" s="71"/>
      <c r="M6294" s="46"/>
      <c r="R6294" s="51"/>
      <c r="S6294" s="51"/>
    </row>
    <row r="6295" spans="9:19" x14ac:dyDescent="0.25">
      <c r="I6295" s="1"/>
      <c r="J6295" s="71"/>
      <c r="M6295" s="46"/>
      <c r="R6295" s="51"/>
      <c r="S6295" s="51"/>
    </row>
    <row r="6296" spans="9:19" x14ac:dyDescent="0.25">
      <c r="I6296" s="1"/>
      <c r="J6296" s="71"/>
      <c r="M6296" s="46"/>
      <c r="R6296" s="51"/>
      <c r="S6296" s="51"/>
    </row>
    <row r="6297" spans="9:19" x14ac:dyDescent="0.25">
      <c r="I6297" s="1"/>
      <c r="J6297" s="71"/>
      <c r="M6297" s="46"/>
      <c r="R6297" s="51"/>
      <c r="S6297" s="51"/>
    </row>
    <row r="6298" spans="9:19" x14ac:dyDescent="0.25">
      <c r="I6298" s="1"/>
      <c r="J6298" s="71"/>
      <c r="M6298" s="46"/>
      <c r="R6298" s="51"/>
      <c r="S6298" s="51"/>
    </row>
    <row r="6299" spans="9:19" x14ac:dyDescent="0.25">
      <c r="I6299" s="1"/>
      <c r="J6299" s="71"/>
      <c r="M6299" s="46"/>
      <c r="R6299" s="51"/>
      <c r="S6299" s="51"/>
    </row>
    <row r="6300" spans="9:19" x14ac:dyDescent="0.25">
      <c r="I6300" s="1"/>
      <c r="J6300" s="71"/>
      <c r="M6300" s="46"/>
      <c r="R6300" s="51"/>
      <c r="S6300" s="51"/>
    </row>
    <row r="6301" spans="9:19" x14ac:dyDescent="0.25">
      <c r="I6301" s="1"/>
      <c r="J6301" s="71"/>
      <c r="M6301" s="46"/>
      <c r="R6301" s="51"/>
      <c r="S6301" s="51"/>
    </row>
    <row r="6302" spans="9:19" x14ac:dyDescent="0.25">
      <c r="I6302" s="1"/>
      <c r="J6302" s="71"/>
      <c r="M6302" s="46"/>
      <c r="R6302" s="51"/>
      <c r="S6302" s="51"/>
    </row>
    <row r="6303" spans="9:19" x14ac:dyDescent="0.25">
      <c r="I6303" s="1"/>
      <c r="J6303" s="71"/>
      <c r="M6303" s="46"/>
      <c r="R6303" s="51"/>
      <c r="S6303" s="51"/>
    </row>
    <row r="6304" spans="9:19" x14ac:dyDescent="0.25">
      <c r="I6304" s="1"/>
      <c r="J6304" s="71"/>
      <c r="M6304" s="46"/>
      <c r="R6304" s="51"/>
      <c r="S6304" s="51"/>
    </row>
    <row r="6305" spans="9:19" x14ac:dyDescent="0.25">
      <c r="I6305" s="1"/>
      <c r="J6305" s="71"/>
      <c r="M6305" s="46"/>
      <c r="R6305" s="51"/>
      <c r="S6305" s="51"/>
    </row>
    <row r="6306" spans="9:19" x14ac:dyDescent="0.25">
      <c r="I6306" s="1"/>
      <c r="J6306" s="71"/>
      <c r="M6306" s="46"/>
      <c r="R6306" s="51"/>
      <c r="S6306" s="51"/>
    </row>
    <row r="6307" spans="9:19" x14ac:dyDescent="0.25">
      <c r="I6307" s="1"/>
      <c r="J6307" s="71"/>
      <c r="M6307" s="46"/>
      <c r="R6307" s="51"/>
      <c r="S6307" s="51"/>
    </row>
    <row r="6308" spans="9:19" x14ac:dyDescent="0.25">
      <c r="I6308" s="1"/>
      <c r="J6308" s="71"/>
      <c r="M6308" s="46"/>
      <c r="R6308" s="51"/>
      <c r="S6308" s="51"/>
    </row>
    <row r="6309" spans="9:19" x14ac:dyDescent="0.25">
      <c r="I6309" s="1"/>
      <c r="J6309" s="71"/>
      <c r="M6309" s="46"/>
      <c r="R6309" s="51"/>
      <c r="S6309" s="51"/>
    </row>
    <row r="6310" spans="9:19" x14ac:dyDescent="0.25">
      <c r="I6310" s="1"/>
      <c r="J6310" s="71"/>
      <c r="M6310" s="46"/>
      <c r="R6310" s="51"/>
      <c r="S6310" s="51"/>
    </row>
    <row r="6311" spans="9:19" x14ac:dyDescent="0.25">
      <c r="I6311" s="1"/>
      <c r="J6311" s="71"/>
      <c r="M6311" s="46"/>
      <c r="R6311" s="51"/>
      <c r="S6311" s="51"/>
    </row>
    <row r="6312" spans="9:19" x14ac:dyDescent="0.25">
      <c r="I6312" s="1"/>
      <c r="J6312" s="71"/>
      <c r="M6312" s="46"/>
      <c r="R6312" s="51"/>
      <c r="S6312" s="51"/>
    </row>
    <row r="6313" spans="9:19" x14ac:dyDescent="0.25">
      <c r="I6313" s="1"/>
      <c r="J6313" s="71"/>
      <c r="M6313" s="46"/>
      <c r="R6313" s="51"/>
      <c r="S6313" s="51"/>
    </row>
    <row r="6314" spans="9:19" x14ac:dyDescent="0.25">
      <c r="I6314" s="1"/>
      <c r="J6314" s="71"/>
      <c r="M6314" s="46"/>
      <c r="R6314" s="51"/>
      <c r="S6314" s="51"/>
    </row>
    <row r="6315" spans="9:19" x14ac:dyDescent="0.25">
      <c r="I6315" s="1"/>
      <c r="J6315" s="71"/>
      <c r="M6315" s="46"/>
      <c r="R6315" s="51"/>
      <c r="S6315" s="51"/>
    </row>
    <row r="6316" spans="9:19" x14ac:dyDescent="0.25">
      <c r="I6316" s="1"/>
      <c r="J6316" s="71"/>
      <c r="M6316" s="46"/>
      <c r="R6316" s="51"/>
      <c r="S6316" s="51"/>
    </row>
    <row r="6317" spans="9:19" x14ac:dyDescent="0.25">
      <c r="I6317" s="1"/>
      <c r="J6317" s="71"/>
      <c r="M6317" s="46"/>
      <c r="R6317" s="51"/>
      <c r="S6317" s="51"/>
    </row>
    <row r="6318" spans="9:19" x14ac:dyDescent="0.25">
      <c r="I6318" s="1"/>
      <c r="J6318" s="71"/>
      <c r="M6318" s="46"/>
      <c r="R6318" s="51"/>
      <c r="S6318" s="51"/>
    </row>
    <row r="6319" spans="9:19" x14ac:dyDescent="0.25">
      <c r="I6319" s="1"/>
      <c r="J6319" s="71"/>
      <c r="M6319" s="46"/>
      <c r="R6319" s="51"/>
      <c r="S6319" s="51"/>
    </row>
    <row r="6320" spans="9:19" x14ac:dyDescent="0.25">
      <c r="I6320" s="1"/>
      <c r="J6320" s="71"/>
      <c r="M6320" s="46"/>
      <c r="R6320" s="51"/>
      <c r="S6320" s="51"/>
    </row>
    <row r="6321" spans="9:19" x14ac:dyDescent="0.25">
      <c r="I6321" s="1"/>
      <c r="J6321" s="71"/>
      <c r="M6321" s="46"/>
      <c r="R6321" s="51"/>
      <c r="S6321" s="51"/>
    </row>
    <row r="6322" spans="9:19" x14ac:dyDescent="0.25">
      <c r="I6322" s="1"/>
      <c r="J6322" s="71"/>
      <c r="M6322" s="46"/>
      <c r="R6322" s="51"/>
      <c r="S6322" s="51"/>
    </row>
    <row r="6323" spans="9:19" x14ac:dyDescent="0.25">
      <c r="I6323" s="1"/>
      <c r="J6323" s="71"/>
      <c r="M6323" s="46"/>
      <c r="R6323" s="51"/>
      <c r="S6323" s="51"/>
    </row>
    <row r="6324" spans="9:19" x14ac:dyDescent="0.25">
      <c r="I6324" s="1"/>
      <c r="J6324" s="71"/>
      <c r="M6324" s="46"/>
      <c r="R6324" s="51"/>
      <c r="S6324" s="51"/>
    </row>
    <row r="6325" spans="9:19" x14ac:dyDescent="0.25">
      <c r="I6325" s="1"/>
      <c r="J6325" s="71"/>
      <c r="M6325" s="46"/>
      <c r="R6325" s="51"/>
      <c r="S6325" s="51"/>
    </row>
    <row r="6326" spans="9:19" x14ac:dyDescent="0.25">
      <c r="I6326" s="1"/>
      <c r="J6326" s="71"/>
      <c r="M6326" s="46"/>
      <c r="R6326" s="51"/>
      <c r="S6326" s="51"/>
    </row>
    <row r="6327" spans="9:19" x14ac:dyDescent="0.25">
      <c r="I6327" s="1"/>
      <c r="J6327" s="71"/>
      <c r="M6327" s="46"/>
      <c r="R6327" s="51"/>
      <c r="S6327" s="51"/>
    </row>
    <row r="6328" spans="9:19" x14ac:dyDescent="0.25">
      <c r="I6328" s="1"/>
      <c r="J6328" s="71"/>
      <c r="M6328" s="46"/>
      <c r="R6328" s="51"/>
      <c r="S6328" s="51"/>
    </row>
    <row r="6329" spans="9:19" x14ac:dyDescent="0.25">
      <c r="I6329" s="1"/>
      <c r="J6329" s="71"/>
      <c r="M6329" s="46"/>
      <c r="R6329" s="51"/>
      <c r="S6329" s="51"/>
    </row>
    <row r="6330" spans="9:19" x14ac:dyDescent="0.25">
      <c r="I6330" s="1"/>
      <c r="J6330" s="71"/>
      <c r="M6330" s="46"/>
      <c r="R6330" s="51"/>
      <c r="S6330" s="51"/>
    </row>
    <row r="6331" spans="9:19" x14ac:dyDescent="0.25">
      <c r="I6331" s="1"/>
      <c r="J6331" s="71"/>
      <c r="M6331" s="46"/>
      <c r="R6331" s="51"/>
      <c r="S6331" s="51"/>
    </row>
    <row r="6332" spans="9:19" x14ac:dyDescent="0.25">
      <c r="I6332" s="1"/>
      <c r="J6332" s="71"/>
      <c r="M6332" s="46"/>
      <c r="R6332" s="51"/>
      <c r="S6332" s="51"/>
    </row>
    <row r="6333" spans="9:19" x14ac:dyDescent="0.25">
      <c r="I6333" s="1"/>
      <c r="J6333" s="71"/>
      <c r="M6333" s="46"/>
      <c r="R6333" s="51"/>
      <c r="S6333" s="51"/>
    </row>
    <row r="6334" spans="9:19" x14ac:dyDescent="0.25">
      <c r="I6334" s="1"/>
      <c r="J6334" s="71"/>
      <c r="M6334" s="46"/>
      <c r="R6334" s="51"/>
      <c r="S6334" s="51"/>
    </row>
    <row r="6335" spans="9:19" x14ac:dyDescent="0.25">
      <c r="I6335" s="1"/>
      <c r="J6335" s="71"/>
      <c r="M6335" s="46"/>
      <c r="R6335" s="51"/>
      <c r="S6335" s="51"/>
    </row>
    <row r="6336" spans="9:19" x14ac:dyDescent="0.25">
      <c r="I6336" s="1"/>
      <c r="J6336" s="71"/>
      <c r="M6336" s="46"/>
      <c r="R6336" s="51"/>
      <c r="S6336" s="51"/>
    </row>
    <row r="6337" spans="9:19" x14ac:dyDescent="0.25">
      <c r="I6337" s="1"/>
      <c r="J6337" s="71"/>
      <c r="M6337" s="46"/>
      <c r="R6337" s="51"/>
      <c r="S6337" s="51"/>
    </row>
    <row r="6338" spans="9:19" x14ac:dyDescent="0.25">
      <c r="I6338" s="1"/>
      <c r="J6338" s="71"/>
      <c r="M6338" s="46"/>
      <c r="R6338" s="51"/>
      <c r="S6338" s="51"/>
    </row>
    <row r="6339" spans="9:19" x14ac:dyDescent="0.25">
      <c r="I6339" s="1"/>
      <c r="J6339" s="71"/>
      <c r="M6339" s="46"/>
      <c r="R6339" s="51"/>
      <c r="S6339" s="51"/>
    </row>
    <row r="6340" spans="9:19" x14ac:dyDescent="0.25">
      <c r="I6340" s="1"/>
      <c r="J6340" s="71"/>
      <c r="M6340" s="46"/>
      <c r="R6340" s="51"/>
      <c r="S6340" s="51"/>
    </row>
    <row r="6341" spans="9:19" x14ac:dyDescent="0.25">
      <c r="I6341" s="1"/>
      <c r="J6341" s="71"/>
      <c r="M6341" s="46"/>
      <c r="R6341" s="51"/>
      <c r="S6341" s="51"/>
    </row>
    <row r="6342" spans="9:19" x14ac:dyDescent="0.25">
      <c r="I6342" s="1"/>
      <c r="J6342" s="71"/>
      <c r="M6342" s="46"/>
      <c r="R6342" s="51"/>
      <c r="S6342" s="51"/>
    </row>
    <row r="6343" spans="9:19" x14ac:dyDescent="0.25">
      <c r="I6343" s="1"/>
      <c r="J6343" s="71"/>
      <c r="M6343" s="46"/>
      <c r="R6343" s="51"/>
      <c r="S6343" s="51"/>
    </row>
    <row r="6344" spans="9:19" x14ac:dyDescent="0.25">
      <c r="I6344" s="1"/>
      <c r="J6344" s="71"/>
      <c r="M6344" s="46"/>
      <c r="R6344" s="51"/>
      <c r="S6344" s="51"/>
    </row>
    <row r="6345" spans="9:19" x14ac:dyDescent="0.25">
      <c r="I6345" s="1"/>
      <c r="J6345" s="71"/>
      <c r="M6345" s="46"/>
      <c r="R6345" s="51"/>
      <c r="S6345" s="51"/>
    </row>
    <row r="6346" spans="9:19" x14ac:dyDescent="0.25">
      <c r="I6346" s="1"/>
      <c r="J6346" s="71"/>
      <c r="M6346" s="46"/>
      <c r="R6346" s="51"/>
      <c r="S6346" s="51"/>
    </row>
    <row r="6347" spans="9:19" x14ac:dyDescent="0.25">
      <c r="I6347" s="1"/>
      <c r="J6347" s="71"/>
      <c r="M6347" s="46"/>
      <c r="R6347" s="51"/>
      <c r="S6347" s="51"/>
    </row>
    <row r="6348" spans="9:19" x14ac:dyDescent="0.25">
      <c r="I6348" s="1"/>
      <c r="J6348" s="71"/>
      <c r="M6348" s="46"/>
      <c r="R6348" s="51"/>
      <c r="S6348" s="51"/>
    </row>
    <row r="6349" spans="9:19" x14ac:dyDescent="0.25">
      <c r="I6349" s="1"/>
      <c r="J6349" s="71"/>
      <c r="M6349" s="46"/>
      <c r="R6349" s="51"/>
      <c r="S6349" s="51"/>
    </row>
    <row r="6350" spans="9:19" x14ac:dyDescent="0.25">
      <c r="I6350" s="1"/>
      <c r="J6350" s="71"/>
      <c r="M6350" s="46"/>
      <c r="R6350" s="51"/>
      <c r="S6350" s="51"/>
    </row>
    <row r="6351" spans="9:19" x14ac:dyDescent="0.25">
      <c r="I6351" s="1"/>
      <c r="J6351" s="71"/>
      <c r="M6351" s="46"/>
      <c r="R6351" s="51"/>
      <c r="S6351" s="51"/>
    </row>
    <row r="6352" spans="9:19" x14ac:dyDescent="0.25">
      <c r="I6352" s="1"/>
      <c r="J6352" s="71"/>
      <c r="M6352" s="46"/>
      <c r="R6352" s="51"/>
      <c r="S6352" s="51"/>
    </row>
    <row r="6353" spans="9:19" x14ac:dyDescent="0.25">
      <c r="I6353" s="1"/>
      <c r="J6353" s="71"/>
      <c r="M6353" s="46"/>
      <c r="R6353" s="51"/>
      <c r="S6353" s="51"/>
    </row>
    <row r="6354" spans="9:19" x14ac:dyDescent="0.25">
      <c r="I6354" s="1"/>
      <c r="J6354" s="71"/>
      <c r="M6354" s="46"/>
      <c r="R6354" s="51"/>
      <c r="S6354" s="51"/>
    </row>
    <row r="6355" spans="9:19" x14ac:dyDescent="0.25">
      <c r="I6355" s="1"/>
      <c r="J6355" s="71"/>
      <c r="M6355" s="46"/>
      <c r="R6355" s="51"/>
      <c r="S6355" s="51"/>
    </row>
    <row r="6356" spans="9:19" x14ac:dyDescent="0.25">
      <c r="I6356" s="1"/>
      <c r="J6356" s="71"/>
      <c r="M6356" s="46"/>
      <c r="R6356" s="51"/>
      <c r="S6356" s="51"/>
    </row>
    <row r="6357" spans="9:19" x14ac:dyDescent="0.25">
      <c r="I6357" s="1"/>
      <c r="J6357" s="71"/>
      <c r="M6357" s="46"/>
      <c r="R6357" s="51"/>
      <c r="S6357" s="51"/>
    </row>
    <row r="6358" spans="9:19" x14ac:dyDescent="0.25">
      <c r="I6358" s="1"/>
      <c r="J6358" s="71"/>
      <c r="M6358" s="46"/>
      <c r="R6358" s="51"/>
      <c r="S6358" s="51"/>
    </row>
    <row r="6359" spans="9:19" x14ac:dyDescent="0.25">
      <c r="I6359" s="1"/>
      <c r="J6359" s="71"/>
      <c r="M6359" s="46"/>
      <c r="R6359" s="51"/>
      <c r="S6359" s="51"/>
    </row>
    <row r="6360" spans="9:19" x14ac:dyDescent="0.25">
      <c r="I6360" s="1"/>
      <c r="J6360" s="71"/>
      <c r="M6360" s="46"/>
      <c r="R6360" s="51"/>
      <c r="S6360" s="51"/>
    </row>
    <row r="6361" spans="9:19" x14ac:dyDescent="0.25">
      <c r="I6361" s="1"/>
      <c r="J6361" s="71"/>
      <c r="M6361" s="46"/>
      <c r="R6361" s="51"/>
      <c r="S6361" s="51"/>
    </row>
    <row r="6362" spans="9:19" x14ac:dyDescent="0.25">
      <c r="I6362" s="1"/>
      <c r="J6362" s="71"/>
      <c r="M6362" s="46"/>
      <c r="R6362" s="51"/>
      <c r="S6362" s="51"/>
    </row>
    <row r="6363" spans="9:19" x14ac:dyDescent="0.25">
      <c r="I6363" s="1"/>
      <c r="J6363" s="71"/>
      <c r="M6363" s="46"/>
      <c r="R6363" s="51"/>
      <c r="S6363" s="51"/>
    </row>
    <row r="6364" spans="9:19" x14ac:dyDescent="0.25">
      <c r="I6364" s="1"/>
      <c r="J6364" s="71"/>
      <c r="M6364" s="46"/>
      <c r="R6364" s="51"/>
      <c r="S6364" s="51"/>
    </row>
    <row r="6365" spans="9:19" x14ac:dyDescent="0.25">
      <c r="I6365" s="1"/>
      <c r="J6365" s="71"/>
      <c r="M6365" s="46"/>
      <c r="R6365" s="51"/>
      <c r="S6365" s="51"/>
    </row>
    <row r="6366" spans="9:19" x14ac:dyDescent="0.25">
      <c r="I6366" s="1"/>
      <c r="J6366" s="71"/>
      <c r="M6366" s="46"/>
      <c r="R6366" s="51"/>
      <c r="S6366" s="51"/>
    </row>
    <row r="6367" spans="9:19" x14ac:dyDescent="0.25">
      <c r="I6367" s="1"/>
      <c r="J6367" s="71"/>
      <c r="M6367" s="46"/>
      <c r="R6367" s="51"/>
      <c r="S6367" s="51"/>
    </row>
    <row r="6368" spans="9:19" x14ac:dyDescent="0.25">
      <c r="I6368" s="1"/>
      <c r="J6368" s="71"/>
      <c r="M6368" s="46"/>
      <c r="R6368" s="51"/>
      <c r="S6368" s="51"/>
    </row>
    <row r="6369" spans="9:19" x14ac:dyDescent="0.25">
      <c r="I6369" s="1"/>
      <c r="J6369" s="71"/>
      <c r="M6369" s="46"/>
      <c r="R6369" s="51"/>
      <c r="S6369" s="51"/>
    </row>
    <row r="6370" spans="9:19" x14ac:dyDescent="0.25">
      <c r="I6370" s="1"/>
      <c r="J6370" s="71"/>
      <c r="M6370" s="46"/>
      <c r="R6370" s="51"/>
      <c r="S6370" s="51"/>
    </row>
    <row r="6371" spans="9:19" x14ac:dyDescent="0.25">
      <c r="I6371" s="1"/>
      <c r="J6371" s="71"/>
      <c r="M6371" s="46"/>
      <c r="R6371" s="51"/>
      <c r="S6371" s="51"/>
    </row>
    <row r="6372" spans="9:19" x14ac:dyDescent="0.25">
      <c r="I6372" s="1"/>
      <c r="J6372" s="71"/>
      <c r="M6372" s="46"/>
      <c r="R6372" s="51"/>
      <c r="S6372" s="51"/>
    </row>
    <row r="6373" spans="9:19" x14ac:dyDescent="0.25">
      <c r="I6373" s="1"/>
      <c r="J6373" s="71"/>
      <c r="M6373" s="46"/>
      <c r="R6373" s="51"/>
      <c r="S6373" s="51"/>
    </row>
    <row r="6374" spans="9:19" x14ac:dyDescent="0.25">
      <c r="I6374" s="1"/>
      <c r="J6374" s="71"/>
      <c r="M6374" s="46"/>
      <c r="R6374" s="51"/>
      <c r="S6374" s="51"/>
    </row>
    <row r="6375" spans="9:19" x14ac:dyDescent="0.25">
      <c r="I6375" s="1"/>
      <c r="J6375" s="71"/>
      <c r="M6375" s="46"/>
      <c r="R6375" s="51"/>
      <c r="S6375" s="51"/>
    </row>
    <row r="6376" spans="9:19" x14ac:dyDescent="0.25">
      <c r="I6376" s="1"/>
      <c r="J6376" s="71"/>
      <c r="M6376" s="46"/>
      <c r="R6376" s="51"/>
      <c r="S6376" s="51"/>
    </row>
    <row r="6377" spans="9:19" x14ac:dyDescent="0.25">
      <c r="I6377" s="1"/>
      <c r="J6377" s="71"/>
      <c r="M6377" s="46"/>
      <c r="R6377" s="51"/>
      <c r="S6377" s="51"/>
    </row>
    <row r="6378" spans="9:19" x14ac:dyDescent="0.25">
      <c r="I6378" s="1"/>
      <c r="J6378" s="71"/>
      <c r="M6378" s="46"/>
      <c r="R6378" s="51"/>
      <c r="S6378" s="51"/>
    </row>
    <row r="6379" spans="9:19" x14ac:dyDescent="0.25">
      <c r="I6379" s="1"/>
      <c r="J6379" s="71"/>
      <c r="M6379" s="46"/>
      <c r="R6379" s="51"/>
      <c r="S6379" s="51"/>
    </row>
    <row r="6380" spans="9:19" x14ac:dyDescent="0.25">
      <c r="I6380" s="1"/>
      <c r="J6380" s="71"/>
      <c r="M6380" s="46"/>
      <c r="R6380" s="51"/>
      <c r="S6380" s="51"/>
    </row>
    <row r="6381" spans="9:19" x14ac:dyDescent="0.25">
      <c r="I6381" s="1"/>
      <c r="J6381" s="71"/>
      <c r="M6381" s="46"/>
      <c r="R6381" s="51"/>
      <c r="S6381" s="51"/>
    </row>
    <row r="6382" spans="9:19" x14ac:dyDescent="0.25">
      <c r="I6382" s="1"/>
      <c r="J6382" s="71"/>
      <c r="M6382" s="46"/>
      <c r="R6382" s="51"/>
      <c r="S6382" s="51"/>
    </row>
    <row r="6383" spans="9:19" x14ac:dyDescent="0.25">
      <c r="I6383" s="1"/>
      <c r="J6383" s="71"/>
      <c r="M6383" s="46"/>
      <c r="R6383" s="51"/>
      <c r="S6383" s="51"/>
    </row>
    <row r="6384" spans="9:19" x14ac:dyDescent="0.25">
      <c r="I6384" s="1"/>
      <c r="J6384" s="71"/>
      <c r="M6384" s="46"/>
      <c r="R6384" s="51"/>
      <c r="S6384" s="51"/>
    </row>
    <row r="6385" spans="9:19" x14ac:dyDescent="0.25">
      <c r="I6385" s="1"/>
      <c r="J6385" s="71"/>
      <c r="M6385" s="46"/>
      <c r="R6385" s="51"/>
      <c r="S6385" s="51"/>
    </row>
    <row r="6386" spans="9:19" x14ac:dyDescent="0.25">
      <c r="I6386" s="1"/>
      <c r="J6386" s="71"/>
      <c r="M6386" s="46"/>
      <c r="R6386" s="51"/>
      <c r="S6386" s="51"/>
    </row>
    <row r="6387" spans="9:19" x14ac:dyDescent="0.25">
      <c r="I6387" s="1"/>
      <c r="J6387" s="71"/>
      <c r="M6387" s="46"/>
      <c r="R6387" s="51"/>
      <c r="S6387" s="51"/>
    </row>
    <row r="6388" spans="9:19" x14ac:dyDescent="0.25">
      <c r="I6388" s="1"/>
      <c r="J6388" s="71"/>
      <c r="M6388" s="46"/>
      <c r="R6388" s="51"/>
      <c r="S6388" s="51"/>
    </row>
    <row r="6389" spans="9:19" x14ac:dyDescent="0.25">
      <c r="I6389" s="1"/>
      <c r="J6389" s="71"/>
      <c r="M6389" s="46"/>
      <c r="R6389" s="51"/>
      <c r="S6389" s="51"/>
    </row>
    <row r="6390" spans="9:19" x14ac:dyDescent="0.25">
      <c r="I6390" s="1"/>
      <c r="J6390" s="71"/>
      <c r="M6390" s="46"/>
      <c r="R6390" s="51"/>
      <c r="S6390" s="51"/>
    </row>
    <row r="6391" spans="9:19" x14ac:dyDescent="0.25">
      <c r="I6391" s="1"/>
      <c r="J6391" s="71"/>
      <c r="M6391" s="46"/>
      <c r="R6391" s="51"/>
      <c r="S6391" s="51"/>
    </row>
    <row r="6392" spans="9:19" x14ac:dyDescent="0.25">
      <c r="I6392" s="1"/>
      <c r="J6392" s="71"/>
      <c r="M6392" s="46"/>
      <c r="R6392" s="51"/>
      <c r="S6392" s="51"/>
    </row>
    <row r="6393" spans="9:19" x14ac:dyDescent="0.25">
      <c r="I6393" s="1"/>
      <c r="J6393" s="71"/>
      <c r="M6393" s="46"/>
      <c r="R6393" s="51"/>
      <c r="S6393" s="51"/>
    </row>
    <row r="6394" spans="9:19" x14ac:dyDescent="0.25">
      <c r="I6394" s="1"/>
      <c r="J6394" s="71"/>
      <c r="M6394" s="46"/>
      <c r="R6394" s="51"/>
      <c r="S6394" s="51"/>
    </row>
    <row r="6395" spans="9:19" x14ac:dyDescent="0.25">
      <c r="I6395" s="1"/>
      <c r="J6395" s="71"/>
      <c r="M6395" s="46"/>
      <c r="R6395" s="51"/>
      <c r="S6395" s="51"/>
    </row>
    <row r="6396" spans="9:19" x14ac:dyDescent="0.25">
      <c r="I6396" s="1"/>
      <c r="J6396" s="71"/>
      <c r="M6396" s="46"/>
      <c r="R6396" s="51"/>
      <c r="S6396" s="51"/>
    </row>
    <row r="6397" spans="9:19" x14ac:dyDescent="0.25">
      <c r="I6397" s="1"/>
      <c r="J6397" s="71"/>
      <c r="M6397" s="46"/>
      <c r="R6397" s="51"/>
      <c r="S6397" s="51"/>
    </row>
    <row r="6398" spans="9:19" x14ac:dyDescent="0.25">
      <c r="I6398" s="1"/>
      <c r="J6398" s="71"/>
      <c r="M6398" s="46"/>
      <c r="R6398" s="51"/>
      <c r="S6398" s="51"/>
    </row>
    <row r="6399" spans="9:19" x14ac:dyDescent="0.25">
      <c r="I6399" s="1"/>
      <c r="J6399" s="71"/>
      <c r="M6399" s="46"/>
      <c r="R6399" s="51"/>
      <c r="S6399" s="51"/>
    </row>
    <row r="6400" spans="9:19" x14ac:dyDescent="0.25">
      <c r="I6400" s="1"/>
      <c r="J6400" s="71"/>
      <c r="M6400" s="46"/>
      <c r="R6400" s="51"/>
      <c r="S6400" s="51"/>
    </row>
    <row r="6401" spans="9:19" x14ac:dyDescent="0.25">
      <c r="I6401" s="1"/>
      <c r="J6401" s="71"/>
      <c r="M6401" s="46"/>
      <c r="R6401" s="51"/>
      <c r="S6401" s="51"/>
    </row>
    <row r="6402" spans="9:19" x14ac:dyDescent="0.25">
      <c r="I6402" s="1"/>
      <c r="J6402" s="71"/>
      <c r="M6402" s="46"/>
      <c r="R6402" s="51"/>
      <c r="S6402" s="51"/>
    </row>
    <row r="6403" spans="9:19" x14ac:dyDescent="0.25">
      <c r="I6403" s="1"/>
      <c r="J6403" s="71"/>
      <c r="M6403" s="46"/>
      <c r="R6403" s="51"/>
      <c r="S6403" s="51"/>
    </row>
    <row r="6404" spans="9:19" x14ac:dyDescent="0.25">
      <c r="I6404" s="1"/>
      <c r="J6404" s="71"/>
      <c r="M6404" s="46"/>
      <c r="R6404" s="51"/>
      <c r="S6404" s="51"/>
    </row>
    <row r="6405" spans="9:19" x14ac:dyDescent="0.25">
      <c r="I6405" s="1"/>
      <c r="J6405" s="71"/>
      <c r="M6405" s="46"/>
      <c r="R6405" s="51"/>
      <c r="S6405" s="51"/>
    </row>
    <row r="6406" spans="9:19" x14ac:dyDescent="0.25">
      <c r="I6406" s="1"/>
      <c r="J6406" s="71"/>
      <c r="M6406" s="46"/>
      <c r="R6406" s="51"/>
      <c r="S6406" s="51"/>
    </row>
    <row r="6407" spans="9:19" x14ac:dyDescent="0.25">
      <c r="I6407" s="1"/>
      <c r="J6407" s="71"/>
      <c r="M6407" s="46"/>
      <c r="R6407" s="51"/>
      <c r="S6407" s="51"/>
    </row>
    <row r="6408" spans="9:19" x14ac:dyDescent="0.25">
      <c r="I6408" s="1"/>
      <c r="J6408" s="71"/>
      <c r="M6408" s="46"/>
      <c r="R6408" s="51"/>
      <c r="S6408" s="51"/>
    </row>
    <row r="6409" spans="9:19" x14ac:dyDescent="0.25">
      <c r="I6409" s="1"/>
      <c r="J6409" s="71"/>
      <c r="M6409" s="46"/>
      <c r="R6409" s="51"/>
      <c r="S6409" s="51"/>
    </row>
    <row r="6410" spans="9:19" x14ac:dyDescent="0.25">
      <c r="I6410" s="1"/>
      <c r="J6410" s="71"/>
      <c r="M6410" s="46"/>
      <c r="R6410" s="51"/>
      <c r="S6410" s="51"/>
    </row>
    <row r="6411" spans="9:19" x14ac:dyDescent="0.25">
      <c r="I6411" s="1"/>
      <c r="J6411" s="71"/>
      <c r="M6411" s="46"/>
      <c r="R6411" s="51"/>
      <c r="S6411" s="51"/>
    </row>
    <row r="6412" spans="9:19" x14ac:dyDescent="0.25">
      <c r="I6412" s="1"/>
      <c r="J6412" s="71"/>
      <c r="M6412" s="46"/>
      <c r="R6412" s="51"/>
      <c r="S6412" s="51"/>
    </row>
    <row r="6413" spans="9:19" x14ac:dyDescent="0.25">
      <c r="I6413" s="1"/>
      <c r="J6413" s="71"/>
      <c r="M6413" s="46"/>
      <c r="R6413" s="51"/>
      <c r="S6413" s="51"/>
    </row>
    <row r="6414" spans="9:19" x14ac:dyDescent="0.25">
      <c r="I6414" s="1"/>
      <c r="J6414" s="71"/>
      <c r="M6414" s="46"/>
      <c r="R6414" s="51"/>
      <c r="S6414" s="51"/>
    </row>
    <row r="6415" spans="9:19" x14ac:dyDescent="0.25">
      <c r="I6415" s="1"/>
      <c r="J6415" s="71"/>
      <c r="M6415" s="46"/>
      <c r="R6415" s="51"/>
      <c r="S6415" s="51"/>
    </row>
    <row r="6416" spans="9:19" x14ac:dyDescent="0.25">
      <c r="I6416" s="1"/>
      <c r="J6416" s="71"/>
      <c r="M6416" s="46"/>
      <c r="R6416" s="51"/>
      <c r="S6416" s="51"/>
    </row>
    <row r="6417" spans="9:19" x14ac:dyDescent="0.25">
      <c r="I6417" s="1"/>
      <c r="J6417" s="71"/>
      <c r="M6417" s="46"/>
      <c r="R6417" s="51"/>
      <c r="S6417" s="51"/>
    </row>
    <row r="6418" spans="9:19" x14ac:dyDescent="0.25">
      <c r="I6418" s="1"/>
      <c r="J6418" s="71"/>
      <c r="M6418" s="46"/>
      <c r="R6418" s="51"/>
      <c r="S6418" s="51"/>
    </row>
    <row r="6419" spans="9:19" x14ac:dyDescent="0.25">
      <c r="I6419" s="1"/>
      <c r="J6419" s="71"/>
      <c r="M6419" s="46"/>
      <c r="R6419" s="51"/>
      <c r="S6419" s="51"/>
    </row>
    <row r="6420" spans="9:19" x14ac:dyDescent="0.25">
      <c r="I6420" s="1"/>
      <c r="J6420" s="71"/>
      <c r="M6420" s="46"/>
      <c r="R6420" s="51"/>
      <c r="S6420" s="51"/>
    </row>
    <row r="6421" spans="9:19" x14ac:dyDescent="0.25">
      <c r="I6421" s="1"/>
      <c r="J6421" s="71"/>
      <c r="M6421" s="46"/>
      <c r="R6421" s="51"/>
      <c r="S6421" s="51"/>
    </row>
    <row r="6422" spans="9:19" x14ac:dyDescent="0.25">
      <c r="I6422" s="1"/>
      <c r="J6422" s="71"/>
      <c r="M6422" s="46"/>
      <c r="R6422" s="51"/>
      <c r="S6422" s="51"/>
    </row>
    <row r="6423" spans="9:19" x14ac:dyDescent="0.25">
      <c r="I6423" s="1"/>
      <c r="J6423" s="71"/>
      <c r="M6423" s="46"/>
      <c r="R6423" s="51"/>
      <c r="S6423" s="51"/>
    </row>
    <row r="6424" spans="9:19" x14ac:dyDescent="0.25">
      <c r="I6424" s="1"/>
      <c r="J6424" s="71"/>
      <c r="M6424" s="46"/>
      <c r="R6424" s="51"/>
      <c r="S6424" s="51"/>
    </row>
    <row r="6425" spans="9:19" x14ac:dyDescent="0.25">
      <c r="I6425" s="1"/>
      <c r="J6425" s="71"/>
      <c r="M6425" s="46"/>
      <c r="R6425" s="51"/>
      <c r="S6425" s="51"/>
    </row>
    <row r="6426" spans="9:19" x14ac:dyDescent="0.25">
      <c r="I6426" s="1"/>
      <c r="J6426" s="71"/>
      <c r="M6426" s="46"/>
      <c r="R6426" s="51"/>
      <c r="S6426" s="51"/>
    </row>
    <row r="6427" spans="9:19" x14ac:dyDescent="0.25">
      <c r="I6427" s="1"/>
      <c r="J6427" s="71"/>
      <c r="M6427" s="46"/>
      <c r="R6427" s="51"/>
      <c r="S6427" s="51"/>
    </row>
    <row r="6428" spans="9:19" x14ac:dyDescent="0.25">
      <c r="I6428" s="1"/>
      <c r="J6428" s="71"/>
      <c r="M6428" s="46"/>
      <c r="R6428" s="51"/>
      <c r="S6428" s="51"/>
    </row>
    <row r="6429" spans="9:19" x14ac:dyDescent="0.25">
      <c r="I6429" s="1"/>
      <c r="J6429" s="71"/>
      <c r="M6429" s="46"/>
      <c r="R6429" s="51"/>
      <c r="S6429" s="51"/>
    </row>
    <row r="6430" spans="9:19" x14ac:dyDescent="0.25">
      <c r="I6430" s="1"/>
      <c r="J6430" s="71"/>
      <c r="M6430" s="46"/>
      <c r="R6430" s="51"/>
      <c r="S6430" s="51"/>
    </row>
    <row r="6431" spans="9:19" x14ac:dyDescent="0.25">
      <c r="I6431" s="1"/>
      <c r="J6431" s="71"/>
      <c r="M6431" s="46"/>
      <c r="R6431" s="51"/>
      <c r="S6431" s="51"/>
    </row>
    <row r="6432" spans="9:19" x14ac:dyDescent="0.25">
      <c r="I6432" s="1"/>
      <c r="J6432" s="71"/>
      <c r="M6432" s="46"/>
      <c r="R6432" s="51"/>
      <c r="S6432" s="51"/>
    </row>
    <row r="6433" spans="9:19" x14ac:dyDescent="0.25">
      <c r="I6433" s="1"/>
      <c r="J6433" s="71"/>
      <c r="M6433" s="46"/>
      <c r="R6433" s="51"/>
      <c r="S6433" s="51"/>
    </row>
    <row r="6434" spans="9:19" x14ac:dyDescent="0.25">
      <c r="I6434" s="1"/>
      <c r="J6434" s="71"/>
      <c r="M6434" s="46"/>
      <c r="R6434" s="51"/>
      <c r="S6434" s="51"/>
    </row>
    <row r="6435" spans="9:19" x14ac:dyDescent="0.25">
      <c r="I6435" s="1"/>
      <c r="J6435" s="71"/>
      <c r="M6435" s="46"/>
      <c r="R6435" s="51"/>
      <c r="S6435" s="51"/>
    </row>
    <row r="6436" spans="9:19" x14ac:dyDescent="0.25">
      <c r="I6436" s="1"/>
      <c r="J6436" s="71"/>
      <c r="M6436" s="46"/>
      <c r="R6436" s="51"/>
      <c r="S6436" s="51"/>
    </row>
    <row r="6437" spans="9:19" x14ac:dyDescent="0.25">
      <c r="I6437" s="1"/>
      <c r="J6437" s="71"/>
      <c r="M6437" s="46"/>
      <c r="R6437" s="51"/>
      <c r="S6437" s="51"/>
    </row>
    <row r="6438" spans="9:19" x14ac:dyDescent="0.25">
      <c r="I6438" s="1"/>
      <c r="J6438" s="71"/>
      <c r="M6438" s="46"/>
      <c r="R6438" s="51"/>
      <c r="S6438" s="51"/>
    </row>
    <row r="6439" spans="9:19" x14ac:dyDescent="0.25">
      <c r="I6439" s="1"/>
      <c r="J6439" s="71"/>
      <c r="M6439" s="46"/>
      <c r="R6439" s="51"/>
      <c r="S6439" s="51"/>
    </row>
    <row r="6440" spans="9:19" x14ac:dyDescent="0.25">
      <c r="I6440" s="1"/>
      <c r="J6440" s="71"/>
      <c r="M6440" s="46"/>
      <c r="R6440" s="51"/>
      <c r="S6440" s="51"/>
    </row>
    <row r="6441" spans="9:19" x14ac:dyDescent="0.25">
      <c r="I6441" s="1"/>
      <c r="J6441" s="71"/>
      <c r="M6441" s="46"/>
      <c r="R6441" s="51"/>
      <c r="S6441" s="51"/>
    </row>
    <row r="6442" spans="9:19" x14ac:dyDescent="0.25">
      <c r="I6442" s="1"/>
      <c r="J6442" s="71"/>
      <c r="M6442" s="46"/>
      <c r="R6442" s="51"/>
      <c r="S6442" s="51"/>
    </row>
    <row r="6443" spans="9:19" x14ac:dyDescent="0.25">
      <c r="I6443" s="1"/>
      <c r="J6443" s="71"/>
      <c r="M6443" s="46"/>
      <c r="R6443" s="51"/>
      <c r="S6443" s="51"/>
    </row>
    <row r="6444" spans="9:19" x14ac:dyDescent="0.25">
      <c r="I6444" s="1"/>
      <c r="J6444" s="71"/>
      <c r="M6444" s="46"/>
      <c r="R6444" s="51"/>
      <c r="S6444" s="51"/>
    </row>
    <row r="6445" spans="9:19" x14ac:dyDescent="0.25">
      <c r="I6445" s="1"/>
      <c r="J6445" s="71"/>
      <c r="M6445" s="46"/>
      <c r="R6445" s="51"/>
      <c r="S6445" s="51"/>
    </row>
    <row r="6446" spans="9:19" x14ac:dyDescent="0.25">
      <c r="I6446" s="1"/>
      <c r="J6446" s="71"/>
      <c r="M6446" s="46"/>
      <c r="R6446" s="51"/>
      <c r="S6446" s="51"/>
    </row>
    <row r="6447" spans="9:19" x14ac:dyDescent="0.25">
      <c r="I6447" s="1"/>
      <c r="J6447" s="71"/>
      <c r="M6447" s="46"/>
      <c r="R6447" s="51"/>
      <c r="S6447" s="51"/>
    </row>
    <row r="6448" spans="9:19" x14ac:dyDescent="0.25">
      <c r="I6448" s="1"/>
      <c r="J6448" s="71"/>
      <c r="M6448" s="46"/>
      <c r="R6448" s="51"/>
      <c r="S6448" s="51"/>
    </row>
    <row r="6449" spans="9:19" x14ac:dyDescent="0.25">
      <c r="I6449" s="1"/>
      <c r="J6449" s="71"/>
      <c r="M6449" s="46"/>
      <c r="R6449" s="51"/>
      <c r="S6449" s="51"/>
    </row>
    <row r="6450" spans="9:19" x14ac:dyDescent="0.25">
      <c r="I6450" s="1"/>
      <c r="J6450" s="71"/>
      <c r="M6450" s="46"/>
      <c r="R6450" s="51"/>
      <c r="S6450" s="51"/>
    </row>
    <row r="6451" spans="9:19" x14ac:dyDescent="0.25">
      <c r="I6451" s="1"/>
      <c r="J6451" s="71"/>
      <c r="M6451" s="46"/>
      <c r="R6451" s="51"/>
      <c r="S6451" s="51"/>
    </row>
    <row r="6452" spans="9:19" x14ac:dyDescent="0.25">
      <c r="I6452" s="1"/>
      <c r="J6452" s="71"/>
      <c r="M6452" s="46"/>
      <c r="R6452" s="51"/>
      <c r="S6452" s="51"/>
    </row>
    <row r="6453" spans="9:19" x14ac:dyDescent="0.25">
      <c r="I6453" s="1"/>
      <c r="J6453" s="71"/>
      <c r="M6453" s="46"/>
      <c r="R6453" s="51"/>
      <c r="S6453" s="51"/>
    </row>
    <row r="6454" spans="9:19" x14ac:dyDescent="0.25">
      <c r="I6454" s="1"/>
      <c r="J6454" s="71"/>
      <c r="M6454" s="46"/>
      <c r="R6454" s="51"/>
      <c r="S6454" s="51"/>
    </row>
    <row r="6455" spans="9:19" x14ac:dyDescent="0.25">
      <c r="I6455" s="1"/>
      <c r="J6455" s="71"/>
      <c r="M6455" s="46"/>
      <c r="R6455" s="51"/>
      <c r="S6455" s="51"/>
    </row>
    <row r="6456" spans="9:19" x14ac:dyDescent="0.25">
      <c r="I6456" s="1"/>
      <c r="J6456" s="71"/>
      <c r="M6456" s="46"/>
      <c r="R6456" s="51"/>
      <c r="S6456" s="51"/>
    </row>
    <row r="6457" spans="9:19" x14ac:dyDescent="0.25">
      <c r="I6457" s="1"/>
      <c r="J6457" s="71"/>
      <c r="M6457" s="46"/>
      <c r="R6457" s="51"/>
      <c r="S6457" s="51"/>
    </row>
    <row r="6458" spans="9:19" x14ac:dyDescent="0.25">
      <c r="I6458" s="1"/>
      <c r="J6458" s="71"/>
      <c r="M6458" s="46"/>
      <c r="R6458" s="51"/>
      <c r="S6458" s="51"/>
    </row>
    <row r="6459" spans="9:19" x14ac:dyDescent="0.25">
      <c r="I6459" s="1"/>
      <c r="J6459" s="71"/>
      <c r="M6459" s="46"/>
      <c r="R6459" s="51"/>
      <c r="S6459" s="51"/>
    </row>
    <row r="6460" spans="9:19" x14ac:dyDescent="0.25">
      <c r="I6460" s="1"/>
      <c r="J6460" s="71"/>
      <c r="M6460" s="46"/>
      <c r="R6460" s="51"/>
      <c r="S6460" s="51"/>
    </row>
    <row r="6461" spans="9:19" x14ac:dyDescent="0.25">
      <c r="I6461" s="1"/>
      <c r="J6461" s="71"/>
      <c r="M6461" s="46"/>
      <c r="R6461" s="51"/>
      <c r="S6461" s="51"/>
    </row>
    <row r="6462" spans="9:19" x14ac:dyDescent="0.25">
      <c r="I6462" s="1"/>
      <c r="J6462" s="71"/>
      <c r="M6462" s="46"/>
      <c r="R6462" s="51"/>
      <c r="S6462" s="51"/>
    </row>
    <row r="6463" spans="9:19" x14ac:dyDescent="0.25">
      <c r="I6463" s="1"/>
      <c r="J6463" s="71"/>
      <c r="M6463" s="46"/>
      <c r="R6463" s="51"/>
      <c r="S6463" s="51"/>
    </row>
    <row r="6464" spans="9:19" x14ac:dyDescent="0.25">
      <c r="I6464" s="1"/>
      <c r="J6464" s="71"/>
      <c r="M6464" s="46"/>
      <c r="R6464" s="51"/>
      <c r="S6464" s="51"/>
    </row>
    <row r="6465" spans="9:19" x14ac:dyDescent="0.25">
      <c r="I6465" s="1"/>
      <c r="J6465" s="71"/>
      <c r="M6465" s="46"/>
      <c r="R6465" s="51"/>
      <c r="S6465" s="51"/>
    </row>
    <row r="6466" spans="9:19" x14ac:dyDescent="0.25">
      <c r="I6466" s="1"/>
      <c r="J6466" s="71"/>
      <c r="M6466" s="46"/>
      <c r="R6466" s="51"/>
      <c r="S6466" s="51"/>
    </row>
    <row r="6467" spans="9:19" x14ac:dyDescent="0.25">
      <c r="I6467" s="1"/>
      <c r="J6467" s="71"/>
      <c r="M6467" s="46"/>
      <c r="R6467" s="51"/>
      <c r="S6467" s="51"/>
    </row>
    <row r="6468" spans="9:19" x14ac:dyDescent="0.25">
      <c r="I6468" s="1"/>
      <c r="J6468" s="71"/>
      <c r="M6468" s="46"/>
      <c r="R6468" s="51"/>
      <c r="S6468" s="51"/>
    </row>
    <row r="6469" spans="9:19" x14ac:dyDescent="0.25">
      <c r="I6469" s="1"/>
      <c r="J6469" s="71"/>
      <c r="M6469" s="46"/>
      <c r="R6469" s="51"/>
      <c r="S6469" s="51"/>
    </row>
    <row r="6470" spans="9:19" x14ac:dyDescent="0.25">
      <c r="I6470" s="1"/>
      <c r="J6470" s="71"/>
      <c r="M6470" s="46"/>
      <c r="R6470" s="51"/>
      <c r="S6470" s="51"/>
    </row>
    <row r="6471" spans="9:19" x14ac:dyDescent="0.25">
      <c r="I6471" s="1"/>
      <c r="J6471" s="71"/>
      <c r="M6471" s="46"/>
      <c r="R6471" s="51"/>
      <c r="S6471" s="51"/>
    </row>
    <row r="6472" spans="9:19" x14ac:dyDescent="0.25">
      <c r="I6472" s="1"/>
      <c r="J6472" s="71"/>
      <c r="M6472" s="46"/>
      <c r="R6472" s="51"/>
      <c r="S6472" s="51"/>
    </row>
    <row r="6473" spans="9:19" x14ac:dyDescent="0.25">
      <c r="I6473" s="1"/>
      <c r="J6473" s="71"/>
      <c r="M6473" s="46"/>
      <c r="R6473" s="51"/>
      <c r="S6473" s="51"/>
    </row>
    <row r="6474" spans="9:19" x14ac:dyDescent="0.25">
      <c r="I6474" s="1"/>
      <c r="J6474" s="71"/>
      <c r="M6474" s="46"/>
      <c r="R6474" s="51"/>
      <c r="S6474" s="51"/>
    </row>
    <row r="6475" spans="9:19" x14ac:dyDescent="0.25">
      <c r="I6475" s="1"/>
      <c r="J6475" s="71"/>
      <c r="M6475" s="46"/>
      <c r="R6475" s="51"/>
      <c r="S6475" s="51"/>
    </row>
    <row r="6476" spans="9:19" x14ac:dyDescent="0.25">
      <c r="I6476" s="1"/>
      <c r="J6476" s="71"/>
      <c r="M6476" s="46"/>
      <c r="R6476" s="51"/>
      <c r="S6476" s="51"/>
    </row>
    <row r="6477" spans="9:19" x14ac:dyDescent="0.25">
      <c r="I6477" s="1"/>
      <c r="J6477" s="71"/>
      <c r="M6477" s="46"/>
      <c r="R6477" s="51"/>
      <c r="S6477" s="51"/>
    </row>
    <row r="6478" spans="9:19" x14ac:dyDescent="0.25">
      <c r="I6478" s="1"/>
      <c r="J6478" s="71"/>
      <c r="M6478" s="46"/>
      <c r="R6478" s="51"/>
      <c r="S6478" s="51"/>
    </row>
    <row r="6479" spans="9:19" x14ac:dyDescent="0.25">
      <c r="I6479" s="1"/>
      <c r="J6479" s="71"/>
      <c r="M6479" s="46"/>
      <c r="R6479" s="51"/>
      <c r="S6479" s="51"/>
    </row>
    <row r="6480" spans="9:19" x14ac:dyDescent="0.25">
      <c r="I6480" s="1"/>
      <c r="J6480" s="71"/>
      <c r="M6480" s="46"/>
      <c r="R6480" s="51"/>
      <c r="S6480" s="51"/>
    </row>
    <row r="6481" spans="9:19" x14ac:dyDescent="0.25">
      <c r="I6481" s="1"/>
      <c r="J6481" s="71"/>
      <c r="M6481" s="46"/>
      <c r="R6481" s="51"/>
      <c r="S6481" s="51"/>
    </row>
    <row r="6482" spans="9:19" x14ac:dyDescent="0.25">
      <c r="I6482" s="1"/>
      <c r="J6482" s="71"/>
      <c r="M6482" s="46"/>
      <c r="R6482" s="51"/>
      <c r="S6482" s="51"/>
    </row>
    <row r="6483" spans="9:19" x14ac:dyDescent="0.25">
      <c r="I6483" s="1"/>
      <c r="J6483" s="71"/>
      <c r="M6483" s="46"/>
      <c r="R6483" s="51"/>
      <c r="S6483" s="51"/>
    </row>
    <row r="6484" spans="9:19" x14ac:dyDescent="0.25">
      <c r="I6484" s="1"/>
      <c r="J6484" s="71"/>
      <c r="M6484" s="46"/>
      <c r="R6484" s="51"/>
      <c r="S6484" s="51"/>
    </row>
    <row r="6485" spans="9:19" x14ac:dyDescent="0.25">
      <c r="I6485" s="1"/>
      <c r="J6485" s="71"/>
      <c r="M6485" s="46"/>
      <c r="R6485" s="51"/>
      <c r="S6485" s="51"/>
    </row>
    <row r="6486" spans="9:19" x14ac:dyDescent="0.25">
      <c r="I6486" s="1"/>
      <c r="J6486" s="71"/>
      <c r="M6486" s="46"/>
      <c r="R6486" s="51"/>
      <c r="S6486" s="51"/>
    </row>
    <row r="6487" spans="9:19" x14ac:dyDescent="0.25">
      <c r="I6487" s="1"/>
      <c r="J6487" s="71"/>
      <c r="M6487" s="46"/>
      <c r="R6487" s="51"/>
      <c r="S6487" s="51"/>
    </row>
    <row r="6488" spans="9:19" x14ac:dyDescent="0.25">
      <c r="I6488" s="1"/>
      <c r="J6488" s="71"/>
      <c r="M6488" s="46"/>
      <c r="R6488" s="51"/>
      <c r="S6488" s="51"/>
    </row>
    <row r="6489" spans="9:19" x14ac:dyDescent="0.25">
      <c r="I6489" s="1"/>
      <c r="J6489" s="71"/>
      <c r="M6489" s="46"/>
      <c r="R6489" s="51"/>
      <c r="S6489" s="51"/>
    </row>
    <row r="6490" spans="9:19" x14ac:dyDescent="0.25">
      <c r="I6490" s="1"/>
      <c r="J6490" s="71"/>
      <c r="M6490" s="46"/>
      <c r="R6490" s="51"/>
      <c r="S6490" s="51"/>
    </row>
    <row r="6491" spans="9:19" x14ac:dyDescent="0.25">
      <c r="I6491" s="1"/>
      <c r="J6491" s="71"/>
      <c r="M6491" s="46"/>
      <c r="R6491" s="51"/>
      <c r="S6491" s="51"/>
    </row>
    <row r="6492" spans="9:19" x14ac:dyDescent="0.25">
      <c r="I6492" s="1"/>
      <c r="J6492" s="71"/>
      <c r="M6492" s="46"/>
      <c r="R6492" s="51"/>
      <c r="S6492" s="51"/>
    </row>
    <row r="6493" spans="9:19" x14ac:dyDescent="0.25">
      <c r="I6493" s="1"/>
      <c r="J6493" s="71"/>
      <c r="M6493" s="46"/>
      <c r="R6493" s="51"/>
      <c r="S6493" s="51"/>
    </row>
    <row r="6494" spans="9:19" x14ac:dyDescent="0.25">
      <c r="I6494" s="1"/>
      <c r="J6494" s="71"/>
      <c r="M6494" s="46"/>
      <c r="R6494" s="51"/>
      <c r="S6494" s="51"/>
    </row>
    <row r="6495" spans="9:19" x14ac:dyDescent="0.25">
      <c r="I6495" s="1"/>
      <c r="J6495" s="71"/>
      <c r="M6495" s="46"/>
      <c r="R6495" s="51"/>
      <c r="S6495" s="51"/>
    </row>
    <row r="6496" spans="9:19" x14ac:dyDescent="0.25">
      <c r="I6496" s="1"/>
      <c r="J6496" s="71"/>
      <c r="M6496" s="46"/>
      <c r="R6496" s="51"/>
      <c r="S6496" s="51"/>
    </row>
    <row r="6497" spans="9:19" x14ac:dyDescent="0.25">
      <c r="I6497" s="1"/>
      <c r="J6497" s="71"/>
      <c r="M6497" s="46"/>
      <c r="R6497" s="51"/>
      <c r="S6497" s="51"/>
    </row>
    <row r="6498" spans="9:19" x14ac:dyDescent="0.25">
      <c r="I6498" s="1"/>
      <c r="J6498" s="71"/>
      <c r="M6498" s="46"/>
      <c r="R6498" s="51"/>
      <c r="S6498" s="51"/>
    </row>
    <row r="6499" spans="9:19" x14ac:dyDescent="0.25">
      <c r="I6499" s="1"/>
      <c r="J6499" s="71"/>
      <c r="M6499" s="46"/>
      <c r="R6499" s="51"/>
      <c r="S6499" s="51"/>
    </row>
    <row r="6500" spans="9:19" x14ac:dyDescent="0.25">
      <c r="I6500" s="1"/>
      <c r="J6500" s="71"/>
      <c r="M6500" s="46"/>
      <c r="R6500" s="51"/>
      <c r="S6500" s="51"/>
    </row>
    <row r="6501" spans="9:19" x14ac:dyDescent="0.25">
      <c r="I6501" s="1"/>
      <c r="J6501" s="71"/>
      <c r="M6501" s="46"/>
      <c r="R6501" s="51"/>
      <c r="S6501" s="51"/>
    </row>
    <row r="6502" spans="9:19" x14ac:dyDescent="0.25">
      <c r="I6502" s="1"/>
      <c r="J6502" s="71"/>
      <c r="M6502" s="46"/>
      <c r="R6502" s="51"/>
      <c r="S6502" s="51"/>
    </row>
    <row r="6503" spans="9:19" x14ac:dyDescent="0.25">
      <c r="I6503" s="1"/>
      <c r="J6503" s="71"/>
      <c r="M6503" s="46"/>
      <c r="R6503" s="51"/>
      <c r="S6503" s="51"/>
    </row>
    <row r="6504" spans="9:19" x14ac:dyDescent="0.25">
      <c r="I6504" s="1"/>
      <c r="J6504" s="71"/>
      <c r="M6504" s="46"/>
      <c r="R6504" s="51"/>
      <c r="S6504" s="51"/>
    </row>
    <row r="6505" spans="9:19" x14ac:dyDescent="0.25">
      <c r="I6505" s="1"/>
      <c r="J6505" s="71"/>
      <c r="M6505" s="46"/>
      <c r="R6505" s="51"/>
      <c r="S6505" s="51"/>
    </row>
    <row r="6506" spans="9:19" x14ac:dyDescent="0.25">
      <c r="I6506" s="1"/>
      <c r="J6506" s="71"/>
      <c r="M6506" s="46"/>
      <c r="R6506" s="51"/>
      <c r="S6506" s="51"/>
    </row>
    <row r="6507" spans="9:19" x14ac:dyDescent="0.25">
      <c r="I6507" s="1"/>
      <c r="J6507" s="71"/>
      <c r="M6507" s="46"/>
      <c r="R6507" s="51"/>
      <c r="S6507" s="51"/>
    </row>
    <row r="6508" spans="9:19" x14ac:dyDescent="0.25">
      <c r="I6508" s="1"/>
      <c r="J6508" s="71"/>
      <c r="M6508" s="46"/>
      <c r="R6508" s="51"/>
      <c r="S6508" s="51"/>
    </row>
    <row r="6509" spans="9:19" x14ac:dyDescent="0.25">
      <c r="I6509" s="1"/>
      <c r="J6509" s="71"/>
      <c r="M6509" s="46"/>
      <c r="R6509" s="51"/>
      <c r="S6509" s="51"/>
    </row>
    <row r="6510" spans="9:19" x14ac:dyDescent="0.25">
      <c r="I6510" s="1"/>
      <c r="J6510" s="71"/>
      <c r="M6510" s="46"/>
      <c r="R6510" s="51"/>
      <c r="S6510" s="51"/>
    </row>
    <row r="6511" spans="9:19" x14ac:dyDescent="0.25">
      <c r="I6511" s="1"/>
      <c r="J6511" s="71"/>
      <c r="M6511" s="46"/>
      <c r="R6511" s="51"/>
      <c r="S6511" s="51"/>
    </row>
    <row r="6512" spans="9:19" x14ac:dyDescent="0.25">
      <c r="I6512" s="1"/>
      <c r="J6512" s="71"/>
      <c r="M6512" s="46"/>
      <c r="R6512" s="51"/>
      <c r="S6512" s="51"/>
    </row>
    <row r="6513" spans="9:19" x14ac:dyDescent="0.25">
      <c r="I6513" s="1"/>
      <c r="J6513" s="71"/>
      <c r="M6513" s="46"/>
      <c r="R6513" s="51"/>
      <c r="S6513" s="51"/>
    </row>
    <row r="6514" spans="9:19" x14ac:dyDescent="0.25">
      <c r="I6514" s="1"/>
      <c r="J6514" s="71"/>
      <c r="M6514" s="46"/>
      <c r="R6514" s="51"/>
      <c r="S6514" s="51"/>
    </row>
    <row r="6515" spans="9:19" x14ac:dyDescent="0.25">
      <c r="I6515" s="1"/>
      <c r="J6515" s="71"/>
      <c r="M6515" s="46"/>
      <c r="R6515" s="51"/>
      <c r="S6515" s="51"/>
    </row>
    <row r="6516" spans="9:19" x14ac:dyDescent="0.25">
      <c r="I6516" s="1"/>
      <c r="J6516" s="71"/>
      <c r="M6516" s="46"/>
      <c r="R6516" s="51"/>
      <c r="S6516" s="51"/>
    </row>
    <row r="6517" spans="9:19" x14ac:dyDescent="0.25">
      <c r="I6517" s="1"/>
      <c r="J6517" s="71"/>
      <c r="M6517" s="46"/>
      <c r="R6517" s="51"/>
      <c r="S6517" s="51"/>
    </row>
    <row r="6518" spans="9:19" x14ac:dyDescent="0.25">
      <c r="I6518" s="1"/>
      <c r="J6518" s="71"/>
      <c r="M6518" s="46"/>
      <c r="R6518" s="51"/>
      <c r="S6518" s="51"/>
    </row>
    <row r="6519" spans="9:19" x14ac:dyDescent="0.25">
      <c r="I6519" s="1"/>
      <c r="J6519" s="71"/>
      <c r="M6519" s="46"/>
      <c r="R6519" s="51"/>
      <c r="S6519" s="51"/>
    </row>
    <row r="6520" spans="9:19" x14ac:dyDescent="0.25">
      <c r="I6520" s="1"/>
      <c r="J6520" s="71"/>
      <c r="M6520" s="46"/>
      <c r="R6520" s="51"/>
      <c r="S6520" s="51"/>
    </row>
    <row r="6521" spans="9:19" x14ac:dyDescent="0.25">
      <c r="I6521" s="1"/>
      <c r="J6521" s="71"/>
      <c r="M6521" s="46"/>
      <c r="R6521" s="51"/>
      <c r="S6521" s="51"/>
    </row>
    <row r="6522" spans="9:19" x14ac:dyDescent="0.25">
      <c r="I6522" s="1"/>
      <c r="J6522" s="71"/>
      <c r="M6522" s="46"/>
      <c r="R6522" s="51"/>
      <c r="S6522" s="51"/>
    </row>
    <row r="6523" spans="9:19" x14ac:dyDescent="0.25">
      <c r="I6523" s="1"/>
      <c r="J6523" s="71"/>
      <c r="M6523" s="46"/>
      <c r="R6523" s="51"/>
      <c r="S6523" s="51"/>
    </row>
    <row r="6524" spans="9:19" x14ac:dyDescent="0.25">
      <c r="I6524" s="1"/>
      <c r="J6524" s="71"/>
      <c r="M6524" s="46"/>
      <c r="R6524" s="51"/>
      <c r="S6524" s="51"/>
    </row>
    <row r="6525" spans="9:19" x14ac:dyDescent="0.25">
      <c r="I6525" s="1"/>
      <c r="J6525" s="71"/>
      <c r="M6525" s="46"/>
      <c r="R6525" s="51"/>
      <c r="S6525" s="51"/>
    </row>
    <row r="6526" spans="9:19" x14ac:dyDescent="0.25">
      <c r="I6526" s="1"/>
      <c r="J6526" s="71"/>
      <c r="M6526" s="46"/>
      <c r="R6526" s="51"/>
      <c r="S6526" s="51"/>
    </row>
    <row r="6527" spans="9:19" x14ac:dyDescent="0.25">
      <c r="I6527" s="1"/>
      <c r="J6527" s="71"/>
      <c r="M6527" s="46"/>
      <c r="R6527" s="51"/>
      <c r="S6527" s="51"/>
    </row>
    <row r="6528" spans="9:19" x14ac:dyDescent="0.25">
      <c r="I6528" s="1"/>
      <c r="J6528" s="71"/>
      <c r="M6528" s="46"/>
      <c r="R6528" s="51"/>
      <c r="S6528" s="51"/>
    </row>
    <row r="6529" spans="9:19" x14ac:dyDescent="0.25">
      <c r="I6529" s="1"/>
      <c r="J6529" s="71"/>
      <c r="M6529" s="46"/>
      <c r="R6529" s="51"/>
      <c r="S6529" s="51"/>
    </row>
    <row r="6530" spans="9:19" x14ac:dyDescent="0.25">
      <c r="I6530" s="1"/>
      <c r="J6530" s="71"/>
      <c r="M6530" s="46"/>
      <c r="R6530" s="51"/>
      <c r="S6530" s="51"/>
    </row>
    <row r="6531" spans="9:19" x14ac:dyDescent="0.25">
      <c r="I6531" s="1"/>
      <c r="J6531" s="71"/>
      <c r="M6531" s="46"/>
      <c r="R6531" s="51"/>
      <c r="S6531" s="51"/>
    </row>
    <row r="6532" spans="9:19" x14ac:dyDescent="0.25">
      <c r="I6532" s="1"/>
      <c r="J6532" s="71"/>
      <c r="M6532" s="46"/>
      <c r="R6532" s="51"/>
      <c r="S6532" s="51"/>
    </row>
    <row r="6533" spans="9:19" x14ac:dyDescent="0.25">
      <c r="I6533" s="1"/>
      <c r="J6533" s="71"/>
      <c r="M6533" s="46"/>
      <c r="R6533" s="51"/>
      <c r="S6533" s="51"/>
    </row>
    <row r="6534" spans="9:19" x14ac:dyDescent="0.25">
      <c r="I6534" s="1"/>
      <c r="J6534" s="71"/>
      <c r="M6534" s="46"/>
      <c r="R6534" s="51"/>
      <c r="S6534" s="51"/>
    </row>
    <row r="6535" spans="9:19" x14ac:dyDescent="0.25">
      <c r="I6535" s="1"/>
      <c r="J6535" s="71"/>
      <c r="M6535" s="46"/>
      <c r="R6535" s="51"/>
      <c r="S6535" s="51"/>
    </row>
    <row r="6536" spans="9:19" x14ac:dyDescent="0.25">
      <c r="I6536" s="1"/>
      <c r="J6536" s="71"/>
      <c r="M6536" s="46"/>
      <c r="R6536" s="51"/>
      <c r="S6536" s="51"/>
    </row>
    <row r="6537" spans="9:19" x14ac:dyDescent="0.25">
      <c r="I6537" s="1"/>
      <c r="J6537" s="71"/>
      <c r="M6537" s="46"/>
      <c r="R6537" s="51"/>
      <c r="S6537" s="51"/>
    </row>
    <row r="6538" spans="9:19" x14ac:dyDescent="0.25">
      <c r="I6538" s="1"/>
      <c r="J6538" s="71"/>
      <c r="M6538" s="46"/>
      <c r="R6538" s="51"/>
      <c r="S6538" s="51"/>
    </row>
    <row r="6539" spans="9:19" x14ac:dyDescent="0.25">
      <c r="I6539" s="1"/>
      <c r="J6539" s="71"/>
      <c r="M6539" s="46"/>
      <c r="R6539" s="51"/>
      <c r="S6539" s="51"/>
    </row>
    <row r="6540" spans="9:19" x14ac:dyDescent="0.25">
      <c r="I6540" s="1"/>
      <c r="J6540" s="71"/>
      <c r="M6540" s="46"/>
      <c r="R6540" s="51"/>
      <c r="S6540" s="51"/>
    </row>
    <row r="6541" spans="9:19" x14ac:dyDescent="0.25">
      <c r="I6541" s="1"/>
      <c r="J6541" s="71"/>
      <c r="M6541" s="46"/>
      <c r="R6541" s="51"/>
      <c r="S6541" s="51"/>
    </row>
    <row r="6542" spans="9:19" x14ac:dyDescent="0.25">
      <c r="I6542" s="1"/>
      <c r="J6542" s="71"/>
      <c r="M6542" s="46"/>
      <c r="R6542" s="51"/>
      <c r="S6542" s="51"/>
    </row>
    <row r="6543" spans="9:19" x14ac:dyDescent="0.25">
      <c r="I6543" s="1"/>
      <c r="J6543" s="71"/>
      <c r="M6543" s="46"/>
      <c r="R6543" s="51"/>
      <c r="S6543" s="51"/>
    </row>
    <row r="6544" spans="9:19" x14ac:dyDescent="0.25">
      <c r="I6544" s="1"/>
      <c r="J6544" s="71"/>
      <c r="M6544" s="46"/>
      <c r="R6544" s="51"/>
      <c r="S6544" s="51"/>
    </row>
    <row r="6545" spans="9:19" x14ac:dyDescent="0.25">
      <c r="I6545" s="1"/>
      <c r="J6545" s="71"/>
      <c r="M6545" s="46"/>
      <c r="R6545" s="51"/>
      <c r="S6545" s="51"/>
    </row>
    <row r="6546" spans="9:19" x14ac:dyDescent="0.25">
      <c r="I6546" s="1"/>
      <c r="J6546" s="71"/>
      <c r="M6546" s="46"/>
      <c r="R6546" s="51"/>
      <c r="S6546" s="51"/>
    </row>
    <row r="6547" spans="9:19" x14ac:dyDescent="0.25">
      <c r="I6547" s="1"/>
      <c r="J6547" s="71"/>
      <c r="M6547" s="46"/>
      <c r="R6547" s="51"/>
      <c r="S6547" s="51"/>
    </row>
    <row r="6548" spans="9:19" x14ac:dyDescent="0.25">
      <c r="I6548" s="1"/>
      <c r="J6548" s="71"/>
      <c r="M6548" s="46"/>
      <c r="R6548" s="51"/>
      <c r="S6548" s="51"/>
    </row>
    <row r="6549" spans="9:19" x14ac:dyDescent="0.25">
      <c r="I6549" s="1"/>
      <c r="J6549" s="71"/>
      <c r="M6549" s="46"/>
      <c r="R6549" s="51"/>
      <c r="S6549" s="51"/>
    </row>
    <row r="6550" spans="9:19" x14ac:dyDescent="0.25">
      <c r="I6550" s="1"/>
      <c r="J6550" s="71"/>
      <c r="M6550" s="46"/>
      <c r="R6550" s="51"/>
      <c r="S6550" s="51"/>
    </row>
    <row r="6551" spans="9:19" x14ac:dyDescent="0.25">
      <c r="I6551" s="1"/>
      <c r="J6551" s="71"/>
      <c r="M6551" s="46"/>
      <c r="R6551" s="51"/>
      <c r="S6551" s="51"/>
    </row>
    <row r="6552" spans="9:19" x14ac:dyDescent="0.25">
      <c r="I6552" s="1"/>
      <c r="J6552" s="71"/>
      <c r="M6552" s="46"/>
      <c r="R6552" s="51"/>
      <c r="S6552" s="51"/>
    </row>
    <row r="6553" spans="9:19" x14ac:dyDescent="0.25">
      <c r="I6553" s="1"/>
      <c r="J6553" s="71"/>
      <c r="M6553" s="46"/>
      <c r="R6553" s="51"/>
      <c r="S6553" s="51"/>
    </row>
    <row r="6554" spans="9:19" x14ac:dyDescent="0.25">
      <c r="I6554" s="1"/>
      <c r="J6554" s="71"/>
      <c r="M6554" s="46"/>
      <c r="R6554" s="51"/>
      <c r="S6554" s="51"/>
    </row>
    <row r="6555" spans="9:19" x14ac:dyDescent="0.25">
      <c r="I6555" s="1"/>
      <c r="J6555" s="71"/>
      <c r="M6555" s="46"/>
      <c r="R6555" s="51"/>
      <c r="S6555" s="51"/>
    </row>
    <row r="6556" spans="9:19" x14ac:dyDescent="0.25">
      <c r="I6556" s="1"/>
      <c r="J6556" s="71"/>
      <c r="M6556" s="46"/>
      <c r="R6556" s="51"/>
      <c r="S6556" s="51"/>
    </row>
    <row r="6557" spans="9:19" x14ac:dyDescent="0.25">
      <c r="I6557" s="1"/>
      <c r="J6557" s="71"/>
      <c r="M6557" s="46"/>
      <c r="R6557" s="51"/>
      <c r="S6557" s="51"/>
    </row>
    <row r="6558" spans="9:19" x14ac:dyDescent="0.25">
      <c r="I6558" s="1"/>
      <c r="J6558" s="71"/>
      <c r="M6558" s="46"/>
      <c r="R6558" s="51"/>
      <c r="S6558" s="51"/>
    </row>
    <row r="6559" spans="9:19" x14ac:dyDescent="0.25">
      <c r="I6559" s="1"/>
      <c r="J6559" s="71"/>
      <c r="M6559" s="46"/>
      <c r="R6559" s="51"/>
      <c r="S6559" s="51"/>
    </row>
    <row r="6560" spans="9:19" x14ac:dyDescent="0.25">
      <c r="I6560" s="1"/>
      <c r="J6560" s="71"/>
      <c r="M6560" s="46"/>
      <c r="R6560" s="51"/>
      <c r="S6560" s="51"/>
    </row>
    <row r="6561" spans="9:19" x14ac:dyDescent="0.25">
      <c r="I6561" s="1"/>
      <c r="J6561" s="71"/>
      <c r="M6561" s="46"/>
      <c r="R6561" s="51"/>
      <c r="S6561" s="51"/>
    </row>
    <row r="6562" spans="9:19" x14ac:dyDescent="0.25">
      <c r="I6562" s="1"/>
      <c r="J6562" s="71"/>
      <c r="M6562" s="46"/>
      <c r="R6562" s="51"/>
      <c r="S6562" s="51"/>
    </row>
    <row r="6563" spans="9:19" x14ac:dyDescent="0.25">
      <c r="I6563" s="1"/>
      <c r="J6563" s="71"/>
      <c r="M6563" s="46"/>
      <c r="R6563" s="51"/>
      <c r="S6563" s="51"/>
    </row>
    <row r="6564" spans="9:19" x14ac:dyDescent="0.25">
      <c r="I6564" s="1"/>
      <c r="J6564" s="71"/>
      <c r="M6564" s="46"/>
      <c r="R6564" s="51"/>
      <c r="S6564" s="51"/>
    </row>
    <row r="6565" spans="9:19" x14ac:dyDescent="0.25">
      <c r="I6565" s="1"/>
      <c r="J6565" s="71"/>
      <c r="M6565" s="46"/>
      <c r="R6565" s="51"/>
      <c r="S6565" s="51"/>
    </row>
    <row r="6566" spans="9:19" x14ac:dyDescent="0.25">
      <c r="I6566" s="1"/>
      <c r="J6566" s="71"/>
      <c r="M6566" s="46"/>
      <c r="R6566" s="51"/>
      <c r="S6566" s="51"/>
    </row>
    <row r="6567" spans="9:19" x14ac:dyDescent="0.25">
      <c r="I6567" s="1"/>
      <c r="J6567" s="71"/>
      <c r="M6567" s="46"/>
      <c r="R6567" s="51"/>
      <c r="S6567" s="51"/>
    </row>
    <row r="6568" spans="9:19" x14ac:dyDescent="0.25">
      <c r="I6568" s="1"/>
      <c r="J6568" s="71"/>
      <c r="M6568" s="46"/>
      <c r="R6568" s="51"/>
      <c r="S6568" s="51"/>
    </row>
    <row r="6569" spans="9:19" x14ac:dyDescent="0.25">
      <c r="I6569" s="1"/>
      <c r="J6569" s="71"/>
      <c r="M6569" s="46"/>
      <c r="R6569" s="51"/>
      <c r="S6569" s="51"/>
    </row>
    <row r="6570" spans="9:19" x14ac:dyDescent="0.25">
      <c r="I6570" s="1"/>
      <c r="J6570" s="71"/>
      <c r="M6570" s="46"/>
      <c r="R6570" s="51"/>
      <c r="S6570" s="51"/>
    </row>
    <row r="6571" spans="9:19" x14ac:dyDescent="0.25">
      <c r="I6571" s="1"/>
      <c r="J6571" s="71"/>
      <c r="M6571" s="46"/>
      <c r="R6571" s="51"/>
      <c r="S6571" s="51"/>
    </row>
    <row r="6572" spans="9:19" x14ac:dyDescent="0.25">
      <c r="I6572" s="1"/>
      <c r="J6572" s="71"/>
      <c r="M6572" s="46"/>
      <c r="R6572" s="51"/>
      <c r="S6572" s="51"/>
    </row>
    <row r="6573" spans="9:19" x14ac:dyDescent="0.25">
      <c r="I6573" s="1"/>
      <c r="J6573" s="71"/>
      <c r="M6573" s="46"/>
      <c r="R6573" s="51"/>
      <c r="S6573" s="51"/>
    </row>
    <row r="6574" spans="9:19" x14ac:dyDescent="0.25">
      <c r="I6574" s="1"/>
      <c r="J6574" s="71"/>
      <c r="M6574" s="46"/>
      <c r="R6574" s="51"/>
      <c r="S6574" s="51"/>
    </row>
    <row r="6575" spans="9:19" x14ac:dyDescent="0.25">
      <c r="I6575" s="1"/>
      <c r="J6575" s="71"/>
      <c r="M6575" s="46"/>
      <c r="R6575" s="51"/>
      <c r="S6575" s="51"/>
    </row>
    <row r="6576" spans="9:19" x14ac:dyDescent="0.25">
      <c r="I6576" s="1"/>
      <c r="J6576" s="71"/>
      <c r="M6576" s="46"/>
      <c r="R6576" s="51"/>
      <c r="S6576" s="51"/>
    </row>
    <row r="6577" spans="9:19" x14ac:dyDescent="0.25">
      <c r="I6577" s="1"/>
      <c r="J6577" s="71"/>
      <c r="M6577" s="46"/>
      <c r="R6577" s="51"/>
      <c r="S6577" s="51"/>
    </row>
    <row r="6578" spans="9:19" x14ac:dyDescent="0.25">
      <c r="I6578" s="1"/>
      <c r="J6578" s="71"/>
      <c r="M6578" s="46"/>
      <c r="R6578" s="51"/>
      <c r="S6578" s="51"/>
    </row>
    <row r="6579" spans="9:19" x14ac:dyDescent="0.25">
      <c r="I6579" s="1"/>
      <c r="J6579" s="71"/>
      <c r="M6579" s="46"/>
      <c r="R6579" s="51"/>
      <c r="S6579" s="51"/>
    </row>
    <row r="6580" spans="9:19" x14ac:dyDescent="0.25">
      <c r="I6580" s="1"/>
      <c r="J6580" s="71"/>
      <c r="M6580" s="46"/>
      <c r="R6580" s="51"/>
      <c r="S6580" s="51"/>
    </row>
    <row r="6581" spans="9:19" x14ac:dyDescent="0.25">
      <c r="I6581" s="1"/>
      <c r="J6581" s="71"/>
      <c r="M6581" s="46"/>
      <c r="R6581" s="51"/>
      <c r="S6581" s="51"/>
    </row>
    <row r="6582" spans="9:19" x14ac:dyDescent="0.25">
      <c r="I6582" s="1"/>
      <c r="J6582" s="71"/>
      <c r="M6582" s="46"/>
      <c r="R6582" s="51"/>
      <c r="S6582" s="51"/>
    </row>
    <row r="6583" spans="9:19" x14ac:dyDescent="0.25">
      <c r="I6583" s="1"/>
      <c r="J6583" s="71"/>
      <c r="M6583" s="46"/>
      <c r="R6583" s="51"/>
      <c r="S6583" s="51"/>
    </row>
    <row r="6584" spans="9:19" x14ac:dyDescent="0.25">
      <c r="I6584" s="1"/>
      <c r="J6584" s="71"/>
      <c r="M6584" s="46"/>
      <c r="R6584" s="51"/>
      <c r="S6584" s="51"/>
    </row>
    <row r="6585" spans="9:19" x14ac:dyDescent="0.25">
      <c r="I6585" s="1"/>
      <c r="J6585" s="71"/>
      <c r="M6585" s="46"/>
      <c r="R6585" s="51"/>
      <c r="S6585" s="51"/>
    </row>
    <row r="6586" spans="9:19" x14ac:dyDescent="0.25">
      <c r="I6586" s="1"/>
      <c r="J6586" s="71"/>
      <c r="M6586" s="46"/>
      <c r="R6586" s="51"/>
      <c r="S6586" s="51"/>
    </row>
    <row r="6587" spans="9:19" x14ac:dyDescent="0.25">
      <c r="I6587" s="1"/>
      <c r="J6587" s="71"/>
      <c r="M6587" s="46"/>
      <c r="R6587" s="51"/>
      <c r="S6587" s="51"/>
    </row>
    <row r="6588" spans="9:19" x14ac:dyDescent="0.25">
      <c r="I6588" s="1"/>
      <c r="J6588" s="71"/>
      <c r="M6588" s="46"/>
      <c r="R6588" s="51"/>
      <c r="S6588" s="51"/>
    </row>
    <row r="6589" spans="9:19" x14ac:dyDescent="0.25">
      <c r="I6589" s="1"/>
      <c r="J6589" s="71"/>
      <c r="M6589" s="46"/>
      <c r="R6589" s="51"/>
      <c r="S6589" s="51"/>
    </row>
    <row r="6590" spans="9:19" x14ac:dyDescent="0.25">
      <c r="I6590" s="1"/>
      <c r="J6590" s="71"/>
      <c r="M6590" s="46"/>
      <c r="R6590" s="51"/>
      <c r="S6590" s="51"/>
    </row>
    <row r="6591" spans="9:19" x14ac:dyDescent="0.25">
      <c r="I6591" s="1"/>
      <c r="J6591" s="71"/>
      <c r="M6591" s="46"/>
      <c r="R6591" s="51"/>
      <c r="S6591" s="51"/>
    </row>
    <row r="6592" spans="9:19" x14ac:dyDescent="0.25">
      <c r="I6592" s="1"/>
      <c r="J6592" s="71"/>
      <c r="M6592" s="46"/>
      <c r="R6592" s="51"/>
      <c r="S6592" s="51"/>
    </row>
    <row r="6593" spans="9:19" x14ac:dyDescent="0.25">
      <c r="I6593" s="1"/>
      <c r="J6593" s="71"/>
      <c r="M6593" s="46"/>
      <c r="R6593" s="51"/>
      <c r="S6593" s="51"/>
    </row>
    <row r="6594" spans="9:19" x14ac:dyDescent="0.25">
      <c r="I6594" s="1"/>
      <c r="J6594" s="71"/>
      <c r="M6594" s="46"/>
      <c r="R6594" s="51"/>
      <c r="S6594" s="51"/>
    </row>
    <row r="6595" spans="9:19" x14ac:dyDescent="0.25">
      <c r="I6595" s="1"/>
      <c r="J6595" s="71"/>
      <c r="M6595" s="46"/>
      <c r="R6595" s="51"/>
      <c r="S6595" s="51"/>
    </row>
    <row r="6596" spans="9:19" x14ac:dyDescent="0.25">
      <c r="I6596" s="1"/>
      <c r="J6596" s="71"/>
      <c r="M6596" s="46"/>
      <c r="R6596" s="51"/>
      <c r="S6596" s="51"/>
    </row>
    <row r="6597" spans="9:19" x14ac:dyDescent="0.25">
      <c r="I6597" s="1"/>
      <c r="J6597" s="71"/>
      <c r="M6597" s="46"/>
      <c r="R6597" s="51"/>
      <c r="S6597" s="51"/>
    </row>
    <row r="6598" spans="9:19" x14ac:dyDescent="0.25">
      <c r="I6598" s="1"/>
      <c r="J6598" s="71"/>
      <c r="M6598" s="46"/>
      <c r="R6598" s="51"/>
      <c r="S6598" s="51"/>
    </row>
    <row r="6599" spans="9:19" x14ac:dyDescent="0.25">
      <c r="I6599" s="1"/>
      <c r="J6599" s="71"/>
      <c r="M6599" s="46"/>
      <c r="R6599" s="51"/>
      <c r="S6599" s="51"/>
    </row>
    <row r="6600" spans="9:19" x14ac:dyDescent="0.25">
      <c r="I6600" s="1"/>
      <c r="J6600" s="71"/>
      <c r="M6600" s="46"/>
      <c r="R6600" s="51"/>
      <c r="S6600" s="51"/>
    </row>
    <row r="6601" spans="9:19" x14ac:dyDescent="0.25">
      <c r="I6601" s="1"/>
      <c r="J6601" s="71"/>
      <c r="M6601" s="46"/>
      <c r="R6601" s="51"/>
      <c r="S6601" s="51"/>
    </row>
    <row r="6602" spans="9:19" x14ac:dyDescent="0.25">
      <c r="I6602" s="1"/>
      <c r="J6602" s="71"/>
      <c r="M6602" s="46"/>
      <c r="R6602" s="51"/>
      <c r="S6602" s="51"/>
    </row>
    <row r="6603" spans="9:19" x14ac:dyDescent="0.25">
      <c r="I6603" s="1"/>
      <c r="J6603" s="71"/>
      <c r="M6603" s="46"/>
      <c r="R6603" s="51"/>
      <c r="S6603" s="51"/>
    </row>
    <row r="6604" spans="9:19" x14ac:dyDescent="0.25">
      <c r="I6604" s="1"/>
      <c r="J6604" s="71"/>
      <c r="M6604" s="46"/>
      <c r="R6604" s="51"/>
      <c r="S6604" s="51"/>
    </row>
    <row r="6605" spans="9:19" x14ac:dyDescent="0.25">
      <c r="I6605" s="1"/>
      <c r="J6605" s="71"/>
      <c r="M6605" s="46"/>
      <c r="R6605" s="51"/>
      <c r="S6605" s="51"/>
    </row>
    <row r="6606" spans="9:19" x14ac:dyDescent="0.25">
      <c r="I6606" s="1"/>
      <c r="J6606" s="71"/>
      <c r="M6606" s="46"/>
      <c r="R6606" s="51"/>
      <c r="S6606" s="51"/>
    </row>
    <row r="6607" spans="9:19" x14ac:dyDescent="0.25">
      <c r="I6607" s="1"/>
      <c r="J6607" s="71"/>
      <c r="M6607" s="46"/>
      <c r="R6607" s="51"/>
      <c r="S6607" s="51"/>
    </row>
    <row r="6608" spans="9:19" x14ac:dyDescent="0.25">
      <c r="I6608" s="1"/>
      <c r="J6608" s="71"/>
      <c r="M6608" s="46"/>
      <c r="R6608" s="51"/>
      <c r="S6608" s="51"/>
    </row>
    <row r="6609" spans="9:19" x14ac:dyDescent="0.25">
      <c r="I6609" s="1"/>
      <c r="J6609" s="71"/>
      <c r="M6609" s="46"/>
      <c r="R6609" s="51"/>
      <c r="S6609" s="51"/>
    </row>
    <row r="6610" spans="9:19" x14ac:dyDescent="0.25">
      <c r="I6610" s="1"/>
      <c r="J6610" s="71"/>
      <c r="M6610" s="46"/>
      <c r="R6610" s="51"/>
      <c r="S6610" s="51"/>
    </row>
    <row r="6611" spans="9:19" x14ac:dyDescent="0.25">
      <c r="I6611" s="1"/>
      <c r="J6611" s="71"/>
      <c r="M6611" s="46"/>
      <c r="R6611" s="51"/>
      <c r="S6611" s="51"/>
    </row>
    <row r="6612" spans="9:19" x14ac:dyDescent="0.25">
      <c r="I6612" s="1"/>
      <c r="J6612" s="71"/>
      <c r="M6612" s="46"/>
      <c r="R6612" s="51"/>
      <c r="S6612" s="51"/>
    </row>
    <row r="6613" spans="9:19" x14ac:dyDescent="0.25">
      <c r="I6613" s="1"/>
      <c r="J6613" s="71"/>
      <c r="M6613" s="46"/>
      <c r="R6613" s="51"/>
      <c r="S6613" s="51"/>
    </row>
    <row r="6614" spans="9:19" x14ac:dyDescent="0.25">
      <c r="I6614" s="1"/>
      <c r="J6614" s="71"/>
      <c r="M6614" s="46"/>
      <c r="R6614" s="51"/>
      <c r="S6614" s="51"/>
    </row>
    <row r="6615" spans="9:19" x14ac:dyDescent="0.25">
      <c r="I6615" s="1"/>
      <c r="J6615" s="71"/>
      <c r="M6615" s="46"/>
      <c r="R6615" s="51"/>
      <c r="S6615" s="51"/>
    </row>
    <row r="6616" spans="9:19" x14ac:dyDescent="0.25">
      <c r="I6616" s="1"/>
      <c r="J6616" s="71"/>
      <c r="M6616" s="46"/>
      <c r="R6616" s="51"/>
      <c r="S6616" s="51"/>
    </row>
    <row r="6617" spans="9:19" x14ac:dyDescent="0.25">
      <c r="I6617" s="1"/>
      <c r="J6617" s="71"/>
      <c r="M6617" s="46"/>
      <c r="R6617" s="51"/>
      <c r="S6617" s="51"/>
    </row>
    <row r="6618" spans="9:19" x14ac:dyDescent="0.25">
      <c r="I6618" s="1"/>
      <c r="J6618" s="71"/>
      <c r="M6618" s="46"/>
      <c r="R6618" s="51"/>
      <c r="S6618" s="51"/>
    </row>
    <row r="6619" spans="9:19" x14ac:dyDescent="0.25">
      <c r="I6619" s="1"/>
      <c r="J6619" s="71"/>
      <c r="M6619" s="46"/>
      <c r="R6619" s="51"/>
      <c r="S6619" s="51"/>
    </row>
    <row r="6620" spans="9:19" x14ac:dyDescent="0.25">
      <c r="I6620" s="1"/>
      <c r="J6620" s="71"/>
      <c r="M6620" s="46"/>
      <c r="R6620" s="51"/>
      <c r="S6620" s="51"/>
    </row>
    <row r="6621" spans="9:19" x14ac:dyDescent="0.25">
      <c r="I6621" s="1"/>
      <c r="J6621" s="71"/>
      <c r="M6621" s="46"/>
      <c r="R6621" s="51"/>
      <c r="S6621" s="51"/>
    </row>
    <row r="6622" spans="9:19" x14ac:dyDescent="0.25">
      <c r="I6622" s="1"/>
      <c r="J6622" s="71"/>
      <c r="M6622" s="46"/>
      <c r="R6622" s="51"/>
      <c r="S6622" s="51"/>
    </row>
    <row r="6623" spans="9:19" x14ac:dyDescent="0.25">
      <c r="I6623" s="1"/>
      <c r="J6623" s="71"/>
      <c r="M6623" s="46"/>
      <c r="R6623" s="51"/>
      <c r="S6623" s="51"/>
    </row>
    <row r="6624" spans="9:19" x14ac:dyDescent="0.25">
      <c r="I6624" s="1"/>
      <c r="J6624" s="71"/>
      <c r="M6624" s="46"/>
      <c r="R6624" s="51"/>
      <c r="S6624" s="51"/>
    </row>
    <row r="6625" spans="9:19" x14ac:dyDescent="0.25">
      <c r="I6625" s="1"/>
      <c r="J6625" s="71"/>
      <c r="M6625" s="46"/>
      <c r="R6625" s="51"/>
      <c r="S6625" s="51"/>
    </row>
    <row r="6626" spans="9:19" x14ac:dyDescent="0.25">
      <c r="I6626" s="1"/>
      <c r="J6626" s="71"/>
      <c r="M6626" s="46"/>
      <c r="R6626" s="51"/>
      <c r="S6626" s="51"/>
    </row>
    <row r="6627" spans="9:19" x14ac:dyDescent="0.25">
      <c r="I6627" s="1"/>
      <c r="J6627" s="71"/>
      <c r="M6627" s="46"/>
      <c r="R6627" s="51"/>
      <c r="S6627" s="51"/>
    </row>
    <row r="6628" spans="9:19" x14ac:dyDescent="0.25">
      <c r="I6628" s="1"/>
      <c r="J6628" s="71"/>
      <c r="M6628" s="46"/>
      <c r="R6628" s="51"/>
      <c r="S6628" s="51"/>
    </row>
    <row r="6629" spans="9:19" x14ac:dyDescent="0.25">
      <c r="I6629" s="1"/>
      <c r="J6629" s="71"/>
      <c r="M6629" s="46"/>
      <c r="R6629" s="51"/>
      <c r="S6629" s="51"/>
    </row>
    <row r="6630" spans="9:19" x14ac:dyDescent="0.25">
      <c r="I6630" s="1"/>
      <c r="J6630" s="71"/>
      <c r="M6630" s="46"/>
      <c r="R6630" s="51"/>
      <c r="S6630" s="51"/>
    </row>
    <row r="6631" spans="9:19" x14ac:dyDescent="0.25">
      <c r="I6631" s="1"/>
      <c r="J6631" s="71"/>
      <c r="M6631" s="46"/>
      <c r="R6631" s="51"/>
      <c r="S6631" s="51"/>
    </row>
    <row r="6632" spans="9:19" x14ac:dyDescent="0.25">
      <c r="I6632" s="1"/>
      <c r="J6632" s="71"/>
      <c r="M6632" s="46"/>
      <c r="R6632" s="51"/>
      <c r="S6632" s="51"/>
    </row>
    <row r="6633" spans="9:19" x14ac:dyDescent="0.25">
      <c r="I6633" s="1"/>
      <c r="J6633" s="71"/>
      <c r="M6633" s="46"/>
      <c r="R6633" s="51"/>
      <c r="S6633" s="51"/>
    </row>
    <row r="6634" spans="9:19" x14ac:dyDescent="0.25">
      <c r="I6634" s="1"/>
      <c r="J6634" s="71"/>
      <c r="M6634" s="46"/>
      <c r="R6634" s="51"/>
      <c r="S6634" s="51"/>
    </row>
    <row r="6635" spans="9:19" x14ac:dyDescent="0.25">
      <c r="I6635" s="1"/>
      <c r="J6635" s="71"/>
      <c r="M6635" s="46"/>
      <c r="R6635" s="51"/>
      <c r="S6635" s="51"/>
    </row>
    <row r="6636" spans="9:19" x14ac:dyDescent="0.25">
      <c r="I6636" s="1"/>
      <c r="J6636" s="71"/>
      <c r="M6636" s="46"/>
      <c r="R6636" s="51"/>
      <c r="S6636" s="51"/>
    </row>
    <row r="6637" spans="9:19" x14ac:dyDescent="0.25">
      <c r="I6637" s="1"/>
      <c r="J6637" s="71"/>
      <c r="M6637" s="46"/>
      <c r="R6637" s="51"/>
      <c r="S6637" s="51"/>
    </row>
    <row r="6638" spans="9:19" x14ac:dyDescent="0.25">
      <c r="I6638" s="1"/>
      <c r="J6638" s="71"/>
      <c r="M6638" s="46"/>
      <c r="R6638" s="51"/>
      <c r="S6638" s="51"/>
    </row>
    <row r="6639" spans="9:19" x14ac:dyDescent="0.25">
      <c r="I6639" s="1"/>
      <c r="J6639" s="71"/>
      <c r="M6639" s="46"/>
      <c r="R6639" s="51"/>
      <c r="S6639" s="51"/>
    </row>
    <row r="6640" spans="9:19" x14ac:dyDescent="0.25">
      <c r="I6640" s="1"/>
      <c r="J6640" s="71"/>
      <c r="M6640" s="46"/>
      <c r="R6640" s="51"/>
      <c r="S6640" s="51"/>
    </row>
    <row r="6641" spans="9:19" x14ac:dyDescent="0.25">
      <c r="I6641" s="1"/>
      <c r="J6641" s="71"/>
      <c r="M6641" s="46"/>
      <c r="R6641" s="51"/>
      <c r="S6641" s="51"/>
    </row>
    <row r="6642" spans="9:19" x14ac:dyDescent="0.25">
      <c r="I6642" s="1"/>
      <c r="J6642" s="71"/>
      <c r="M6642" s="46"/>
      <c r="R6642" s="51"/>
      <c r="S6642" s="51"/>
    </row>
    <row r="6643" spans="9:19" x14ac:dyDescent="0.25">
      <c r="I6643" s="1"/>
      <c r="J6643" s="71"/>
      <c r="M6643" s="46"/>
      <c r="R6643" s="51"/>
      <c r="S6643" s="51"/>
    </row>
    <row r="6644" spans="9:19" x14ac:dyDescent="0.25">
      <c r="I6644" s="1"/>
      <c r="J6644" s="71"/>
      <c r="M6644" s="46"/>
      <c r="R6644" s="51"/>
      <c r="S6644" s="51"/>
    </row>
    <row r="6645" spans="9:19" x14ac:dyDescent="0.25">
      <c r="I6645" s="1"/>
      <c r="J6645" s="71"/>
      <c r="M6645" s="46"/>
      <c r="R6645" s="51"/>
      <c r="S6645" s="51"/>
    </row>
    <row r="6646" spans="9:19" x14ac:dyDescent="0.25">
      <c r="I6646" s="1"/>
      <c r="J6646" s="71"/>
      <c r="M6646" s="46"/>
      <c r="R6646" s="51"/>
      <c r="S6646" s="51"/>
    </row>
    <row r="6647" spans="9:19" x14ac:dyDescent="0.25">
      <c r="I6647" s="1"/>
      <c r="J6647" s="71"/>
      <c r="M6647" s="46"/>
      <c r="R6647" s="51"/>
      <c r="S6647" s="51"/>
    </row>
    <row r="6648" spans="9:19" x14ac:dyDescent="0.25">
      <c r="I6648" s="1"/>
      <c r="J6648" s="71"/>
      <c r="M6648" s="46"/>
      <c r="R6648" s="51"/>
      <c r="S6648" s="51"/>
    </row>
    <row r="6649" spans="9:19" x14ac:dyDescent="0.25">
      <c r="I6649" s="1"/>
      <c r="J6649" s="71"/>
      <c r="M6649" s="46"/>
      <c r="R6649" s="51"/>
      <c r="S6649" s="51"/>
    </row>
    <row r="6650" spans="9:19" x14ac:dyDescent="0.25">
      <c r="I6650" s="1"/>
      <c r="J6650" s="71"/>
      <c r="M6650" s="46"/>
      <c r="R6650" s="51"/>
      <c r="S6650" s="51"/>
    </row>
    <row r="6651" spans="9:19" x14ac:dyDescent="0.25">
      <c r="I6651" s="1"/>
      <c r="J6651" s="71"/>
      <c r="M6651" s="46"/>
      <c r="R6651" s="51"/>
      <c r="S6651" s="51"/>
    </row>
    <row r="6652" spans="9:19" x14ac:dyDescent="0.25">
      <c r="I6652" s="1"/>
      <c r="J6652" s="71"/>
      <c r="M6652" s="46"/>
      <c r="R6652" s="51"/>
      <c r="S6652" s="51"/>
    </row>
    <row r="6653" spans="9:19" x14ac:dyDescent="0.25">
      <c r="I6653" s="1"/>
      <c r="J6653" s="71"/>
      <c r="M6653" s="46"/>
      <c r="R6653" s="51"/>
      <c r="S6653" s="51"/>
    </row>
    <row r="6654" spans="9:19" x14ac:dyDescent="0.25">
      <c r="I6654" s="1"/>
      <c r="J6654" s="71"/>
      <c r="M6654" s="46"/>
      <c r="R6654" s="51"/>
      <c r="S6654" s="51"/>
    </row>
    <row r="6655" spans="9:19" x14ac:dyDescent="0.25">
      <c r="I6655" s="1"/>
      <c r="J6655" s="71"/>
      <c r="M6655" s="46"/>
      <c r="R6655" s="51"/>
      <c r="S6655" s="51"/>
    </row>
    <row r="6656" spans="9:19" x14ac:dyDescent="0.25">
      <c r="I6656" s="1"/>
      <c r="J6656" s="71"/>
      <c r="M6656" s="46"/>
      <c r="R6656" s="51"/>
      <c r="S6656" s="51"/>
    </row>
    <row r="6657" spans="9:19" x14ac:dyDescent="0.25">
      <c r="I6657" s="1"/>
      <c r="J6657" s="71"/>
      <c r="M6657" s="46"/>
      <c r="R6657" s="51"/>
      <c r="S6657" s="51"/>
    </row>
    <row r="6658" spans="9:19" x14ac:dyDescent="0.25">
      <c r="I6658" s="1"/>
      <c r="J6658" s="71"/>
      <c r="M6658" s="46"/>
      <c r="R6658" s="51"/>
      <c r="S6658" s="51"/>
    </row>
    <row r="6659" spans="9:19" x14ac:dyDescent="0.25">
      <c r="I6659" s="1"/>
      <c r="J6659" s="71"/>
      <c r="M6659" s="46"/>
      <c r="R6659" s="51"/>
      <c r="S6659" s="51"/>
    </row>
    <row r="6660" spans="9:19" x14ac:dyDescent="0.25">
      <c r="I6660" s="1"/>
      <c r="J6660" s="71"/>
      <c r="M6660" s="46"/>
      <c r="R6660" s="51"/>
      <c r="S6660" s="51"/>
    </row>
    <row r="6661" spans="9:19" x14ac:dyDescent="0.25">
      <c r="I6661" s="1"/>
      <c r="J6661" s="71"/>
      <c r="M6661" s="46"/>
      <c r="R6661" s="51"/>
      <c r="S6661" s="51"/>
    </row>
    <row r="6662" spans="9:19" x14ac:dyDescent="0.25">
      <c r="I6662" s="1"/>
      <c r="J6662" s="71"/>
      <c r="M6662" s="46"/>
      <c r="R6662" s="51"/>
      <c r="S6662" s="51"/>
    </row>
    <row r="6663" spans="9:19" x14ac:dyDescent="0.25">
      <c r="I6663" s="1"/>
      <c r="J6663" s="71"/>
      <c r="M6663" s="46"/>
      <c r="R6663" s="51"/>
      <c r="S6663" s="51"/>
    </row>
    <row r="6664" spans="9:19" x14ac:dyDescent="0.25">
      <c r="I6664" s="1"/>
      <c r="J6664" s="71"/>
      <c r="M6664" s="46"/>
      <c r="R6664" s="51"/>
      <c r="S6664" s="51"/>
    </row>
    <row r="6665" spans="9:19" x14ac:dyDescent="0.25">
      <c r="I6665" s="1"/>
      <c r="J6665" s="71"/>
      <c r="M6665" s="46"/>
      <c r="R6665" s="51"/>
      <c r="S6665" s="51"/>
    </row>
    <row r="6666" spans="9:19" x14ac:dyDescent="0.25">
      <c r="I6666" s="1"/>
      <c r="J6666" s="71"/>
      <c r="M6666" s="46"/>
      <c r="R6666" s="51"/>
      <c r="S6666" s="51"/>
    </row>
    <row r="6667" spans="9:19" x14ac:dyDescent="0.25">
      <c r="I6667" s="1"/>
      <c r="J6667" s="71"/>
      <c r="M6667" s="46"/>
      <c r="R6667" s="51"/>
      <c r="S6667" s="51"/>
    </row>
    <row r="6668" spans="9:19" x14ac:dyDescent="0.25">
      <c r="I6668" s="1"/>
      <c r="J6668" s="71"/>
      <c r="M6668" s="46"/>
      <c r="R6668" s="51"/>
      <c r="S6668" s="51"/>
    </row>
    <row r="6669" spans="9:19" x14ac:dyDescent="0.25">
      <c r="I6669" s="1"/>
      <c r="J6669" s="71"/>
      <c r="M6669" s="46"/>
      <c r="R6669" s="51"/>
      <c r="S6669" s="51"/>
    </row>
    <row r="6670" spans="9:19" x14ac:dyDescent="0.25">
      <c r="I6670" s="1"/>
      <c r="J6670" s="71"/>
      <c r="M6670" s="46"/>
      <c r="R6670" s="51"/>
      <c r="S6670" s="51"/>
    </row>
    <row r="6671" spans="9:19" x14ac:dyDescent="0.25">
      <c r="I6671" s="1"/>
      <c r="J6671" s="71"/>
      <c r="M6671" s="46"/>
      <c r="R6671" s="51"/>
      <c r="S6671" s="51"/>
    </row>
    <row r="6672" spans="9:19" x14ac:dyDescent="0.25">
      <c r="I6672" s="1"/>
      <c r="J6672" s="71"/>
      <c r="M6672" s="46"/>
      <c r="R6672" s="51"/>
      <c r="S6672" s="51"/>
    </row>
    <row r="6673" spans="9:19" x14ac:dyDescent="0.25">
      <c r="I6673" s="1"/>
      <c r="J6673" s="71"/>
      <c r="M6673" s="46"/>
      <c r="R6673" s="51"/>
      <c r="S6673" s="51"/>
    </row>
    <row r="6674" spans="9:19" x14ac:dyDescent="0.25">
      <c r="I6674" s="1"/>
      <c r="J6674" s="71"/>
      <c r="M6674" s="46"/>
      <c r="R6674" s="51"/>
      <c r="S6674" s="51"/>
    </row>
    <row r="6675" spans="9:19" x14ac:dyDescent="0.25">
      <c r="I6675" s="1"/>
      <c r="J6675" s="71"/>
      <c r="M6675" s="46"/>
      <c r="R6675" s="51"/>
      <c r="S6675" s="51"/>
    </row>
    <row r="6676" spans="9:19" x14ac:dyDescent="0.25">
      <c r="I6676" s="1"/>
      <c r="J6676" s="71"/>
      <c r="M6676" s="46"/>
      <c r="R6676" s="51"/>
      <c r="S6676" s="51"/>
    </row>
    <row r="6677" spans="9:19" x14ac:dyDescent="0.25">
      <c r="I6677" s="1"/>
      <c r="J6677" s="71"/>
      <c r="M6677" s="46"/>
      <c r="R6677" s="51"/>
      <c r="S6677" s="51"/>
    </row>
    <row r="6678" spans="9:19" x14ac:dyDescent="0.25">
      <c r="I6678" s="1"/>
      <c r="J6678" s="71"/>
      <c r="M6678" s="46"/>
      <c r="R6678" s="51"/>
      <c r="S6678" s="51"/>
    </row>
    <row r="6679" spans="9:19" x14ac:dyDescent="0.25">
      <c r="I6679" s="1"/>
      <c r="J6679" s="71"/>
      <c r="M6679" s="46"/>
      <c r="R6679" s="51"/>
      <c r="S6679" s="51"/>
    </row>
    <row r="6680" spans="9:19" x14ac:dyDescent="0.25">
      <c r="I6680" s="1"/>
      <c r="J6680" s="71"/>
      <c r="M6680" s="46"/>
      <c r="R6680" s="51"/>
      <c r="S6680" s="51"/>
    </row>
    <row r="6681" spans="9:19" x14ac:dyDescent="0.25">
      <c r="I6681" s="1"/>
      <c r="J6681" s="71"/>
      <c r="M6681" s="46"/>
      <c r="R6681" s="51"/>
      <c r="S6681" s="51"/>
    </row>
    <row r="6682" spans="9:19" x14ac:dyDescent="0.25">
      <c r="I6682" s="1"/>
      <c r="J6682" s="71"/>
      <c r="M6682" s="46"/>
      <c r="R6682" s="51"/>
      <c r="S6682" s="51"/>
    </row>
    <row r="6683" spans="9:19" x14ac:dyDescent="0.25">
      <c r="I6683" s="1"/>
      <c r="J6683" s="71"/>
      <c r="M6683" s="46"/>
      <c r="R6683" s="51"/>
      <c r="S6683" s="51"/>
    </row>
    <row r="6684" spans="9:19" x14ac:dyDescent="0.25">
      <c r="I6684" s="1"/>
      <c r="J6684" s="71"/>
      <c r="M6684" s="46"/>
      <c r="R6684" s="51"/>
      <c r="S6684" s="51"/>
    </row>
    <row r="6685" spans="9:19" x14ac:dyDescent="0.25">
      <c r="I6685" s="1"/>
      <c r="J6685" s="71"/>
      <c r="M6685" s="46"/>
      <c r="R6685" s="51"/>
      <c r="S6685" s="51"/>
    </row>
    <row r="6686" spans="9:19" x14ac:dyDescent="0.25">
      <c r="I6686" s="1"/>
      <c r="J6686" s="71"/>
      <c r="M6686" s="46"/>
      <c r="R6686" s="51"/>
      <c r="S6686" s="51"/>
    </row>
    <row r="6687" spans="9:19" x14ac:dyDescent="0.25">
      <c r="I6687" s="1"/>
      <c r="J6687" s="71"/>
      <c r="M6687" s="46"/>
      <c r="R6687" s="51"/>
      <c r="S6687" s="51"/>
    </row>
    <row r="6688" spans="9:19" x14ac:dyDescent="0.25">
      <c r="I6688" s="1"/>
      <c r="J6688" s="71"/>
      <c r="M6688" s="46"/>
      <c r="R6688" s="51"/>
      <c r="S6688" s="51"/>
    </row>
    <row r="6689" spans="9:19" x14ac:dyDescent="0.25">
      <c r="I6689" s="1"/>
      <c r="J6689" s="71"/>
      <c r="M6689" s="46"/>
      <c r="R6689" s="51"/>
      <c r="S6689" s="51"/>
    </row>
    <row r="6690" spans="9:19" x14ac:dyDescent="0.25">
      <c r="I6690" s="1"/>
      <c r="J6690" s="71"/>
      <c r="M6690" s="46"/>
      <c r="R6690" s="51"/>
      <c r="S6690" s="51"/>
    </row>
    <row r="6691" spans="9:19" x14ac:dyDescent="0.25">
      <c r="I6691" s="1"/>
      <c r="J6691" s="71"/>
      <c r="M6691" s="46"/>
      <c r="R6691" s="51"/>
      <c r="S6691" s="51"/>
    </row>
    <row r="6692" spans="9:19" x14ac:dyDescent="0.25">
      <c r="I6692" s="1"/>
      <c r="J6692" s="71"/>
      <c r="M6692" s="46"/>
      <c r="R6692" s="51"/>
      <c r="S6692" s="51"/>
    </row>
    <row r="6693" spans="9:19" x14ac:dyDescent="0.25">
      <c r="I6693" s="1"/>
      <c r="J6693" s="71"/>
      <c r="M6693" s="46"/>
      <c r="R6693" s="51"/>
      <c r="S6693" s="51"/>
    </row>
    <row r="6694" spans="9:19" x14ac:dyDescent="0.25">
      <c r="I6694" s="1"/>
      <c r="J6694" s="71"/>
      <c r="M6694" s="46"/>
      <c r="R6694" s="51"/>
      <c r="S6694" s="51"/>
    </row>
    <row r="6695" spans="9:19" x14ac:dyDescent="0.25">
      <c r="I6695" s="1"/>
      <c r="J6695" s="71"/>
      <c r="M6695" s="46"/>
      <c r="R6695" s="51"/>
      <c r="S6695" s="51"/>
    </row>
    <row r="6696" spans="9:19" x14ac:dyDescent="0.25">
      <c r="I6696" s="1"/>
      <c r="J6696" s="71"/>
      <c r="M6696" s="46"/>
      <c r="R6696" s="51"/>
      <c r="S6696" s="51"/>
    </row>
    <row r="6697" spans="9:19" x14ac:dyDescent="0.25">
      <c r="I6697" s="1"/>
      <c r="J6697" s="71"/>
      <c r="M6697" s="46"/>
      <c r="R6697" s="51"/>
      <c r="S6697" s="51"/>
    </row>
    <row r="6698" spans="9:19" x14ac:dyDescent="0.25">
      <c r="I6698" s="1"/>
      <c r="J6698" s="71"/>
      <c r="M6698" s="46"/>
      <c r="R6698" s="51"/>
      <c r="S6698" s="51"/>
    </row>
    <row r="6699" spans="9:19" x14ac:dyDescent="0.25">
      <c r="I6699" s="1"/>
      <c r="J6699" s="71"/>
      <c r="M6699" s="46"/>
      <c r="R6699" s="51"/>
      <c r="S6699" s="51"/>
    </row>
    <row r="6700" spans="9:19" x14ac:dyDescent="0.25">
      <c r="I6700" s="1"/>
      <c r="J6700" s="71"/>
      <c r="M6700" s="46"/>
      <c r="R6700" s="51"/>
      <c r="S6700" s="51"/>
    </row>
    <row r="6701" spans="9:19" x14ac:dyDescent="0.25">
      <c r="I6701" s="1"/>
      <c r="J6701" s="71"/>
      <c r="M6701" s="46"/>
      <c r="R6701" s="51"/>
      <c r="S6701" s="51"/>
    </row>
    <row r="6702" spans="9:19" x14ac:dyDescent="0.25">
      <c r="I6702" s="1"/>
      <c r="J6702" s="71"/>
      <c r="M6702" s="46"/>
      <c r="R6702" s="51"/>
      <c r="S6702" s="51"/>
    </row>
    <row r="6703" spans="9:19" x14ac:dyDescent="0.25">
      <c r="I6703" s="1"/>
      <c r="J6703" s="71"/>
      <c r="M6703" s="46"/>
      <c r="R6703" s="51"/>
      <c r="S6703" s="51"/>
    </row>
    <row r="6704" spans="9:19" x14ac:dyDescent="0.25">
      <c r="I6704" s="1"/>
      <c r="J6704" s="71"/>
      <c r="M6704" s="46"/>
      <c r="R6704" s="51"/>
      <c r="S6704" s="51"/>
    </row>
    <row r="6705" spans="9:19" x14ac:dyDescent="0.25">
      <c r="I6705" s="1"/>
      <c r="J6705" s="71"/>
      <c r="M6705" s="46"/>
      <c r="R6705" s="51"/>
      <c r="S6705" s="51"/>
    </row>
    <row r="6706" spans="9:19" x14ac:dyDescent="0.25">
      <c r="I6706" s="1"/>
      <c r="J6706" s="71"/>
      <c r="M6706" s="46"/>
      <c r="R6706" s="51"/>
      <c r="S6706" s="51"/>
    </row>
    <row r="6707" spans="9:19" x14ac:dyDescent="0.25">
      <c r="I6707" s="1"/>
      <c r="J6707" s="71"/>
      <c r="M6707" s="46"/>
      <c r="R6707" s="51"/>
      <c r="S6707" s="51"/>
    </row>
    <row r="6708" spans="9:19" x14ac:dyDescent="0.25">
      <c r="I6708" s="1"/>
      <c r="J6708" s="71"/>
      <c r="M6708" s="46"/>
      <c r="R6708" s="51"/>
      <c r="S6708" s="51"/>
    </row>
    <row r="6709" spans="9:19" x14ac:dyDescent="0.25">
      <c r="I6709" s="1"/>
      <c r="J6709" s="71"/>
      <c r="M6709" s="46"/>
      <c r="R6709" s="51"/>
      <c r="S6709" s="51"/>
    </row>
    <row r="6710" spans="9:19" x14ac:dyDescent="0.25">
      <c r="I6710" s="1"/>
      <c r="J6710" s="71"/>
      <c r="M6710" s="46"/>
      <c r="R6710" s="51"/>
      <c r="S6710" s="51"/>
    </row>
    <row r="6711" spans="9:19" x14ac:dyDescent="0.25">
      <c r="I6711" s="1"/>
      <c r="J6711" s="71"/>
      <c r="M6711" s="46"/>
      <c r="R6711" s="51"/>
      <c r="S6711" s="51"/>
    </row>
    <row r="6712" spans="9:19" x14ac:dyDescent="0.25">
      <c r="I6712" s="1"/>
      <c r="J6712" s="71"/>
      <c r="M6712" s="46"/>
      <c r="R6712" s="51"/>
      <c r="S6712" s="51"/>
    </row>
    <row r="6713" spans="9:19" x14ac:dyDescent="0.25">
      <c r="I6713" s="1"/>
      <c r="J6713" s="71"/>
      <c r="M6713" s="46"/>
      <c r="R6713" s="51"/>
      <c r="S6713" s="51"/>
    </row>
    <row r="6714" spans="9:19" x14ac:dyDescent="0.25">
      <c r="I6714" s="1"/>
      <c r="J6714" s="71"/>
      <c r="M6714" s="46"/>
      <c r="R6714" s="51"/>
      <c r="S6714" s="51"/>
    </row>
    <row r="6715" spans="9:19" x14ac:dyDescent="0.25">
      <c r="I6715" s="1"/>
      <c r="J6715" s="71"/>
      <c r="M6715" s="46"/>
      <c r="R6715" s="51"/>
      <c r="S6715" s="51"/>
    </row>
    <row r="6716" spans="9:19" x14ac:dyDescent="0.25">
      <c r="I6716" s="1"/>
      <c r="J6716" s="71"/>
      <c r="M6716" s="46"/>
      <c r="R6716" s="51"/>
      <c r="S6716" s="51"/>
    </row>
    <row r="6717" spans="9:19" x14ac:dyDescent="0.25">
      <c r="I6717" s="1"/>
      <c r="J6717" s="71"/>
      <c r="M6717" s="46"/>
      <c r="R6717" s="51"/>
      <c r="S6717" s="51"/>
    </row>
    <row r="6718" spans="9:19" x14ac:dyDescent="0.25">
      <c r="I6718" s="1"/>
      <c r="J6718" s="71"/>
      <c r="M6718" s="46"/>
      <c r="R6718" s="51"/>
      <c r="S6718" s="51"/>
    </row>
    <row r="6719" spans="9:19" x14ac:dyDescent="0.25">
      <c r="I6719" s="1"/>
      <c r="J6719" s="71"/>
      <c r="M6719" s="46"/>
      <c r="R6719" s="51"/>
      <c r="S6719" s="51"/>
    </row>
    <row r="6720" spans="9:19" x14ac:dyDescent="0.25">
      <c r="I6720" s="1"/>
      <c r="J6720" s="71"/>
      <c r="M6720" s="46"/>
      <c r="R6720" s="51"/>
      <c r="S6720" s="51"/>
    </row>
    <row r="6721" spans="9:19" x14ac:dyDescent="0.25">
      <c r="I6721" s="1"/>
      <c r="J6721" s="71"/>
      <c r="M6721" s="46"/>
      <c r="R6721" s="51"/>
      <c r="S6721" s="51"/>
    </row>
    <row r="6722" spans="9:19" x14ac:dyDescent="0.25">
      <c r="I6722" s="1"/>
      <c r="J6722" s="71"/>
      <c r="M6722" s="46"/>
      <c r="R6722" s="51"/>
      <c r="S6722" s="51"/>
    </row>
    <row r="6723" spans="9:19" x14ac:dyDescent="0.25">
      <c r="I6723" s="1"/>
      <c r="J6723" s="71"/>
      <c r="M6723" s="46"/>
      <c r="R6723" s="51"/>
      <c r="S6723" s="51"/>
    </row>
    <row r="6724" spans="9:19" x14ac:dyDescent="0.25">
      <c r="I6724" s="1"/>
      <c r="J6724" s="71"/>
      <c r="M6724" s="46"/>
      <c r="R6724" s="51"/>
      <c r="S6724" s="51"/>
    </row>
    <row r="6725" spans="9:19" x14ac:dyDescent="0.25">
      <c r="I6725" s="1"/>
      <c r="J6725" s="71"/>
      <c r="M6725" s="46"/>
      <c r="R6725" s="51"/>
      <c r="S6725" s="51"/>
    </row>
    <row r="6726" spans="9:19" x14ac:dyDescent="0.25">
      <c r="I6726" s="1"/>
      <c r="J6726" s="71"/>
      <c r="M6726" s="46"/>
      <c r="R6726" s="51"/>
      <c r="S6726" s="51"/>
    </row>
    <row r="6727" spans="9:19" x14ac:dyDescent="0.25">
      <c r="I6727" s="1"/>
      <c r="J6727" s="71"/>
      <c r="M6727" s="46"/>
      <c r="R6727" s="51"/>
      <c r="S6727" s="51"/>
    </row>
    <row r="6728" spans="9:19" x14ac:dyDescent="0.25">
      <c r="I6728" s="1"/>
      <c r="J6728" s="71"/>
      <c r="M6728" s="46"/>
      <c r="R6728" s="51"/>
      <c r="S6728" s="51"/>
    </row>
    <row r="6729" spans="9:19" x14ac:dyDescent="0.25">
      <c r="I6729" s="1"/>
      <c r="J6729" s="71"/>
      <c r="M6729" s="46"/>
      <c r="R6729" s="51"/>
      <c r="S6729" s="51"/>
    </row>
    <row r="6730" spans="9:19" x14ac:dyDescent="0.25">
      <c r="I6730" s="1"/>
      <c r="J6730" s="71"/>
      <c r="M6730" s="46"/>
      <c r="R6730" s="51"/>
      <c r="S6730" s="51"/>
    </row>
    <row r="6731" spans="9:19" x14ac:dyDescent="0.25">
      <c r="I6731" s="1"/>
      <c r="J6731" s="71"/>
      <c r="M6731" s="46"/>
      <c r="R6731" s="51"/>
      <c r="S6731" s="51"/>
    </row>
    <row r="6732" spans="9:19" x14ac:dyDescent="0.25">
      <c r="I6732" s="1"/>
      <c r="J6732" s="71"/>
      <c r="M6732" s="46"/>
      <c r="R6732" s="51"/>
      <c r="S6732" s="51"/>
    </row>
    <row r="6733" spans="9:19" x14ac:dyDescent="0.25">
      <c r="I6733" s="1"/>
      <c r="J6733" s="71"/>
      <c r="M6733" s="46"/>
      <c r="R6733" s="51"/>
      <c r="S6733" s="51"/>
    </row>
    <row r="6734" spans="9:19" x14ac:dyDescent="0.25">
      <c r="I6734" s="1"/>
      <c r="J6734" s="71"/>
      <c r="M6734" s="46"/>
      <c r="R6734" s="51"/>
      <c r="S6734" s="51"/>
    </row>
    <row r="6735" spans="9:19" x14ac:dyDescent="0.25">
      <c r="I6735" s="1"/>
      <c r="J6735" s="71"/>
      <c r="M6735" s="46"/>
      <c r="R6735" s="51"/>
      <c r="S6735" s="51"/>
    </row>
    <row r="6736" spans="9:19" x14ac:dyDescent="0.25">
      <c r="I6736" s="1"/>
      <c r="J6736" s="71"/>
      <c r="M6736" s="46"/>
      <c r="R6736" s="51"/>
      <c r="S6736" s="51"/>
    </row>
    <row r="6737" spans="9:19" x14ac:dyDescent="0.25">
      <c r="I6737" s="1"/>
      <c r="J6737" s="71"/>
      <c r="M6737" s="46"/>
      <c r="R6737" s="51"/>
      <c r="S6737" s="51"/>
    </row>
    <row r="6738" spans="9:19" x14ac:dyDescent="0.25">
      <c r="I6738" s="1"/>
      <c r="J6738" s="71"/>
      <c r="M6738" s="46"/>
      <c r="R6738" s="51"/>
      <c r="S6738" s="51"/>
    </row>
    <row r="6739" spans="9:19" x14ac:dyDescent="0.25">
      <c r="I6739" s="1"/>
      <c r="J6739" s="71"/>
      <c r="M6739" s="46"/>
      <c r="R6739" s="51"/>
      <c r="S6739" s="51"/>
    </row>
    <row r="6740" spans="9:19" x14ac:dyDescent="0.25">
      <c r="I6740" s="1"/>
      <c r="J6740" s="71"/>
      <c r="M6740" s="46"/>
      <c r="R6740" s="51"/>
      <c r="S6740" s="51"/>
    </row>
    <row r="6741" spans="9:19" x14ac:dyDescent="0.25">
      <c r="I6741" s="1"/>
      <c r="J6741" s="71"/>
      <c r="M6741" s="46"/>
      <c r="R6741" s="51"/>
      <c r="S6741" s="51"/>
    </row>
    <row r="6742" spans="9:19" x14ac:dyDescent="0.25">
      <c r="I6742" s="1"/>
      <c r="J6742" s="71"/>
      <c r="M6742" s="46"/>
      <c r="R6742" s="51"/>
      <c r="S6742" s="51"/>
    </row>
    <row r="6743" spans="9:19" x14ac:dyDescent="0.25">
      <c r="I6743" s="1"/>
      <c r="J6743" s="71"/>
      <c r="M6743" s="46"/>
      <c r="R6743" s="51"/>
      <c r="S6743" s="51"/>
    </row>
    <row r="6744" spans="9:19" x14ac:dyDescent="0.25">
      <c r="I6744" s="1"/>
      <c r="J6744" s="71"/>
      <c r="M6744" s="46"/>
      <c r="R6744" s="51"/>
      <c r="S6744" s="51"/>
    </row>
    <row r="6745" spans="9:19" x14ac:dyDescent="0.25">
      <c r="I6745" s="1"/>
      <c r="J6745" s="71"/>
      <c r="M6745" s="46"/>
      <c r="R6745" s="51"/>
      <c r="S6745" s="51"/>
    </row>
    <row r="6746" spans="9:19" x14ac:dyDescent="0.25">
      <c r="I6746" s="1"/>
      <c r="J6746" s="71"/>
      <c r="M6746" s="46"/>
      <c r="R6746" s="51"/>
      <c r="S6746" s="51"/>
    </row>
    <row r="6747" spans="9:19" x14ac:dyDescent="0.25">
      <c r="I6747" s="1"/>
      <c r="J6747" s="71"/>
      <c r="M6747" s="46"/>
      <c r="R6747" s="51"/>
      <c r="S6747" s="51"/>
    </row>
    <row r="6748" spans="9:19" x14ac:dyDescent="0.25">
      <c r="I6748" s="1"/>
      <c r="J6748" s="71"/>
      <c r="M6748" s="46"/>
      <c r="R6748" s="51"/>
      <c r="S6748" s="51"/>
    </row>
    <row r="6749" spans="9:19" x14ac:dyDescent="0.25">
      <c r="I6749" s="1"/>
      <c r="J6749" s="71"/>
      <c r="M6749" s="46"/>
      <c r="R6749" s="51"/>
      <c r="S6749" s="51"/>
    </row>
    <row r="6750" spans="9:19" x14ac:dyDescent="0.25">
      <c r="I6750" s="1"/>
      <c r="J6750" s="71"/>
      <c r="M6750" s="46"/>
      <c r="R6750" s="51"/>
      <c r="S6750" s="51"/>
    </row>
    <row r="6751" spans="9:19" x14ac:dyDescent="0.25">
      <c r="I6751" s="1"/>
      <c r="J6751" s="71"/>
      <c r="M6751" s="46"/>
      <c r="R6751" s="51"/>
      <c r="S6751" s="51"/>
    </row>
    <row r="6752" spans="9:19" x14ac:dyDescent="0.25">
      <c r="I6752" s="1"/>
      <c r="J6752" s="71"/>
      <c r="M6752" s="46"/>
      <c r="R6752" s="51"/>
      <c r="S6752" s="51"/>
    </row>
    <row r="6753" spans="9:19" x14ac:dyDescent="0.25">
      <c r="I6753" s="1"/>
      <c r="J6753" s="71"/>
      <c r="M6753" s="46"/>
      <c r="R6753" s="51"/>
      <c r="S6753" s="51"/>
    </row>
    <row r="6754" spans="9:19" x14ac:dyDescent="0.25">
      <c r="I6754" s="1"/>
      <c r="J6754" s="71"/>
      <c r="M6754" s="46"/>
      <c r="R6754" s="51"/>
      <c r="S6754" s="51"/>
    </row>
    <row r="6755" spans="9:19" x14ac:dyDescent="0.25">
      <c r="I6755" s="1"/>
      <c r="J6755" s="71"/>
      <c r="M6755" s="46"/>
      <c r="R6755" s="51"/>
      <c r="S6755" s="51"/>
    </row>
    <row r="6756" spans="9:19" x14ac:dyDescent="0.25">
      <c r="I6756" s="1"/>
      <c r="J6756" s="71"/>
      <c r="M6756" s="46"/>
      <c r="R6756" s="51"/>
      <c r="S6756" s="51"/>
    </row>
    <row r="6757" spans="9:19" x14ac:dyDescent="0.25">
      <c r="I6757" s="1"/>
      <c r="J6757" s="71"/>
      <c r="M6757" s="46"/>
      <c r="R6757" s="51"/>
      <c r="S6757" s="51"/>
    </row>
    <row r="6758" spans="9:19" x14ac:dyDescent="0.25">
      <c r="I6758" s="1"/>
      <c r="J6758" s="71"/>
      <c r="M6758" s="46"/>
      <c r="R6758" s="51"/>
      <c r="S6758" s="51"/>
    </row>
    <row r="6759" spans="9:19" x14ac:dyDescent="0.25">
      <c r="I6759" s="1"/>
      <c r="J6759" s="71"/>
      <c r="M6759" s="46"/>
      <c r="R6759" s="51"/>
      <c r="S6759" s="51"/>
    </row>
    <row r="6760" spans="9:19" x14ac:dyDescent="0.25">
      <c r="I6760" s="1"/>
      <c r="J6760" s="71"/>
      <c r="M6760" s="46"/>
      <c r="R6760" s="51"/>
      <c r="S6760" s="51"/>
    </row>
    <row r="6761" spans="9:19" x14ac:dyDescent="0.25">
      <c r="I6761" s="1"/>
      <c r="J6761" s="71"/>
      <c r="M6761" s="46"/>
      <c r="R6761" s="51"/>
      <c r="S6761" s="51"/>
    </row>
    <row r="6762" spans="9:19" x14ac:dyDescent="0.25">
      <c r="I6762" s="1"/>
      <c r="J6762" s="71"/>
      <c r="M6762" s="46"/>
      <c r="R6762" s="51"/>
      <c r="S6762" s="51"/>
    </row>
    <row r="6763" spans="9:19" x14ac:dyDescent="0.25">
      <c r="I6763" s="1"/>
      <c r="J6763" s="71"/>
      <c r="M6763" s="46"/>
      <c r="R6763" s="51"/>
      <c r="S6763" s="51"/>
    </row>
    <row r="6764" spans="9:19" x14ac:dyDescent="0.25">
      <c r="I6764" s="1"/>
      <c r="J6764" s="71"/>
      <c r="M6764" s="46"/>
      <c r="R6764" s="51"/>
      <c r="S6764" s="51"/>
    </row>
    <row r="6765" spans="9:19" x14ac:dyDescent="0.25">
      <c r="I6765" s="1"/>
      <c r="J6765" s="71"/>
      <c r="M6765" s="46"/>
      <c r="R6765" s="51"/>
      <c r="S6765" s="51"/>
    </row>
    <row r="6766" spans="9:19" x14ac:dyDescent="0.25">
      <c r="I6766" s="1"/>
      <c r="J6766" s="71"/>
      <c r="M6766" s="46"/>
      <c r="R6766" s="51"/>
      <c r="S6766" s="51"/>
    </row>
    <row r="6767" spans="9:19" x14ac:dyDescent="0.25">
      <c r="I6767" s="1"/>
      <c r="J6767" s="71"/>
      <c r="M6767" s="46"/>
      <c r="R6767" s="51"/>
      <c r="S6767" s="51"/>
    </row>
    <row r="6768" spans="9:19" x14ac:dyDescent="0.25">
      <c r="I6768" s="1"/>
      <c r="J6768" s="71"/>
      <c r="M6768" s="46"/>
      <c r="R6768" s="51"/>
      <c r="S6768" s="51"/>
    </row>
    <row r="6769" spans="9:19" x14ac:dyDescent="0.25">
      <c r="I6769" s="1"/>
      <c r="J6769" s="71"/>
      <c r="M6769" s="46"/>
      <c r="R6769" s="51"/>
      <c r="S6769" s="51"/>
    </row>
    <row r="6770" spans="9:19" x14ac:dyDescent="0.25">
      <c r="I6770" s="1"/>
      <c r="J6770" s="71"/>
      <c r="M6770" s="46"/>
      <c r="R6770" s="51"/>
      <c r="S6770" s="51"/>
    </row>
    <row r="6771" spans="9:19" x14ac:dyDescent="0.25">
      <c r="I6771" s="1"/>
      <c r="J6771" s="71"/>
      <c r="M6771" s="46"/>
      <c r="R6771" s="51"/>
      <c r="S6771" s="51"/>
    </row>
    <row r="6772" spans="9:19" x14ac:dyDescent="0.25">
      <c r="I6772" s="1"/>
      <c r="J6772" s="71"/>
      <c r="M6772" s="46"/>
      <c r="R6772" s="51"/>
      <c r="S6772" s="51"/>
    </row>
    <row r="6773" spans="9:19" x14ac:dyDescent="0.25">
      <c r="I6773" s="1"/>
      <c r="J6773" s="71"/>
      <c r="M6773" s="46"/>
      <c r="R6773" s="51"/>
      <c r="S6773" s="51"/>
    </row>
    <row r="6774" spans="9:19" x14ac:dyDescent="0.25">
      <c r="I6774" s="1"/>
      <c r="J6774" s="71"/>
      <c r="M6774" s="46"/>
      <c r="R6774" s="51"/>
      <c r="S6774" s="51"/>
    </row>
    <row r="6775" spans="9:19" x14ac:dyDescent="0.25">
      <c r="I6775" s="1"/>
      <c r="J6775" s="71"/>
      <c r="M6775" s="46"/>
      <c r="R6775" s="51"/>
      <c r="S6775" s="51"/>
    </row>
    <row r="6776" spans="9:19" x14ac:dyDescent="0.25">
      <c r="I6776" s="1"/>
      <c r="J6776" s="71"/>
      <c r="M6776" s="46"/>
      <c r="R6776" s="51"/>
      <c r="S6776" s="51"/>
    </row>
    <row r="6777" spans="9:19" x14ac:dyDescent="0.25">
      <c r="I6777" s="1"/>
      <c r="J6777" s="71"/>
      <c r="M6777" s="46"/>
      <c r="R6777" s="51"/>
      <c r="S6777" s="51"/>
    </row>
    <row r="6778" spans="9:19" x14ac:dyDescent="0.25">
      <c r="I6778" s="1"/>
      <c r="J6778" s="71"/>
      <c r="M6778" s="46"/>
      <c r="R6778" s="51"/>
      <c r="S6778" s="51"/>
    </row>
    <row r="6779" spans="9:19" x14ac:dyDescent="0.25">
      <c r="I6779" s="1"/>
      <c r="J6779" s="71"/>
      <c r="M6779" s="46"/>
      <c r="R6779" s="51"/>
      <c r="S6779" s="51"/>
    </row>
    <row r="6780" spans="9:19" x14ac:dyDescent="0.25">
      <c r="I6780" s="1"/>
      <c r="J6780" s="71"/>
      <c r="M6780" s="46"/>
      <c r="R6780" s="51"/>
      <c r="S6780" s="51"/>
    </row>
    <row r="6781" spans="9:19" x14ac:dyDescent="0.25">
      <c r="I6781" s="1"/>
      <c r="J6781" s="71"/>
      <c r="M6781" s="46"/>
      <c r="R6781" s="51"/>
      <c r="S6781" s="51"/>
    </row>
    <row r="6782" spans="9:19" x14ac:dyDescent="0.25">
      <c r="I6782" s="1"/>
      <c r="J6782" s="71"/>
      <c r="M6782" s="46"/>
      <c r="R6782" s="51"/>
      <c r="S6782" s="51"/>
    </row>
    <row r="6783" spans="9:19" x14ac:dyDescent="0.25">
      <c r="I6783" s="1"/>
      <c r="J6783" s="71"/>
      <c r="M6783" s="46"/>
      <c r="R6783" s="51"/>
      <c r="S6783" s="51"/>
    </row>
    <row r="6784" spans="9:19" x14ac:dyDescent="0.25">
      <c r="I6784" s="1"/>
      <c r="J6784" s="71"/>
      <c r="M6784" s="46"/>
      <c r="R6784" s="51"/>
      <c r="S6784" s="51"/>
    </row>
    <row r="6785" spans="9:19" x14ac:dyDescent="0.25">
      <c r="I6785" s="1"/>
      <c r="J6785" s="71"/>
      <c r="M6785" s="46"/>
      <c r="R6785" s="51"/>
      <c r="S6785" s="51"/>
    </row>
    <row r="6786" spans="9:19" x14ac:dyDescent="0.25">
      <c r="I6786" s="1"/>
      <c r="J6786" s="71"/>
      <c r="M6786" s="46"/>
      <c r="R6786" s="51"/>
      <c r="S6786" s="51"/>
    </row>
    <row r="6787" spans="9:19" x14ac:dyDescent="0.25">
      <c r="I6787" s="1"/>
      <c r="J6787" s="71"/>
      <c r="M6787" s="46"/>
      <c r="R6787" s="51"/>
      <c r="S6787" s="51"/>
    </row>
    <row r="6788" spans="9:19" x14ac:dyDescent="0.25">
      <c r="I6788" s="1"/>
      <c r="J6788" s="71"/>
      <c r="M6788" s="46"/>
      <c r="R6788" s="51"/>
      <c r="S6788" s="51"/>
    </row>
    <row r="6789" spans="9:19" x14ac:dyDescent="0.25">
      <c r="I6789" s="1"/>
      <c r="J6789" s="71"/>
      <c r="M6789" s="46"/>
      <c r="R6789" s="51"/>
      <c r="S6789" s="51"/>
    </row>
    <row r="6790" spans="9:19" x14ac:dyDescent="0.25">
      <c r="I6790" s="1"/>
      <c r="J6790" s="71"/>
      <c r="M6790" s="46"/>
      <c r="R6790" s="51"/>
      <c r="S6790" s="51"/>
    </row>
    <row r="6791" spans="9:19" x14ac:dyDescent="0.25">
      <c r="I6791" s="1"/>
      <c r="J6791" s="71"/>
      <c r="M6791" s="46"/>
      <c r="R6791" s="51"/>
      <c r="S6791" s="51"/>
    </row>
    <row r="6792" spans="9:19" x14ac:dyDescent="0.25">
      <c r="I6792" s="1"/>
      <c r="J6792" s="71"/>
      <c r="M6792" s="46"/>
      <c r="R6792" s="51"/>
      <c r="S6792" s="51"/>
    </row>
    <row r="6793" spans="9:19" x14ac:dyDescent="0.25">
      <c r="I6793" s="1"/>
      <c r="J6793" s="71"/>
      <c r="M6793" s="46"/>
      <c r="R6793" s="51"/>
      <c r="S6793" s="51"/>
    </row>
    <row r="6794" spans="9:19" x14ac:dyDescent="0.25">
      <c r="I6794" s="1"/>
      <c r="J6794" s="71"/>
      <c r="M6794" s="46"/>
      <c r="R6794" s="51"/>
      <c r="S6794" s="51"/>
    </row>
    <row r="6795" spans="9:19" x14ac:dyDescent="0.25">
      <c r="I6795" s="1"/>
      <c r="J6795" s="71"/>
      <c r="M6795" s="46"/>
      <c r="R6795" s="51"/>
      <c r="S6795" s="51"/>
    </row>
    <row r="6796" spans="9:19" x14ac:dyDescent="0.25">
      <c r="I6796" s="1"/>
      <c r="J6796" s="71"/>
      <c r="M6796" s="46"/>
      <c r="R6796" s="51"/>
      <c r="S6796" s="51"/>
    </row>
    <row r="6797" spans="9:19" x14ac:dyDescent="0.25">
      <c r="I6797" s="1"/>
      <c r="J6797" s="71"/>
      <c r="M6797" s="46"/>
      <c r="R6797" s="51"/>
      <c r="S6797" s="51"/>
    </row>
    <row r="6798" spans="9:19" x14ac:dyDescent="0.25">
      <c r="I6798" s="1"/>
      <c r="J6798" s="71"/>
      <c r="M6798" s="46"/>
      <c r="R6798" s="51"/>
      <c r="S6798" s="51"/>
    </row>
    <row r="6799" spans="9:19" x14ac:dyDescent="0.25">
      <c r="I6799" s="1"/>
      <c r="J6799" s="71"/>
      <c r="M6799" s="46"/>
      <c r="R6799" s="51"/>
      <c r="S6799" s="51"/>
    </row>
    <row r="6800" spans="9:19" x14ac:dyDescent="0.25">
      <c r="I6800" s="1"/>
      <c r="J6800" s="71"/>
      <c r="M6800" s="46"/>
      <c r="R6800" s="51"/>
      <c r="S6800" s="51"/>
    </row>
    <row r="6801" spans="9:19" x14ac:dyDescent="0.25">
      <c r="I6801" s="1"/>
      <c r="J6801" s="71"/>
      <c r="M6801" s="46"/>
      <c r="R6801" s="51"/>
      <c r="S6801" s="51"/>
    </row>
    <row r="6802" spans="9:19" x14ac:dyDescent="0.25">
      <c r="I6802" s="1"/>
      <c r="J6802" s="71"/>
      <c r="M6802" s="46"/>
      <c r="R6802" s="51"/>
      <c r="S6802" s="51"/>
    </row>
    <row r="6803" spans="9:19" x14ac:dyDescent="0.25">
      <c r="I6803" s="1"/>
      <c r="J6803" s="71"/>
      <c r="M6803" s="46"/>
      <c r="R6803" s="51"/>
      <c r="S6803" s="51"/>
    </row>
    <row r="6804" spans="9:19" x14ac:dyDescent="0.25">
      <c r="I6804" s="1"/>
      <c r="J6804" s="71"/>
      <c r="M6804" s="46"/>
      <c r="R6804" s="51"/>
      <c r="S6804" s="51"/>
    </row>
    <row r="6805" spans="9:19" x14ac:dyDescent="0.25">
      <c r="I6805" s="1"/>
      <c r="J6805" s="71"/>
      <c r="M6805" s="46"/>
      <c r="R6805" s="51"/>
      <c r="S6805" s="51"/>
    </row>
    <row r="6806" spans="9:19" x14ac:dyDescent="0.25">
      <c r="I6806" s="1"/>
      <c r="J6806" s="71"/>
      <c r="M6806" s="46"/>
      <c r="R6806" s="51"/>
      <c r="S6806" s="51"/>
    </row>
    <row r="6807" spans="9:19" x14ac:dyDescent="0.25">
      <c r="I6807" s="1"/>
      <c r="J6807" s="71"/>
      <c r="M6807" s="46"/>
      <c r="R6807" s="51"/>
      <c r="S6807" s="51"/>
    </row>
    <row r="6808" spans="9:19" x14ac:dyDescent="0.25">
      <c r="I6808" s="1"/>
      <c r="J6808" s="71"/>
      <c r="M6808" s="46"/>
      <c r="R6808" s="51"/>
      <c r="S6808" s="51"/>
    </row>
    <row r="6809" spans="9:19" x14ac:dyDescent="0.25">
      <c r="I6809" s="1"/>
      <c r="J6809" s="71"/>
      <c r="M6809" s="46"/>
      <c r="R6809" s="51"/>
      <c r="S6809" s="51"/>
    </row>
    <row r="6810" spans="9:19" x14ac:dyDescent="0.25">
      <c r="I6810" s="1"/>
      <c r="J6810" s="71"/>
      <c r="M6810" s="46"/>
      <c r="R6810" s="51"/>
      <c r="S6810" s="51"/>
    </row>
    <row r="6811" spans="9:19" x14ac:dyDescent="0.25">
      <c r="I6811" s="1"/>
      <c r="J6811" s="71"/>
      <c r="M6811" s="46"/>
      <c r="R6811" s="51"/>
      <c r="S6811" s="51"/>
    </row>
    <row r="6812" spans="9:19" x14ac:dyDescent="0.25">
      <c r="I6812" s="1"/>
      <c r="J6812" s="71"/>
      <c r="M6812" s="46"/>
      <c r="R6812" s="51"/>
      <c r="S6812" s="51"/>
    </row>
    <row r="6813" spans="9:19" x14ac:dyDescent="0.25">
      <c r="I6813" s="1"/>
      <c r="J6813" s="71"/>
      <c r="M6813" s="46"/>
      <c r="R6813" s="51"/>
      <c r="S6813" s="51"/>
    </row>
    <row r="6814" spans="9:19" x14ac:dyDescent="0.25">
      <c r="I6814" s="1"/>
      <c r="J6814" s="71"/>
      <c r="M6814" s="46"/>
      <c r="R6814" s="51"/>
      <c r="S6814" s="51"/>
    </row>
    <row r="6815" spans="9:19" x14ac:dyDescent="0.25">
      <c r="I6815" s="1"/>
      <c r="J6815" s="71"/>
      <c r="M6815" s="46"/>
      <c r="R6815" s="51"/>
      <c r="S6815" s="51"/>
    </row>
    <row r="6816" spans="9:19" x14ac:dyDescent="0.25">
      <c r="I6816" s="1"/>
      <c r="J6816" s="71"/>
      <c r="M6816" s="46"/>
      <c r="R6816" s="51"/>
      <c r="S6816" s="51"/>
    </row>
    <row r="6817" spans="9:19" x14ac:dyDescent="0.25">
      <c r="I6817" s="1"/>
      <c r="J6817" s="71"/>
      <c r="M6817" s="46"/>
      <c r="R6817" s="51"/>
      <c r="S6817" s="51"/>
    </row>
    <row r="6818" spans="9:19" x14ac:dyDescent="0.25">
      <c r="I6818" s="1"/>
      <c r="J6818" s="71"/>
      <c r="M6818" s="46"/>
      <c r="R6818" s="51"/>
      <c r="S6818" s="51"/>
    </row>
    <row r="6819" spans="9:19" x14ac:dyDescent="0.25">
      <c r="I6819" s="1"/>
      <c r="J6819" s="71"/>
      <c r="M6819" s="46"/>
      <c r="R6819" s="51"/>
      <c r="S6819" s="51"/>
    </row>
    <row r="6820" spans="9:19" x14ac:dyDescent="0.25">
      <c r="I6820" s="1"/>
      <c r="J6820" s="71"/>
      <c r="M6820" s="46"/>
      <c r="R6820" s="51"/>
      <c r="S6820" s="51"/>
    </row>
    <row r="6821" spans="9:19" x14ac:dyDescent="0.25">
      <c r="I6821" s="1"/>
      <c r="J6821" s="71"/>
      <c r="M6821" s="46"/>
      <c r="R6821" s="51"/>
      <c r="S6821" s="51"/>
    </row>
    <row r="6822" spans="9:19" x14ac:dyDescent="0.25">
      <c r="I6822" s="1"/>
      <c r="J6822" s="71"/>
      <c r="M6822" s="46"/>
      <c r="R6822" s="51"/>
      <c r="S6822" s="51"/>
    </row>
    <row r="6823" spans="9:19" x14ac:dyDescent="0.25">
      <c r="I6823" s="1"/>
      <c r="J6823" s="71"/>
      <c r="M6823" s="46"/>
      <c r="R6823" s="51"/>
      <c r="S6823" s="51"/>
    </row>
    <row r="6824" spans="9:19" x14ac:dyDescent="0.25">
      <c r="I6824" s="1"/>
      <c r="J6824" s="71"/>
      <c r="M6824" s="46"/>
      <c r="R6824" s="51"/>
      <c r="S6824" s="51"/>
    </row>
    <row r="6825" spans="9:19" x14ac:dyDescent="0.25">
      <c r="I6825" s="1"/>
      <c r="J6825" s="71"/>
      <c r="M6825" s="46"/>
      <c r="R6825" s="51"/>
      <c r="S6825" s="51"/>
    </row>
    <row r="6826" spans="9:19" x14ac:dyDescent="0.25">
      <c r="I6826" s="1"/>
      <c r="J6826" s="71"/>
      <c r="M6826" s="46"/>
      <c r="R6826" s="51"/>
      <c r="S6826" s="51"/>
    </row>
    <row r="6827" spans="9:19" x14ac:dyDescent="0.25">
      <c r="I6827" s="1"/>
      <c r="J6827" s="71"/>
      <c r="M6827" s="46"/>
      <c r="R6827" s="51"/>
      <c r="S6827" s="51"/>
    </row>
    <row r="6828" spans="9:19" x14ac:dyDescent="0.25">
      <c r="I6828" s="1"/>
      <c r="J6828" s="71"/>
      <c r="M6828" s="46"/>
      <c r="R6828" s="51"/>
      <c r="S6828" s="51"/>
    </row>
    <row r="6829" spans="9:19" x14ac:dyDescent="0.25">
      <c r="I6829" s="1"/>
      <c r="J6829" s="71"/>
      <c r="M6829" s="46"/>
      <c r="R6829" s="51"/>
      <c r="S6829" s="51"/>
    </row>
    <row r="6830" spans="9:19" x14ac:dyDescent="0.25">
      <c r="I6830" s="1"/>
      <c r="J6830" s="71"/>
      <c r="M6830" s="46"/>
      <c r="R6830" s="51"/>
      <c r="S6830" s="51"/>
    </row>
    <row r="6831" spans="9:19" x14ac:dyDescent="0.25">
      <c r="I6831" s="1"/>
      <c r="J6831" s="71"/>
      <c r="M6831" s="46"/>
      <c r="R6831" s="51"/>
      <c r="S6831" s="51"/>
    </row>
    <row r="6832" spans="9:19" x14ac:dyDescent="0.25">
      <c r="I6832" s="1"/>
      <c r="J6832" s="71"/>
      <c r="M6832" s="46"/>
      <c r="R6832" s="51"/>
      <c r="S6832" s="51"/>
    </row>
    <row r="6833" spans="9:19" x14ac:dyDescent="0.25">
      <c r="I6833" s="1"/>
      <c r="J6833" s="71"/>
      <c r="M6833" s="46"/>
      <c r="R6833" s="51"/>
      <c r="S6833" s="51"/>
    </row>
    <row r="6834" spans="9:19" x14ac:dyDescent="0.25">
      <c r="I6834" s="1"/>
      <c r="J6834" s="71"/>
      <c r="M6834" s="46"/>
      <c r="R6834" s="51"/>
      <c r="S6834" s="51"/>
    </row>
    <row r="6835" spans="9:19" x14ac:dyDescent="0.25">
      <c r="I6835" s="1"/>
      <c r="J6835" s="71"/>
      <c r="M6835" s="46"/>
      <c r="R6835" s="51"/>
      <c r="S6835" s="51"/>
    </row>
    <row r="6836" spans="9:19" x14ac:dyDescent="0.25">
      <c r="I6836" s="1"/>
      <c r="J6836" s="71"/>
      <c r="M6836" s="46"/>
      <c r="R6836" s="51"/>
      <c r="S6836" s="51"/>
    </row>
    <row r="6837" spans="9:19" x14ac:dyDescent="0.25">
      <c r="I6837" s="1"/>
      <c r="J6837" s="71"/>
      <c r="M6837" s="46"/>
      <c r="R6837" s="51"/>
      <c r="S6837" s="51"/>
    </row>
    <row r="6838" spans="9:19" x14ac:dyDescent="0.25">
      <c r="I6838" s="1"/>
      <c r="J6838" s="71"/>
      <c r="M6838" s="46"/>
      <c r="R6838" s="51"/>
      <c r="S6838" s="51"/>
    </row>
    <row r="6839" spans="9:19" x14ac:dyDescent="0.25">
      <c r="I6839" s="1"/>
      <c r="J6839" s="71"/>
      <c r="M6839" s="46"/>
      <c r="R6839" s="51"/>
      <c r="S6839" s="51"/>
    </row>
    <row r="6840" spans="9:19" x14ac:dyDescent="0.25">
      <c r="I6840" s="1"/>
      <c r="J6840" s="71"/>
      <c r="M6840" s="46"/>
      <c r="R6840" s="51"/>
      <c r="S6840" s="51"/>
    </row>
    <row r="6841" spans="9:19" x14ac:dyDescent="0.25">
      <c r="I6841" s="1"/>
      <c r="J6841" s="71"/>
      <c r="M6841" s="46"/>
      <c r="R6841" s="51"/>
      <c r="S6841" s="51"/>
    </row>
    <row r="6842" spans="9:19" x14ac:dyDescent="0.25">
      <c r="I6842" s="1"/>
      <c r="J6842" s="71"/>
      <c r="M6842" s="46"/>
      <c r="R6842" s="51"/>
      <c r="S6842" s="51"/>
    </row>
    <row r="6843" spans="9:19" x14ac:dyDescent="0.25">
      <c r="I6843" s="1"/>
      <c r="J6843" s="71"/>
      <c r="M6843" s="46"/>
      <c r="R6843" s="51"/>
      <c r="S6843" s="51"/>
    </row>
    <row r="6844" spans="9:19" x14ac:dyDescent="0.25">
      <c r="I6844" s="1"/>
      <c r="J6844" s="71"/>
      <c r="M6844" s="46"/>
      <c r="R6844" s="51"/>
      <c r="S6844" s="51"/>
    </row>
    <row r="6845" spans="9:19" x14ac:dyDescent="0.25">
      <c r="I6845" s="1"/>
      <c r="J6845" s="71"/>
      <c r="M6845" s="46"/>
      <c r="R6845" s="51"/>
      <c r="S6845" s="51"/>
    </row>
    <row r="6846" spans="9:19" x14ac:dyDescent="0.25">
      <c r="I6846" s="1"/>
      <c r="J6846" s="71"/>
      <c r="M6846" s="46"/>
      <c r="R6846" s="51"/>
      <c r="S6846" s="51"/>
    </row>
    <row r="6847" spans="9:19" x14ac:dyDescent="0.25">
      <c r="I6847" s="1"/>
      <c r="J6847" s="71"/>
      <c r="M6847" s="46"/>
      <c r="R6847" s="51"/>
      <c r="S6847" s="51"/>
    </row>
    <row r="6848" spans="9:19" x14ac:dyDescent="0.25">
      <c r="I6848" s="1"/>
      <c r="J6848" s="71"/>
      <c r="M6848" s="46"/>
      <c r="R6848" s="51"/>
      <c r="S6848" s="51"/>
    </row>
    <row r="6849" spans="9:19" x14ac:dyDescent="0.25">
      <c r="I6849" s="1"/>
      <c r="J6849" s="71"/>
      <c r="M6849" s="46"/>
      <c r="R6849" s="51"/>
      <c r="S6849" s="51"/>
    </row>
    <row r="6850" spans="9:19" x14ac:dyDescent="0.25">
      <c r="I6850" s="1"/>
      <c r="J6850" s="71"/>
      <c r="M6850" s="46"/>
      <c r="R6850" s="51"/>
      <c r="S6850" s="51"/>
    </row>
    <row r="6851" spans="9:19" x14ac:dyDescent="0.25">
      <c r="I6851" s="1"/>
      <c r="J6851" s="71"/>
      <c r="M6851" s="46"/>
      <c r="R6851" s="51"/>
      <c r="S6851" s="51"/>
    </row>
    <row r="6852" spans="9:19" x14ac:dyDescent="0.25">
      <c r="I6852" s="1"/>
      <c r="J6852" s="71"/>
      <c r="M6852" s="46"/>
      <c r="R6852" s="51"/>
      <c r="S6852" s="51"/>
    </row>
    <row r="6853" spans="9:19" x14ac:dyDescent="0.25">
      <c r="I6853" s="1"/>
      <c r="J6853" s="71"/>
      <c r="M6853" s="46"/>
      <c r="R6853" s="51"/>
      <c r="S6853" s="51"/>
    </row>
    <row r="6854" spans="9:19" x14ac:dyDescent="0.25">
      <c r="I6854" s="1"/>
      <c r="J6854" s="71"/>
      <c r="M6854" s="46"/>
      <c r="R6854" s="51"/>
      <c r="S6854" s="51"/>
    </row>
    <row r="6855" spans="9:19" x14ac:dyDescent="0.25">
      <c r="I6855" s="1"/>
      <c r="J6855" s="71"/>
      <c r="M6855" s="46"/>
      <c r="R6855" s="51"/>
      <c r="S6855" s="51"/>
    </row>
    <row r="6856" spans="9:19" x14ac:dyDescent="0.25">
      <c r="I6856" s="1"/>
      <c r="J6856" s="71"/>
      <c r="M6856" s="46"/>
      <c r="R6856" s="51"/>
      <c r="S6856" s="51"/>
    </row>
    <row r="6857" spans="9:19" x14ac:dyDescent="0.25">
      <c r="I6857" s="1"/>
      <c r="J6857" s="71"/>
      <c r="M6857" s="46"/>
      <c r="R6857" s="51"/>
      <c r="S6857" s="51"/>
    </row>
    <row r="6858" spans="9:19" x14ac:dyDescent="0.25">
      <c r="I6858" s="1"/>
      <c r="J6858" s="71"/>
      <c r="M6858" s="46"/>
      <c r="R6858" s="51"/>
      <c r="S6858" s="51"/>
    </row>
    <row r="6859" spans="9:19" x14ac:dyDescent="0.25">
      <c r="I6859" s="1"/>
      <c r="J6859" s="71"/>
      <c r="M6859" s="46"/>
      <c r="R6859" s="51"/>
      <c r="S6859" s="51"/>
    </row>
    <row r="6860" spans="9:19" x14ac:dyDescent="0.25">
      <c r="I6860" s="1"/>
      <c r="J6860" s="71"/>
      <c r="M6860" s="46"/>
      <c r="R6860" s="51"/>
      <c r="S6860" s="51"/>
    </row>
    <row r="6861" spans="9:19" x14ac:dyDescent="0.25">
      <c r="I6861" s="1"/>
      <c r="J6861" s="71"/>
      <c r="M6861" s="46"/>
      <c r="R6861" s="51"/>
      <c r="S6861" s="51"/>
    </row>
    <row r="6862" spans="9:19" x14ac:dyDescent="0.25">
      <c r="I6862" s="1"/>
      <c r="J6862" s="71"/>
      <c r="M6862" s="46"/>
      <c r="R6862" s="51"/>
      <c r="S6862" s="51"/>
    </row>
    <row r="6863" spans="9:19" x14ac:dyDescent="0.25">
      <c r="I6863" s="1"/>
      <c r="J6863" s="71"/>
      <c r="M6863" s="46"/>
      <c r="R6863" s="51"/>
      <c r="S6863" s="51"/>
    </row>
    <row r="6864" spans="9:19" x14ac:dyDescent="0.25">
      <c r="I6864" s="1"/>
      <c r="J6864" s="71"/>
      <c r="M6864" s="46"/>
      <c r="R6864" s="51"/>
      <c r="S6864" s="51"/>
    </row>
    <row r="6865" spans="9:19" x14ac:dyDescent="0.25">
      <c r="I6865" s="1"/>
      <c r="J6865" s="71"/>
      <c r="M6865" s="46"/>
      <c r="R6865" s="51"/>
      <c r="S6865" s="51"/>
    </row>
    <row r="6866" spans="9:19" x14ac:dyDescent="0.25">
      <c r="I6866" s="1"/>
      <c r="J6866" s="71"/>
      <c r="M6866" s="46"/>
      <c r="R6866" s="51"/>
      <c r="S6866" s="51"/>
    </row>
    <row r="6867" spans="9:19" x14ac:dyDescent="0.25">
      <c r="I6867" s="1"/>
      <c r="J6867" s="71"/>
      <c r="M6867" s="46"/>
      <c r="R6867" s="51"/>
      <c r="S6867" s="51"/>
    </row>
    <row r="6868" spans="9:19" x14ac:dyDescent="0.25">
      <c r="I6868" s="1"/>
      <c r="J6868" s="71"/>
      <c r="M6868" s="46"/>
      <c r="R6868" s="51"/>
      <c r="S6868" s="51"/>
    </row>
    <row r="6869" spans="9:19" x14ac:dyDescent="0.25">
      <c r="I6869" s="1"/>
      <c r="J6869" s="71"/>
      <c r="M6869" s="46"/>
      <c r="R6869" s="51"/>
      <c r="S6869" s="51"/>
    </row>
    <row r="6870" spans="9:19" x14ac:dyDescent="0.25">
      <c r="I6870" s="1"/>
      <c r="J6870" s="71"/>
      <c r="M6870" s="46"/>
      <c r="R6870" s="51"/>
      <c r="S6870" s="51"/>
    </row>
    <row r="6871" spans="9:19" x14ac:dyDescent="0.25">
      <c r="I6871" s="1"/>
      <c r="J6871" s="71"/>
      <c r="M6871" s="46"/>
      <c r="R6871" s="51"/>
      <c r="S6871" s="51"/>
    </row>
    <row r="6872" spans="9:19" x14ac:dyDescent="0.25">
      <c r="I6872" s="1"/>
      <c r="J6872" s="71"/>
      <c r="M6872" s="46"/>
      <c r="R6872" s="51"/>
      <c r="S6872" s="51"/>
    </row>
    <row r="6873" spans="9:19" x14ac:dyDescent="0.25">
      <c r="I6873" s="1"/>
      <c r="J6873" s="71"/>
      <c r="M6873" s="46"/>
      <c r="R6873" s="51"/>
      <c r="S6873" s="51"/>
    </row>
    <row r="6874" spans="9:19" x14ac:dyDescent="0.25">
      <c r="I6874" s="1"/>
      <c r="J6874" s="71"/>
      <c r="M6874" s="46"/>
      <c r="R6874" s="51"/>
      <c r="S6874" s="51"/>
    </row>
    <row r="6875" spans="9:19" x14ac:dyDescent="0.25">
      <c r="I6875" s="1"/>
      <c r="J6875" s="71"/>
      <c r="M6875" s="46"/>
      <c r="R6875" s="51"/>
      <c r="S6875" s="51"/>
    </row>
    <row r="6876" spans="9:19" x14ac:dyDescent="0.25">
      <c r="I6876" s="1"/>
      <c r="J6876" s="71"/>
      <c r="M6876" s="46"/>
      <c r="R6876" s="51"/>
      <c r="S6876" s="51"/>
    </row>
    <row r="6877" spans="9:19" x14ac:dyDescent="0.25">
      <c r="I6877" s="1"/>
      <c r="J6877" s="71"/>
      <c r="M6877" s="46"/>
      <c r="R6877" s="51"/>
      <c r="S6877" s="51"/>
    </row>
    <row r="6878" spans="9:19" x14ac:dyDescent="0.25">
      <c r="I6878" s="1"/>
      <c r="J6878" s="71"/>
      <c r="M6878" s="46"/>
      <c r="R6878" s="51"/>
      <c r="S6878" s="51"/>
    </row>
    <row r="6879" spans="9:19" x14ac:dyDescent="0.25">
      <c r="I6879" s="1"/>
      <c r="J6879" s="71"/>
      <c r="M6879" s="46"/>
      <c r="R6879" s="51"/>
      <c r="S6879" s="51"/>
    </row>
    <row r="6880" spans="9:19" x14ac:dyDescent="0.25">
      <c r="I6880" s="1"/>
      <c r="J6880" s="71"/>
      <c r="M6880" s="46"/>
      <c r="R6880" s="51"/>
      <c r="S6880" s="51"/>
    </row>
    <row r="6881" spans="9:19" x14ac:dyDescent="0.25">
      <c r="I6881" s="1"/>
      <c r="J6881" s="71"/>
      <c r="M6881" s="46"/>
      <c r="R6881" s="51"/>
      <c r="S6881" s="51"/>
    </row>
    <row r="6882" spans="9:19" x14ac:dyDescent="0.25">
      <c r="I6882" s="1"/>
      <c r="J6882" s="71"/>
      <c r="M6882" s="46"/>
      <c r="R6882" s="51"/>
      <c r="S6882" s="51"/>
    </row>
    <row r="6883" spans="9:19" x14ac:dyDescent="0.25">
      <c r="I6883" s="1"/>
      <c r="J6883" s="71"/>
      <c r="M6883" s="46"/>
      <c r="R6883" s="51"/>
      <c r="S6883" s="51"/>
    </row>
    <row r="6884" spans="9:19" x14ac:dyDescent="0.25">
      <c r="I6884" s="1"/>
      <c r="J6884" s="71"/>
      <c r="M6884" s="46"/>
      <c r="R6884" s="51"/>
      <c r="S6884" s="51"/>
    </row>
    <row r="6885" spans="9:19" x14ac:dyDescent="0.25">
      <c r="I6885" s="1"/>
      <c r="J6885" s="71"/>
      <c r="M6885" s="46"/>
      <c r="R6885" s="51"/>
      <c r="S6885" s="51"/>
    </row>
    <row r="6886" spans="9:19" x14ac:dyDescent="0.25">
      <c r="I6886" s="1"/>
      <c r="J6886" s="71"/>
      <c r="M6886" s="46"/>
      <c r="R6886" s="51"/>
      <c r="S6886" s="51"/>
    </row>
    <row r="6887" spans="9:19" x14ac:dyDescent="0.25">
      <c r="I6887" s="1"/>
      <c r="J6887" s="71"/>
      <c r="M6887" s="46"/>
      <c r="R6887" s="51"/>
      <c r="S6887" s="51"/>
    </row>
    <row r="6888" spans="9:19" x14ac:dyDescent="0.25">
      <c r="I6888" s="1"/>
      <c r="J6888" s="71"/>
      <c r="M6888" s="46"/>
      <c r="R6888" s="51"/>
      <c r="S6888" s="51"/>
    </row>
    <row r="6889" spans="9:19" x14ac:dyDescent="0.25">
      <c r="I6889" s="1"/>
      <c r="J6889" s="71"/>
      <c r="M6889" s="46"/>
      <c r="R6889" s="51"/>
      <c r="S6889" s="51"/>
    </row>
    <row r="6890" spans="9:19" x14ac:dyDescent="0.25">
      <c r="I6890" s="1"/>
      <c r="J6890" s="71"/>
      <c r="M6890" s="46"/>
      <c r="R6890" s="51"/>
      <c r="S6890" s="51"/>
    </row>
    <row r="6891" spans="9:19" x14ac:dyDescent="0.25">
      <c r="I6891" s="1"/>
      <c r="J6891" s="71"/>
      <c r="M6891" s="46"/>
      <c r="R6891" s="51"/>
      <c r="S6891" s="51"/>
    </row>
    <row r="6892" spans="9:19" x14ac:dyDescent="0.25">
      <c r="I6892" s="1"/>
      <c r="J6892" s="71"/>
      <c r="M6892" s="46"/>
      <c r="R6892" s="51"/>
      <c r="S6892" s="51"/>
    </row>
    <row r="6893" spans="9:19" x14ac:dyDescent="0.25">
      <c r="I6893" s="1"/>
      <c r="J6893" s="71"/>
      <c r="M6893" s="46"/>
      <c r="R6893" s="51"/>
      <c r="S6893" s="51"/>
    </row>
    <row r="6894" spans="9:19" x14ac:dyDescent="0.25">
      <c r="I6894" s="1"/>
      <c r="J6894" s="71"/>
      <c r="M6894" s="46"/>
      <c r="R6894" s="51"/>
      <c r="S6894" s="51"/>
    </row>
    <row r="6895" spans="9:19" x14ac:dyDescent="0.25">
      <c r="I6895" s="1"/>
      <c r="J6895" s="71"/>
      <c r="M6895" s="46"/>
      <c r="R6895" s="51"/>
      <c r="S6895" s="51"/>
    </row>
    <row r="6896" spans="9:19" x14ac:dyDescent="0.25">
      <c r="I6896" s="1"/>
      <c r="J6896" s="71"/>
      <c r="M6896" s="46"/>
      <c r="R6896" s="51"/>
      <c r="S6896" s="51"/>
    </row>
    <row r="6897" spans="9:19" x14ac:dyDescent="0.25">
      <c r="I6897" s="1"/>
      <c r="J6897" s="71"/>
      <c r="M6897" s="46"/>
      <c r="R6897" s="51"/>
      <c r="S6897" s="51"/>
    </row>
    <row r="6898" spans="9:19" x14ac:dyDescent="0.25">
      <c r="I6898" s="1"/>
      <c r="J6898" s="71"/>
      <c r="M6898" s="46"/>
      <c r="R6898" s="51"/>
      <c r="S6898" s="51"/>
    </row>
    <row r="6899" spans="9:19" x14ac:dyDescent="0.25">
      <c r="I6899" s="1"/>
      <c r="J6899" s="71"/>
      <c r="M6899" s="46"/>
      <c r="R6899" s="51"/>
      <c r="S6899" s="51"/>
    </row>
    <row r="6900" spans="9:19" x14ac:dyDescent="0.25">
      <c r="I6900" s="1"/>
      <c r="J6900" s="71"/>
      <c r="M6900" s="46"/>
      <c r="R6900" s="51"/>
      <c r="S6900" s="51"/>
    </row>
    <row r="6901" spans="9:19" x14ac:dyDescent="0.25">
      <c r="I6901" s="1"/>
      <c r="J6901" s="71"/>
      <c r="M6901" s="46"/>
      <c r="R6901" s="51"/>
      <c r="S6901" s="51"/>
    </row>
    <row r="6902" spans="9:19" x14ac:dyDescent="0.25">
      <c r="I6902" s="1"/>
      <c r="J6902" s="71"/>
      <c r="M6902" s="46"/>
      <c r="R6902" s="51"/>
      <c r="S6902" s="51"/>
    </row>
    <row r="6903" spans="9:19" x14ac:dyDescent="0.25">
      <c r="I6903" s="1"/>
      <c r="J6903" s="71"/>
      <c r="M6903" s="46"/>
      <c r="R6903" s="51"/>
      <c r="S6903" s="51"/>
    </row>
    <row r="6904" spans="9:19" x14ac:dyDescent="0.25">
      <c r="I6904" s="1"/>
      <c r="J6904" s="71"/>
      <c r="M6904" s="46"/>
      <c r="R6904" s="51"/>
      <c r="S6904" s="51"/>
    </row>
    <row r="6905" spans="9:19" x14ac:dyDescent="0.25">
      <c r="I6905" s="1"/>
      <c r="J6905" s="71"/>
      <c r="M6905" s="46"/>
      <c r="R6905" s="51"/>
      <c r="S6905" s="51"/>
    </row>
    <row r="6906" spans="9:19" x14ac:dyDescent="0.25">
      <c r="I6906" s="1"/>
      <c r="J6906" s="71"/>
      <c r="M6906" s="46"/>
      <c r="R6906" s="51"/>
      <c r="S6906" s="51"/>
    </row>
    <row r="6907" spans="9:19" x14ac:dyDescent="0.25">
      <c r="I6907" s="1"/>
      <c r="J6907" s="71"/>
      <c r="M6907" s="46"/>
      <c r="R6907" s="51"/>
      <c r="S6907" s="51"/>
    </row>
    <row r="6908" spans="9:19" x14ac:dyDescent="0.25">
      <c r="I6908" s="1"/>
      <c r="J6908" s="71"/>
      <c r="M6908" s="46"/>
      <c r="R6908" s="51"/>
      <c r="S6908" s="51"/>
    </row>
    <row r="6909" spans="9:19" x14ac:dyDescent="0.25">
      <c r="I6909" s="1"/>
      <c r="J6909" s="71"/>
      <c r="M6909" s="46"/>
      <c r="R6909" s="51"/>
      <c r="S6909" s="51"/>
    </row>
    <row r="6910" spans="9:19" x14ac:dyDescent="0.25">
      <c r="I6910" s="1"/>
      <c r="J6910" s="71"/>
      <c r="M6910" s="46"/>
      <c r="R6910" s="51"/>
      <c r="S6910" s="51"/>
    </row>
    <row r="6911" spans="9:19" x14ac:dyDescent="0.25">
      <c r="I6911" s="1"/>
      <c r="J6911" s="71"/>
      <c r="M6911" s="46"/>
      <c r="R6911" s="51"/>
      <c r="S6911" s="51"/>
    </row>
    <row r="6912" spans="9:19" x14ac:dyDescent="0.25">
      <c r="I6912" s="1"/>
      <c r="J6912" s="71"/>
      <c r="M6912" s="46"/>
      <c r="R6912" s="51"/>
      <c r="S6912" s="51"/>
    </row>
    <row r="6913" spans="9:19" x14ac:dyDescent="0.25">
      <c r="I6913" s="1"/>
      <c r="J6913" s="71"/>
      <c r="M6913" s="46"/>
      <c r="R6913" s="51"/>
      <c r="S6913" s="51"/>
    </row>
    <row r="6914" spans="9:19" x14ac:dyDescent="0.25">
      <c r="I6914" s="1"/>
      <c r="J6914" s="71"/>
      <c r="M6914" s="46"/>
      <c r="R6914" s="51"/>
      <c r="S6914" s="51"/>
    </row>
    <row r="6915" spans="9:19" x14ac:dyDescent="0.25">
      <c r="I6915" s="1"/>
      <c r="J6915" s="71"/>
      <c r="M6915" s="46"/>
      <c r="R6915" s="51"/>
      <c r="S6915" s="51"/>
    </row>
    <row r="6916" spans="9:19" x14ac:dyDescent="0.25">
      <c r="I6916" s="1"/>
      <c r="J6916" s="71"/>
      <c r="M6916" s="46"/>
      <c r="R6916" s="51"/>
      <c r="S6916" s="51"/>
    </row>
    <row r="6917" spans="9:19" x14ac:dyDescent="0.25">
      <c r="I6917" s="1"/>
      <c r="J6917" s="71"/>
      <c r="M6917" s="46"/>
      <c r="R6917" s="51"/>
      <c r="S6917" s="51"/>
    </row>
    <row r="6918" spans="9:19" x14ac:dyDescent="0.25">
      <c r="I6918" s="1"/>
      <c r="J6918" s="71"/>
      <c r="M6918" s="46"/>
      <c r="R6918" s="51"/>
      <c r="S6918" s="51"/>
    </row>
    <row r="6919" spans="9:19" x14ac:dyDescent="0.25">
      <c r="I6919" s="1"/>
      <c r="J6919" s="71"/>
      <c r="M6919" s="46"/>
      <c r="R6919" s="51"/>
      <c r="S6919" s="51"/>
    </row>
    <row r="6920" spans="9:19" x14ac:dyDescent="0.25">
      <c r="I6920" s="1"/>
      <c r="J6920" s="71"/>
      <c r="M6920" s="46"/>
      <c r="R6920" s="51"/>
      <c r="S6920" s="51"/>
    </row>
    <row r="6921" spans="9:19" x14ac:dyDescent="0.25">
      <c r="I6921" s="1"/>
      <c r="J6921" s="71"/>
      <c r="M6921" s="46"/>
      <c r="R6921" s="51"/>
      <c r="S6921" s="51"/>
    </row>
    <row r="6922" spans="9:19" x14ac:dyDescent="0.25">
      <c r="I6922" s="1"/>
      <c r="J6922" s="71"/>
      <c r="M6922" s="46"/>
      <c r="R6922" s="51"/>
      <c r="S6922" s="51"/>
    </row>
    <row r="6923" spans="9:19" x14ac:dyDescent="0.25">
      <c r="I6923" s="1"/>
      <c r="J6923" s="71"/>
      <c r="M6923" s="46"/>
      <c r="R6923" s="51"/>
      <c r="S6923" s="51"/>
    </row>
    <row r="6924" spans="9:19" x14ac:dyDescent="0.25">
      <c r="I6924" s="1"/>
      <c r="J6924" s="71"/>
      <c r="M6924" s="46"/>
      <c r="R6924" s="51"/>
      <c r="S6924" s="51"/>
    </row>
    <row r="6925" spans="9:19" x14ac:dyDescent="0.25">
      <c r="I6925" s="1"/>
      <c r="J6925" s="71"/>
      <c r="M6925" s="46"/>
      <c r="R6925" s="51"/>
      <c r="S6925" s="51"/>
    </row>
    <row r="6926" spans="9:19" x14ac:dyDescent="0.25">
      <c r="I6926" s="1"/>
      <c r="J6926" s="71"/>
      <c r="M6926" s="46"/>
      <c r="R6926" s="51"/>
      <c r="S6926" s="51"/>
    </row>
    <row r="6927" spans="9:19" x14ac:dyDescent="0.25">
      <c r="I6927" s="1"/>
      <c r="J6927" s="71"/>
      <c r="M6927" s="46"/>
      <c r="R6927" s="51"/>
      <c r="S6927" s="51"/>
    </row>
    <row r="6928" spans="9:19" x14ac:dyDescent="0.25">
      <c r="I6928" s="1"/>
      <c r="J6928" s="71"/>
      <c r="M6928" s="46"/>
      <c r="R6928" s="51"/>
      <c r="S6928" s="51"/>
    </row>
    <row r="6929" spans="9:19" x14ac:dyDescent="0.25">
      <c r="I6929" s="1"/>
      <c r="J6929" s="71"/>
      <c r="M6929" s="46"/>
      <c r="R6929" s="51"/>
      <c r="S6929" s="51"/>
    </row>
    <row r="6930" spans="9:19" x14ac:dyDescent="0.25">
      <c r="I6930" s="1"/>
      <c r="J6930" s="71"/>
      <c r="M6930" s="46"/>
      <c r="R6930" s="51"/>
      <c r="S6930" s="51"/>
    </row>
    <row r="6931" spans="9:19" x14ac:dyDescent="0.25">
      <c r="I6931" s="1"/>
      <c r="J6931" s="71"/>
      <c r="M6931" s="46"/>
      <c r="R6931" s="51"/>
      <c r="S6931" s="51"/>
    </row>
    <row r="6932" spans="9:19" x14ac:dyDescent="0.25">
      <c r="I6932" s="1"/>
      <c r="J6932" s="71"/>
      <c r="M6932" s="46"/>
      <c r="R6932" s="51"/>
      <c r="S6932" s="51"/>
    </row>
    <row r="6933" spans="9:19" x14ac:dyDescent="0.25">
      <c r="I6933" s="1"/>
      <c r="J6933" s="71"/>
      <c r="M6933" s="46"/>
      <c r="R6933" s="51"/>
      <c r="S6933" s="51"/>
    </row>
    <row r="6934" spans="9:19" x14ac:dyDescent="0.25">
      <c r="I6934" s="1"/>
      <c r="J6934" s="71"/>
      <c r="M6934" s="46"/>
      <c r="R6934" s="51"/>
      <c r="S6934" s="51"/>
    </row>
    <row r="6935" spans="9:19" x14ac:dyDescent="0.25">
      <c r="I6935" s="1"/>
      <c r="J6935" s="71"/>
      <c r="M6935" s="46"/>
      <c r="R6935" s="51"/>
      <c r="S6935" s="51"/>
    </row>
    <row r="6936" spans="9:19" x14ac:dyDescent="0.25">
      <c r="I6936" s="1"/>
      <c r="J6936" s="71"/>
      <c r="M6936" s="46"/>
      <c r="R6936" s="51"/>
      <c r="S6936" s="51"/>
    </row>
    <row r="6937" spans="9:19" x14ac:dyDescent="0.25">
      <c r="I6937" s="1"/>
      <c r="J6937" s="71"/>
      <c r="M6937" s="46"/>
      <c r="R6937" s="51"/>
      <c r="S6937" s="51"/>
    </row>
    <row r="6938" spans="9:19" x14ac:dyDescent="0.25">
      <c r="I6938" s="1"/>
      <c r="J6938" s="71"/>
      <c r="M6938" s="46"/>
      <c r="R6938" s="51"/>
      <c r="S6938" s="51"/>
    </row>
    <row r="6939" spans="9:19" x14ac:dyDescent="0.25">
      <c r="I6939" s="1"/>
      <c r="J6939" s="71"/>
      <c r="M6939" s="46"/>
      <c r="R6939" s="51"/>
      <c r="S6939" s="51"/>
    </row>
    <row r="6940" spans="9:19" x14ac:dyDescent="0.25">
      <c r="I6940" s="1"/>
      <c r="J6940" s="71"/>
      <c r="M6940" s="46"/>
      <c r="R6940" s="51"/>
      <c r="S6940" s="51"/>
    </row>
    <row r="6941" spans="9:19" x14ac:dyDescent="0.25">
      <c r="I6941" s="1"/>
      <c r="J6941" s="71"/>
      <c r="M6941" s="46"/>
      <c r="R6941" s="51"/>
      <c r="S6941" s="51"/>
    </row>
    <row r="6942" spans="9:19" x14ac:dyDescent="0.25">
      <c r="I6942" s="1"/>
      <c r="J6942" s="71"/>
      <c r="M6942" s="46"/>
      <c r="R6942" s="51"/>
      <c r="S6942" s="51"/>
    </row>
    <row r="6943" spans="9:19" x14ac:dyDescent="0.25">
      <c r="I6943" s="1"/>
      <c r="J6943" s="71"/>
      <c r="M6943" s="46"/>
      <c r="R6943" s="51"/>
      <c r="S6943" s="51"/>
    </row>
    <row r="6944" spans="9:19" x14ac:dyDescent="0.25">
      <c r="I6944" s="1"/>
      <c r="J6944" s="71"/>
      <c r="M6944" s="46"/>
      <c r="R6944" s="51"/>
      <c r="S6944" s="51"/>
    </row>
    <row r="6945" spans="9:19" x14ac:dyDescent="0.25">
      <c r="I6945" s="1"/>
      <c r="J6945" s="71"/>
      <c r="M6945" s="46"/>
      <c r="R6945" s="51"/>
      <c r="S6945" s="51"/>
    </row>
    <row r="6946" spans="9:19" x14ac:dyDescent="0.25">
      <c r="I6946" s="1"/>
      <c r="J6946" s="71"/>
      <c r="M6946" s="46"/>
      <c r="R6946" s="51"/>
      <c r="S6946" s="51"/>
    </row>
    <row r="6947" spans="9:19" x14ac:dyDescent="0.25">
      <c r="I6947" s="1"/>
      <c r="J6947" s="71"/>
      <c r="M6947" s="46"/>
      <c r="R6947" s="51"/>
      <c r="S6947" s="51"/>
    </row>
    <row r="6948" spans="9:19" x14ac:dyDescent="0.25">
      <c r="I6948" s="1"/>
      <c r="J6948" s="71"/>
      <c r="M6948" s="46"/>
      <c r="R6948" s="51"/>
      <c r="S6948" s="51"/>
    </row>
    <row r="6949" spans="9:19" x14ac:dyDescent="0.25">
      <c r="I6949" s="1"/>
      <c r="J6949" s="71"/>
      <c r="M6949" s="46"/>
      <c r="R6949" s="51"/>
      <c r="S6949" s="51"/>
    </row>
    <row r="6950" spans="9:19" x14ac:dyDescent="0.25">
      <c r="I6950" s="1"/>
      <c r="J6950" s="71"/>
      <c r="M6950" s="46"/>
      <c r="R6950" s="51"/>
      <c r="S6950" s="51"/>
    </row>
    <row r="6951" spans="9:19" x14ac:dyDescent="0.25">
      <c r="I6951" s="1"/>
      <c r="J6951" s="71"/>
      <c r="M6951" s="46"/>
      <c r="R6951" s="51"/>
      <c r="S6951" s="51"/>
    </row>
    <row r="6952" spans="9:19" x14ac:dyDescent="0.25">
      <c r="I6952" s="1"/>
      <c r="J6952" s="71"/>
      <c r="M6952" s="46"/>
      <c r="R6952" s="51"/>
      <c r="S6952" s="51"/>
    </row>
    <row r="6953" spans="9:19" x14ac:dyDescent="0.25">
      <c r="I6953" s="1"/>
      <c r="J6953" s="71"/>
      <c r="M6953" s="46"/>
      <c r="R6953" s="51"/>
      <c r="S6953" s="51"/>
    </row>
    <row r="6954" spans="9:19" x14ac:dyDescent="0.25">
      <c r="I6954" s="1"/>
      <c r="J6954" s="71"/>
      <c r="M6954" s="46"/>
      <c r="R6954" s="51"/>
      <c r="S6954" s="51"/>
    </row>
    <row r="6955" spans="9:19" x14ac:dyDescent="0.25">
      <c r="I6955" s="1"/>
      <c r="J6955" s="71"/>
      <c r="M6955" s="46"/>
      <c r="R6955" s="51"/>
      <c r="S6955" s="51"/>
    </row>
    <row r="6956" spans="9:19" x14ac:dyDescent="0.25">
      <c r="I6956" s="1"/>
      <c r="J6956" s="71"/>
      <c r="M6956" s="46"/>
      <c r="R6956" s="51"/>
      <c r="S6956" s="51"/>
    </row>
    <row r="6957" spans="9:19" x14ac:dyDescent="0.25">
      <c r="I6957" s="1"/>
      <c r="J6957" s="71"/>
      <c r="M6957" s="46"/>
      <c r="R6957" s="51"/>
      <c r="S6957" s="51"/>
    </row>
    <row r="6958" spans="9:19" x14ac:dyDescent="0.25">
      <c r="I6958" s="1"/>
      <c r="J6958" s="71"/>
      <c r="M6958" s="46"/>
      <c r="R6958" s="51"/>
      <c r="S6958" s="51"/>
    </row>
    <row r="6959" spans="9:19" x14ac:dyDescent="0.25">
      <c r="I6959" s="1"/>
      <c r="J6959" s="71"/>
      <c r="M6959" s="46"/>
      <c r="R6959" s="51"/>
      <c r="S6959" s="51"/>
    </row>
    <row r="6960" spans="9:19" x14ac:dyDescent="0.25">
      <c r="I6960" s="1"/>
      <c r="J6960" s="71"/>
      <c r="M6960" s="46"/>
      <c r="R6960" s="51"/>
      <c r="S6960" s="51"/>
    </row>
    <row r="6961" spans="9:19" x14ac:dyDescent="0.25">
      <c r="I6961" s="1"/>
      <c r="J6961" s="71"/>
      <c r="M6961" s="46"/>
      <c r="R6961" s="51"/>
      <c r="S6961" s="51"/>
    </row>
    <row r="6962" spans="9:19" x14ac:dyDescent="0.25">
      <c r="I6962" s="1"/>
      <c r="J6962" s="71"/>
      <c r="M6962" s="46"/>
      <c r="R6962" s="51"/>
      <c r="S6962" s="51"/>
    </row>
    <row r="6963" spans="9:19" x14ac:dyDescent="0.25">
      <c r="I6963" s="1"/>
      <c r="J6963" s="71"/>
      <c r="M6963" s="46"/>
      <c r="R6963" s="51"/>
      <c r="S6963" s="51"/>
    </row>
    <row r="6964" spans="9:19" x14ac:dyDescent="0.25">
      <c r="I6964" s="1"/>
      <c r="J6964" s="71"/>
      <c r="M6964" s="46"/>
      <c r="R6964" s="51"/>
      <c r="S6964" s="51"/>
    </row>
    <row r="6965" spans="9:19" x14ac:dyDescent="0.25">
      <c r="I6965" s="1"/>
      <c r="J6965" s="71"/>
      <c r="M6965" s="46"/>
      <c r="R6965" s="51"/>
      <c r="S6965" s="51"/>
    </row>
    <row r="6966" spans="9:19" x14ac:dyDescent="0.25">
      <c r="I6966" s="1"/>
      <c r="J6966" s="71"/>
      <c r="M6966" s="46"/>
      <c r="R6966" s="51"/>
      <c r="S6966" s="51"/>
    </row>
    <row r="6967" spans="9:19" x14ac:dyDescent="0.25">
      <c r="I6967" s="1"/>
      <c r="J6967" s="71"/>
      <c r="M6967" s="46"/>
      <c r="R6967" s="51"/>
      <c r="S6967" s="51"/>
    </row>
    <row r="6968" spans="9:19" x14ac:dyDescent="0.25">
      <c r="I6968" s="1"/>
      <c r="J6968" s="71"/>
      <c r="M6968" s="46"/>
      <c r="R6968" s="51"/>
      <c r="S6968" s="51"/>
    </row>
    <row r="6969" spans="9:19" x14ac:dyDescent="0.25">
      <c r="I6969" s="1"/>
      <c r="J6969" s="71"/>
      <c r="M6969" s="46"/>
      <c r="R6969" s="51"/>
      <c r="S6969" s="51"/>
    </row>
    <row r="6970" spans="9:19" x14ac:dyDescent="0.25">
      <c r="I6970" s="1"/>
      <c r="J6970" s="71"/>
      <c r="M6970" s="46"/>
      <c r="R6970" s="51"/>
      <c r="S6970" s="51"/>
    </row>
    <row r="6971" spans="9:19" x14ac:dyDescent="0.25">
      <c r="I6971" s="1"/>
      <c r="J6971" s="71"/>
      <c r="M6971" s="46"/>
      <c r="R6971" s="51"/>
      <c r="S6971" s="51"/>
    </row>
    <row r="6972" spans="9:19" x14ac:dyDescent="0.25">
      <c r="I6972" s="1"/>
      <c r="J6972" s="71"/>
      <c r="M6972" s="46"/>
      <c r="R6972" s="51"/>
      <c r="S6972" s="51"/>
    </row>
    <row r="6973" spans="9:19" x14ac:dyDescent="0.25">
      <c r="I6973" s="1"/>
      <c r="J6973" s="71"/>
      <c r="M6973" s="46"/>
      <c r="R6973" s="51"/>
      <c r="S6973" s="51"/>
    </row>
    <row r="6974" spans="9:19" x14ac:dyDescent="0.25">
      <c r="I6974" s="1"/>
      <c r="J6974" s="71"/>
      <c r="M6974" s="46"/>
      <c r="R6974" s="51"/>
      <c r="S6974" s="51"/>
    </row>
    <row r="6975" spans="9:19" x14ac:dyDescent="0.25">
      <c r="I6975" s="1"/>
      <c r="J6975" s="71"/>
      <c r="M6975" s="46"/>
      <c r="R6975" s="51"/>
      <c r="S6975" s="51"/>
    </row>
    <row r="6976" spans="9:19" x14ac:dyDescent="0.25">
      <c r="I6976" s="1"/>
      <c r="J6976" s="71"/>
      <c r="M6976" s="46"/>
      <c r="R6976" s="51"/>
      <c r="S6976" s="51"/>
    </row>
    <row r="6977" spans="9:19" x14ac:dyDescent="0.25">
      <c r="I6977" s="1"/>
      <c r="J6977" s="71"/>
      <c r="M6977" s="46"/>
      <c r="R6977" s="51"/>
      <c r="S6977" s="51"/>
    </row>
    <row r="6978" spans="9:19" x14ac:dyDescent="0.25">
      <c r="I6978" s="1"/>
      <c r="J6978" s="71"/>
      <c r="M6978" s="46"/>
      <c r="R6978" s="51"/>
      <c r="S6978" s="51"/>
    </row>
    <row r="6979" spans="9:19" x14ac:dyDescent="0.25">
      <c r="I6979" s="1"/>
      <c r="J6979" s="71"/>
      <c r="M6979" s="46"/>
      <c r="R6979" s="51"/>
      <c r="S6979" s="51"/>
    </row>
    <row r="6980" spans="9:19" x14ac:dyDescent="0.25">
      <c r="I6980" s="1"/>
      <c r="J6980" s="71"/>
      <c r="M6980" s="46"/>
      <c r="R6980" s="51"/>
      <c r="S6980" s="51"/>
    </row>
    <row r="6981" spans="9:19" x14ac:dyDescent="0.25">
      <c r="I6981" s="1"/>
      <c r="J6981" s="71"/>
      <c r="M6981" s="46"/>
      <c r="R6981" s="51"/>
      <c r="S6981" s="51"/>
    </row>
    <row r="6982" spans="9:19" x14ac:dyDescent="0.25">
      <c r="I6982" s="1"/>
      <c r="J6982" s="71"/>
      <c r="M6982" s="46"/>
      <c r="R6982" s="51"/>
      <c r="S6982" s="51"/>
    </row>
    <row r="6983" spans="9:19" x14ac:dyDescent="0.25">
      <c r="I6983" s="1"/>
      <c r="J6983" s="71"/>
      <c r="M6983" s="46"/>
      <c r="R6983" s="51"/>
      <c r="S6983" s="51"/>
    </row>
    <row r="6984" spans="9:19" x14ac:dyDescent="0.25">
      <c r="I6984" s="1"/>
      <c r="J6984" s="71"/>
      <c r="M6984" s="46"/>
      <c r="R6984" s="51"/>
      <c r="S6984" s="51"/>
    </row>
    <row r="6985" spans="9:19" x14ac:dyDescent="0.25">
      <c r="I6985" s="1"/>
      <c r="J6985" s="71"/>
      <c r="M6985" s="46"/>
      <c r="R6985" s="51"/>
      <c r="S6985" s="51"/>
    </row>
    <row r="6986" spans="9:19" x14ac:dyDescent="0.25">
      <c r="I6986" s="1"/>
      <c r="J6986" s="71"/>
      <c r="M6986" s="46"/>
      <c r="R6986" s="51"/>
      <c r="S6986" s="51"/>
    </row>
    <row r="6987" spans="9:19" x14ac:dyDescent="0.25">
      <c r="I6987" s="1"/>
      <c r="J6987" s="71"/>
      <c r="M6987" s="46"/>
      <c r="R6987" s="51"/>
      <c r="S6987" s="51"/>
    </row>
    <row r="6988" spans="9:19" x14ac:dyDescent="0.25">
      <c r="I6988" s="1"/>
      <c r="J6988" s="71"/>
      <c r="M6988" s="46"/>
      <c r="R6988" s="51"/>
      <c r="S6988" s="51"/>
    </row>
    <row r="6989" spans="9:19" x14ac:dyDescent="0.25">
      <c r="I6989" s="1"/>
      <c r="J6989" s="71"/>
      <c r="M6989" s="46"/>
      <c r="R6989" s="51"/>
      <c r="S6989" s="51"/>
    </row>
    <row r="6990" spans="9:19" x14ac:dyDescent="0.25">
      <c r="I6990" s="1"/>
      <c r="J6990" s="71"/>
      <c r="M6990" s="46"/>
      <c r="R6990" s="51"/>
      <c r="S6990" s="51"/>
    </row>
    <row r="6991" spans="9:19" x14ac:dyDescent="0.25">
      <c r="I6991" s="1"/>
      <c r="J6991" s="71"/>
      <c r="M6991" s="46"/>
      <c r="R6991" s="51"/>
      <c r="S6991" s="51"/>
    </row>
    <row r="6992" spans="9:19" x14ac:dyDescent="0.25">
      <c r="I6992" s="1"/>
      <c r="J6992" s="71"/>
      <c r="M6992" s="46"/>
      <c r="R6992" s="51"/>
      <c r="S6992" s="51"/>
    </row>
    <row r="6993" spans="9:19" x14ac:dyDescent="0.25">
      <c r="I6993" s="1"/>
      <c r="J6993" s="71"/>
      <c r="M6993" s="46"/>
      <c r="R6993" s="51"/>
      <c r="S6993" s="51"/>
    </row>
    <row r="6994" spans="9:19" x14ac:dyDescent="0.25">
      <c r="I6994" s="1"/>
      <c r="J6994" s="71"/>
      <c r="M6994" s="46"/>
      <c r="R6994" s="51"/>
      <c r="S6994" s="51"/>
    </row>
    <row r="6995" spans="9:19" x14ac:dyDescent="0.25">
      <c r="I6995" s="1"/>
      <c r="J6995" s="71"/>
      <c r="M6995" s="46"/>
      <c r="R6995" s="51"/>
      <c r="S6995" s="51"/>
    </row>
    <row r="6996" spans="9:19" x14ac:dyDescent="0.25">
      <c r="I6996" s="1"/>
      <c r="J6996" s="71"/>
      <c r="M6996" s="46"/>
      <c r="R6996" s="51"/>
      <c r="S6996" s="51"/>
    </row>
    <row r="6997" spans="9:19" x14ac:dyDescent="0.25">
      <c r="I6997" s="1"/>
      <c r="J6997" s="71"/>
      <c r="M6997" s="46"/>
      <c r="R6997" s="51"/>
      <c r="S6997" s="51"/>
    </row>
    <row r="6998" spans="9:19" x14ac:dyDescent="0.25">
      <c r="I6998" s="1"/>
      <c r="J6998" s="71"/>
      <c r="M6998" s="46"/>
      <c r="R6998" s="51"/>
      <c r="S6998" s="51"/>
    </row>
    <row r="6999" spans="9:19" x14ac:dyDescent="0.25">
      <c r="I6999" s="1"/>
      <c r="J6999" s="71"/>
      <c r="M6999" s="46"/>
      <c r="R6999" s="51"/>
      <c r="S6999" s="51"/>
    </row>
    <row r="7000" spans="9:19" x14ac:dyDescent="0.25">
      <c r="I7000" s="1"/>
      <c r="J7000" s="71"/>
      <c r="M7000" s="46"/>
      <c r="R7000" s="51"/>
      <c r="S7000" s="51"/>
    </row>
    <row r="7001" spans="9:19" x14ac:dyDescent="0.25">
      <c r="I7001" s="1"/>
      <c r="J7001" s="71"/>
      <c r="M7001" s="46"/>
      <c r="R7001" s="51"/>
      <c r="S7001" s="51"/>
    </row>
    <row r="7002" spans="9:19" x14ac:dyDescent="0.25">
      <c r="I7002" s="1"/>
      <c r="J7002" s="71"/>
      <c r="M7002" s="46"/>
      <c r="R7002" s="51"/>
      <c r="S7002" s="51"/>
    </row>
    <row r="7003" spans="9:19" x14ac:dyDescent="0.25">
      <c r="I7003" s="1"/>
      <c r="J7003" s="71"/>
      <c r="M7003" s="46"/>
      <c r="R7003" s="51"/>
      <c r="S7003" s="51"/>
    </row>
    <row r="7004" spans="9:19" x14ac:dyDescent="0.25">
      <c r="I7004" s="1"/>
      <c r="J7004" s="71"/>
      <c r="M7004" s="46"/>
      <c r="R7004" s="51"/>
      <c r="S7004" s="51"/>
    </row>
    <row r="7005" spans="9:19" x14ac:dyDescent="0.25">
      <c r="I7005" s="1"/>
      <c r="J7005" s="71"/>
      <c r="M7005" s="46"/>
      <c r="R7005" s="51"/>
      <c r="S7005" s="51"/>
    </row>
    <row r="7006" spans="9:19" x14ac:dyDescent="0.25">
      <c r="I7006" s="1"/>
      <c r="J7006" s="71"/>
      <c r="M7006" s="46"/>
      <c r="R7006" s="51"/>
      <c r="S7006" s="51"/>
    </row>
    <row r="7007" spans="9:19" x14ac:dyDescent="0.25">
      <c r="I7007" s="1"/>
      <c r="J7007" s="71"/>
      <c r="M7007" s="46"/>
      <c r="R7007" s="51"/>
      <c r="S7007" s="51"/>
    </row>
    <row r="7008" spans="9:19" x14ac:dyDescent="0.25">
      <c r="I7008" s="1"/>
      <c r="J7008" s="71"/>
      <c r="M7008" s="46"/>
      <c r="R7008" s="51"/>
      <c r="S7008" s="51"/>
    </row>
    <row r="7009" spans="9:19" x14ac:dyDescent="0.25">
      <c r="I7009" s="1"/>
      <c r="J7009" s="71"/>
      <c r="M7009" s="46"/>
      <c r="R7009" s="51"/>
      <c r="S7009" s="51"/>
    </row>
    <row r="7010" spans="9:19" x14ac:dyDescent="0.25">
      <c r="I7010" s="1"/>
      <c r="J7010" s="71"/>
      <c r="M7010" s="46"/>
      <c r="R7010" s="51"/>
      <c r="S7010" s="51"/>
    </row>
    <row r="7011" spans="9:19" x14ac:dyDescent="0.25">
      <c r="I7011" s="1"/>
      <c r="J7011" s="71"/>
      <c r="M7011" s="46"/>
      <c r="R7011" s="51"/>
      <c r="S7011" s="51"/>
    </row>
    <row r="7012" spans="9:19" x14ac:dyDescent="0.25">
      <c r="I7012" s="1"/>
      <c r="J7012" s="71"/>
      <c r="M7012" s="46"/>
      <c r="R7012" s="51"/>
      <c r="S7012" s="51"/>
    </row>
    <row r="7013" spans="9:19" x14ac:dyDescent="0.25">
      <c r="I7013" s="1"/>
      <c r="J7013" s="71"/>
      <c r="M7013" s="46"/>
      <c r="R7013" s="51"/>
      <c r="S7013" s="51"/>
    </row>
    <row r="7014" spans="9:19" x14ac:dyDescent="0.25">
      <c r="I7014" s="1"/>
      <c r="J7014" s="71"/>
      <c r="M7014" s="46"/>
      <c r="R7014" s="51"/>
      <c r="S7014" s="51"/>
    </row>
    <row r="7015" spans="9:19" x14ac:dyDescent="0.25">
      <c r="I7015" s="1"/>
      <c r="J7015" s="71"/>
      <c r="M7015" s="46"/>
      <c r="R7015" s="51"/>
      <c r="S7015" s="51"/>
    </row>
    <row r="7016" spans="9:19" x14ac:dyDescent="0.25">
      <c r="I7016" s="1"/>
      <c r="J7016" s="71"/>
      <c r="M7016" s="46"/>
      <c r="R7016" s="51"/>
      <c r="S7016" s="51"/>
    </row>
    <row r="7017" spans="9:19" x14ac:dyDescent="0.25">
      <c r="I7017" s="1"/>
      <c r="J7017" s="71"/>
      <c r="M7017" s="46"/>
      <c r="R7017" s="51"/>
      <c r="S7017" s="51"/>
    </row>
    <row r="7018" spans="9:19" x14ac:dyDescent="0.25">
      <c r="I7018" s="1"/>
      <c r="J7018" s="71"/>
      <c r="M7018" s="46"/>
      <c r="R7018" s="51"/>
      <c r="S7018" s="51"/>
    </row>
    <row r="7019" spans="9:19" x14ac:dyDescent="0.25">
      <c r="I7019" s="1"/>
      <c r="J7019" s="71"/>
      <c r="M7019" s="46"/>
      <c r="R7019" s="51"/>
      <c r="S7019" s="51"/>
    </row>
    <row r="7020" spans="9:19" x14ac:dyDescent="0.25">
      <c r="I7020" s="1"/>
      <c r="J7020" s="71"/>
      <c r="M7020" s="46"/>
      <c r="R7020" s="51"/>
      <c r="S7020" s="51"/>
    </row>
    <row r="7021" spans="9:19" x14ac:dyDescent="0.25">
      <c r="I7021" s="1"/>
      <c r="J7021" s="71"/>
      <c r="M7021" s="46"/>
      <c r="R7021" s="51"/>
      <c r="S7021" s="51"/>
    </row>
    <row r="7022" spans="9:19" x14ac:dyDescent="0.25">
      <c r="I7022" s="1"/>
      <c r="J7022" s="71"/>
      <c r="M7022" s="46"/>
      <c r="R7022" s="51"/>
      <c r="S7022" s="51"/>
    </row>
    <row r="7023" spans="9:19" x14ac:dyDescent="0.25">
      <c r="I7023" s="1"/>
      <c r="J7023" s="71"/>
      <c r="M7023" s="46"/>
      <c r="R7023" s="51"/>
      <c r="S7023" s="51"/>
    </row>
    <row r="7024" spans="9:19" x14ac:dyDescent="0.25">
      <c r="I7024" s="1"/>
      <c r="J7024" s="71"/>
      <c r="M7024" s="46"/>
      <c r="R7024" s="51"/>
      <c r="S7024" s="51"/>
    </row>
    <row r="7025" spans="9:19" x14ac:dyDescent="0.25">
      <c r="I7025" s="1"/>
      <c r="J7025" s="71"/>
      <c r="M7025" s="46"/>
      <c r="R7025" s="51"/>
      <c r="S7025" s="51"/>
    </row>
    <row r="7026" spans="9:19" x14ac:dyDescent="0.25">
      <c r="I7026" s="1"/>
      <c r="J7026" s="71"/>
      <c r="M7026" s="46"/>
      <c r="R7026" s="51"/>
      <c r="S7026" s="51"/>
    </row>
    <row r="7027" spans="9:19" x14ac:dyDescent="0.25">
      <c r="I7027" s="1"/>
      <c r="J7027" s="71"/>
      <c r="M7027" s="46"/>
      <c r="R7027" s="51"/>
      <c r="S7027" s="51"/>
    </row>
    <row r="7028" spans="9:19" x14ac:dyDescent="0.25">
      <c r="I7028" s="1"/>
      <c r="J7028" s="71"/>
      <c r="M7028" s="46"/>
      <c r="R7028" s="51"/>
      <c r="S7028" s="51"/>
    </row>
    <row r="7029" spans="9:19" x14ac:dyDescent="0.25">
      <c r="I7029" s="1"/>
      <c r="J7029" s="71"/>
      <c r="M7029" s="46"/>
      <c r="R7029" s="51"/>
      <c r="S7029" s="51"/>
    </row>
    <row r="7030" spans="9:19" x14ac:dyDescent="0.25">
      <c r="I7030" s="1"/>
      <c r="J7030" s="71"/>
      <c r="M7030" s="46"/>
      <c r="R7030" s="51"/>
      <c r="S7030" s="51"/>
    </row>
    <row r="7031" spans="9:19" x14ac:dyDescent="0.25">
      <c r="I7031" s="1"/>
      <c r="J7031" s="71"/>
      <c r="M7031" s="46"/>
      <c r="R7031" s="51"/>
      <c r="S7031" s="51"/>
    </row>
    <row r="7032" spans="9:19" x14ac:dyDescent="0.25">
      <c r="I7032" s="1"/>
      <c r="J7032" s="71"/>
      <c r="M7032" s="46"/>
      <c r="R7032" s="51"/>
      <c r="S7032" s="51"/>
    </row>
    <row r="7033" spans="9:19" x14ac:dyDescent="0.25">
      <c r="I7033" s="1"/>
      <c r="J7033" s="71"/>
      <c r="M7033" s="46"/>
      <c r="R7033" s="51"/>
      <c r="S7033" s="51"/>
    </row>
    <row r="7034" spans="9:19" x14ac:dyDescent="0.25">
      <c r="I7034" s="1"/>
      <c r="J7034" s="71"/>
      <c r="M7034" s="46"/>
      <c r="R7034" s="51"/>
      <c r="S7034" s="51"/>
    </row>
    <row r="7035" spans="9:19" x14ac:dyDescent="0.25">
      <c r="I7035" s="1"/>
      <c r="J7035" s="71"/>
      <c r="M7035" s="46"/>
      <c r="R7035" s="51"/>
      <c r="S7035" s="51"/>
    </row>
    <row r="7036" spans="9:19" x14ac:dyDescent="0.25">
      <c r="I7036" s="1"/>
      <c r="J7036" s="71"/>
      <c r="M7036" s="46"/>
      <c r="R7036" s="51"/>
      <c r="S7036" s="51"/>
    </row>
    <row r="7037" spans="9:19" x14ac:dyDescent="0.25">
      <c r="I7037" s="1"/>
      <c r="J7037" s="71"/>
      <c r="M7037" s="46"/>
      <c r="R7037" s="51"/>
      <c r="S7037" s="51"/>
    </row>
    <row r="7038" spans="9:19" x14ac:dyDescent="0.25">
      <c r="I7038" s="1"/>
      <c r="J7038" s="71"/>
      <c r="M7038" s="46"/>
      <c r="R7038" s="51"/>
      <c r="S7038" s="51"/>
    </row>
    <row r="7039" spans="9:19" x14ac:dyDescent="0.25">
      <c r="I7039" s="1"/>
      <c r="J7039" s="71"/>
      <c r="M7039" s="46"/>
      <c r="R7039" s="51"/>
      <c r="S7039" s="51"/>
    </row>
    <row r="7040" spans="9:19" x14ac:dyDescent="0.25">
      <c r="I7040" s="1"/>
      <c r="J7040" s="71"/>
      <c r="M7040" s="46"/>
      <c r="R7040" s="51"/>
      <c r="S7040" s="51"/>
    </row>
    <row r="7041" spans="9:19" x14ac:dyDescent="0.25">
      <c r="I7041" s="1"/>
      <c r="J7041" s="71"/>
      <c r="M7041" s="46"/>
      <c r="R7041" s="51"/>
      <c r="S7041" s="51"/>
    </row>
    <row r="7042" spans="9:19" x14ac:dyDescent="0.25">
      <c r="I7042" s="1"/>
      <c r="J7042" s="71"/>
      <c r="M7042" s="46"/>
      <c r="R7042" s="51"/>
      <c r="S7042" s="51"/>
    </row>
    <row r="7043" spans="9:19" x14ac:dyDescent="0.25">
      <c r="I7043" s="1"/>
      <c r="J7043" s="71"/>
      <c r="M7043" s="46"/>
      <c r="R7043" s="51"/>
      <c r="S7043" s="51"/>
    </row>
    <row r="7044" spans="9:19" x14ac:dyDescent="0.25">
      <c r="I7044" s="1"/>
      <c r="J7044" s="71"/>
      <c r="M7044" s="46"/>
      <c r="R7044" s="51"/>
      <c r="S7044" s="51"/>
    </row>
    <row r="7045" spans="9:19" x14ac:dyDescent="0.25">
      <c r="I7045" s="1"/>
      <c r="J7045" s="71"/>
      <c r="M7045" s="46"/>
      <c r="R7045" s="51"/>
      <c r="S7045" s="51"/>
    </row>
    <row r="7046" spans="9:19" x14ac:dyDescent="0.25">
      <c r="I7046" s="1"/>
      <c r="J7046" s="71"/>
      <c r="M7046" s="46"/>
      <c r="R7046" s="51"/>
      <c r="S7046" s="51"/>
    </row>
    <row r="7047" spans="9:19" x14ac:dyDescent="0.25">
      <c r="I7047" s="1"/>
      <c r="J7047" s="71"/>
      <c r="M7047" s="46"/>
      <c r="R7047" s="51"/>
      <c r="S7047" s="51"/>
    </row>
    <row r="7048" spans="9:19" x14ac:dyDescent="0.25">
      <c r="I7048" s="1"/>
      <c r="J7048" s="71"/>
      <c r="M7048" s="46"/>
      <c r="R7048" s="51"/>
      <c r="S7048" s="51"/>
    </row>
    <row r="7049" spans="9:19" x14ac:dyDescent="0.25">
      <c r="I7049" s="1"/>
      <c r="J7049" s="71"/>
      <c r="M7049" s="46"/>
      <c r="R7049" s="51"/>
      <c r="S7049" s="51"/>
    </row>
    <row r="7050" spans="9:19" x14ac:dyDescent="0.25">
      <c r="I7050" s="1"/>
      <c r="J7050" s="71"/>
      <c r="M7050" s="46"/>
      <c r="R7050" s="51"/>
      <c r="S7050" s="51"/>
    </row>
    <row r="7051" spans="9:19" x14ac:dyDescent="0.25">
      <c r="I7051" s="1"/>
      <c r="J7051" s="71"/>
      <c r="M7051" s="46"/>
      <c r="R7051" s="51"/>
      <c r="S7051" s="51"/>
    </row>
    <row r="7052" spans="9:19" x14ac:dyDescent="0.25">
      <c r="I7052" s="1"/>
      <c r="J7052" s="71"/>
      <c r="M7052" s="46"/>
      <c r="R7052" s="51"/>
      <c r="S7052" s="51"/>
    </row>
    <row r="7053" spans="9:19" x14ac:dyDescent="0.25">
      <c r="I7053" s="1"/>
      <c r="J7053" s="71"/>
      <c r="M7053" s="46"/>
      <c r="R7053" s="51"/>
      <c r="S7053" s="51"/>
    </row>
    <row r="7054" spans="9:19" x14ac:dyDescent="0.25">
      <c r="I7054" s="1"/>
      <c r="J7054" s="71"/>
      <c r="M7054" s="46"/>
      <c r="R7054" s="51"/>
      <c r="S7054" s="51"/>
    </row>
    <row r="7055" spans="9:19" x14ac:dyDescent="0.25">
      <c r="I7055" s="1"/>
      <c r="J7055" s="71"/>
      <c r="M7055" s="46"/>
      <c r="R7055" s="51"/>
      <c r="S7055" s="51"/>
    </row>
    <row r="7056" spans="9:19" x14ac:dyDescent="0.25">
      <c r="I7056" s="1"/>
      <c r="J7056" s="71"/>
      <c r="M7056" s="46"/>
      <c r="R7056" s="51"/>
      <c r="S7056" s="51"/>
    </row>
    <row r="7057" spans="9:19" x14ac:dyDescent="0.25">
      <c r="I7057" s="1"/>
      <c r="J7057" s="71"/>
      <c r="M7057" s="46"/>
      <c r="R7057" s="51"/>
      <c r="S7057" s="51"/>
    </row>
    <row r="7058" spans="9:19" x14ac:dyDescent="0.25">
      <c r="I7058" s="1"/>
      <c r="J7058" s="71"/>
      <c r="M7058" s="46"/>
      <c r="R7058" s="51"/>
      <c r="S7058" s="51"/>
    </row>
    <row r="7059" spans="9:19" x14ac:dyDescent="0.25">
      <c r="I7059" s="1"/>
      <c r="J7059" s="71"/>
      <c r="M7059" s="46"/>
      <c r="R7059" s="51"/>
      <c r="S7059" s="51"/>
    </row>
    <row r="7060" spans="9:19" x14ac:dyDescent="0.25">
      <c r="I7060" s="1"/>
      <c r="J7060" s="71"/>
      <c r="M7060" s="46"/>
      <c r="R7060" s="51"/>
      <c r="S7060" s="51"/>
    </row>
    <row r="7061" spans="9:19" x14ac:dyDescent="0.25">
      <c r="I7061" s="1"/>
      <c r="J7061" s="71"/>
      <c r="M7061" s="46"/>
      <c r="R7061" s="51"/>
      <c r="S7061" s="51"/>
    </row>
    <row r="7062" spans="9:19" x14ac:dyDescent="0.25">
      <c r="I7062" s="1"/>
      <c r="J7062" s="71"/>
      <c r="M7062" s="46"/>
      <c r="R7062" s="51"/>
      <c r="S7062" s="51"/>
    </row>
    <row r="7063" spans="9:19" x14ac:dyDescent="0.25">
      <c r="I7063" s="1"/>
      <c r="J7063" s="71"/>
      <c r="M7063" s="46"/>
      <c r="R7063" s="51"/>
      <c r="S7063" s="51"/>
    </row>
    <row r="7064" spans="9:19" x14ac:dyDescent="0.25">
      <c r="I7064" s="1"/>
      <c r="J7064" s="71"/>
      <c r="M7064" s="46"/>
      <c r="R7064" s="51"/>
      <c r="S7064" s="51"/>
    </row>
    <row r="7065" spans="9:19" x14ac:dyDescent="0.25">
      <c r="I7065" s="1"/>
      <c r="J7065" s="71"/>
      <c r="M7065" s="46"/>
      <c r="R7065" s="51"/>
      <c r="S7065" s="51"/>
    </row>
    <row r="7066" spans="9:19" x14ac:dyDescent="0.25">
      <c r="I7066" s="1"/>
      <c r="J7066" s="71"/>
      <c r="M7066" s="46"/>
      <c r="R7066" s="51"/>
      <c r="S7066" s="51"/>
    </row>
    <row r="7067" spans="9:19" x14ac:dyDescent="0.25">
      <c r="I7067" s="1"/>
      <c r="J7067" s="71"/>
      <c r="M7067" s="46"/>
      <c r="R7067" s="51"/>
      <c r="S7067" s="51"/>
    </row>
    <row r="7068" spans="9:19" x14ac:dyDescent="0.25">
      <c r="I7068" s="1"/>
      <c r="J7068" s="71"/>
      <c r="M7068" s="46"/>
      <c r="R7068" s="51"/>
      <c r="S7068" s="51"/>
    </row>
    <row r="7069" spans="9:19" x14ac:dyDescent="0.25">
      <c r="I7069" s="1"/>
      <c r="J7069" s="71"/>
      <c r="M7069" s="46"/>
      <c r="R7069" s="51"/>
      <c r="S7069" s="51"/>
    </row>
    <row r="7070" spans="9:19" x14ac:dyDescent="0.25">
      <c r="I7070" s="1"/>
      <c r="J7070" s="71"/>
      <c r="M7070" s="46"/>
      <c r="R7070" s="51"/>
      <c r="S7070" s="51"/>
    </row>
    <row r="7071" spans="9:19" x14ac:dyDescent="0.25">
      <c r="I7071" s="1"/>
      <c r="J7071" s="71"/>
      <c r="M7071" s="46"/>
      <c r="R7071" s="51"/>
      <c r="S7071" s="51"/>
    </row>
    <row r="7072" spans="9:19" x14ac:dyDescent="0.25">
      <c r="I7072" s="1"/>
      <c r="J7072" s="71"/>
      <c r="M7072" s="46"/>
      <c r="R7072" s="51"/>
      <c r="S7072" s="51"/>
    </row>
    <row r="7073" spans="9:19" x14ac:dyDescent="0.25">
      <c r="I7073" s="1"/>
      <c r="J7073" s="71"/>
      <c r="M7073" s="46"/>
      <c r="R7073" s="51"/>
      <c r="S7073" s="51"/>
    </row>
    <row r="7074" spans="9:19" x14ac:dyDescent="0.25">
      <c r="I7074" s="1"/>
      <c r="J7074" s="71"/>
      <c r="M7074" s="46"/>
      <c r="R7074" s="51"/>
      <c r="S7074" s="51"/>
    </row>
    <row r="7075" spans="9:19" x14ac:dyDescent="0.25">
      <c r="I7075" s="1"/>
      <c r="J7075" s="71"/>
      <c r="M7075" s="46"/>
      <c r="R7075" s="51"/>
      <c r="S7075" s="51"/>
    </row>
    <row r="7076" spans="9:19" x14ac:dyDescent="0.25">
      <c r="I7076" s="1"/>
      <c r="J7076" s="71"/>
      <c r="M7076" s="46"/>
      <c r="R7076" s="51"/>
      <c r="S7076" s="51"/>
    </row>
    <row r="7077" spans="9:19" x14ac:dyDescent="0.25">
      <c r="I7077" s="1"/>
      <c r="J7077" s="71"/>
      <c r="M7077" s="46"/>
      <c r="R7077" s="51"/>
      <c r="S7077" s="51"/>
    </row>
    <row r="7078" spans="9:19" x14ac:dyDescent="0.25">
      <c r="I7078" s="1"/>
      <c r="J7078" s="71"/>
      <c r="M7078" s="46"/>
      <c r="R7078" s="51"/>
      <c r="S7078" s="51"/>
    </row>
    <row r="7079" spans="9:19" x14ac:dyDescent="0.25">
      <c r="I7079" s="1"/>
      <c r="J7079" s="71"/>
      <c r="M7079" s="46"/>
      <c r="R7079" s="51"/>
      <c r="S7079" s="51"/>
    </row>
    <row r="7080" spans="9:19" x14ac:dyDescent="0.25">
      <c r="I7080" s="1"/>
      <c r="J7080" s="71"/>
      <c r="M7080" s="46"/>
      <c r="R7080" s="51"/>
      <c r="S7080" s="51"/>
    </row>
    <row r="7081" spans="9:19" x14ac:dyDescent="0.25">
      <c r="I7081" s="1"/>
      <c r="J7081" s="71"/>
      <c r="M7081" s="46"/>
      <c r="R7081" s="51"/>
      <c r="S7081" s="51"/>
    </row>
    <row r="7082" spans="9:19" x14ac:dyDescent="0.25">
      <c r="I7082" s="1"/>
      <c r="J7082" s="71"/>
      <c r="M7082" s="46"/>
      <c r="R7082" s="51"/>
      <c r="S7082" s="51"/>
    </row>
    <row r="7083" spans="9:19" x14ac:dyDescent="0.25">
      <c r="I7083" s="1"/>
      <c r="J7083" s="71"/>
      <c r="M7083" s="46"/>
      <c r="R7083" s="51"/>
      <c r="S7083" s="51"/>
    </row>
    <row r="7084" spans="9:19" x14ac:dyDescent="0.25">
      <c r="I7084" s="1"/>
      <c r="J7084" s="71"/>
      <c r="M7084" s="46"/>
      <c r="R7084" s="51"/>
      <c r="S7084" s="51"/>
    </row>
    <row r="7085" spans="9:19" x14ac:dyDescent="0.25">
      <c r="I7085" s="1"/>
      <c r="J7085" s="71"/>
      <c r="M7085" s="46"/>
      <c r="R7085" s="51"/>
      <c r="S7085" s="51"/>
    </row>
    <row r="7086" spans="9:19" x14ac:dyDescent="0.25">
      <c r="I7086" s="1"/>
      <c r="J7086" s="71"/>
      <c r="M7086" s="46"/>
      <c r="R7086" s="51"/>
      <c r="S7086" s="51"/>
    </row>
    <row r="7087" spans="9:19" x14ac:dyDescent="0.25">
      <c r="I7087" s="1"/>
      <c r="J7087" s="71"/>
      <c r="M7087" s="46"/>
      <c r="R7087" s="51"/>
      <c r="S7087" s="51"/>
    </row>
    <row r="7088" spans="9:19" x14ac:dyDescent="0.25">
      <c r="I7088" s="1"/>
      <c r="J7088" s="71"/>
      <c r="M7088" s="46"/>
      <c r="R7088" s="51"/>
      <c r="S7088" s="51"/>
    </row>
    <row r="7089" spans="9:19" x14ac:dyDescent="0.25">
      <c r="I7089" s="1"/>
      <c r="J7089" s="71"/>
      <c r="M7089" s="46"/>
      <c r="R7089" s="51"/>
      <c r="S7089" s="51"/>
    </row>
    <row r="7090" spans="9:19" x14ac:dyDescent="0.25">
      <c r="I7090" s="1"/>
      <c r="J7090" s="71"/>
      <c r="M7090" s="46"/>
      <c r="R7090" s="51"/>
      <c r="S7090" s="51"/>
    </row>
    <row r="7091" spans="9:19" x14ac:dyDescent="0.25">
      <c r="I7091" s="1"/>
      <c r="J7091" s="71"/>
      <c r="M7091" s="46"/>
      <c r="R7091" s="51"/>
      <c r="S7091" s="51"/>
    </row>
    <row r="7092" spans="9:19" x14ac:dyDescent="0.25">
      <c r="I7092" s="1"/>
      <c r="J7092" s="71"/>
      <c r="M7092" s="46"/>
      <c r="R7092" s="51"/>
      <c r="S7092" s="51"/>
    </row>
    <row r="7093" spans="9:19" x14ac:dyDescent="0.25">
      <c r="I7093" s="1"/>
      <c r="J7093" s="71"/>
      <c r="M7093" s="46"/>
      <c r="R7093" s="51"/>
      <c r="S7093" s="51"/>
    </row>
    <row r="7094" spans="9:19" x14ac:dyDescent="0.25">
      <c r="I7094" s="1"/>
      <c r="J7094" s="71"/>
      <c r="M7094" s="46"/>
      <c r="R7094" s="51"/>
      <c r="S7094" s="51"/>
    </row>
    <row r="7095" spans="9:19" x14ac:dyDescent="0.25">
      <c r="I7095" s="1"/>
      <c r="J7095" s="71"/>
      <c r="M7095" s="46"/>
      <c r="R7095" s="51"/>
      <c r="S7095" s="51"/>
    </row>
    <row r="7096" spans="9:19" x14ac:dyDescent="0.25">
      <c r="I7096" s="1"/>
      <c r="J7096" s="71"/>
      <c r="M7096" s="46"/>
      <c r="R7096" s="51"/>
      <c r="S7096" s="51"/>
    </row>
    <row r="7097" spans="9:19" x14ac:dyDescent="0.25">
      <c r="I7097" s="1"/>
      <c r="J7097" s="71"/>
      <c r="M7097" s="46"/>
      <c r="R7097" s="51"/>
      <c r="S7097" s="51"/>
    </row>
    <row r="7098" spans="9:19" x14ac:dyDescent="0.25">
      <c r="I7098" s="1"/>
      <c r="J7098" s="71"/>
      <c r="M7098" s="46"/>
      <c r="R7098" s="51"/>
      <c r="S7098" s="51"/>
    </row>
    <row r="7099" spans="9:19" x14ac:dyDescent="0.25">
      <c r="I7099" s="1"/>
      <c r="J7099" s="71"/>
      <c r="M7099" s="46"/>
      <c r="R7099" s="51"/>
      <c r="S7099" s="51"/>
    </row>
    <row r="7100" spans="9:19" x14ac:dyDescent="0.25">
      <c r="I7100" s="1"/>
      <c r="J7100" s="71"/>
      <c r="M7100" s="46"/>
      <c r="R7100" s="51"/>
      <c r="S7100" s="51"/>
    </row>
    <row r="7101" spans="9:19" x14ac:dyDescent="0.25">
      <c r="I7101" s="1"/>
      <c r="J7101" s="71"/>
      <c r="M7101" s="46"/>
      <c r="R7101" s="51"/>
      <c r="S7101" s="51"/>
    </row>
    <row r="7102" spans="9:19" x14ac:dyDescent="0.25">
      <c r="I7102" s="1"/>
      <c r="J7102" s="71"/>
      <c r="M7102" s="46"/>
      <c r="R7102" s="51"/>
      <c r="S7102" s="51"/>
    </row>
    <row r="7103" spans="9:19" x14ac:dyDescent="0.25">
      <c r="I7103" s="1"/>
      <c r="J7103" s="71"/>
      <c r="M7103" s="46"/>
      <c r="R7103" s="51"/>
      <c r="S7103" s="51"/>
    </row>
    <row r="7104" spans="9:19" x14ac:dyDescent="0.25">
      <c r="I7104" s="1"/>
      <c r="J7104" s="71"/>
      <c r="M7104" s="46"/>
      <c r="R7104" s="51"/>
      <c r="S7104" s="51"/>
    </row>
    <row r="7105" spans="9:19" x14ac:dyDescent="0.25">
      <c r="I7105" s="1"/>
      <c r="J7105" s="71"/>
      <c r="M7105" s="46"/>
      <c r="R7105" s="51"/>
      <c r="S7105" s="51"/>
    </row>
    <row r="7106" spans="9:19" x14ac:dyDescent="0.25">
      <c r="I7106" s="1"/>
      <c r="J7106" s="71"/>
      <c r="M7106" s="46"/>
      <c r="R7106" s="51"/>
      <c r="S7106" s="51"/>
    </row>
    <row r="7107" spans="9:19" x14ac:dyDescent="0.25">
      <c r="I7107" s="1"/>
      <c r="J7107" s="71"/>
      <c r="M7107" s="46"/>
      <c r="R7107" s="51"/>
      <c r="S7107" s="51"/>
    </row>
    <row r="7108" spans="9:19" x14ac:dyDescent="0.25">
      <c r="I7108" s="1"/>
      <c r="J7108" s="71"/>
      <c r="M7108" s="46"/>
      <c r="R7108" s="51"/>
      <c r="S7108" s="51"/>
    </row>
    <row r="7109" spans="9:19" x14ac:dyDescent="0.25">
      <c r="I7109" s="1"/>
      <c r="J7109" s="71"/>
      <c r="M7109" s="46"/>
      <c r="R7109" s="51"/>
      <c r="S7109" s="51"/>
    </row>
    <row r="7110" spans="9:19" x14ac:dyDescent="0.25">
      <c r="I7110" s="1"/>
      <c r="J7110" s="71"/>
      <c r="M7110" s="46"/>
      <c r="R7110" s="51"/>
      <c r="S7110" s="51"/>
    </row>
    <row r="7111" spans="9:19" x14ac:dyDescent="0.25">
      <c r="I7111" s="1"/>
      <c r="J7111" s="71"/>
      <c r="M7111" s="46"/>
      <c r="R7111" s="51"/>
      <c r="S7111" s="51"/>
    </row>
    <row r="7112" spans="9:19" x14ac:dyDescent="0.25">
      <c r="I7112" s="1"/>
      <c r="J7112" s="71"/>
      <c r="M7112" s="46"/>
      <c r="R7112" s="51"/>
      <c r="S7112" s="51"/>
    </row>
    <row r="7113" spans="9:19" x14ac:dyDescent="0.25">
      <c r="I7113" s="1"/>
      <c r="J7113" s="71"/>
      <c r="M7113" s="46"/>
      <c r="R7113" s="51"/>
      <c r="S7113" s="51"/>
    </row>
    <row r="7114" spans="9:19" x14ac:dyDescent="0.25">
      <c r="I7114" s="1"/>
      <c r="J7114" s="71"/>
      <c r="M7114" s="46"/>
      <c r="R7114" s="51"/>
      <c r="S7114" s="51"/>
    </row>
    <row r="7115" spans="9:19" x14ac:dyDescent="0.25">
      <c r="I7115" s="1"/>
      <c r="J7115" s="71"/>
      <c r="M7115" s="46"/>
      <c r="R7115" s="51"/>
      <c r="S7115" s="51"/>
    </row>
    <row r="7116" spans="9:19" x14ac:dyDescent="0.25">
      <c r="I7116" s="1"/>
      <c r="J7116" s="71"/>
      <c r="M7116" s="46"/>
      <c r="R7116" s="51"/>
      <c r="S7116" s="51"/>
    </row>
    <row r="7117" spans="9:19" x14ac:dyDescent="0.25">
      <c r="I7117" s="1"/>
      <c r="J7117" s="71"/>
      <c r="M7117" s="46"/>
      <c r="R7117" s="51"/>
      <c r="S7117" s="51"/>
    </row>
    <row r="7118" spans="9:19" x14ac:dyDescent="0.25">
      <c r="I7118" s="1"/>
      <c r="J7118" s="71"/>
      <c r="M7118" s="46"/>
      <c r="R7118" s="51"/>
      <c r="S7118" s="51"/>
    </row>
    <row r="7119" spans="9:19" x14ac:dyDescent="0.25">
      <c r="I7119" s="1"/>
      <c r="J7119" s="71"/>
      <c r="M7119" s="46"/>
      <c r="R7119" s="51"/>
      <c r="S7119" s="51"/>
    </row>
    <row r="7120" spans="9:19" x14ac:dyDescent="0.25">
      <c r="I7120" s="1"/>
      <c r="J7120" s="71"/>
      <c r="M7120" s="46"/>
      <c r="R7120" s="51"/>
      <c r="S7120" s="51"/>
    </row>
    <row r="7121" spans="9:19" x14ac:dyDescent="0.25">
      <c r="I7121" s="1"/>
      <c r="J7121" s="71"/>
      <c r="M7121" s="46"/>
      <c r="R7121" s="51"/>
      <c r="S7121" s="51"/>
    </row>
    <row r="7122" spans="9:19" x14ac:dyDescent="0.25">
      <c r="I7122" s="1"/>
      <c r="J7122" s="71"/>
      <c r="M7122" s="46"/>
      <c r="R7122" s="51"/>
      <c r="S7122" s="51"/>
    </row>
    <row r="7123" spans="9:19" x14ac:dyDescent="0.25">
      <c r="I7123" s="1"/>
      <c r="J7123" s="71"/>
      <c r="M7123" s="46"/>
      <c r="R7123" s="51"/>
      <c r="S7123" s="51"/>
    </row>
    <row r="7124" spans="9:19" x14ac:dyDescent="0.25">
      <c r="I7124" s="1"/>
      <c r="J7124" s="71"/>
      <c r="M7124" s="46"/>
      <c r="R7124" s="51"/>
      <c r="S7124" s="51"/>
    </row>
    <row r="7125" spans="9:19" x14ac:dyDescent="0.25">
      <c r="I7125" s="1"/>
      <c r="J7125" s="71"/>
      <c r="M7125" s="46"/>
      <c r="R7125" s="51"/>
      <c r="S7125" s="51"/>
    </row>
    <row r="7126" spans="9:19" x14ac:dyDescent="0.25">
      <c r="I7126" s="1"/>
      <c r="J7126" s="71"/>
      <c r="M7126" s="46"/>
      <c r="R7126" s="51"/>
      <c r="S7126" s="51"/>
    </row>
    <row r="7127" spans="9:19" x14ac:dyDescent="0.25">
      <c r="I7127" s="1"/>
      <c r="J7127" s="71"/>
      <c r="M7127" s="46"/>
      <c r="R7127" s="51"/>
      <c r="S7127" s="51"/>
    </row>
    <row r="7128" spans="9:19" x14ac:dyDescent="0.25">
      <c r="I7128" s="1"/>
      <c r="J7128" s="71"/>
      <c r="M7128" s="46"/>
      <c r="R7128" s="51"/>
      <c r="S7128" s="51"/>
    </row>
    <row r="7129" spans="9:19" x14ac:dyDescent="0.25">
      <c r="I7129" s="1"/>
      <c r="J7129" s="71"/>
      <c r="M7129" s="46"/>
      <c r="R7129" s="51"/>
      <c r="S7129" s="51"/>
    </row>
    <row r="7130" spans="9:19" x14ac:dyDescent="0.25">
      <c r="I7130" s="1"/>
      <c r="J7130" s="71"/>
      <c r="M7130" s="46"/>
      <c r="R7130" s="51"/>
      <c r="S7130" s="51"/>
    </row>
    <row r="7131" spans="9:19" x14ac:dyDescent="0.25">
      <c r="I7131" s="1"/>
      <c r="J7131" s="71"/>
      <c r="M7131" s="46"/>
      <c r="R7131" s="51"/>
      <c r="S7131" s="51"/>
    </row>
    <row r="7132" spans="9:19" x14ac:dyDescent="0.25">
      <c r="I7132" s="1"/>
      <c r="J7132" s="71"/>
      <c r="M7132" s="46"/>
      <c r="R7132" s="51"/>
      <c r="S7132" s="51"/>
    </row>
    <row r="7133" spans="9:19" x14ac:dyDescent="0.25">
      <c r="I7133" s="1"/>
      <c r="J7133" s="71"/>
      <c r="M7133" s="46"/>
      <c r="R7133" s="51"/>
      <c r="S7133" s="51"/>
    </row>
    <row r="7134" spans="9:19" x14ac:dyDescent="0.25">
      <c r="I7134" s="1"/>
      <c r="J7134" s="71"/>
      <c r="M7134" s="46"/>
      <c r="R7134" s="51"/>
      <c r="S7134" s="51"/>
    </row>
    <row r="7135" spans="9:19" x14ac:dyDescent="0.25">
      <c r="I7135" s="1"/>
      <c r="J7135" s="71"/>
      <c r="M7135" s="46"/>
      <c r="R7135" s="51"/>
      <c r="S7135" s="51"/>
    </row>
    <row r="7136" spans="9:19" x14ac:dyDescent="0.25">
      <c r="I7136" s="1"/>
      <c r="J7136" s="71"/>
      <c r="M7136" s="46"/>
      <c r="R7136" s="51"/>
      <c r="S7136" s="51"/>
    </row>
    <row r="7137" spans="9:19" x14ac:dyDescent="0.25">
      <c r="I7137" s="1"/>
      <c r="J7137" s="71"/>
      <c r="M7137" s="46"/>
      <c r="R7137" s="51"/>
      <c r="S7137" s="51"/>
    </row>
    <row r="7138" spans="9:19" x14ac:dyDescent="0.25">
      <c r="I7138" s="1"/>
      <c r="J7138" s="71"/>
      <c r="M7138" s="46"/>
      <c r="R7138" s="51"/>
      <c r="S7138" s="51"/>
    </row>
    <row r="7139" spans="9:19" x14ac:dyDescent="0.25">
      <c r="I7139" s="1"/>
      <c r="J7139" s="71"/>
      <c r="M7139" s="46"/>
      <c r="R7139" s="51"/>
      <c r="S7139" s="51"/>
    </row>
    <row r="7140" spans="9:19" x14ac:dyDescent="0.25">
      <c r="I7140" s="1"/>
      <c r="J7140" s="71"/>
      <c r="M7140" s="46"/>
      <c r="R7140" s="51"/>
      <c r="S7140" s="51"/>
    </row>
    <row r="7141" spans="9:19" x14ac:dyDescent="0.25">
      <c r="I7141" s="1"/>
      <c r="J7141" s="71"/>
      <c r="M7141" s="46"/>
      <c r="R7141" s="51"/>
      <c r="S7141" s="51"/>
    </row>
    <row r="7142" spans="9:19" x14ac:dyDescent="0.25">
      <c r="I7142" s="1"/>
      <c r="J7142" s="71"/>
      <c r="M7142" s="46"/>
      <c r="R7142" s="51"/>
      <c r="S7142" s="51"/>
    </row>
    <row r="7143" spans="9:19" x14ac:dyDescent="0.25">
      <c r="I7143" s="1"/>
      <c r="J7143" s="71"/>
      <c r="M7143" s="46"/>
      <c r="R7143" s="51"/>
      <c r="S7143" s="51"/>
    </row>
    <row r="7144" spans="9:19" x14ac:dyDescent="0.25">
      <c r="I7144" s="1"/>
      <c r="J7144" s="71"/>
      <c r="M7144" s="46"/>
      <c r="R7144" s="51"/>
      <c r="S7144" s="51"/>
    </row>
    <row r="7145" spans="9:19" x14ac:dyDescent="0.25">
      <c r="I7145" s="1"/>
      <c r="J7145" s="71"/>
      <c r="M7145" s="46"/>
      <c r="R7145" s="51"/>
      <c r="S7145" s="51"/>
    </row>
    <row r="7146" spans="9:19" x14ac:dyDescent="0.25">
      <c r="I7146" s="1"/>
      <c r="J7146" s="71"/>
      <c r="M7146" s="46"/>
      <c r="R7146" s="51"/>
      <c r="S7146" s="51"/>
    </row>
    <row r="7147" spans="9:19" x14ac:dyDescent="0.25">
      <c r="I7147" s="1"/>
      <c r="J7147" s="71"/>
      <c r="M7147" s="46"/>
      <c r="R7147" s="51"/>
      <c r="S7147" s="51"/>
    </row>
    <row r="7148" spans="9:19" x14ac:dyDescent="0.25">
      <c r="I7148" s="1"/>
      <c r="J7148" s="71"/>
      <c r="M7148" s="46"/>
      <c r="R7148" s="51"/>
      <c r="S7148" s="51"/>
    </row>
    <row r="7149" spans="9:19" x14ac:dyDescent="0.25">
      <c r="I7149" s="1"/>
      <c r="J7149" s="71"/>
      <c r="M7149" s="46"/>
      <c r="R7149" s="51"/>
      <c r="S7149" s="51"/>
    </row>
    <row r="7150" spans="9:19" x14ac:dyDescent="0.25">
      <c r="I7150" s="1"/>
      <c r="J7150" s="71"/>
      <c r="M7150" s="46"/>
      <c r="R7150" s="51"/>
      <c r="S7150" s="51"/>
    </row>
    <row r="7151" spans="9:19" x14ac:dyDescent="0.25">
      <c r="I7151" s="1"/>
      <c r="J7151" s="71"/>
      <c r="M7151" s="46"/>
      <c r="R7151" s="51"/>
      <c r="S7151" s="51"/>
    </row>
    <row r="7152" spans="9:19" x14ac:dyDescent="0.25">
      <c r="I7152" s="1"/>
      <c r="J7152" s="71"/>
      <c r="M7152" s="46"/>
      <c r="R7152" s="51"/>
      <c r="S7152" s="51"/>
    </row>
    <row r="7153" spans="9:19" x14ac:dyDescent="0.25">
      <c r="I7153" s="1"/>
      <c r="J7153" s="71"/>
      <c r="M7153" s="46"/>
      <c r="R7153" s="51"/>
      <c r="S7153" s="51"/>
    </row>
    <row r="7154" spans="9:19" x14ac:dyDescent="0.25">
      <c r="I7154" s="1"/>
      <c r="J7154" s="71"/>
      <c r="M7154" s="46"/>
      <c r="R7154" s="51"/>
      <c r="S7154" s="51"/>
    </row>
    <row r="7155" spans="9:19" x14ac:dyDescent="0.25">
      <c r="I7155" s="1"/>
      <c r="J7155" s="71"/>
      <c r="M7155" s="46"/>
      <c r="R7155" s="51"/>
      <c r="S7155" s="51"/>
    </row>
    <row r="7156" spans="9:19" x14ac:dyDescent="0.25">
      <c r="I7156" s="1"/>
      <c r="J7156" s="71"/>
      <c r="M7156" s="46"/>
      <c r="R7156" s="51"/>
      <c r="S7156" s="51"/>
    </row>
    <row r="7157" spans="9:19" x14ac:dyDescent="0.25">
      <c r="I7157" s="1"/>
      <c r="J7157" s="71"/>
      <c r="M7157" s="46"/>
      <c r="R7157" s="51"/>
      <c r="S7157" s="51"/>
    </row>
    <row r="7158" spans="9:19" x14ac:dyDescent="0.25">
      <c r="I7158" s="1"/>
      <c r="J7158" s="71"/>
      <c r="M7158" s="46"/>
      <c r="R7158" s="51"/>
      <c r="S7158" s="51"/>
    </row>
    <row r="7159" spans="9:19" x14ac:dyDescent="0.25">
      <c r="I7159" s="1"/>
      <c r="J7159" s="71"/>
      <c r="M7159" s="46"/>
      <c r="R7159" s="51"/>
      <c r="S7159" s="51"/>
    </row>
    <row r="7160" spans="9:19" x14ac:dyDescent="0.25">
      <c r="I7160" s="1"/>
      <c r="J7160" s="71"/>
      <c r="M7160" s="46"/>
      <c r="R7160" s="51"/>
      <c r="S7160" s="51"/>
    </row>
    <row r="7161" spans="9:19" x14ac:dyDescent="0.25">
      <c r="I7161" s="1"/>
      <c r="J7161" s="71"/>
      <c r="M7161" s="46"/>
      <c r="R7161" s="51"/>
      <c r="S7161" s="51"/>
    </row>
    <row r="7162" spans="9:19" x14ac:dyDescent="0.25">
      <c r="I7162" s="1"/>
      <c r="J7162" s="71"/>
      <c r="M7162" s="46"/>
      <c r="R7162" s="51"/>
      <c r="S7162" s="51"/>
    </row>
    <row r="7163" spans="9:19" x14ac:dyDescent="0.25">
      <c r="I7163" s="1"/>
      <c r="J7163" s="71"/>
      <c r="M7163" s="46"/>
      <c r="R7163" s="51"/>
      <c r="S7163" s="51"/>
    </row>
    <row r="7164" spans="9:19" x14ac:dyDescent="0.25">
      <c r="I7164" s="1"/>
      <c r="J7164" s="71"/>
      <c r="M7164" s="46"/>
      <c r="R7164" s="51"/>
      <c r="S7164" s="51"/>
    </row>
    <row r="7165" spans="9:19" x14ac:dyDescent="0.25">
      <c r="I7165" s="1"/>
      <c r="J7165" s="71"/>
      <c r="M7165" s="46"/>
      <c r="R7165" s="51"/>
      <c r="S7165" s="51"/>
    </row>
    <row r="7166" spans="9:19" x14ac:dyDescent="0.25">
      <c r="I7166" s="1"/>
      <c r="J7166" s="71"/>
      <c r="M7166" s="46"/>
      <c r="R7166" s="51"/>
      <c r="S7166" s="51"/>
    </row>
    <row r="7167" spans="9:19" x14ac:dyDescent="0.25">
      <c r="I7167" s="1"/>
      <c r="J7167" s="71"/>
      <c r="M7167" s="46"/>
      <c r="R7167" s="51"/>
      <c r="S7167" s="51"/>
    </row>
    <row r="7168" spans="9:19" x14ac:dyDescent="0.25">
      <c r="I7168" s="1"/>
      <c r="J7168" s="71"/>
      <c r="M7168" s="46"/>
      <c r="R7168" s="51"/>
      <c r="S7168" s="51"/>
    </row>
    <row r="7169" spans="9:19" x14ac:dyDescent="0.25">
      <c r="I7169" s="1"/>
      <c r="J7169" s="71"/>
      <c r="M7169" s="46"/>
      <c r="R7169" s="51"/>
      <c r="S7169" s="51"/>
    </row>
    <row r="7170" spans="9:19" x14ac:dyDescent="0.25">
      <c r="I7170" s="1"/>
      <c r="J7170" s="71"/>
      <c r="M7170" s="46"/>
      <c r="R7170" s="51"/>
      <c r="S7170" s="51"/>
    </row>
    <row r="7171" spans="9:19" x14ac:dyDescent="0.25">
      <c r="I7171" s="1"/>
      <c r="J7171" s="71"/>
      <c r="M7171" s="46"/>
      <c r="R7171" s="51"/>
      <c r="S7171" s="51"/>
    </row>
    <row r="7172" spans="9:19" x14ac:dyDescent="0.25">
      <c r="I7172" s="1"/>
      <c r="J7172" s="71"/>
      <c r="M7172" s="46"/>
      <c r="R7172" s="51"/>
      <c r="S7172" s="51"/>
    </row>
    <row r="7173" spans="9:19" x14ac:dyDescent="0.25">
      <c r="I7173" s="1"/>
      <c r="J7173" s="71"/>
      <c r="M7173" s="46"/>
      <c r="R7173" s="51"/>
      <c r="S7173" s="51"/>
    </row>
    <row r="7174" spans="9:19" x14ac:dyDescent="0.25">
      <c r="I7174" s="1"/>
      <c r="J7174" s="71"/>
      <c r="M7174" s="46"/>
      <c r="R7174" s="51"/>
      <c r="S7174" s="51"/>
    </row>
    <row r="7175" spans="9:19" x14ac:dyDescent="0.25">
      <c r="I7175" s="1"/>
      <c r="J7175" s="71"/>
      <c r="M7175" s="46"/>
      <c r="R7175" s="51"/>
      <c r="S7175" s="51"/>
    </row>
    <row r="7176" spans="9:19" x14ac:dyDescent="0.25">
      <c r="I7176" s="1"/>
      <c r="J7176" s="71"/>
      <c r="M7176" s="46"/>
      <c r="R7176" s="51"/>
      <c r="S7176" s="51"/>
    </row>
    <row r="7177" spans="9:19" x14ac:dyDescent="0.25">
      <c r="I7177" s="1"/>
      <c r="J7177" s="71"/>
      <c r="M7177" s="46"/>
      <c r="R7177" s="51"/>
      <c r="S7177" s="51"/>
    </row>
    <row r="7178" spans="9:19" x14ac:dyDescent="0.25">
      <c r="I7178" s="1"/>
      <c r="J7178" s="71"/>
      <c r="M7178" s="46"/>
      <c r="R7178" s="51"/>
      <c r="S7178" s="51"/>
    </row>
    <row r="7179" spans="9:19" x14ac:dyDescent="0.25">
      <c r="I7179" s="1"/>
      <c r="J7179" s="71"/>
      <c r="M7179" s="46"/>
      <c r="R7179" s="51"/>
      <c r="S7179" s="51"/>
    </row>
    <row r="7180" spans="9:19" x14ac:dyDescent="0.25">
      <c r="I7180" s="1"/>
      <c r="J7180" s="71"/>
      <c r="M7180" s="46"/>
      <c r="R7180" s="51"/>
      <c r="S7180" s="51"/>
    </row>
    <row r="7181" spans="9:19" x14ac:dyDescent="0.25">
      <c r="I7181" s="1"/>
      <c r="J7181" s="71"/>
      <c r="M7181" s="46"/>
      <c r="R7181" s="51"/>
      <c r="S7181" s="51"/>
    </row>
    <row r="7182" spans="9:19" x14ac:dyDescent="0.25">
      <c r="I7182" s="1"/>
      <c r="J7182" s="71"/>
      <c r="M7182" s="46"/>
      <c r="R7182" s="51"/>
      <c r="S7182" s="51"/>
    </row>
    <row r="7183" spans="9:19" x14ac:dyDescent="0.25">
      <c r="I7183" s="1"/>
      <c r="J7183" s="71"/>
      <c r="M7183" s="46"/>
      <c r="R7183" s="51"/>
      <c r="S7183" s="51"/>
    </row>
    <row r="7184" spans="9:19" x14ac:dyDescent="0.25">
      <c r="I7184" s="1"/>
      <c r="J7184" s="71"/>
      <c r="M7184" s="46"/>
      <c r="R7184" s="51"/>
      <c r="S7184" s="51"/>
    </row>
    <row r="7185" spans="9:19" x14ac:dyDescent="0.25">
      <c r="I7185" s="1"/>
      <c r="J7185" s="71"/>
      <c r="M7185" s="46"/>
      <c r="R7185" s="51"/>
      <c r="S7185" s="51"/>
    </row>
    <row r="7186" spans="9:19" x14ac:dyDescent="0.25">
      <c r="I7186" s="1"/>
      <c r="J7186" s="71"/>
      <c r="M7186" s="46"/>
      <c r="R7186" s="51"/>
      <c r="S7186" s="51"/>
    </row>
    <row r="7187" spans="9:19" x14ac:dyDescent="0.25">
      <c r="I7187" s="1"/>
      <c r="J7187" s="71"/>
      <c r="M7187" s="46"/>
      <c r="R7187" s="51"/>
      <c r="S7187" s="51"/>
    </row>
    <row r="7188" spans="9:19" x14ac:dyDescent="0.25">
      <c r="I7188" s="1"/>
      <c r="J7188" s="71"/>
      <c r="M7188" s="46"/>
      <c r="R7188" s="51"/>
      <c r="S7188" s="51"/>
    </row>
    <row r="7189" spans="9:19" x14ac:dyDescent="0.25">
      <c r="I7189" s="1"/>
      <c r="J7189" s="71"/>
      <c r="M7189" s="46"/>
      <c r="R7189" s="51"/>
      <c r="S7189" s="51"/>
    </row>
    <row r="7190" spans="9:19" x14ac:dyDescent="0.25">
      <c r="I7190" s="1"/>
      <c r="J7190" s="71"/>
      <c r="M7190" s="46"/>
      <c r="R7190" s="51"/>
      <c r="S7190" s="51"/>
    </row>
    <row r="7191" spans="9:19" x14ac:dyDescent="0.25">
      <c r="I7191" s="1"/>
      <c r="J7191" s="71"/>
      <c r="M7191" s="46"/>
      <c r="R7191" s="51"/>
      <c r="S7191" s="51"/>
    </row>
    <row r="7192" spans="9:19" x14ac:dyDescent="0.25">
      <c r="I7192" s="1"/>
      <c r="J7192" s="71"/>
      <c r="M7192" s="46"/>
      <c r="R7192" s="51"/>
      <c r="S7192" s="51"/>
    </row>
    <row r="7193" spans="9:19" x14ac:dyDescent="0.25">
      <c r="I7193" s="1"/>
      <c r="J7193" s="71"/>
      <c r="M7193" s="46"/>
      <c r="R7193" s="51"/>
      <c r="S7193" s="51"/>
    </row>
    <row r="7194" spans="9:19" x14ac:dyDescent="0.25">
      <c r="I7194" s="1"/>
      <c r="J7194" s="71"/>
      <c r="M7194" s="46"/>
      <c r="R7194" s="51"/>
      <c r="S7194" s="51"/>
    </row>
    <row r="7195" spans="9:19" x14ac:dyDescent="0.25">
      <c r="I7195" s="1"/>
      <c r="J7195" s="71"/>
      <c r="M7195" s="46"/>
      <c r="R7195" s="51"/>
      <c r="S7195" s="51"/>
    </row>
    <row r="7196" spans="9:19" x14ac:dyDescent="0.25">
      <c r="I7196" s="1"/>
      <c r="J7196" s="71"/>
      <c r="M7196" s="46"/>
      <c r="R7196" s="51"/>
      <c r="S7196" s="51"/>
    </row>
    <row r="7197" spans="9:19" x14ac:dyDescent="0.25">
      <c r="I7197" s="1"/>
      <c r="J7197" s="71"/>
      <c r="M7197" s="46"/>
      <c r="R7197" s="51"/>
      <c r="S7197" s="51"/>
    </row>
    <row r="7198" spans="9:19" x14ac:dyDescent="0.25">
      <c r="I7198" s="1"/>
      <c r="J7198" s="71"/>
      <c r="M7198" s="46"/>
      <c r="R7198" s="51"/>
      <c r="S7198" s="51"/>
    </row>
    <row r="7199" spans="9:19" x14ac:dyDescent="0.25">
      <c r="I7199" s="1"/>
      <c r="J7199" s="71"/>
      <c r="M7199" s="46"/>
      <c r="R7199" s="51"/>
      <c r="S7199" s="51"/>
    </row>
    <row r="7200" spans="9:19" x14ac:dyDescent="0.25">
      <c r="I7200" s="1"/>
      <c r="J7200" s="71"/>
      <c r="M7200" s="46"/>
      <c r="R7200" s="51"/>
      <c r="S7200" s="51"/>
    </row>
    <row r="7201" spans="9:19" x14ac:dyDescent="0.25">
      <c r="I7201" s="1"/>
      <c r="J7201" s="71"/>
      <c r="M7201" s="46"/>
      <c r="R7201" s="51"/>
      <c r="S7201" s="51"/>
    </row>
    <row r="7202" spans="9:19" x14ac:dyDescent="0.25">
      <c r="I7202" s="1"/>
      <c r="J7202" s="71"/>
      <c r="M7202" s="46"/>
      <c r="R7202" s="51"/>
      <c r="S7202" s="51"/>
    </row>
    <row r="7203" spans="9:19" x14ac:dyDescent="0.25">
      <c r="I7203" s="1"/>
      <c r="J7203" s="71"/>
      <c r="M7203" s="46"/>
      <c r="R7203" s="51"/>
      <c r="S7203" s="51"/>
    </row>
    <row r="7204" spans="9:19" x14ac:dyDescent="0.25">
      <c r="I7204" s="1"/>
      <c r="J7204" s="71"/>
      <c r="M7204" s="46"/>
      <c r="R7204" s="51"/>
      <c r="S7204" s="51"/>
    </row>
    <row r="7205" spans="9:19" x14ac:dyDescent="0.25">
      <c r="I7205" s="1"/>
      <c r="J7205" s="71"/>
      <c r="M7205" s="46"/>
      <c r="R7205" s="51"/>
      <c r="S7205" s="51"/>
    </row>
    <row r="7206" spans="9:19" x14ac:dyDescent="0.25">
      <c r="I7206" s="1"/>
      <c r="J7206" s="71"/>
      <c r="M7206" s="46"/>
      <c r="R7206" s="51"/>
      <c r="S7206" s="51"/>
    </row>
    <row r="7207" spans="9:19" x14ac:dyDescent="0.25">
      <c r="I7207" s="1"/>
      <c r="J7207" s="71"/>
      <c r="M7207" s="46"/>
      <c r="R7207" s="51"/>
      <c r="S7207" s="51"/>
    </row>
    <row r="7208" spans="9:19" x14ac:dyDescent="0.25">
      <c r="I7208" s="1"/>
      <c r="J7208" s="71"/>
      <c r="M7208" s="46"/>
      <c r="R7208" s="51"/>
      <c r="S7208" s="51"/>
    </row>
    <row r="7209" spans="9:19" x14ac:dyDescent="0.25">
      <c r="I7209" s="1"/>
      <c r="J7209" s="71"/>
      <c r="M7209" s="46"/>
      <c r="R7209" s="51"/>
      <c r="S7209" s="51"/>
    </row>
    <row r="7210" spans="9:19" x14ac:dyDescent="0.25">
      <c r="I7210" s="1"/>
      <c r="J7210" s="71"/>
      <c r="M7210" s="46"/>
      <c r="R7210" s="51"/>
      <c r="S7210" s="51"/>
    </row>
    <row r="7211" spans="9:19" x14ac:dyDescent="0.25">
      <c r="I7211" s="1"/>
      <c r="J7211" s="71"/>
      <c r="M7211" s="46"/>
      <c r="R7211" s="51"/>
      <c r="S7211" s="51"/>
    </row>
    <row r="7212" spans="9:19" x14ac:dyDescent="0.25">
      <c r="I7212" s="1"/>
      <c r="J7212" s="71"/>
      <c r="M7212" s="46"/>
      <c r="R7212" s="51"/>
      <c r="S7212" s="51"/>
    </row>
    <row r="7213" spans="9:19" x14ac:dyDescent="0.25">
      <c r="I7213" s="1"/>
      <c r="J7213" s="71"/>
      <c r="M7213" s="46"/>
      <c r="R7213" s="51"/>
      <c r="S7213" s="51"/>
    </row>
    <row r="7214" spans="9:19" x14ac:dyDescent="0.25">
      <c r="I7214" s="1"/>
      <c r="J7214" s="71"/>
      <c r="M7214" s="46"/>
      <c r="R7214" s="51"/>
      <c r="S7214" s="51"/>
    </row>
    <row r="7215" spans="9:19" x14ac:dyDescent="0.25">
      <c r="I7215" s="1"/>
      <c r="J7215" s="71"/>
      <c r="M7215" s="46"/>
      <c r="R7215" s="51"/>
      <c r="S7215" s="51"/>
    </row>
    <row r="7216" spans="9:19" x14ac:dyDescent="0.25">
      <c r="I7216" s="1"/>
      <c r="J7216" s="71"/>
      <c r="M7216" s="46"/>
      <c r="R7216" s="51"/>
      <c r="S7216" s="51"/>
    </row>
    <row r="7217" spans="9:19" x14ac:dyDescent="0.25">
      <c r="I7217" s="1"/>
      <c r="J7217" s="71"/>
      <c r="M7217" s="46"/>
      <c r="R7217" s="51"/>
      <c r="S7217" s="51"/>
    </row>
    <row r="7218" spans="9:19" x14ac:dyDescent="0.25">
      <c r="I7218" s="1"/>
      <c r="J7218" s="71"/>
      <c r="M7218" s="46"/>
      <c r="R7218" s="51"/>
      <c r="S7218" s="51"/>
    </row>
    <row r="7219" spans="9:19" x14ac:dyDescent="0.25">
      <c r="I7219" s="1"/>
      <c r="J7219" s="71"/>
      <c r="M7219" s="46"/>
      <c r="R7219" s="51"/>
      <c r="S7219" s="51"/>
    </row>
    <row r="7220" spans="9:19" x14ac:dyDescent="0.25">
      <c r="I7220" s="1"/>
      <c r="J7220" s="71"/>
      <c r="M7220" s="46"/>
      <c r="R7220" s="51"/>
      <c r="S7220" s="51"/>
    </row>
    <row r="7221" spans="9:19" x14ac:dyDescent="0.25">
      <c r="I7221" s="1"/>
      <c r="J7221" s="71"/>
      <c r="M7221" s="46"/>
      <c r="R7221" s="51"/>
      <c r="S7221" s="51"/>
    </row>
    <row r="7222" spans="9:19" x14ac:dyDescent="0.25">
      <c r="I7222" s="1"/>
      <c r="J7222" s="71"/>
      <c r="M7222" s="46"/>
      <c r="R7222" s="51"/>
      <c r="S7222" s="51"/>
    </row>
    <row r="7223" spans="9:19" x14ac:dyDescent="0.25">
      <c r="I7223" s="1"/>
      <c r="J7223" s="71"/>
      <c r="M7223" s="46"/>
      <c r="R7223" s="51"/>
      <c r="S7223" s="51"/>
    </row>
    <row r="7224" spans="9:19" x14ac:dyDescent="0.25">
      <c r="I7224" s="1"/>
      <c r="J7224" s="71"/>
      <c r="M7224" s="46"/>
      <c r="R7224" s="51"/>
      <c r="S7224" s="51"/>
    </row>
    <row r="7225" spans="9:19" x14ac:dyDescent="0.25">
      <c r="I7225" s="1"/>
      <c r="J7225" s="71"/>
      <c r="M7225" s="46"/>
      <c r="R7225" s="51"/>
      <c r="S7225" s="51"/>
    </row>
    <row r="7226" spans="9:19" x14ac:dyDescent="0.25">
      <c r="I7226" s="1"/>
      <c r="J7226" s="71"/>
      <c r="M7226" s="46"/>
      <c r="R7226" s="51"/>
      <c r="S7226" s="51"/>
    </row>
    <row r="7227" spans="9:19" x14ac:dyDescent="0.25">
      <c r="I7227" s="1"/>
      <c r="J7227" s="71"/>
      <c r="M7227" s="46"/>
      <c r="R7227" s="51"/>
      <c r="S7227" s="51"/>
    </row>
    <row r="7228" spans="9:19" x14ac:dyDescent="0.25">
      <c r="I7228" s="1"/>
      <c r="J7228" s="71"/>
      <c r="M7228" s="46"/>
      <c r="R7228" s="51"/>
      <c r="S7228" s="51"/>
    </row>
    <row r="7229" spans="9:19" x14ac:dyDescent="0.25">
      <c r="I7229" s="1"/>
      <c r="J7229" s="71"/>
      <c r="M7229" s="46"/>
      <c r="R7229" s="51"/>
      <c r="S7229" s="51"/>
    </row>
    <row r="7230" spans="9:19" x14ac:dyDescent="0.25">
      <c r="I7230" s="1"/>
      <c r="J7230" s="71"/>
      <c r="M7230" s="46"/>
      <c r="R7230" s="51"/>
      <c r="S7230" s="51"/>
    </row>
    <row r="7231" spans="9:19" x14ac:dyDescent="0.25">
      <c r="I7231" s="1"/>
      <c r="J7231" s="71"/>
      <c r="M7231" s="46"/>
      <c r="R7231" s="51"/>
      <c r="S7231" s="51"/>
    </row>
    <row r="7232" spans="9:19" x14ac:dyDescent="0.25">
      <c r="I7232" s="1"/>
      <c r="J7232" s="71"/>
      <c r="M7232" s="46"/>
      <c r="R7232" s="51"/>
      <c r="S7232" s="51"/>
    </row>
    <row r="7233" spans="9:19" x14ac:dyDescent="0.25">
      <c r="I7233" s="1"/>
      <c r="J7233" s="71"/>
      <c r="M7233" s="46"/>
      <c r="R7233" s="51"/>
      <c r="S7233" s="51"/>
    </row>
    <row r="7234" spans="9:19" x14ac:dyDescent="0.25">
      <c r="I7234" s="1"/>
      <c r="J7234" s="71"/>
      <c r="M7234" s="46"/>
      <c r="R7234" s="51"/>
      <c r="S7234" s="51"/>
    </row>
    <row r="7235" spans="9:19" x14ac:dyDescent="0.25">
      <c r="I7235" s="1"/>
      <c r="J7235" s="71"/>
      <c r="M7235" s="46"/>
      <c r="R7235" s="51"/>
      <c r="S7235" s="51"/>
    </row>
    <row r="7236" spans="9:19" x14ac:dyDescent="0.25">
      <c r="I7236" s="1"/>
      <c r="J7236" s="71"/>
      <c r="M7236" s="46"/>
      <c r="R7236" s="51"/>
      <c r="S7236" s="51"/>
    </row>
    <row r="7237" spans="9:19" x14ac:dyDescent="0.25">
      <c r="I7237" s="1"/>
      <c r="J7237" s="71"/>
      <c r="M7237" s="46"/>
      <c r="R7237" s="51"/>
      <c r="S7237" s="51"/>
    </row>
    <row r="7238" spans="9:19" x14ac:dyDescent="0.25">
      <c r="I7238" s="1"/>
      <c r="J7238" s="71"/>
      <c r="M7238" s="46"/>
      <c r="R7238" s="51"/>
      <c r="S7238" s="51"/>
    </row>
    <row r="7239" spans="9:19" x14ac:dyDescent="0.25">
      <c r="I7239" s="1"/>
      <c r="J7239" s="71"/>
      <c r="M7239" s="46"/>
      <c r="R7239" s="51"/>
      <c r="S7239" s="51"/>
    </row>
    <row r="7240" spans="9:19" x14ac:dyDescent="0.25">
      <c r="I7240" s="1"/>
      <c r="J7240" s="71"/>
      <c r="M7240" s="46"/>
      <c r="R7240" s="51"/>
      <c r="S7240" s="51"/>
    </row>
    <row r="7241" spans="9:19" x14ac:dyDescent="0.25">
      <c r="I7241" s="1"/>
      <c r="J7241" s="71"/>
      <c r="M7241" s="46"/>
      <c r="R7241" s="51"/>
      <c r="S7241" s="51"/>
    </row>
    <row r="7242" spans="9:19" x14ac:dyDescent="0.25">
      <c r="I7242" s="1"/>
      <c r="J7242" s="71"/>
      <c r="M7242" s="46"/>
      <c r="R7242" s="51"/>
      <c r="S7242" s="51"/>
    </row>
    <row r="7243" spans="9:19" x14ac:dyDescent="0.25">
      <c r="I7243" s="1"/>
      <c r="J7243" s="71"/>
      <c r="M7243" s="46"/>
      <c r="R7243" s="51"/>
      <c r="S7243" s="51"/>
    </row>
    <row r="7244" spans="9:19" x14ac:dyDescent="0.25">
      <c r="I7244" s="1"/>
      <c r="J7244" s="71"/>
      <c r="M7244" s="46"/>
      <c r="R7244" s="51"/>
      <c r="S7244" s="51"/>
    </row>
    <row r="7245" spans="9:19" x14ac:dyDescent="0.25">
      <c r="I7245" s="1"/>
      <c r="J7245" s="71"/>
      <c r="M7245" s="46"/>
      <c r="R7245" s="51"/>
      <c r="S7245" s="51"/>
    </row>
    <row r="7246" spans="9:19" x14ac:dyDescent="0.25">
      <c r="I7246" s="1"/>
      <c r="J7246" s="71"/>
      <c r="M7246" s="46"/>
      <c r="R7246" s="51"/>
      <c r="S7246" s="51"/>
    </row>
    <row r="7247" spans="9:19" x14ac:dyDescent="0.25">
      <c r="I7247" s="1"/>
      <c r="J7247" s="71"/>
      <c r="M7247" s="46"/>
      <c r="R7247" s="51"/>
      <c r="S7247" s="51"/>
    </row>
    <row r="7248" spans="9:19" x14ac:dyDescent="0.25">
      <c r="I7248" s="1"/>
      <c r="J7248" s="71"/>
      <c r="M7248" s="46"/>
      <c r="R7248" s="51"/>
      <c r="S7248" s="51"/>
    </row>
    <row r="7249" spans="9:19" x14ac:dyDescent="0.25">
      <c r="I7249" s="1"/>
      <c r="J7249" s="71"/>
      <c r="M7249" s="46"/>
      <c r="R7249" s="51"/>
      <c r="S7249" s="51"/>
    </row>
    <row r="7250" spans="9:19" x14ac:dyDescent="0.25">
      <c r="I7250" s="1"/>
      <c r="J7250" s="71"/>
      <c r="M7250" s="46"/>
      <c r="R7250" s="51"/>
      <c r="S7250" s="51"/>
    </row>
    <row r="7251" spans="9:19" x14ac:dyDescent="0.25">
      <c r="I7251" s="1"/>
      <c r="J7251" s="71"/>
      <c r="M7251" s="46"/>
      <c r="R7251" s="51"/>
      <c r="S7251" s="51"/>
    </row>
    <row r="7252" spans="9:19" x14ac:dyDescent="0.25">
      <c r="I7252" s="1"/>
      <c r="J7252" s="71"/>
      <c r="M7252" s="46"/>
      <c r="R7252" s="51"/>
      <c r="S7252" s="51"/>
    </row>
    <row r="7253" spans="9:19" x14ac:dyDescent="0.25">
      <c r="I7253" s="1"/>
      <c r="J7253" s="71"/>
      <c r="M7253" s="46"/>
      <c r="R7253" s="51"/>
      <c r="S7253" s="51"/>
    </row>
    <row r="7254" spans="9:19" x14ac:dyDescent="0.25">
      <c r="I7254" s="1"/>
      <c r="J7254" s="71"/>
      <c r="M7254" s="46"/>
      <c r="R7254" s="51"/>
      <c r="S7254" s="51"/>
    </row>
    <row r="7255" spans="9:19" x14ac:dyDescent="0.25">
      <c r="I7255" s="1"/>
      <c r="J7255" s="71"/>
      <c r="M7255" s="46"/>
      <c r="R7255" s="51"/>
      <c r="S7255" s="51"/>
    </row>
    <row r="7256" spans="9:19" x14ac:dyDescent="0.25">
      <c r="I7256" s="1"/>
      <c r="J7256" s="71"/>
      <c r="M7256" s="46"/>
      <c r="R7256" s="51"/>
      <c r="S7256" s="51"/>
    </row>
    <row r="7257" spans="9:19" x14ac:dyDescent="0.25">
      <c r="I7257" s="1"/>
      <c r="J7257" s="71"/>
      <c r="M7257" s="46"/>
      <c r="R7257" s="51"/>
      <c r="S7257" s="51"/>
    </row>
    <row r="7258" spans="9:19" x14ac:dyDescent="0.25">
      <c r="I7258" s="1"/>
      <c r="J7258" s="71"/>
      <c r="M7258" s="46"/>
      <c r="R7258" s="51"/>
      <c r="S7258" s="51"/>
    </row>
    <row r="7259" spans="9:19" x14ac:dyDescent="0.25">
      <c r="I7259" s="1"/>
      <c r="J7259" s="71"/>
      <c r="M7259" s="46"/>
      <c r="R7259" s="51"/>
      <c r="S7259" s="51"/>
    </row>
    <row r="7260" spans="9:19" x14ac:dyDescent="0.25">
      <c r="I7260" s="1"/>
      <c r="J7260" s="71"/>
      <c r="M7260" s="46"/>
      <c r="R7260" s="51"/>
      <c r="S7260" s="51"/>
    </row>
    <row r="7261" spans="9:19" x14ac:dyDescent="0.25">
      <c r="I7261" s="1"/>
      <c r="J7261" s="71"/>
      <c r="M7261" s="46"/>
      <c r="R7261" s="51"/>
      <c r="S7261" s="51"/>
    </row>
    <row r="7262" spans="9:19" x14ac:dyDescent="0.25">
      <c r="I7262" s="1"/>
      <c r="J7262" s="71"/>
      <c r="M7262" s="46"/>
      <c r="R7262" s="51"/>
      <c r="S7262" s="51"/>
    </row>
    <row r="7263" spans="9:19" x14ac:dyDescent="0.25">
      <c r="I7263" s="1"/>
      <c r="J7263" s="71"/>
      <c r="M7263" s="46"/>
      <c r="R7263" s="51"/>
      <c r="S7263" s="51"/>
    </row>
    <row r="7264" spans="9:19" x14ac:dyDescent="0.25">
      <c r="I7264" s="1"/>
      <c r="J7264" s="71"/>
      <c r="M7264" s="46"/>
      <c r="R7264" s="51"/>
      <c r="S7264" s="51"/>
    </row>
    <row r="7265" spans="9:19" x14ac:dyDescent="0.25">
      <c r="I7265" s="1"/>
      <c r="J7265" s="71"/>
      <c r="M7265" s="46"/>
      <c r="R7265" s="51"/>
      <c r="S7265" s="51"/>
    </row>
    <row r="7266" spans="9:19" x14ac:dyDescent="0.25">
      <c r="I7266" s="1"/>
      <c r="J7266" s="71"/>
      <c r="M7266" s="46"/>
      <c r="R7266" s="51"/>
      <c r="S7266" s="51"/>
    </row>
    <row r="7267" spans="9:19" x14ac:dyDescent="0.25">
      <c r="I7267" s="1"/>
      <c r="J7267" s="71"/>
      <c r="M7267" s="46"/>
      <c r="R7267" s="51"/>
      <c r="S7267" s="51"/>
    </row>
    <row r="7268" spans="9:19" x14ac:dyDescent="0.25">
      <c r="I7268" s="1"/>
      <c r="J7268" s="71"/>
      <c r="M7268" s="46"/>
      <c r="R7268" s="51"/>
      <c r="S7268" s="51"/>
    </row>
    <row r="7269" spans="9:19" x14ac:dyDescent="0.25">
      <c r="I7269" s="1"/>
      <c r="J7269" s="71"/>
      <c r="M7269" s="46"/>
      <c r="R7269" s="51"/>
      <c r="S7269" s="51"/>
    </row>
    <row r="7270" spans="9:19" x14ac:dyDescent="0.25">
      <c r="I7270" s="1"/>
      <c r="J7270" s="71"/>
      <c r="M7270" s="46"/>
      <c r="R7270" s="51"/>
      <c r="S7270" s="51"/>
    </row>
    <row r="7271" spans="9:19" x14ac:dyDescent="0.25">
      <c r="I7271" s="1"/>
      <c r="J7271" s="71"/>
      <c r="M7271" s="46"/>
      <c r="R7271" s="51"/>
      <c r="S7271" s="51"/>
    </row>
    <row r="7272" spans="9:19" x14ac:dyDescent="0.25">
      <c r="I7272" s="1"/>
      <c r="J7272" s="71"/>
      <c r="M7272" s="46"/>
      <c r="R7272" s="51"/>
      <c r="S7272" s="51"/>
    </row>
    <row r="7273" spans="9:19" x14ac:dyDescent="0.25">
      <c r="I7273" s="1"/>
      <c r="J7273" s="71"/>
      <c r="M7273" s="46"/>
      <c r="R7273" s="51"/>
      <c r="S7273" s="51"/>
    </row>
    <row r="7274" spans="9:19" x14ac:dyDescent="0.25">
      <c r="I7274" s="1"/>
      <c r="J7274" s="71"/>
      <c r="M7274" s="46"/>
      <c r="R7274" s="51"/>
      <c r="S7274" s="51"/>
    </row>
    <row r="7275" spans="9:19" x14ac:dyDescent="0.25">
      <c r="I7275" s="1"/>
      <c r="J7275" s="71"/>
      <c r="M7275" s="46"/>
      <c r="R7275" s="51"/>
      <c r="S7275" s="51"/>
    </row>
    <row r="7276" spans="9:19" x14ac:dyDescent="0.25">
      <c r="I7276" s="1"/>
      <c r="J7276" s="71"/>
      <c r="M7276" s="46"/>
      <c r="R7276" s="51"/>
      <c r="S7276" s="51"/>
    </row>
    <row r="7277" spans="9:19" x14ac:dyDescent="0.25">
      <c r="I7277" s="1"/>
      <c r="J7277" s="71"/>
      <c r="M7277" s="46"/>
      <c r="R7277" s="51"/>
      <c r="S7277" s="51"/>
    </row>
    <row r="7278" spans="9:19" x14ac:dyDescent="0.25">
      <c r="I7278" s="1"/>
      <c r="J7278" s="71"/>
      <c r="M7278" s="46"/>
      <c r="R7278" s="51"/>
      <c r="S7278" s="51"/>
    </row>
    <row r="7279" spans="9:19" x14ac:dyDescent="0.25">
      <c r="I7279" s="1"/>
      <c r="J7279" s="71"/>
      <c r="M7279" s="46"/>
      <c r="R7279" s="51"/>
      <c r="S7279" s="51"/>
    </row>
    <row r="7280" spans="9:19" x14ac:dyDescent="0.25">
      <c r="I7280" s="1"/>
      <c r="J7280" s="71"/>
      <c r="M7280" s="46"/>
      <c r="R7280" s="51"/>
      <c r="S7280" s="51"/>
    </row>
    <row r="7281" spans="9:19" x14ac:dyDescent="0.25">
      <c r="I7281" s="1"/>
      <c r="J7281" s="71"/>
      <c r="M7281" s="46"/>
      <c r="R7281" s="51"/>
      <c r="S7281" s="51"/>
    </row>
    <row r="7282" spans="9:19" x14ac:dyDescent="0.25">
      <c r="I7282" s="1"/>
      <c r="J7282" s="71"/>
      <c r="M7282" s="46"/>
      <c r="R7282" s="51"/>
      <c r="S7282" s="51"/>
    </row>
    <row r="7283" spans="9:19" x14ac:dyDescent="0.25">
      <c r="I7283" s="1"/>
      <c r="J7283" s="71"/>
      <c r="M7283" s="46"/>
      <c r="R7283" s="51"/>
      <c r="S7283" s="51"/>
    </row>
    <row r="7284" spans="9:19" x14ac:dyDescent="0.25">
      <c r="I7284" s="1"/>
      <c r="J7284" s="71"/>
      <c r="M7284" s="46"/>
      <c r="R7284" s="51"/>
      <c r="S7284" s="51"/>
    </row>
    <row r="7285" spans="9:19" x14ac:dyDescent="0.25">
      <c r="I7285" s="1"/>
      <c r="J7285" s="71"/>
      <c r="M7285" s="46"/>
      <c r="R7285" s="51"/>
      <c r="S7285" s="51"/>
    </row>
    <row r="7286" spans="9:19" x14ac:dyDescent="0.25">
      <c r="I7286" s="1"/>
      <c r="J7286" s="71"/>
      <c r="M7286" s="46"/>
      <c r="R7286" s="51"/>
      <c r="S7286" s="51"/>
    </row>
    <row r="7287" spans="9:19" x14ac:dyDescent="0.25">
      <c r="I7287" s="1"/>
      <c r="J7287" s="71"/>
      <c r="M7287" s="46"/>
      <c r="R7287" s="51"/>
      <c r="S7287" s="51"/>
    </row>
    <row r="7288" spans="9:19" x14ac:dyDescent="0.25">
      <c r="I7288" s="1"/>
      <c r="J7288" s="71"/>
      <c r="M7288" s="46"/>
      <c r="R7288" s="51"/>
      <c r="S7288" s="51"/>
    </row>
    <row r="7289" spans="9:19" x14ac:dyDescent="0.25">
      <c r="I7289" s="1"/>
      <c r="J7289" s="71"/>
      <c r="M7289" s="46"/>
      <c r="R7289" s="51"/>
      <c r="S7289" s="51"/>
    </row>
    <row r="7290" spans="9:19" x14ac:dyDescent="0.25">
      <c r="I7290" s="1"/>
      <c r="J7290" s="71"/>
      <c r="M7290" s="46"/>
      <c r="R7290" s="51"/>
      <c r="S7290" s="51"/>
    </row>
    <row r="7291" spans="9:19" x14ac:dyDescent="0.25">
      <c r="I7291" s="1"/>
      <c r="J7291" s="71"/>
      <c r="M7291" s="46"/>
      <c r="R7291" s="51"/>
      <c r="S7291" s="51"/>
    </row>
    <row r="7292" spans="9:19" x14ac:dyDescent="0.25">
      <c r="I7292" s="1"/>
      <c r="J7292" s="71"/>
      <c r="M7292" s="46"/>
      <c r="R7292" s="51"/>
      <c r="S7292" s="51"/>
    </row>
    <row r="7293" spans="9:19" x14ac:dyDescent="0.25">
      <c r="I7293" s="1"/>
      <c r="J7293" s="71"/>
      <c r="M7293" s="46"/>
      <c r="R7293" s="51"/>
      <c r="S7293" s="51"/>
    </row>
    <row r="7294" spans="9:19" x14ac:dyDescent="0.25">
      <c r="I7294" s="1"/>
      <c r="J7294" s="71"/>
      <c r="M7294" s="46"/>
      <c r="R7294" s="51"/>
      <c r="S7294" s="51"/>
    </row>
    <row r="7295" spans="9:19" x14ac:dyDescent="0.25">
      <c r="I7295" s="1"/>
      <c r="J7295" s="71"/>
      <c r="M7295" s="46"/>
      <c r="R7295" s="51"/>
      <c r="S7295" s="51"/>
    </row>
    <row r="7296" spans="9:19" x14ac:dyDescent="0.25">
      <c r="I7296" s="1"/>
      <c r="J7296" s="71"/>
      <c r="M7296" s="46"/>
      <c r="R7296" s="51"/>
      <c r="S7296" s="51"/>
    </row>
    <row r="7297" spans="9:19" x14ac:dyDescent="0.25">
      <c r="I7297" s="1"/>
      <c r="J7297" s="71"/>
      <c r="M7297" s="46"/>
      <c r="R7297" s="51"/>
      <c r="S7297" s="51"/>
    </row>
    <row r="7298" spans="9:19" x14ac:dyDescent="0.25">
      <c r="I7298" s="1"/>
      <c r="J7298" s="71"/>
      <c r="M7298" s="46"/>
      <c r="R7298" s="51"/>
      <c r="S7298" s="51"/>
    </row>
    <row r="7299" spans="9:19" x14ac:dyDescent="0.25">
      <c r="I7299" s="1"/>
      <c r="J7299" s="71"/>
      <c r="M7299" s="46"/>
      <c r="R7299" s="51"/>
      <c r="S7299" s="51"/>
    </row>
    <row r="7300" spans="9:19" x14ac:dyDescent="0.25">
      <c r="I7300" s="1"/>
      <c r="J7300" s="71"/>
      <c r="M7300" s="46"/>
      <c r="R7300" s="51"/>
      <c r="S7300" s="51"/>
    </row>
    <row r="7301" spans="9:19" x14ac:dyDescent="0.25">
      <c r="I7301" s="1"/>
      <c r="J7301" s="71"/>
      <c r="M7301" s="46"/>
      <c r="R7301" s="51"/>
      <c r="S7301" s="51"/>
    </row>
    <row r="7302" spans="9:19" x14ac:dyDescent="0.25">
      <c r="I7302" s="1"/>
      <c r="J7302" s="71"/>
      <c r="M7302" s="46"/>
      <c r="R7302" s="51"/>
      <c r="S7302" s="51"/>
    </row>
    <row r="7303" spans="9:19" x14ac:dyDescent="0.25">
      <c r="I7303" s="1"/>
      <c r="J7303" s="71"/>
      <c r="M7303" s="46"/>
      <c r="R7303" s="51"/>
      <c r="S7303" s="51"/>
    </row>
    <row r="7304" spans="9:19" x14ac:dyDescent="0.25">
      <c r="I7304" s="1"/>
      <c r="J7304" s="71"/>
      <c r="M7304" s="46"/>
      <c r="R7304" s="51"/>
      <c r="S7304" s="51"/>
    </row>
    <row r="7305" spans="9:19" x14ac:dyDescent="0.25">
      <c r="I7305" s="1"/>
      <c r="J7305" s="71"/>
      <c r="M7305" s="46"/>
      <c r="R7305" s="51"/>
      <c r="S7305" s="51"/>
    </row>
    <row r="7306" spans="9:19" x14ac:dyDescent="0.25">
      <c r="I7306" s="1"/>
      <c r="J7306" s="71"/>
      <c r="M7306" s="46"/>
      <c r="R7306" s="51"/>
      <c r="S7306" s="51"/>
    </row>
    <row r="7307" spans="9:19" x14ac:dyDescent="0.25">
      <c r="I7307" s="1"/>
      <c r="J7307" s="71"/>
      <c r="M7307" s="46"/>
      <c r="R7307" s="51"/>
      <c r="S7307" s="51"/>
    </row>
    <row r="7308" spans="9:19" x14ac:dyDescent="0.25">
      <c r="I7308" s="1"/>
      <c r="J7308" s="71"/>
      <c r="M7308" s="46"/>
      <c r="R7308" s="51"/>
      <c r="S7308" s="51"/>
    </row>
    <row r="7309" spans="9:19" x14ac:dyDescent="0.25">
      <c r="I7309" s="1"/>
      <c r="J7309" s="71"/>
      <c r="M7309" s="46"/>
      <c r="R7309" s="51"/>
      <c r="S7309" s="51"/>
    </row>
    <row r="7310" spans="9:19" x14ac:dyDescent="0.25">
      <c r="I7310" s="1"/>
      <c r="J7310" s="71"/>
      <c r="M7310" s="46"/>
      <c r="R7310" s="51"/>
      <c r="S7310" s="51"/>
    </row>
    <row r="7311" spans="9:19" x14ac:dyDescent="0.25">
      <c r="I7311" s="1"/>
      <c r="J7311" s="71"/>
      <c r="M7311" s="46"/>
      <c r="R7311" s="51"/>
      <c r="S7311" s="51"/>
    </row>
    <row r="7312" spans="9:19" x14ac:dyDescent="0.25">
      <c r="I7312" s="1"/>
      <c r="J7312" s="71"/>
      <c r="M7312" s="46"/>
      <c r="R7312" s="51"/>
      <c r="S7312" s="51"/>
    </row>
    <row r="7313" spans="9:19" x14ac:dyDescent="0.25">
      <c r="I7313" s="1"/>
      <c r="J7313" s="71"/>
      <c r="M7313" s="46"/>
      <c r="R7313" s="51"/>
      <c r="S7313" s="51"/>
    </row>
    <row r="7314" spans="9:19" x14ac:dyDescent="0.25">
      <c r="I7314" s="1"/>
      <c r="J7314" s="71"/>
      <c r="M7314" s="46"/>
      <c r="R7314" s="51"/>
      <c r="S7314" s="51"/>
    </row>
    <row r="7315" spans="9:19" x14ac:dyDescent="0.25">
      <c r="I7315" s="1"/>
      <c r="J7315" s="71"/>
      <c r="M7315" s="46"/>
      <c r="R7315" s="51"/>
      <c r="S7315" s="51"/>
    </row>
    <row r="7316" spans="9:19" x14ac:dyDescent="0.25">
      <c r="I7316" s="1"/>
      <c r="J7316" s="71"/>
      <c r="M7316" s="46"/>
      <c r="R7316" s="51"/>
      <c r="S7316" s="51"/>
    </row>
    <row r="7317" spans="9:19" x14ac:dyDescent="0.25">
      <c r="I7317" s="1"/>
      <c r="J7317" s="71"/>
      <c r="M7317" s="46"/>
      <c r="R7317" s="51"/>
      <c r="S7317" s="51"/>
    </row>
    <row r="7318" spans="9:19" x14ac:dyDescent="0.25">
      <c r="I7318" s="1"/>
      <c r="J7318" s="71"/>
      <c r="M7318" s="46"/>
      <c r="R7318" s="51"/>
      <c r="S7318" s="51"/>
    </row>
    <row r="7319" spans="9:19" x14ac:dyDescent="0.25">
      <c r="I7319" s="1"/>
      <c r="J7319" s="71"/>
      <c r="M7319" s="46"/>
      <c r="R7319" s="51"/>
      <c r="S7319" s="51"/>
    </row>
    <row r="7320" spans="9:19" x14ac:dyDescent="0.25">
      <c r="I7320" s="1"/>
      <c r="J7320" s="71"/>
      <c r="M7320" s="46"/>
      <c r="R7320" s="51"/>
      <c r="S7320" s="51"/>
    </row>
    <row r="7321" spans="9:19" x14ac:dyDescent="0.25">
      <c r="I7321" s="1"/>
      <c r="J7321" s="71"/>
      <c r="M7321" s="46"/>
      <c r="R7321" s="51"/>
      <c r="S7321" s="51"/>
    </row>
    <row r="7322" spans="9:19" x14ac:dyDescent="0.25">
      <c r="I7322" s="1"/>
      <c r="J7322" s="71"/>
      <c r="M7322" s="46"/>
      <c r="R7322" s="51"/>
      <c r="S7322" s="51"/>
    </row>
    <row r="7323" spans="9:19" x14ac:dyDescent="0.25">
      <c r="I7323" s="1"/>
      <c r="J7323" s="71"/>
      <c r="M7323" s="46"/>
      <c r="R7323" s="51"/>
      <c r="S7323" s="51"/>
    </row>
    <row r="7324" spans="9:19" x14ac:dyDescent="0.25">
      <c r="I7324" s="1"/>
      <c r="J7324" s="71"/>
      <c r="M7324" s="46"/>
      <c r="R7324" s="51"/>
      <c r="S7324" s="51"/>
    </row>
    <row r="7325" spans="9:19" x14ac:dyDescent="0.25">
      <c r="I7325" s="1"/>
      <c r="J7325" s="71"/>
      <c r="M7325" s="46"/>
      <c r="R7325" s="51"/>
      <c r="S7325" s="51"/>
    </row>
    <row r="7326" spans="9:19" x14ac:dyDescent="0.25">
      <c r="I7326" s="1"/>
      <c r="J7326" s="71"/>
      <c r="M7326" s="46"/>
      <c r="R7326" s="51"/>
      <c r="S7326" s="51"/>
    </row>
    <row r="7327" spans="9:19" x14ac:dyDescent="0.25">
      <c r="I7327" s="1"/>
      <c r="J7327" s="71"/>
      <c r="M7327" s="46"/>
      <c r="R7327" s="51"/>
      <c r="S7327" s="51"/>
    </row>
    <row r="7328" spans="9:19" x14ac:dyDescent="0.25">
      <c r="I7328" s="1"/>
      <c r="J7328" s="71"/>
      <c r="M7328" s="46"/>
      <c r="R7328" s="51"/>
      <c r="S7328" s="51"/>
    </row>
    <row r="7329" spans="9:19" x14ac:dyDescent="0.25">
      <c r="I7329" s="1"/>
      <c r="J7329" s="71"/>
      <c r="M7329" s="46"/>
      <c r="R7329" s="51"/>
      <c r="S7329" s="51"/>
    </row>
    <row r="7330" spans="9:19" x14ac:dyDescent="0.25">
      <c r="I7330" s="1"/>
      <c r="J7330" s="71"/>
      <c r="M7330" s="46"/>
      <c r="R7330" s="51"/>
      <c r="S7330" s="51"/>
    </row>
    <row r="7331" spans="9:19" x14ac:dyDescent="0.25">
      <c r="I7331" s="1"/>
      <c r="J7331" s="71"/>
      <c r="M7331" s="46"/>
      <c r="R7331" s="51"/>
      <c r="S7331" s="51"/>
    </row>
    <row r="7332" spans="9:19" x14ac:dyDescent="0.25">
      <c r="I7332" s="1"/>
      <c r="J7332" s="71"/>
      <c r="M7332" s="46"/>
      <c r="R7332" s="51"/>
      <c r="S7332" s="51"/>
    </row>
    <row r="7333" spans="9:19" x14ac:dyDescent="0.25">
      <c r="I7333" s="1"/>
      <c r="J7333" s="71"/>
      <c r="M7333" s="46"/>
      <c r="R7333" s="51"/>
      <c r="S7333" s="51"/>
    </row>
    <row r="7334" spans="9:19" x14ac:dyDescent="0.25">
      <c r="I7334" s="1"/>
      <c r="J7334" s="71"/>
      <c r="M7334" s="46"/>
      <c r="R7334" s="51"/>
      <c r="S7334" s="51"/>
    </row>
    <row r="7335" spans="9:19" x14ac:dyDescent="0.25">
      <c r="I7335" s="1"/>
      <c r="J7335" s="71"/>
      <c r="M7335" s="46"/>
      <c r="R7335" s="51"/>
      <c r="S7335" s="51"/>
    </row>
    <row r="7336" spans="9:19" x14ac:dyDescent="0.25">
      <c r="I7336" s="1"/>
      <c r="J7336" s="71"/>
      <c r="M7336" s="46"/>
      <c r="R7336" s="51"/>
      <c r="S7336" s="51"/>
    </row>
    <row r="7337" spans="9:19" x14ac:dyDescent="0.25">
      <c r="I7337" s="1"/>
      <c r="J7337" s="71"/>
      <c r="M7337" s="46"/>
      <c r="R7337" s="51"/>
      <c r="S7337" s="51"/>
    </row>
    <row r="7338" spans="9:19" x14ac:dyDescent="0.25">
      <c r="I7338" s="1"/>
      <c r="J7338" s="71"/>
      <c r="M7338" s="46"/>
      <c r="R7338" s="51"/>
      <c r="S7338" s="51"/>
    </row>
    <row r="7339" spans="9:19" x14ac:dyDescent="0.25">
      <c r="I7339" s="1"/>
      <c r="J7339" s="71"/>
      <c r="M7339" s="46"/>
      <c r="R7339" s="51"/>
      <c r="S7339" s="51"/>
    </row>
    <row r="7340" spans="9:19" x14ac:dyDescent="0.25">
      <c r="I7340" s="1"/>
      <c r="J7340" s="71"/>
      <c r="M7340" s="46"/>
      <c r="R7340" s="51"/>
      <c r="S7340" s="51"/>
    </row>
    <row r="7341" spans="9:19" x14ac:dyDescent="0.25">
      <c r="I7341" s="1"/>
      <c r="J7341" s="71"/>
      <c r="M7341" s="46"/>
      <c r="R7341" s="51"/>
      <c r="S7341" s="51"/>
    </row>
    <row r="7342" spans="9:19" x14ac:dyDescent="0.25">
      <c r="I7342" s="1"/>
      <c r="J7342" s="71"/>
      <c r="M7342" s="46"/>
      <c r="R7342" s="51"/>
      <c r="S7342" s="51"/>
    </row>
    <row r="7343" spans="9:19" x14ac:dyDescent="0.25">
      <c r="I7343" s="1"/>
      <c r="J7343" s="71"/>
      <c r="M7343" s="46"/>
      <c r="R7343" s="51"/>
      <c r="S7343" s="51"/>
    </row>
    <row r="7344" spans="9:19" x14ac:dyDescent="0.25">
      <c r="I7344" s="1"/>
      <c r="J7344" s="71"/>
      <c r="M7344" s="46"/>
      <c r="R7344" s="51"/>
      <c r="S7344" s="51"/>
    </row>
    <row r="7345" spans="9:19" x14ac:dyDescent="0.25">
      <c r="I7345" s="1"/>
      <c r="J7345" s="71"/>
      <c r="M7345" s="46"/>
      <c r="R7345" s="51"/>
      <c r="S7345" s="51"/>
    </row>
    <row r="7346" spans="9:19" x14ac:dyDescent="0.25">
      <c r="I7346" s="1"/>
      <c r="J7346" s="71"/>
      <c r="M7346" s="46"/>
      <c r="R7346" s="51"/>
      <c r="S7346" s="51"/>
    </row>
    <row r="7347" spans="9:19" x14ac:dyDescent="0.25">
      <c r="I7347" s="1"/>
      <c r="J7347" s="71"/>
      <c r="M7347" s="46"/>
      <c r="R7347" s="51"/>
      <c r="S7347" s="51"/>
    </row>
    <row r="7348" spans="9:19" x14ac:dyDescent="0.25">
      <c r="I7348" s="1"/>
      <c r="J7348" s="71"/>
      <c r="M7348" s="46"/>
      <c r="R7348" s="51"/>
      <c r="S7348" s="51"/>
    </row>
    <row r="7349" spans="9:19" x14ac:dyDescent="0.25">
      <c r="I7349" s="1"/>
      <c r="J7349" s="71"/>
      <c r="M7349" s="46"/>
      <c r="R7349" s="51"/>
      <c r="S7349" s="51"/>
    </row>
    <row r="7350" spans="9:19" x14ac:dyDescent="0.25">
      <c r="I7350" s="1"/>
      <c r="J7350" s="71"/>
      <c r="M7350" s="46"/>
      <c r="R7350" s="51"/>
      <c r="S7350" s="51"/>
    </row>
    <row r="7351" spans="9:19" x14ac:dyDescent="0.25">
      <c r="I7351" s="1"/>
      <c r="J7351" s="71"/>
      <c r="M7351" s="46"/>
      <c r="R7351" s="51"/>
      <c r="S7351" s="51"/>
    </row>
    <row r="7352" spans="9:19" x14ac:dyDescent="0.25">
      <c r="I7352" s="1"/>
      <c r="J7352" s="71"/>
      <c r="M7352" s="46"/>
      <c r="R7352" s="51"/>
      <c r="S7352" s="51"/>
    </row>
    <row r="7353" spans="9:19" x14ac:dyDescent="0.25">
      <c r="I7353" s="1"/>
      <c r="J7353" s="71"/>
      <c r="M7353" s="46"/>
      <c r="R7353" s="51"/>
      <c r="S7353" s="51"/>
    </row>
    <row r="7354" spans="9:19" x14ac:dyDescent="0.25">
      <c r="I7354" s="1"/>
      <c r="J7354" s="71"/>
      <c r="M7354" s="46"/>
      <c r="R7354" s="51"/>
      <c r="S7354" s="51"/>
    </row>
    <row r="7355" spans="9:19" x14ac:dyDescent="0.25">
      <c r="I7355" s="1"/>
      <c r="J7355" s="71"/>
      <c r="M7355" s="46"/>
      <c r="R7355" s="51"/>
      <c r="S7355" s="51"/>
    </row>
    <row r="7356" spans="9:19" x14ac:dyDescent="0.25">
      <c r="I7356" s="1"/>
      <c r="J7356" s="71"/>
      <c r="M7356" s="46"/>
      <c r="R7356" s="51"/>
      <c r="S7356" s="51"/>
    </row>
    <row r="7357" spans="9:19" x14ac:dyDescent="0.25">
      <c r="I7357" s="1"/>
      <c r="J7357" s="71"/>
      <c r="M7357" s="46"/>
      <c r="R7357" s="51"/>
      <c r="S7357" s="51"/>
    </row>
    <row r="7358" spans="9:19" x14ac:dyDescent="0.25">
      <c r="I7358" s="1"/>
      <c r="J7358" s="71"/>
      <c r="M7358" s="46"/>
      <c r="R7358" s="51"/>
      <c r="S7358" s="51"/>
    </row>
    <row r="7359" spans="9:19" x14ac:dyDescent="0.25">
      <c r="I7359" s="1"/>
      <c r="J7359" s="71"/>
      <c r="M7359" s="46"/>
      <c r="R7359" s="51"/>
      <c r="S7359" s="51"/>
    </row>
    <row r="7360" spans="9:19" x14ac:dyDescent="0.25">
      <c r="I7360" s="1"/>
      <c r="J7360" s="71"/>
      <c r="M7360" s="46"/>
      <c r="R7360" s="51"/>
      <c r="S7360" s="51"/>
    </row>
    <row r="7361" spans="9:19" x14ac:dyDescent="0.25">
      <c r="I7361" s="1"/>
      <c r="J7361" s="71"/>
      <c r="M7361" s="46"/>
      <c r="R7361" s="51"/>
      <c r="S7361" s="51"/>
    </row>
    <row r="7362" spans="9:19" x14ac:dyDescent="0.25">
      <c r="I7362" s="1"/>
      <c r="J7362" s="71"/>
      <c r="M7362" s="46"/>
      <c r="R7362" s="51"/>
      <c r="S7362" s="51"/>
    </row>
    <row r="7363" spans="9:19" x14ac:dyDescent="0.25">
      <c r="I7363" s="1"/>
      <c r="J7363" s="71"/>
      <c r="M7363" s="46"/>
      <c r="R7363" s="51"/>
      <c r="S7363" s="51"/>
    </row>
    <row r="7364" spans="9:19" x14ac:dyDescent="0.25">
      <c r="I7364" s="1"/>
      <c r="J7364" s="71"/>
      <c r="M7364" s="46"/>
      <c r="R7364" s="51"/>
      <c r="S7364" s="51"/>
    </row>
    <row r="7365" spans="9:19" x14ac:dyDescent="0.25">
      <c r="I7365" s="1"/>
      <c r="J7365" s="71"/>
      <c r="M7365" s="46"/>
      <c r="R7365" s="51"/>
      <c r="S7365" s="51"/>
    </row>
    <row r="7366" spans="9:19" x14ac:dyDescent="0.25">
      <c r="I7366" s="1"/>
      <c r="J7366" s="71"/>
      <c r="M7366" s="46"/>
      <c r="R7366" s="51"/>
      <c r="S7366" s="51"/>
    </row>
    <row r="7367" spans="9:19" x14ac:dyDescent="0.25">
      <c r="I7367" s="1"/>
      <c r="J7367" s="71"/>
      <c r="M7367" s="46"/>
      <c r="R7367" s="51"/>
      <c r="S7367" s="51"/>
    </row>
    <row r="7368" spans="9:19" x14ac:dyDescent="0.25">
      <c r="I7368" s="1"/>
      <c r="J7368" s="71"/>
      <c r="M7368" s="46"/>
      <c r="R7368" s="51"/>
      <c r="S7368" s="51"/>
    </row>
    <row r="7369" spans="9:19" x14ac:dyDescent="0.25">
      <c r="I7369" s="1"/>
      <c r="J7369" s="71"/>
      <c r="M7369" s="46"/>
      <c r="R7369" s="51"/>
      <c r="S7369" s="51"/>
    </row>
    <row r="7370" spans="9:19" x14ac:dyDescent="0.25">
      <c r="I7370" s="1"/>
      <c r="J7370" s="71"/>
      <c r="M7370" s="46"/>
      <c r="R7370" s="51"/>
      <c r="S7370" s="51"/>
    </row>
    <row r="7371" spans="9:19" x14ac:dyDescent="0.25">
      <c r="I7371" s="1"/>
      <c r="J7371" s="71"/>
      <c r="M7371" s="46"/>
      <c r="R7371" s="51"/>
      <c r="S7371" s="51"/>
    </row>
    <row r="7372" spans="9:19" x14ac:dyDescent="0.25">
      <c r="I7372" s="1"/>
      <c r="J7372" s="71"/>
      <c r="M7372" s="46"/>
      <c r="R7372" s="51"/>
      <c r="S7372" s="51"/>
    </row>
    <row r="7373" spans="9:19" x14ac:dyDescent="0.25">
      <c r="I7373" s="1"/>
      <c r="J7373" s="71"/>
      <c r="M7373" s="46"/>
      <c r="R7373" s="51"/>
      <c r="S7373" s="51"/>
    </row>
    <row r="7374" spans="9:19" x14ac:dyDescent="0.25">
      <c r="I7374" s="1"/>
      <c r="J7374" s="71"/>
      <c r="M7374" s="46"/>
      <c r="R7374" s="51"/>
      <c r="S7374" s="51"/>
    </row>
    <row r="7375" spans="9:19" x14ac:dyDescent="0.25">
      <c r="I7375" s="1"/>
      <c r="J7375" s="71"/>
      <c r="M7375" s="46"/>
      <c r="R7375" s="51"/>
      <c r="S7375" s="51"/>
    </row>
    <row r="7376" spans="9:19" x14ac:dyDescent="0.25">
      <c r="I7376" s="1"/>
      <c r="J7376" s="71"/>
      <c r="M7376" s="46"/>
      <c r="R7376" s="51"/>
      <c r="S7376" s="51"/>
    </row>
    <row r="7377" spans="9:19" x14ac:dyDescent="0.25">
      <c r="I7377" s="1"/>
      <c r="J7377" s="71"/>
      <c r="M7377" s="46"/>
      <c r="R7377" s="51"/>
      <c r="S7377" s="51"/>
    </row>
    <row r="7378" spans="9:19" x14ac:dyDescent="0.25">
      <c r="I7378" s="1"/>
      <c r="J7378" s="71"/>
      <c r="M7378" s="46"/>
      <c r="R7378" s="51"/>
      <c r="S7378" s="51"/>
    </row>
    <row r="7379" spans="9:19" x14ac:dyDescent="0.25">
      <c r="I7379" s="1"/>
      <c r="J7379" s="71"/>
      <c r="M7379" s="46"/>
      <c r="R7379" s="51"/>
      <c r="S7379" s="51"/>
    </row>
    <row r="7380" spans="9:19" x14ac:dyDescent="0.25">
      <c r="I7380" s="1"/>
      <c r="J7380" s="71"/>
      <c r="M7380" s="46"/>
      <c r="R7380" s="51"/>
      <c r="S7380" s="51"/>
    </row>
    <row r="7381" spans="9:19" x14ac:dyDescent="0.25">
      <c r="I7381" s="1"/>
      <c r="J7381" s="71"/>
      <c r="M7381" s="46"/>
      <c r="R7381" s="51"/>
      <c r="S7381" s="51"/>
    </row>
    <row r="7382" spans="9:19" x14ac:dyDescent="0.25">
      <c r="I7382" s="1"/>
      <c r="J7382" s="71"/>
      <c r="M7382" s="46"/>
      <c r="R7382" s="51"/>
      <c r="S7382" s="51"/>
    </row>
    <row r="7383" spans="9:19" x14ac:dyDescent="0.25">
      <c r="I7383" s="1"/>
      <c r="J7383" s="71"/>
      <c r="M7383" s="46"/>
      <c r="R7383" s="51"/>
      <c r="S7383" s="51"/>
    </row>
    <row r="7384" spans="9:19" x14ac:dyDescent="0.25">
      <c r="I7384" s="1"/>
      <c r="J7384" s="71"/>
      <c r="M7384" s="46"/>
      <c r="R7384" s="51"/>
      <c r="S7384" s="51"/>
    </row>
    <row r="7385" spans="9:19" x14ac:dyDescent="0.25">
      <c r="I7385" s="1"/>
      <c r="J7385" s="71"/>
      <c r="M7385" s="46"/>
      <c r="R7385" s="51"/>
      <c r="S7385" s="51"/>
    </row>
    <row r="7386" spans="9:19" x14ac:dyDescent="0.25">
      <c r="I7386" s="1"/>
      <c r="J7386" s="71"/>
      <c r="M7386" s="46"/>
      <c r="R7386" s="51"/>
      <c r="S7386" s="51"/>
    </row>
    <row r="7387" spans="9:19" x14ac:dyDescent="0.25">
      <c r="I7387" s="1"/>
      <c r="J7387" s="71"/>
      <c r="M7387" s="46"/>
      <c r="R7387" s="51"/>
      <c r="S7387" s="51"/>
    </row>
    <row r="7388" spans="9:19" x14ac:dyDescent="0.25">
      <c r="I7388" s="1"/>
      <c r="J7388" s="71"/>
      <c r="M7388" s="46"/>
      <c r="R7388" s="51"/>
      <c r="S7388" s="51"/>
    </row>
    <row r="7389" spans="9:19" x14ac:dyDescent="0.25">
      <c r="I7389" s="1"/>
      <c r="J7389" s="71"/>
      <c r="M7389" s="46"/>
      <c r="R7389" s="51"/>
      <c r="S7389" s="51"/>
    </row>
    <row r="7390" spans="9:19" x14ac:dyDescent="0.25">
      <c r="I7390" s="1"/>
      <c r="J7390" s="71"/>
      <c r="M7390" s="46"/>
      <c r="R7390" s="51"/>
      <c r="S7390" s="51"/>
    </row>
    <row r="7391" spans="9:19" x14ac:dyDescent="0.25">
      <c r="I7391" s="1"/>
      <c r="J7391" s="71"/>
      <c r="M7391" s="46"/>
      <c r="R7391" s="51"/>
      <c r="S7391" s="51"/>
    </row>
    <row r="7392" spans="9:19" x14ac:dyDescent="0.25">
      <c r="I7392" s="1"/>
      <c r="J7392" s="71"/>
      <c r="M7392" s="46"/>
      <c r="R7392" s="51"/>
      <c r="S7392" s="51"/>
    </row>
    <row r="7393" spans="9:19" x14ac:dyDescent="0.25">
      <c r="I7393" s="1"/>
      <c r="J7393" s="71"/>
      <c r="M7393" s="46"/>
      <c r="R7393" s="51"/>
      <c r="S7393" s="51"/>
    </row>
    <row r="7394" spans="9:19" x14ac:dyDescent="0.25">
      <c r="I7394" s="1"/>
      <c r="J7394" s="71"/>
      <c r="M7394" s="46"/>
      <c r="R7394" s="51"/>
      <c r="S7394" s="51"/>
    </row>
    <row r="7395" spans="9:19" x14ac:dyDescent="0.25">
      <c r="I7395" s="1"/>
      <c r="J7395" s="71"/>
      <c r="M7395" s="46"/>
      <c r="R7395" s="51"/>
      <c r="S7395" s="51"/>
    </row>
    <row r="7396" spans="9:19" x14ac:dyDescent="0.25">
      <c r="I7396" s="1"/>
      <c r="J7396" s="71"/>
      <c r="M7396" s="46"/>
      <c r="R7396" s="51"/>
      <c r="S7396" s="51"/>
    </row>
    <row r="7397" spans="9:19" x14ac:dyDescent="0.25">
      <c r="I7397" s="1"/>
      <c r="J7397" s="71"/>
      <c r="M7397" s="46"/>
      <c r="R7397" s="51"/>
      <c r="S7397" s="51"/>
    </row>
    <row r="7398" spans="9:19" x14ac:dyDescent="0.25">
      <c r="I7398" s="1"/>
      <c r="J7398" s="71"/>
      <c r="M7398" s="46"/>
      <c r="R7398" s="51"/>
      <c r="S7398" s="51"/>
    </row>
    <row r="7399" spans="9:19" x14ac:dyDescent="0.25">
      <c r="I7399" s="1"/>
      <c r="J7399" s="71"/>
      <c r="M7399" s="46"/>
      <c r="R7399" s="51"/>
      <c r="S7399" s="51"/>
    </row>
    <row r="7400" spans="9:19" x14ac:dyDescent="0.25">
      <c r="I7400" s="1"/>
      <c r="J7400" s="71"/>
      <c r="M7400" s="46"/>
      <c r="R7400" s="51"/>
      <c r="S7400" s="51"/>
    </row>
    <row r="7401" spans="9:19" x14ac:dyDescent="0.25">
      <c r="I7401" s="1"/>
      <c r="J7401" s="71"/>
      <c r="M7401" s="46"/>
      <c r="R7401" s="51"/>
      <c r="S7401" s="51"/>
    </row>
    <row r="7402" spans="9:19" x14ac:dyDescent="0.25">
      <c r="I7402" s="1"/>
      <c r="J7402" s="71"/>
      <c r="M7402" s="46"/>
      <c r="R7402" s="51"/>
      <c r="S7402" s="51"/>
    </row>
    <row r="7403" spans="9:19" x14ac:dyDescent="0.25">
      <c r="I7403" s="1"/>
      <c r="J7403" s="71"/>
      <c r="M7403" s="46"/>
      <c r="R7403" s="51"/>
      <c r="S7403" s="51"/>
    </row>
    <row r="7404" spans="9:19" x14ac:dyDescent="0.25">
      <c r="I7404" s="1"/>
      <c r="J7404" s="71"/>
      <c r="M7404" s="46"/>
      <c r="R7404" s="51"/>
      <c r="S7404" s="51"/>
    </row>
    <row r="7405" spans="9:19" x14ac:dyDescent="0.25">
      <c r="I7405" s="1"/>
      <c r="J7405" s="71"/>
      <c r="M7405" s="46"/>
      <c r="R7405" s="51"/>
      <c r="S7405" s="51"/>
    </row>
    <row r="7406" spans="9:19" x14ac:dyDescent="0.25">
      <c r="I7406" s="1"/>
      <c r="J7406" s="71"/>
      <c r="M7406" s="46"/>
      <c r="R7406" s="51"/>
      <c r="S7406" s="51"/>
    </row>
    <row r="7407" spans="9:19" x14ac:dyDescent="0.25">
      <c r="I7407" s="1"/>
      <c r="J7407" s="71"/>
      <c r="M7407" s="46"/>
      <c r="R7407" s="51"/>
      <c r="S7407" s="51"/>
    </row>
    <row r="7408" spans="9:19" x14ac:dyDescent="0.25">
      <c r="I7408" s="1"/>
      <c r="J7408" s="71"/>
      <c r="M7408" s="46"/>
      <c r="R7408" s="51"/>
      <c r="S7408" s="51"/>
    </row>
    <row r="7409" spans="9:19" x14ac:dyDescent="0.25">
      <c r="I7409" s="1"/>
      <c r="J7409" s="71"/>
      <c r="M7409" s="46"/>
      <c r="R7409" s="51"/>
      <c r="S7409" s="51"/>
    </row>
    <row r="7410" spans="9:19" x14ac:dyDescent="0.25">
      <c r="I7410" s="1"/>
      <c r="J7410" s="71"/>
      <c r="M7410" s="46"/>
      <c r="R7410" s="51"/>
      <c r="S7410" s="51"/>
    </row>
    <row r="7411" spans="9:19" x14ac:dyDescent="0.25">
      <c r="I7411" s="1"/>
      <c r="J7411" s="71"/>
      <c r="M7411" s="46"/>
      <c r="R7411" s="51"/>
      <c r="S7411" s="51"/>
    </row>
    <row r="7412" spans="9:19" x14ac:dyDescent="0.25">
      <c r="I7412" s="1"/>
      <c r="J7412" s="71"/>
      <c r="M7412" s="46"/>
      <c r="R7412" s="51"/>
      <c r="S7412" s="51"/>
    </row>
    <row r="7413" spans="9:19" x14ac:dyDescent="0.25">
      <c r="I7413" s="1"/>
      <c r="J7413" s="71"/>
      <c r="M7413" s="46"/>
      <c r="R7413" s="51"/>
      <c r="S7413" s="51"/>
    </row>
    <row r="7414" spans="9:19" x14ac:dyDescent="0.25">
      <c r="I7414" s="1"/>
      <c r="J7414" s="71"/>
      <c r="M7414" s="46"/>
      <c r="R7414" s="51"/>
      <c r="S7414" s="51"/>
    </row>
    <row r="7415" spans="9:19" x14ac:dyDescent="0.25">
      <c r="I7415" s="1"/>
      <c r="J7415" s="71"/>
      <c r="M7415" s="46"/>
      <c r="R7415" s="51"/>
      <c r="S7415" s="51"/>
    </row>
    <row r="7416" spans="9:19" x14ac:dyDescent="0.25">
      <c r="I7416" s="1"/>
      <c r="J7416" s="71"/>
      <c r="M7416" s="46"/>
      <c r="R7416" s="51"/>
      <c r="S7416" s="51"/>
    </row>
    <row r="7417" spans="9:19" x14ac:dyDescent="0.25">
      <c r="I7417" s="1"/>
      <c r="J7417" s="71"/>
      <c r="M7417" s="46"/>
      <c r="R7417" s="51"/>
      <c r="S7417" s="51"/>
    </row>
    <row r="7418" spans="9:19" x14ac:dyDescent="0.25">
      <c r="I7418" s="1"/>
      <c r="J7418" s="71"/>
      <c r="M7418" s="46"/>
      <c r="R7418" s="51"/>
      <c r="S7418" s="51"/>
    </row>
    <row r="7419" spans="9:19" x14ac:dyDescent="0.25">
      <c r="I7419" s="1"/>
      <c r="J7419" s="71"/>
      <c r="M7419" s="46"/>
      <c r="R7419" s="51"/>
      <c r="S7419" s="51"/>
    </row>
    <row r="7420" spans="9:19" x14ac:dyDescent="0.25">
      <c r="I7420" s="1"/>
      <c r="J7420" s="71"/>
      <c r="M7420" s="46"/>
      <c r="R7420" s="51"/>
      <c r="S7420" s="51"/>
    </row>
    <row r="7421" spans="9:19" x14ac:dyDescent="0.25">
      <c r="I7421" s="1"/>
      <c r="J7421" s="71"/>
      <c r="M7421" s="46"/>
      <c r="R7421" s="51"/>
      <c r="S7421" s="51"/>
    </row>
    <row r="7422" spans="9:19" x14ac:dyDescent="0.25">
      <c r="I7422" s="1"/>
      <c r="J7422" s="71"/>
      <c r="M7422" s="46"/>
      <c r="R7422" s="51"/>
      <c r="S7422" s="51"/>
    </row>
    <row r="7423" spans="9:19" x14ac:dyDescent="0.25">
      <c r="I7423" s="1"/>
      <c r="J7423" s="71"/>
      <c r="M7423" s="46"/>
      <c r="R7423" s="51"/>
      <c r="S7423" s="51"/>
    </row>
    <row r="7424" spans="9:19" x14ac:dyDescent="0.25">
      <c r="I7424" s="1"/>
      <c r="J7424" s="71"/>
      <c r="M7424" s="46"/>
      <c r="R7424" s="51"/>
      <c r="S7424" s="51"/>
    </row>
    <row r="7425" spans="9:19" x14ac:dyDescent="0.25">
      <c r="I7425" s="1"/>
      <c r="J7425" s="71"/>
      <c r="M7425" s="46"/>
      <c r="R7425" s="51"/>
      <c r="S7425" s="51"/>
    </row>
    <row r="7426" spans="9:19" x14ac:dyDescent="0.25">
      <c r="I7426" s="1"/>
      <c r="J7426" s="71"/>
      <c r="M7426" s="46"/>
      <c r="R7426" s="51"/>
      <c r="S7426" s="51"/>
    </row>
    <row r="7427" spans="9:19" x14ac:dyDescent="0.25">
      <c r="I7427" s="1"/>
      <c r="J7427" s="71"/>
      <c r="M7427" s="46"/>
      <c r="R7427" s="51"/>
      <c r="S7427" s="51"/>
    </row>
    <row r="7428" spans="9:19" x14ac:dyDescent="0.25">
      <c r="I7428" s="1"/>
      <c r="J7428" s="71"/>
      <c r="M7428" s="46"/>
      <c r="R7428" s="51"/>
      <c r="S7428" s="51"/>
    </row>
    <row r="7429" spans="9:19" x14ac:dyDescent="0.25">
      <c r="I7429" s="1"/>
      <c r="J7429" s="71"/>
      <c r="M7429" s="46"/>
      <c r="R7429" s="51"/>
      <c r="S7429" s="51"/>
    </row>
    <row r="7430" spans="9:19" x14ac:dyDescent="0.25">
      <c r="I7430" s="1"/>
      <c r="J7430" s="71"/>
      <c r="M7430" s="46"/>
      <c r="R7430" s="51"/>
      <c r="S7430" s="51"/>
    </row>
    <row r="7431" spans="9:19" x14ac:dyDescent="0.25">
      <c r="I7431" s="1"/>
      <c r="J7431" s="71"/>
      <c r="M7431" s="46"/>
      <c r="R7431" s="51"/>
      <c r="S7431" s="51"/>
    </row>
    <row r="7432" spans="9:19" x14ac:dyDescent="0.25">
      <c r="I7432" s="1"/>
      <c r="J7432" s="71"/>
      <c r="M7432" s="46"/>
      <c r="R7432" s="51"/>
      <c r="S7432" s="51"/>
    </row>
    <row r="7433" spans="9:19" x14ac:dyDescent="0.25">
      <c r="I7433" s="1"/>
      <c r="J7433" s="71"/>
      <c r="M7433" s="46"/>
      <c r="R7433" s="51"/>
      <c r="S7433" s="51"/>
    </row>
    <row r="7434" spans="9:19" x14ac:dyDescent="0.25">
      <c r="I7434" s="1"/>
      <c r="J7434" s="71"/>
      <c r="M7434" s="46"/>
      <c r="R7434" s="51"/>
      <c r="S7434" s="51"/>
    </row>
    <row r="7435" spans="9:19" x14ac:dyDescent="0.25">
      <c r="I7435" s="1"/>
      <c r="J7435" s="71"/>
      <c r="M7435" s="46"/>
      <c r="R7435" s="51"/>
      <c r="S7435" s="51"/>
    </row>
    <row r="7436" spans="9:19" x14ac:dyDescent="0.25">
      <c r="I7436" s="1"/>
      <c r="J7436" s="71"/>
      <c r="M7436" s="46"/>
      <c r="R7436" s="51"/>
      <c r="S7436" s="51"/>
    </row>
    <row r="7437" spans="9:19" x14ac:dyDescent="0.25">
      <c r="I7437" s="1"/>
      <c r="J7437" s="71"/>
      <c r="M7437" s="46"/>
      <c r="R7437" s="51"/>
      <c r="S7437" s="51"/>
    </row>
    <row r="7438" spans="9:19" x14ac:dyDescent="0.25">
      <c r="I7438" s="1"/>
      <c r="J7438" s="71"/>
      <c r="M7438" s="46"/>
      <c r="R7438" s="51"/>
      <c r="S7438" s="51"/>
    </row>
    <row r="7439" spans="9:19" x14ac:dyDescent="0.25">
      <c r="I7439" s="1"/>
      <c r="J7439" s="71"/>
      <c r="M7439" s="46"/>
      <c r="R7439" s="51"/>
      <c r="S7439" s="51"/>
    </row>
    <row r="7440" spans="9:19" x14ac:dyDescent="0.25">
      <c r="I7440" s="1"/>
      <c r="J7440" s="71"/>
      <c r="M7440" s="46"/>
      <c r="R7440" s="51"/>
      <c r="S7440" s="51"/>
    </row>
    <row r="7441" spans="9:19" x14ac:dyDescent="0.25">
      <c r="I7441" s="1"/>
      <c r="J7441" s="71"/>
      <c r="M7441" s="46"/>
      <c r="R7441" s="51"/>
      <c r="S7441" s="51"/>
    </row>
    <row r="7442" spans="9:19" x14ac:dyDescent="0.25">
      <c r="I7442" s="1"/>
      <c r="J7442" s="71"/>
      <c r="M7442" s="46"/>
      <c r="R7442" s="51"/>
      <c r="S7442" s="51"/>
    </row>
    <row r="7443" spans="9:19" x14ac:dyDescent="0.25">
      <c r="I7443" s="1"/>
      <c r="J7443" s="71"/>
      <c r="M7443" s="46"/>
      <c r="R7443" s="51"/>
      <c r="S7443" s="51"/>
    </row>
    <row r="7444" spans="9:19" x14ac:dyDescent="0.25">
      <c r="I7444" s="1"/>
      <c r="J7444" s="71"/>
      <c r="M7444" s="46"/>
      <c r="R7444" s="51"/>
      <c r="S7444" s="51"/>
    </row>
    <row r="7445" spans="9:19" x14ac:dyDescent="0.25">
      <c r="I7445" s="1"/>
      <c r="J7445" s="71"/>
      <c r="M7445" s="46"/>
      <c r="R7445" s="51"/>
      <c r="S7445" s="51"/>
    </row>
    <row r="7446" spans="9:19" x14ac:dyDescent="0.25">
      <c r="I7446" s="1"/>
      <c r="J7446" s="71"/>
      <c r="M7446" s="46"/>
      <c r="R7446" s="51"/>
      <c r="S7446" s="51"/>
    </row>
    <row r="7447" spans="9:19" x14ac:dyDescent="0.25">
      <c r="I7447" s="1"/>
      <c r="J7447" s="71"/>
      <c r="M7447" s="46"/>
      <c r="R7447" s="51"/>
      <c r="S7447" s="51"/>
    </row>
    <row r="7448" spans="9:19" x14ac:dyDescent="0.25">
      <c r="I7448" s="1"/>
      <c r="J7448" s="71"/>
      <c r="M7448" s="46"/>
      <c r="R7448" s="51"/>
      <c r="S7448" s="51"/>
    </row>
    <row r="7449" spans="9:19" x14ac:dyDescent="0.25">
      <c r="I7449" s="1"/>
      <c r="J7449" s="71"/>
      <c r="M7449" s="46"/>
      <c r="R7449" s="51"/>
      <c r="S7449" s="51"/>
    </row>
    <row r="7450" spans="9:19" x14ac:dyDescent="0.25">
      <c r="I7450" s="1"/>
      <c r="J7450" s="71"/>
      <c r="M7450" s="46"/>
      <c r="R7450" s="51"/>
      <c r="S7450" s="51"/>
    </row>
    <row r="7451" spans="9:19" x14ac:dyDescent="0.25">
      <c r="I7451" s="1"/>
      <c r="J7451" s="71"/>
      <c r="M7451" s="46"/>
      <c r="R7451" s="51"/>
      <c r="S7451" s="51"/>
    </row>
    <row r="7452" spans="9:19" x14ac:dyDescent="0.25">
      <c r="I7452" s="1"/>
      <c r="J7452" s="71"/>
      <c r="M7452" s="46"/>
      <c r="R7452" s="51"/>
      <c r="S7452" s="51"/>
    </row>
    <row r="7453" spans="9:19" x14ac:dyDescent="0.25">
      <c r="I7453" s="1"/>
      <c r="J7453" s="71"/>
      <c r="M7453" s="46"/>
      <c r="R7453" s="51"/>
      <c r="S7453" s="51"/>
    </row>
    <row r="7454" spans="9:19" x14ac:dyDescent="0.25">
      <c r="I7454" s="1"/>
      <c r="J7454" s="71"/>
      <c r="M7454" s="46"/>
      <c r="R7454" s="51"/>
      <c r="S7454" s="51"/>
    </row>
    <row r="7455" spans="9:19" x14ac:dyDescent="0.25">
      <c r="I7455" s="1"/>
      <c r="J7455" s="71"/>
      <c r="M7455" s="46"/>
      <c r="R7455" s="51"/>
      <c r="S7455" s="51"/>
    </row>
    <row r="7456" spans="9:19" x14ac:dyDescent="0.25">
      <c r="I7456" s="1"/>
      <c r="J7456" s="71"/>
      <c r="M7456" s="46"/>
      <c r="R7456" s="51"/>
      <c r="S7456" s="51"/>
    </row>
    <row r="7457" spans="9:19" x14ac:dyDescent="0.25">
      <c r="I7457" s="1"/>
      <c r="J7457" s="71"/>
      <c r="M7457" s="46"/>
      <c r="R7457" s="51"/>
      <c r="S7457" s="51"/>
    </row>
    <row r="7458" spans="9:19" x14ac:dyDescent="0.25">
      <c r="I7458" s="1"/>
      <c r="J7458" s="71"/>
      <c r="M7458" s="46"/>
      <c r="R7458" s="51"/>
      <c r="S7458" s="51"/>
    </row>
    <row r="7459" spans="9:19" x14ac:dyDescent="0.25">
      <c r="I7459" s="1"/>
      <c r="J7459" s="71"/>
      <c r="M7459" s="46"/>
      <c r="R7459" s="51"/>
      <c r="S7459" s="51"/>
    </row>
    <row r="7460" spans="9:19" x14ac:dyDescent="0.25">
      <c r="I7460" s="1"/>
      <c r="J7460" s="71"/>
      <c r="M7460" s="46"/>
      <c r="R7460" s="51"/>
      <c r="S7460" s="51"/>
    </row>
    <row r="7461" spans="9:19" x14ac:dyDescent="0.25">
      <c r="I7461" s="1"/>
      <c r="J7461" s="71"/>
      <c r="M7461" s="46"/>
      <c r="R7461" s="51"/>
      <c r="S7461" s="51"/>
    </row>
    <row r="7462" spans="9:19" x14ac:dyDescent="0.25">
      <c r="I7462" s="1"/>
      <c r="J7462" s="71"/>
      <c r="M7462" s="46"/>
      <c r="R7462" s="51"/>
      <c r="S7462" s="51"/>
    </row>
    <row r="7463" spans="9:19" x14ac:dyDescent="0.25">
      <c r="I7463" s="1"/>
      <c r="J7463" s="71"/>
      <c r="M7463" s="46"/>
      <c r="R7463" s="51"/>
      <c r="S7463" s="51"/>
    </row>
    <row r="7464" spans="9:19" x14ac:dyDescent="0.25">
      <c r="I7464" s="1"/>
      <c r="J7464" s="71"/>
      <c r="M7464" s="46"/>
      <c r="R7464" s="51"/>
      <c r="S7464" s="51"/>
    </row>
    <row r="7465" spans="9:19" x14ac:dyDescent="0.25">
      <c r="I7465" s="1"/>
      <c r="J7465" s="71"/>
      <c r="M7465" s="46"/>
      <c r="R7465" s="51"/>
      <c r="S7465" s="51"/>
    </row>
    <row r="7466" spans="9:19" x14ac:dyDescent="0.25">
      <c r="I7466" s="1"/>
      <c r="J7466" s="71"/>
      <c r="M7466" s="46"/>
      <c r="R7466" s="51"/>
      <c r="S7466" s="51"/>
    </row>
    <row r="7467" spans="9:19" x14ac:dyDescent="0.25">
      <c r="I7467" s="1"/>
      <c r="J7467" s="71"/>
      <c r="M7467" s="46"/>
      <c r="R7467" s="51"/>
      <c r="S7467" s="51"/>
    </row>
    <row r="7468" spans="9:19" x14ac:dyDescent="0.25">
      <c r="I7468" s="1"/>
      <c r="J7468" s="71"/>
      <c r="M7468" s="46"/>
      <c r="R7468" s="51"/>
      <c r="S7468" s="51"/>
    </row>
    <row r="7469" spans="9:19" x14ac:dyDescent="0.25">
      <c r="I7469" s="1"/>
      <c r="J7469" s="71"/>
      <c r="M7469" s="46"/>
      <c r="R7469" s="51"/>
      <c r="S7469" s="51"/>
    </row>
    <row r="7470" spans="9:19" x14ac:dyDescent="0.25">
      <c r="I7470" s="1"/>
      <c r="J7470" s="71"/>
      <c r="M7470" s="46"/>
      <c r="R7470" s="51"/>
      <c r="S7470" s="51"/>
    </row>
    <row r="7471" spans="9:19" x14ac:dyDescent="0.25">
      <c r="I7471" s="1"/>
      <c r="J7471" s="71"/>
      <c r="M7471" s="46"/>
      <c r="R7471" s="51"/>
      <c r="S7471" s="51"/>
    </row>
    <row r="7472" spans="9:19" x14ac:dyDescent="0.25">
      <c r="I7472" s="1"/>
      <c r="J7472" s="71"/>
      <c r="M7472" s="46"/>
      <c r="R7472" s="51"/>
      <c r="S7472" s="51"/>
    </row>
    <row r="7473" spans="9:19" x14ac:dyDescent="0.25">
      <c r="I7473" s="1"/>
      <c r="J7473" s="71"/>
      <c r="M7473" s="46"/>
      <c r="R7473" s="51"/>
      <c r="S7473" s="51"/>
    </row>
    <row r="7474" spans="9:19" x14ac:dyDescent="0.25">
      <c r="I7474" s="1"/>
      <c r="J7474" s="71"/>
      <c r="M7474" s="46"/>
      <c r="R7474" s="51"/>
      <c r="S7474" s="51"/>
    </row>
    <row r="7475" spans="9:19" x14ac:dyDescent="0.25">
      <c r="I7475" s="1"/>
      <c r="J7475" s="71"/>
      <c r="M7475" s="46"/>
      <c r="R7475" s="51"/>
      <c r="S7475" s="51"/>
    </row>
    <row r="7476" spans="9:19" x14ac:dyDescent="0.25">
      <c r="I7476" s="1"/>
      <c r="J7476" s="71"/>
      <c r="M7476" s="46"/>
      <c r="R7476" s="51"/>
      <c r="S7476" s="51"/>
    </row>
    <row r="7477" spans="9:19" x14ac:dyDescent="0.25">
      <c r="I7477" s="1"/>
      <c r="J7477" s="71"/>
      <c r="M7477" s="46"/>
      <c r="R7477" s="51"/>
      <c r="S7477" s="51"/>
    </row>
    <row r="7478" spans="9:19" x14ac:dyDescent="0.25">
      <c r="I7478" s="1"/>
      <c r="J7478" s="71"/>
      <c r="M7478" s="46"/>
      <c r="R7478" s="51"/>
      <c r="S7478" s="51"/>
    </row>
    <row r="7479" spans="9:19" x14ac:dyDescent="0.25">
      <c r="I7479" s="1"/>
      <c r="J7479" s="71"/>
      <c r="M7479" s="46"/>
      <c r="R7479" s="51"/>
      <c r="S7479" s="51"/>
    </row>
    <row r="7480" spans="9:19" x14ac:dyDescent="0.25">
      <c r="I7480" s="1"/>
      <c r="J7480" s="71"/>
      <c r="M7480" s="46"/>
      <c r="R7480" s="51"/>
      <c r="S7480" s="51"/>
    </row>
    <row r="7481" spans="9:19" x14ac:dyDescent="0.25">
      <c r="I7481" s="1"/>
      <c r="J7481" s="71"/>
      <c r="M7481" s="46"/>
      <c r="R7481" s="51"/>
      <c r="S7481" s="51"/>
    </row>
    <row r="7482" spans="9:19" x14ac:dyDescent="0.25">
      <c r="I7482" s="1"/>
      <c r="J7482" s="71"/>
      <c r="M7482" s="46"/>
      <c r="R7482" s="51"/>
      <c r="S7482" s="51"/>
    </row>
    <row r="7483" spans="9:19" x14ac:dyDescent="0.25">
      <c r="I7483" s="1"/>
      <c r="J7483" s="71"/>
      <c r="M7483" s="46"/>
      <c r="R7483" s="51"/>
      <c r="S7483" s="51"/>
    </row>
    <row r="7484" spans="9:19" x14ac:dyDescent="0.25">
      <c r="I7484" s="1"/>
      <c r="J7484" s="71"/>
      <c r="M7484" s="46"/>
      <c r="R7484" s="51"/>
      <c r="S7484" s="51"/>
    </row>
    <row r="7485" spans="9:19" x14ac:dyDescent="0.25">
      <c r="I7485" s="1"/>
      <c r="J7485" s="71"/>
      <c r="M7485" s="46"/>
      <c r="R7485" s="51"/>
      <c r="S7485" s="51"/>
    </row>
    <row r="7486" spans="9:19" x14ac:dyDescent="0.25">
      <c r="I7486" s="1"/>
      <c r="J7486" s="71"/>
      <c r="M7486" s="46"/>
      <c r="R7486" s="51"/>
      <c r="S7486" s="51"/>
    </row>
    <row r="7487" spans="9:19" x14ac:dyDescent="0.25">
      <c r="I7487" s="1"/>
      <c r="J7487" s="71"/>
      <c r="M7487" s="46"/>
      <c r="R7487" s="51"/>
      <c r="S7487" s="51"/>
    </row>
    <row r="7488" spans="9:19" x14ac:dyDescent="0.25">
      <c r="I7488" s="1"/>
      <c r="J7488" s="71"/>
      <c r="M7488" s="46"/>
      <c r="R7488" s="51"/>
      <c r="S7488" s="51"/>
    </row>
    <row r="7489" spans="9:19" x14ac:dyDescent="0.25">
      <c r="I7489" s="1"/>
      <c r="J7489" s="71"/>
      <c r="M7489" s="46"/>
      <c r="R7489" s="51"/>
      <c r="S7489" s="51"/>
    </row>
    <row r="7490" spans="9:19" x14ac:dyDescent="0.25">
      <c r="I7490" s="1"/>
      <c r="J7490" s="71"/>
      <c r="M7490" s="46"/>
      <c r="R7490" s="51"/>
      <c r="S7490" s="51"/>
    </row>
    <row r="7491" spans="9:19" x14ac:dyDescent="0.25">
      <c r="I7491" s="1"/>
      <c r="J7491" s="71"/>
      <c r="M7491" s="46"/>
      <c r="R7491" s="51"/>
      <c r="S7491" s="51"/>
    </row>
    <row r="7492" spans="9:19" x14ac:dyDescent="0.25">
      <c r="I7492" s="1"/>
      <c r="J7492" s="71"/>
      <c r="M7492" s="46"/>
      <c r="R7492" s="51"/>
      <c r="S7492" s="51"/>
    </row>
    <row r="7493" spans="9:19" x14ac:dyDescent="0.25">
      <c r="I7493" s="1"/>
      <c r="J7493" s="71"/>
      <c r="M7493" s="46"/>
      <c r="R7493" s="51"/>
      <c r="S7493" s="51"/>
    </row>
    <row r="7494" spans="9:19" x14ac:dyDescent="0.25">
      <c r="I7494" s="1"/>
      <c r="J7494" s="71"/>
      <c r="M7494" s="46"/>
      <c r="R7494" s="51"/>
      <c r="S7494" s="51"/>
    </row>
    <row r="7495" spans="9:19" x14ac:dyDescent="0.25">
      <c r="I7495" s="1"/>
      <c r="J7495" s="71"/>
      <c r="M7495" s="46"/>
      <c r="R7495" s="51"/>
      <c r="S7495" s="51"/>
    </row>
    <row r="7496" spans="9:19" x14ac:dyDescent="0.25">
      <c r="I7496" s="1"/>
      <c r="J7496" s="71"/>
      <c r="M7496" s="46"/>
      <c r="R7496" s="51"/>
      <c r="S7496" s="51"/>
    </row>
    <row r="7497" spans="9:19" x14ac:dyDescent="0.25">
      <c r="I7497" s="1"/>
      <c r="J7497" s="71"/>
      <c r="M7497" s="46"/>
      <c r="R7497" s="51"/>
      <c r="S7497" s="51"/>
    </row>
    <row r="7498" spans="9:19" x14ac:dyDescent="0.25">
      <c r="I7498" s="1"/>
      <c r="J7498" s="71"/>
      <c r="M7498" s="46"/>
      <c r="R7498" s="51"/>
      <c r="S7498" s="51"/>
    </row>
    <row r="7499" spans="9:19" x14ac:dyDescent="0.25">
      <c r="I7499" s="1"/>
      <c r="J7499" s="71"/>
      <c r="M7499" s="46"/>
      <c r="R7499" s="51"/>
      <c r="S7499" s="51"/>
    </row>
    <row r="7500" spans="9:19" x14ac:dyDescent="0.25">
      <c r="I7500" s="1"/>
      <c r="J7500" s="71"/>
      <c r="M7500" s="46"/>
      <c r="R7500" s="51"/>
      <c r="S7500" s="51"/>
    </row>
    <row r="7501" spans="9:19" x14ac:dyDescent="0.25">
      <c r="I7501" s="1"/>
      <c r="J7501" s="71"/>
      <c r="M7501" s="46"/>
      <c r="R7501" s="51"/>
      <c r="S7501" s="51"/>
    </row>
    <row r="7502" spans="9:19" x14ac:dyDescent="0.25">
      <c r="I7502" s="1"/>
      <c r="J7502" s="71"/>
      <c r="M7502" s="46"/>
      <c r="R7502" s="51"/>
      <c r="S7502" s="51"/>
    </row>
    <row r="7503" spans="9:19" x14ac:dyDescent="0.25">
      <c r="I7503" s="1"/>
      <c r="J7503" s="71"/>
      <c r="M7503" s="46"/>
      <c r="R7503" s="51"/>
      <c r="S7503" s="51"/>
    </row>
    <row r="7504" spans="9:19" x14ac:dyDescent="0.25">
      <c r="I7504" s="1"/>
      <c r="J7504" s="71"/>
      <c r="M7504" s="46"/>
      <c r="R7504" s="51"/>
      <c r="S7504" s="51"/>
    </row>
    <row r="7505" spans="9:19" x14ac:dyDescent="0.25">
      <c r="I7505" s="1"/>
      <c r="J7505" s="71"/>
      <c r="M7505" s="46"/>
      <c r="R7505" s="51"/>
      <c r="S7505" s="51"/>
    </row>
    <row r="7506" spans="9:19" x14ac:dyDescent="0.25">
      <c r="I7506" s="1"/>
      <c r="J7506" s="71"/>
      <c r="M7506" s="46"/>
      <c r="R7506" s="51"/>
      <c r="S7506" s="51"/>
    </row>
    <row r="7507" spans="9:19" x14ac:dyDescent="0.25">
      <c r="I7507" s="1"/>
      <c r="J7507" s="71"/>
      <c r="M7507" s="46"/>
      <c r="R7507" s="51"/>
      <c r="S7507" s="51"/>
    </row>
    <row r="7508" spans="9:19" x14ac:dyDescent="0.25">
      <c r="I7508" s="1"/>
      <c r="J7508" s="71"/>
      <c r="M7508" s="46"/>
      <c r="R7508" s="51"/>
      <c r="S7508" s="51"/>
    </row>
    <row r="7509" spans="9:19" x14ac:dyDescent="0.25">
      <c r="I7509" s="1"/>
      <c r="J7509" s="71"/>
      <c r="M7509" s="46"/>
      <c r="R7509" s="51"/>
      <c r="S7509" s="51"/>
    </row>
    <row r="7510" spans="9:19" x14ac:dyDescent="0.25">
      <c r="I7510" s="1"/>
      <c r="J7510" s="71"/>
      <c r="M7510" s="46"/>
      <c r="R7510" s="51"/>
      <c r="S7510" s="51"/>
    </row>
    <row r="7511" spans="9:19" x14ac:dyDescent="0.25">
      <c r="I7511" s="1"/>
      <c r="J7511" s="71"/>
      <c r="M7511" s="46"/>
      <c r="R7511" s="51"/>
      <c r="S7511" s="51"/>
    </row>
    <row r="7512" spans="9:19" x14ac:dyDescent="0.25">
      <c r="I7512" s="1"/>
      <c r="J7512" s="71"/>
      <c r="M7512" s="46"/>
      <c r="R7512" s="51"/>
      <c r="S7512" s="51"/>
    </row>
    <row r="7513" spans="9:19" x14ac:dyDescent="0.25">
      <c r="I7513" s="1"/>
      <c r="J7513" s="71"/>
      <c r="M7513" s="46"/>
      <c r="R7513" s="51"/>
      <c r="S7513" s="51"/>
    </row>
    <row r="7514" spans="9:19" x14ac:dyDescent="0.25">
      <c r="I7514" s="1"/>
      <c r="J7514" s="71"/>
      <c r="M7514" s="46"/>
      <c r="R7514" s="51"/>
      <c r="S7514" s="51"/>
    </row>
    <row r="7515" spans="9:19" x14ac:dyDescent="0.25">
      <c r="I7515" s="1"/>
      <c r="J7515" s="71"/>
      <c r="M7515" s="46"/>
      <c r="R7515" s="51"/>
      <c r="S7515" s="51"/>
    </row>
    <row r="7516" spans="9:19" x14ac:dyDescent="0.25">
      <c r="I7516" s="1"/>
      <c r="J7516" s="71"/>
      <c r="M7516" s="46"/>
      <c r="R7516" s="51"/>
      <c r="S7516" s="51"/>
    </row>
    <row r="7517" spans="9:19" x14ac:dyDescent="0.25">
      <c r="I7517" s="1"/>
      <c r="J7517" s="71"/>
      <c r="M7517" s="46"/>
      <c r="R7517" s="51"/>
      <c r="S7517" s="51"/>
    </row>
    <row r="7518" spans="9:19" x14ac:dyDescent="0.25">
      <c r="I7518" s="1"/>
      <c r="J7518" s="71"/>
      <c r="M7518" s="46"/>
      <c r="R7518" s="51"/>
      <c r="S7518" s="51"/>
    </row>
    <row r="7519" spans="9:19" x14ac:dyDescent="0.25">
      <c r="I7519" s="1"/>
      <c r="J7519" s="71"/>
      <c r="M7519" s="46"/>
      <c r="R7519" s="51"/>
      <c r="S7519" s="51"/>
    </row>
    <row r="7520" spans="9:19" x14ac:dyDescent="0.25">
      <c r="I7520" s="1"/>
      <c r="J7520" s="71"/>
      <c r="M7520" s="46"/>
      <c r="R7520" s="51"/>
      <c r="S7520" s="51"/>
    </row>
    <row r="7521" spans="9:19" x14ac:dyDescent="0.25">
      <c r="I7521" s="1"/>
      <c r="J7521" s="71"/>
      <c r="M7521" s="46"/>
      <c r="R7521" s="51"/>
      <c r="S7521" s="51"/>
    </row>
    <row r="7522" spans="9:19" x14ac:dyDescent="0.25">
      <c r="I7522" s="1"/>
      <c r="J7522" s="71"/>
      <c r="M7522" s="46"/>
      <c r="R7522" s="51"/>
      <c r="S7522" s="51"/>
    </row>
    <row r="7523" spans="9:19" x14ac:dyDescent="0.25">
      <c r="I7523" s="1"/>
      <c r="J7523" s="71"/>
      <c r="M7523" s="46"/>
      <c r="R7523" s="51"/>
      <c r="S7523" s="51"/>
    </row>
    <row r="7524" spans="9:19" x14ac:dyDescent="0.25">
      <c r="I7524" s="1"/>
      <c r="J7524" s="71"/>
      <c r="M7524" s="46"/>
      <c r="R7524" s="51"/>
      <c r="S7524" s="51"/>
    </row>
    <row r="7525" spans="9:19" x14ac:dyDescent="0.25">
      <c r="I7525" s="1"/>
      <c r="J7525" s="71"/>
      <c r="M7525" s="46"/>
      <c r="R7525" s="51"/>
      <c r="S7525" s="51"/>
    </row>
    <row r="7526" spans="9:19" x14ac:dyDescent="0.25">
      <c r="I7526" s="1"/>
      <c r="J7526" s="71"/>
      <c r="M7526" s="46"/>
      <c r="R7526" s="51"/>
      <c r="S7526" s="51"/>
    </row>
    <row r="7527" spans="9:19" x14ac:dyDescent="0.25">
      <c r="I7527" s="1"/>
      <c r="J7527" s="71"/>
      <c r="M7527" s="46"/>
      <c r="R7527" s="51"/>
      <c r="S7527" s="51"/>
    </row>
    <row r="7528" spans="9:19" x14ac:dyDescent="0.25">
      <c r="I7528" s="1"/>
      <c r="J7528" s="71"/>
      <c r="M7528" s="46"/>
      <c r="R7528" s="51"/>
      <c r="S7528" s="51"/>
    </row>
    <row r="7529" spans="9:19" x14ac:dyDescent="0.25">
      <c r="I7529" s="1"/>
      <c r="J7529" s="71"/>
      <c r="M7529" s="46"/>
      <c r="R7529" s="51"/>
      <c r="S7529" s="51"/>
    </row>
    <row r="7530" spans="9:19" x14ac:dyDescent="0.25">
      <c r="I7530" s="1"/>
      <c r="J7530" s="71"/>
      <c r="M7530" s="46"/>
      <c r="R7530" s="51"/>
      <c r="S7530" s="51"/>
    </row>
    <row r="7531" spans="9:19" x14ac:dyDescent="0.25">
      <c r="I7531" s="1"/>
      <c r="J7531" s="71"/>
      <c r="M7531" s="46"/>
      <c r="R7531" s="51"/>
      <c r="S7531" s="51"/>
    </row>
    <row r="7532" spans="9:19" x14ac:dyDescent="0.25">
      <c r="I7532" s="1"/>
      <c r="J7532" s="71"/>
      <c r="M7532" s="46"/>
      <c r="R7532" s="51"/>
      <c r="S7532" s="51"/>
    </row>
    <row r="7533" spans="9:19" x14ac:dyDescent="0.25">
      <c r="I7533" s="1"/>
      <c r="J7533" s="71"/>
      <c r="M7533" s="46"/>
      <c r="R7533" s="51"/>
      <c r="S7533" s="51"/>
    </row>
    <row r="7534" spans="9:19" x14ac:dyDescent="0.25">
      <c r="I7534" s="1"/>
      <c r="J7534" s="71"/>
      <c r="M7534" s="46"/>
      <c r="R7534" s="51"/>
      <c r="S7534" s="51"/>
    </row>
    <row r="7535" spans="9:19" x14ac:dyDescent="0.25">
      <c r="I7535" s="1"/>
      <c r="J7535" s="71"/>
      <c r="M7535" s="46"/>
      <c r="R7535" s="51"/>
      <c r="S7535" s="51"/>
    </row>
    <row r="7536" spans="9:19" x14ac:dyDescent="0.25">
      <c r="I7536" s="1"/>
      <c r="J7536" s="71"/>
      <c r="M7536" s="46"/>
      <c r="R7536" s="51"/>
      <c r="S7536" s="51"/>
    </row>
    <row r="7537" spans="9:19" x14ac:dyDescent="0.25">
      <c r="I7537" s="1"/>
      <c r="J7537" s="71"/>
      <c r="M7537" s="46"/>
      <c r="R7537" s="51"/>
      <c r="S7537" s="51"/>
    </row>
    <row r="7538" spans="9:19" x14ac:dyDescent="0.25">
      <c r="I7538" s="1"/>
      <c r="J7538" s="71"/>
      <c r="M7538" s="46"/>
      <c r="R7538" s="51"/>
      <c r="S7538" s="51"/>
    </row>
    <row r="7539" spans="9:19" x14ac:dyDescent="0.25">
      <c r="I7539" s="1"/>
      <c r="J7539" s="71"/>
      <c r="M7539" s="46"/>
      <c r="R7539" s="51"/>
      <c r="S7539" s="51"/>
    </row>
    <row r="7540" spans="9:19" x14ac:dyDescent="0.25">
      <c r="I7540" s="1"/>
      <c r="J7540" s="71"/>
      <c r="M7540" s="46"/>
      <c r="R7540" s="51"/>
      <c r="S7540" s="51"/>
    </row>
    <row r="7541" spans="9:19" x14ac:dyDescent="0.25">
      <c r="I7541" s="1"/>
      <c r="J7541" s="71"/>
      <c r="M7541" s="46"/>
      <c r="R7541" s="51"/>
      <c r="S7541" s="51"/>
    </row>
    <row r="7542" spans="9:19" x14ac:dyDescent="0.25">
      <c r="I7542" s="1"/>
      <c r="J7542" s="71"/>
      <c r="M7542" s="46"/>
      <c r="R7542" s="51"/>
      <c r="S7542" s="51"/>
    </row>
    <row r="7543" spans="9:19" x14ac:dyDescent="0.25">
      <c r="I7543" s="1"/>
      <c r="J7543" s="71"/>
      <c r="M7543" s="46"/>
      <c r="R7543" s="51"/>
      <c r="S7543" s="51"/>
    </row>
    <row r="7544" spans="9:19" x14ac:dyDescent="0.25">
      <c r="I7544" s="1"/>
      <c r="J7544" s="71"/>
      <c r="M7544" s="46"/>
      <c r="R7544" s="51"/>
      <c r="S7544" s="51"/>
    </row>
    <row r="7545" spans="9:19" x14ac:dyDescent="0.25">
      <c r="I7545" s="1"/>
      <c r="J7545" s="71"/>
      <c r="M7545" s="46"/>
      <c r="R7545" s="51"/>
      <c r="S7545" s="51"/>
    </row>
    <row r="7546" spans="9:19" x14ac:dyDescent="0.25">
      <c r="I7546" s="1"/>
      <c r="J7546" s="71"/>
      <c r="M7546" s="46"/>
      <c r="R7546" s="51"/>
      <c r="S7546" s="51"/>
    </row>
    <row r="7547" spans="9:19" x14ac:dyDescent="0.25">
      <c r="I7547" s="1"/>
      <c r="J7547" s="71"/>
      <c r="M7547" s="46"/>
      <c r="R7547" s="51"/>
      <c r="S7547" s="51"/>
    </row>
    <row r="7548" spans="9:19" x14ac:dyDescent="0.25">
      <c r="I7548" s="1"/>
      <c r="J7548" s="71"/>
      <c r="M7548" s="46"/>
      <c r="R7548" s="51"/>
      <c r="S7548" s="51"/>
    </row>
    <row r="7549" spans="9:19" x14ac:dyDescent="0.25">
      <c r="I7549" s="1"/>
      <c r="J7549" s="71"/>
      <c r="M7549" s="46"/>
      <c r="R7549" s="51"/>
      <c r="S7549" s="51"/>
    </row>
    <row r="7550" spans="9:19" x14ac:dyDescent="0.25">
      <c r="I7550" s="1"/>
      <c r="J7550" s="71"/>
      <c r="M7550" s="46"/>
      <c r="R7550" s="51"/>
      <c r="S7550" s="51"/>
    </row>
    <row r="7551" spans="9:19" x14ac:dyDescent="0.25">
      <c r="I7551" s="1"/>
      <c r="J7551" s="71"/>
      <c r="M7551" s="46"/>
      <c r="R7551" s="51"/>
      <c r="S7551" s="51"/>
    </row>
    <row r="7552" spans="9:19" x14ac:dyDescent="0.25">
      <c r="I7552" s="1"/>
      <c r="J7552" s="71"/>
      <c r="M7552" s="46"/>
      <c r="R7552" s="51"/>
      <c r="S7552" s="51"/>
    </row>
    <row r="7553" spans="9:19" x14ac:dyDescent="0.25">
      <c r="I7553" s="1"/>
      <c r="J7553" s="71"/>
      <c r="M7553" s="46"/>
      <c r="R7553" s="51"/>
      <c r="S7553" s="51"/>
    </row>
    <row r="7554" spans="9:19" x14ac:dyDescent="0.25">
      <c r="I7554" s="1"/>
      <c r="J7554" s="71"/>
      <c r="M7554" s="46"/>
      <c r="R7554" s="51"/>
      <c r="S7554" s="51"/>
    </row>
    <row r="7555" spans="9:19" x14ac:dyDescent="0.25">
      <c r="I7555" s="1"/>
      <c r="J7555" s="71"/>
      <c r="M7555" s="46"/>
      <c r="R7555" s="51"/>
      <c r="S7555" s="51"/>
    </row>
    <row r="7556" spans="9:19" x14ac:dyDescent="0.25">
      <c r="I7556" s="1"/>
      <c r="J7556" s="71"/>
      <c r="M7556" s="46"/>
      <c r="R7556" s="51"/>
      <c r="S7556" s="51"/>
    </row>
    <row r="7557" spans="9:19" x14ac:dyDescent="0.25">
      <c r="I7557" s="1"/>
      <c r="J7557" s="71"/>
      <c r="M7557" s="46"/>
      <c r="R7557" s="51"/>
      <c r="S7557" s="51"/>
    </row>
    <row r="7558" spans="9:19" x14ac:dyDescent="0.25">
      <c r="I7558" s="1"/>
      <c r="J7558" s="71"/>
      <c r="M7558" s="46"/>
      <c r="R7558" s="51"/>
      <c r="S7558" s="51"/>
    </row>
    <row r="7559" spans="9:19" x14ac:dyDescent="0.25">
      <c r="I7559" s="1"/>
      <c r="J7559" s="71"/>
      <c r="M7559" s="46"/>
      <c r="R7559" s="51"/>
      <c r="S7559" s="51"/>
    </row>
    <row r="7560" spans="9:19" x14ac:dyDescent="0.25">
      <c r="I7560" s="1"/>
      <c r="J7560" s="71"/>
      <c r="M7560" s="46"/>
      <c r="R7560" s="51"/>
      <c r="S7560" s="51"/>
    </row>
    <row r="7561" spans="9:19" x14ac:dyDescent="0.25">
      <c r="I7561" s="1"/>
      <c r="J7561" s="71"/>
      <c r="M7561" s="46"/>
      <c r="R7561" s="51"/>
      <c r="S7561" s="51"/>
    </row>
    <row r="7562" spans="9:19" x14ac:dyDescent="0.25">
      <c r="I7562" s="1"/>
      <c r="J7562" s="71"/>
      <c r="M7562" s="46"/>
      <c r="R7562" s="51"/>
      <c r="S7562" s="51"/>
    </row>
    <row r="7563" spans="9:19" x14ac:dyDescent="0.25">
      <c r="I7563" s="1"/>
      <c r="J7563" s="71"/>
      <c r="M7563" s="46"/>
      <c r="R7563" s="51"/>
      <c r="S7563" s="51"/>
    </row>
    <row r="7564" spans="9:19" x14ac:dyDescent="0.25">
      <c r="I7564" s="1"/>
      <c r="J7564" s="71"/>
      <c r="M7564" s="46"/>
      <c r="R7564" s="51"/>
      <c r="S7564" s="51"/>
    </row>
    <row r="7565" spans="9:19" x14ac:dyDescent="0.25">
      <c r="I7565" s="1"/>
      <c r="J7565" s="71"/>
      <c r="M7565" s="46"/>
      <c r="R7565" s="51"/>
      <c r="S7565" s="51"/>
    </row>
    <row r="7566" spans="9:19" x14ac:dyDescent="0.25">
      <c r="I7566" s="1"/>
      <c r="J7566" s="71"/>
      <c r="M7566" s="46"/>
      <c r="R7566" s="51"/>
      <c r="S7566" s="51"/>
    </row>
    <row r="7567" spans="9:19" x14ac:dyDescent="0.25">
      <c r="I7567" s="1"/>
      <c r="J7567" s="71"/>
      <c r="M7567" s="46"/>
      <c r="R7567" s="51"/>
      <c r="S7567" s="51"/>
    </row>
    <row r="7568" spans="9:19" x14ac:dyDescent="0.25">
      <c r="I7568" s="1"/>
      <c r="J7568" s="71"/>
      <c r="M7568" s="46"/>
      <c r="R7568" s="51"/>
      <c r="S7568" s="51"/>
    </row>
    <row r="7569" spans="9:19" x14ac:dyDescent="0.25">
      <c r="I7569" s="1"/>
      <c r="J7569" s="71"/>
      <c r="M7569" s="46"/>
      <c r="R7569" s="51"/>
      <c r="S7569" s="51"/>
    </row>
    <row r="7570" spans="9:19" x14ac:dyDescent="0.25">
      <c r="I7570" s="1"/>
      <c r="J7570" s="71"/>
      <c r="M7570" s="46"/>
      <c r="R7570" s="51"/>
      <c r="S7570" s="51"/>
    </row>
    <row r="7571" spans="9:19" x14ac:dyDescent="0.25">
      <c r="I7571" s="1"/>
      <c r="J7571" s="71"/>
      <c r="M7571" s="46"/>
      <c r="R7571" s="51"/>
      <c r="S7571" s="51"/>
    </row>
    <row r="7572" spans="9:19" x14ac:dyDescent="0.25">
      <c r="I7572" s="1"/>
      <c r="J7572" s="71"/>
      <c r="M7572" s="46"/>
      <c r="R7572" s="51"/>
      <c r="S7572" s="51"/>
    </row>
    <row r="7573" spans="9:19" x14ac:dyDescent="0.25">
      <c r="I7573" s="1"/>
      <c r="J7573" s="71"/>
      <c r="M7573" s="46"/>
      <c r="R7573" s="51"/>
      <c r="S7573" s="51"/>
    </row>
    <row r="7574" spans="9:19" x14ac:dyDescent="0.25">
      <c r="I7574" s="1"/>
      <c r="J7574" s="71"/>
      <c r="M7574" s="46"/>
      <c r="R7574" s="51"/>
      <c r="S7574" s="51"/>
    </row>
    <row r="7575" spans="9:19" x14ac:dyDescent="0.25">
      <c r="I7575" s="1"/>
      <c r="J7575" s="71"/>
      <c r="M7575" s="46"/>
      <c r="R7575" s="51"/>
      <c r="S7575" s="51"/>
    </row>
    <row r="7576" spans="9:19" x14ac:dyDescent="0.25">
      <c r="I7576" s="1"/>
      <c r="J7576" s="71"/>
      <c r="M7576" s="46"/>
      <c r="R7576" s="51"/>
      <c r="S7576" s="51"/>
    </row>
    <row r="7577" spans="9:19" x14ac:dyDescent="0.25">
      <c r="I7577" s="1"/>
      <c r="J7577" s="71"/>
      <c r="M7577" s="46"/>
      <c r="R7577" s="51"/>
      <c r="S7577" s="51"/>
    </row>
    <row r="7578" spans="9:19" x14ac:dyDescent="0.25">
      <c r="I7578" s="1"/>
      <c r="J7578" s="71"/>
      <c r="M7578" s="46"/>
      <c r="R7578" s="51"/>
      <c r="S7578" s="51"/>
    </row>
    <row r="7579" spans="9:19" x14ac:dyDescent="0.25">
      <c r="I7579" s="1"/>
      <c r="J7579" s="71"/>
      <c r="M7579" s="46"/>
      <c r="R7579" s="51"/>
      <c r="S7579" s="51"/>
    </row>
    <row r="7580" spans="9:19" x14ac:dyDescent="0.25">
      <c r="I7580" s="1"/>
      <c r="J7580" s="71"/>
      <c r="M7580" s="46"/>
      <c r="R7580" s="51"/>
      <c r="S7580" s="51"/>
    </row>
    <row r="7581" spans="9:19" x14ac:dyDescent="0.25">
      <c r="I7581" s="1"/>
      <c r="J7581" s="71"/>
      <c r="M7581" s="46"/>
      <c r="R7581" s="51"/>
      <c r="S7581" s="51"/>
    </row>
    <row r="7582" spans="9:19" x14ac:dyDescent="0.25">
      <c r="I7582" s="1"/>
      <c r="J7582" s="71"/>
      <c r="M7582" s="46"/>
      <c r="R7582" s="51"/>
      <c r="S7582" s="51"/>
    </row>
    <row r="7583" spans="9:19" x14ac:dyDescent="0.25">
      <c r="I7583" s="1"/>
      <c r="J7583" s="71"/>
      <c r="M7583" s="46"/>
      <c r="R7583" s="51"/>
      <c r="S7583" s="51"/>
    </row>
    <row r="7584" spans="9:19" x14ac:dyDescent="0.25">
      <c r="I7584" s="1"/>
      <c r="J7584" s="71"/>
      <c r="M7584" s="46"/>
      <c r="R7584" s="51"/>
      <c r="S7584" s="51"/>
    </row>
    <row r="7585" spans="9:19" x14ac:dyDescent="0.25">
      <c r="I7585" s="1"/>
      <c r="J7585" s="71"/>
      <c r="M7585" s="46"/>
      <c r="R7585" s="51"/>
      <c r="S7585" s="51"/>
    </row>
    <row r="7586" spans="9:19" x14ac:dyDescent="0.25">
      <c r="I7586" s="1"/>
      <c r="J7586" s="71"/>
      <c r="M7586" s="46"/>
      <c r="R7586" s="51"/>
      <c r="S7586" s="51"/>
    </row>
    <row r="7587" spans="9:19" x14ac:dyDescent="0.25">
      <c r="I7587" s="1"/>
      <c r="J7587" s="71"/>
      <c r="M7587" s="46"/>
      <c r="R7587" s="51"/>
      <c r="S7587" s="51"/>
    </row>
    <row r="7588" spans="9:19" x14ac:dyDescent="0.25">
      <c r="I7588" s="1"/>
      <c r="J7588" s="71"/>
      <c r="M7588" s="46"/>
      <c r="R7588" s="51"/>
      <c r="S7588" s="51"/>
    </row>
    <row r="7589" spans="9:19" x14ac:dyDescent="0.25">
      <c r="I7589" s="1"/>
      <c r="J7589" s="71"/>
      <c r="M7589" s="46"/>
      <c r="R7589" s="51"/>
      <c r="S7589" s="51"/>
    </row>
    <row r="7590" spans="9:19" x14ac:dyDescent="0.25">
      <c r="I7590" s="1"/>
      <c r="J7590" s="71"/>
      <c r="M7590" s="46"/>
      <c r="R7590" s="51"/>
      <c r="S7590" s="51"/>
    </row>
    <row r="7591" spans="9:19" x14ac:dyDescent="0.25">
      <c r="I7591" s="1"/>
      <c r="J7591" s="71"/>
      <c r="M7591" s="46"/>
      <c r="R7591" s="51"/>
      <c r="S7591" s="51"/>
    </row>
    <row r="7592" spans="9:19" x14ac:dyDescent="0.25">
      <c r="I7592" s="1"/>
      <c r="J7592" s="71"/>
      <c r="M7592" s="46"/>
      <c r="R7592" s="51"/>
      <c r="S7592" s="51"/>
    </row>
    <row r="7593" spans="9:19" x14ac:dyDescent="0.25">
      <c r="I7593" s="1"/>
      <c r="J7593" s="71"/>
      <c r="M7593" s="46"/>
      <c r="R7593" s="51"/>
      <c r="S7593" s="51"/>
    </row>
    <row r="7594" spans="9:19" x14ac:dyDescent="0.25">
      <c r="I7594" s="1"/>
      <c r="J7594" s="71"/>
      <c r="M7594" s="46"/>
      <c r="R7594" s="51"/>
      <c r="S7594" s="51"/>
    </row>
    <row r="7595" spans="9:19" x14ac:dyDescent="0.25">
      <c r="I7595" s="1"/>
      <c r="J7595" s="71"/>
      <c r="M7595" s="46"/>
      <c r="R7595" s="51"/>
      <c r="S7595" s="51"/>
    </row>
    <row r="7596" spans="9:19" x14ac:dyDescent="0.25">
      <c r="I7596" s="1"/>
      <c r="J7596" s="71"/>
      <c r="M7596" s="46"/>
      <c r="R7596" s="51"/>
      <c r="S7596" s="51"/>
    </row>
    <row r="7597" spans="9:19" x14ac:dyDescent="0.25">
      <c r="I7597" s="1"/>
      <c r="J7597" s="71"/>
      <c r="M7597" s="46"/>
      <c r="R7597" s="51"/>
      <c r="S7597" s="51"/>
    </row>
    <row r="7598" spans="9:19" x14ac:dyDescent="0.25">
      <c r="I7598" s="1"/>
      <c r="J7598" s="71"/>
      <c r="M7598" s="46"/>
      <c r="R7598" s="51"/>
      <c r="S7598" s="51"/>
    </row>
    <row r="7599" spans="9:19" x14ac:dyDescent="0.25">
      <c r="I7599" s="1"/>
      <c r="J7599" s="71"/>
      <c r="M7599" s="46"/>
      <c r="R7599" s="51"/>
      <c r="S7599" s="51"/>
    </row>
    <row r="7600" spans="9:19" x14ac:dyDescent="0.25">
      <c r="I7600" s="1"/>
      <c r="J7600" s="71"/>
      <c r="M7600" s="46"/>
      <c r="R7600" s="51"/>
      <c r="S7600" s="51"/>
    </row>
    <row r="7601" spans="9:19" x14ac:dyDescent="0.25">
      <c r="I7601" s="1"/>
      <c r="J7601" s="71"/>
      <c r="M7601" s="46"/>
      <c r="R7601" s="51"/>
      <c r="S7601" s="51"/>
    </row>
    <row r="7602" spans="9:19" x14ac:dyDescent="0.25">
      <c r="I7602" s="1"/>
      <c r="J7602" s="71"/>
      <c r="M7602" s="46"/>
      <c r="R7602" s="51"/>
      <c r="S7602" s="51"/>
    </row>
    <row r="7603" spans="9:19" x14ac:dyDescent="0.25">
      <c r="I7603" s="1"/>
      <c r="J7603" s="71"/>
      <c r="M7603" s="46"/>
      <c r="R7603" s="51"/>
      <c r="S7603" s="51"/>
    </row>
    <row r="7604" spans="9:19" x14ac:dyDescent="0.25">
      <c r="I7604" s="1"/>
      <c r="J7604" s="71"/>
      <c r="M7604" s="46"/>
      <c r="R7604" s="51"/>
      <c r="S7604" s="51"/>
    </row>
    <row r="7605" spans="9:19" x14ac:dyDescent="0.25">
      <c r="I7605" s="1"/>
      <c r="J7605" s="71"/>
      <c r="M7605" s="46"/>
      <c r="R7605" s="51"/>
      <c r="S7605" s="51"/>
    </row>
    <row r="7606" spans="9:19" x14ac:dyDescent="0.25">
      <c r="I7606" s="1"/>
      <c r="J7606" s="71"/>
      <c r="M7606" s="46"/>
      <c r="R7606" s="51"/>
      <c r="S7606" s="51"/>
    </row>
    <row r="7607" spans="9:19" x14ac:dyDescent="0.25">
      <c r="I7607" s="1"/>
      <c r="J7607" s="71"/>
      <c r="M7607" s="46"/>
      <c r="R7607" s="51"/>
      <c r="S7607" s="51"/>
    </row>
    <row r="7608" spans="9:19" x14ac:dyDescent="0.25">
      <c r="I7608" s="1"/>
      <c r="J7608" s="71"/>
      <c r="M7608" s="46"/>
      <c r="R7608" s="51"/>
      <c r="S7608" s="51"/>
    </row>
    <row r="7609" spans="9:19" x14ac:dyDescent="0.25">
      <c r="I7609" s="1"/>
      <c r="J7609" s="71"/>
      <c r="M7609" s="46"/>
      <c r="R7609" s="51"/>
      <c r="S7609" s="51"/>
    </row>
    <row r="7610" spans="9:19" x14ac:dyDescent="0.25">
      <c r="I7610" s="1"/>
      <c r="J7610" s="71"/>
      <c r="M7610" s="46"/>
      <c r="R7610" s="51"/>
      <c r="S7610" s="51"/>
    </row>
    <row r="7611" spans="9:19" x14ac:dyDescent="0.25">
      <c r="I7611" s="1"/>
      <c r="J7611" s="71"/>
      <c r="M7611" s="46"/>
      <c r="R7611" s="51"/>
      <c r="S7611" s="51"/>
    </row>
    <row r="7612" spans="9:19" x14ac:dyDescent="0.25">
      <c r="I7612" s="1"/>
      <c r="J7612" s="71"/>
      <c r="M7612" s="46"/>
      <c r="R7612" s="51"/>
      <c r="S7612" s="51"/>
    </row>
    <row r="7613" spans="9:19" x14ac:dyDescent="0.25">
      <c r="I7613" s="1"/>
      <c r="J7613" s="71"/>
      <c r="M7613" s="46"/>
      <c r="R7613" s="51"/>
      <c r="S7613" s="51"/>
    </row>
    <row r="7614" spans="9:19" x14ac:dyDescent="0.25">
      <c r="I7614" s="1"/>
      <c r="J7614" s="71"/>
      <c r="M7614" s="46"/>
      <c r="R7614" s="51"/>
      <c r="S7614" s="51"/>
    </row>
    <row r="7615" spans="9:19" x14ac:dyDescent="0.25">
      <c r="I7615" s="1"/>
      <c r="J7615" s="71"/>
      <c r="M7615" s="46"/>
      <c r="R7615" s="51"/>
      <c r="S7615" s="51"/>
    </row>
    <row r="7616" spans="9:19" x14ac:dyDescent="0.25">
      <c r="I7616" s="1"/>
      <c r="J7616" s="71"/>
      <c r="M7616" s="46"/>
      <c r="R7616" s="51"/>
      <c r="S7616" s="51"/>
    </row>
    <row r="7617" spans="9:19" x14ac:dyDescent="0.25">
      <c r="I7617" s="1"/>
      <c r="J7617" s="71"/>
      <c r="M7617" s="46"/>
      <c r="R7617" s="51"/>
      <c r="S7617" s="51"/>
    </row>
    <row r="7618" spans="9:19" x14ac:dyDescent="0.25">
      <c r="I7618" s="1"/>
      <c r="J7618" s="71"/>
      <c r="M7618" s="46"/>
      <c r="R7618" s="51"/>
      <c r="S7618" s="51"/>
    </row>
    <row r="7619" spans="9:19" x14ac:dyDescent="0.25">
      <c r="I7619" s="1"/>
      <c r="J7619" s="71"/>
      <c r="M7619" s="46"/>
      <c r="R7619" s="51"/>
      <c r="S7619" s="51"/>
    </row>
    <row r="7620" spans="9:19" x14ac:dyDescent="0.25">
      <c r="I7620" s="1"/>
      <c r="J7620" s="71"/>
      <c r="M7620" s="46"/>
      <c r="R7620" s="51"/>
      <c r="S7620" s="51"/>
    </row>
    <row r="7621" spans="9:19" x14ac:dyDescent="0.25">
      <c r="I7621" s="1"/>
      <c r="J7621" s="71"/>
      <c r="M7621" s="46"/>
      <c r="R7621" s="51"/>
      <c r="S7621" s="51"/>
    </row>
    <row r="7622" spans="9:19" x14ac:dyDescent="0.25">
      <c r="I7622" s="1"/>
      <c r="J7622" s="71"/>
      <c r="M7622" s="46"/>
      <c r="R7622" s="51"/>
      <c r="S7622" s="51"/>
    </row>
    <row r="7623" spans="9:19" x14ac:dyDescent="0.25">
      <c r="I7623" s="1"/>
      <c r="J7623" s="71"/>
      <c r="M7623" s="46"/>
      <c r="R7623" s="51"/>
      <c r="S7623" s="51"/>
    </row>
    <row r="7624" spans="9:19" x14ac:dyDescent="0.25">
      <c r="I7624" s="1"/>
      <c r="J7624" s="71"/>
      <c r="M7624" s="46"/>
      <c r="R7624" s="51"/>
      <c r="S7624" s="51"/>
    </row>
    <row r="7625" spans="9:19" x14ac:dyDescent="0.25">
      <c r="I7625" s="1"/>
      <c r="J7625" s="71"/>
      <c r="M7625" s="46"/>
      <c r="R7625" s="51"/>
      <c r="S7625" s="51"/>
    </row>
    <row r="7626" spans="9:19" x14ac:dyDescent="0.25">
      <c r="I7626" s="1"/>
      <c r="J7626" s="71"/>
      <c r="M7626" s="46"/>
      <c r="R7626" s="51"/>
      <c r="S7626" s="51"/>
    </row>
    <row r="7627" spans="9:19" x14ac:dyDescent="0.25">
      <c r="I7627" s="1"/>
      <c r="J7627" s="71"/>
      <c r="M7627" s="46"/>
      <c r="R7627" s="51"/>
      <c r="S7627" s="51"/>
    </row>
    <row r="7628" spans="9:19" x14ac:dyDescent="0.25">
      <c r="I7628" s="1"/>
      <c r="J7628" s="71"/>
      <c r="M7628" s="46"/>
      <c r="R7628" s="51"/>
      <c r="S7628" s="51"/>
    </row>
    <row r="7629" spans="9:19" x14ac:dyDescent="0.25">
      <c r="I7629" s="1"/>
      <c r="J7629" s="71"/>
      <c r="M7629" s="46"/>
      <c r="R7629" s="51"/>
      <c r="S7629" s="51"/>
    </row>
    <row r="7630" spans="9:19" x14ac:dyDescent="0.25">
      <c r="I7630" s="1"/>
      <c r="J7630" s="71"/>
      <c r="M7630" s="46"/>
      <c r="R7630" s="51"/>
      <c r="S7630" s="51"/>
    </row>
    <row r="7631" spans="9:19" x14ac:dyDescent="0.25">
      <c r="I7631" s="1"/>
      <c r="J7631" s="71"/>
      <c r="M7631" s="46"/>
      <c r="R7631" s="51"/>
      <c r="S7631" s="51"/>
    </row>
    <row r="7632" spans="9:19" x14ac:dyDescent="0.25">
      <c r="I7632" s="1"/>
      <c r="J7632" s="71"/>
      <c r="M7632" s="46"/>
      <c r="R7632" s="51"/>
      <c r="S7632" s="51"/>
    </row>
    <row r="7633" spans="9:19" x14ac:dyDescent="0.25">
      <c r="I7633" s="1"/>
      <c r="J7633" s="71"/>
      <c r="M7633" s="46"/>
      <c r="R7633" s="51"/>
      <c r="S7633" s="51"/>
    </row>
    <row r="7634" spans="9:19" x14ac:dyDescent="0.25">
      <c r="I7634" s="1"/>
      <c r="J7634" s="71"/>
      <c r="M7634" s="46"/>
      <c r="R7634" s="51"/>
      <c r="S7634" s="51"/>
    </row>
    <row r="7635" spans="9:19" x14ac:dyDescent="0.25">
      <c r="I7635" s="1"/>
      <c r="J7635" s="71"/>
      <c r="M7635" s="46"/>
      <c r="R7635" s="51"/>
      <c r="S7635" s="51"/>
    </row>
    <row r="7636" spans="9:19" x14ac:dyDescent="0.25">
      <c r="I7636" s="1"/>
      <c r="J7636" s="71"/>
      <c r="M7636" s="46"/>
      <c r="R7636" s="51"/>
      <c r="S7636" s="51"/>
    </row>
    <row r="7637" spans="9:19" x14ac:dyDescent="0.25">
      <c r="I7637" s="1"/>
      <c r="J7637" s="71"/>
      <c r="M7637" s="46"/>
      <c r="R7637" s="51"/>
      <c r="S7637" s="51"/>
    </row>
    <row r="7638" spans="9:19" x14ac:dyDescent="0.25">
      <c r="I7638" s="1"/>
      <c r="J7638" s="71"/>
      <c r="M7638" s="46"/>
      <c r="R7638" s="51"/>
      <c r="S7638" s="51"/>
    </row>
    <row r="7639" spans="9:19" x14ac:dyDescent="0.25">
      <c r="I7639" s="1"/>
      <c r="J7639" s="71"/>
      <c r="M7639" s="46"/>
      <c r="R7639" s="51"/>
      <c r="S7639" s="51"/>
    </row>
    <row r="7640" spans="9:19" x14ac:dyDescent="0.25">
      <c r="I7640" s="1"/>
      <c r="J7640" s="71"/>
      <c r="M7640" s="46"/>
      <c r="R7640" s="51"/>
      <c r="S7640" s="51"/>
    </row>
    <row r="7641" spans="9:19" x14ac:dyDescent="0.25">
      <c r="I7641" s="1"/>
      <c r="J7641" s="71"/>
      <c r="M7641" s="46"/>
      <c r="R7641" s="51"/>
      <c r="S7641" s="51"/>
    </row>
    <row r="7642" spans="9:19" x14ac:dyDescent="0.25">
      <c r="I7642" s="1"/>
      <c r="J7642" s="71"/>
      <c r="M7642" s="46"/>
      <c r="R7642" s="51"/>
      <c r="S7642" s="51"/>
    </row>
    <row r="7643" spans="9:19" x14ac:dyDescent="0.25">
      <c r="I7643" s="1"/>
      <c r="J7643" s="71"/>
      <c r="M7643" s="46"/>
      <c r="R7643" s="51"/>
      <c r="S7643" s="51"/>
    </row>
    <row r="7644" spans="9:19" x14ac:dyDescent="0.25">
      <c r="I7644" s="1"/>
      <c r="J7644" s="71"/>
      <c r="M7644" s="46"/>
      <c r="R7644" s="51"/>
      <c r="S7644" s="51"/>
    </row>
    <row r="7645" spans="9:19" x14ac:dyDescent="0.25">
      <c r="I7645" s="1"/>
      <c r="J7645" s="71"/>
      <c r="M7645" s="46"/>
      <c r="R7645" s="51"/>
      <c r="S7645" s="51"/>
    </row>
    <row r="7646" spans="9:19" x14ac:dyDescent="0.25">
      <c r="I7646" s="1"/>
      <c r="J7646" s="71"/>
      <c r="M7646" s="46"/>
      <c r="R7646" s="51"/>
      <c r="S7646" s="51"/>
    </row>
    <row r="7647" spans="9:19" x14ac:dyDescent="0.25">
      <c r="I7647" s="1"/>
      <c r="J7647" s="71"/>
      <c r="M7647" s="46"/>
      <c r="R7647" s="51"/>
      <c r="S7647" s="51"/>
    </row>
    <row r="7648" spans="9:19" x14ac:dyDescent="0.25">
      <c r="I7648" s="1"/>
      <c r="J7648" s="71"/>
      <c r="M7648" s="46"/>
      <c r="R7648" s="51"/>
      <c r="S7648" s="51"/>
    </row>
    <row r="7649" spans="9:19" x14ac:dyDescent="0.25">
      <c r="I7649" s="1"/>
      <c r="J7649" s="71"/>
      <c r="M7649" s="46"/>
      <c r="R7649" s="51"/>
      <c r="S7649" s="51"/>
    </row>
    <row r="7650" spans="9:19" x14ac:dyDescent="0.25">
      <c r="I7650" s="1"/>
      <c r="J7650" s="71"/>
      <c r="M7650" s="46"/>
      <c r="R7650" s="51"/>
      <c r="S7650" s="51"/>
    </row>
    <row r="7651" spans="9:19" x14ac:dyDescent="0.25">
      <c r="I7651" s="1"/>
      <c r="J7651" s="71"/>
      <c r="M7651" s="46"/>
      <c r="R7651" s="51"/>
      <c r="S7651" s="51"/>
    </row>
    <row r="7652" spans="9:19" x14ac:dyDescent="0.25">
      <c r="I7652" s="1"/>
      <c r="J7652" s="71"/>
      <c r="M7652" s="46"/>
      <c r="R7652" s="51"/>
      <c r="S7652" s="51"/>
    </row>
    <row r="7653" spans="9:19" x14ac:dyDescent="0.25">
      <c r="I7653" s="1"/>
      <c r="J7653" s="71"/>
      <c r="M7653" s="46"/>
      <c r="R7653" s="51"/>
      <c r="S7653" s="51"/>
    </row>
    <row r="7654" spans="9:19" x14ac:dyDescent="0.25">
      <c r="I7654" s="1"/>
      <c r="J7654" s="71"/>
      <c r="M7654" s="46"/>
      <c r="R7654" s="51"/>
      <c r="S7654" s="51"/>
    </row>
    <row r="7655" spans="9:19" x14ac:dyDescent="0.25">
      <c r="I7655" s="1"/>
      <c r="J7655" s="71"/>
      <c r="M7655" s="46"/>
      <c r="R7655" s="51"/>
      <c r="S7655" s="51"/>
    </row>
    <row r="7656" spans="9:19" x14ac:dyDescent="0.25">
      <c r="I7656" s="1"/>
      <c r="J7656" s="71"/>
      <c r="M7656" s="46"/>
      <c r="R7656" s="51"/>
      <c r="S7656" s="51"/>
    </row>
    <row r="7657" spans="9:19" x14ac:dyDescent="0.25">
      <c r="I7657" s="1"/>
      <c r="J7657" s="71"/>
      <c r="M7657" s="46"/>
      <c r="R7657" s="51"/>
      <c r="S7657" s="51"/>
    </row>
    <row r="7658" spans="9:19" x14ac:dyDescent="0.25">
      <c r="I7658" s="1"/>
      <c r="J7658" s="71"/>
      <c r="M7658" s="46"/>
      <c r="R7658" s="51"/>
      <c r="S7658" s="51"/>
    </row>
    <row r="7659" spans="9:19" x14ac:dyDescent="0.25">
      <c r="I7659" s="1"/>
      <c r="J7659" s="71"/>
      <c r="M7659" s="46"/>
      <c r="R7659" s="51"/>
      <c r="S7659" s="51"/>
    </row>
    <row r="7660" spans="9:19" x14ac:dyDescent="0.25">
      <c r="I7660" s="1"/>
      <c r="J7660" s="71"/>
      <c r="M7660" s="46"/>
      <c r="R7660" s="51"/>
      <c r="S7660" s="51"/>
    </row>
    <row r="7661" spans="9:19" x14ac:dyDescent="0.25">
      <c r="I7661" s="1"/>
      <c r="J7661" s="71"/>
      <c r="M7661" s="46"/>
      <c r="R7661" s="51"/>
      <c r="S7661" s="51"/>
    </row>
    <row r="7662" spans="9:19" x14ac:dyDescent="0.25">
      <c r="I7662" s="1"/>
      <c r="J7662" s="71"/>
      <c r="M7662" s="46"/>
      <c r="R7662" s="51"/>
      <c r="S7662" s="51"/>
    </row>
    <row r="7663" spans="9:19" x14ac:dyDescent="0.25">
      <c r="I7663" s="1"/>
      <c r="J7663" s="71"/>
      <c r="M7663" s="46"/>
      <c r="R7663" s="51"/>
      <c r="S7663" s="51"/>
    </row>
    <row r="7664" spans="9:19" x14ac:dyDescent="0.25">
      <c r="I7664" s="1"/>
      <c r="J7664" s="71"/>
      <c r="M7664" s="46"/>
      <c r="R7664" s="51"/>
      <c r="S7664" s="51"/>
    </row>
    <row r="7665" spans="9:19" x14ac:dyDescent="0.25">
      <c r="I7665" s="1"/>
      <c r="J7665" s="71"/>
      <c r="M7665" s="46"/>
      <c r="R7665" s="51"/>
      <c r="S7665" s="51"/>
    </row>
    <row r="7666" spans="9:19" x14ac:dyDescent="0.25">
      <c r="I7666" s="1"/>
      <c r="J7666" s="71"/>
      <c r="M7666" s="46"/>
      <c r="R7666" s="51"/>
      <c r="S7666" s="51"/>
    </row>
    <row r="7667" spans="9:19" x14ac:dyDescent="0.25">
      <c r="I7667" s="1"/>
      <c r="J7667" s="71"/>
      <c r="M7667" s="46"/>
      <c r="R7667" s="51"/>
      <c r="S7667" s="51"/>
    </row>
    <row r="7668" spans="9:19" x14ac:dyDescent="0.25">
      <c r="I7668" s="1"/>
      <c r="J7668" s="71"/>
      <c r="M7668" s="46"/>
      <c r="R7668" s="51"/>
      <c r="S7668" s="51"/>
    </row>
    <row r="7669" spans="9:19" x14ac:dyDescent="0.25">
      <c r="I7669" s="1"/>
      <c r="J7669" s="71"/>
      <c r="M7669" s="46"/>
      <c r="R7669" s="51"/>
      <c r="S7669" s="51"/>
    </row>
    <row r="7670" spans="9:19" x14ac:dyDescent="0.25">
      <c r="I7670" s="1"/>
      <c r="J7670" s="71"/>
      <c r="M7670" s="46"/>
      <c r="R7670" s="51"/>
      <c r="S7670" s="51"/>
    </row>
    <row r="7671" spans="9:19" x14ac:dyDescent="0.25">
      <c r="I7671" s="1"/>
      <c r="J7671" s="71"/>
      <c r="M7671" s="46"/>
      <c r="R7671" s="51"/>
      <c r="S7671" s="51"/>
    </row>
    <row r="7672" spans="9:19" x14ac:dyDescent="0.25">
      <c r="I7672" s="1"/>
      <c r="J7672" s="71"/>
      <c r="M7672" s="46"/>
      <c r="R7672" s="51"/>
      <c r="S7672" s="51"/>
    </row>
    <row r="7673" spans="9:19" x14ac:dyDescent="0.25">
      <c r="I7673" s="1"/>
      <c r="J7673" s="71"/>
      <c r="M7673" s="46"/>
      <c r="R7673" s="51"/>
      <c r="S7673" s="51"/>
    </row>
    <row r="7674" spans="9:19" x14ac:dyDescent="0.25">
      <c r="I7674" s="1"/>
      <c r="J7674" s="71"/>
      <c r="M7674" s="46"/>
      <c r="R7674" s="51"/>
      <c r="S7674" s="51"/>
    </row>
    <row r="7675" spans="9:19" x14ac:dyDescent="0.25">
      <c r="I7675" s="1"/>
      <c r="J7675" s="71"/>
      <c r="M7675" s="46"/>
      <c r="R7675" s="51"/>
      <c r="S7675" s="51"/>
    </row>
    <row r="7676" spans="9:19" x14ac:dyDescent="0.25">
      <c r="I7676" s="1"/>
      <c r="J7676" s="71"/>
      <c r="M7676" s="46"/>
      <c r="R7676" s="51"/>
      <c r="S7676" s="51"/>
    </row>
    <row r="7677" spans="9:19" x14ac:dyDescent="0.25">
      <c r="I7677" s="1"/>
      <c r="J7677" s="71"/>
      <c r="M7677" s="46"/>
      <c r="R7677" s="51"/>
      <c r="S7677" s="51"/>
    </row>
    <row r="7678" spans="9:19" x14ac:dyDescent="0.25">
      <c r="I7678" s="1"/>
      <c r="J7678" s="71"/>
      <c r="M7678" s="46"/>
      <c r="R7678" s="51"/>
      <c r="S7678" s="51"/>
    </row>
    <row r="7679" spans="9:19" x14ac:dyDescent="0.25">
      <c r="I7679" s="1"/>
      <c r="J7679" s="71"/>
      <c r="M7679" s="46"/>
      <c r="R7679" s="51"/>
      <c r="S7679" s="51"/>
    </row>
    <row r="7680" spans="9:19" x14ac:dyDescent="0.25">
      <c r="I7680" s="1"/>
      <c r="J7680" s="71"/>
      <c r="M7680" s="46"/>
      <c r="R7680" s="51"/>
      <c r="S7680" s="51"/>
    </row>
    <row r="7681" spans="9:19" x14ac:dyDescent="0.25">
      <c r="I7681" s="1"/>
      <c r="J7681" s="71"/>
      <c r="M7681" s="46"/>
      <c r="R7681" s="51"/>
      <c r="S7681" s="51"/>
    </row>
    <row r="7682" spans="9:19" x14ac:dyDescent="0.25">
      <c r="I7682" s="1"/>
      <c r="J7682" s="71"/>
      <c r="M7682" s="46"/>
      <c r="R7682" s="51"/>
      <c r="S7682" s="51"/>
    </row>
    <row r="7683" spans="9:19" x14ac:dyDescent="0.25">
      <c r="I7683" s="1"/>
      <c r="J7683" s="71"/>
      <c r="M7683" s="46"/>
      <c r="R7683" s="51"/>
      <c r="S7683" s="51"/>
    </row>
    <row r="7684" spans="9:19" x14ac:dyDescent="0.25">
      <c r="I7684" s="1"/>
      <c r="J7684" s="71"/>
      <c r="M7684" s="46"/>
      <c r="R7684" s="51"/>
      <c r="S7684" s="51"/>
    </row>
    <row r="7685" spans="9:19" x14ac:dyDescent="0.25">
      <c r="I7685" s="1"/>
      <c r="J7685" s="71"/>
      <c r="M7685" s="46"/>
      <c r="R7685" s="51"/>
      <c r="S7685" s="51"/>
    </row>
    <row r="7686" spans="9:19" x14ac:dyDescent="0.25">
      <c r="I7686" s="1"/>
      <c r="J7686" s="71"/>
      <c r="M7686" s="46"/>
      <c r="R7686" s="51"/>
      <c r="S7686" s="51"/>
    </row>
    <row r="7687" spans="9:19" x14ac:dyDescent="0.25">
      <c r="I7687" s="1"/>
      <c r="J7687" s="71"/>
      <c r="M7687" s="46"/>
      <c r="R7687" s="51"/>
      <c r="S7687" s="51"/>
    </row>
    <row r="7688" spans="9:19" x14ac:dyDescent="0.25">
      <c r="I7688" s="1"/>
      <c r="J7688" s="71"/>
      <c r="M7688" s="46"/>
      <c r="R7688" s="51"/>
      <c r="S7688" s="51"/>
    </row>
    <row r="7689" spans="9:19" x14ac:dyDescent="0.25">
      <c r="I7689" s="1"/>
      <c r="J7689" s="71"/>
      <c r="M7689" s="46"/>
      <c r="R7689" s="51"/>
      <c r="S7689" s="51"/>
    </row>
    <row r="7690" spans="9:19" x14ac:dyDescent="0.25">
      <c r="I7690" s="1"/>
      <c r="J7690" s="71"/>
      <c r="M7690" s="46"/>
      <c r="R7690" s="51"/>
      <c r="S7690" s="51"/>
    </row>
    <row r="7691" spans="9:19" x14ac:dyDescent="0.25">
      <c r="I7691" s="1"/>
      <c r="J7691" s="71"/>
      <c r="M7691" s="46"/>
      <c r="R7691" s="51"/>
      <c r="S7691" s="51"/>
    </row>
    <row r="7692" spans="9:19" x14ac:dyDescent="0.25">
      <c r="I7692" s="1"/>
      <c r="J7692" s="71"/>
      <c r="M7692" s="46"/>
      <c r="R7692" s="51"/>
      <c r="S7692" s="51"/>
    </row>
    <row r="7693" spans="9:19" x14ac:dyDescent="0.25">
      <c r="I7693" s="1"/>
      <c r="J7693" s="71"/>
      <c r="M7693" s="46"/>
      <c r="R7693" s="51"/>
      <c r="S7693" s="51"/>
    </row>
    <row r="7694" spans="9:19" x14ac:dyDescent="0.25">
      <c r="I7694" s="1"/>
      <c r="J7694" s="71"/>
      <c r="M7694" s="46"/>
      <c r="R7694" s="51"/>
      <c r="S7694" s="51"/>
    </row>
    <row r="7695" spans="9:19" x14ac:dyDescent="0.25">
      <c r="I7695" s="1"/>
      <c r="J7695" s="71"/>
      <c r="M7695" s="46"/>
      <c r="R7695" s="51"/>
      <c r="S7695" s="51"/>
    </row>
    <row r="7696" spans="9:19" x14ac:dyDescent="0.25">
      <c r="I7696" s="1"/>
      <c r="J7696" s="71"/>
      <c r="M7696" s="46"/>
      <c r="R7696" s="51"/>
      <c r="S7696" s="51"/>
    </row>
    <row r="7697" spans="9:19" x14ac:dyDescent="0.25">
      <c r="I7697" s="1"/>
      <c r="J7697" s="71"/>
      <c r="M7697" s="46"/>
      <c r="R7697" s="51"/>
      <c r="S7697" s="51"/>
    </row>
    <row r="7698" spans="9:19" x14ac:dyDescent="0.25">
      <c r="I7698" s="1"/>
      <c r="J7698" s="71"/>
      <c r="M7698" s="46"/>
      <c r="R7698" s="51"/>
      <c r="S7698" s="51"/>
    </row>
    <row r="7699" spans="9:19" x14ac:dyDescent="0.25">
      <c r="I7699" s="1"/>
      <c r="J7699" s="71"/>
      <c r="M7699" s="46"/>
      <c r="R7699" s="51"/>
      <c r="S7699" s="51"/>
    </row>
    <row r="7700" spans="9:19" x14ac:dyDescent="0.25">
      <c r="I7700" s="1"/>
      <c r="J7700" s="71"/>
      <c r="M7700" s="46"/>
      <c r="R7700" s="51"/>
      <c r="S7700" s="51"/>
    </row>
    <row r="7701" spans="9:19" x14ac:dyDescent="0.25">
      <c r="I7701" s="1"/>
      <c r="J7701" s="71"/>
      <c r="M7701" s="46"/>
      <c r="R7701" s="51"/>
      <c r="S7701" s="51"/>
    </row>
    <row r="7702" spans="9:19" x14ac:dyDescent="0.25">
      <c r="I7702" s="1"/>
      <c r="J7702" s="71"/>
      <c r="M7702" s="46"/>
      <c r="R7702" s="51"/>
      <c r="S7702" s="51"/>
    </row>
    <row r="7703" spans="9:19" x14ac:dyDescent="0.25">
      <c r="I7703" s="1"/>
      <c r="J7703" s="71"/>
      <c r="M7703" s="46"/>
      <c r="R7703" s="51"/>
      <c r="S7703" s="51"/>
    </row>
    <row r="7704" spans="9:19" x14ac:dyDescent="0.25">
      <c r="I7704" s="1"/>
      <c r="J7704" s="71"/>
      <c r="M7704" s="46"/>
      <c r="R7704" s="51"/>
      <c r="S7704" s="51"/>
    </row>
    <row r="7705" spans="9:19" x14ac:dyDescent="0.25">
      <c r="I7705" s="1"/>
      <c r="J7705" s="71"/>
      <c r="M7705" s="46"/>
      <c r="R7705" s="51"/>
      <c r="S7705" s="51"/>
    </row>
    <row r="7706" spans="9:19" x14ac:dyDescent="0.25">
      <c r="I7706" s="1"/>
      <c r="J7706" s="71"/>
      <c r="M7706" s="46"/>
      <c r="R7706" s="51"/>
      <c r="S7706" s="51"/>
    </row>
    <row r="7707" spans="9:19" x14ac:dyDescent="0.25">
      <c r="I7707" s="1"/>
      <c r="J7707" s="71"/>
      <c r="M7707" s="46"/>
      <c r="R7707" s="51"/>
      <c r="S7707" s="51"/>
    </row>
    <row r="7708" spans="9:19" x14ac:dyDescent="0.25">
      <c r="I7708" s="1"/>
      <c r="J7708" s="71"/>
      <c r="M7708" s="46"/>
      <c r="R7708" s="51"/>
      <c r="S7708" s="51"/>
    </row>
    <row r="7709" spans="9:19" x14ac:dyDescent="0.25">
      <c r="I7709" s="1"/>
      <c r="J7709" s="71"/>
      <c r="M7709" s="46"/>
      <c r="R7709" s="51"/>
      <c r="S7709" s="51"/>
    </row>
    <row r="7710" spans="9:19" x14ac:dyDescent="0.25">
      <c r="I7710" s="1"/>
      <c r="J7710" s="71"/>
      <c r="M7710" s="46"/>
      <c r="R7710" s="51"/>
      <c r="S7710" s="51"/>
    </row>
    <row r="7711" spans="9:19" x14ac:dyDescent="0.25">
      <c r="I7711" s="1"/>
      <c r="J7711" s="71"/>
      <c r="M7711" s="46"/>
      <c r="R7711" s="51"/>
      <c r="S7711" s="51"/>
    </row>
    <row r="7712" spans="9:19" x14ac:dyDescent="0.25">
      <c r="I7712" s="1"/>
      <c r="J7712" s="71"/>
      <c r="M7712" s="46"/>
      <c r="R7712" s="51"/>
      <c r="S7712" s="51"/>
    </row>
    <row r="7713" spans="9:19" x14ac:dyDescent="0.25">
      <c r="I7713" s="1"/>
      <c r="J7713" s="71"/>
      <c r="M7713" s="46"/>
      <c r="R7713" s="51"/>
      <c r="S7713" s="51"/>
    </row>
    <row r="7714" spans="9:19" x14ac:dyDescent="0.25">
      <c r="I7714" s="1"/>
      <c r="J7714" s="71"/>
      <c r="M7714" s="46"/>
      <c r="R7714" s="51"/>
      <c r="S7714" s="51"/>
    </row>
    <row r="7715" spans="9:19" x14ac:dyDescent="0.25">
      <c r="I7715" s="1"/>
      <c r="J7715" s="71"/>
      <c r="M7715" s="46"/>
      <c r="R7715" s="51"/>
      <c r="S7715" s="51"/>
    </row>
    <row r="7716" spans="9:19" x14ac:dyDescent="0.25">
      <c r="I7716" s="1"/>
      <c r="J7716" s="71"/>
      <c r="M7716" s="46"/>
      <c r="R7716" s="51"/>
      <c r="S7716" s="51"/>
    </row>
    <row r="7717" spans="9:19" x14ac:dyDescent="0.25">
      <c r="I7717" s="1"/>
      <c r="J7717" s="71"/>
      <c r="M7717" s="46"/>
      <c r="R7717" s="51"/>
      <c r="S7717" s="51"/>
    </row>
    <row r="7718" spans="9:19" x14ac:dyDescent="0.25">
      <c r="I7718" s="1"/>
      <c r="J7718" s="71"/>
      <c r="M7718" s="46"/>
      <c r="R7718" s="51"/>
      <c r="S7718" s="51"/>
    </row>
    <row r="7719" spans="9:19" x14ac:dyDescent="0.25">
      <c r="I7719" s="1"/>
      <c r="J7719" s="71"/>
      <c r="M7719" s="46"/>
      <c r="R7719" s="51"/>
      <c r="S7719" s="51"/>
    </row>
    <row r="7720" spans="9:19" x14ac:dyDescent="0.25">
      <c r="I7720" s="1"/>
      <c r="J7720" s="71"/>
      <c r="M7720" s="46"/>
      <c r="R7720" s="51"/>
      <c r="S7720" s="51"/>
    </row>
    <row r="7721" spans="9:19" x14ac:dyDescent="0.25">
      <c r="I7721" s="1"/>
      <c r="J7721" s="71"/>
      <c r="M7721" s="46"/>
      <c r="R7721" s="51"/>
      <c r="S7721" s="51"/>
    </row>
    <row r="7722" spans="9:19" x14ac:dyDescent="0.25">
      <c r="I7722" s="1"/>
      <c r="J7722" s="71"/>
      <c r="M7722" s="46"/>
      <c r="R7722" s="51"/>
      <c r="S7722" s="51"/>
    </row>
    <row r="7723" spans="9:19" x14ac:dyDescent="0.25">
      <c r="I7723" s="1"/>
      <c r="J7723" s="71"/>
      <c r="M7723" s="46"/>
      <c r="R7723" s="51"/>
      <c r="S7723" s="51"/>
    </row>
    <row r="7724" spans="9:19" x14ac:dyDescent="0.25">
      <c r="I7724" s="1"/>
      <c r="J7724" s="71"/>
      <c r="M7724" s="46"/>
      <c r="R7724" s="51"/>
      <c r="S7724" s="51"/>
    </row>
    <row r="7725" spans="9:19" x14ac:dyDescent="0.25">
      <c r="I7725" s="1"/>
      <c r="J7725" s="71"/>
      <c r="M7725" s="46"/>
      <c r="R7725" s="51"/>
      <c r="S7725" s="51"/>
    </row>
    <row r="7726" spans="9:19" x14ac:dyDescent="0.25">
      <c r="I7726" s="1"/>
      <c r="J7726" s="71"/>
      <c r="M7726" s="46"/>
      <c r="R7726" s="51"/>
      <c r="S7726" s="51"/>
    </row>
    <row r="7727" spans="9:19" x14ac:dyDescent="0.25">
      <c r="I7727" s="1"/>
      <c r="J7727" s="71"/>
      <c r="M7727" s="46"/>
      <c r="R7727" s="51"/>
      <c r="S7727" s="51"/>
    </row>
    <row r="7728" spans="9:19" x14ac:dyDescent="0.25">
      <c r="I7728" s="1"/>
      <c r="J7728" s="71"/>
      <c r="M7728" s="46"/>
      <c r="R7728" s="51"/>
      <c r="S7728" s="51"/>
    </row>
    <row r="7729" spans="9:19" x14ac:dyDescent="0.25">
      <c r="I7729" s="1"/>
      <c r="J7729" s="71"/>
      <c r="M7729" s="46"/>
      <c r="R7729" s="51"/>
      <c r="S7729" s="51"/>
    </row>
    <row r="7730" spans="9:19" x14ac:dyDescent="0.25">
      <c r="I7730" s="1"/>
      <c r="J7730" s="71"/>
      <c r="M7730" s="46"/>
      <c r="R7730" s="51"/>
      <c r="S7730" s="51"/>
    </row>
    <row r="7731" spans="9:19" x14ac:dyDescent="0.25">
      <c r="I7731" s="1"/>
      <c r="J7731" s="71"/>
      <c r="M7731" s="46"/>
      <c r="R7731" s="51"/>
      <c r="S7731" s="51"/>
    </row>
    <row r="7732" spans="9:19" x14ac:dyDescent="0.25">
      <c r="I7732" s="1"/>
      <c r="J7732" s="71"/>
      <c r="M7732" s="46"/>
      <c r="R7732" s="51"/>
      <c r="S7732" s="51"/>
    </row>
    <row r="7733" spans="9:19" x14ac:dyDescent="0.25">
      <c r="I7733" s="1"/>
      <c r="J7733" s="71"/>
      <c r="M7733" s="46"/>
      <c r="R7733" s="51"/>
      <c r="S7733" s="51"/>
    </row>
    <row r="7734" spans="9:19" x14ac:dyDescent="0.25">
      <c r="I7734" s="1"/>
      <c r="J7734" s="71"/>
      <c r="M7734" s="46"/>
      <c r="R7734" s="51"/>
      <c r="S7734" s="51"/>
    </row>
    <row r="7735" spans="9:19" x14ac:dyDescent="0.25">
      <c r="I7735" s="1"/>
      <c r="J7735" s="71"/>
      <c r="M7735" s="46"/>
      <c r="R7735" s="51"/>
      <c r="S7735" s="51"/>
    </row>
    <row r="7736" spans="9:19" x14ac:dyDescent="0.25">
      <c r="I7736" s="1"/>
      <c r="J7736" s="71"/>
      <c r="M7736" s="46"/>
      <c r="R7736" s="51"/>
      <c r="S7736" s="51"/>
    </row>
    <row r="7737" spans="9:19" x14ac:dyDescent="0.25">
      <c r="I7737" s="1"/>
      <c r="J7737" s="71"/>
      <c r="M7737" s="46"/>
      <c r="R7737" s="51"/>
      <c r="S7737" s="51"/>
    </row>
    <row r="7738" spans="9:19" x14ac:dyDescent="0.25">
      <c r="I7738" s="1"/>
      <c r="J7738" s="71"/>
      <c r="M7738" s="46"/>
      <c r="R7738" s="51"/>
      <c r="S7738" s="51"/>
    </row>
    <row r="7739" spans="9:19" x14ac:dyDescent="0.25">
      <c r="I7739" s="1"/>
      <c r="J7739" s="71"/>
      <c r="M7739" s="46"/>
      <c r="R7739" s="51"/>
      <c r="S7739" s="51"/>
    </row>
    <row r="7740" spans="9:19" x14ac:dyDescent="0.25">
      <c r="I7740" s="1"/>
      <c r="J7740" s="71"/>
      <c r="M7740" s="46"/>
      <c r="R7740" s="51"/>
      <c r="S7740" s="51"/>
    </row>
    <row r="7741" spans="9:19" x14ac:dyDescent="0.25">
      <c r="I7741" s="1"/>
      <c r="J7741" s="71"/>
      <c r="M7741" s="46"/>
      <c r="R7741" s="51"/>
      <c r="S7741" s="51"/>
    </row>
    <row r="7742" spans="9:19" x14ac:dyDescent="0.25">
      <c r="I7742" s="1"/>
      <c r="J7742" s="71"/>
      <c r="M7742" s="46"/>
      <c r="R7742" s="51"/>
      <c r="S7742" s="51"/>
    </row>
    <row r="7743" spans="9:19" x14ac:dyDescent="0.25">
      <c r="I7743" s="1"/>
      <c r="J7743" s="71"/>
      <c r="M7743" s="46"/>
      <c r="R7743" s="51"/>
      <c r="S7743" s="51"/>
    </row>
    <row r="7744" spans="9:19" x14ac:dyDescent="0.25">
      <c r="I7744" s="1"/>
      <c r="J7744" s="71"/>
      <c r="M7744" s="46"/>
      <c r="R7744" s="51"/>
      <c r="S7744" s="51"/>
    </row>
    <row r="7745" spans="9:19" x14ac:dyDescent="0.25">
      <c r="I7745" s="1"/>
      <c r="J7745" s="71"/>
      <c r="M7745" s="46"/>
      <c r="R7745" s="51"/>
      <c r="S7745" s="51"/>
    </row>
    <row r="7746" spans="9:19" x14ac:dyDescent="0.25">
      <c r="I7746" s="1"/>
      <c r="J7746" s="71"/>
      <c r="M7746" s="46"/>
      <c r="R7746" s="51"/>
      <c r="S7746" s="51"/>
    </row>
    <row r="7747" spans="9:19" x14ac:dyDescent="0.25">
      <c r="I7747" s="1"/>
      <c r="J7747" s="71"/>
      <c r="M7747" s="46"/>
      <c r="R7747" s="51"/>
      <c r="S7747" s="51"/>
    </row>
    <row r="7748" spans="9:19" x14ac:dyDescent="0.25">
      <c r="I7748" s="1"/>
      <c r="J7748" s="71"/>
      <c r="M7748" s="46"/>
      <c r="R7748" s="51"/>
      <c r="S7748" s="51"/>
    </row>
    <row r="7749" spans="9:19" x14ac:dyDescent="0.25">
      <c r="I7749" s="1"/>
      <c r="J7749" s="71"/>
      <c r="M7749" s="46"/>
      <c r="R7749" s="51"/>
      <c r="S7749" s="51"/>
    </row>
    <row r="7750" spans="9:19" x14ac:dyDescent="0.25">
      <c r="I7750" s="1"/>
      <c r="J7750" s="71"/>
      <c r="M7750" s="46"/>
      <c r="R7750" s="51"/>
      <c r="S7750" s="51"/>
    </row>
    <row r="7751" spans="9:19" x14ac:dyDescent="0.25">
      <c r="I7751" s="1"/>
      <c r="J7751" s="71"/>
      <c r="M7751" s="46"/>
      <c r="R7751" s="51"/>
      <c r="S7751" s="51"/>
    </row>
    <row r="7752" spans="9:19" x14ac:dyDescent="0.25">
      <c r="I7752" s="1"/>
      <c r="J7752" s="71"/>
      <c r="M7752" s="46"/>
      <c r="R7752" s="51"/>
      <c r="S7752" s="51"/>
    </row>
    <row r="7753" spans="9:19" x14ac:dyDescent="0.25">
      <c r="I7753" s="1"/>
      <c r="J7753" s="71"/>
      <c r="M7753" s="46"/>
      <c r="R7753" s="51"/>
      <c r="S7753" s="51"/>
    </row>
    <row r="7754" spans="9:19" x14ac:dyDescent="0.25">
      <c r="I7754" s="1"/>
      <c r="J7754" s="71"/>
      <c r="M7754" s="46"/>
      <c r="R7754" s="51"/>
      <c r="S7754" s="51"/>
    </row>
    <row r="7755" spans="9:19" x14ac:dyDescent="0.25">
      <c r="I7755" s="1"/>
      <c r="J7755" s="71"/>
      <c r="M7755" s="46"/>
      <c r="R7755" s="51"/>
      <c r="S7755" s="51"/>
    </row>
    <row r="7756" spans="9:19" x14ac:dyDescent="0.25">
      <c r="I7756" s="1"/>
      <c r="J7756" s="71"/>
      <c r="M7756" s="46"/>
      <c r="R7756" s="51"/>
      <c r="S7756" s="51"/>
    </row>
    <row r="7757" spans="9:19" x14ac:dyDescent="0.25">
      <c r="I7757" s="1"/>
      <c r="J7757" s="71"/>
      <c r="M7757" s="46"/>
      <c r="R7757" s="51"/>
      <c r="S7757" s="51"/>
    </row>
    <row r="7758" spans="9:19" x14ac:dyDescent="0.25">
      <c r="I7758" s="1"/>
      <c r="J7758" s="71"/>
      <c r="M7758" s="46"/>
      <c r="R7758" s="51"/>
      <c r="S7758" s="51"/>
    </row>
    <row r="7759" spans="9:19" x14ac:dyDescent="0.25">
      <c r="I7759" s="1"/>
      <c r="J7759" s="71"/>
      <c r="M7759" s="46"/>
      <c r="R7759" s="51"/>
      <c r="S7759" s="51"/>
    </row>
    <row r="7760" spans="9:19" x14ac:dyDescent="0.25">
      <c r="I7760" s="1"/>
      <c r="J7760" s="71"/>
      <c r="M7760" s="46"/>
      <c r="R7760" s="51"/>
      <c r="S7760" s="51"/>
    </row>
    <row r="7761" spans="9:19" x14ac:dyDescent="0.25">
      <c r="I7761" s="1"/>
      <c r="J7761" s="71"/>
      <c r="M7761" s="46"/>
      <c r="R7761" s="51"/>
      <c r="S7761" s="51"/>
    </row>
    <row r="7762" spans="9:19" x14ac:dyDescent="0.25">
      <c r="I7762" s="1"/>
      <c r="J7762" s="71"/>
      <c r="M7762" s="46"/>
      <c r="R7762" s="51"/>
      <c r="S7762" s="51"/>
    </row>
    <row r="7763" spans="9:19" x14ac:dyDescent="0.25">
      <c r="I7763" s="1"/>
      <c r="J7763" s="71"/>
      <c r="M7763" s="46"/>
      <c r="R7763" s="51"/>
      <c r="S7763" s="51"/>
    </row>
    <row r="7764" spans="9:19" x14ac:dyDescent="0.25">
      <c r="I7764" s="1"/>
      <c r="J7764" s="71"/>
      <c r="M7764" s="46"/>
      <c r="R7764" s="51"/>
      <c r="S7764" s="51"/>
    </row>
    <row r="7765" spans="9:19" x14ac:dyDescent="0.25">
      <c r="I7765" s="1"/>
      <c r="J7765" s="71"/>
      <c r="M7765" s="46"/>
      <c r="R7765" s="51"/>
      <c r="S7765" s="51"/>
    </row>
    <row r="7766" spans="9:19" x14ac:dyDescent="0.25">
      <c r="I7766" s="1"/>
      <c r="J7766" s="71"/>
      <c r="M7766" s="46"/>
      <c r="R7766" s="51"/>
      <c r="S7766" s="51"/>
    </row>
    <row r="7767" spans="9:19" x14ac:dyDescent="0.25">
      <c r="I7767" s="1"/>
      <c r="J7767" s="71"/>
      <c r="M7767" s="46"/>
      <c r="R7767" s="51"/>
      <c r="S7767" s="51"/>
    </row>
    <row r="7768" spans="9:19" x14ac:dyDescent="0.25">
      <c r="I7768" s="1"/>
      <c r="J7768" s="71"/>
      <c r="M7768" s="46"/>
      <c r="R7768" s="51"/>
      <c r="S7768" s="51"/>
    </row>
    <row r="7769" spans="9:19" x14ac:dyDescent="0.25">
      <c r="I7769" s="1"/>
      <c r="J7769" s="71"/>
      <c r="M7769" s="46"/>
      <c r="R7769" s="51"/>
      <c r="S7769" s="51"/>
    </row>
    <row r="7770" spans="9:19" x14ac:dyDescent="0.25">
      <c r="I7770" s="1"/>
      <c r="J7770" s="71"/>
      <c r="M7770" s="46"/>
      <c r="R7770" s="51"/>
      <c r="S7770" s="51"/>
    </row>
    <row r="7771" spans="9:19" x14ac:dyDescent="0.25">
      <c r="I7771" s="1"/>
      <c r="J7771" s="71"/>
      <c r="M7771" s="46"/>
      <c r="R7771" s="51"/>
      <c r="S7771" s="51"/>
    </row>
    <row r="7772" spans="9:19" x14ac:dyDescent="0.25">
      <c r="I7772" s="1"/>
      <c r="J7772" s="71"/>
      <c r="M7772" s="46"/>
      <c r="R7772" s="51"/>
      <c r="S7772" s="51"/>
    </row>
    <row r="7773" spans="9:19" x14ac:dyDescent="0.25">
      <c r="I7773" s="1"/>
      <c r="J7773" s="71"/>
      <c r="M7773" s="46"/>
      <c r="R7773" s="51"/>
      <c r="S7773" s="51"/>
    </row>
    <row r="7774" spans="9:19" x14ac:dyDescent="0.25">
      <c r="I7774" s="1"/>
      <c r="J7774" s="71"/>
      <c r="M7774" s="46"/>
      <c r="R7774" s="51"/>
      <c r="S7774" s="51"/>
    </row>
    <row r="7775" spans="9:19" x14ac:dyDescent="0.25">
      <c r="I7775" s="1"/>
      <c r="J7775" s="71"/>
      <c r="M7775" s="46"/>
      <c r="R7775" s="51"/>
      <c r="S7775" s="51"/>
    </row>
    <row r="7776" spans="9:19" x14ac:dyDescent="0.25">
      <c r="I7776" s="1"/>
      <c r="J7776" s="71"/>
      <c r="M7776" s="46"/>
      <c r="R7776" s="51"/>
      <c r="S7776" s="51"/>
    </row>
    <row r="7777" spans="9:19" x14ac:dyDescent="0.25">
      <c r="I7777" s="1"/>
      <c r="J7777" s="71"/>
      <c r="M7777" s="46"/>
      <c r="R7777" s="51"/>
      <c r="S7777" s="51"/>
    </row>
    <row r="7778" spans="9:19" x14ac:dyDescent="0.25">
      <c r="I7778" s="1"/>
      <c r="J7778" s="71"/>
      <c r="M7778" s="46"/>
      <c r="R7778" s="51"/>
      <c r="S7778" s="51"/>
    </row>
    <row r="7779" spans="9:19" x14ac:dyDescent="0.25">
      <c r="I7779" s="1"/>
      <c r="J7779" s="71"/>
      <c r="M7779" s="46"/>
      <c r="R7779" s="51"/>
      <c r="S7779" s="51"/>
    </row>
    <row r="7780" spans="9:19" x14ac:dyDescent="0.25">
      <c r="I7780" s="1"/>
      <c r="J7780" s="71"/>
      <c r="M7780" s="46"/>
      <c r="R7780" s="51"/>
      <c r="S7780" s="51"/>
    </row>
    <row r="7781" spans="9:19" x14ac:dyDescent="0.25">
      <c r="I7781" s="1"/>
      <c r="J7781" s="71"/>
      <c r="M7781" s="46"/>
      <c r="R7781" s="51"/>
      <c r="S7781" s="51"/>
    </row>
    <row r="7782" spans="9:19" x14ac:dyDescent="0.25">
      <c r="I7782" s="1"/>
      <c r="J7782" s="71"/>
      <c r="M7782" s="46"/>
      <c r="R7782" s="51"/>
      <c r="S7782" s="51"/>
    </row>
    <row r="7783" spans="9:19" x14ac:dyDescent="0.25">
      <c r="I7783" s="1"/>
      <c r="J7783" s="71"/>
      <c r="M7783" s="46"/>
      <c r="R7783" s="51"/>
      <c r="S7783" s="51"/>
    </row>
    <row r="7784" spans="9:19" x14ac:dyDescent="0.25">
      <c r="I7784" s="1"/>
      <c r="J7784" s="71"/>
      <c r="M7784" s="46"/>
      <c r="R7784" s="51"/>
      <c r="S7784" s="51"/>
    </row>
    <row r="7785" spans="9:19" x14ac:dyDescent="0.25">
      <c r="I7785" s="1"/>
      <c r="J7785" s="71"/>
      <c r="M7785" s="46"/>
      <c r="R7785" s="51"/>
      <c r="S7785" s="51"/>
    </row>
    <row r="7786" spans="9:19" x14ac:dyDescent="0.25">
      <c r="I7786" s="1"/>
      <c r="J7786" s="71"/>
      <c r="M7786" s="46"/>
      <c r="R7786" s="51"/>
      <c r="S7786" s="51"/>
    </row>
    <row r="7787" spans="9:19" x14ac:dyDescent="0.25">
      <c r="I7787" s="1"/>
      <c r="J7787" s="71"/>
      <c r="M7787" s="46"/>
      <c r="R7787" s="51"/>
      <c r="S7787" s="51"/>
    </row>
    <row r="7788" spans="9:19" x14ac:dyDescent="0.25">
      <c r="I7788" s="1"/>
      <c r="J7788" s="71"/>
      <c r="M7788" s="46"/>
      <c r="R7788" s="51"/>
      <c r="S7788" s="51"/>
    </row>
    <row r="7789" spans="9:19" x14ac:dyDescent="0.25">
      <c r="I7789" s="1"/>
      <c r="J7789" s="71"/>
      <c r="M7789" s="46"/>
      <c r="R7789" s="51"/>
      <c r="S7789" s="51"/>
    </row>
    <row r="7790" spans="9:19" x14ac:dyDescent="0.25">
      <c r="I7790" s="1"/>
      <c r="J7790" s="71"/>
      <c r="M7790" s="46"/>
      <c r="R7790" s="51"/>
      <c r="S7790" s="51"/>
    </row>
    <row r="7791" spans="9:19" x14ac:dyDescent="0.25">
      <c r="I7791" s="1"/>
      <c r="J7791" s="71"/>
      <c r="M7791" s="46"/>
      <c r="R7791" s="51"/>
      <c r="S7791" s="51"/>
    </row>
    <row r="7792" spans="9:19" x14ac:dyDescent="0.25">
      <c r="I7792" s="1"/>
      <c r="J7792" s="71"/>
      <c r="M7792" s="46"/>
      <c r="R7792" s="51"/>
      <c r="S7792" s="51"/>
    </row>
    <row r="7793" spans="9:19" x14ac:dyDescent="0.25">
      <c r="I7793" s="1"/>
      <c r="J7793" s="71"/>
      <c r="M7793" s="46"/>
      <c r="R7793" s="51"/>
      <c r="S7793" s="51"/>
    </row>
    <row r="7794" spans="9:19" x14ac:dyDescent="0.25">
      <c r="I7794" s="1"/>
      <c r="J7794" s="71"/>
      <c r="M7794" s="46"/>
      <c r="R7794" s="51"/>
      <c r="S7794" s="51"/>
    </row>
    <row r="7795" spans="9:19" x14ac:dyDescent="0.25">
      <c r="I7795" s="1"/>
      <c r="J7795" s="71"/>
      <c r="M7795" s="46"/>
      <c r="R7795" s="51"/>
      <c r="S7795" s="51"/>
    </row>
    <row r="7796" spans="9:19" x14ac:dyDescent="0.25">
      <c r="I7796" s="1"/>
      <c r="J7796" s="71"/>
      <c r="M7796" s="46"/>
      <c r="R7796" s="51"/>
      <c r="S7796" s="51"/>
    </row>
    <row r="7797" spans="9:19" x14ac:dyDescent="0.25">
      <c r="I7797" s="1"/>
      <c r="J7797" s="71"/>
      <c r="M7797" s="46"/>
      <c r="R7797" s="51"/>
      <c r="S7797" s="51"/>
    </row>
    <row r="7798" spans="9:19" x14ac:dyDescent="0.25">
      <c r="I7798" s="1"/>
      <c r="J7798" s="71"/>
      <c r="M7798" s="46"/>
      <c r="R7798" s="51"/>
      <c r="S7798" s="51"/>
    </row>
    <row r="7799" spans="9:19" x14ac:dyDescent="0.25">
      <c r="I7799" s="1"/>
      <c r="J7799" s="71"/>
      <c r="M7799" s="46"/>
      <c r="R7799" s="51"/>
      <c r="S7799" s="51"/>
    </row>
    <row r="7800" spans="9:19" x14ac:dyDescent="0.25">
      <c r="I7800" s="1"/>
      <c r="J7800" s="71"/>
      <c r="M7800" s="46"/>
      <c r="R7800" s="51"/>
      <c r="S7800" s="51"/>
    </row>
    <row r="7801" spans="9:19" x14ac:dyDescent="0.25">
      <c r="I7801" s="1"/>
      <c r="J7801" s="71"/>
      <c r="M7801" s="46"/>
      <c r="R7801" s="51"/>
      <c r="S7801" s="51"/>
    </row>
    <row r="7802" spans="9:19" x14ac:dyDescent="0.25">
      <c r="I7802" s="1"/>
      <c r="J7802" s="71"/>
      <c r="M7802" s="46"/>
      <c r="R7802" s="51"/>
      <c r="S7802" s="51"/>
    </row>
    <row r="7803" spans="9:19" x14ac:dyDescent="0.25">
      <c r="I7803" s="1"/>
      <c r="J7803" s="71"/>
      <c r="M7803" s="46"/>
      <c r="R7803" s="51"/>
      <c r="S7803" s="51"/>
    </row>
    <row r="7804" spans="9:19" x14ac:dyDescent="0.25">
      <c r="I7804" s="1"/>
      <c r="J7804" s="71"/>
      <c r="M7804" s="46"/>
      <c r="R7804" s="51"/>
      <c r="S7804" s="51"/>
    </row>
    <row r="7805" spans="9:19" x14ac:dyDescent="0.25">
      <c r="I7805" s="1"/>
      <c r="J7805" s="71"/>
      <c r="M7805" s="46"/>
      <c r="R7805" s="51"/>
      <c r="S7805" s="51"/>
    </row>
    <row r="7806" spans="9:19" x14ac:dyDescent="0.25">
      <c r="I7806" s="1"/>
      <c r="J7806" s="71"/>
      <c r="M7806" s="46"/>
      <c r="R7806" s="51"/>
      <c r="S7806" s="51"/>
    </row>
    <row r="7807" spans="9:19" x14ac:dyDescent="0.25">
      <c r="I7807" s="1"/>
      <c r="J7807" s="71"/>
      <c r="M7807" s="46"/>
      <c r="R7807" s="51"/>
      <c r="S7807" s="51"/>
    </row>
    <row r="7808" spans="9:19" x14ac:dyDescent="0.25">
      <c r="I7808" s="1"/>
      <c r="J7808" s="71"/>
      <c r="M7808" s="46"/>
      <c r="R7808" s="51"/>
      <c r="S7808" s="51"/>
    </row>
    <row r="7809" spans="9:19" x14ac:dyDescent="0.25">
      <c r="I7809" s="1"/>
      <c r="J7809" s="71"/>
      <c r="M7809" s="46"/>
      <c r="R7809" s="51"/>
      <c r="S7809" s="51"/>
    </row>
    <row r="7810" spans="9:19" x14ac:dyDescent="0.25">
      <c r="I7810" s="1"/>
      <c r="J7810" s="71"/>
      <c r="M7810" s="46"/>
      <c r="R7810" s="51"/>
      <c r="S7810" s="51"/>
    </row>
    <row r="7811" spans="9:19" x14ac:dyDescent="0.25">
      <c r="I7811" s="1"/>
      <c r="J7811" s="71"/>
      <c r="M7811" s="46"/>
      <c r="R7811" s="51"/>
      <c r="S7811" s="51"/>
    </row>
    <row r="7812" spans="9:19" x14ac:dyDescent="0.25">
      <c r="I7812" s="1"/>
      <c r="J7812" s="71"/>
      <c r="M7812" s="46"/>
      <c r="R7812" s="51"/>
      <c r="S7812" s="51"/>
    </row>
    <row r="7813" spans="9:19" x14ac:dyDescent="0.25">
      <c r="I7813" s="1"/>
      <c r="J7813" s="71"/>
      <c r="M7813" s="46"/>
      <c r="R7813" s="51"/>
      <c r="S7813" s="51"/>
    </row>
    <row r="7814" spans="9:19" x14ac:dyDescent="0.25">
      <c r="I7814" s="1"/>
      <c r="J7814" s="71"/>
      <c r="M7814" s="46"/>
      <c r="R7814" s="51"/>
      <c r="S7814" s="51"/>
    </row>
    <row r="7815" spans="9:19" x14ac:dyDescent="0.25">
      <c r="I7815" s="1"/>
      <c r="J7815" s="71"/>
      <c r="M7815" s="46"/>
      <c r="R7815" s="51"/>
      <c r="S7815" s="51"/>
    </row>
    <row r="7816" spans="9:19" x14ac:dyDescent="0.25">
      <c r="I7816" s="1"/>
      <c r="J7816" s="71"/>
      <c r="M7816" s="46"/>
      <c r="R7816" s="51"/>
      <c r="S7816" s="51"/>
    </row>
    <row r="7817" spans="9:19" x14ac:dyDescent="0.25">
      <c r="I7817" s="1"/>
      <c r="J7817" s="71"/>
      <c r="M7817" s="46"/>
      <c r="R7817" s="51"/>
      <c r="S7817" s="51"/>
    </row>
    <row r="7818" spans="9:19" x14ac:dyDescent="0.25">
      <c r="I7818" s="1"/>
      <c r="J7818" s="71"/>
      <c r="M7818" s="46"/>
      <c r="R7818" s="51"/>
      <c r="S7818" s="51"/>
    </row>
    <row r="7819" spans="9:19" x14ac:dyDescent="0.25">
      <c r="I7819" s="1"/>
      <c r="J7819" s="71"/>
      <c r="M7819" s="46"/>
      <c r="R7819" s="51"/>
      <c r="S7819" s="51"/>
    </row>
    <row r="7820" spans="9:19" x14ac:dyDescent="0.25">
      <c r="I7820" s="1"/>
      <c r="J7820" s="71"/>
      <c r="M7820" s="46"/>
      <c r="R7820" s="51"/>
      <c r="S7820" s="51"/>
    </row>
    <row r="7821" spans="9:19" x14ac:dyDescent="0.25">
      <c r="I7821" s="1"/>
      <c r="J7821" s="71"/>
      <c r="M7821" s="46"/>
      <c r="R7821" s="51"/>
      <c r="S7821" s="51"/>
    </row>
    <row r="7822" spans="9:19" x14ac:dyDescent="0.25">
      <c r="I7822" s="1"/>
      <c r="J7822" s="71"/>
      <c r="M7822" s="46"/>
      <c r="R7822" s="51"/>
      <c r="S7822" s="51"/>
    </row>
    <row r="7823" spans="9:19" x14ac:dyDescent="0.25">
      <c r="I7823" s="1"/>
      <c r="J7823" s="71"/>
      <c r="M7823" s="46"/>
      <c r="R7823" s="51"/>
      <c r="S7823" s="51"/>
    </row>
    <row r="7824" spans="9:19" x14ac:dyDescent="0.25">
      <c r="I7824" s="1"/>
      <c r="J7824" s="71"/>
      <c r="M7824" s="46"/>
      <c r="R7824" s="51"/>
      <c r="S7824" s="51"/>
    </row>
    <row r="7825" spans="9:19" x14ac:dyDescent="0.25">
      <c r="I7825" s="1"/>
      <c r="J7825" s="71"/>
      <c r="M7825" s="46"/>
      <c r="R7825" s="51"/>
      <c r="S7825" s="51"/>
    </row>
    <row r="7826" spans="9:19" x14ac:dyDescent="0.25">
      <c r="I7826" s="1"/>
      <c r="J7826" s="71"/>
      <c r="M7826" s="46"/>
      <c r="R7826" s="51"/>
      <c r="S7826" s="51"/>
    </row>
    <row r="7827" spans="9:19" x14ac:dyDescent="0.25">
      <c r="I7827" s="1"/>
      <c r="J7827" s="71"/>
      <c r="M7827" s="46"/>
      <c r="R7827" s="51"/>
      <c r="S7827" s="51"/>
    </row>
    <row r="7828" spans="9:19" x14ac:dyDescent="0.25">
      <c r="I7828" s="1"/>
      <c r="J7828" s="71"/>
      <c r="M7828" s="46"/>
      <c r="R7828" s="51"/>
      <c r="S7828" s="51"/>
    </row>
    <row r="7829" spans="9:19" x14ac:dyDescent="0.25">
      <c r="I7829" s="1"/>
      <c r="J7829" s="71"/>
      <c r="M7829" s="46"/>
      <c r="R7829" s="51"/>
      <c r="S7829" s="51"/>
    </row>
    <row r="7830" spans="9:19" x14ac:dyDescent="0.25">
      <c r="I7830" s="1"/>
      <c r="J7830" s="71"/>
      <c r="M7830" s="46"/>
      <c r="R7830" s="51"/>
      <c r="S7830" s="51"/>
    </row>
    <row r="7831" spans="9:19" x14ac:dyDescent="0.25">
      <c r="I7831" s="1"/>
      <c r="J7831" s="71"/>
      <c r="M7831" s="46"/>
      <c r="R7831" s="51"/>
      <c r="S7831" s="51"/>
    </row>
    <row r="7832" spans="9:19" x14ac:dyDescent="0.25">
      <c r="I7832" s="1"/>
      <c r="J7832" s="71"/>
      <c r="M7832" s="46"/>
      <c r="R7832" s="51"/>
      <c r="S7832" s="51"/>
    </row>
    <row r="7833" spans="9:19" x14ac:dyDescent="0.25">
      <c r="I7833" s="1"/>
      <c r="J7833" s="71"/>
      <c r="M7833" s="46"/>
      <c r="R7833" s="51"/>
      <c r="S7833" s="51"/>
    </row>
    <row r="7834" spans="9:19" x14ac:dyDescent="0.25">
      <c r="I7834" s="1"/>
      <c r="J7834" s="71"/>
      <c r="M7834" s="46"/>
      <c r="R7834" s="51"/>
      <c r="S7834" s="51"/>
    </row>
    <row r="7835" spans="9:19" x14ac:dyDescent="0.25">
      <c r="I7835" s="1"/>
      <c r="J7835" s="71"/>
      <c r="M7835" s="46"/>
      <c r="R7835" s="51"/>
      <c r="S7835" s="51"/>
    </row>
    <row r="7836" spans="9:19" x14ac:dyDescent="0.25">
      <c r="I7836" s="1"/>
      <c r="J7836" s="71"/>
      <c r="M7836" s="46"/>
      <c r="R7836" s="51"/>
      <c r="S7836" s="51"/>
    </row>
    <row r="7837" spans="9:19" x14ac:dyDescent="0.25">
      <c r="I7837" s="1"/>
      <c r="J7837" s="71"/>
      <c r="M7837" s="46"/>
      <c r="R7837" s="51"/>
      <c r="S7837" s="51"/>
    </row>
    <row r="7838" spans="9:19" x14ac:dyDescent="0.25">
      <c r="I7838" s="1"/>
      <c r="J7838" s="71"/>
      <c r="M7838" s="46"/>
      <c r="R7838" s="51"/>
      <c r="S7838" s="51"/>
    </row>
    <row r="7839" spans="9:19" x14ac:dyDescent="0.25">
      <c r="I7839" s="1"/>
      <c r="J7839" s="71"/>
      <c r="M7839" s="46"/>
      <c r="R7839" s="51"/>
      <c r="S7839" s="51"/>
    </row>
    <row r="7840" spans="9:19" x14ac:dyDescent="0.25">
      <c r="I7840" s="1"/>
      <c r="J7840" s="71"/>
      <c r="M7840" s="46"/>
      <c r="R7840" s="51"/>
      <c r="S7840" s="51"/>
    </row>
    <row r="7841" spans="9:19" x14ac:dyDescent="0.25">
      <c r="I7841" s="1"/>
      <c r="J7841" s="71"/>
      <c r="M7841" s="46"/>
      <c r="R7841" s="51"/>
      <c r="S7841" s="51"/>
    </row>
    <row r="7842" spans="9:19" x14ac:dyDescent="0.25">
      <c r="I7842" s="1"/>
      <c r="J7842" s="71"/>
      <c r="M7842" s="46"/>
      <c r="R7842" s="51"/>
      <c r="S7842" s="51"/>
    </row>
    <row r="7843" spans="9:19" x14ac:dyDescent="0.25">
      <c r="I7843" s="1"/>
      <c r="J7843" s="71"/>
      <c r="M7843" s="46"/>
      <c r="R7843" s="51"/>
      <c r="S7843" s="51"/>
    </row>
    <row r="7844" spans="9:19" x14ac:dyDescent="0.25">
      <c r="I7844" s="1"/>
      <c r="J7844" s="71"/>
      <c r="M7844" s="46"/>
      <c r="R7844" s="51"/>
      <c r="S7844" s="51"/>
    </row>
    <row r="7845" spans="9:19" x14ac:dyDescent="0.25">
      <c r="I7845" s="1"/>
      <c r="J7845" s="71"/>
      <c r="M7845" s="46"/>
      <c r="R7845" s="51"/>
      <c r="S7845" s="51"/>
    </row>
    <row r="7846" spans="9:19" x14ac:dyDescent="0.25">
      <c r="I7846" s="1"/>
      <c r="J7846" s="71"/>
      <c r="M7846" s="46"/>
      <c r="R7846" s="51"/>
      <c r="S7846" s="51"/>
    </row>
    <row r="7847" spans="9:19" x14ac:dyDescent="0.25">
      <c r="I7847" s="1"/>
      <c r="J7847" s="71"/>
      <c r="M7847" s="46"/>
      <c r="R7847" s="51"/>
      <c r="S7847" s="51"/>
    </row>
    <row r="7848" spans="9:19" x14ac:dyDescent="0.25">
      <c r="I7848" s="1"/>
      <c r="J7848" s="71"/>
      <c r="M7848" s="46"/>
      <c r="R7848" s="51"/>
      <c r="S7848" s="51"/>
    </row>
    <row r="7849" spans="9:19" x14ac:dyDescent="0.25">
      <c r="I7849" s="1"/>
      <c r="J7849" s="71"/>
      <c r="M7849" s="46"/>
      <c r="R7849" s="51"/>
      <c r="S7849" s="51"/>
    </row>
    <row r="7850" spans="9:19" x14ac:dyDescent="0.25">
      <c r="I7850" s="1"/>
      <c r="J7850" s="71"/>
      <c r="M7850" s="46"/>
      <c r="R7850" s="51"/>
      <c r="S7850" s="51"/>
    </row>
    <row r="7851" spans="9:19" x14ac:dyDescent="0.25">
      <c r="I7851" s="1"/>
      <c r="J7851" s="71"/>
      <c r="M7851" s="46"/>
      <c r="R7851" s="51"/>
      <c r="S7851" s="51"/>
    </row>
    <row r="7852" spans="9:19" x14ac:dyDescent="0.25">
      <c r="I7852" s="1"/>
      <c r="J7852" s="71"/>
      <c r="M7852" s="46"/>
      <c r="R7852" s="51"/>
      <c r="S7852" s="51"/>
    </row>
    <row r="7853" spans="9:19" x14ac:dyDescent="0.25">
      <c r="I7853" s="1"/>
      <c r="J7853" s="71"/>
      <c r="M7853" s="46"/>
      <c r="R7853" s="51"/>
      <c r="S7853" s="51"/>
    </row>
    <row r="7854" spans="9:19" x14ac:dyDescent="0.25">
      <c r="I7854" s="1"/>
      <c r="J7854" s="71"/>
      <c r="M7854" s="46"/>
      <c r="R7854" s="51"/>
      <c r="S7854" s="51"/>
    </row>
    <row r="7855" spans="9:19" x14ac:dyDescent="0.25">
      <c r="I7855" s="1"/>
      <c r="J7855" s="71"/>
      <c r="M7855" s="46"/>
      <c r="R7855" s="51"/>
      <c r="S7855" s="51"/>
    </row>
    <row r="7856" spans="9:19" x14ac:dyDescent="0.25">
      <c r="I7856" s="1"/>
      <c r="J7856" s="71"/>
      <c r="M7856" s="46"/>
      <c r="R7856" s="51"/>
      <c r="S7856" s="51"/>
    </row>
    <row r="7857" spans="9:19" x14ac:dyDescent="0.25">
      <c r="I7857" s="1"/>
      <c r="J7857" s="71"/>
      <c r="M7857" s="46"/>
      <c r="R7857" s="51"/>
      <c r="S7857" s="51"/>
    </row>
    <row r="7858" spans="9:19" x14ac:dyDescent="0.25">
      <c r="I7858" s="1"/>
      <c r="J7858" s="71"/>
      <c r="M7858" s="46"/>
      <c r="R7858" s="51"/>
      <c r="S7858" s="51"/>
    </row>
    <row r="7859" spans="9:19" x14ac:dyDescent="0.25">
      <c r="I7859" s="1"/>
      <c r="J7859" s="71"/>
      <c r="M7859" s="46"/>
      <c r="R7859" s="51"/>
      <c r="S7859" s="51"/>
    </row>
    <row r="7860" spans="9:19" x14ac:dyDescent="0.25">
      <c r="I7860" s="1"/>
      <c r="J7860" s="71"/>
      <c r="M7860" s="46"/>
      <c r="R7860" s="51"/>
      <c r="S7860" s="51"/>
    </row>
    <row r="7861" spans="9:19" x14ac:dyDescent="0.25">
      <c r="I7861" s="1"/>
      <c r="J7861" s="71"/>
      <c r="M7861" s="46"/>
      <c r="R7861" s="51"/>
      <c r="S7861" s="51"/>
    </row>
    <row r="7862" spans="9:19" x14ac:dyDescent="0.25">
      <c r="I7862" s="1"/>
      <c r="J7862" s="71"/>
      <c r="M7862" s="46"/>
      <c r="R7862" s="51"/>
      <c r="S7862" s="51"/>
    </row>
    <row r="7863" spans="9:19" x14ac:dyDescent="0.25">
      <c r="I7863" s="1"/>
      <c r="J7863" s="71"/>
      <c r="M7863" s="46"/>
      <c r="R7863" s="51"/>
      <c r="S7863" s="51"/>
    </row>
    <row r="7864" spans="9:19" x14ac:dyDescent="0.25">
      <c r="I7864" s="1"/>
      <c r="J7864" s="71"/>
      <c r="M7864" s="46"/>
      <c r="R7864" s="51"/>
      <c r="S7864" s="51"/>
    </row>
    <row r="7865" spans="9:19" x14ac:dyDescent="0.25">
      <c r="I7865" s="1"/>
      <c r="J7865" s="71"/>
      <c r="M7865" s="46"/>
      <c r="R7865" s="51"/>
      <c r="S7865" s="51"/>
    </row>
    <row r="7866" spans="9:19" x14ac:dyDescent="0.25">
      <c r="I7866" s="1"/>
      <c r="J7866" s="71"/>
      <c r="M7866" s="46"/>
      <c r="R7866" s="51"/>
      <c r="S7866" s="51"/>
    </row>
    <row r="7867" spans="9:19" x14ac:dyDescent="0.25">
      <c r="I7867" s="1"/>
      <c r="J7867" s="71"/>
      <c r="M7867" s="46"/>
      <c r="R7867" s="51"/>
      <c r="S7867" s="51"/>
    </row>
    <row r="7868" spans="9:19" x14ac:dyDescent="0.25">
      <c r="I7868" s="1"/>
      <c r="J7868" s="71"/>
      <c r="M7868" s="46"/>
      <c r="R7868" s="51"/>
      <c r="S7868" s="51"/>
    </row>
    <row r="7869" spans="9:19" x14ac:dyDescent="0.25">
      <c r="I7869" s="1"/>
      <c r="J7869" s="71"/>
      <c r="M7869" s="46"/>
      <c r="R7869" s="51"/>
      <c r="S7869" s="51"/>
    </row>
    <row r="7870" spans="9:19" x14ac:dyDescent="0.25">
      <c r="I7870" s="1"/>
      <c r="J7870" s="71"/>
      <c r="M7870" s="46"/>
      <c r="R7870" s="51"/>
      <c r="S7870" s="51"/>
    </row>
    <row r="7871" spans="9:19" x14ac:dyDescent="0.25">
      <c r="I7871" s="1"/>
      <c r="J7871" s="71"/>
      <c r="M7871" s="46"/>
      <c r="R7871" s="51"/>
      <c r="S7871" s="51"/>
    </row>
    <row r="7872" spans="9:19" x14ac:dyDescent="0.25">
      <c r="I7872" s="1"/>
      <c r="J7872" s="71"/>
      <c r="M7872" s="46"/>
      <c r="R7872" s="51"/>
      <c r="S7872" s="51"/>
    </row>
    <row r="7873" spans="9:19" x14ac:dyDescent="0.25">
      <c r="I7873" s="1"/>
      <c r="J7873" s="71"/>
      <c r="M7873" s="46"/>
      <c r="R7873" s="51"/>
      <c r="S7873" s="51"/>
    </row>
    <row r="7874" spans="9:19" x14ac:dyDescent="0.25">
      <c r="I7874" s="1"/>
      <c r="J7874" s="71"/>
      <c r="M7874" s="46"/>
      <c r="R7874" s="51"/>
      <c r="S7874" s="51"/>
    </row>
    <row r="7875" spans="9:19" x14ac:dyDescent="0.25">
      <c r="I7875" s="1"/>
      <c r="J7875" s="71"/>
      <c r="M7875" s="46"/>
      <c r="R7875" s="51"/>
      <c r="S7875" s="51"/>
    </row>
    <row r="7876" spans="9:19" x14ac:dyDescent="0.25">
      <c r="I7876" s="1"/>
      <c r="J7876" s="71"/>
      <c r="M7876" s="46"/>
      <c r="R7876" s="51"/>
      <c r="S7876" s="51"/>
    </row>
    <row r="7877" spans="9:19" x14ac:dyDescent="0.25">
      <c r="I7877" s="1"/>
      <c r="J7877" s="71"/>
      <c r="M7877" s="46"/>
      <c r="R7877" s="51"/>
      <c r="S7877" s="51"/>
    </row>
    <row r="7878" spans="9:19" x14ac:dyDescent="0.25">
      <c r="I7878" s="1"/>
      <c r="J7878" s="71"/>
      <c r="M7878" s="46"/>
      <c r="R7878" s="51"/>
      <c r="S7878" s="51"/>
    </row>
    <row r="7879" spans="9:19" x14ac:dyDescent="0.25">
      <c r="I7879" s="1"/>
      <c r="J7879" s="71"/>
      <c r="M7879" s="46"/>
      <c r="R7879" s="51"/>
      <c r="S7879" s="51"/>
    </row>
    <row r="7880" spans="9:19" x14ac:dyDescent="0.25">
      <c r="I7880" s="1"/>
      <c r="J7880" s="71"/>
      <c r="M7880" s="46"/>
      <c r="R7880" s="51"/>
      <c r="S7880" s="51"/>
    </row>
    <row r="7881" spans="9:19" x14ac:dyDescent="0.25">
      <c r="I7881" s="1"/>
      <c r="J7881" s="71"/>
      <c r="M7881" s="46"/>
      <c r="R7881" s="51"/>
      <c r="S7881" s="51"/>
    </row>
    <row r="7882" spans="9:19" x14ac:dyDescent="0.25">
      <c r="I7882" s="1"/>
      <c r="J7882" s="71"/>
      <c r="M7882" s="46"/>
      <c r="R7882" s="51"/>
      <c r="S7882" s="51"/>
    </row>
    <row r="7883" spans="9:19" x14ac:dyDescent="0.25">
      <c r="I7883" s="1"/>
      <c r="J7883" s="71"/>
      <c r="M7883" s="46"/>
      <c r="R7883" s="51"/>
      <c r="S7883" s="51"/>
    </row>
    <row r="7884" spans="9:19" x14ac:dyDescent="0.25">
      <c r="I7884" s="1"/>
      <c r="J7884" s="71"/>
      <c r="M7884" s="46"/>
      <c r="R7884" s="51"/>
      <c r="S7884" s="51"/>
    </row>
    <row r="7885" spans="9:19" x14ac:dyDescent="0.25">
      <c r="I7885" s="1"/>
      <c r="J7885" s="71"/>
      <c r="M7885" s="46"/>
      <c r="R7885" s="51"/>
      <c r="S7885" s="51"/>
    </row>
    <row r="7886" spans="9:19" x14ac:dyDescent="0.25">
      <c r="I7886" s="1"/>
      <c r="J7886" s="71"/>
      <c r="M7886" s="46"/>
      <c r="R7886" s="51"/>
      <c r="S7886" s="51"/>
    </row>
    <row r="7887" spans="9:19" x14ac:dyDescent="0.25">
      <c r="I7887" s="1"/>
      <c r="J7887" s="71"/>
      <c r="M7887" s="46"/>
      <c r="R7887" s="51"/>
      <c r="S7887" s="51"/>
    </row>
    <row r="7888" spans="9:19" x14ac:dyDescent="0.25">
      <c r="I7888" s="1"/>
      <c r="J7888" s="71"/>
      <c r="M7888" s="46"/>
      <c r="R7888" s="51"/>
      <c r="S7888" s="51"/>
    </row>
    <row r="7889" spans="9:19" x14ac:dyDescent="0.25">
      <c r="I7889" s="1"/>
      <c r="J7889" s="71"/>
      <c r="M7889" s="46"/>
      <c r="R7889" s="51"/>
      <c r="S7889" s="51"/>
    </row>
    <row r="7890" spans="9:19" x14ac:dyDescent="0.25">
      <c r="I7890" s="1"/>
      <c r="J7890" s="71"/>
      <c r="M7890" s="46"/>
      <c r="R7890" s="51"/>
      <c r="S7890" s="51"/>
    </row>
    <row r="7891" spans="9:19" x14ac:dyDescent="0.25">
      <c r="I7891" s="1"/>
      <c r="J7891" s="71"/>
      <c r="M7891" s="46"/>
      <c r="R7891" s="51"/>
      <c r="S7891" s="51"/>
    </row>
    <row r="7892" spans="9:19" x14ac:dyDescent="0.25">
      <c r="I7892" s="1"/>
      <c r="J7892" s="71"/>
      <c r="M7892" s="46"/>
      <c r="R7892" s="51"/>
      <c r="S7892" s="51"/>
    </row>
    <row r="7893" spans="9:19" x14ac:dyDescent="0.25">
      <c r="I7893" s="1"/>
      <c r="J7893" s="71"/>
      <c r="M7893" s="46"/>
      <c r="R7893" s="51"/>
      <c r="S7893" s="51"/>
    </row>
    <row r="7894" spans="9:19" x14ac:dyDescent="0.25">
      <c r="I7894" s="1"/>
      <c r="J7894" s="71"/>
      <c r="M7894" s="46"/>
      <c r="R7894" s="51"/>
      <c r="S7894" s="51"/>
    </row>
    <row r="7895" spans="9:19" x14ac:dyDescent="0.25">
      <c r="I7895" s="1"/>
      <c r="J7895" s="71"/>
      <c r="M7895" s="46"/>
      <c r="R7895" s="51"/>
      <c r="S7895" s="51"/>
    </row>
    <row r="7896" spans="9:19" x14ac:dyDescent="0.25">
      <c r="I7896" s="1"/>
      <c r="J7896" s="71"/>
      <c r="M7896" s="46"/>
      <c r="R7896" s="51"/>
      <c r="S7896" s="51"/>
    </row>
    <row r="7897" spans="9:19" x14ac:dyDescent="0.25">
      <c r="I7897" s="1"/>
      <c r="J7897" s="71"/>
      <c r="M7897" s="46"/>
      <c r="R7897" s="51"/>
      <c r="S7897" s="51"/>
    </row>
    <row r="7898" spans="9:19" x14ac:dyDescent="0.25">
      <c r="I7898" s="1"/>
      <c r="J7898" s="71"/>
      <c r="M7898" s="46"/>
      <c r="R7898" s="51"/>
      <c r="S7898" s="51"/>
    </row>
    <row r="7899" spans="9:19" x14ac:dyDescent="0.25">
      <c r="I7899" s="1"/>
      <c r="J7899" s="71"/>
      <c r="M7899" s="46"/>
      <c r="R7899" s="51"/>
      <c r="S7899" s="51"/>
    </row>
    <row r="7900" spans="9:19" x14ac:dyDescent="0.25">
      <c r="I7900" s="1"/>
      <c r="J7900" s="71"/>
      <c r="M7900" s="46"/>
      <c r="R7900" s="51"/>
      <c r="S7900" s="51"/>
    </row>
    <row r="7901" spans="9:19" x14ac:dyDescent="0.25">
      <c r="I7901" s="1"/>
      <c r="J7901" s="71"/>
      <c r="M7901" s="46"/>
      <c r="R7901" s="51"/>
      <c r="S7901" s="51"/>
    </row>
    <row r="7902" spans="9:19" x14ac:dyDescent="0.25">
      <c r="I7902" s="1"/>
      <c r="J7902" s="71"/>
      <c r="M7902" s="46"/>
      <c r="R7902" s="51"/>
      <c r="S7902" s="51"/>
    </row>
    <row r="7903" spans="9:19" x14ac:dyDescent="0.25">
      <c r="I7903" s="1"/>
      <c r="J7903" s="71"/>
      <c r="M7903" s="46"/>
      <c r="R7903" s="51"/>
      <c r="S7903" s="51"/>
    </row>
    <row r="7904" spans="9:19" x14ac:dyDescent="0.25">
      <c r="I7904" s="1"/>
      <c r="J7904" s="71"/>
      <c r="M7904" s="46"/>
      <c r="R7904" s="51"/>
      <c r="S7904" s="51"/>
    </row>
    <row r="7905" spans="9:19" x14ac:dyDescent="0.25">
      <c r="I7905" s="1"/>
      <c r="J7905" s="71"/>
      <c r="M7905" s="46"/>
      <c r="R7905" s="51"/>
      <c r="S7905" s="51"/>
    </row>
    <row r="7906" spans="9:19" x14ac:dyDescent="0.25">
      <c r="I7906" s="1"/>
      <c r="J7906" s="71"/>
      <c r="M7906" s="46"/>
      <c r="R7906" s="51"/>
      <c r="S7906" s="51"/>
    </row>
    <row r="7907" spans="9:19" x14ac:dyDescent="0.25">
      <c r="I7907" s="1"/>
      <c r="J7907" s="71"/>
      <c r="M7907" s="46"/>
      <c r="R7907" s="51"/>
      <c r="S7907" s="51"/>
    </row>
    <row r="7908" spans="9:19" x14ac:dyDescent="0.25">
      <c r="I7908" s="1"/>
      <c r="J7908" s="71"/>
      <c r="M7908" s="46"/>
      <c r="R7908" s="51"/>
      <c r="S7908" s="51"/>
    </row>
    <row r="7909" spans="9:19" x14ac:dyDescent="0.25">
      <c r="I7909" s="1"/>
      <c r="J7909" s="71"/>
      <c r="M7909" s="46"/>
      <c r="R7909" s="51"/>
      <c r="S7909" s="51"/>
    </row>
    <row r="7910" spans="9:19" x14ac:dyDescent="0.25">
      <c r="I7910" s="1"/>
      <c r="J7910" s="71"/>
      <c r="M7910" s="46"/>
      <c r="R7910" s="51"/>
      <c r="S7910" s="51"/>
    </row>
    <row r="7911" spans="9:19" x14ac:dyDescent="0.25">
      <c r="I7911" s="1"/>
      <c r="J7911" s="71"/>
      <c r="M7911" s="46"/>
      <c r="R7911" s="51"/>
      <c r="S7911" s="51"/>
    </row>
    <row r="7912" spans="9:19" x14ac:dyDescent="0.25">
      <c r="I7912" s="1"/>
      <c r="J7912" s="71"/>
      <c r="M7912" s="46"/>
      <c r="R7912" s="51"/>
      <c r="S7912" s="51"/>
    </row>
    <row r="7913" spans="9:19" x14ac:dyDescent="0.25">
      <c r="I7913" s="1"/>
      <c r="J7913" s="71"/>
      <c r="M7913" s="46"/>
      <c r="R7913" s="51"/>
      <c r="S7913" s="51"/>
    </row>
    <row r="7914" spans="9:19" x14ac:dyDescent="0.25">
      <c r="I7914" s="1"/>
      <c r="J7914" s="71"/>
      <c r="M7914" s="46"/>
      <c r="R7914" s="51"/>
      <c r="S7914" s="51"/>
    </row>
    <row r="7915" spans="9:19" x14ac:dyDescent="0.25">
      <c r="I7915" s="1"/>
      <c r="J7915" s="71"/>
      <c r="M7915" s="46"/>
      <c r="R7915" s="51"/>
      <c r="S7915" s="51"/>
    </row>
    <row r="7916" spans="9:19" x14ac:dyDescent="0.25">
      <c r="I7916" s="1"/>
      <c r="J7916" s="71"/>
      <c r="M7916" s="46"/>
      <c r="R7916" s="51"/>
      <c r="S7916" s="51"/>
    </row>
    <row r="7917" spans="9:19" x14ac:dyDescent="0.25">
      <c r="I7917" s="1"/>
      <c r="J7917" s="71"/>
      <c r="M7917" s="46"/>
      <c r="R7917" s="51"/>
      <c r="S7917" s="51"/>
    </row>
    <row r="7918" spans="9:19" x14ac:dyDescent="0.25">
      <c r="I7918" s="1"/>
      <c r="J7918" s="71"/>
      <c r="M7918" s="46"/>
      <c r="R7918" s="51"/>
      <c r="S7918" s="51"/>
    </row>
    <row r="7919" spans="9:19" x14ac:dyDescent="0.25">
      <c r="I7919" s="1"/>
      <c r="J7919" s="71"/>
      <c r="M7919" s="46"/>
      <c r="R7919" s="51"/>
      <c r="S7919" s="51"/>
    </row>
    <row r="7920" spans="9:19" x14ac:dyDescent="0.25">
      <c r="I7920" s="1"/>
      <c r="J7920" s="71"/>
      <c r="M7920" s="46"/>
      <c r="R7920" s="51"/>
      <c r="S7920" s="51"/>
    </row>
    <row r="7921" spans="9:19" x14ac:dyDescent="0.25">
      <c r="I7921" s="1"/>
      <c r="J7921" s="71"/>
      <c r="M7921" s="46"/>
      <c r="R7921" s="51"/>
      <c r="S7921" s="51"/>
    </row>
    <row r="7922" spans="9:19" x14ac:dyDescent="0.25">
      <c r="I7922" s="1"/>
      <c r="J7922" s="71"/>
      <c r="M7922" s="46"/>
      <c r="R7922" s="51"/>
      <c r="S7922" s="51"/>
    </row>
    <row r="7923" spans="9:19" x14ac:dyDescent="0.25">
      <c r="I7923" s="1"/>
      <c r="J7923" s="71"/>
      <c r="M7923" s="46"/>
      <c r="R7923" s="51"/>
      <c r="S7923" s="51"/>
    </row>
    <row r="7924" spans="9:19" x14ac:dyDescent="0.25">
      <c r="I7924" s="1"/>
      <c r="J7924" s="71"/>
      <c r="M7924" s="46"/>
      <c r="R7924" s="51"/>
      <c r="S7924" s="51"/>
    </row>
    <row r="7925" spans="9:19" x14ac:dyDescent="0.25">
      <c r="I7925" s="1"/>
      <c r="J7925" s="71"/>
      <c r="M7925" s="46"/>
      <c r="R7925" s="51"/>
      <c r="S7925" s="51"/>
    </row>
    <row r="7926" spans="9:19" x14ac:dyDescent="0.25">
      <c r="I7926" s="1"/>
      <c r="J7926" s="71"/>
      <c r="M7926" s="46"/>
      <c r="R7926" s="51"/>
      <c r="S7926" s="51"/>
    </row>
    <row r="7927" spans="9:19" x14ac:dyDescent="0.25">
      <c r="I7927" s="1"/>
      <c r="J7927" s="71"/>
      <c r="M7927" s="46"/>
      <c r="R7927" s="51"/>
      <c r="S7927" s="51"/>
    </row>
    <row r="7928" spans="9:19" x14ac:dyDescent="0.25">
      <c r="I7928" s="1"/>
      <c r="J7928" s="71"/>
      <c r="M7928" s="46"/>
      <c r="R7928" s="51"/>
      <c r="S7928" s="51"/>
    </row>
    <row r="7929" spans="9:19" x14ac:dyDescent="0.25">
      <c r="I7929" s="1"/>
      <c r="J7929" s="71"/>
      <c r="M7929" s="46"/>
      <c r="R7929" s="51"/>
      <c r="S7929" s="51"/>
    </row>
    <row r="7930" spans="9:19" x14ac:dyDescent="0.25">
      <c r="I7930" s="1"/>
      <c r="J7930" s="71"/>
      <c r="M7930" s="46"/>
      <c r="R7930" s="51"/>
      <c r="S7930" s="51"/>
    </row>
    <row r="7931" spans="9:19" x14ac:dyDescent="0.25">
      <c r="I7931" s="1"/>
      <c r="J7931" s="71"/>
      <c r="M7931" s="46"/>
      <c r="R7931" s="51"/>
      <c r="S7931" s="51"/>
    </row>
    <row r="7932" spans="9:19" x14ac:dyDescent="0.25">
      <c r="I7932" s="1"/>
      <c r="J7932" s="71"/>
      <c r="M7932" s="46"/>
      <c r="R7932" s="51"/>
      <c r="S7932" s="51"/>
    </row>
    <row r="7933" spans="9:19" x14ac:dyDescent="0.25">
      <c r="I7933" s="1"/>
      <c r="J7933" s="71"/>
      <c r="M7933" s="46"/>
      <c r="R7933" s="51"/>
      <c r="S7933" s="51"/>
    </row>
    <row r="7934" spans="9:19" x14ac:dyDescent="0.25">
      <c r="I7934" s="1"/>
      <c r="J7934" s="71"/>
      <c r="M7934" s="46"/>
      <c r="R7934" s="51"/>
      <c r="S7934" s="51"/>
    </row>
    <row r="7935" spans="9:19" x14ac:dyDescent="0.25">
      <c r="I7935" s="1"/>
      <c r="J7935" s="71"/>
      <c r="M7935" s="46"/>
      <c r="R7935" s="51"/>
      <c r="S7935" s="51"/>
    </row>
    <row r="7936" spans="9:19" x14ac:dyDescent="0.25">
      <c r="I7936" s="1"/>
      <c r="J7936" s="71"/>
      <c r="M7936" s="46"/>
      <c r="R7936" s="51"/>
      <c r="S7936" s="51"/>
    </row>
    <row r="7937" spans="9:19" x14ac:dyDescent="0.25">
      <c r="I7937" s="1"/>
      <c r="J7937" s="71"/>
      <c r="M7937" s="46"/>
      <c r="R7937" s="51"/>
      <c r="S7937" s="51"/>
    </row>
    <row r="7938" spans="9:19" x14ac:dyDescent="0.25">
      <c r="I7938" s="1"/>
      <c r="J7938" s="71"/>
      <c r="M7938" s="46"/>
      <c r="R7938" s="51"/>
      <c r="S7938" s="51"/>
    </row>
    <row r="7939" spans="9:19" x14ac:dyDescent="0.25">
      <c r="I7939" s="1"/>
      <c r="J7939" s="71"/>
      <c r="M7939" s="46"/>
      <c r="R7939" s="51"/>
      <c r="S7939" s="51"/>
    </row>
    <row r="7940" spans="9:19" x14ac:dyDescent="0.25">
      <c r="I7940" s="1"/>
      <c r="J7940" s="71"/>
      <c r="M7940" s="46"/>
      <c r="R7940" s="51"/>
      <c r="S7940" s="51"/>
    </row>
    <row r="7941" spans="9:19" x14ac:dyDescent="0.25">
      <c r="I7941" s="1"/>
      <c r="J7941" s="71"/>
      <c r="M7941" s="46"/>
      <c r="R7941" s="51"/>
      <c r="S7941" s="51"/>
    </row>
    <row r="7942" spans="9:19" x14ac:dyDescent="0.25">
      <c r="I7942" s="1"/>
      <c r="J7942" s="71"/>
      <c r="M7942" s="46"/>
      <c r="R7942" s="51"/>
      <c r="S7942" s="51"/>
    </row>
    <row r="7943" spans="9:19" x14ac:dyDescent="0.25">
      <c r="I7943" s="1"/>
      <c r="J7943" s="71"/>
      <c r="M7943" s="46"/>
      <c r="R7943" s="51"/>
      <c r="S7943" s="51"/>
    </row>
    <row r="7944" spans="9:19" x14ac:dyDescent="0.25">
      <c r="I7944" s="1"/>
      <c r="J7944" s="71"/>
      <c r="M7944" s="46"/>
      <c r="R7944" s="51"/>
      <c r="S7944" s="51"/>
    </row>
    <row r="7945" spans="9:19" x14ac:dyDescent="0.25">
      <c r="I7945" s="1"/>
      <c r="J7945" s="71"/>
      <c r="M7945" s="46"/>
      <c r="R7945" s="51"/>
      <c r="S7945" s="51"/>
    </row>
    <row r="7946" spans="9:19" x14ac:dyDescent="0.25">
      <c r="I7946" s="1"/>
      <c r="J7946" s="71"/>
      <c r="M7946" s="46"/>
      <c r="R7946" s="51"/>
      <c r="S7946" s="51"/>
    </row>
    <row r="7947" spans="9:19" x14ac:dyDescent="0.25">
      <c r="I7947" s="1"/>
      <c r="J7947" s="71"/>
      <c r="M7947" s="46"/>
      <c r="R7947" s="51"/>
      <c r="S7947" s="51"/>
    </row>
    <row r="7948" spans="9:19" x14ac:dyDescent="0.25">
      <c r="I7948" s="1"/>
      <c r="J7948" s="71"/>
      <c r="M7948" s="46"/>
      <c r="R7948" s="51"/>
      <c r="S7948" s="51"/>
    </row>
    <row r="7949" spans="9:19" x14ac:dyDescent="0.25">
      <c r="I7949" s="1"/>
      <c r="J7949" s="71"/>
      <c r="M7949" s="46"/>
      <c r="R7949" s="51"/>
      <c r="S7949" s="51"/>
    </row>
    <row r="7950" spans="9:19" x14ac:dyDescent="0.25">
      <c r="I7950" s="1"/>
      <c r="J7950" s="71"/>
      <c r="M7950" s="46"/>
      <c r="R7950" s="51"/>
      <c r="S7950" s="51"/>
    </row>
    <row r="7951" spans="9:19" x14ac:dyDescent="0.25">
      <c r="I7951" s="1"/>
      <c r="J7951" s="71"/>
      <c r="M7951" s="46"/>
      <c r="R7951" s="51"/>
      <c r="S7951" s="51"/>
    </row>
    <row r="7952" spans="9:19" x14ac:dyDescent="0.25">
      <c r="I7952" s="1"/>
      <c r="J7952" s="71"/>
      <c r="M7952" s="46"/>
      <c r="R7952" s="51"/>
      <c r="S7952" s="51"/>
    </row>
    <row r="7953" spans="9:19" x14ac:dyDescent="0.25">
      <c r="I7953" s="1"/>
      <c r="J7953" s="71"/>
      <c r="M7953" s="46"/>
      <c r="R7953" s="51"/>
      <c r="S7953" s="51"/>
    </row>
    <row r="7954" spans="9:19" x14ac:dyDescent="0.25">
      <c r="I7954" s="1"/>
      <c r="J7954" s="71"/>
      <c r="M7954" s="46"/>
      <c r="R7954" s="51"/>
      <c r="S7954" s="51"/>
    </row>
    <row r="7955" spans="9:19" x14ac:dyDescent="0.25">
      <c r="I7955" s="1"/>
      <c r="J7955" s="71"/>
      <c r="M7955" s="46"/>
      <c r="R7955" s="51"/>
      <c r="S7955" s="51"/>
    </row>
    <row r="7956" spans="9:19" x14ac:dyDescent="0.25">
      <c r="I7956" s="1"/>
      <c r="J7956" s="71"/>
      <c r="M7956" s="46"/>
      <c r="R7956" s="51"/>
      <c r="S7956" s="51"/>
    </row>
    <row r="7957" spans="9:19" x14ac:dyDescent="0.25">
      <c r="I7957" s="1"/>
      <c r="J7957" s="71"/>
      <c r="M7957" s="46"/>
      <c r="R7957" s="51"/>
      <c r="S7957" s="51"/>
    </row>
    <row r="7958" spans="9:19" x14ac:dyDescent="0.25">
      <c r="I7958" s="1"/>
      <c r="J7958" s="71"/>
      <c r="M7958" s="46"/>
      <c r="R7958" s="51"/>
      <c r="S7958" s="51"/>
    </row>
    <row r="7959" spans="9:19" x14ac:dyDescent="0.25">
      <c r="I7959" s="1"/>
      <c r="J7959" s="71"/>
      <c r="M7959" s="46"/>
      <c r="R7959" s="51"/>
      <c r="S7959" s="51"/>
    </row>
    <row r="7960" spans="9:19" x14ac:dyDescent="0.25">
      <c r="I7960" s="1"/>
      <c r="J7960" s="71"/>
      <c r="M7960" s="46"/>
      <c r="R7960" s="51"/>
      <c r="S7960" s="51"/>
    </row>
    <row r="7961" spans="9:19" x14ac:dyDescent="0.25">
      <c r="I7961" s="1"/>
      <c r="J7961" s="71"/>
      <c r="M7961" s="46"/>
      <c r="R7961" s="51"/>
      <c r="S7961" s="51"/>
    </row>
    <row r="7962" spans="9:19" x14ac:dyDescent="0.25">
      <c r="I7962" s="1"/>
      <c r="J7962" s="71"/>
      <c r="M7962" s="46"/>
      <c r="R7962" s="51"/>
      <c r="S7962" s="51"/>
    </row>
    <row r="7963" spans="9:19" x14ac:dyDescent="0.25">
      <c r="I7963" s="1"/>
      <c r="J7963" s="71"/>
      <c r="M7963" s="46"/>
      <c r="R7963" s="51"/>
      <c r="S7963" s="51"/>
    </row>
    <row r="7964" spans="9:19" x14ac:dyDescent="0.25">
      <c r="I7964" s="1"/>
      <c r="J7964" s="71"/>
      <c r="M7964" s="46"/>
      <c r="R7964" s="51"/>
      <c r="S7964" s="51"/>
    </row>
    <row r="7965" spans="9:19" x14ac:dyDescent="0.25">
      <c r="I7965" s="1"/>
      <c r="J7965" s="71"/>
      <c r="M7965" s="46"/>
      <c r="R7965" s="51"/>
      <c r="S7965" s="51"/>
    </row>
    <row r="7966" spans="9:19" x14ac:dyDescent="0.25">
      <c r="I7966" s="1"/>
      <c r="J7966" s="71"/>
      <c r="M7966" s="46"/>
      <c r="R7966" s="51"/>
      <c r="S7966" s="51"/>
    </row>
    <row r="7967" spans="9:19" x14ac:dyDescent="0.25">
      <c r="I7967" s="1"/>
      <c r="J7967" s="71"/>
      <c r="M7967" s="46"/>
      <c r="R7967" s="51"/>
      <c r="S7967" s="51"/>
    </row>
    <row r="7968" spans="9:19" x14ac:dyDescent="0.25">
      <c r="I7968" s="1"/>
      <c r="J7968" s="71"/>
      <c r="M7968" s="46"/>
      <c r="R7968" s="51"/>
      <c r="S7968" s="51"/>
    </row>
    <row r="7969" spans="9:19" x14ac:dyDescent="0.25">
      <c r="I7969" s="1"/>
      <c r="J7969" s="71"/>
      <c r="M7969" s="46"/>
      <c r="R7969" s="51"/>
      <c r="S7969" s="51"/>
    </row>
    <row r="7970" spans="9:19" x14ac:dyDescent="0.25">
      <c r="I7970" s="1"/>
      <c r="J7970" s="71"/>
      <c r="M7970" s="46"/>
      <c r="R7970" s="51"/>
      <c r="S7970" s="51"/>
    </row>
    <row r="7971" spans="9:19" x14ac:dyDescent="0.25">
      <c r="I7971" s="1"/>
      <c r="J7971" s="71"/>
      <c r="M7971" s="46"/>
      <c r="R7971" s="51"/>
      <c r="S7971" s="51"/>
    </row>
    <row r="7972" spans="9:19" x14ac:dyDescent="0.25">
      <c r="I7972" s="1"/>
      <c r="J7972" s="71"/>
      <c r="M7972" s="46"/>
      <c r="R7972" s="51"/>
      <c r="S7972" s="51"/>
    </row>
    <row r="7973" spans="9:19" x14ac:dyDescent="0.25">
      <c r="I7973" s="1"/>
      <c r="J7973" s="71"/>
      <c r="M7973" s="46"/>
      <c r="R7973" s="51"/>
      <c r="S7973" s="51"/>
    </row>
    <row r="7974" spans="9:19" x14ac:dyDescent="0.25">
      <c r="I7974" s="1"/>
      <c r="J7974" s="71"/>
      <c r="M7974" s="46"/>
      <c r="R7974" s="51"/>
      <c r="S7974" s="51"/>
    </row>
    <row r="7975" spans="9:19" x14ac:dyDescent="0.25">
      <c r="I7975" s="1"/>
      <c r="J7975" s="71"/>
      <c r="M7975" s="46"/>
      <c r="R7975" s="51"/>
      <c r="S7975" s="51"/>
    </row>
    <row r="7976" spans="9:19" x14ac:dyDescent="0.25">
      <c r="I7976" s="1"/>
      <c r="J7976" s="71"/>
      <c r="M7976" s="46"/>
      <c r="R7976" s="51"/>
      <c r="S7976" s="51"/>
    </row>
    <row r="7977" spans="9:19" x14ac:dyDescent="0.25">
      <c r="I7977" s="1"/>
      <c r="J7977" s="71"/>
      <c r="M7977" s="46"/>
      <c r="R7977" s="51"/>
      <c r="S7977" s="51"/>
    </row>
    <row r="7978" spans="9:19" x14ac:dyDescent="0.25">
      <c r="I7978" s="1"/>
      <c r="J7978" s="71"/>
      <c r="M7978" s="46"/>
      <c r="R7978" s="51"/>
      <c r="S7978" s="51"/>
    </row>
    <row r="7979" spans="9:19" x14ac:dyDescent="0.25">
      <c r="I7979" s="1"/>
      <c r="J7979" s="71"/>
      <c r="M7979" s="46"/>
      <c r="R7979" s="51"/>
      <c r="S7979" s="51"/>
    </row>
    <row r="7980" spans="9:19" x14ac:dyDescent="0.25">
      <c r="I7980" s="1"/>
      <c r="J7980" s="71"/>
      <c r="M7980" s="46"/>
      <c r="R7980" s="51"/>
      <c r="S7980" s="51"/>
    </row>
    <row r="7981" spans="9:19" x14ac:dyDescent="0.25">
      <c r="I7981" s="1"/>
      <c r="J7981" s="71"/>
      <c r="M7981" s="46"/>
      <c r="R7981" s="51"/>
      <c r="S7981" s="51"/>
    </row>
    <row r="7982" spans="9:19" x14ac:dyDescent="0.25">
      <c r="I7982" s="1"/>
      <c r="J7982" s="71"/>
      <c r="M7982" s="46"/>
      <c r="R7982" s="51"/>
      <c r="S7982" s="51"/>
    </row>
    <row r="7983" spans="9:19" x14ac:dyDescent="0.25">
      <c r="I7983" s="1"/>
      <c r="J7983" s="71"/>
      <c r="M7983" s="46"/>
      <c r="R7983" s="51"/>
      <c r="S7983" s="51"/>
    </row>
    <row r="7984" spans="9:19" x14ac:dyDescent="0.25">
      <c r="I7984" s="1"/>
      <c r="J7984" s="71"/>
      <c r="M7984" s="46"/>
      <c r="R7984" s="51"/>
      <c r="S7984" s="51"/>
    </row>
    <row r="7985" spans="9:19" x14ac:dyDescent="0.25">
      <c r="I7985" s="1"/>
      <c r="J7985" s="71"/>
      <c r="M7985" s="46"/>
      <c r="R7985" s="51"/>
      <c r="S7985" s="51"/>
    </row>
    <row r="7986" spans="9:19" x14ac:dyDescent="0.25">
      <c r="I7986" s="1"/>
      <c r="J7986" s="71"/>
      <c r="M7986" s="46"/>
      <c r="R7986" s="51"/>
      <c r="S7986" s="51"/>
    </row>
    <row r="7987" spans="9:19" x14ac:dyDescent="0.25">
      <c r="I7987" s="1"/>
      <c r="J7987" s="71"/>
      <c r="M7987" s="46"/>
      <c r="R7987" s="51"/>
      <c r="S7987" s="51"/>
    </row>
    <row r="7988" spans="9:19" x14ac:dyDescent="0.25">
      <c r="I7988" s="1"/>
      <c r="J7988" s="71"/>
      <c r="M7988" s="46"/>
      <c r="R7988" s="51"/>
      <c r="S7988" s="51"/>
    </row>
    <row r="7989" spans="9:19" x14ac:dyDescent="0.25">
      <c r="I7989" s="1"/>
      <c r="J7989" s="71"/>
      <c r="M7989" s="46"/>
      <c r="R7989" s="51"/>
      <c r="S7989" s="51"/>
    </row>
    <row r="7990" spans="9:19" x14ac:dyDescent="0.25">
      <c r="I7990" s="1"/>
      <c r="J7990" s="71"/>
      <c r="M7990" s="46"/>
      <c r="R7990" s="51"/>
      <c r="S7990" s="51"/>
    </row>
    <row r="7991" spans="9:19" x14ac:dyDescent="0.25">
      <c r="I7991" s="1"/>
      <c r="J7991" s="71"/>
      <c r="M7991" s="46"/>
      <c r="R7991" s="51"/>
      <c r="S7991" s="51"/>
    </row>
    <row r="7992" spans="9:19" x14ac:dyDescent="0.25">
      <c r="I7992" s="1"/>
      <c r="J7992" s="71"/>
      <c r="M7992" s="46"/>
      <c r="R7992" s="51"/>
      <c r="S7992" s="51"/>
    </row>
    <row r="7993" spans="9:19" x14ac:dyDescent="0.25">
      <c r="I7993" s="1"/>
      <c r="J7993" s="71"/>
      <c r="M7993" s="46"/>
      <c r="R7993" s="51"/>
      <c r="S7993" s="51"/>
    </row>
    <row r="7994" spans="9:19" x14ac:dyDescent="0.25">
      <c r="I7994" s="1"/>
      <c r="J7994" s="71"/>
      <c r="M7994" s="46"/>
      <c r="R7994" s="51"/>
      <c r="S7994" s="51"/>
    </row>
    <row r="7995" spans="9:19" x14ac:dyDescent="0.25">
      <c r="I7995" s="1"/>
      <c r="J7995" s="71"/>
      <c r="M7995" s="46"/>
      <c r="R7995" s="51"/>
      <c r="S7995" s="51"/>
    </row>
    <row r="7996" spans="9:19" x14ac:dyDescent="0.25">
      <c r="I7996" s="1"/>
      <c r="J7996" s="71"/>
      <c r="M7996" s="46"/>
      <c r="R7996" s="51"/>
      <c r="S7996" s="51"/>
    </row>
    <row r="7997" spans="9:19" x14ac:dyDescent="0.25">
      <c r="I7997" s="1"/>
      <c r="J7997" s="71"/>
      <c r="M7997" s="46"/>
      <c r="R7997" s="51"/>
      <c r="S7997" s="51"/>
    </row>
    <row r="7998" spans="9:19" x14ac:dyDescent="0.25">
      <c r="I7998" s="1"/>
      <c r="J7998" s="71"/>
      <c r="M7998" s="46"/>
      <c r="R7998" s="51"/>
      <c r="S7998" s="51"/>
    </row>
    <row r="7999" spans="9:19" x14ac:dyDescent="0.25">
      <c r="I7999" s="1"/>
      <c r="J7999" s="71"/>
      <c r="M7999" s="46"/>
      <c r="R7999" s="51"/>
      <c r="S7999" s="51"/>
    </row>
    <row r="8000" spans="9:19" x14ac:dyDescent="0.25">
      <c r="I8000" s="1"/>
      <c r="J8000" s="71"/>
      <c r="M8000" s="46"/>
      <c r="R8000" s="51"/>
      <c r="S8000" s="51"/>
    </row>
    <row r="8001" spans="9:19" x14ac:dyDescent="0.25">
      <c r="I8001" s="1"/>
      <c r="J8001" s="71"/>
      <c r="M8001" s="46"/>
      <c r="R8001" s="51"/>
      <c r="S8001" s="51"/>
    </row>
    <row r="8002" spans="9:19" x14ac:dyDescent="0.25">
      <c r="I8002" s="1"/>
      <c r="J8002" s="71"/>
      <c r="M8002" s="46"/>
      <c r="R8002" s="51"/>
      <c r="S8002" s="51"/>
    </row>
    <row r="8003" spans="9:19" x14ac:dyDescent="0.25">
      <c r="I8003" s="1"/>
      <c r="J8003" s="71"/>
      <c r="M8003" s="46"/>
      <c r="R8003" s="51"/>
      <c r="S8003" s="51"/>
    </row>
    <row r="8004" spans="9:19" x14ac:dyDescent="0.25">
      <c r="I8004" s="1"/>
      <c r="J8004" s="71"/>
      <c r="M8004" s="46"/>
      <c r="R8004" s="51"/>
      <c r="S8004" s="51"/>
    </row>
    <row r="8005" spans="9:19" x14ac:dyDescent="0.25">
      <c r="I8005" s="1"/>
      <c r="J8005" s="71"/>
      <c r="M8005" s="46"/>
      <c r="R8005" s="51"/>
      <c r="S8005" s="51"/>
    </row>
    <row r="8006" spans="9:19" x14ac:dyDescent="0.25">
      <c r="I8006" s="1"/>
      <c r="J8006" s="71"/>
      <c r="M8006" s="46"/>
      <c r="R8006" s="51"/>
      <c r="S8006" s="51"/>
    </row>
    <row r="8007" spans="9:19" x14ac:dyDescent="0.25">
      <c r="I8007" s="1"/>
      <c r="J8007" s="71"/>
      <c r="M8007" s="46"/>
      <c r="R8007" s="51"/>
      <c r="S8007" s="51"/>
    </row>
    <row r="8008" spans="9:19" x14ac:dyDescent="0.25">
      <c r="I8008" s="1"/>
      <c r="J8008" s="71"/>
      <c r="M8008" s="46"/>
      <c r="R8008" s="51"/>
      <c r="S8008" s="51"/>
    </row>
    <row r="8009" spans="9:19" x14ac:dyDescent="0.25">
      <c r="I8009" s="1"/>
      <c r="J8009" s="71"/>
      <c r="M8009" s="46"/>
      <c r="R8009" s="51"/>
      <c r="S8009" s="51"/>
    </row>
    <row r="8010" spans="9:19" x14ac:dyDescent="0.25">
      <c r="I8010" s="1"/>
      <c r="J8010" s="71"/>
      <c r="M8010" s="46"/>
      <c r="R8010" s="51"/>
      <c r="S8010" s="51"/>
    </row>
    <row r="8011" spans="9:19" x14ac:dyDescent="0.25">
      <c r="I8011" s="1"/>
      <c r="J8011" s="71"/>
      <c r="M8011" s="46"/>
      <c r="R8011" s="51"/>
      <c r="S8011" s="51"/>
    </row>
    <row r="8012" spans="9:19" x14ac:dyDescent="0.25">
      <c r="I8012" s="1"/>
      <c r="J8012" s="71"/>
      <c r="M8012" s="46"/>
      <c r="R8012" s="51"/>
      <c r="S8012" s="51"/>
    </row>
    <row r="8013" spans="9:19" x14ac:dyDescent="0.25">
      <c r="I8013" s="1"/>
      <c r="J8013" s="71"/>
      <c r="M8013" s="46"/>
      <c r="R8013" s="51"/>
      <c r="S8013" s="51"/>
    </row>
    <row r="8014" spans="9:19" x14ac:dyDescent="0.25">
      <c r="I8014" s="1"/>
      <c r="J8014" s="71"/>
      <c r="M8014" s="46"/>
      <c r="R8014" s="51"/>
      <c r="S8014" s="51"/>
    </row>
    <row r="8015" spans="9:19" x14ac:dyDescent="0.25">
      <c r="I8015" s="1"/>
      <c r="J8015" s="71"/>
      <c r="M8015" s="46"/>
      <c r="R8015" s="51"/>
      <c r="S8015" s="51"/>
    </row>
    <row r="8016" spans="9:19" x14ac:dyDescent="0.25">
      <c r="I8016" s="1"/>
      <c r="J8016" s="71"/>
      <c r="M8016" s="46"/>
      <c r="R8016" s="51"/>
      <c r="S8016" s="51"/>
    </row>
    <row r="8017" spans="9:19" x14ac:dyDescent="0.25">
      <c r="I8017" s="1"/>
      <c r="J8017" s="71"/>
      <c r="M8017" s="46"/>
      <c r="R8017" s="51"/>
      <c r="S8017" s="51"/>
    </row>
    <row r="8018" spans="9:19" x14ac:dyDescent="0.25">
      <c r="I8018" s="1"/>
      <c r="J8018" s="71"/>
      <c r="M8018" s="46"/>
      <c r="R8018" s="51"/>
      <c r="S8018" s="51"/>
    </row>
    <row r="8019" spans="9:19" x14ac:dyDescent="0.25">
      <c r="I8019" s="1"/>
      <c r="J8019" s="71"/>
      <c r="M8019" s="46"/>
      <c r="R8019" s="51"/>
      <c r="S8019" s="51"/>
    </row>
    <row r="8020" spans="9:19" x14ac:dyDescent="0.25">
      <c r="I8020" s="1"/>
      <c r="J8020" s="71"/>
      <c r="M8020" s="46"/>
      <c r="R8020" s="51"/>
      <c r="S8020" s="51"/>
    </row>
    <row r="8021" spans="9:19" x14ac:dyDescent="0.25">
      <c r="I8021" s="1"/>
      <c r="J8021" s="71"/>
      <c r="M8021" s="46"/>
      <c r="R8021" s="51"/>
      <c r="S8021" s="51"/>
    </row>
    <row r="8022" spans="9:19" x14ac:dyDescent="0.25">
      <c r="I8022" s="1"/>
      <c r="J8022" s="71"/>
      <c r="M8022" s="46"/>
      <c r="R8022" s="51"/>
      <c r="S8022" s="51"/>
    </row>
    <row r="8023" spans="9:19" x14ac:dyDescent="0.25">
      <c r="I8023" s="1"/>
      <c r="J8023" s="71"/>
      <c r="M8023" s="46"/>
      <c r="R8023" s="51"/>
      <c r="S8023" s="51"/>
    </row>
    <row r="8024" spans="9:19" x14ac:dyDescent="0.25">
      <c r="I8024" s="1"/>
      <c r="J8024" s="71"/>
      <c r="M8024" s="46"/>
      <c r="R8024" s="51"/>
      <c r="S8024" s="51"/>
    </row>
    <row r="8025" spans="9:19" x14ac:dyDescent="0.25">
      <c r="I8025" s="1"/>
      <c r="J8025" s="71"/>
      <c r="M8025" s="46"/>
      <c r="R8025" s="51"/>
      <c r="S8025" s="51"/>
    </row>
    <row r="8026" spans="9:19" x14ac:dyDescent="0.25">
      <c r="I8026" s="1"/>
      <c r="J8026" s="71"/>
      <c r="M8026" s="46"/>
      <c r="R8026" s="51"/>
      <c r="S8026" s="51"/>
    </row>
    <row r="8027" spans="9:19" x14ac:dyDescent="0.25">
      <c r="I8027" s="1"/>
      <c r="J8027" s="71"/>
      <c r="M8027" s="46"/>
      <c r="R8027" s="51"/>
      <c r="S8027" s="51"/>
    </row>
    <row r="8028" spans="9:19" x14ac:dyDescent="0.25">
      <c r="I8028" s="1"/>
      <c r="J8028" s="71"/>
      <c r="M8028" s="46"/>
      <c r="R8028" s="51"/>
      <c r="S8028" s="51"/>
    </row>
    <row r="8029" spans="9:19" x14ac:dyDescent="0.25">
      <c r="I8029" s="1"/>
      <c r="J8029" s="71"/>
      <c r="M8029" s="46"/>
      <c r="R8029" s="51"/>
      <c r="S8029" s="51"/>
    </row>
    <row r="8030" spans="9:19" x14ac:dyDescent="0.25">
      <c r="I8030" s="1"/>
      <c r="J8030" s="71"/>
      <c r="M8030" s="46"/>
      <c r="R8030" s="51"/>
      <c r="S8030" s="51"/>
    </row>
    <row r="8031" spans="9:19" x14ac:dyDescent="0.25">
      <c r="I8031" s="1"/>
      <c r="J8031" s="71"/>
      <c r="M8031" s="46"/>
      <c r="R8031" s="51"/>
      <c r="S8031" s="51"/>
    </row>
    <row r="8032" spans="9:19" x14ac:dyDescent="0.25">
      <c r="I8032" s="1"/>
      <c r="J8032" s="71"/>
      <c r="M8032" s="46"/>
      <c r="R8032" s="51"/>
      <c r="S8032" s="51"/>
    </row>
    <row r="8033" spans="9:19" x14ac:dyDescent="0.25">
      <c r="I8033" s="1"/>
      <c r="J8033" s="71"/>
      <c r="M8033" s="46"/>
      <c r="R8033" s="51"/>
      <c r="S8033" s="51"/>
    </row>
    <row r="8034" spans="9:19" x14ac:dyDescent="0.25">
      <c r="I8034" s="1"/>
      <c r="J8034" s="71"/>
      <c r="M8034" s="46"/>
      <c r="R8034" s="51"/>
      <c r="S8034" s="51"/>
    </row>
    <row r="8035" spans="9:19" x14ac:dyDescent="0.25">
      <c r="I8035" s="1"/>
      <c r="J8035" s="71"/>
      <c r="M8035" s="46"/>
      <c r="R8035" s="51"/>
      <c r="S8035" s="51"/>
    </row>
    <row r="8036" spans="9:19" x14ac:dyDescent="0.25">
      <c r="I8036" s="1"/>
      <c r="J8036" s="71"/>
      <c r="M8036" s="46"/>
      <c r="R8036" s="51"/>
      <c r="S8036" s="51"/>
    </row>
    <row r="8037" spans="9:19" x14ac:dyDescent="0.25">
      <c r="I8037" s="1"/>
      <c r="J8037" s="71"/>
      <c r="M8037" s="46"/>
      <c r="R8037" s="51"/>
      <c r="S8037" s="51"/>
    </row>
    <row r="8038" spans="9:19" x14ac:dyDescent="0.25">
      <c r="I8038" s="1"/>
      <c r="J8038" s="71"/>
      <c r="M8038" s="46"/>
      <c r="R8038" s="51"/>
      <c r="S8038" s="51"/>
    </row>
    <row r="8039" spans="9:19" x14ac:dyDescent="0.25">
      <c r="I8039" s="1"/>
      <c r="J8039" s="71"/>
      <c r="M8039" s="46"/>
      <c r="R8039" s="51"/>
      <c r="S8039" s="51"/>
    </row>
    <row r="8040" spans="9:19" x14ac:dyDescent="0.25">
      <c r="I8040" s="1"/>
      <c r="J8040" s="71"/>
      <c r="M8040" s="46"/>
      <c r="R8040" s="51"/>
      <c r="S8040" s="51"/>
    </row>
    <row r="8041" spans="9:19" x14ac:dyDescent="0.25">
      <c r="I8041" s="1"/>
      <c r="J8041" s="71"/>
      <c r="M8041" s="46"/>
      <c r="R8041" s="51"/>
      <c r="S8041" s="51"/>
    </row>
    <row r="8042" spans="9:19" x14ac:dyDescent="0.25">
      <c r="I8042" s="1"/>
      <c r="J8042" s="71"/>
      <c r="M8042" s="46"/>
      <c r="R8042" s="51"/>
      <c r="S8042" s="51"/>
    </row>
    <row r="8043" spans="9:19" x14ac:dyDescent="0.25">
      <c r="I8043" s="1"/>
      <c r="J8043" s="71"/>
      <c r="M8043" s="46"/>
      <c r="R8043" s="51"/>
      <c r="S8043" s="51"/>
    </row>
    <row r="8044" spans="9:19" x14ac:dyDescent="0.25">
      <c r="I8044" s="1"/>
      <c r="J8044" s="71"/>
      <c r="M8044" s="46"/>
      <c r="R8044" s="51"/>
      <c r="S8044" s="51"/>
    </row>
    <row r="8045" spans="9:19" x14ac:dyDescent="0.25">
      <c r="I8045" s="1"/>
      <c r="J8045" s="71"/>
      <c r="M8045" s="46"/>
      <c r="R8045" s="51"/>
      <c r="S8045" s="51"/>
    </row>
    <row r="8046" spans="9:19" x14ac:dyDescent="0.25">
      <c r="I8046" s="1"/>
      <c r="J8046" s="71"/>
      <c r="M8046" s="46"/>
      <c r="R8046" s="51"/>
      <c r="S8046" s="51"/>
    </row>
    <row r="8047" spans="9:19" x14ac:dyDescent="0.25">
      <c r="I8047" s="1"/>
      <c r="J8047" s="71"/>
      <c r="M8047" s="46"/>
      <c r="R8047" s="51"/>
      <c r="S8047" s="51"/>
    </row>
    <row r="8048" spans="9:19" x14ac:dyDescent="0.25">
      <c r="I8048" s="1"/>
      <c r="J8048" s="71"/>
      <c r="M8048" s="46"/>
      <c r="R8048" s="51"/>
      <c r="S8048" s="51"/>
    </row>
    <row r="8049" spans="9:19" x14ac:dyDescent="0.25">
      <c r="I8049" s="1"/>
      <c r="J8049" s="71"/>
      <c r="M8049" s="46"/>
      <c r="R8049" s="51"/>
      <c r="S8049" s="51"/>
    </row>
    <row r="8050" spans="9:19" x14ac:dyDescent="0.25">
      <c r="I8050" s="1"/>
      <c r="J8050" s="71"/>
      <c r="M8050" s="46"/>
      <c r="R8050" s="51"/>
      <c r="S8050" s="51"/>
    </row>
    <row r="8051" spans="9:19" x14ac:dyDescent="0.25">
      <c r="I8051" s="1"/>
      <c r="J8051" s="71"/>
      <c r="M8051" s="46"/>
      <c r="R8051" s="51"/>
      <c r="S8051" s="51"/>
    </row>
    <row r="8052" spans="9:19" x14ac:dyDescent="0.25">
      <c r="I8052" s="1"/>
      <c r="J8052" s="71"/>
      <c r="M8052" s="46"/>
      <c r="R8052" s="51"/>
      <c r="S8052" s="51"/>
    </row>
    <row r="8053" spans="9:19" x14ac:dyDescent="0.25">
      <c r="I8053" s="1"/>
      <c r="J8053" s="71"/>
      <c r="M8053" s="46"/>
      <c r="R8053" s="51"/>
      <c r="S8053" s="51"/>
    </row>
    <row r="8054" spans="9:19" x14ac:dyDescent="0.25">
      <c r="I8054" s="1"/>
      <c r="J8054" s="71"/>
      <c r="M8054" s="46"/>
      <c r="R8054" s="51"/>
      <c r="S8054" s="51"/>
    </row>
    <row r="8055" spans="9:19" x14ac:dyDescent="0.25">
      <c r="I8055" s="1"/>
      <c r="J8055" s="71"/>
      <c r="M8055" s="46"/>
      <c r="R8055" s="51"/>
      <c r="S8055" s="51"/>
    </row>
    <row r="8056" spans="9:19" x14ac:dyDescent="0.25">
      <c r="I8056" s="1"/>
      <c r="J8056" s="71"/>
      <c r="M8056" s="46"/>
      <c r="R8056" s="51"/>
      <c r="S8056" s="51"/>
    </row>
    <row r="8057" spans="9:19" x14ac:dyDescent="0.25">
      <c r="I8057" s="1"/>
      <c r="J8057" s="71"/>
      <c r="M8057" s="46"/>
      <c r="R8057" s="51"/>
      <c r="S8057" s="51"/>
    </row>
    <row r="8058" spans="9:19" x14ac:dyDescent="0.25">
      <c r="I8058" s="1"/>
      <c r="J8058" s="71"/>
      <c r="M8058" s="46"/>
      <c r="R8058" s="51"/>
      <c r="S8058" s="51"/>
    </row>
    <row r="8059" spans="9:19" x14ac:dyDescent="0.25">
      <c r="I8059" s="1"/>
      <c r="J8059" s="71"/>
      <c r="M8059" s="46"/>
      <c r="R8059" s="51"/>
      <c r="S8059" s="51"/>
    </row>
    <row r="8060" spans="9:19" x14ac:dyDescent="0.25">
      <c r="I8060" s="1"/>
      <c r="J8060" s="71"/>
      <c r="M8060" s="46"/>
      <c r="R8060" s="51"/>
      <c r="S8060" s="51"/>
    </row>
    <row r="8061" spans="9:19" x14ac:dyDescent="0.25">
      <c r="I8061" s="1"/>
      <c r="J8061" s="71"/>
      <c r="M8061" s="46"/>
      <c r="R8061" s="51"/>
      <c r="S8061" s="51"/>
    </row>
    <row r="8062" spans="9:19" x14ac:dyDescent="0.25">
      <c r="I8062" s="1"/>
      <c r="J8062" s="71"/>
      <c r="M8062" s="46"/>
      <c r="R8062" s="51"/>
      <c r="S8062" s="51"/>
    </row>
    <row r="8063" spans="9:19" x14ac:dyDescent="0.25">
      <c r="I8063" s="1"/>
      <c r="J8063" s="71"/>
      <c r="M8063" s="46"/>
      <c r="R8063" s="51"/>
      <c r="S8063" s="51"/>
    </row>
    <row r="8064" spans="9:19" x14ac:dyDescent="0.25">
      <c r="I8064" s="1"/>
      <c r="J8064" s="71"/>
      <c r="M8064" s="46"/>
      <c r="R8064" s="51"/>
      <c r="S8064" s="51"/>
    </row>
    <row r="8065" spans="9:19" x14ac:dyDescent="0.25">
      <c r="I8065" s="1"/>
      <c r="J8065" s="71"/>
      <c r="M8065" s="46"/>
      <c r="R8065" s="51"/>
      <c r="S8065" s="51"/>
    </row>
    <row r="8066" spans="9:19" x14ac:dyDescent="0.25">
      <c r="I8066" s="1"/>
      <c r="J8066" s="71"/>
      <c r="M8066" s="46"/>
      <c r="R8066" s="51"/>
      <c r="S8066" s="51"/>
    </row>
    <row r="8067" spans="9:19" x14ac:dyDescent="0.25">
      <c r="I8067" s="1"/>
      <c r="J8067" s="71"/>
      <c r="M8067" s="46"/>
      <c r="R8067" s="51"/>
      <c r="S8067" s="51"/>
    </row>
    <row r="8068" spans="9:19" x14ac:dyDescent="0.25">
      <c r="I8068" s="1"/>
      <c r="J8068" s="71"/>
      <c r="M8068" s="46"/>
      <c r="R8068" s="51"/>
      <c r="S8068" s="51"/>
    </row>
    <row r="8069" spans="9:19" x14ac:dyDescent="0.25">
      <c r="I8069" s="1"/>
      <c r="J8069" s="71"/>
      <c r="M8069" s="46"/>
      <c r="R8069" s="51"/>
      <c r="S8069" s="51"/>
    </row>
    <row r="8070" spans="9:19" x14ac:dyDescent="0.25">
      <c r="I8070" s="1"/>
      <c r="J8070" s="71"/>
      <c r="M8070" s="46"/>
      <c r="R8070" s="51"/>
      <c r="S8070" s="51"/>
    </row>
    <row r="8071" spans="9:19" x14ac:dyDescent="0.25">
      <c r="I8071" s="1"/>
      <c r="J8071" s="71"/>
      <c r="M8071" s="46"/>
      <c r="R8071" s="51"/>
      <c r="S8071" s="51"/>
    </row>
    <row r="8072" spans="9:19" x14ac:dyDescent="0.25">
      <c r="I8072" s="1"/>
      <c r="J8072" s="71"/>
      <c r="M8072" s="46"/>
      <c r="R8072" s="51"/>
      <c r="S8072" s="51"/>
    </row>
    <row r="8073" spans="9:19" x14ac:dyDescent="0.25">
      <c r="I8073" s="1"/>
      <c r="J8073" s="71"/>
      <c r="M8073" s="46"/>
      <c r="R8073" s="51"/>
      <c r="S8073" s="51"/>
    </row>
    <row r="8074" spans="9:19" x14ac:dyDescent="0.25">
      <c r="I8074" s="1"/>
      <c r="J8074" s="71"/>
      <c r="M8074" s="46"/>
      <c r="R8074" s="51"/>
      <c r="S8074" s="51"/>
    </row>
    <row r="8075" spans="9:19" x14ac:dyDescent="0.25">
      <c r="I8075" s="1"/>
      <c r="J8075" s="71"/>
      <c r="M8075" s="46"/>
      <c r="R8075" s="51"/>
      <c r="S8075" s="51"/>
    </row>
    <row r="8076" spans="9:19" x14ac:dyDescent="0.25">
      <c r="I8076" s="1"/>
      <c r="J8076" s="71"/>
      <c r="M8076" s="46"/>
      <c r="R8076" s="51"/>
      <c r="S8076" s="51"/>
    </row>
    <row r="8077" spans="9:19" x14ac:dyDescent="0.25">
      <c r="I8077" s="1"/>
      <c r="J8077" s="71"/>
      <c r="M8077" s="46"/>
      <c r="R8077" s="51"/>
      <c r="S8077" s="51"/>
    </row>
    <row r="8078" spans="9:19" x14ac:dyDescent="0.25">
      <c r="I8078" s="1"/>
      <c r="J8078" s="71"/>
      <c r="M8078" s="46"/>
      <c r="R8078" s="51"/>
      <c r="S8078" s="51"/>
    </row>
    <row r="8079" spans="9:19" x14ac:dyDescent="0.25">
      <c r="I8079" s="1"/>
      <c r="J8079" s="71"/>
      <c r="M8079" s="46"/>
      <c r="R8079" s="51"/>
      <c r="S8079" s="51"/>
    </row>
    <row r="8080" spans="9:19" x14ac:dyDescent="0.25">
      <c r="I8080" s="1"/>
      <c r="J8080" s="71"/>
      <c r="M8080" s="46"/>
      <c r="R8080" s="51"/>
      <c r="S8080" s="51"/>
    </row>
    <row r="8081" spans="9:19" x14ac:dyDescent="0.25">
      <c r="I8081" s="1"/>
      <c r="J8081" s="71"/>
      <c r="M8081" s="46"/>
      <c r="R8081" s="51"/>
      <c r="S8081" s="51"/>
    </row>
    <row r="8082" spans="9:19" x14ac:dyDescent="0.25">
      <c r="I8082" s="1"/>
      <c r="J8082" s="71"/>
      <c r="M8082" s="46"/>
      <c r="R8082" s="51"/>
      <c r="S8082" s="51"/>
    </row>
    <row r="8083" spans="9:19" x14ac:dyDescent="0.25">
      <c r="I8083" s="1"/>
      <c r="J8083" s="71"/>
      <c r="M8083" s="46"/>
      <c r="R8083" s="51"/>
      <c r="S8083" s="51"/>
    </row>
    <row r="8084" spans="9:19" x14ac:dyDescent="0.25">
      <c r="I8084" s="1"/>
      <c r="J8084" s="71"/>
      <c r="M8084" s="46"/>
      <c r="R8084" s="51"/>
      <c r="S8084" s="51"/>
    </row>
    <row r="8085" spans="9:19" x14ac:dyDescent="0.25">
      <c r="I8085" s="1"/>
      <c r="J8085" s="71"/>
      <c r="M8085" s="46"/>
      <c r="R8085" s="51"/>
      <c r="S8085" s="51"/>
    </row>
    <row r="8086" spans="9:19" x14ac:dyDescent="0.25">
      <c r="I8086" s="1"/>
      <c r="J8086" s="71"/>
      <c r="M8086" s="46"/>
      <c r="R8086" s="51"/>
      <c r="S8086" s="51"/>
    </row>
    <row r="8087" spans="9:19" x14ac:dyDescent="0.25">
      <c r="I8087" s="1"/>
      <c r="J8087" s="71"/>
      <c r="M8087" s="46"/>
      <c r="R8087" s="51"/>
      <c r="S8087" s="51"/>
    </row>
    <row r="8088" spans="9:19" x14ac:dyDescent="0.25">
      <c r="I8088" s="1"/>
      <c r="J8088" s="71"/>
      <c r="M8088" s="46"/>
      <c r="R8088" s="51"/>
      <c r="S8088" s="51"/>
    </row>
    <row r="8089" spans="9:19" x14ac:dyDescent="0.25">
      <c r="I8089" s="1"/>
      <c r="J8089" s="71"/>
      <c r="M8089" s="46"/>
      <c r="R8089" s="51"/>
      <c r="S8089" s="51"/>
    </row>
    <row r="8090" spans="9:19" x14ac:dyDescent="0.25">
      <c r="I8090" s="1"/>
      <c r="J8090" s="71"/>
      <c r="M8090" s="46"/>
      <c r="R8090" s="51"/>
      <c r="S8090" s="51"/>
    </row>
    <row r="8091" spans="9:19" x14ac:dyDescent="0.25">
      <c r="I8091" s="1"/>
      <c r="J8091" s="71"/>
      <c r="M8091" s="46"/>
      <c r="R8091" s="51"/>
      <c r="S8091" s="51"/>
    </row>
    <row r="8092" spans="9:19" x14ac:dyDescent="0.25">
      <c r="I8092" s="1"/>
      <c r="J8092" s="71"/>
      <c r="M8092" s="46"/>
      <c r="R8092" s="51"/>
      <c r="S8092" s="51"/>
    </row>
    <row r="8093" spans="9:19" x14ac:dyDescent="0.25">
      <c r="I8093" s="1"/>
      <c r="J8093" s="71"/>
      <c r="M8093" s="46"/>
      <c r="R8093" s="51"/>
      <c r="S8093" s="51"/>
    </row>
    <row r="8094" spans="9:19" x14ac:dyDescent="0.25">
      <c r="I8094" s="1"/>
      <c r="J8094" s="71"/>
      <c r="M8094" s="46"/>
      <c r="R8094" s="51"/>
      <c r="S8094" s="51"/>
    </row>
    <row r="8095" spans="9:19" x14ac:dyDescent="0.25">
      <c r="I8095" s="1"/>
      <c r="J8095" s="71"/>
      <c r="M8095" s="46"/>
      <c r="R8095" s="51"/>
      <c r="S8095" s="51"/>
    </row>
    <row r="8096" spans="9:19" x14ac:dyDescent="0.25">
      <c r="I8096" s="1"/>
      <c r="J8096" s="71"/>
      <c r="M8096" s="46"/>
      <c r="R8096" s="51"/>
      <c r="S8096" s="51"/>
    </row>
    <row r="8097" spans="9:19" x14ac:dyDescent="0.25">
      <c r="I8097" s="1"/>
      <c r="J8097" s="71"/>
      <c r="M8097" s="46"/>
      <c r="R8097" s="51"/>
      <c r="S8097" s="51"/>
    </row>
    <row r="8098" spans="9:19" x14ac:dyDescent="0.25">
      <c r="I8098" s="1"/>
      <c r="J8098" s="71"/>
      <c r="M8098" s="46"/>
      <c r="R8098" s="51"/>
      <c r="S8098" s="51"/>
    </row>
    <row r="8099" spans="9:19" x14ac:dyDescent="0.25">
      <c r="I8099" s="1"/>
      <c r="J8099" s="71"/>
      <c r="M8099" s="46"/>
      <c r="R8099" s="51"/>
      <c r="S8099" s="51"/>
    </row>
    <row r="8100" spans="9:19" x14ac:dyDescent="0.25">
      <c r="I8100" s="1"/>
      <c r="J8100" s="71"/>
      <c r="M8100" s="46"/>
      <c r="R8100" s="51"/>
      <c r="S8100" s="51"/>
    </row>
    <row r="8101" spans="9:19" x14ac:dyDescent="0.25">
      <c r="I8101" s="1"/>
      <c r="J8101" s="71"/>
      <c r="M8101" s="46"/>
      <c r="R8101" s="51"/>
      <c r="S8101" s="51"/>
    </row>
    <row r="8102" spans="9:19" x14ac:dyDescent="0.25">
      <c r="I8102" s="1"/>
      <c r="J8102" s="71"/>
      <c r="M8102" s="46"/>
      <c r="R8102" s="51"/>
      <c r="S8102" s="51"/>
    </row>
    <row r="8103" spans="9:19" x14ac:dyDescent="0.25">
      <c r="I8103" s="1"/>
      <c r="J8103" s="71"/>
      <c r="M8103" s="46"/>
      <c r="R8103" s="51"/>
      <c r="S8103" s="51"/>
    </row>
    <row r="8104" spans="9:19" x14ac:dyDescent="0.25">
      <c r="I8104" s="1"/>
      <c r="J8104" s="71"/>
      <c r="M8104" s="46"/>
      <c r="R8104" s="51"/>
      <c r="S8104" s="51"/>
    </row>
    <row r="8105" spans="9:19" x14ac:dyDescent="0.25">
      <c r="I8105" s="1"/>
      <c r="J8105" s="71"/>
      <c r="M8105" s="46"/>
      <c r="R8105" s="51"/>
      <c r="S8105" s="51"/>
    </row>
    <row r="8106" spans="9:19" x14ac:dyDescent="0.25">
      <c r="I8106" s="1"/>
      <c r="J8106" s="71"/>
      <c r="M8106" s="46"/>
      <c r="R8106" s="51"/>
      <c r="S8106" s="51"/>
    </row>
    <row r="8107" spans="9:19" x14ac:dyDescent="0.25">
      <c r="I8107" s="1"/>
      <c r="J8107" s="71"/>
      <c r="M8107" s="46"/>
      <c r="R8107" s="51"/>
      <c r="S8107" s="51"/>
    </row>
    <row r="8108" spans="9:19" x14ac:dyDescent="0.25">
      <c r="I8108" s="1"/>
      <c r="J8108" s="71"/>
      <c r="M8108" s="46"/>
      <c r="R8108" s="51"/>
      <c r="S8108" s="51"/>
    </row>
    <row r="8109" spans="9:19" x14ac:dyDescent="0.25">
      <c r="I8109" s="1"/>
      <c r="J8109" s="71"/>
      <c r="M8109" s="46"/>
      <c r="R8109" s="51"/>
      <c r="S8109" s="51"/>
    </row>
    <row r="8110" spans="9:19" x14ac:dyDescent="0.25">
      <c r="I8110" s="1"/>
      <c r="J8110" s="71"/>
      <c r="M8110" s="46"/>
      <c r="R8110" s="51"/>
      <c r="S8110" s="51"/>
    </row>
    <row r="8111" spans="9:19" x14ac:dyDescent="0.25">
      <c r="I8111" s="1"/>
      <c r="J8111" s="71"/>
      <c r="M8111" s="46"/>
      <c r="R8111" s="51"/>
      <c r="S8111" s="51"/>
    </row>
    <row r="8112" spans="9:19" x14ac:dyDescent="0.25">
      <c r="I8112" s="1"/>
      <c r="J8112" s="71"/>
      <c r="M8112" s="46"/>
      <c r="R8112" s="51"/>
      <c r="S8112" s="51"/>
    </row>
    <row r="8113" spans="9:19" x14ac:dyDescent="0.25">
      <c r="I8113" s="1"/>
      <c r="J8113" s="71"/>
      <c r="M8113" s="46"/>
      <c r="R8113" s="51"/>
      <c r="S8113" s="51"/>
    </row>
    <row r="8114" spans="9:19" x14ac:dyDescent="0.25">
      <c r="I8114" s="1"/>
      <c r="J8114" s="71"/>
      <c r="M8114" s="46"/>
      <c r="R8114" s="51"/>
      <c r="S8114" s="51"/>
    </row>
    <row r="8115" spans="9:19" x14ac:dyDescent="0.25">
      <c r="I8115" s="1"/>
      <c r="J8115" s="71"/>
      <c r="M8115" s="46"/>
      <c r="R8115" s="51"/>
      <c r="S8115" s="51"/>
    </row>
    <row r="8116" spans="9:19" x14ac:dyDescent="0.25">
      <c r="I8116" s="1"/>
      <c r="J8116" s="71"/>
      <c r="M8116" s="46"/>
      <c r="R8116" s="51"/>
      <c r="S8116" s="51"/>
    </row>
    <row r="8117" spans="9:19" x14ac:dyDescent="0.25">
      <c r="I8117" s="1"/>
      <c r="J8117" s="71"/>
      <c r="M8117" s="46"/>
      <c r="R8117" s="51"/>
      <c r="S8117" s="51"/>
    </row>
    <row r="8118" spans="9:19" x14ac:dyDescent="0.25">
      <c r="I8118" s="1"/>
      <c r="J8118" s="71"/>
      <c r="M8118" s="46"/>
      <c r="R8118" s="51"/>
      <c r="S8118" s="51"/>
    </row>
    <row r="8119" spans="9:19" x14ac:dyDescent="0.25">
      <c r="I8119" s="1"/>
      <c r="J8119" s="71"/>
      <c r="M8119" s="46"/>
      <c r="R8119" s="51"/>
      <c r="S8119" s="51"/>
    </row>
    <row r="8120" spans="9:19" x14ac:dyDescent="0.25">
      <c r="I8120" s="1"/>
      <c r="J8120" s="71"/>
      <c r="M8120" s="46"/>
      <c r="R8120" s="51"/>
      <c r="S8120" s="51"/>
    </row>
    <row r="8121" spans="9:19" x14ac:dyDescent="0.25">
      <c r="I8121" s="1"/>
      <c r="J8121" s="71"/>
      <c r="M8121" s="46"/>
      <c r="R8121" s="51"/>
      <c r="S8121" s="51"/>
    </row>
    <row r="8122" spans="9:19" x14ac:dyDescent="0.25">
      <c r="I8122" s="1"/>
      <c r="J8122" s="71"/>
      <c r="M8122" s="46"/>
      <c r="R8122" s="51"/>
      <c r="S8122" s="51"/>
    </row>
    <row r="8123" spans="9:19" x14ac:dyDescent="0.25">
      <c r="I8123" s="1"/>
      <c r="J8123" s="71"/>
      <c r="M8123" s="46"/>
      <c r="R8123" s="51"/>
      <c r="S8123" s="51"/>
    </row>
    <row r="8124" spans="9:19" x14ac:dyDescent="0.25">
      <c r="I8124" s="1"/>
      <c r="J8124" s="71"/>
      <c r="M8124" s="46"/>
      <c r="R8124" s="51"/>
      <c r="S8124" s="51"/>
    </row>
    <row r="8125" spans="9:19" x14ac:dyDescent="0.25">
      <c r="I8125" s="1"/>
      <c r="J8125" s="71"/>
      <c r="M8125" s="46"/>
      <c r="R8125" s="51"/>
      <c r="S8125" s="51"/>
    </row>
    <row r="8126" spans="9:19" x14ac:dyDescent="0.25">
      <c r="I8126" s="1"/>
      <c r="J8126" s="71"/>
      <c r="M8126" s="46"/>
      <c r="R8126" s="51"/>
      <c r="S8126" s="51"/>
    </row>
    <row r="8127" spans="9:19" x14ac:dyDescent="0.25">
      <c r="I8127" s="1"/>
      <c r="J8127" s="71"/>
      <c r="M8127" s="46"/>
      <c r="R8127" s="51"/>
      <c r="S8127" s="51"/>
    </row>
    <row r="8128" spans="9:19" x14ac:dyDescent="0.25">
      <c r="I8128" s="1"/>
      <c r="J8128" s="71"/>
      <c r="M8128" s="46"/>
      <c r="R8128" s="51"/>
      <c r="S8128" s="51"/>
    </row>
    <row r="8129" spans="9:19" x14ac:dyDescent="0.25">
      <c r="I8129" s="1"/>
      <c r="J8129" s="71"/>
      <c r="M8129" s="46"/>
      <c r="R8129" s="51"/>
      <c r="S8129" s="51"/>
    </row>
    <row r="8130" spans="9:19" x14ac:dyDescent="0.25">
      <c r="I8130" s="1"/>
      <c r="J8130" s="71"/>
      <c r="M8130" s="46"/>
      <c r="R8130" s="51"/>
      <c r="S8130" s="51"/>
    </row>
    <row r="8131" spans="9:19" x14ac:dyDescent="0.25">
      <c r="I8131" s="1"/>
      <c r="J8131" s="71"/>
      <c r="M8131" s="46"/>
      <c r="R8131" s="51"/>
      <c r="S8131" s="51"/>
    </row>
    <row r="8132" spans="9:19" x14ac:dyDescent="0.25">
      <c r="I8132" s="1"/>
      <c r="J8132" s="71"/>
      <c r="M8132" s="46"/>
      <c r="R8132" s="51"/>
      <c r="S8132" s="51"/>
    </row>
    <row r="8133" spans="9:19" x14ac:dyDescent="0.25">
      <c r="I8133" s="1"/>
      <c r="J8133" s="71"/>
      <c r="M8133" s="46"/>
      <c r="R8133" s="51"/>
      <c r="S8133" s="51"/>
    </row>
    <row r="8134" spans="9:19" x14ac:dyDescent="0.25">
      <c r="I8134" s="1"/>
      <c r="J8134" s="71"/>
      <c r="M8134" s="46"/>
      <c r="R8134" s="51"/>
      <c r="S8134" s="51"/>
    </row>
    <row r="8135" spans="9:19" x14ac:dyDescent="0.25">
      <c r="I8135" s="1"/>
      <c r="J8135" s="71"/>
      <c r="M8135" s="46"/>
      <c r="R8135" s="51"/>
      <c r="S8135" s="51"/>
    </row>
    <row r="8136" spans="9:19" x14ac:dyDescent="0.25">
      <c r="I8136" s="1"/>
      <c r="J8136" s="71"/>
      <c r="M8136" s="46"/>
      <c r="R8136" s="51"/>
      <c r="S8136" s="51"/>
    </row>
    <row r="8137" spans="9:19" x14ac:dyDescent="0.25">
      <c r="I8137" s="1"/>
      <c r="J8137" s="71"/>
      <c r="M8137" s="46"/>
      <c r="R8137" s="51"/>
      <c r="S8137" s="51"/>
    </row>
    <row r="8138" spans="9:19" x14ac:dyDescent="0.25">
      <c r="I8138" s="1"/>
      <c r="J8138" s="71"/>
      <c r="M8138" s="46"/>
      <c r="R8138" s="51"/>
      <c r="S8138" s="51"/>
    </row>
    <row r="8139" spans="9:19" x14ac:dyDescent="0.25">
      <c r="I8139" s="1"/>
      <c r="J8139" s="71"/>
      <c r="M8139" s="46"/>
      <c r="R8139" s="51"/>
      <c r="S8139" s="51"/>
    </row>
    <row r="8140" spans="9:19" x14ac:dyDescent="0.25">
      <c r="I8140" s="1"/>
      <c r="J8140" s="71"/>
      <c r="M8140" s="46"/>
      <c r="R8140" s="51"/>
      <c r="S8140" s="51"/>
    </row>
    <row r="8141" spans="9:19" x14ac:dyDescent="0.25">
      <c r="I8141" s="1"/>
      <c r="J8141" s="71"/>
      <c r="M8141" s="46"/>
      <c r="R8141" s="51"/>
      <c r="S8141" s="51"/>
    </row>
    <row r="8142" spans="9:19" x14ac:dyDescent="0.25">
      <c r="I8142" s="1"/>
      <c r="J8142" s="71"/>
      <c r="M8142" s="46"/>
      <c r="R8142" s="51"/>
      <c r="S8142" s="51"/>
    </row>
    <row r="8143" spans="9:19" x14ac:dyDescent="0.25">
      <c r="I8143" s="1"/>
      <c r="J8143" s="71"/>
      <c r="M8143" s="46"/>
      <c r="R8143" s="51"/>
      <c r="S8143" s="51"/>
    </row>
    <row r="8144" spans="9:19" x14ac:dyDescent="0.25">
      <c r="I8144" s="1"/>
      <c r="J8144" s="71"/>
      <c r="M8144" s="46"/>
      <c r="R8144" s="51"/>
      <c r="S8144" s="51"/>
    </row>
    <row r="8145" spans="9:19" x14ac:dyDescent="0.25">
      <c r="I8145" s="1"/>
      <c r="J8145" s="71"/>
      <c r="M8145" s="46"/>
      <c r="R8145" s="51"/>
      <c r="S8145" s="51"/>
    </row>
    <row r="8146" spans="9:19" x14ac:dyDescent="0.25">
      <c r="I8146" s="1"/>
      <c r="J8146" s="71"/>
      <c r="M8146" s="46"/>
      <c r="R8146" s="51"/>
      <c r="S8146" s="51"/>
    </row>
    <row r="8147" spans="9:19" x14ac:dyDescent="0.25">
      <c r="I8147" s="1"/>
      <c r="J8147" s="71"/>
      <c r="M8147" s="46"/>
      <c r="R8147" s="51"/>
      <c r="S8147" s="51"/>
    </row>
    <row r="8148" spans="9:19" x14ac:dyDescent="0.25">
      <c r="I8148" s="1"/>
      <c r="J8148" s="71"/>
      <c r="M8148" s="46"/>
      <c r="R8148" s="51"/>
      <c r="S8148" s="51"/>
    </row>
    <row r="8149" spans="9:19" x14ac:dyDescent="0.25">
      <c r="I8149" s="1"/>
      <c r="J8149" s="71"/>
      <c r="M8149" s="46"/>
      <c r="R8149" s="51"/>
      <c r="S8149" s="51"/>
    </row>
    <row r="8150" spans="9:19" x14ac:dyDescent="0.25">
      <c r="I8150" s="1"/>
      <c r="J8150" s="71"/>
      <c r="M8150" s="46"/>
      <c r="R8150" s="51"/>
      <c r="S8150" s="51"/>
    </row>
    <row r="8151" spans="9:19" x14ac:dyDescent="0.25">
      <c r="I8151" s="1"/>
      <c r="J8151" s="71"/>
      <c r="M8151" s="46"/>
      <c r="R8151" s="51"/>
      <c r="S8151" s="51"/>
    </row>
    <row r="8152" spans="9:19" x14ac:dyDescent="0.25">
      <c r="I8152" s="1"/>
      <c r="J8152" s="71"/>
      <c r="M8152" s="46"/>
      <c r="R8152" s="51"/>
      <c r="S8152" s="51"/>
    </row>
    <row r="8153" spans="9:19" x14ac:dyDescent="0.25">
      <c r="I8153" s="1"/>
      <c r="J8153" s="71"/>
      <c r="M8153" s="46"/>
      <c r="R8153" s="51"/>
      <c r="S8153" s="51"/>
    </row>
    <row r="8154" spans="9:19" x14ac:dyDescent="0.25">
      <c r="I8154" s="1"/>
      <c r="J8154" s="71"/>
      <c r="M8154" s="46"/>
      <c r="R8154" s="51"/>
      <c r="S8154" s="51"/>
    </row>
    <row r="8155" spans="9:19" x14ac:dyDescent="0.25">
      <c r="I8155" s="1"/>
      <c r="J8155" s="71"/>
      <c r="M8155" s="46"/>
      <c r="R8155" s="51"/>
      <c r="S8155" s="51"/>
    </row>
    <row r="8156" spans="9:19" x14ac:dyDescent="0.25">
      <c r="I8156" s="1"/>
      <c r="J8156" s="71"/>
      <c r="M8156" s="46"/>
      <c r="R8156" s="51"/>
      <c r="S8156" s="51"/>
    </row>
    <row r="8157" spans="9:19" x14ac:dyDescent="0.25">
      <c r="I8157" s="1"/>
      <c r="J8157" s="71"/>
      <c r="M8157" s="46"/>
      <c r="R8157" s="51"/>
      <c r="S8157" s="51"/>
    </row>
    <row r="8158" spans="9:19" x14ac:dyDescent="0.25">
      <c r="I8158" s="1"/>
      <c r="J8158" s="71"/>
      <c r="M8158" s="46"/>
      <c r="R8158" s="51"/>
      <c r="S8158" s="51"/>
    </row>
    <row r="8159" spans="9:19" x14ac:dyDescent="0.25">
      <c r="I8159" s="1"/>
      <c r="J8159" s="71"/>
      <c r="M8159" s="46"/>
      <c r="R8159" s="51"/>
      <c r="S8159" s="51"/>
    </row>
    <row r="8160" spans="9:19" x14ac:dyDescent="0.25">
      <c r="I8160" s="1"/>
      <c r="J8160" s="71"/>
      <c r="M8160" s="46"/>
      <c r="R8160" s="51"/>
      <c r="S8160" s="51"/>
    </row>
    <row r="8161" spans="9:19" x14ac:dyDescent="0.25">
      <c r="I8161" s="1"/>
      <c r="J8161" s="71"/>
      <c r="M8161" s="46"/>
      <c r="R8161" s="51"/>
      <c r="S8161" s="51"/>
    </row>
    <row r="8162" spans="9:19" x14ac:dyDescent="0.25">
      <c r="I8162" s="1"/>
      <c r="J8162" s="71"/>
      <c r="M8162" s="46"/>
      <c r="R8162" s="51"/>
      <c r="S8162" s="51"/>
    </row>
    <row r="8163" spans="9:19" x14ac:dyDescent="0.25">
      <c r="I8163" s="1"/>
      <c r="J8163" s="71"/>
      <c r="M8163" s="46"/>
      <c r="R8163" s="51"/>
      <c r="S8163" s="51"/>
    </row>
    <row r="8164" spans="9:19" x14ac:dyDescent="0.25">
      <c r="I8164" s="1"/>
      <c r="J8164" s="71"/>
      <c r="M8164" s="46"/>
      <c r="R8164" s="51"/>
      <c r="S8164" s="51"/>
    </row>
    <row r="8165" spans="9:19" x14ac:dyDescent="0.25">
      <c r="I8165" s="1"/>
      <c r="J8165" s="71"/>
      <c r="M8165" s="46"/>
      <c r="R8165" s="51"/>
      <c r="S8165" s="51"/>
    </row>
    <row r="8166" spans="9:19" x14ac:dyDescent="0.25">
      <c r="I8166" s="1"/>
      <c r="J8166" s="71"/>
      <c r="M8166" s="46"/>
      <c r="R8166" s="51"/>
      <c r="S8166" s="51"/>
    </row>
    <row r="8167" spans="9:19" x14ac:dyDescent="0.25">
      <c r="I8167" s="1"/>
      <c r="J8167" s="71"/>
      <c r="M8167" s="46"/>
      <c r="R8167" s="51"/>
      <c r="S8167" s="51"/>
    </row>
    <row r="8168" spans="9:19" x14ac:dyDescent="0.25">
      <c r="I8168" s="1"/>
      <c r="J8168" s="71"/>
      <c r="M8168" s="46"/>
      <c r="R8168" s="51"/>
      <c r="S8168" s="51"/>
    </row>
    <row r="8169" spans="9:19" x14ac:dyDescent="0.25">
      <c r="I8169" s="1"/>
      <c r="J8169" s="71"/>
      <c r="M8169" s="46"/>
      <c r="R8169" s="51"/>
      <c r="S8169" s="51"/>
    </row>
    <row r="8170" spans="9:19" x14ac:dyDescent="0.25">
      <c r="I8170" s="1"/>
      <c r="J8170" s="71"/>
      <c r="M8170" s="46"/>
      <c r="R8170" s="51"/>
      <c r="S8170" s="51"/>
    </row>
    <row r="8171" spans="9:19" x14ac:dyDescent="0.25">
      <c r="I8171" s="1"/>
      <c r="J8171" s="71"/>
      <c r="M8171" s="46"/>
      <c r="R8171" s="51"/>
      <c r="S8171" s="51"/>
    </row>
    <row r="8172" spans="9:19" x14ac:dyDescent="0.25">
      <c r="I8172" s="1"/>
      <c r="J8172" s="71"/>
      <c r="M8172" s="46"/>
      <c r="R8172" s="51"/>
      <c r="S8172" s="51"/>
    </row>
    <row r="8173" spans="9:19" x14ac:dyDescent="0.25">
      <c r="I8173" s="1"/>
      <c r="J8173" s="71"/>
      <c r="M8173" s="46"/>
      <c r="R8173" s="51"/>
      <c r="S8173" s="51"/>
    </row>
    <row r="8174" spans="9:19" x14ac:dyDescent="0.25">
      <c r="I8174" s="1"/>
      <c r="J8174" s="71"/>
      <c r="M8174" s="46"/>
      <c r="R8174" s="51"/>
      <c r="S8174" s="51"/>
    </row>
    <row r="8175" spans="9:19" x14ac:dyDescent="0.25">
      <c r="I8175" s="1"/>
      <c r="J8175" s="71"/>
      <c r="M8175" s="46"/>
      <c r="R8175" s="51"/>
      <c r="S8175" s="51"/>
    </row>
    <row r="8176" spans="9:19" x14ac:dyDescent="0.25">
      <c r="I8176" s="1"/>
      <c r="J8176" s="71"/>
      <c r="M8176" s="46"/>
      <c r="R8176" s="51"/>
      <c r="S8176" s="51"/>
    </row>
    <row r="8177" spans="9:19" x14ac:dyDescent="0.25">
      <c r="I8177" s="1"/>
      <c r="J8177" s="71"/>
      <c r="M8177" s="46"/>
      <c r="R8177" s="51"/>
      <c r="S8177" s="51"/>
    </row>
    <row r="8178" spans="9:19" x14ac:dyDescent="0.25">
      <c r="I8178" s="1"/>
      <c r="J8178" s="71"/>
      <c r="M8178" s="46"/>
      <c r="R8178" s="51"/>
      <c r="S8178" s="51"/>
    </row>
    <row r="8179" spans="9:19" x14ac:dyDescent="0.25">
      <c r="I8179" s="1"/>
      <c r="J8179" s="71"/>
      <c r="M8179" s="46"/>
      <c r="R8179" s="51"/>
      <c r="S8179" s="51"/>
    </row>
    <row r="8180" spans="9:19" x14ac:dyDescent="0.25">
      <c r="I8180" s="1"/>
      <c r="J8180" s="71"/>
      <c r="M8180" s="46"/>
      <c r="R8180" s="51"/>
      <c r="S8180" s="51"/>
    </row>
    <row r="8181" spans="9:19" x14ac:dyDescent="0.25">
      <c r="I8181" s="1"/>
      <c r="J8181" s="71"/>
      <c r="M8181" s="46"/>
      <c r="R8181" s="51"/>
      <c r="S8181" s="51"/>
    </row>
    <row r="8182" spans="9:19" x14ac:dyDescent="0.25">
      <c r="I8182" s="1"/>
      <c r="J8182" s="71"/>
      <c r="M8182" s="46"/>
      <c r="R8182" s="51"/>
      <c r="S8182" s="51"/>
    </row>
    <row r="8183" spans="9:19" x14ac:dyDescent="0.25">
      <c r="I8183" s="1"/>
      <c r="J8183" s="71"/>
      <c r="M8183" s="46"/>
      <c r="R8183" s="51"/>
      <c r="S8183" s="51"/>
    </row>
    <row r="8184" spans="9:19" x14ac:dyDescent="0.25">
      <c r="I8184" s="1"/>
      <c r="J8184" s="71"/>
      <c r="M8184" s="46"/>
      <c r="R8184" s="51"/>
      <c r="S8184" s="51"/>
    </row>
    <row r="8185" spans="9:19" x14ac:dyDescent="0.25">
      <c r="I8185" s="1"/>
      <c r="J8185" s="71"/>
      <c r="M8185" s="46"/>
      <c r="R8185" s="51"/>
      <c r="S8185" s="51"/>
    </row>
    <row r="8186" spans="9:19" x14ac:dyDescent="0.25">
      <c r="I8186" s="1"/>
      <c r="J8186" s="71"/>
      <c r="M8186" s="46"/>
      <c r="R8186" s="51"/>
      <c r="S8186" s="51"/>
    </row>
    <row r="8187" spans="9:19" x14ac:dyDescent="0.25">
      <c r="I8187" s="1"/>
      <c r="J8187" s="71"/>
      <c r="M8187" s="46"/>
      <c r="R8187" s="51"/>
      <c r="S8187" s="51"/>
    </row>
    <row r="8188" spans="9:19" x14ac:dyDescent="0.25">
      <c r="I8188" s="1"/>
      <c r="J8188" s="71"/>
      <c r="M8188" s="46"/>
      <c r="R8188" s="51"/>
      <c r="S8188" s="51"/>
    </row>
    <row r="8189" spans="9:19" x14ac:dyDescent="0.25">
      <c r="I8189" s="1"/>
      <c r="J8189" s="71"/>
      <c r="M8189" s="46"/>
      <c r="R8189" s="51"/>
      <c r="S8189" s="51"/>
    </row>
    <row r="8190" spans="9:19" x14ac:dyDescent="0.25">
      <c r="I8190" s="1"/>
      <c r="J8190" s="71"/>
      <c r="M8190" s="46"/>
      <c r="R8190" s="51"/>
      <c r="S8190" s="51"/>
    </row>
    <row r="8191" spans="9:19" x14ac:dyDescent="0.25">
      <c r="I8191" s="1"/>
      <c r="J8191" s="71"/>
      <c r="M8191" s="46"/>
      <c r="R8191" s="51"/>
      <c r="S8191" s="51"/>
    </row>
    <row r="8192" spans="9:19" x14ac:dyDescent="0.25">
      <c r="I8192" s="1"/>
      <c r="J8192" s="71"/>
      <c r="M8192" s="46"/>
      <c r="R8192" s="51"/>
      <c r="S8192" s="51"/>
    </row>
    <row r="8193" spans="9:19" x14ac:dyDescent="0.25">
      <c r="I8193" s="1"/>
      <c r="J8193" s="71"/>
      <c r="M8193" s="46"/>
      <c r="R8193" s="51"/>
      <c r="S8193" s="51"/>
    </row>
    <row r="8194" spans="9:19" x14ac:dyDescent="0.25">
      <c r="I8194" s="1"/>
      <c r="J8194" s="71"/>
      <c r="M8194" s="46"/>
      <c r="R8194" s="51"/>
      <c r="S8194" s="51"/>
    </row>
    <row r="8195" spans="9:19" x14ac:dyDescent="0.25">
      <c r="I8195" s="1"/>
      <c r="J8195" s="71"/>
      <c r="M8195" s="46"/>
      <c r="R8195" s="51"/>
      <c r="S8195" s="51"/>
    </row>
    <row r="8196" spans="9:19" x14ac:dyDescent="0.25">
      <c r="I8196" s="1"/>
      <c r="J8196" s="71"/>
      <c r="M8196" s="46"/>
      <c r="R8196" s="51"/>
      <c r="S8196" s="51"/>
    </row>
    <row r="8197" spans="9:19" x14ac:dyDescent="0.25">
      <c r="I8197" s="1"/>
      <c r="J8197" s="71"/>
      <c r="M8197" s="46"/>
      <c r="R8197" s="51"/>
      <c r="S8197" s="51"/>
    </row>
    <row r="8198" spans="9:19" x14ac:dyDescent="0.25">
      <c r="I8198" s="1"/>
      <c r="J8198" s="71"/>
      <c r="M8198" s="46"/>
      <c r="R8198" s="51"/>
      <c r="S8198" s="51"/>
    </row>
    <row r="8199" spans="9:19" x14ac:dyDescent="0.25">
      <c r="I8199" s="1"/>
      <c r="J8199" s="71"/>
      <c r="M8199" s="46"/>
      <c r="R8199" s="51"/>
      <c r="S8199" s="51"/>
    </row>
    <row r="8200" spans="9:19" x14ac:dyDescent="0.25">
      <c r="I8200" s="1"/>
      <c r="J8200" s="71"/>
      <c r="M8200" s="46"/>
      <c r="R8200" s="51"/>
      <c r="S8200" s="51"/>
    </row>
    <row r="8201" spans="9:19" x14ac:dyDescent="0.25">
      <c r="I8201" s="1"/>
      <c r="J8201" s="71"/>
      <c r="M8201" s="46"/>
      <c r="R8201" s="51"/>
      <c r="S8201" s="51"/>
    </row>
    <row r="8202" spans="9:19" x14ac:dyDescent="0.25">
      <c r="I8202" s="1"/>
      <c r="J8202" s="71"/>
      <c r="M8202" s="46"/>
      <c r="R8202" s="51"/>
      <c r="S8202" s="51"/>
    </row>
    <row r="8203" spans="9:19" x14ac:dyDescent="0.25">
      <c r="I8203" s="1"/>
      <c r="J8203" s="71"/>
      <c r="M8203" s="46"/>
      <c r="R8203" s="51"/>
      <c r="S8203" s="51"/>
    </row>
    <row r="8204" spans="9:19" x14ac:dyDescent="0.25">
      <c r="I8204" s="1"/>
      <c r="J8204" s="71"/>
      <c r="M8204" s="46"/>
      <c r="R8204" s="51"/>
      <c r="S8204" s="51"/>
    </row>
    <row r="8205" spans="9:19" x14ac:dyDescent="0.25">
      <c r="I8205" s="1"/>
      <c r="J8205" s="71"/>
      <c r="M8205" s="46"/>
      <c r="R8205" s="51"/>
      <c r="S8205" s="51"/>
    </row>
    <row r="8206" spans="9:19" x14ac:dyDescent="0.25">
      <c r="I8206" s="1"/>
      <c r="J8206" s="71"/>
      <c r="M8206" s="46"/>
      <c r="R8206" s="51"/>
      <c r="S8206" s="51"/>
    </row>
    <row r="8207" spans="9:19" x14ac:dyDescent="0.25">
      <c r="I8207" s="1"/>
      <c r="J8207" s="71"/>
      <c r="M8207" s="46"/>
      <c r="R8207" s="51"/>
      <c r="S8207" s="51"/>
    </row>
    <row r="8208" spans="9:19" x14ac:dyDescent="0.25">
      <c r="I8208" s="1"/>
      <c r="J8208" s="71"/>
      <c r="M8208" s="46"/>
      <c r="R8208" s="51"/>
      <c r="S8208" s="51"/>
    </row>
    <row r="8209" spans="9:19" x14ac:dyDescent="0.25">
      <c r="I8209" s="1"/>
      <c r="J8209" s="71"/>
      <c r="M8209" s="46"/>
      <c r="R8209" s="51"/>
      <c r="S8209" s="51"/>
    </row>
    <row r="8210" spans="9:19" x14ac:dyDescent="0.25">
      <c r="I8210" s="1"/>
      <c r="J8210" s="71"/>
      <c r="M8210" s="46"/>
      <c r="R8210" s="51"/>
      <c r="S8210" s="51"/>
    </row>
    <row r="8211" spans="9:19" x14ac:dyDescent="0.25">
      <c r="I8211" s="1"/>
      <c r="J8211" s="71"/>
      <c r="M8211" s="46"/>
      <c r="R8211" s="51"/>
      <c r="S8211" s="51"/>
    </row>
    <row r="8212" spans="9:19" x14ac:dyDescent="0.25">
      <c r="I8212" s="1"/>
      <c r="J8212" s="71"/>
      <c r="M8212" s="46"/>
      <c r="R8212" s="51"/>
      <c r="S8212" s="51"/>
    </row>
    <row r="8213" spans="9:19" x14ac:dyDescent="0.25">
      <c r="I8213" s="1"/>
      <c r="J8213" s="71"/>
      <c r="M8213" s="46"/>
      <c r="R8213" s="51"/>
      <c r="S8213" s="51"/>
    </row>
    <row r="8214" spans="9:19" x14ac:dyDescent="0.25">
      <c r="I8214" s="1"/>
      <c r="J8214" s="71"/>
      <c r="M8214" s="46"/>
      <c r="R8214" s="51"/>
      <c r="S8214" s="51"/>
    </row>
    <row r="8215" spans="9:19" x14ac:dyDescent="0.25">
      <c r="I8215" s="1"/>
      <c r="J8215" s="71"/>
      <c r="M8215" s="46"/>
      <c r="R8215" s="51"/>
      <c r="S8215" s="51"/>
    </row>
    <row r="8216" spans="9:19" x14ac:dyDescent="0.25">
      <c r="I8216" s="1"/>
      <c r="J8216" s="71"/>
      <c r="M8216" s="46"/>
      <c r="R8216" s="51"/>
      <c r="S8216" s="51"/>
    </row>
    <row r="8217" spans="9:19" x14ac:dyDescent="0.25">
      <c r="I8217" s="1"/>
      <c r="J8217" s="71"/>
      <c r="M8217" s="46"/>
      <c r="R8217" s="51"/>
      <c r="S8217" s="51"/>
    </row>
    <row r="8218" spans="9:19" x14ac:dyDescent="0.25">
      <c r="I8218" s="1"/>
      <c r="J8218" s="71"/>
      <c r="M8218" s="46"/>
      <c r="R8218" s="51"/>
      <c r="S8218" s="51"/>
    </row>
    <row r="8219" spans="9:19" x14ac:dyDescent="0.25">
      <c r="I8219" s="1"/>
      <c r="J8219" s="71"/>
      <c r="M8219" s="46"/>
      <c r="R8219" s="51"/>
      <c r="S8219" s="51"/>
    </row>
    <row r="8220" spans="9:19" x14ac:dyDescent="0.25">
      <c r="I8220" s="1"/>
      <c r="J8220" s="71"/>
      <c r="M8220" s="46"/>
      <c r="R8220" s="51"/>
      <c r="S8220" s="51"/>
    </row>
    <row r="8221" spans="9:19" x14ac:dyDescent="0.25">
      <c r="I8221" s="1"/>
      <c r="J8221" s="71"/>
      <c r="M8221" s="46"/>
      <c r="R8221" s="51"/>
      <c r="S8221" s="51"/>
    </row>
    <row r="8222" spans="9:19" x14ac:dyDescent="0.25">
      <c r="I8222" s="1"/>
      <c r="J8222" s="71"/>
      <c r="M8222" s="46"/>
      <c r="R8222" s="51"/>
      <c r="S8222" s="51"/>
    </row>
    <row r="8223" spans="9:19" x14ac:dyDescent="0.25">
      <c r="I8223" s="1"/>
      <c r="J8223" s="71"/>
      <c r="M8223" s="46"/>
      <c r="R8223" s="51"/>
      <c r="S8223" s="51"/>
    </row>
    <row r="8224" spans="9:19" x14ac:dyDescent="0.25">
      <c r="I8224" s="1"/>
      <c r="J8224" s="71"/>
      <c r="M8224" s="46"/>
      <c r="R8224" s="51"/>
      <c r="S8224" s="51"/>
    </row>
    <row r="8225" spans="9:19" x14ac:dyDescent="0.25">
      <c r="I8225" s="1"/>
      <c r="J8225" s="71"/>
      <c r="M8225" s="46"/>
      <c r="R8225" s="51"/>
      <c r="S8225" s="51"/>
    </row>
    <row r="8226" spans="9:19" x14ac:dyDescent="0.25">
      <c r="I8226" s="1"/>
      <c r="J8226" s="71"/>
      <c r="M8226" s="46"/>
      <c r="R8226" s="51"/>
      <c r="S8226" s="51"/>
    </row>
    <row r="8227" spans="9:19" x14ac:dyDescent="0.25">
      <c r="I8227" s="1"/>
      <c r="J8227" s="71"/>
      <c r="M8227" s="46"/>
      <c r="R8227" s="51"/>
      <c r="S8227" s="51"/>
    </row>
    <row r="8228" spans="9:19" x14ac:dyDescent="0.25">
      <c r="I8228" s="1"/>
      <c r="J8228" s="71"/>
      <c r="M8228" s="46"/>
      <c r="R8228" s="51"/>
      <c r="S8228" s="51"/>
    </row>
    <row r="8229" spans="9:19" x14ac:dyDescent="0.25">
      <c r="I8229" s="1"/>
      <c r="J8229" s="71"/>
      <c r="M8229" s="46"/>
      <c r="R8229" s="51"/>
      <c r="S8229" s="51"/>
    </row>
    <row r="8230" spans="9:19" x14ac:dyDescent="0.25">
      <c r="I8230" s="1"/>
      <c r="J8230" s="71"/>
      <c r="M8230" s="46"/>
      <c r="R8230" s="51"/>
      <c r="S8230" s="51"/>
    </row>
    <row r="8231" spans="9:19" x14ac:dyDescent="0.25">
      <c r="I8231" s="1"/>
      <c r="J8231" s="71"/>
      <c r="M8231" s="46"/>
      <c r="R8231" s="51"/>
      <c r="S8231" s="51"/>
    </row>
    <row r="8232" spans="9:19" x14ac:dyDescent="0.25">
      <c r="I8232" s="1"/>
      <c r="J8232" s="71"/>
      <c r="M8232" s="46"/>
      <c r="R8232" s="51"/>
      <c r="S8232" s="51"/>
    </row>
    <row r="8233" spans="9:19" x14ac:dyDescent="0.25">
      <c r="I8233" s="1"/>
      <c r="J8233" s="71"/>
      <c r="M8233" s="46"/>
      <c r="R8233" s="51"/>
      <c r="S8233" s="51"/>
    </row>
    <row r="8234" spans="9:19" x14ac:dyDescent="0.25">
      <c r="I8234" s="1"/>
      <c r="J8234" s="71"/>
      <c r="M8234" s="46"/>
      <c r="R8234" s="51"/>
      <c r="S8234" s="51"/>
    </row>
    <row r="8235" spans="9:19" x14ac:dyDescent="0.25">
      <c r="I8235" s="1"/>
      <c r="J8235" s="71"/>
      <c r="M8235" s="46"/>
      <c r="R8235" s="51"/>
      <c r="S8235" s="51"/>
    </row>
    <row r="8236" spans="9:19" x14ac:dyDescent="0.25">
      <c r="I8236" s="1"/>
      <c r="J8236" s="71"/>
      <c r="M8236" s="46"/>
      <c r="R8236" s="51"/>
      <c r="S8236" s="51"/>
    </row>
    <row r="8237" spans="9:19" x14ac:dyDescent="0.25">
      <c r="I8237" s="1"/>
      <c r="J8237" s="71"/>
      <c r="M8237" s="46"/>
      <c r="R8237" s="51"/>
      <c r="S8237" s="51"/>
    </row>
    <row r="8238" spans="9:19" x14ac:dyDescent="0.25">
      <c r="I8238" s="1"/>
      <c r="J8238" s="71"/>
      <c r="M8238" s="46"/>
      <c r="R8238" s="51"/>
      <c r="S8238" s="51"/>
    </row>
    <row r="8239" spans="9:19" x14ac:dyDescent="0.25">
      <c r="I8239" s="1"/>
      <c r="J8239" s="71"/>
      <c r="M8239" s="46"/>
      <c r="R8239" s="51"/>
      <c r="S8239" s="51"/>
    </row>
    <row r="8240" spans="9:19" x14ac:dyDescent="0.25">
      <c r="I8240" s="1"/>
      <c r="J8240" s="71"/>
      <c r="M8240" s="46"/>
      <c r="R8240" s="51"/>
      <c r="S8240" s="51"/>
    </row>
    <row r="8241" spans="9:19" x14ac:dyDescent="0.25">
      <c r="I8241" s="1"/>
      <c r="J8241" s="71"/>
      <c r="M8241" s="46"/>
      <c r="R8241" s="51"/>
      <c r="S8241" s="51"/>
    </row>
    <row r="8242" spans="9:19" x14ac:dyDescent="0.25">
      <c r="I8242" s="1"/>
      <c r="J8242" s="71"/>
      <c r="M8242" s="46"/>
      <c r="R8242" s="51"/>
      <c r="S8242" s="51"/>
    </row>
    <row r="8243" spans="9:19" x14ac:dyDescent="0.25">
      <c r="I8243" s="1"/>
      <c r="J8243" s="71"/>
      <c r="M8243" s="46"/>
      <c r="R8243" s="51"/>
      <c r="S8243" s="51"/>
    </row>
    <row r="8244" spans="9:19" x14ac:dyDescent="0.25">
      <c r="I8244" s="1"/>
      <c r="J8244" s="71"/>
      <c r="M8244" s="46"/>
      <c r="R8244" s="51"/>
      <c r="S8244" s="51"/>
    </row>
    <row r="8245" spans="9:19" x14ac:dyDescent="0.25">
      <c r="I8245" s="1"/>
      <c r="J8245" s="71"/>
      <c r="M8245" s="46"/>
      <c r="R8245" s="51"/>
      <c r="S8245" s="51"/>
    </row>
    <row r="8246" spans="9:19" x14ac:dyDescent="0.25">
      <c r="I8246" s="1"/>
      <c r="J8246" s="71"/>
      <c r="M8246" s="46"/>
      <c r="R8246" s="51"/>
      <c r="S8246" s="51"/>
    </row>
    <row r="8247" spans="9:19" x14ac:dyDescent="0.25">
      <c r="I8247" s="1"/>
      <c r="J8247" s="71"/>
      <c r="M8247" s="46"/>
      <c r="R8247" s="51"/>
      <c r="S8247" s="51"/>
    </row>
    <row r="8248" spans="9:19" x14ac:dyDescent="0.25">
      <c r="I8248" s="1"/>
      <c r="J8248" s="71"/>
      <c r="M8248" s="46"/>
      <c r="R8248" s="51"/>
      <c r="S8248" s="51"/>
    </row>
    <row r="8249" spans="9:19" x14ac:dyDescent="0.25">
      <c r="I8249" s="1"/>
      <c r="J8249" s="71"/>
      <c r="M8249" s="46"/>
      <c r="R8249" s="51"/>
      <c r="S8249" s="51"/>
    </row>
    <row r="8250" spans="9:19" x14ac:dyDescent="0.25">
      <c r="I8250" s="1"/>
      <c r="J8250" s="71"/>
      <c r="M8250" s="46"/>
      <c r="R8250" s="51"/>
      <c r="S8250" s="51"/>
    </row>
    <row r="8251" spans="9:19" x14ac:dyDescent="0.25">
      <c r="I8251" s="1"/>
      <c r="J8251" s="71"/>
      <c r="M8251" s="46"/>
      <c r="R8251" s="51"/>
      <c r="S8251" s="51"/>
    </row>
    <row r="8252" spans="9:19" x14ac:dyDescent="0.25">
      <c r="I8252" s="1"/>
      <c r="J8252" s="71"/>
      <c r="M8252" s="46"/>
      <c r="R8252" s="51"/>
      <c r="S8252" s="51"/>
    </row>
    <row r="8253" spans="9:19" x14ac:dyDescent="0.25">
      <c r="I8253" s="1"/>
      <c r="J8253" s="71"/>
      <c r="M8253" s="46"/>
      <c r="R8253" s="51"/>
      <c r="S8253" s="51"/>
    </row>
    <row r="8254" spans="9:19" x14ac:dyDescent="0.25">
      <c r="I8254" s="1"/>
      <c r="J8254" s="71"/>
      <c r="M8254" s="46"/>
      <c r="R8254" s="51"/>
      <c r="S8254" s="51"/>
    </row>
    <row r="8255" spans="9:19" x14ac:dyDescent="0.25">
      <c r="I8255" s="1"/>
      <c r="J8255" s="71"/>
      <c r="M8255" s="46"/>
      <c r="R8255" s="51"/>
      <c r="S8255" s="51"/>
    </row>
    <row r="8256" spans="9:19" x14ac:dyDescent="0.25">
      <c r="I8256" s="1"/>
      <c r="J8256" s="71"/>
      <c r="M8256" s="46"/>
      <c r="R8256" s="51"/>
      <c r="S8256" s="51"/>
    </row>
    <row r="8257" spans="9:19" x14ac:dyDescent="0.25">
      <c r="I8257" s="1"/>
      <c r="J8257" s="71"/>
      <c r="M8257" s="46"/>
      <c r="R8257" s="51"/>
      <c r="S8257" s="51"/>
    </row>
    <row r="8258" spans="9:19" x14ac:dyDescent="0.25">
      <c r="I8258" s="1"/>
      <c r="J8258" s="71"/>
      <c r="M8258" s="46"/>
      <c r="R8258" s="51"/>
      <c r="S8258" s="51"/>
    </row>
    <row r="8259" spans="9:19" x14ac:dyDescent="0.25">
      <c r="I8259" s="1"/>
      <c r="J8259" s="71"/>
      <c r="M8259" s="46"/>
      <c r="R8259" s="51"/>
      <c r="S8259" s="51"/>
    </row>
    <row r="8260" spans="9:19" x14ac:dyDescent="0.25">
      <c r="I8260" s="1"/>
      <c r="J8260" s="71"/>
      <c r="M8260" s="46"/>
      <c r="R8260" s="51"/>
      <c r="S8260" s="51"/>
    </row>
    <row r="8261" spans="9:19" x14ac:dyDescent="0.25">
      <c r="I8261" s="1"/>
      <c r="J8261" s="71"/>
      <c r="M8261" s="46"/>
      <c r="R8261" s="51"/>
      <c r="S8261" s="51"/>
    </row>
    <row r="8262" spans="9:19" x14ac:dyDescent="0.25">
      <c r="I8262" s="1"/>
      <c r="J8262" s="71"/>
      <c r="M8262" s="46"/>
      <c r="R8262" s="51"/>
      <c r="S8262" s="51"/>
    </row>
    <row r="8263" spans="9:19" x14ac:dyDescent="0.25">
      <c r="I8263" s="1"/>
      <c r="J8263" s="71"/>
      <c r="M8263" s="46"/>
      <c r="R8263" s="51"/>
      <c r="S8263" s="51"/>
    </row>
    <row r="8264" spans="9:19" x14ac:dyDescent="0.25">
      <c r="I8264" s="1"/>
      <c r="J8264" s="71"/>
      <c r="M8264" s="46"/>
      <c r="R8264" s="51"/>
      <c r="S8264" s="51"/>
    </row>
    <row r="8265" spans="9:19" x14ac:dyDescent="0.25">
      <c r="I8265" s="1"/>
      <c r="J8265" s="71"/>
      <c r="M8265" s="46"/>
      <c r="R8265" s="51"/>
      <c r="S8265" s="51"/>
    </row>
    <row r="8266" spans="9:19" x14ac:dyDescent="0.25">
      <c r="I8266" s="1"/>
      <c r="J8266" s="71"/>
      <c r="M8266" s="46"/>
      <c r="R8266" s="51"/>
      <c r="S8266" s="51"/>
    </row>
    <row r="8267" spans="9:19" x14ac:dyDescent="0.25">
      <c r="I8267" s="1"/>
      <c r="J8267" s="71"/>
      <c r="M8267" s="46"/>
      <c r="R8267" s="51"/>
      <c r="S8267" s="51"/>
    </row>
    <row r="8268" spans="9:19" x14ac:dyDescent="0.25">
      <c r="I8268" s="1"/>
      <c r="J8268" s="71"/>
      <c r="M8268" s="46"/>
      <c r="R8268" s="51"/>
      <c r="S8268" s="51"/>
    </row>
    <row r="8269" spans="9:19" x14ac:dyDescent="0.25">
      <c r="I8269" s="1"/>
      <c r="J8269" s="71"/>
      <c r="M8269" s="46"/>
      <c r="R8269" s="51"/>
      <c r="S8269" s="51"/>
    </row>
    <row r="8270" spans="9:19" x14ac:dyDescent="0.25">
      <c r="I8270" s="1"/>
      <c r="J8270" s="71"/>
      <c r="M8270" s="46"/>
      <c r="R8270" s="51"/>
      <c r="S8270" s="51"/>
    </row>
    <row r="8271" spans="9:19" x14ac:dyDescent="0.25">
      <c r="I8271" s="1"/>
      <c r="J8271" s="71"/>
      <c r="M8271" s="46"/>
      <c r="R8271" s="51"/>
      <c r="S8271" s="51"/>
    </row>
    <row r="8272" spans="9:19" x14ac:dyDescent="0.25">
      <c r="I8272" s="1"/>
      <c r="J8272" s="71"/>
      <c r="M8272" s="46"/>
      <c r="R8272" s="51"/>
      <c r="S8272" s="51"/>
    </row>
    <row r="8273" spans="9:19" x14ac:dyDescent="0.25">
      <c r="I8273" s="1"/>
      <c r="J8273" s="71"/>
      <c r="M8273" s="46"/>
      <c r="R8273" s="51"/>
      <c r="S8273" s="51"/>
    </row>
    <row r="8274" spans="9:19" x14ac:dyDescent="0.25">
      <c r="I8274" s="1"/>
      <c r="J8274" s="71"/>
      <c r="M8274" s="46"/>
      <c r="R8274" s="51"/>
      <c r="S8274" s="51"/>
    </row>
    <row r="8275" spans="9:19" x14ac:dyDescent="0.25">
      <c r="I8275" s="1"/>
      <c r="J8275" s="71"/>
      <c r="M8275" s="46"/>
      <c r="R8275" s="51"/>
      <c r="S8275" s="51"/>
    </row>
    <row r="8276" spans="9:19" x14ac:dyDescent="0.25">
      <c r="I8276" s="1"/>
      <c r="J8276" s="71"/>
      <c r="M8276" s="46"/>
      <c r="R8276" s="51"/>
      <c r="S8276" s="51"/>
    </row>
    <row r="8277" spans="9:19" x14ac:dyDescent="0.25">
      <c r="I8277" s="1"/>
      <c r="J8277" s="71"/>
      <c r="M8277" s="46"/>
      <c r="R8277" s="51"/>
      <c r="S8277" s="51"/>
    </row>
    <row r="8278" spans="9:19" x14ac:dyDescent="0.25">
      <c r="I8278" s="1"/>
      <c r="J8278" s="71"/>
      <c r="M8278" s="46"/>
      <c r="R8278" s="51"/>
      <c r="S8278" s="51"/>
    </row>
    <row r="8279" spans="9:19" x14ac:dyDescent="0.25">
      <c r="I8279" s="1"/>
      <c r="J8279" s="71"/>
      <c r="M8279" s="46"/>
      <c r="R8279" s="51"/>
      <c r="S8279" s="51"/>
    </row>
    <row r="8280" spans="9:19" x14ac:dyDescent="0.25">
      <c r="I8280" s="1"/>
      <c r="J8280" s="71"/>
      <c r="M8280" s="46"/>
      <c r="R8280" s="51"/>
      <c r="S8280" s="51"/>
    </row>
    <row r="8281" spans="9:19" x14ac:dyDescent="0.25">
      <c r="I8281" s="1"/>
      <c r="J8281" s="71"/>
      <c r="M8281" s="46"/>
      <c r="R8281" s="51"/>
      <c r="S8281" s="51"/>
    </row>
    <row r="8282" spans="9:19" x14ac:dyDescent="0.25">
      <c r="I8282" s="1"/>
      <c r="J8282" s="71"/>
      <c r="M8282" s="46"/>
      <c r="R8282" s="51"/>
      <c r="S8282" s="51"/>
    </row>
    <row r="8283" spans="9:19" x14ac:dyDescent="0.25">
      <c r="I8283" s="1"/>
      <c r="J8283" s="71"/>
      <c r="M8283" s="46"/>
      <c r="R8283" s="51"/>
      <c r="S8283" s="51"/>
    </row>
    <row r="8284" spans="9:19" x14ac:dyDescent="0.25">
      <c r="I8284" s="1"/>
      <c r="J8284" s="71"/>
      <c r="M8284" s="46"/>
      <c r="R8284" s="51"/>
      <c r="S8284" s="51"/>
    </row>
    <row r="8285" spans="9:19" x14ac:dyDescent="0.25">
      <c r="I8285" s="1"/>
      <c r="J8285" s="71"/>
      <c r="M8285" s="46"/>
      <c r="R8285" s="51"/>
      <c r="S8285" s="51"/>
    </row>
    <row r="8286" spans="9:19" x14ac:dyDescent="0.25">
      <c r="I8286" s="1"/>
      <c r="J8286" s="71"/>
      <c r="M8286" s="46"/>
      <c r="R8286" s="51"/>
      <c r="S8286" s="51"/>
    </row>
    <row r="8287" spans="9:19" x14ac:dyDescent="0.25">
      <c r="I8287" s="1"/>
      <c r="J8287" s="71"/>
      <c r="M8287" s="46"/>
      <c r="R8287" s="51"/>
      <c r="S8287" s="51"/>
    </row>
    <row r="8288" spans="9:19" x14ac:dyDescent="0.25">
      <c r="I8288" s="1"/>
      <c r="J8288" s="71"/>
      <c r="M8288" s="46"/>
      <c r="R8288" s="51"/>
      <c r="S8288" s="51"/>
    </row>
    <row r="8289" spans="9:19" x14ac:dyDescent="0.25">
      <c r="I8289" s="1"/>
      <c r="J8289" s="71"/>
      <c r="M8289" s="46"/>
      <c r="R8289" s="51"/>
      <c r="S8289" s="51"/>
    </row>
    <row r="8290" spans="9:19" x14ac:dyDescent="0.25">
      <c r="I8290" s="1"/>
      <c r="J8290" s="71"/>
      <c r="M8290" s="46"/>
      <c r="R8290" s="51"/>
      <c r="S8290" s="51"/>
    </row>
    <row r="8291" spans="9:19" x14ac:dyDescent="0.25">
      <c r="I8291" s="1"/>
      <c r="J8291" s="71"/>
      <c r="M8291" s="46"/>
      <c r="R8291" s="51"/>
      <c r="S8291" s="51"/>
    </row>
    <row r="8292" spans="9:19" x14ac:dyDescent="0.25">
      <c r="I8292" s="1"/>
      <c r="J8292" s="71"/>
      <c r="M8292" s="46"/>
      <c r="R8292" s="51"/>
      <c r="S8292" s="51"/>
    </row>
    <row r="8293" spans="9:19" x14ac:dyDescent="0.25">
      <c r="I8293" s="1"/>
      <c r="J8293" s="71"/>
      <c r="M8293" s="46"/>
      <c r="R8293" s="51"/>
      <c r="S8293" s="51"/>
    </row>
    <row r="8294" spans="9:19" x14ac:dyDescent="0.25">
      <c r="I8294" s="1"/>
      <c r="J8294" s="71"/>
      <c r="M8294" s="46"/>
      <c r="R8294" s="51"/>
      <c r="S8294" s="51"/>
    </row>
    <row r="8295" spans="9:19" x14ac:dyDescent="0.25">
      <c r="I8295" s="1"/>
      <c r="J8295" s="71"/>
      <c r="M8295" s="46"/>
      <c r="R8295" s="51"/>
      <c r="S8295" s="51"/>
    </row>
    <row r="8296" spans="9:19" x14ac:dyDescent="0.25">
      <c r="I8296" s="1"/>
      <c r="J8296" s="71"/>
      <c r="M8296" s="46"/>
      <c r="R8296" s="51"/>
      <c r="S8296" s="51"/>
    </row>
    <row r="8297" spans="9:19" x14ac:dyDescent="0.25">
      <c r="I8297" s="1"/>
      <c r="J8297" s="71"/>
      <c r="M8297" s="46"/>
      <c r="R8297" s="51"/>
      <c r="S8297" s="51"/>
    </row>
    <row r="8298" spans="9:19" x14ac:dyDescent="0.25">
      <c r="I8298" s="1"/>
      <c r="J8298" s="71"/>
      <c r="M8298" s="46"/>
      <c r="R8298" s="51"/>
      <c r="S8298" s="51"/>
    </row>
    <row r="8299" spans="9:19" x14ac:dyDescent="0.25">
      <c r="I8299" s="1"/>
      <c r="J8299" s="71"/>
      <c r="M8299" s="46"/>
      <c r="R8299" s="51"/>
      <c r="S8299" s="51"/>
    </row>
    <row r="8300" spans="9:19" x14ac:dyDescent="0.25">
      <c r="I8300" s="1"/>
      <c r="J8300" s="71"/>
      <c r="M8300" s="46"/>
      <c r="R8300" s="51"/>
      <c r="S8300" s="51"/>
    </row>
    <row r="8301" spans="9:19" x14ac:dyDescent="0.25">
      <c r="I8301" s="1"/>
      <c r="J8301" s="71"/>
      <c r="M8301" s="46"/>
      <c r="R8301" s="51"/>
      <c r="S8301" s="51"/>
    </row>
    <row r="8302" spans="9:19" x14ac:dyDescent="0.25">
      <c r="I8302" s="1"/>
      <c r="J8302" s="71"/>
      <c r="M8302" s="46"/>
      <c r="R8302" s="51"/>
      <c r="S8302" s="51"/>
    </row>
    <row r="8303" spans="9:19" x14ac:dyDescent="0.25">
      <c r="I8303" s="1"/>
      <c r="J8303" s="71"/>
      <c r="M8303" s="46"/>
      <c r="R8303" s="51"/>
      <c r="S8303" s="51"/>
    </row>
    <row r="8304" spans="9:19" x14ac:dyDescent="0.25">
      <c r="I8304" s="1"/>
      <c r="J8304" s="71"/>
      <c r="M8304" s="46"/>
      <c r="R8304" s="51"/>
      <c r="S8304" s="51"/>
    </row>
    <row r="8305" spans="9:19" x14ac:dyDescent="0.25">
      <c r="I8305" s="1"/>
      <c r="J8305" s="71"/>
      <c r="M8305" s="46"/>
      <c r="R8305" s="51"/>
      <c r="S8305" s="51"/>
    </row>
    <row r="8306" spans="9:19" x14ac:dyDescent="0.25">
      <c r="I8306" s="1"/>
      <c r="J8306" s="71"/>
      <c r="M8306" s="46"/>
      <c r="R8306" s="51"/>
      <c r="S8306" s="51"/>
    </row>
    <row r="8307" spans="9:19" x14ac:dyDescent="0.25">
      <c r="I8307" s="1"/>
      <c r="J8307" s="71"/>
      <c r="M8307" s="46"/>
      <c r="R8307" s="51"/>
      <c r="S8307" s="51"/>
    </row>
    <row r="8308" spans="9:19" x14ac:dyDescent="0.25">
      <c r="I8308" s="1"/>
      <c r="J8308" s="71"/>
      <c r="M8308" s="46"/>
      <c r="R8308" s="51"/>
      <c r="S8308" s="51"/>
    </row>
    <row r="8309" spans="9:19" x14ac:dyDescent="0.25">
      <c r="I8309" s="1"/>
      <c r="J8309" s="71"/>
      <c r="M8309" s="46"/>
      <c r="R8309" s="51"/>
      <c r="S8309" s="51"/>
    </row>
    <row r="8310" spans="9:19" x14ac:dyDescent="0.25">
      <c r="I8310" s="1"/>
      <c r="J8310" s="71"/>
      <c r="M8310" s="46"/>
      <c r="R8310" s="51"/>
      <c r="S8310" s="51"/>
    </row>
    <row r="8311" spans="9:19" x14ac:dyDescent="0.25">
      <c r="I8311" s="1"/>
      <c r="J8311" s="71"/>
      <c r="M8311" s="46"/>
      <c r="R8311" s="51"/>
      <c r="S8311" s="51"/>
    </row>
    <row r="8312" spans="9:19" x14ac:dyDescent="0.25">
      <c r="I8312" s="1"/>
      <c r="J8312" s="71"/>
      <c r="M8312" s="46"/>
      <c r="R8312" s="51"/>
      <c r="S8312" s="51"/>
    </row>
    <row r="8313" spans="9:19" x14ac:dyDescent="0.25">
      <c r="I8313" s="1"/>
      <c r="J8313" s="71"/>
      <c r="M8313" s="46"/>
      <c r="R8313" s="51"/>
      <c r="S8313" s="51"/>
    </row>
    <row r="8314" spans="9:19" x14ac:dyDescent="0.25">
      <c r="I8314" s="1"/>
      <c r="J8314" s="71"/>
      <c r="M8314" s="46"/>
      <c r="R8314" s="51"/>
      <c r="S8314" s="51"/>
    </row>
    <row r="8315" spans="9:19" x14ac:dyDescent="0.25">
      <c r="I8315" s="1"/>
      <c r="J8315" s="71"/>
      <c r="M8315" s="46"/>
      <c r="R8315" s="51"/>
      <c r="S8315" s="51"/>
    </row>
    <row r="8316" spans="9:19" x14ac:dyDescent="0.25">
      <c r="I8316" s="1"/>
      <c r="J8316" s="71"/>
      <c r="M8316" s="46"/>
      <c r="R8316" s="51"/>
      <c r="S8316" s="51"/>
    </row>
    <row r="8317" spans="9:19" x14ac:dyDescent="0.25">
      <c r="I8317" s="1"/>
      <c r="J8317" s="71"/>
      <c r="M8317" s="46"/>
      <c r="R8317" s="51"/>
      <c r="S8317" s="51"/>
    </row>
    <row r="8318" spans="9:19" x14ac:dyDescent="0.25">
      <c r="I8318" s="1"/>
      <c r="J8318" s="71"/>
      <c r="M8318" s="46"/>
      <c r="R8318" s="51"/>
      <c r="S8318" s="51"/>
    </row>
    <row r="8319" spans="9:19" x14ac:dyDescent="0.25">
      <c r="I8319" s="1"/>
      <c r="J8319" s="71"/>
      <c r="M8319" s="46"/>
      <c r="R8319" s="51"/>
      <c r="S8319" s="51"/>
    </row>
    <row r="8320" spans="9:19" x14ac:dyDescent="0.25">
      <c r="I8320" s="1"/>
      <c r="J8320" s="71"/>
      <c r="M8320" s="46"/>
      <c r="R8320" s="51"/>
      <c r="S8320" s="51"/>
    </row>
    <row r="8321" spans="9:19" x14ac:dyDescent="0.25">
      <c r="I8321" s="1"/>
      <c r="J8321" s="71"/>
      <c r="M8321" s="46"/>
      <c r="R8321" s="51"/>
      <c r="S8321" s="51"/>
    </row>
    <row r="8322" spans="9:19" x14ac:dyDescent="0.25">
      <c r="I8322" s="1"/>
      <c r="J8322" s="71"/>
      <c r="M8322" s="46"/>
      <c r="R8322" s="51"/>
      <c r="S8322" s="51"/>
    </row>
    <row r="8323" spans="9:19" x14ac:dyDescent="0.25">
      <c r="I8323" s="1"/>
      <c r="J8323" s="71"/>
      <c r="M8323" s="46"/>
      <c r="R8323" s="51"/>
      <c r="S8323" s="51"/>
    </row>
    <row r="8324" spans="9:19" x14ac:dyDescent="0.25">
      <c r="I8324" s="1"/>
      <c r="J8324" s="71"/>
      <c r="M8324" s="46"/>
      <c r="R8324" s="51"/>
      <c r="S8324" s="51"/>
    </row>
    <row r="8325" spans="9:19" x14ac:dyDescent="0.25">
      <c r="I8325" s="1"/>
      <c r="J8325" s="71"/>
      <c r="M8325" s="46"/>
      <c r="R8325" s="51"/>
      <c r="S8325" s="51"/>
    </row>
    <row r="8326" spans="9:19" x14ac:dyDescent="0.25">
      <c r="I8326" s="1"/>
      <c r="J8326" s="71"/>
      <c r="M8326" s="46"/>
      <c r="R8326" s="51"/>
      <c r="S8326" s="51"/>
    </row>
    <row r="8327" spans="9:19" x14ac:dyDescent="0.25">
      <c r="I8327" s="1"/>
      <c r="J8327" s="71"/>
      <c r="M8327" s="46"/>
      <c r="R8327" s="51"/>
      <c r="S8327" s="51"/>
    </row>
    <row r="8328" spans="9:19" x14ac:dyDescent="0.25">
      <c r="I8328" s="1"/>
      <c r="J8328" s="71"/>
      <c r="M8328" s="46"/>
      <c r="R8328" s="51"/>
      <c r="S8328" s="51"/>
    </row>
    <row r="8329" spans="9:19" x14ac:dyDescent="0.25">
      <c r="I8329" s="1"/>
      <c r="J8329" s="71"/>
      <c r="M8329" s="46"/>
      <c r="R8329" s="51"/>
      <c r="S8329" s="51"/>
    </row>
    <row r="8330" spans="9:19" x14ac:dyDescent="0.25">
      <c r="I8330" s="1"/>
      <c r="J8330" s="71"/>
      <c r="M8330" s="46"/>
      <c r="R8330" s="51"/>
      <c r="S8330" s="51"/>
    </row>
    <row r="8331" spans="9:19" x14ac:dyDescent="0.25">
      <c r="I8331" s="1"/>
      <c r="J8331" s="71"/>
      <c r="M8331" s="46"/>
      <c r="R8331" s="51"/>
      <c r="S8331" s="51"/>
    </row>
    <row r="8332" spans="9:19" x14ac:dyDescent="0.25">
      <c r="I8332" s="1"/>
      <c r="J8332" s="71"/>
      <c r="M8332" s="46"/>
      <c r="R8332" s="51"/>
      <c r="S8332" s="51"/>
    </row>
    <row r="8333" spans="9:19" x14ac:dyDescent="0.25">
      <c r="I8333" s="1"/>
      <c r="J8333" s="71"/>
      <c r="M8333" s="46"/>
      <c r="R8333" s="51"/>
      <c r="S8333" s="51"/>
    </row>
    <row r="8334" spans="9:19" x14ac:dyDescent="0.25">
      <c r="I8334" s="1"/>
      <c r="J8334" s="71"/>
      <c r="M8334" s="46"/>
      <c r="R8334" s="51"/>
      <c r="S8334" s="51"/>
    </row>
    <row r="8335" spans="9:19" x14ac:dyDescent="0.25">
      <c r="I8335" s="1"/>
      <c r="J8335" s="71"/>
      <c r="M8335" s="46"/>
      <c r="R8335" s="51"/>
      <c r="S8335" s="51"/>
    </row>
    <row r="8336" spans="9:19" x14ac:dyDescent="0.25">
      <c r="I8336" s="1"/>
      <c r="J8336" s="71"/>
      <c r="M8336" s="46"/>
      <c r="R8336" s="51"/>
      <c r="S8336" s="51"/>
    </row>
    <row r="8337" spans="9:19" x14ac:dyDescent="0.25">
      <c r="I8337" s="1"/>
      <c r="J8337" s="71"/>
      <c r="M8337" s="46"/>
      <c r="R8337" s="51"/>
      <c r="S8337" s="51"/>
    </row>
    <row r="8338" spans="9:19" x14ac:dyDescent="0.25">
      <c r="I8338" s="1"/>
      <c r="J8338" s="71"/>
      <c r="M8338" s="46"/>
      <c r="R8338" s="51"/>
      <c r="S8338" s="51"/>
    </row>
    <row r="8339" spans="9:19" x14ac:dyDescent="0.25">
      <c r="I8339" s="1"/>
      <c r="J8339" s="71"/>
      <c r="M8339" s="46"/>
      <c r="R8339" s="51"/>
      <c r="S8339" s="51"/>
    </row>
    <row r="8340" spans="9:19" x14ac:dyDescent="0.25">
      <c r="I8340" s="1"/>
      <c r="J8340" s="71"/>
      <c r="M8340" s="46"/>
      <c r="R8340" s="51"/>
      <c r="S8340" s="51"/>
    </row>
    <row r="8341" spans="9:19" x14ac:dyDescent="0.25">
      <c r="I8341" s="1"/>
      <c r="J8341" s="71"/>
      <c r="M8341" s="46"/>
      <c r="R8341" s="51"/>
      <c r="S8341" s="51"/>
    </row>
    <row r="8342" spans="9:19" x14ac:dyDescent="0.25">
      <c r="I8342" s="1"/>
      <c r="J8342" s="71"/>
      <c r="M8342" s="46"/>
      <c r="R8342" s="51"/>
      <c r="S8342" s="51"/>
    </row>
    <row r="8343" spans="9:19" x14ac:dyDescent="0.25">
      <c r="I8343" s="1"/>
      <c r="J8343" s="71"/>
      <c r="M8343" s="46"/>
      <c r="R8343" s="51"/>
      <c r="S8343" s="51"/>
    </row>
    <row r="8344" spans="9:19" x14ac:dyDescent="0.25">
      <c r="I8344" s="1"/>
      <c r="J8344" s="71"/>
      <c r="M8344" s="46"/>
      <c r="R8344" s="51"/>
      <c r="S8344" s="51"/>
    </row>
    <row r="8345" spans="9:19" x14ac:dyDescent="0.25">
      <c r="I8345" s="1"/>
      <c r="J8345" s="71"/>
      <c r="M8345" s="46"/>
      <c r="R8345" s="51"/>
      <c r="S8345" s="51"/>
    </row>
    <row r="8346" spans="9:19" x14ac:dyDescent="0.25">
      <c r="I8346" s="1"/>
      <c r="J8346" s="71"/>
      <c r="M8346" s="46"/>
      <c r="R8346" s="51"/>
      <c r="S8346" s="51"/>
    </row>
    <row r="8347" spans="9:19" x14ac:dyDescent="0.25">
      <c r="I8347" s="1"/>
      <c r="J8347" s="71"/>
      <c r="M8347" s="46"/>
      <c r="R8347" s="51"/>
      <c r="S8347" s="51"/>
    </row>
    <row r="8348" spans="9:19" x14ac:dyDescent="0.25">
      <c r="I8348" s="1"/>
      <c r="J8348" s="71"/>
      <c r="M8348" s="46"/>
      <c r="R8348" s="51"/>
      <c r="S8348" s="51"/>
    </row>
    <row r="8349" spans="9:19" x14ac:dyDescent="0.25">
      <c r="I8349" s="1"/>
      <c r="J8349" s="71"/>
      <c r="M8349" s="46"/>
      <c r="R8349" s="51"/>
      <c r="S8349" s="51"/>
    </row>
    <row r="8350" spans="9:19" x14ac:dyDescent="0.25">
      <c r="I8350" s="1"/>
      <c r="J8350" s="71"/>
      <c r="M8350" s="46"/>
      <c r="R8350" s="51"/>
      <c r="S8350" s="51"/>
    </row>
    <row r="8351" spans="9:19" x14ac:dyDescent="0.25">
      <c r="I8351" s="1"/>
      <c r="J8351" s="71"/>
      <c r="M8351" s="46"/>
      <c r="R8351" s="51"/>
      <c r="S8351" s="51"/>
    </row>
    <row r="8352" spans="9:19" x14ac:dyDescent="0.25">
      <c r="I8352" s="1"/>
      <c r="J8352" s="71"/>
      <c r="M8352" s="46"/>
      <c r="R8352" s="51"/>
      <c r="S8352" s="51"/>
    </row>
    <row r="8353" spans="9:19" x14ac:dyDescent="0.25">
      <c r="I8353" s="1"/>
      <c r="J8353" s="71"/>
      <c r="M8353" s="46"/>
      <c r="R8353" s="51"/>
      <c r="S8353" s="51"/>
    </row>
    <row r="8354" spans="9:19" x14ac:dyDescent="0.25">
      <c r="I8354" s="1"/>
      <c r="J8354" s="71"/>
      <c r="M8354" s="46"/>
      <c r="R8354" s="51"/>
      <c r="S8354" s="51"/>
    </row>
    <row r="8355" spans="9:19" x14ac:dyDescent="0.25">
      <c r="I8355" s="1"/>
      <c r="J8355" s="71"/>
      <c r="M8355" s="46"/>
      <c r="R8355" s="51"/>
      <c r="S8355" s="51"/>
    </row>
    <row r="8356" spans="9:19" x14ac:dyDescent="0.25">
      <c r="I8356" s="1"/>
      <c r="J8356" s="71"/>
      <c r="M8356" s="46"/>
      <c r="R8356" s="51"/>
      <c r="S8356" s="51"/>
    </row>
    <row r="8357" spans="9:19" x14ac:dyDescent="0.25">
      <c r="I8357" s="1"/>
      <c r="J8357" s="71"/>
      <c r="M8357" s="46"/>
      <c r="R8357" s="51"/>
      <c r="S8357" s="51"/>
    </row>
    <row r="8358" spans="9:19" x14ac:dyDescent="0.25">
      <c r="I8358" s="1"/>
      <c r="J8358" s="71"/>
      <c r="M8358" s="46"/>
      <c r="R8358" s="51"/>
      <c r="S8358" s="51"/>
    </row>
    <row r="8359" spans="9:19" x14ac:dyDescent="0.25">
      <c r="I8359" s="1"/>
      <c r="J8359" s="71"/>
      <c r="M8359" s="46"/>
      <c r="R8359" s="51"/>
      <c r="S8359" s="51"/>
    </row>
    <row r="8360" spans="9:19" x14ac:dyDescent="0.25">
      <c r="I8360" s="1"/>
      <c r="J8360" s="71"/>
      <c r="M8360" s="46"/>
      <c r="R8360" s="51"/>
      <c r="S8360" s="51"/>
    </row>
    <row r="8361" spans="9:19" x14ac:dyDescent="0.25">
      <c r="I8361" s="1"/>
      <c r="J8361" s="71"/>
      <c r="M8361" s="46"/>
      <c r="R8361" s="51"/>
      <c r="S8361" s="51"/>
    </row>
    <row r="8362" spans="9:19" x14ac:dyDescent="0.25">
      <c r="I8362" s="1"/>
      <c r="J8362" s="71"/>
      <c r="M8362" s="46"/>
      <c r="R8362" s="51"/>
      <c r="S8362" s="51"/>
    </row>
    <row r="8363" spans="9:19" x14ac:dyDescent="0.25">
      <c r="I8363" s="1"/>
      <c r="J8363" s="71"/>
      <c r="M8363" s="46"/>
      <c r="R8363" s="51"/>
      <c r="S8363" s="51"/>
    </row>
    <row r="8364" spans="9:19" x14ac:dyDescent="0.25">
      <c r="I8364" s="1"/>
      <c r="J8364" s="71"/>
      <c r="M8364" s="46"/>
      <c r="R8364" s="51"/>
      <c r="S8364" s="51"/>
    </row>
    <row r="8365" spans="9:19" x14ac:dyDescent="0.25">
      <c r="I8365" s="1"/>
      <c r="J8365" s="71"/>
      <c r="M8365" s="46"/>
      <c r="R8365" s="51"/>
      <c r="S8365" s="51"/>
    </row>
    <row r="8366" spans="9:19" x14ac:dyDescent="0.25">
      <c r="I8366" s="1"/>
      <c r="J8366" s="71"/>
      <c r="M8366" s="46"/>
      <c r="R8366" s="51"/>
      <c r="S8366" s="51"/>
    </row>
    <row r="8367" spans="9:19" x14ac:dyDescent="0.25">
      <c r="I8367" s="1"/>
      <c r="J8367" s="71"/>
      <c r="M8367" s="46"/>
      <c r="R8367" s="51"/>
      <c r="S8367" s="51"/>
    </row>
    <row r="8368" spans="9:19" x14ac:dyDescent="0.25">
      <c r="I8368" s="1"/>
      <c r="J8368" s="71"/>
      <c r="M8368" s="46"/>
      <c r="R8368" s="51"/>
      <c r="S8368" s="51"/>
    </row>
    <row r="8369" spans="9:19" x14ac:dyDescent="0.25">
      <c r="I8369" s="1"/>
      <c r="J8369" s="71"/>
      <c r="M8369" s="46"/>
      <c r="R8369" s="51"/>
      <c r="S8369" s="51"/>
    </row>
    <row r="8370" spans="9:19" x14ac:dyDescent="0.25">
      <c r="I8370" s="1"/>
      <c r="J8370" s="71"/>
      <c r="M8370" s="46"/>
      <c r="R8370" s="51"/>
      <c r="S8370" s="51"/>
    </row>
    <row r="8371" spans="9:19" x14ac:dyDescent="0.25">
      <c r="I8371" s="1"/>
      <c r="J8371" s="71"/>
      <c r="M8371" s="46"/>
      <c r="R8371" s="51"/>
      <c r="S8371" s="51"/>
    </row>
    <row r="8372" spans="9:19" x14ac:dyDescent="0.25">
      <c r="I8372" s="1"/>
      <c r="J8372" s="71"/>
      <c r="M8372" s="46"/>
      <c r="R8372" s="51"/>
      <c r="S8372" s="51"/>
    </row>
    <row r="8373" spans="9:19" x14ac:dyDescent="0.25">
      <c r="I8373" s="1"/>
      <c r="J8373" s="71"/>
      <c r="M8373" s="46"/>
      <c r="R8373" s="51"/>
      <c r="S8373" s="51"/>
    </row>
    <row r="8374" spans="9:19" x14ac:dyDescent="0.25">
      <c r="I8374" s="1"/>
      <c r="J8374" s="71"/>
      <c r="M8374" s="46"/>
      <c r="R8374" s="51"/>
      <c r="S8374" s="51"/>
    </row>
    <row r="8375" spans="9:19" x14ac:dyDescent="0.25">
      <c r="I8375" s="1"/>
      <c r="J8375" s="71"/>
      <c r="M8375" s="46"/>
      <c r="R8375" s="51"/>
      <c r="S8375" s="51"/>
    </row>
    <row r="8376" spans="9:19" x14ac:dyDescent="0.25">
      <c r="I8376" s="1"/>
      <c r="J8376" s="71"/>
      <c r="M8376" s="46"/>
      <c r="R8376" s="51"/>
      <c r="S8376" s="51"/>
    </row>
    <row r="8377" spans="9:19" x14ac:dyDescent="0.25">
      <c r="I8377" s="1"/>
      <c r="J8377" s="71"/>
      <c r="M8377" s="46"/>
      <c r="R8377" s="51"/>
      <c r="S8377" s="51"/>
    </row>
    <row r="8378" spans="9:19" x14ac:dyDescent="0.25">
      <c r="I8378" s="1"/>
      <c r="J8378" s="71"/>
      <c r="M8378" s="46"/>
      <c r="R8378" s="51"/>
      <c r="S8378" s="51"/>
    </row>
    <row r="8379" spans="9:19" x14ac:dyDescent="0.25">
      <c r="I8379" s="1"/>
      <c r="J8379" s="71"/>
      <c r="M8379" s="46"/>
      <c r="R8379" s="51"/>
      <c r="S8379" s="51"/>
    </row>
    <row r="8380" spans="9:19" x14ac:dyDescent="0.25">
      <c r="I8380" s="1"/>
      <c r="J8380" s="71"/>
      <c r="M8380" s="46"/>
      <c r="R8380" s="51"/>
      <c r="S8380" s="51"/>
    </row>
    <row r="8381" spans="9:19" x14ac:dyDescent="0.25">
      <c r="I8381" s="1"/>
      <c r="J8381" s="71"/>
      <c r="M8381" s="46"/>
      <c r="R8381" s="51"/>
      <c r="S8381" s="51"/>
    </row>
    <row r="8382" spans="9:19" x14ac:dyDescent="0.25">
      <c r="I8382" s="1"/>
      <c r="J8382" s="71"/>
      <c r="M8382" s="46"/>
      <c r="R8382" s="51"/>
      <c r="S8382" s="51"/>
    </row>
    <row r="8383" spans="9:19" x14ac:dyDescent="0.25">
      <c r="I8383" s="1"/>
      <c r="J8383" s="71"/>
      <c r="M8383" s="46"/>
      <c r="R8383" s="51"/>
      <c r="S8383" s="51"/>
    </row>
    <row r="8384" spans="9:19" x14ac:dyDescent="0.25">
      <c r="I8384" s="1"/>
      <c r="J8384" s="71"/>
      <c r="M8384" s="46"/>
      <c r="R8384" s="51"/>
      <c r="S8384" s="51"/>
    </row>
    <row r="8385" spans="9:19" x14ac:dyDescent="0.25">
      <c r="I8385" s="1"/>
      <c r="J8385" s="71"/>
      <c r="M8385" s="46"/>
      <c r="R8385" s="51"/>
      <c r="S8385" s="51"/>
    </row>
    <row r="8386" spans="9:19" x14ac:dyDescent="0.25">
      <c r="I8386" s="1"/>
      <c r="J8386" s="71"/>
      <c r="M8386" s="46"/>
      <c r="R8386" s="51"/>
      <c r="S8386" s="51"/>
    </row>
    <row r="8387" spans="9:19" x14ac:dyDescent="0.25">
      <c r="I8387" s="1"/>
      <c r="J8387" s="71"/>
      <c r="M8387" s="46"/>
      <c r="R8387" s="51"/>
      <c r="S8387" s="51"/>
    </row>
    <row r="8388" spans="9:19" x14ac:dyDescent="0.25">
      <c r="I8388" s="1"/>
      <c r="J8388" s="71"/>
      <c r="M8388" s="46"/>
      <c r="R8388" s="51"/>
      <c r="S8388" s="51"/>
    </row>
    <row r="8389" spans="9:19" x14ac:dyDescent="0.25">
      <c r="I8389" s="1"/>
      <c r="J8389" s="71"/>
      <c r="M8389" s="46"/>
      <c r="R8389" s="51"/>
      <c r="S8389" s="51"/>
    </row>
    <row r="8390" spans="9:19" x14ac:dyDescent="0.25">
      <c r="I8390" s="1"/>
      <c r="J8390" s="71"/>
      <c r="M8390" s="46"/>
      <c r="R8390" s="51"/>
      <c r="S8390" s="51"/>
    </row>
    <row r="8391" spans="9:19" x14ac:dyDescent="0.25">
      <c r="I8391" s="1"/>
      <c r="J8391" s="71"/>
      <c r="M8391" s="46"/>
      <c r="R8391" s="51"/>
      <c r="S8391" s="51"/>
    </row>
    <row r="8392" spans="9:19" x14ac:dyDescent="0.25">
      <c r="I8392" s="1"/>
      <c r="J8392" s="71"/>
      <c r="M8392" s="46"/>
      <c r="R8392" s="51"/>
      <c r="S8392" s="51"/>
    </row>
    <row r="8393" spans="9:19" x14ac:dyDescent="0.25">
      <c r="I8393" s="1"/>
      <c r="J8393" s="71"/>
      <c r="M8393" s="46"/>
      <c r="R8393" s="51"/>
      <c r="S8393" s="51"/>
    </row>
    <row r="8394" spans="9:19" x14ac:dyDescent="0.25">
      <c r="I8394" s="1"/>
      <c r="J8394" s="71"/>
      <c r="M8394" s="46"/>
      <c r="R8394" s="51"/>
      <c r="S8394" s="51"/>
    </row>
    <row r="8395" spans="9:19" x14ac:dyDescent="0.25">
      <c r="I8395" s="1"/>
      <c r="J8395" s="71"/>
      <c r="M8395" s="46"/>
      <c r="R8395" s="51"/>
      <c r="S8395" s="51"/>
    </row>
    <row r="8396" spans="9:19" x14ac:dyDescent="0.25">
      <c r="I8396" s="1"/>
      <c r="J8396" s="71"/>
      <c r="M8396" s="46"/>
      <c r="R8396" s="51"/>
      <c r="S8396" s="51"/>
    </row>
    <row r="8397" spans="9:19" x14ac:dyDescent="0.25">
      <c r="I8397" s="1"/>
      <c r="J8397" s="71"/>
      <c r="M8397" s="46"/>
      <c r="R8397" s="51"/>
      <c r="S8397" s="51"/>
    </row>
    <row r="8398" spans="9:19" x14ac:dyDescent="0.25">
      <c r="I8398" s="1"/>
      <c r="J8398" s="71"/>
      <c r="M8398" s="46"/>
      <c r="R8398" s="51"/>
      <c r="S8398" s="51"/>
    </row>
    <row r="8399" spans="9:19" x14ac:dyDescent="0.25">
      <c r="I8399" s="1"/>
      <c r="J8399" s="71"/>
      <c r="M8399" s="46"/>
      <c r="R8399" s="51"/>
      <c r="S8399" s="51"/>
    </row>
    <row r="8400" spans="9:19" x14ac:dyDescent="0.25">
      <c r="I8400" s="1"/>
      <c r="J8400" s="71"/>
      <c r="M8400" s="46"/>
      <c r="R8400" s="51"/>
      <c r="S8400" s="51"/>
    </row>
    <row r="8401" spans="9:19" x14ac:dyDescent="0.25">
      <c r="I8401" s="1"/>
      <c r="J8401" s="71"/>
      <c r="M8401" s="46"/>
      <c r="R8401" s="51"/>
      <c r="S8401" s="51"/>
    </row>
    <row r="8402" spans="9:19" x14ac:dyDescent="0.25">
      <c r="I8402" s="1"/>
      <c r="J8402" s="71"/>
      <c r="M8402" s="46"/>
      <c r="R8402" s="51"/>
      <c r="S8402" s="51"/>
    </row>
    <row r="8403" spans="9:19" x14ac:dyDescent="0.25">
      <c r="I8403" s="1"/>
      <c r="J8403" s="71"/>
      <c r="M8403" s="46"/>
      <c r="R8403" s="51"/>
      <c r="S8403" s="51"/>
    </row>
    <row r="8404" spans="9:19" x14ac:dyDescent="0.25">
      <c r="I8404" s="1"/>
      <c r="J8404" s="71"/>
      <c r="M8404" s="46"/>
      <c r="R8404" s="51"/>
      <c r="S8404" s="51"/>
    </row>
    <row r="8405" spans="9:19" x14ac:dyDescent="0.25">
      <c r="I8405" s="1"/>
      <c r="J8405" s="71"/>
      <c r="M8405" s="46"/>
      <c r="R8405" s="51"/>
      <c r="S8405" s="51"/>
    </row>
    <row r="8406" spans="9:19" x14ac:dyDescent="0.25">
      <c r="I8406" s="1"/>
      <c r="J8406" s="71"/>
      <c r="M8406" s="46"/>
      <c r="R8406" s="51"/>
      <c r="S8406" s="51"/>
    </row>
    <row r="8407" spans="9:19" x14ac:dyDescent="0.25">
      <c r="I8407" s="1"/>
      <c r="J8407" s="71"/>
      <c r="M8407" s="46"/>
      <c r="R8407" s="51"/>
      <c r="S8407" s="51"/>
    </row>
    <row r="8408" spans="9:19" x14ac:dyDescent="0.25">
      <c r="I8408" s="1"/>
      <c r="J8408" s="71"/>
      <c r="M8408" s="46"/>
      <c r="R8408" s="51"/>
      <c r="S8408" s="51"/>
    </row>
    <row r="8409" spans="9:19" x14ac:dyDescent="0.25">
      <c r="I8409" s="1"/>
      <c r="J8409" s="71"/>
      <c r="M8409" s="46"/>
      <c r="R8409" s="51"/>
      <c r="S8409" s="51"/>
    </row>
    <row r="8410" spans="9:19" x14ac:dyDescent="0.25">
      <c r="I8410" s="1"/>
      <c r="J8410" s="71"/>
      <c r="M8410" s="46"/>
      <c r="R8410" s="51"/>
      <c r="S8410" s="51"/>
    </row>
    <row r="8411" spans="9:19" x14ac:dyDescent="0.25">
      <c r="I8411" s="1"/>
      <c r="J8411" s="71"/>
      <c r="M8411" s="46"/>
      <c r="R8411" s="51"/>
      <c r="S8411" s="51"/>
    </row>
    <row r="8412" spans="9:19" x14ac:dyDescent="0.25">
      <c r="I8412" s="1"/>
      <c r="J8412" s="71"/>
      <c r="M8412" s="46"/>
      <c r="R8412" s="51"/>
      <c r="S8412" s="51"/>
    </row>
    <row r="8413" spans="9:19" x14ac:dyDescent="0.25">
      <c r="I8413" s="1"/>
      <c r="J8413" s="71"/>
      <c r="M8413" s="46"/>
      <c r="R8413" s="51"/>
      <c r="S8413" s="51"/>
    </row>
    <row r="8414" spans="9:19" x14ac:dyDescent="0.25">
      <c r="I8414" s="1"/>
      <c r="J8414" s="71"/>
      <c r="M8414" s="46"/>
      <c r="R8414" s="51"/>
      <c r="S8414" s="51"/>
    </row>
    <row r="8415" spans="9:19" x14ac:dyDescent="0.25">
      <c r="I8415" s="1"/>
      <c r="J8415" s="71"/>
      <c r="M8415" s="46"/>
      <c r="R8415" s="51"/>
      <c r="S8415" s="51"/>
    </row>
    <row r="8416" spans="9:19" x14ac:dyDescent="0.25">
      <c r="I8416" s="1"/>
      <c r="J8416" s="71"/>
      <c r="M8416" s="46"/>
      <c r="R8416" s="51"/>
      <c r="S8416" s="51"/>
    </row>
    <row r="8417" spans="9:19" x14ac:dyDescent="0.25">
      <c r="I8417" s="1"/>
      <c r="J8417" s="71"/>
      <c r="M8417" s="46"/>
      <c r="R8417" s="51"/>
      <c r="S8417" s="51"/>
    </row>
    <row r="8418" spans="9:19" x14ac:dyDescent="0.25">
      <c r="I8418" s="1"/>
      <c r="J8418" s="71"/>
      <c r="M8418" s="46"/>
      <c r="R8418" s="51"/>
      <c r="S8418" s="51"/>
    </row>
    <row r="8419" spans="9:19" x14ac:dyDescent="0.25">
      <c r="I8419" s="1"/>
      <c r="J8419" s="71"/>
      <c r="M8419" s="46"/>
      <c r="R8419" s="51"/>
      <c r="S8419" s="51"/>
    </row>
    <row r="8420" spans="9:19" x14ac:dyDescent="0.25">
      <c r="I8420" s="1"/>
      <c r="J8420" s="71"/>
      <c r="M8420" s="46"/>
      <c r="R8420" s="51"/>
      <c r="S8420" s="51"/>
    </row>
    <row r="8421" spans="9:19" x14ac:dyDescent="0.25">
      <c r="I8421" s="1"/>
      <c r="J8421" s="71"/>
      <c r="M8421" s="46"/>
      <c r="R8421" s="51"/>
      <c r="S8421" s="51"/>
    </row>
    <row r="8422" spans="9:19" x14ac:dyDescent="0.25">
      <c r="I8422" s="1"/>
      <c r="J8422" s="71"/>
      <c r="M8422" s="46"/>
      <c r="R8422" s="51"/>
      <c r="S8422" s="51"/>
    </row>
    <row r="8423" spans="9:19" x14ac:dyDescent="0.25">
      <c r="I8423" s="1"/>
      <c r="J8423" s="71"/>
      <c r="M8423" s="46"/>
      <c r="R8423" s="51"/>
      <c r="S8423" s="51"/>
    </row>
    <row r="8424" spans="9:19" x14ac:dyDescent="0.25">
      <c r="I8424" s="1"/>
      <c r="J8424" s="71"/>
      <c r="M8424" s="46"/>
      <c r="R8424" s="51"/>
      <c r="S8424" s="51"/>
    </row>
    <row r="8425" spans="9:19" x14ac:dyDescent="0.25">
      <c r="I8425" s="1"/>
      <c r="J8425" s="71"/>
      <c r="M8425" s="46"/>
      <c r="R8425" s="51"/>
      <c r="S8425" s="51"/>
    </row>
    <row r="8426" spans="9:19" x14ac:dyDescent="0.25">
      <c r="I8426" s="1"/>
      <c r="J8426" s="71"/>
      <c r="M8426" s="46"/>
      <c r="R8426" s="51"/>
      <c r="S8426" s="51"/>
    </row>
    <row r="8427" spans="9:19" x14ac:dyDescent="0.25">
      <c r="I8427" s="1"/>
      <c r="J8427" s="71"/>
      <c r="M8427" s="46"/>
      <c r="R8427" s="51"/>
      <c r="S8427" s="51"/>
    </row>
    <row r="8428" spans="9:19" x14ac:dyDescent="0.25">
      <c r="I8428" s="1"/>
      <c r="J8428" s="71"/>
      <c r="M8428" s="46"/>
      <c r="R8428" s="51"/>
      <c r="S8428" s="51"/>
    </row>
    <row r="8429" spans="9:19" x14ac:dyDescent="0.25">
      <c r="I8429" s="1"/>
      <c r="J8429" s="71"/>
      <c r="M8429" s="46"/>
      <c r="R8429" s="51"/>
      <c r="S8429" s="51"/>
    </row>
    <row r="8430" spans="9:19" x14ac:dyDescent="0.25">
      <c r="I8430" s="1"/>
      <c r="J8430" s="71"/>
      <c r="M8430" s="46"/>
      <c r="R8430" s="51"/>
      <c r="S8430" s="51"/>
    </row>
    <row r="8431" spans="9:19" x14ac:dyDescent="0.25">
      <c r="I8431" s="1"/>
      <c r="J8431" s="71"/>
      <c r="M8431" s="46"/>
      <c r="R8431" s="51"/>
      <c r="S8431" s="51"/>
    </row>
    <row r="8432" spans="9:19" x14ac:dyDescent="0.25">
      <c r="I8432" s="1"/>
      <c r="J8432" s="71"/>
      <c r="M8432" s="46"/>
      <c r="R8432" s="51"/>
      <c r="S8432" s="51"/>
    </row>
    <row r="8433" spans="9:19" x14ac:dyDescent="0.25">
      <c r="I8433" s="1"/>
      <c r="J8433" s="71"/>
      <c r="M8433" s="46"/>
      <c r="R8433" s="51"/>
      <c r="S8433" s="51"/>
    </row>
    <row r="8434" spans="9:19" x14ac:dyDescent="0.25">
      <c r="I8434" s="1"/>
      <c r="J8434" s="71"/>
      <c r="M8434" s="46"/>
      <c r="R8434" s="51"/>
      <c r="S8434" s="51"/>
    </row>
    <row r="8435" spans="9:19" x14ac:dyDescent="0.25">
      <c r="I8435" s="1"/>
      <c r="J8435" s="71"/>
      <c r="M8435" s="46"/>
      <c r="R8435" s="51"/>
      <c r="S8435" s="51"/>
    </row>
    <row r="8436" spans="9:19" x14ac:dyDescent="0.25">
      <c r="I8436" s="1"/>
      <c r="J8436" s="71"/>
      <c r="M8436" s="46"/>
      <c r="R8436" s="51"/>
      <c r="S8436" s="51"/>
    </row>
    <row r="8437" spans="9:19" x14ac:dyDescent="0.25">
      <c r="I8437" s="1"/>
      <c r="J8437" s="71"/>
      <c r="M8437" s="46"/>
      <c r="R8437" s="51"/>
      <c r="S8437" s="51"/>
    </row>
    <row r="8438" spans="9:19" x14ac:dyDescent="0.25">
      <c r="I8438" s="1"/>
      <c r="J8438" s="71"/>
      <c r="M8438" s="46"/>
      <c r="R8438" s="51"/>
      <c r="S8438" s="51"/>
    </row>
    <row r="8439" spans="9:19" x14ac:dyDescent="0.25">
      <c r="I8439" s="1"/>
      <c r="J8439" s="71"/>
      <c r="M8439" s="46"/>
      <c r="R8439" s="51"/>
      <c r="S8439" s="51"/>
    </row>
    <row r="8440" spans="9:19" x14ac:dyDescent="0.25">
      <c r="I8440" s="1"/>
      <c r="J8440" s="71"/>
      <c r="M8440" s="46"/>
      <c r="R8440" s="51"/>
      <c r="S8440" s="51"/>
    </row>
    <row r="8441" spans="9:19" x14ac:dyDescent="0.25">
      <c r="I8441" s="1"/>
      <c r="J8441" s="71"/>
      <c r="M8441" s="46"/>
      <c r="R8441" s="51"/>
      <c r="S8441" s="51"/>
    </row>
    <row r="8442" spans="9:19" x14ac:dyDescent="0.25">
      <c r="I8442" s="1"/>
      <c r="J8442" s="71"/>
      <c r="M8442" s="46"/>
      <c r="R8442" s="51"/>
      <c r="S8442" s="51"/>
    </row>
    <row r="8443" spans="9:19" x14ac:dyDescent="0.25">
      <c r="I8443" s="1"/>
      <c r="J8443" s="71"/>
      <c r="M8443" s="46"/>
      <c r="R8443" s="51"/>
      <c r="S8443" s="51"/>
    </row>
    <row r="8444" spans="9:19" x14ac:dyDescent="0.25">
      <c r="I8444" s="1"/>
      <c r="J8444" s="71"/>
      <c r="M8444" s="46"/>
      <c r="R8444" s="51"/>
      <c r="S8444" s="51"/>
    </row>
    <row r="8445" spans="9:19" x14ac:dyDescent="0.25">
      <c r="I8445" s="1"/>
      <c r="J8445" s="71"/>
      <c r="M8445" s="46"/>
      <c r="R8445" s="51"/>
      <c r="S8445" s="51"/>
    </row>
    <row r="8446" spans="9:19" x14ac:dyDescent="0.25">
      <c r="I8446" s="1"/>
      <c r="J8446" s="71"/>
      <c r="M8446" s="46"/>
      <c r="R8446" s="51"/>
      <c r="S8446" s="51"/>
    </row>
    <row r="8447" spans="9:19" x14ac:dyDescent="0.25">
      <c r="I8447" s="1"/>
      <c r="J8447" s="71"/>
      <c r="M8447" s="46"/>
      <c r="R8447" s="51"/>
      <c r="S8447" s="51"/>
    </row>
    <row r="8448" spans="9:19" x14ac:dyDescent="0.25">
      <c r="I8448" s="1"/>
      <c r="J8448" s="71"/>
      <c r="M8448" s="46"/>
      <c r="R8448" s="51"/>
      <c r="S8448" s="51"/>
    </row>
    <row r="8449" spans="9:19" x14ac:dyDescent="0.25">
      <c r="I8449" s="1"/>
      <c r="J8449" s="71"/>
      <c r="M8449" s="46"/>
      <c r="R8449" s="51"/>
      <c r="S8449" s="51"/>
    </row>
    <row r="8450" spans="9:19" x14ac:dyDescent="0.25">
      <c r="I8450" s="1"/>
      <c r="J8450" s="71"/>
      <c r="M8450" s="46"/>
      <c r="R8450" s="51"/>
      <c r="S8450" s="51"/>
    </row>
    <row r="8451" spans="9:19" x14ac:dyDescent="0.25">
      <c r="I8451" s="1"/>
      <c r="J8451" s="71"/>
      <c r="M8451" s="46"/>
      <c r="R8451" s="51"/>
      <c r="S8451" s="51"/>
    </row>
    <row r="8452" spans="9:19" x14ac:dyDescent="0.25">
      <c r="I8452" s="1"/>
      <c r="J8452" s="71"/>
      <c r="M8452" s="46"/>
      <c r="R8452" s="51"/>
      <c r="S8452" s="51"/>
    </row>
    <row r="8453" spans="9:19" x14ac:dyDescent="0.25">
      <c r="I8453" s="1"/>
      <c r="J8453" s="71"/>
      <c r="M8453" s="46"/>
      <c r="R8453" s="51"/>
      <c r="S8453" s="51"/>
    </row>
    <row r="8454" spans="9:19" x14ac:dyDescent="0.25">
      <c r="I8454" s="1"/>
      <c r="J8454" s="71"/>
      <c r="M8454" s="46"/>
      <c r="R8454" s="51"/>
      <c r="S8454" s="51"/>
    </row>
    <row r="8455" spans="9:19" x14ac:dyDescent="0.25">
      <c r="I8455" s="1"/>
      <c r="J8455" s="71"/>
      <c r="M8455" s="46"/>
      <c r="R8455" s="51"/>
      <c r="S8455" s="51"/>
    </row>
    <row r="8456" spans="9:19" x14ac:dyDescent="0.25">
      <c r="I8456" s="1"/>
      <c r="J8456" s="71"/>
      <c r="M8456" s="46"/>
      <c r="R8456" s="51"/>
      <c r="S8456" s="51"/>
    </row>
    <row r="8457" spans="9:19" x14ac:dyDescent="0.25">
      <c r="I8457" s="1"/>
      <c r="J8457" s="71"/>
      <c r="M8457" s="46"/>
      <c r="R8457" s="51"/>
      <c r="S8457" s="51"/>
    </row>
    <row r="8458" spans="9:19" x14ac:dyDescent="0.25">
      <c r="I8458" s="1"/>
      <c r="J8458" s="71"/>
      <c r="M8458" s="46"/>
      <c r="R8458" s="51"/>
      <c r="S8458" s="51"/>
    </row>
    <row r="8459" spans="9:19" x14ac:dyDescent="0.25">
      <c r="I8459" s="1"/>
      <c r="J8459" s="71"/>
      <c r="M8459" s="46"/>
      <c r="R8459" s="51"/>
      <c r="S8459" s="51"/>
    </row>
    <row r="8460" spans="9:19" x14ac:dyDescent="0.25">
      <c r="I8460" s="1"/>
      <c r="J8460" s="71"/>
      <c r="M8460" s="46"/>
      <c r="R8460" s="51"/>
      <c r="S8460" s="51"/>
    </row>
    <row r="8461" spans="9:19" x14ac:dyDescent="0.25">
      <c r="I8461" s="1"/>
      <c r="J8461" s="71"/>
      <c r="M8461" s="46"/>
      <c r="R8461" s="51"/>
      <c r="S8461" s="51"/>
    </row>
    <row r="8462" spans="9:19" x14ac:dyDescent="0.25">
      <c r="I8462" s="1"/>
      <c r="J8462" s="71"/>
      <c r="M8462" s="46"/>
      <c r="R8462" s="51"/>
      <c r="S8462" s="51"/>
    </row>
    <row r="8463" spans="9:19" x14ac:dyDescent="0.25">
      <c r="I8463" s="1"/>
      <c r="J8463" s="71"/>
      <c r="M8463" s="46"/>
      <c r="R8463" s="51"/>
      <c r="S8463" s="51"/>
    </row>
    <row r="8464" spans="9:19" x14ac:dyDescent="0.25">
      <c r="I8464" s="1"/>
      <c r="J8464" s="71"/>
      <c r="M8464" s="46"/>
      <c r="R8464" s="51"/>
      <c r="S8464" s="51"/>
    </row>
    <row r="8465" spans="9:19" x14ac:dyDescent="0.25">
      <c r="I8465" s="1"/>
      <c r="J8465" s="71"/>
      <c r="M8465" s="46"/>
      <c r="R8465" s="51"/>
      <c r="S8465" s="51"/>
    </row>
    <row r="8466" spans="9:19" x14ac:dyDescent="0.25">
      <c r="I8466" s="1"/>
      <c r="J8466" s="71"/>
      <c r="M8466" s="46"/>
      <c r="R8466" s="51"/>
      <c r="S8466" s="51"/>
    </row>
    <row r="8467" spans="9:19" x14ac:dyDescent="0.25">
      <c r="I8467" s="1"/>
      <c r="J8467" s="71"/>
      <c r="M8467" s="46"/>
      <c r="R8467" s="51"/>
      <c r="S8467" s="51"/>
    </row>
    <row r="8468" spans="9:19" x14ac:dyDescent="0.25">
      <c r="I8468" s="1"/>
      <c r="J8468" s="71"/>
      <c r="M8468" s="46"/>
      <c r="R8468" s="51"/>
      <c r="S8468" s="51"/>
    </row>
    <row r="8469" spans="9:19" x14ac:dyDescent="0.25">
      <c r="I8469" s="1"/>
      <c r="J8469" s="71"/>
      <c r="M8469" s="46"/>
      <c r="R8469" s="51"/>
      <c r="S8469" s="51"/>
    </row>
    <row r="8470" spans="9:19" x14ac:dyDescent="0.25">
      <c r="I8470" s="1"/>
      <c r="J8470" s="71"/>
      <c r="M8470" s="46"/>
      <c r="R8470" s="51"/>
      <c r="S8470" s="51"/>
    </row>
    <row r="8471" spans="9:19" x14ac:dyDescent="0.25">
      <c r="I8471" s="1"/>
      <c r="J8471" s="71"/>
      <c r="M8471" s="46"/>
      <c r="R8471" s="51"/>
      <c r="S8471" s="51"/>
    </row>
    <row r="8472" spans="9:19" x14ac:dyDescent="0.25">
      <c r="I8472" s="1"/>
      <c r="J8472" s="71"/>
      <c r="M8472" s="46"/>
      <c r="R8472" s="51"/>
      <c r="S8472" s="51"/>
    </row>
    <row r="8473" spans="9:19" x14ac:dyDescent="0.25">
      <c r="I8473" s="1"/>
      <c r="J8473" s="71"/>
      <c r="M8473" s="46"/>
      <c r="R8473" s="51"/>
      <c r="S8473" s="51"/>
    </row>
    <row r="8474" spans="9:19" x14ac:dyDescent="0.25">
      <c r="I8474" s="1"/>
      <c r="J8474" s="71"/>
      <c r="M8474" s="46"/>
      <c r="R8474" s="51"/>
      <c r="S8474" s="51"/>
    </row>
    <row r="8475" spans="9:19" x14ac:dyDescent="0.25">
      <c r="I8475" s="1"/>
      <c r="J8475" s="71"/>
      <c r="M8475" s="46"/>
      <c r="R8475" s="51"/>
      <c r="S8475" s="51"/>
    </row>
    <row r="8476" spans="9:19" x14ac:dyDescent="0.25">
      <c r="I8476" s="1"/>
      <c r="J8476" s="71"/>
      <c r="M8476" s="46"/>
      <c r="R8476" s="51"/>
      <c r="S8476" s="51"/>
    </row>
    <row r="8477" spans="9:19" x14ac:dyDescent="0.25">
      <c r="I8477" s="1"/>
      <c r="J8477" s="71"/>
      <c r="M8477" s="46"/>
      <c r="R8477" s="51"/>
      <c r="S8477" s="51"/>
    </row>
    <row r="8478" spans="9:19" x14ac:dyDescent="0.25">
      <c r="I8478" s="1"/>
      <c r="J8478" s="71"/>
      <c r="M8478" s="46"/>
      <c r="R8478" s="51"/>
      <c r="S8478" s="51"/>
    </row>
    <row r="8479" spans="9:19" x14ac:dyDescent="0.25">
      <c r="I8479" s="1"/>
      <c r="J8479" s="71"/>
      <c r="M8479" s="46"/>
      <c r="R8479" s="51"/>
      <c r="S8479" s="51"/>
    </row>
    <row r="8480" spans="9:19" x14ac:dyDescent="0.25">
      <c r="I8480" s="1"/>
      <c r="J8480" s="71"/>
      <c r="M8480" s="46"/>
      <c r="R8480" s="51"/>
      <c r="S8480" s="51"/>
    </row>
    <row r="8481" spans="9:19" x14ac:dyDescent="0.25">
      <c r="I8481" s="1"/>
      <c r="J8481" s="71"/>
      <c r="M8481" s="46"/>
      <c r="R8481" s="51"/>
      <c r="S8481" s="51"/>
    </row>
    <row r="8482" spans="9:19" x14ac:dyDescent="0.25">
      <c r="I8482" s="1"/>
      <c r="J8482" s="71"/>
      <c r="M8482" s="46"/>
      <c r="R8482" s="51"/>
      <c r="S8482" s="51"/>
    </row>
    <row r="8483" spans="9:19" x14ac:dyDescent="0.25">
      <c r="I8483" s="1"/>
      <c r="J8483" s="71"/>
      <c r="M8483" s="46"/>
      <c r="R8483" s="51"/>
      <c r="S8483" s="51"/>
    </row>
    <row r="8484" spans="9:19" x14ac:dyDescent="0.25">
      <c r="I8484" s="1"/>
      <c r="J8484" s="71"/>
      <c r="M8484" s="46"/>
      <c r="R8484" s="51"/>
      <c r="S8484" s="51"/>
    </row>
    <row r="8485" spans="9:19" x14ac:dyDescent="0.25">
      <c r="I8485" s="1"/>
      <c r="J8485" s="71"/>
      <c r="M8485" s="46"/>
      <c r="R8485" s="51"/>
      <c r="S8485" s="51"/>
    </row>
    <row r="8486" spans="9:19" x14ac:dyDescent="0.25">
      <c r="I8486" s="1"/>
      <c r="J8486" s="71"/>
      <c r="M8486" s="46"/>
      <c r="R8486" s="51"/>
      <c r="S8486" s="51"/>
    </row>
    <row r="8487" spans="9:19" x14ac:dyDescent="0.25">
      <c r="I8487" s="1"/>
      <c r="J8487" s="71"/>
      <c r="M8487" s="46"/>
      <c r="R8487" s="51"/>
      <c r="S8487" s="51"/>
    </row>
    <row r="8488" spans="9:19" x14ac:dyDescent="0.25">
      <c r="I8488" s="1"/>
      <c r="J8488" s="71"/>
      <c r="M8488" s="46"/>
      <c r="R8488" s="51"/>
      <c r="S8488" s="51"/>
    </row>
    <row r="8489" spans="9:19" x14ac:dyDescent="0.25">
      <c r="I8489" s="1"/>
      <c r="J8489" s="71"/>
      <c r="M8489" s="46"/>
      <c r="R8489" s="51"/>
      <c r="S8489" s="51"/>
    </row>
    <row r="8490" spans="9:19" x14ac:dyDescent="0.25">
      <c r="I8490" s="1"/>
      <c r="J8490" s="71"/>
      <c r="M8490" s="46"/>
      <c r="R8490" s="51"/>
      <c r="S8490" s="51"/>
    </row>
    <row r="8491" spans="9:19" x14ac:dyDescent="0.25">
      <c r="I8491" s="1"/>
      <c r="J8491" s="71"/>
      <c r="M8491" s="46"/>
      <c r="R8491" s="51"/>
      <c r="S8491" s="51"/>
    </row>
    <row r="8492" spans="9:19" x14ac:dyDescent="0.25">
      <c r="I8492" s="1"/>
      <c r="J8492" s="71"/>
      <c r="M8492" s="46"/>
      <c r="R8492" s="51"/>
      <c r="S8492" s="51"/>
    </row>
    <row r="8493" spans="9:19" x14ac:dyDescent="0.25">
      <c r="I8493" s="1"/>
      <c r="J8493" s="71"/>
      <c r="M8493" s="46"/>
      <c r="R8493" s="51"/>
      <c r="S8493" s="51"/>
    </row>
    <row r="8494" spans="9:19" x14ac:dyDescent="0.25">
      <c r="I8494" s="1"/>
      <c r="J8494" s="71"/>
      <c r="M8494" s="46"/>
      <c r="R8494" s="51"/>
      <c r="S8494" s="51"/>
    </row>
    <row r="8495" spans="9:19" x14ac:dyDescent="0.25">
      <c r="I8495" s="1"/>
      <c r="J8495" s="71"/>
      <c r="M8495" s="46"/>
      <c r="R8495" s="51"/>
      <c r="S8495" s="51"/>
    </row>
    <row r="8496" spans="9:19" x14ac:dyDescent="0.25">
      <c r="I8496" s="1"/>
      <c r="J8496" s="71"/>
      <c r="M8496" s="46"/>
      <c r="R8496" s="51"/>
      <c r="S8496" s="51"/>
    </row>
    <row r="8497" spans="9:19" x14ac:dyDescent="0.25">
      <c r="I8497" s="1"/>
      <c r="J8497" s="71"/>
      <c r="M8497" s="46"/>
      <c r="R8497" s="51"/>
      <c r="S8497" s="51"/>
    </row>
    <row r="8498" spans="9:19" x14ac:dyDescent="0.25">
      <c r="I8498" s="1"/>
      <c r="J8498" s="71"/>
      <c r="M8498" s="46"/>
      <c r="R8498" s="51"/>
      <c r="S8498" s="51"/>
    </row>
    <row r="8499" spans="9:19" x14ac:dyDescent="0.25">
      <c r="I8499" s="1"/>
      <c r="J8499" s="71"/>
      <c r="M8499" s="46"/>
      <c r="R8499" s="51"/>
      <c r="S8499" s="51"/>
    </row>
    <row r="8500" spans="9:19" x14ac:dyDescent="0.25">
      <c r="I8500" s="1"/>
      <c r="J8500" s="71"/>
      <c r="M8500" s="46"/>
      <c r="R8500" s="51"/>
      <c r="S8500" s="51"/>
    </row>
    <row r="8501" spans="9:19" x14ac:dyDescent="0.25">
      <c r="I8501" s="1"/>
      <c r="J8501" s="71"/>
      <c r="M8501" s="46"/>
      <c r="R8501" s="51"/>
      <c r="S8501" s="51"/>
    </row>
    <row r="8502" spans="9:19" x14ac:dyDescent="0.25">
      <c r="I8502" s="1"/>
      <c r="J8502" s="71"/>
      <c r="M8502" s="46"/>
      <c r="R8502" s="51"/>
      <c r="S8502" s="51"/>
    </row>
    <row r="8503" spans="9:19" x14ac:dyDescent="0.25">
      <c r="I8503" s="1"/>
      <c r="J8503" s="71"/>
      <c r="M8503" s="46"/>
      <c r="R8503" s="51"/>
      <c r="S8503" s="51"/>
    </row>
    <row r="8504" spans="9:19" x14ac:dyDescent="0.25">
      <c r="I8504" s="1"/>
      <c r="J8504" s="71"/>
      <c r="M8504" s="46"/>
      <c r="R8504" s="51"/>
      <c r="S8504" s="51"/>
    </row>
    <row r="8505" spans="9:19" x14ac:dyDescent="0.25">
      <c r="I8505" s="1"/>
      <c r="J8505" s="71"/>
      <c r="M8505" s="46"/>
      <c r="R8505" s="51"/>
      <c r="S8505" s="51"/>
    </row>
    <row r="8506" spans="9:19" x14ac:dyDescent="0.25">
      <c r="I8506" s="1"/>
      <c r="J8506" s="71"/>
      <c r="M8506" s="46"/>
      <c r="R8506" s="51"/>
      <c r="S8506" s="51"/>
    </row>
    <row r="8507" spans="9:19" x14ac:dyDescent="0.25">
      <c r="I8507" s="1"/>
      <c r="J8507" s="71"/>
      <c r="M8507" s="46"/>
      <c r="R8507" s="51"/>
      <c r="S8507" s="51"/>
    </row>
    <row r="8508" spans="9:19" x14ac:dyDescent="0.25">
      <c r="I8508" s="1"/>
      <c r="J8508" s="71"/>
      <c r="M8508" s="46"/>
      <c r="R8508" s="51"/>
      <c r="S8508" s="51"/>
    </row>
    <row r="8509" spans="9:19" x14ac:dyDescent="0.25">
      <c r="I8509" s="1"/>
      <c r="J8509" s="71"/>
      <c r="M8509" s="46"/>
      <c r="R8509" s="51"/>
      <c r="S8509" s="51"/>
    </row>
    <row r="8510" spans="9:19" x14ac:dyDescent="0.25">
      <c r="I8510" s="1"/>
      <c r="J8510" s="71"/>
      <c r="M8510" s="46"/>
      <c r="R8510" s="51"/>
      <c r="S8510" s="51"/>
    </row>
    <row r="8511" spans="9:19" x14ac:dyDescent="0.25">
      <c r="I8511" s="1"/>
      <c r="J8511" s="71"/>
      <c r="M8511" s="46"/>
      <c r="R8511" s="51"/>
      <c r="S8511" s="51"/>
    </row>
    <row r="8512" spans="9:19" x14ac:dyDescent="0.25">
      <c r="I8512" s="1"/>
      <c r="J8512" s="71"/>
      <c r="M8512" s="46"/>
      <c r="R8512" s="51"/>
      <c r="S8512" s="51"/>
    </row>
    <row r="8513" spans="9:19" x14ac:dyDescent="0.25">
      <c r="I8513" s="1"/>
      <c r="J8513" s="71"/>
      <c r="M8513" s="46"/>
      <c r="R8513" s="51"/>
      <c r="S8513" s="51"/>
    </row>
    <row r="8514" spans="9:19" x14ac:dyDescent="0.25">
      <c r="I8514" s="1"/>
      <c r="J8514" s="71"/>
      <c r="M8514" s="46"/>
      <c r="R8514" s="51"/>
      <c r="S8514" s="51"/>
    </row>
    <row r="8515" spans="9:19" x14ac:dyDescent="0.25">
      <c r="I8515" s="1"/>
      <c r="J8515" s="71"/>
      <c r="M8515" s="46"/>
      <c r="R8515" s="51"/>
      <c r="S8515" s="51"/>
    </row>
    <row r="8516" spans="9:19" x14ac:dyDescent="0.25">
      <c r="I8516" s="1"/>
      <c r="J8516" s="71"/>
      <c r="M8516" s="46"/>
      <c r="R8516" s="51"/>
      <c r="S8516" s="51"/>
    </row>
    <row r="8517" spans="9:19" x14ac:dyDescent="0.25">
      <c r="I8517" s="1"/>
      <c r="J8517" s="71"/>
      <c r="M8517" s="46"/>
      <c r="R8517" s="51"/>
      <c r="S8517" s="51"/>
    </row>
    <row r="8518" spans="9:19" x14ac:dyDescent="0.25">
      <c r="I8518" s="1"/>
      <c r="J8518" s="71"/>
      <c r="M8518" s="46"/>
      <c r="R8518" s="51"/>
      <c r="S8518" s="51"/>
    </row>
    <row r="8519" spans="9:19" x14ac:dyDescent="0.25">
      <c r="I8519" s="1"/>
      <c r="J8519" s="71"/>
      <c r="M8519" s="46"/>
      <c r="R8519" s="51"/>
      <c r="S8519" s="51"/>
    </row>
    <row r="8520" spans="9:19" x14ac:dyDescent="0.25">
      <c r="I8520" s="1"/>
      <c r="J8520" s="71"/>
      <c r="M8520" s="46"/>
      <c r="R8520" s="51"/>
      <c r="S8520" s="51"/>
    </row>
    <row r="8521" spans="9:19" x14ac:dyDescent="0.25">
      <c r="I8521" s="1"/>
      <c r="J8521" s="71"/>
      <c r="M8521" s="46"/>
      <c r="R8521" s="51"/>
      <c r="S8521" s="51"/>
    </row>
    <row r="8522" spans="9:19" x14ac:dyDescent="0.25">
      <c r="I8522" s="1"/>
      <c r="J8522" s="71"/>
      <c r="M8522" s="46"/>
      <c r="R8522" s="51"/>
      <c r="S8522" s="51"/>
    </row>
    <row r="8523" spans="9:19" x14ac:dyDescent="0.25">
      <c r="I8523" s="1"/>
      <c r="J8523" s="71"/>
      <c r="M8523" s="46"/>
      <c r="R8523" s="51"/>
      <c r="S8523" s="51"/>
    </row>
    <row r="8524" spans="9:19" x14ac:dyDescent="0.25">
      <c r="I8524" s="1"/>
      <c r="J8524" s="71"/>
      <c r="M8524" s="46"/>
      <c r="R8524" s="51"/>
      <c r="S8524" s="51"/>
    </row>
    <row r="8525" spans="9:19" x14ac:dyDescent="0.25">
      <c r="I8525" s="1"/>
      <c r="J8525" s="71"/>
      <c r="M8525" s="46"/>
      <c r="R8525" s="51"/>
      <c r="S8525" s="51"/>
    </row>
    <row r="8526" spans="9:19" x14ac:dyDescent="0.25">
      <c r="I8526" s="1"/>
      <c r="J8526" s="71"/>
      <c r="M8526" s="46"/>
      <c r="R8526" s="51"/>
      <c r="S8526" s="51"/>
    </row>
    <row r="8527" spans="9:19" x14ac:dyDescent="0.25">
      <c r="I8527" s="1"/>
      <c r="J8527" s="71"/>
      <c r="M8527" s="46"/>
      <c r="R8527" s="51"/>
      <c r="S8527" s="51"/>
    </row>
    <row r="8528" spans="9:19" x14ac:dyDescent="0.25">
      <c r="I8528" s="1"/>
      <c r="J8528" s="71"/>
      <c r="M8528" s="46"/>
      <c r="R8528" s="51"/>
      <c r="S8528" s="51"/>
    </row>
    <row r="8529" spans="9:19" x14ac:dyDescent="0.25">
      <c r="I8529" s="1"/>
      <c r="J8529" s="71"/>
      <c r="M8529" s="46"/>
      <c r="R8529" s="51"/>
      <c r="S8529" s="51"/>
    </row>
    <row r="8530" spans="9:19" x14ac:dyDescent="0.25">
      <c r="I8530" s="1"/>
      <c r="J8530" s="71"/>
      <c r="M8530" s="46"/>
      <c r="R8530" s="51"/>
      <c r="S8530" s="51"/>
    </row>
    <row r="8531" spans="9:19" x14ac:dyDescent="0.25">
      <c r="I8531" s="1"/>
      <c r="J8531" s="71"/>
      <c r="M8531" s="46"/>
      <c r="R8531" s="51"/>
      <c r="S8531" s="51"/>
    </row>
    <row r="8532" spans="9:19" x14ac:dyDescent="0.25">
      <c r="I8532" s="1"/>
      <c r="J8532" s="71"/>
      <c r="M8532" s="46"/>
      <c r="R8532" s="51"/>
      <c r="S8532" s="51"/>
    </row>
    <row r="8533" spans="9:19" x14ac:dyDescent="0.25">
      <c r="I8533" s="1"/>
      <c r="J8533" s="71"/>
      <c r="M8533" s="46"/>
      <c r="R8533" s="51"/>
      <c r="S8533" s="51"/>
    </row>
    <row r="8534" spans="9:19" x14ac:dyDescent="0.25">
      <c r="I8534" s="1"/>
      <c r="J8534" s="71"/>
      <c r="M8534" s="46"/>
      <c r="R8534" s="51"/>
      <c r="S8534" s="51"/>
    </row>
    <row r="8535" spans="9:19" x14ac:dyDescent="0.25">
      <c r="I8535" s="1"/>
      <c r="J8535" s="71"/>
      <c r="M8535" s="46"/>
      <c r="R8535" s="51"/>
      <c r="S8535" s="51"/>
    </row>
    <row r="8536" spans="9:19" x14ac:dyDescent="0.25">
      <c r="I8536" s="1"/>
      <c r="J8536" s="71"/>
      <c r="M8536" s="46"/>
      <c r="R8536" s="51"/>
      <c r="S8536" s="51"/>
    </row>
    <row r="8537" spans="9:19" x14ac:dyDescent="0.25">
      <c r="I8537" s="1"/>
      <c r="J8537" s="71"/>
      <c r="M8537" s="46"/>
      <c r="R8537" s="51"/>
      <c r="S8537" s="51"/>
    </row>
    <row r="8538" spans="9:19" x14ac:dyDescent="0.25">
      <c r="I8538" s="1"/>
      <c r="J8538" s="71"/>
      <c r="M8538" s="46"/>
      <c r="R8538" s="51"/>
      <c r="S8538" s="51"/>
    </row>
    <row r="8539" spans="9:19" x14ac:dyDescent="0.25">
      <c r="I8539" s="1"/>
      <c r="J8539" s="71"/>
      <c r="M8539" s="46"/>
      <c r="R8539" s="51"/>
      <c r="S8539" s="51"/>
    </row>
    <row r="8540" spans="9:19" x14ac:dyDescent="0.25">
      <c r="I8540" s="1"/>
      <c r="J8540" s="71"/>
      <c r="M8540" s="46"/>
      <c r="R8540" s="51"/>
      <c r="S8540" s="51"/>
    </row>
    <row r="8541" spans="9:19" x14ac:dyDescent="0.25">
      <c r="I8541" s="1"/>
      <c r="J8541" s="71"/>
      <c r="M8541" s="46"/>
      <c r="R8541" s="51"/>
      <c r="S8541" s="51"/>
    </row>
    <row r="8542" spans="9:19" x14ac:dyDescent="0.25">
      <c r="I8542" s="1"/>
      <c r="J8542" s="71"/>
      <c r="M8542" s="46"/>
      <c r="R8542" s="51"/>
      <c r="S8542" s="51"/>
    </row>
    <row r="8543" spans="9:19" x14ac:dyDescent="0.25">
      <c r="I8543" s="1"/>
      <c r="J8543" s="71"/>
      <c r="M8543" s="46"/>
      <c r="R8543" s="51"/>
      <c r="S8543" s="51"/>
    </row>
    <row r="8544" spans="9:19" x14ac:dyDescent="0.25">
      <c r="I8544" s="1"/>
      <c r="J8544" s="71"/>
      <c r="M8544" s="46"/>
      <c r="R8544" s="51"/>
      <c r="S8544" s="51"/>
    </row>
    <row r="8545" spans="9:19" x14ac:dyDescent="0.25">
      <c r="I8545" s="1"/>
      <c r="J8545" s="71"/>
      <c r="M8545" s="46"/>
      <c r="R8545" s="51"/>
      <c r="S8545" s="51"/>
    </row>
    <row r="8546" spans="9:19" x14ac:dyDescent="0.25">
      <c r="I8546" s="1"/>
      <c r="J8546" s="71"/>
      <c r="M8546" s="46"/>
      <c r="R8546" s="51"/>
      <c r="S8546" s="51"/>
    </row>
    <row r="8547" spans="9:19" x14ac:dyDescent="0.25">
      <c r="I8547" s="1"/>
      <c r="J8547" s="71"/>
      <c r="M8547" s="46"/>
      <c r="R8547" s="51"/>
      <c r="S8547" s="51"/>
    </row>
    <row r="8548" spans="9:19" x14ac:dyDescent="0.25">
      <c r="I8548" s="1"/>
      <c r="J8548" s="71"/>
      <c r="M8548" s="46"/>
      <c r="R8548" s="51"/>
      <c r="S8548" s="51"/>
    </row>
    <row r="8549" spans="9:19" x14ac:dyDescent="0.25">
      <c r="I8549" s="1"/>
      <c r="J8549" s="71"/>
      <c r="M8549" s="46"/>
      <c r="R8549" s="51"/>
      <c r="S8549" s="51"/>
    </row>
    <row r="8550" spans="9:19" x14ac:dyDescent="0.25">
      <c r="I8550" s="1"/>
      <c r="J8550" s="71"/>
      <c r="M8550" s="46"/>
      <c r="R8550" s="51"/>
      <c r="S8550" s="51"/>
    </row>
    <row r="8551" spans="9:19" x14ac:dyDescent="0.25">
      <c r="I8551" s="1"/>
      <c r="J8551" s="71"/>
      <c r="M8551" s="46"/>
      <c r="R8551" s="51"/>
      <c r="S8551" s="51"/>
    </row>
    <row r="8552" spans="9:19" x14ac:dyDescent="0.25">
      <c r="I8552" s="1"/>
      <c r="J8552" s="71"/>
      <c r="M8552" s="46"/>
      <c r="R8552" s="51"/>
      <c r="S8552" s="51"/>
    </row>
    <row r="8553" spans="9:19" x14ac:dyDescent="0.25">
      <c r="I8553" s="1"/>
      <c r="J8553" s="71"/>
      <c r="M8553" s="46"/>
      <c r="R8553" s="51"/>
      <c r="S8553" s="51"/>
    </row>
    <row r="8554" spans="9:19" x14ac:dyDescent="0.25">
      <c r="I8554" s="1"/>
      <c r="J8554" s="71"/>
      <c r="M8554" s="46"/>
      <c r="R8554" s="51"/>
      <c r="S8554" s="51"/>
    </row>
    <row r="8555" spans="9:19" x14ac:dyDescent="0.25">
      <c r="I8555" s="1"/>
      <c r="J8555" s="71"/>
      <c r="M8555" s="46"/>
      <c r="R8555" s="51"/>
      <c r="S8555" s="51"/>
    </row>
    <row r="8556" spans="9:19" x14ac:dyDescent="0.25">
      <c r="I8556" s="1"/>
      <c r="J8556" s="71"/>
      <c r="M8556" s="46"/>
      <c r="R8556" s="51"/>
      <c r="S8556" s="51"/>
    </row>
    <row r="8557" spans="9:19" x14ac:dyDescent="0.25">
      <c r="I8557" s="1"/>
      <c r="J8557" s="71"/>
      <c r="M8557" s="46"/>
      <c r="R8557" s="51"/>
      <c r="S8557" s="51"/>
    </row>
    <row r="8558" spans="9:19" x14ac:dyDescent="0.25">
      <c r="I8558" s="1"/>
      <c r="J8558" s="71"/>
      <c r="M8558" s="46"/>
      <c r="R8558" s="51"/>
      <c r="S8558" s="51"/>
    </row>
    <row r="8559" spans="9:19" x14ac:dyDescent="0.25">
      <c r="I8559" s="1"/>
      <c r="J8559" s="71"/>
      <c r="M8559" s="46"/>
      <c r="R8559" s="51"/>
      <c r="S8559" s="51"/>
    </row>
    <row r="8560" spans="9:19" x14ac:dyDescent="0.25">
      <c r="I8560" s="1"/>
      <c r="J8560" s="71"/>
      <c r="M8560" s="46"/>
      <c r="R8560" s="51"/>
      <c r="S8560" s="51"/>
    </row>
    <row r="8561" spans="9:19" x14ac:dyDescent="0.25">
      <c r="I8561" s="1"/>
      <c r="J8561" s="71"/>
      <c r="M8561" s="46"/>
      <c r="R8561" s="51"/>
      <c r="S8561" s="51"/>
    </row>
    <row r="8562" spans="9:19" x14ac:dyDescent="0.25">
      <c r="I8562" s="1"/>
      <c r="J8562" s="71"/>
      <c r="M8562" s="46"/>
      <c r="R8562" s="51"/>
      <c r="S8562" s="51"/>
    </row>
    <row r="8563" spans="9:19" x14ac:dyDescent="0.25">
      <c r="I8563" s="1"/>
      <c r="J8563" s="71"/>
      <c r="M8563" s="46"/>
      <c r="R8563" s="51"/>
      <c r="S8563" s="51"/>
    </row>
    <row r="8564" spans="9:19" x14ac:dyDescent="0.25">
      <c r="I8564" s="1"/>
      <c r="J8564" s="71"/>
      <c r="M8564" s="46"/>
      <c r="R8564" s="51"/>
      <c r="S8564" s="51"/>
    </row>
    <row r="8565" spans="9:19" x14ac:dyDescent="0.25">
      <c r="I8565" s="1"/>
      <c r="J8565" s="71"/>
      <c r="M8565" s="46"/>
      <c r="R8565" s="51"/>
      <c r="S8565" s="51"/>
    </row>
    <row r="8566" spans="9:19" x14ac:dyDescent="0.25">
      <c r="I8566" s="1"/>
      <c r="J8566" s="71"/>
      <c r="M8566" s="46"/>
      <c r="R8566" s="51"/>
      <c r="S8566" s="51"/>
    </row>
    <row r="8567" spans="9:19" x14ac:dyDescent="0.25">
      <c r="I8567" s="1"/>
      <c r="J8567" s="71"/>
      <c r="M8567" s="46"/>
      <c r="R8567" s="51"/>
      <c r="S8567" s="51"/>
    </row>
    <row r="8568" spans="9:19" x14ac:dyDescent="0.25">
      <c r="I8568" s="1"/>
      <c r="J8568" s="71"/>
      <c r="M8568" s="46"/>
      <c r="R8568" s="51"/>
      <c r="S8568" s="51"/>
    </row>
    <row r="8569" spans="9:19" x14ac:dyDescent="0.25">
      <c r="I8569" s="1"/>
      <c r="J8569" s="71"/>
      <c r="M8569" s="46"/>
      <c r="R8569" s="51"/>
      <c r="S8569" s="51"/>
    </row>
    <row r="8570" spans="9:19" x14ac:dyDescent="0.25">
      <c r="I8570" s="1"/>
      <c r="J8570" s="71"/>
      <c r="M8570" s="46"/>
      <c r="R8570" s="51"/>
      <c r="S8570" s="51"/>
    </row>
    <row r="8571" spans="9:19" x14ac:dyDescent="0.25">
      <c r="I8571" s="1"/>
      <c r="J8571" s="71"/>
      <c r="M8571" s="46"/>
      <c r="R8571" s="51"/>
      <c r="S8571" s="51"/>
    </row>
    <row r="8572" spans="9:19" x14ac:dyDescent="0.25">
      <c r="I8572" s="1"/>
      <c r="J8572" s="71"/>
      <c r="M8572" s="46"/>
      <c r="R8572" s="51"/>
      <c r="S8572" s="51"/>
    </row>
    <row r="8573" spans="9:19" x14ac:dyDescent="0.25">
      <c r="I8573" s="1"/>
      <c r="J8573" s="71"/>
      <c r="M8573" s="46"/>
      <c r="R8573" s="51"/>
      <c r="S8573" s="51"/>
    </row>
    <row r="8574" spans="9:19" x14ac:dyDescent="0.25">
      <c r="I8574" s="1"/>
      <c r="J8574" s="71"/>
      <c r="M8574" s="46"/>
      <c r="R8574" s="51"/>
      <c r="S8574" s="51"/>
    </row>
    <row r="8575" spans="9:19" x14ac:dyDescent="0.25">
      <c r="I8575" s="1"/>
      <c r="J8575" s="71"/>
      <c r="M8575" s="46"/>
      <c r="R8575" s="51"/>
      <c r="S8575" s="51"/>
    </row>
    <row r="8576" spans="9:19" x14ac:dyDescent="0.25">
      <c r="I8576" s="1"/>
      <c r="J8576" s="71"/>
      <c r="M8576" s="46"/>
      <c r="R8576" s="51"/>
      <c r="S8576" s="51"/>
    </row>
    <row r="8577" spans="9:19" x14ac:dyDescent="0.25">
      <c r="I8577" s="1"/>
      <c r="J8577" s="71"/>
      <c r="M8577" s="46"/>
      <c r="R8577" s="51"/>
      <c r="S8577" s="51"/>
    </row>
    <row r="8578" spans="9:19" x14ac:dyDescent="0.25">
      <c r="I8578" s="1"/>
      <c r="J8578" s="71"/>
      <c r="M8578" s="46"/>
      <c r="R8578" s="51"/>
      <c r="S8578" s="51"/>
    </row>
    <row r="8579" spans="9:19" x14ac:dyDescent="0.25">
      <c r="I8579" s="1"/>
      <c r="J8579" s="71"/>
      <c r="M8579" s="46"/>
      <c r="R8579" s="51"/>
      <c r="S8579" s="51"/>
    </row>
    <row r="8580" spans="9:19" x14ac:dyDescent="0.25">
      <c r="I8580" s="1"/>
      <c r="J8580" s="71"/>
      <c r="M8580" s="46"/>
      <c r="R8580" s="51"/>
      <c r="S8580" s="51"/>
    </row>
    <row r="8581" spans="9:19" x14ac:dyDescent="0.25">
      <c r="I8581" s="1"/>
      <c r="J8581" s="71"/>
      <c r="M8581" s="46"/>
      <c r="R8581" s="51"/>
      <c r="S8581" s="51"/>
    </row>
    <row r="8582" spans="9:19" x14ac:dyDescent="0.25">
      <c r="I8582" s="1"/>
      <c r="J8582" s="71"/>
      <c r="M8582" s="46"/>
      <c r="R8582" s="51"/>
      <c r="S8582" s="51"/>
    </row>
    <row r="8583" spans="9:19" x14ac:dyDescent="0.25">
      <c r="I8583" s="1"/>
      <c r="J8583" s="71"/>
      <c r="M8583" s="46"/>
      <c r="R8583" s="51"/>
      <c r="S8583" s="51"/>
    </row>
    <row r="8584" spans="9:19" x14ac:dyDescent="0.25">
      <c r="I8584" s="1"/>
      <c r="J8584" s="71"/>
      <c r="M8584" s="46"/>
      <c r="R8584" s="51"/>
      <c r="S8584" s="51"/>
    </row>
    <row r="8585" spans="9:19" x14ac:dyDescent="0.25">
      <c r="I8585" s="1"/>
      <c r="J8585" s="71"/>
      <c r="M8585" s="46"/>
      <c r="R8585" s="51"/>
      <c r="S8585" s="51"/>
    </row>
    <row r="8586" spans="9:19" x14ac:dyDescent="0.25">
      <c r="I8586" s="1"/>
      <c r="J8586" s="71"/>
      <c r="M8586" s="46"/>
      <c r="R8586" s="51"/>
      <c r="S8586" s="51"/>
    </row>
    <row r="8587" spans="9:19" x14ac:dyDescent="0.25">
      <c r="I8587" s="1"/>
      <c r="J8587" s="71"/>
      <c r="M8587" s="46"/>
      <c r="R8587" s="51"/>
      <c r="S8587" s="51"/>
    </row>
    <row r="8588" spans="9:19" x14ac:dyDescent="0.25">
      <c r="I8588" s="1"/>
      <c r="J8588" s="71"/>
      <c r="M8588" s="46"/>
      <c r="R8588" s="51"/>
      <c r="S8588" s="51"/>
    </row>
    <row r="8589" spans="9:19" x14ac:dyDescent="0.25">
      <c r="I8589" s="1"/>
      <c r="J8589" s="71"/>
      <c r="M8589" s="46"/>
      <c r="R8589" s="51"/>
      <c r="S8589" s="51"/>
    </row>
    <row r="8590" spans="9:19" x14ac:dyDescent="0.25">
      <c r="I8590" s="1"/>
      <c r="J8590" s="71"/>
      <c r="M8590" s="46"/>
      <c r="R8590" s="51"/>
      <c r="S8590" s="51"/>
    </row>
    <row r="8591" spans="9:19" x14ac:dyDescent="0.25">
      <c r="I8591" s="1"/>
      <c r="J8591" s="71"/>
      <c r="M8591" s="46"/>
      <c r="R8591" s="51"/>
      <c r="S8591" s="51"/>
    </row>
    <row r="8592" spans="9:19" x14ac:dyDescent="0.25">
      <c r="I8592" s="1"/>
      <c r="J8592" s="71"/>
      <c r="M8592" s="46"/>
      <c r="R8592" s="51"/>
      <c r="S8592" s="51"/>
    </row>
    <row r="8593" spans="9:19" x14ac:dyDescent="0.25">
      <c r="I8593" s="1"/>
      <c r="J8593" s="71"/>
      <c r="M8593" s="46"/>
      <c r="R8593" s="51"/>
      <c r="S8593" s="51"/>
    </row>
    <row r="8594" spans="9:19" x14ac:dyDescent="0.25">
      <c r="I8594" s="1"/>
      <c r="J8594" s="71"/>
      <c r="M8594" s="46"/>
      <c r="R8594" s="51"/>
      <c r="S8594" s="51"/>
    </row>
    <row r="8595" spans="9:19" x14ac:dyDescent="0.25">
      <c r="I8595" s="1"/>
      <c r="J8595" s="71"/>
      <c r="M8595" s="46"/>
      <c r="R8595" s="51"/>
      <c r="S8595" s="51"/>
    </row>
    <row r="8596" spans="9:19" x14ac:dyDescent="0.25">
      <c r="I8596" s="1"/>
      <c r="J8596" s="71"/>
      <c r="M8596" s="46"/>
      <c r="R8596" s="51"/>
      <c r="S8596" s="51"/>
    </row>
    <row r="8597" spans="9:19" x14ac:dyDescent="0.25">
      <c r="I8597" s="1"/>
      <c r="J8597" s="71"/>
      <c r="M8597" s="46"/>
      <c r="R8597" s="51"/>
      <c r="S8597" s="51"/>
    </row>
    <row r="8598" spans="9:19" x14ac:dyDescent="0.25">
      <c r="I8598" s="1"/>
      <c r="J8598" s="71"/>
      <c r="M8598" s="46"/>
      <c r="R8598" s="51"/>
      <c r="S8598" s="51"/>
    </row>
    <row r="8599" spans="9:19" x14ac:dyDescent="0.25">
      <c r="I8599" s="1"/>
      <c r="J8599" s="71"/>
      <c r="M8599" s="46"/>
      <c r="R8599" s="51"/>
      <c r="S8599" s="51"/>
    </row>
    <row r="8600" spans="9:19" x14ac:dyDescent="0.25">
      <c r="I8600" s="1"/>
      <c r="J8600" s="71"/>
      <c r="M8600" s="46"/>
      <c r="R8600" s="51"/>
      <c r="S8600" s="51"/>
    </row>
    <row r="8601" spans="9:19" x14ac:dyDescent="0.25">
      <c r="I8601" s="1"/>
      <c r="J8601" s="71"/>
      <c r="M8601" s="46"/>
      <c r="R8601" s="51"/>
      <c r="S8601" s="51"/>
    </row>
    <row r="8602" spans="9:19" x14ac:dyDescent="0.25">
      <c r="I8602" s="1"/>
      <c r="J8602" s="71"/>
      <c r="M8602" s="46"/>
      <c r="R8602" s="51"/>
      <c r="S8602" s="51"/>
    </row>
    <row r="8603" spans="9:19" x14ac:dyDescent="0.25">
      <c r="I8603" s="1"/>
      <c r="J8603" s="71"/>
      <c r="M8603" s="46"/>
      <c r="R8603" s="51"/>
      <c r="S8603" s="51"/>
    </row>
    <row r="8604" spans="9:19" x14ac:dyDescent="0.25">
      <c r="I8604" s="1"/>
      <c r="J8604" s="71"/>
      <c r="M8604" s="46"/>
      <c r="R8604" s="51"/>
      <c r="S8604" s="51"/>
    </row>
    <row r="8605" spans="9:19" x14ac:dyDescent="0.25">
      <c r="I8605" s="1"/>
      <c r="J8605" s="71"/>
      <c r="M8605" s="46"/>
      <c r="R8605" s="51"/>
      <c r="S8605" s="51"/>
    </row>
    <row r="8606" spans="9:19" x14ac:dyDescent="0.25">
      <c r="I8606" s="1"/>
      <c r="J8606" s="71"/>
      <c r="M8606" s="46"/>
      <c r="R8606" s="51"/>
      <c r="S8606" s="51"/>
    </row>
    <row r="8607" spans="9:19" x14ac:dyDescent="0.25">
      <c r="I8607" s="1"/>
      <c r="J8607" s="71"/>
      <c r="M8607" s="46"/>
      <c r="R8607" s="51"/>
      <c r="S8607" s="51"/>
    </row>
    <row r="8608" spans="9:19" x14ac:dyDescent="0.25">
      <c r="I8608" s="1"/>
      <c r="J8608" s="71"/>
      <c r="M8608" s="46"/>
      <c r="R8608" s="51"/>
      <c r="S8608" s="51"/>
    </row>
    <row r="8609" spans="9:19" x14ac:dyDescent="0.25">
      <c r="I8609" s="1"/>
      <c r="J8609" s="71"/>
      <c r="M8609" s="46"/>
      <c r="R8609" s="51"/>
      <c r="S8609" s="51"/>
    </row>
    <row r="8610" spans="9:19" x14ac:dyDescent="0.25">
      <c r="I8610" s="1"/>
      <c r="J8610" s="71"/>
      <c r="M8610" s="46"/>
      <c r="R8610" s="51"/>
      <c r="S8610" s="51"/>
    </row>
    <row r="8611" spans="9:19" x14ac:dyDescent="0.25">
      <c r="I8611" s="1"/>
      <c r="J8611" s="71"/>
      <c r="M8611" s="46"/>
      <c r="R8611" s="51"/>
      <c r="S8611" s="51"/>
    </row>
    <row r="8612" spans="9:19" x14ac:dyDescent="0.25">
      <c r="I8612" s="1"/>
      <c r="J8612" s="71"/>
      <c r="M8612" s="46"/>
      <c r="R8612" s="51"/>
      <c r="S8612" s="51"/>
    </row>
    <row r="8613" spans="9:19" x14ac:dyDescent="0.25">
      <c r="I8613" s="1"/>
      <c r="J8613" s="71"/>
      <c r="M8613" s="46"/>
      <c r="R8613" s="51"/>
      <c r="S8613" s="51"/>
    </row>
    <row r="8614" spans="9:19" x14ac:dyDescent="0.25">
      <c r="I8614" s="1"/>
      <c r="J8614" s="71"/>
      <c r="M8614" s="46"/>
      <c r="R8614" s="51"/>
      <c r="S8614" s="51"/>
    </row>
    <row r="8615" spans="9:19" x14ac:dyDescent="0.25">
      <c r="I8615" s="1"/>
      <c r="J8615" s="71"/>
      <c r="M8615" s="46"/>
      <c r="R8615" s="51"/>
      <c r="S8615" s="51"/>
    </row>
    <row r="8616" spans="9:19" x14ac:dyDescent="0.25">
      <c r="I8616" s="1"/>
      <c r="J8616" s="71"/>
      <c r="M8616" s="46"/>
      <c r="R8616" s="51"/>
      <c r="S8616" s="51"/>
    </row>
    <row r="8617" spans="9:19" x14ac:dyDescent="0.25">
      <c r="I8617" s="1"/>
      <c r="J8617" s="71"/>
      <c r="M8617" s="46"/>
      <c r="R8617" s="51"/>
      <c r="S8617" s="51"/>
    </row>
    <row r="8618" spans="9:19" x14ac:dyDescent="0.25">
      <c r="I8618" s="1"/>
      <c r="J8618" s="71"/>
      <c r="M8618" s="46"/>
      <c r="R8618" s="51"/>
      <c r="S8618" s="51"/>
    </row>
    <row r="8619" spans="9:19" x14ac:dyDescent="0.25">
      <c r="I8619" s="1"/>
      <c r="J8619" s="71"/>
      <c r="M8619" s="46"/>
      <c r="R8619" s="51"/>
      <c r="S8619" s="51"/>
    </row>
    <row r="8620" spans="9:19" x14ac:dyDescent="0.25">
      <c r="I8620" s="1"/>
      <c r="J8620" s="71"/>
      <c r="M8620" s="46"/>
      <c r="R8620" s="51"/>
      <c r="S8620" s="51"/>
    </row>
    <row r="8621" spans="9:19" x14ac:dyDescent="0.25">
      <c r="I8621" s="1"/>
      <c r="J8621" s="71"/>
      <c r="M8621" s="46"/>
      <c r="R8621" s="51"/>
      <c r="S8621" s="51"/>
    </row>
    <row r="8622" spans="9:19" x14ac:dyDescent="0.25">
      <c r="I8622" s="1"/>
      <c r="J8622" s="71"/>
      <c r="M8622" s="46"/>
      <c r="R8622" s="51"/>
      <c r="S8622" s="51"/>
    </row>
    <row r="8623" spans="9:19" x14ac:dyDescent="0.25">
      <c r="I8623" s="1"/>
      <c r="J8623" s="71"/>
      <c r="M8623" s="46"/>
      <c r="R8623" s="51"/>
      <c r="S8623" s="51"/>
    </row>
    <row r="8624" spans="9:19" x14ac:dyDescent="0.25">
      <c r="I8624" s="1"/>
      <c r="J8624" s="71"/>
      <c r="M8624" s="46"/>
      <c r="R8624" s="51"/>
      <c r="S8624" s="51"/>
    </row>
    <row r="8625" spans="9:19" x14ac:dyDescent="0.25">
      <c r="I8625" s="1"/>
      <c r="J8625" s="71"/>
      <c r="M8625" s="46"/>
      <c r="R8625" s="51"/>
      <c r="S8625" s="51"/>
    </row>
    <row r="8626" spans="9:19" x14ac:dyDescent="0.25">
      <c r="I8626" s="1"/>
      <c r="J8626" s="71"/>
      <c r="M8626" s="46"/>
      <c r="R8626" s="51"/>
      <c r="S8626" s="51"/>
    </row>
    <row r="8627" spans="9:19" x14ac:dyDescent="0.25">
      <c r="I8627" s="1"/>
      <c r="J8627" s="71"/>
      <c r="M8627" s="46"/>
      <c r="R8627" s="51"/>
      <c r="S8627" s="51"/>
    </row>
    <row r="8628" spans="9:19" x14ac:dyDescent="0.25">
      <c r="I8628" s="1"/>
      <c r="J8628" s="71"/>
      <c r="M8628" s="46"/>
      <c r="R8628" s="51"/>
      <c r="S8628" s="51"/>
    </row>
    <row r="8629" spans="9:19" x14ac:dyDescent="0.25">
      <c r="I8629" s="1"/>
      <c r="J8629" s="71"/>
      <c r="M8629" s="46"/>
      <c r="R8629" s="51"/>
      <c r="S8629" s="51"/>
    </row>
    <row r="8630" spans="9:19" x14ac:dyDescent="0.25">
      <c r="I8630" s="1"/>
      <c r="J8630" s="71"/>
      <c r="M8630" s="46"/>
      <c r="R8630" s="51"/>
      <c r="S8630" s="51"/>
    </row>
    <row r="8631" spans="9:19" x14ac:dyDescent="0.25">
      <c r="I8631" s="1"/>
      <c r="J8631" s="71"/>
      <c r="M8631" s="46"/>
      <c r="R8631" s="51"/>
      <c r="S8631" s="51"/>
    </row>
    <row r="8632" spans="9:19" x14ac:dyDescent="0.25">
      <c r="I8632" s="1"/>
      <c r="J8632" s="71"/>
      <c r="M8632" s="46"/>
      <c r="R8632" s="51"/>
      <c r="S8632" s="51"/>
    </row>
    <row r="8633" spans="9:19" x14ac:dyDescent="0.25">
      <c r="I8633" s="1"/>
      <c r="J8633" s="71"/>
      <c r="M8633" s="46"/>
      <c r="R8633" s="51"/>
      <c r="S8633" s="51"/>
    </row>
    <row r="8634" spans="9:19" x14ac:dyDescent="0.25">
      <c r="I8634" s="1"/>
      <c r="J8634" s="71"/>
      <c r="M8634" s="46"/>
      <c r="R8634" s="51"/>
      <c r="S8634" s="51"/>
    </row>
    <row r="8635" spans="9:19" x14ac:dyDescent="0.25">
      <c r="I8635" s="1"/>
      <c r="J8635" s="71"/>
      <c r="M8635" s="46"/>
      <c r="R8635" s="51"/>
      <c r="S8635" s="51"/>
    </row>
    <row r="8636" spans="9:19" x14ac:dyDescent="0.25">
      <c r="I8636" s="1"/>
      <c r="J8636" s="71"/>
      <c r="M8636" s="46"/>
      <c r="R8636" s="51"/>
      <c r="S8636" s="51"/>
    </row>
    <row r="8637" spans="9:19" x14ac:dyDescent="0.25">
      <c r="I8637" s="1"/>
      <c r="J8637" s="71"/>
      <c r="M8637" s="46"/>
      <c r="R8637" s="51"/>
      <c r="S8637" s="51"/>
    </row>
    <row r="8638" spans="9:19" x14ac:dyDescent="0.25">
      <c r="I8638" s="1"/>
      <c r="J8638" s="71"/>
      <c r="M8638" s="46"/>
      <c r="R8638" s="51"/>
      <c r="S8638" s="51"/>
    </row>
    <row r="8639" spans="9:19" x14ac:dyDescent="0.25">
      <c r="I8639" s="1"/>
      <c r="J8639" s="71"/>
      <c r="M8639" s="46"/>
      <c r="R8639" s="51"/>
      <c r="S8639" s="51"/>
    </row>
    <row r="8640" spans="9:19" x14ac:dyDescent="0.25">
      <c r="I8640" s="1"/>
      <c r="J8640" s="71"/>
      <c r="M8640" s="46"/>
      <c r="R8640" s="51"/>
      <c r="S8640" s="51"/>
    </row>
    <row r="8641" spans="9:19" x14ac:dyDescent="0.25">
      <c r="I8641" s="1"/>
      <c r="J8641" s="71"/>
      <c r="M8641" s="46"/>
      <c r="R8641" s="51"/>
      <c r="S8641" s="51"/>
    </row>
    <row r="8642" spans="9:19" x14ac:dyDescent="0.25">
      <c r="I8642" s="1"/>
      <c r="J8642" s="71"/>
      <c r="M8642" s="46"/>
      <c r="R8642" s="51"/>
      <c r="S8642" s="51"/>
    </row>
    <row r="8643" spans="9:19" x14ac:dyDescent="0.25">
      <c r="I8643" s="1"/>
      <c r="J8643" s="71"/>
      <c r="M8643" s="46"/>
      <c r="R8643" s="51"/>
      <c r="S8643" s="51"/>
    </row>
    <row r="8644" spans="9:19" x14ac:dyDescent="0.25">
      <c r="I8644" s="1"/>
      <c r="J8644" s="71"/>
      <c r="M8644" s="46"/>
      <c r="R8644" s="51"/>
      <c r="S8644" s="51"/>
    </row>
    <row r="8645" spans="9:19" x14ac:dyDescent="0.25">
      <c r="I8645" s="1"/>
      <c r="J8645" s="71"/>
      <c r="M8645" s="46"/>
      <c r="R8645" s="51"/>
      <c r="S8645" s="51"/>
    </row>
    <row r="8646" spans="9:19" x14ac:dyDescent="0.25">
      <c r="I8646" s="1"/>
      <c r="J8646" s="71"/>
      <c r="M8646" s="46"/>
      <c r="R8646" s="51"/>
      <c r="S8646" s="51"/>
    </row>
    <row r="8647" spans="9:19" x14ac:dyDescent="0.25">
      <c r="I8647" s="1"/>
      <c r="J8647" s="71"/>
      <c r="M8647" s="46"/>
      <c r="R8647" s="51"/>
      <c r="S8647" s="51"/>
    </row>
    <row r="8648" spans="9:19" x14ac:dyDescent="0.25">
      <c r="I8648" s="1"/>
      <c r="J8648" s="71"/>
      <c r="M8648" s="46"/>
      <c r="R8648" s="51"/>
      <c r="S8648" s="51"/>
    </row>
    <row r="8649" spans="9:19" x14ac:dyDescent="0.25">
      <c r="I8649" s="1"/>
      <c r="J8649" s="71"/>
      <c r="M8649" s="46"/>
      <c r="R8649" s="51"/>
      <c r="S8649" s="51"/>
    </row>
    <row r="8650" spans="9:19" x14ac:dyDescent="0.25">
      <c r="I8650" s="1"/>
      <c r="J8650" s="71"/>
      <c r="M8650" s="46"/>
      <c r="R8650" s="51"/>
      <c r="S8650" s="51"/>
    </row>
    <row r="8651" spans="9:19" x14ac:dyDescent="0.25">
      <c r="I8651" s="1"/>
      <c r="J8651" s="71"/>
      <c r="M8651" s="46"/>
      <c r="R8651" s="51"/>
      <c r="S8651" s="51"/>
    </row>
    <row r="8652" spans="9:19" x14ac:dyDescent="0.25">
      <c r="I8652" s="1"/>
      <c r="J8652" s="71"/>
      <c r="M8652" s="46"/>
      <c r="R8652" s="51"/>
      <c r="S8652" s="51"/>
    </row>
    <row r="8653" spans="9:19" x14ac:dyDescent="0.25">
      <c r="I8653" s="1"/>
      <c r="J8653" s="71"/>
      <c r="M8653" s="46"/>
      <c r="R8653" s="51"/>
      <c r="S8653" s="51"/>
    </row>
    <row r="8654" spans="9:19" x14ac:dyDescent="0.25">
      <c r="I8654" s="1"/>
      <c r="J8654" s="71"/>
      <c r="M8654" s="46"/>
      <c r="R8654" s="51"/>
      <c r="S8654" s="51"/>
    </row>
    <row r="8655" spans="9:19" x14ac:dyDescent="0.25">
      <c r="I8655" s="1"/>
      <c r="J8655" s="71"/>
      <c r="M8655" s="46"/>
      <c r="R8655" s="51"/>
      <c r="S8655" s="51"/>
    </row>
    <row r="8656" spans="9:19" x14ac:dyDescent="0.25">
      <c r="I8656" s="1"/>
      <c r="J8656" s="71"/>
      <c r="M8656" s="46"/>
      <c r="R8656" s="51"/>
      <c r="S8656" s="51"/>
    </row>
    <row r="8657" spans="9:19" x14ac:dyDescent="0.25">
      <c r="I8657" s="1"/>
      <c r="J8657" s="71"/>
      <c r="M8657" s="46"/>
      <c r="R8657" s="51"/>
      <c r="S8657" s="51"/>
    </row>
    <row r="8658" spans="9:19" x14ac:dyDescent="0.25">
      <c r="I8658" s="1"/>
      <c r="J8658" s="71"/>
      <c r="M8658" s="46"/>
      <c r="R8658" s="51"/>
      <c r="S8658" s="51"/>
    </row>
    <row r="8659" spans="9:19" x14ac:dyDescent="0.25">
      <c r="I8659" s="1"/>
      <c r="J8659" s="71"/>
      <c r="M8659" s="46"/>
      <c r="R8659" s="51"/>
      <c r="S8659" s="51"/>
    </row>
    <row r="8660" spans="9:19" x14ac:dyDescent="0.25">
      <c r="I8660" s="1"/>
      <c r="J8660" s="71"/>
      <c r="M8660" s="46"/>
      <c r="R8660" s="51"/>
      <c r="S8660" s="51"/>
    </row>
    <row r="8661" spans="9:19" x14ac:dyDescent="0.25">
      <c r="I8661" s="1"/>
      <c r="J8661" s="71"/>
      <c r="M8661" s="46"/>
      <c r="R8661" s="51"/>
      <c r="S8661" s="51"/>
    </row>
    <row r="8662" spans="9:19" x14ac:dyDescent="0.25">
      <c r="I8662" s="1"/>
      <c r="J8662" s="71"/>
      <c r="M8662" s="46"/>
      <c r="R8662" s="51"/>
      <c r="S8662" s="51"/>
    </row>
    <row r="8663" spans="9:19" x14ac:dyDescent="0.25">
      <c r="I8663" s="1"/>
      <c r="J8663" s="71"/>
      <c r="M8663" s="46"/>
      <c r="R8663" s="51"/>
      <c r="S8663" s="51"/>
    </row>
    <row r="8664" spans="9:19" x14ac:dyDescent="0.25">
      <c r="I8664" s="1"/>
      <c r="J8664" s="71"/>
      <c r="M8664" s="46"/>
      <c r="R8664" s="51"/>
      <c r="S8664" s="51"/>
    </row>
    <row r="8665" spans="9:19" x14ac:dyDescent="0.25">
      <c r="I8665" s="1"/>
      <c r="J8665" s="71"/>
      <c r="M8665" s="46"/>
      <c r="R8665" s="51"/>
      <c r="S8665" s="51"/>
    </row>
    <row r="8666" spans="9:19" x14ac:dyDescent="0.25">
      <c r="I8666" s="1"/>
      <c r="J8666" s="71"/>
      <c r="M8666" s="46"/>
      <c r="R8666" s="51"/>
      <c r="S8666" s="51"/>
    </row>
    <row r="8667" spans="9:19" x14ac:dyDescent="0.25">
      <c r="I8667" s="1"/>
      <c r="J8667" s="71"/>
      <c r="M8667" s="46"/>
      <c r="R8667" s="51"/>
      <c r="S8667" s="51"/>
    </row>
    <row r="8668" spans="9:19" x14ac:dyDescent="0.25">
      <c r="I8668" s="1"/>
      <c r="J8668" s="71"/>
      <c r="M8668" s="46"/>
      <c r="R8668" s="51"/>
      <c r="S8668" s="51"/>
    </row>
    <row r="8669" spans="9:19" x14ac:dyDescent="0.25">
      <c r="I8669" s="1"/>
      <c r="J8669" s="71"/>
      <c r="M8669" s="46"/>
      <c r="R8669" s="51"/>
      <c r="S8669" s="51"/>
    </row>
    <row r="8670" spans="9:19" x14ac:dyDescent="0.25">
      <c r="I8670" s="1"/>
      <c r="J8670" s="71"/>
      <c r="M8670" s="46"/>
      <c r="R8670" s="51"/>
      <c r="S8670" s="51"/>
    </row>
    <row r="8671" spans="9:19" x14ac:dyDescent="0.25">
      <c r="I8671" s="1"/>
      <c r="J8671" s="71"/>
      <c r="M8671" s="46"/>
      <c r="R8671" s="51"/>
      <c r="S8671" s="51"/>
    </row>
    <row r="8672" spans="9:19" x14ac:dyDescent="0.25">
      <c r="I8672" s="1"/>
      <c r="J8672" s="71"/>
      <c r="M8672" s="46"/>
      <c r="R8672" s="51"/>
      <c r="S8672" s="51"/>
    </row>
    <row r="8673" spans="9:19" x14ac:dyDescent="0.25">
      <c r="I8673" s="1"/>
      <c r="J8673" s="71"/>
      <c r="M8673" s="46"/>
      <c r="R8673" s="51"/>
      <c r="S8673" s="51"/>
    </row>
    <row r="8674" spans="9:19" x14ac:dyDescent="0.25">
      <c r="I8674" s="1"/>
      <c r="J8674" s="71"/>
      <c r="M8674" s="46"/>
      <c r="R8674" s="51"/>
      <c r="S8674" s="51"/>
    </row>
    <row r="8675" spans="9:19" x14ac:dyDescent="0.25">
      <c r="I8675" s="1"/>
      <c r="J8675" s="71"/>
      <c r="M8675" s="46"/>
      <c r="R8675" s="51"/>
      <c r="S8675" s="51"/>
    </row>
    <row r="8676" spans="9:19" x14ac:dyDescent="0.25">
      <c r="I8676" s="1"/>
      <c r="J8676" s="71"/>
      <c r="M8676" s="46"/>
      <c r="R8676" s="51"/>
      <c r="S8676" s="51"/>
    </row>
    <row r="8677" spans="9:19" x14ac:dyDescent="0.25">
      <c r="I8677" s="1"/>
      <c r="J8677" s="71"/>
      <c r="M8677" s="46"/>
      <c r="R8677" s="51"/>
      <c r="S8677" s="51"/>
    </row>
    <row r="8678" spans="9:19" x14ac:dyDescent="0.25">
      <c r="I8678" s="1"/>
      <c r="J8678" s="71"/>
      <c r="M8678" s="46"/>
      <c r="R8678" s="51"/>
      <c r="S8678" s="51"/>
    </row>
    <row r="8679" spans="9:19" x14ac:dyDescent="0.25">
      <c r="I8679" s="1"/>
      <c r="J8679" s="71"/>
      <c r="M8679" s="46"/>
      <c r="R8679" s="51"/>
      <c r="S8679" s="51"/>
    </row>
    <row r="8680" spans="9:19" x14ac:dyDescent="0.25">
      <c r="I8680" s="1"/>
      <c r="J8680" s="71"/>
      <c r="M8680" s="46"/>
      <c r="R8680" s="51"/>
      <c r="S8680" s="51"/>
    </row>
    <row r="8681" spans="9:19" x14ac:dyDescent="0.25">
      <c r="I8681" s="1"/>
      <c r="J8681" s="71"/>
      <c r="M8681" s="46"/>
      <c r="R8681" s="51"/>
      <c r="S8681" s="51"/>
    </row>
    <row r="8682" spans="9:19" x14ac:dyDescent="0.25">
      <c r="I8682" s="1"/>
      <c r="J8682" s="71"/>
      <c r="M8682" s="46"/>
      <c r="R8682" s="51"/>
      <c r="S8682" s="51"/>
    </row>
    <row r="8683" spans="9:19" x14ac:dyDescent="0.25">
      <c r="I8683" s="1"/>
      <c r="J8683" s="71"/>
      <c r="M8683" s="46"/>
      <c r="R8683" s="51"/>
      <c r="S8683" s="51"/>
    </row>
    <row r="8684" spans="9:19" x14ac:dyDescent="0.25">
      <c r="I8684" s="1"/>
      <c r="J8684" s="71"/>
      <c r="M8684" s="46"/>
      <c r="R8684" s="51"/>
      <c r="S8684" s="51"/>
    </row>
    <row r="8685" spans="9:19" x14ac:dyDescent="0.25">
      <c r="I8685" s="1"/>
      <c r="J8685" s="71"/>
      <c r="M8685" s="46"/>
      <c r="R8685" s="51"/>
      <c r="S8685" s="51"/>
    </row>
    <row r="8686" spans="9:19" x14ac:dyDescent="0.25">
      <c r="I8686" s="1"/>
      <c r="J8686" s="71"/>
      <c r="M8686" s="46"/>
      <c r="R8686" s="51"/>
      <c r="S8686" s="51"/>
    </row>
    <row r="8687" spans="9:19" x14ac:dyDescent="0.25">
      <c r="I8687" s="1"/>
      <c r="J8687" s="71"/>
      <c r="M8687" s="46"/>
      <c r="R8687" s="51"/>
      <c r="S8687" s="51"/>
    </row>
    <row r="8688" spans="9:19" x14ac:dyDescent="0.25">
      <c r="I8688" s="1"/>
      <c r="J8688" s="71"/>
      <c r="M8688" s="46"/>
      <c r="R8688" s="51"/>
      <c r="S8688" s="51"/>
    </row>
    <row r="8689" spans="9:19" x14ac:dyDescent="0.25">
      <c r="I8689" s="1"/>
      <c r="J8689" s="71"/>
      <c r="M8689" s="46"/>
      <c r="R8689" s="51"/>
      <c r="S8689" s="51"/>
    </row>
    <row r="8690" spans="9:19" x14ac:dyDescent="0.25">
      <c r="I8690" s="1"/>
      <c r="J8690" s="71"/>
      <c r="M8690" s="46"/>
      <c r="R8690" s="51"/>
      <c r="S8690" s="51"/>
    </row>
    <row r="8691" spans="9:19" x14ac:dyDescent="0.25">
      <c r="I8691" s="1"/>
      <c r="J8691" s="71"/>
      <c r="M8691" s="46"/>
      <c r="R8691" s="51"/>
      <c r="S8691" s="51"/>
    </row>
    <row r="8692" spans="9:19" x14ac:dyDescent="0.25">
      <c r="I8692" s="1"/>
      <c r="J8692" s="71"/>
      <c r="M8692" s="46"/>
      <c r="R8692" s="51"/>
      <c r="S8692" s="51"/>
    </row>
    <row r="8693" spans="9:19" x14ac:dyDescent="0.25">
      <c r="I8693" s="1"/>
      <c r="J8693" s="71"/>
      <c r="M8693" s="46"/>
      <c r="R8693" s="51"/>
      <c r="S8693" s="51"/>
    </row>
    <row r="8694" spans="9:19" x14ac:dyDescent="0.25">
      <c r="I8694" s="1"/>
      <c r="J8694" s="71"/>
      <c r="M8694" s="46"/>
      <c r="R8694" s="51"/>
      <c r="S8694" s="51"/>
    </row>
    <row r="8695" spans="9:19" x14ac:dyDescent="0.25">
      <c r="I8695" s="1"/>
      <c r="J8695" s="71"/>
      <c r="M8695" s="46"/>
      <c r="R8695" s="51"/>
      <c r="S8695" s="51"/>
    </row>
    <row r="8696" spans="9:19" x14ac:dyDescent="0.25">
      <c r="I8696" s="1"/>
      <c r="J8696" s="71"/>
      <c r="M8696" s="46"/>
      <c r="R8696" s="51"/>
      <c r="S8696" s="51"/>
    </row>
    <row r="8697" spans="9:19" x14ac:dyDescent="0.25">
      <c r="I8697" s="1"/>
      <c r="J8697" s="71"/>
      <c r="M8697" s="46"/>
      <c r="R8697" s="51"/>
      <c r="S8697" s="51"/>
    </row>
    <row r="8698" spans="9:19" x14ac:dyDescent="0.25">
      <c r="I8698" s="1"/>
      <c r="J8698" s="71"/>
      <c r="M8698" s="46"/>
      <c r="R8698" s="51"/>
      <c r="S8698" s="51"/>
    </row>
    <row r="8699" spans="9:19" x14ac:dyDescent="0.25">
      <c r="I8699" s="1"/>
      <c r="J8699" s="71"/>
      <c r="M8699" s="46"/>
      <c r="R8699" s="51"/>
      <c r="S8699" s="51"/>
    </row>
    <row r="8700" spans="9:19" x14ac:dyDescent="0.25">
      <c r="I8700" s="1"/>
      <c r="J8700" s="71"/>
      <c r="M8700" s="46"/>
      <c r="R8700" s="51"/>
      <c r="S8700" s="51"/>
    </row>
    <row r="8701" spans="9:19" x14ac:dyDescent="0.25">
      <c r="I8701" s="1"/>
      <c r="J8701" s="71"/>
      <c r="M8701" s="46"/>
      <c r="R8701" s="51"/>
      <c r="S8701" s="51"/>
    </row>
    <row r="8702" spans="9:19" x14ac:dyDescent="0.25">
      <c r="I8702" s="1"/>
      <c r="J8702" s="71"/>
      <c r="M8702" s="46"/>
      <c r="R8702" s="51"/>
      <c r="S8702" s="51"/>
    </row>
    <row r="8703" spans="9:19" x14ac:dyDescent="0.25">
      <c r="I8703" s="1"/>
      <c r="J8703" s="71"/>
      <c r="M8703" s="46"/>
      <c r="R8703" s="51"/>
      <c r="S8703" s="51"/>
    </row>
    <row r="8704" spans="9:19" x14ac:dyDescent="0.25">
      <c r="I8704" s="1"/>
      <c r="J8704" s="71"/>
      <c r="M8704" s="46"/>
      <c r="R8704" s="51"/>
      <c r="S8704" s="51"/>
    </row>
    <row r="8705" spans="9:19" x14ac:dyDescent="0.25">
      <c r="I8705" s="1"/>
      <c r="J8705" s="71"/>
      <c r="M8705" s="46"/>
      <c r="R8705" s="51"/>
      <c r="S8705" s="51"/>
    </row>
    <row r="8706" spans="9:19" x14ac:dyDescent="0.25">
      <c r="I8706" s="1"/>
      <c r="J8706" s="71"/>
      <c r="M8706" s="46"/>
      <c r="R8706" s="51"/>
      <c r="S8706" s="51"/>
    </row>
    <row r="8707" spans="9:19" x14ac:dyDescent="0.25">
      <c r="I8707" s="1"/>
      <c r="J8707" s="71"/>
      <c r="M8707" s="46"/>
      <c r="R8707" s="51"/>
      <c r="S8707" s="51"/>
    </row>
    <row r="8708" spans="9:19" x14ac:dyDescent="0.25">
      <c r="I8708" s="1"/>
      <c r="J8708" s="71"/>
      <c r="M8708" s="46"/>
      <c r="R8708" s="51"/>
      <c r="S8708" s="51"/>
    </row>
    <row r="8709" spans="9:19" x14ac:dyDescent="0.25">
      <c r="I8709" s="1"/>
      <c r="J8709" s="71"/>
      <c r="M8709" s="46"/>
      <c r="R8709" s="51"/>
      <c r="S8709" s="51"/>
    </row>
    <row r="8710" spans="9:19" x14ac:dyDescent="0.25">
      <c r="I8710" s="1"/>
      <c r="J8710" s="71"/>
      <c r="M8710" s="46"/>
      <c r="R8710" s="51"/>
      <c r="S8710" s="51"/>
    </row>
    <row r="8711" spans="9:19" x14ac:dyDescent="0.25">
      <c r="I8711" s="1"/>
      <c r="J8711" s="71"/>
      <c r="M8711" s="46"/>
      <c r="R8711" s="51"/>
      <c r="S8711" s="51"/>
    </row>
    <row r="8712" spans="9:19" x14ac:dyDescent="0.25">
      <c r="I8712" s="1"/>
      <c r="J8712" s="71"/>
      <c r="M8712" s="46"/>
      <c r="R8712" s="51"/>
      <c r="S8712" s="51"/>
    </row>
    <row r="8713" spans="9:19" x14ac:dyDescent="0.25">
      <c r="I8713" s="1"/>
      <c r="J8713" s="71"/>
      <c r="M8713" s="46"/>
      <c r="R8713" s="51"/>
      <c r="S8713" s="51"/>
    </row>
    <row r="8714" spans="9:19" x14ac:dyDescent="0.25">
      <c r="I8714" s="1"/>
      <c r="J8714" s="71"/>
      <c r="M8714" s="46"/>
      <c r="R8714" s="51"/>
      <c r="S8714" s="51"/>
    </row>
    <row r="8715" spans="9:19" x14ac:dyDescent="0.25">
      <c r="I8715" s="1"/>
      <c r="J8715" s="71"/>
      <c r="M8715" s="46"/>
      <c r="R8715" s="51"/>
      <c r="S8715" s="51"/>
    </row>
    <row r="8716" spans="9:19" x14ac:dyDescent="0.25">
      <c r="I8716" s="1"/>
      <c r="J8716" s="71"/>
      <c r="M8716" s="46"/>
      <c r="R8716" s="51"/>
      <c r="S8716" s="51"/>
    </row>
    <row r="8717" spans="9:19" x14ac:dyDescent="0.25">
      <c r="I8717" s="1"/>
      <c r="J8717" s="71"/>
      <c r="M8717" s="46"/>
      <c r="R8717" s="51"/>
      <c r="S8717" s="51"/>
    </row>
    <row r="8718" spans="9:19" x14ac:dyDescent="0.25">
      <c r="I8718" s="1"/>
      <c r="J8718" s="71"/>
      <c r="M8718" s="46"/>
      <c r="R8718" s="51"/>
      <c r="S8718" s="51"/>
    </row>
    <row r="8719" spans="9:19" x14ac:dyDescent="0.25">
      <c r="I8719" s="1"/>
      <c r="J8719" s="71"/>
      <c r="M8719" s="46"/>
      <c r="R8719" s="51"/>
      <c r="S8719" s="51"/>
    </row>
    <row r="8720" spans="9:19" x14ac:dyDescent="0.25">
      <c r="I8720" s="1"/>
      <c r="J8720" s="71"/>
      <c r="M8720" s="46"/>
      <c r="R8720" s="51"/>
      <c r="S8720" s="51"/>
    </row>
    <row r="8721" spans="9:19" x14ac:dyDescent="0.25">
      <c r="I8721" s="1"/>
      <c r="J8721" s="71"/>
      <c r="M8721" s="46"/>
      <c r="R8721" s="51"/>
      <c r="S8721" s="51"/>
    </row>
    <row r="8722" spans="9:19" x14ac:dyDescent="0.25">
      <c r="I8722" s="1"/>
      <c r="J8722" s="71"/>
      <c r="M8722" s="46"/>
      <c r="R8722" s="51"/>
      <c r="S8722" s="51"/>
    </row>
    <row r="8723" spans="9:19" x14ac:dyDescent="0.25">
      <c r="I8723" s="1"/>
      <c r="J8723" s="71"/>
      <c r="M8723" s="46"/>
      <c r="R8723" s="51"/>
      <c r="S8723" s="51"/>
    </row>
    <row r="8724" spans="9:19" x14ac:dyDescent="0.25">
      <c r="I8724" s="1"/>
      <c r="J8724" s="71"/>
      <c r="M8724" s="46"/>
      <c r="R8724" s="51"/>
      <c r="S8724" s="51"/>
    </row>
    <row r="8725" spans="9:19" x14ac:dyDescent="0.25">
      <c r="I8725" s="1"/>
      <c r="J8725" s="71"/>
      <c r="M8725" s="46"/>
      <c r="R8725" s="51"/>
      <c r="S8725" s="51"/>
    </row>
    <row r="8726" spans="9:19" x14ac:dyDescent="0.25">
      <c r="I8726" s="1"/>
      <c r="J8726" s="71"/>
      <c r="M8726" s="46"/>
      <c r="R8726" s="51"/>
      <c r="S8726" s="51"/>
    </row>
    <row r="8727" spans="9:19" x14ac:dyDescent="0.25">
      <c r="I8727" s="1"/>
      <c r="J8727" s="71"/>
      <c r="M8727" s="46"/>
      <c r="R8727" s="51"/>
      <c r="S8727" s="51"/>
    </row>
    <row r="8728" spans="9:19" x14ac:dyDescent="0.25">
      <c r="I8728" s="1"/>
      <c r="J8728" s="71"/>
      <c r="M8728" s="46"/>
      <c r="R8728" s="51"/>
      <c r="S8728" s="51"/>
    </row>
    <row r="8729" spans="9:19" x14ac:dyDescent="0.25">
      <c r="I8729" s="1"/>
      <c r="J8729" s="71"/>
      <c r="M8729" s="46"/>
      <c r="R8729" s="51"/>
      <c r="S8729" s="51"/>
    </row>
    <row r="8730" spans="9:19" x14ac:dyDescent="0.25">
      <c r="I8730" s="1"/>
      <c r="J8730" s="71"/>
      <c r="M8730" s="46"/>
      <c r="R8730" s="51"/>
      <c r="S8730" s="51"/>
    </row>
    <row r="8731" spans="9:19" x14ac:dyDescent="0.25">
      <c r="I8731" s="1"/>
      <c r="J8731" s="71"/>
      <c r="M8731" s="46"/>
      <c r="R8731" s="51"/>
      <c r="S8731" s="51"/>
    </row>
    <row r="8732" spans="9:19" x14ac:dyDescent="0.25">
      <c r="I8732" s="1"/>
      <c r="J8732" s="71"/>
      <c r="M8732" s="46"/>
      <c r="R8732" s="51"/>
      <c r="S8732" s="51"/>
    </row>
    <row r="8733" spans="9:19" x14ac:dyDescent="0.25">
      <c r="I8733" s="1"/>
      <c r="J8733" s="71"/>
      <c r="M8733" s="46"/>
      <c r="R8733" s="51"/>
      <c r="S8733" s="51"/>
    </row>
    <row r="8734" spans="9:19" x14ac:dyDescent="0.25">
      <c r="I8734" s="1"/>
      <c r="J8734" s="71"/>
      <c r="M8734" s="46"/>
      <c r="R8734" s="51"/>
      <c r="S8734" s="51"/>
    </row>
    <row r="8735" spans="9:19" x14ac:dyDescent="0.25">
      <c r="I8735" s="1"/>
      <c r="J8735" s="71"/>
      <c r="M8735" s="46"/>
      <c r="R8735" s="51"/>
      <c r="S8735" s="51"/>
    </row>
    <row r="8736" spans="9:19" x14ac:dyDescent="0.25">
      <c r="I8736" s="1"/>
      <c r="J8736" s="71"/>
      <c r="M8736" s="46"/>
      <c r="R8736" s="51"/>
      <c r="S8736" s="51"/>
    </row>
    <row r="8737" spans="9:19" x14ac:dyDescent="0.25">
      <c r="I8737" s="1"/>
      <c r="J8737" s="71"/>
      <c r="M8737" s="46"/>
      <c r="R8737" s="51"/>
      <c r="S8737" s="51"/>
    </row>
    <row r="8738" spans="9:19" x14ac:dyDescent="0.25">
      <c r="I8738" s="1"/>
      <c r="J8738" s="71"/>
      <c r="M8738" s="46"/>
      <c r="R8738" s="51"/>
      <c r="S8738" s="51"/>
    </row>
    <row r="8739" spans="9:19" x14ac:dyDescent="0.25">
      <c r="I8739" s="1"/>
      <c r="J8739" s="71"/>
      <c r="M8739" s="46"/>
      <c r="R8739" s="51"/>
      <c r="S8739" s="51"/>
    </row>
    <row r="8740" spans="9:19" x14ac:dyDescent="0.25">
      <c r="I8740" s="1"/>
      <c r="J8740" s="71"/>
      <c r="M8740" s="46"/>
      <c r="R8740" s="51"/>
      <c r="S8740" s="51"/>
    </row>
    <row r="8741" spans="9:19" x14ac:dyDescent="0.25">
      <c r="I8741" s="1"/>
      <c r="J8741" s="71"/>
      <c r="M8741" s="46"/>
      <c r="R8741" s="51"/>
      <c r="S8741" s="51"/>
    </row>
    <row r="8742" spans="9:19" x14ac:dyDescent="0.25">
      <c r="I8742" s="1"/>
      <c r="J8742" s="71"/>
      <c r="M8742" s="46"/>
      <c r="R8742" s="51"/>
      <c r="S8742" s="51"/>
    </row>
    <row r="8743" spans="9:19" x14ac:dyDescent="0.25">
      <c r="I8743" s="1"/>
      <c r="J8743" s="71"/>
      <c r="M8743" s="46"/>
      <c r="R8743" s="51"/>
      <c r="S8743" s="51"/>
    </row>
    <row r="8744" spans="9:19" x14ac:dyDescent="0.25">
      <c r="I8744" s="1"/>
      <c r="J8744" s="71"/>
      <c r="M8744" s="46"/>
      <c r="R8744" s="51"/>
      <c r="S8744" s="51"/>
    </row>
    <row r="8745" spans="9:19" x14ac:dyDescent="0.25">
      <c r="I8745" s="1"/>
      <c r="J8745" s="71"/>
      <c r="M8745" s="46"/>
      <c r="R8745" s="51"/>
      <c r="S8745" s="51"/>
    </row>
    <row r="8746" spans="9:19" x14ac:dyDescent="0.25">
      <c r="I8746" s="1"/>
      <c r="J8746" s="71"/>
      <c r="M8746" s="46"/>
      <c r="R8746" s="51"/>
      <c r="S8746" s="51"/>
    </row>
    <row r="8747" spans="9:19" x14ac:dyDescent="0.25">
      <c r="I8747" s="1"/>
      <c r="J8747" s="71"/>
      <c r="M8747" s="46"/>
      <c r="R8747" s="51"/>
      <c r="S8747" s="51"/>
    </row>
    <row r="8748" spans="9:19" x14ac:dyDescent="0.25">
      <c r="I8748" s="1"/>
      <c r="J8748" s="71"/>
      <c r="M8748" s="46"/>
      <c r="R8748" s="51"/>
      <c r="S8748" s="51"/>
    </row>
    <row r="8749" spans="9:19" x14ac:dyDescent="0.25">
      <c r="I8749" s="1"/>
      <c r="J8749" s="71"/>
      <c r="M8749" s="46"/>
      <c r="R8749" s="51"/>
      <c r="S8749" s="51"/>
    </row>
    <row r="8750" spans="9:19" x14ac:dyDescent="0.25">
      <c r="I8750" s="1"/>
      <c r="J8750" s="71"/>
      <c r="M8750" s="46"/>
      <c r="R8750" s="51"/>
      <c r="S8750" s="51"/>
    </row>
    <row r="8751" spans="9:19" x14ac:dyDescent="0.25">
      <c r="I8751" s="1"/>
      <c r="J8751" s="71"/>
      <c r="M8751" s="46"/>
      <c r="R8751" s="51"/>
      <c r="S8751" s="51"/>
    </row>
    <row r="8752" spans="9:19" x14ac:dyDescent="0.25">
      <c r="I8752" s="1"/>
      <c r="J8752" s="71"/>
      <c r="M8752" s="46"/>
      <c r="R8752" s="51"/>
      <c r="S8752" s="51"/>
    </row>
    <row r="8753" spans="9:19" x14ac:dyDescent="0.25">
      <c r="I8753" s="1"/>
      <c r="J8753" s="71"/>
      <c r="M8753" s="46"/>
      <c r="R8753" s="51"/>
      <c r="S8753" s="51"/>
    </row>
    <row r="8754" spans="9:19" x14ac:dyDescent="0.25">
      <c r="I8754" s="1"/>
      <c r="J8754" s="71"/>
      <c r="M8754" s="46"/>
      <c r="R8754" s="51"/>
      <c r="S8754" s="51"/>
    </row>
    <row r="8755" spans="9:19" x14ac:dyDescent="0.25">
      <c r="I8755" s="1"/>
      <c r="J8755" s="71"/>
      <c r="M8755" s="46"/>
      <c r="R8755" s="51"/>
      <c r="S8755" s="51"/>
    </row>
    <row r="8756" spans="9:19" x14ac:dyDescent="0.25">
      <c r="I8756" s="1"/>
      <c r="J8756" s="71"/>
      <c r="M8756" s="46"/>
      <c r="R8756" s="51"/>
      <c r="S8756" s="51"/>
    </row>
    <row r="8757" spans="9:19" x14ac:dyDescent="0.25">
      <c r="I8757" s="1"/>
      <c r="J8757" s="71"/>
      <c r="M8757" s="46"/>
      <c r="R8757" s="51"/>
      <c r="S8757" s="51"/>
    </row>
    <row r="8758" spans="9:19" x14ac:dyDescent="0.25">
      <c r="I8758" s="1"/>
      <c r="J8758" s="71"/>
      <c r="M8758" s="46"/>
      <c r="R8758" s="51"/>
      <c r="S8758" s="51"/>
    </row>
    <row r="8759" spans="9:19" x14ac:dyDescent="0.25">
      <c r="I8759" s="1"/>
      <c r="J8759" s="71"/>
      <c r="M8759" s="46"/>
      <c r="R8759" s="51"/>
      <c r="S8759" s="51"/>
    </row>
    <row r="8760" spans="9:19" x14ac:dyDescent="0.25">
      <c r="I8760" s="1"/>
      <c r="J8760" s="71"/>
      <c r="M8760" s="46"/>
      <c r="R8760" s="51"/>
      <c r="S8760" s="51"/>
    </row>
    <row r="8761" spans="9:19" x14ac:dyDescent="0.25">
      <c r="I8761" s="1"/>
      <c r="J8761" s="71"/>
      <c r="M8761" s="46"/>
      <c r="R8761" s="51"/>
      <c r="S8761" s="51"/>
    </row>
    <row r="8762" spans="9:19" x14ac:dyDescent="0.25">
      <c r="I8762" s="1"/>
      <c r="J8762" s="71"/>
      <c r="M8762" s="46"/>
      <c r="R8762" s="51"/>
      <c r="S8762" s="51"/>
    </row>
    <row r="8763" spans="9:19" x14ac:dyDescent="0.25">
      <c r="I8763" s="1"/>
      <c r="J8763" s="71"/>
      <c r="M8763" s="46"/>
      <c r="R8763" s="51"/>
      <c r="S8763" s="51"/>
    </row>
    <row r="8764" spans="9:19" x14ac:dyDescent="0.25">
      <c r="I8764" s="1"/>
      <c r="J8764" s="71"/>
      <c r="M8764" s="46"/>
      <c r="R8764" s="51"/>
      <c r="S8764" s="51"/>
    </row>
    <row r="8765" spans="9:19" x14ac:dyDescent="0.25">
      <c r="I8765" s="1"/>
      <c r="J8765" s="71"/>
      <c r="M8765" s="46"/>
      <c r="R8765" s="51"/>
      <c r="S8765" s="51"/>
    </row>
    <row r="8766" spans="9:19" x14ac:dyDescent="0.25">
      <c r="I8766" s="1"/>
      <c r="J8766" s="71"/>
      <c r="M8766" s="46"/>
      <c r="R8766" s="51"/>
      <c r="S8766" s="51"/>
    </row>
    <row r="8767" spans="9:19" x14ac:dyDescent="0.25">
      <c r="I8767" s="1"/>
      <c r="J8767" s="71"/>
      <c r="M8767" s="46"/>
      <c r="R8767" s="51"/>
      <c r="S8767" s="51"/>
    </row>
    <row r="8768" spans="9:19" x14ac:dyDescent="0.25">
      <c r="I8768" s="1"/>
      <c r="J8768" s="71"/>
      <c r="M8768" s="46"/>
      <c r="R8768" s="51"/>
      <c r="S8768" s="51"/>
    </row>
    <row r="8769" spans="9:19" x14ac:dyDescent="0.25">
      <c r="I8769" s="1"/>
      <c r="J8769" s="71"/>
      <c r="M8769" s="46"/>
      <c r="R8769" s="51"/>
      <c r="S8769" s="51"/>
    </row>
    <row r="8770" spans="9:19" x14ac:dyDescent="0.25">
      <c r="I8770" s="1"/>
      <c r="J8770" s="71"/>
      <c r="M8770" s="46"/>
      <c r="R8770" s="51"/>
      <c r="S8770" s="51"/>
    </row>
    <row r="8771" spans="9:19" x14ac:dyDescent="0.25">
      <c r="I8771" s="1"/>
      <c r="J8771" s="71"/>
      <c r="M8771" s="46"/>
      <c r="R8771" s="51"/>
      <c r="S8771" s="51"/>
    </row>
    <row r="8772" spans="9:19" x14ac:dyDescent="0.25">
      <c r="I8772" s="1"/>
      <c r="J8772" s="71"/>
      <c r="M8772" s="46"/>
      <c r="R8772" s="51"/>
      <c r="S8772" s="51"/>
    </row>
    <row r="8773" spans="9:19" x14ac:dyDescent="0.25">
      <c r="I8773" s="1"/>
      <c r="J8773" s="71"/>
      <c r="M8773" s="46"/>
      <c r="R8773" s="51"/>
      <c r="S8773" s="51"/>
    </row>
    <row r="8774" spans="9:19" x14ac:dyDescent="0.25">
      <c r="I8774" s="1"/>
      <c r="J8774" s="71"/>
      <c r="M8774" s="46"/>
      <c r="R8774" s="51"/>
      <c r="S8774" s="51"/>
    </row>
    <row r="8775" spans="9:19" x14ac:dyDescent="0.25">
      <c r="I8775" s="1"/>
      <c r="J8775" s="71"/>
      <c r="M8775" s="46"/>
      <c r="R8775" s="51"/>
      <c r="S8775" s="51"/>
    </row>
    <row r="8776" spans="9:19" x14ac:dyDescent="0.25">
      <c r="I8776" s="1"/>
      <c r="J8776" s="71"/>
      <c r="M8776" s="46"/>
      <c r="R8776" s="51"/>
      <c r="S8776" s="51"/>
    </row>
    <row r="8777" spans="9:19" x14ac:dyDescent="0.25">
      <c r="I8777" s="1"/>
      <c r="J8777" s="71"/>
      <c r="M8777" s="46"/>
      <c r="R8777" s="51"/>
      <c r="S8777" s="51"/>
    </row>
    <row r="8778" spans="9:19" x14ac:dyDescent="0.25">
      <c r="I8778" s="1"/>
      <c r="J8778" s="71"/>
      <c r="M8778" s="46"/>
      <c r="R8778" s="51"/>
      <c r="S8778" s="51"/>
    </row>
    <row r="8779" spans="9:19" x14ac:dyDescent="0.25">
      <c r="I8779" s="1"/>
      <c r="J8779" s="71"/>
      <c r="M8779" s="46"/>
      <c r="R8779" s="51"/>
      <c r="S8779" s="51"/>
    </row>
    <row r="8780" spans="9:19" x14ac:dyDescent="0.25">
      <c r="I8780" s="1"/>
      <c r="J8780" s="71"/>
      <c r="M8780" s="46"/>
      <c r="R8780" s="51"/>
      <c r="S8780" s="51"/>
    </row>
    <row r="8781" spans="9:19" x14ac:dyDescent="0.25">
      <c r="I8781" s="1"/>
      <c r="J8781" s="71"/>
      <c r="M8781" s="46"/>
      <c r="R8781" s="51"/>
      <c r="S8781" s="51"/>
    </row>
    <row r="8782" spans="9:19" x14ac:dyDescent="0.25">
      <c r="I8782" s="1"/>
      <c r="J8782" s="71"/>
      <c r="M8782" s="46"/>
      <c r="R8782" s="51"/>
      <c r="S8782" s="51"/>
    </row>
    <row r="8783" spans="9:19" x14ac:dyDescent="0.25">
      <c r="I8783" s="1"/>
      <c r="J8783" s="71"/>
      <c r="M8783" s="46"/>
      <c r="R8783" s="51"/>
      <c r="S8783" s="51"/>
    </row>
    <row r="8784" spans="9:19" x14ac:dyDescent="0.25">
      <c r="I8784" s="1"/>
      <c r="J8784" s="71"/>
      <c r="M8784" s="46"/>
      <c r="R8784" s="51"/>
      <c r="S8784" s="51"/>
    </row>
    <row r="8785" spans="9:19" x14ac:dyDescent="0.25">
      <c r="I8785" s="1"/>
      <c r="J8785" s="71"/>
      <c r="M8785" s="46"/>
      <c r="R8785" s="51"/>
      <c r="S8785" s="51"/>
    </row>
    <row r="8786" spans="9:19" x14ac:dyDescent="0.25">
      <c r="I8786" s="1"/>
      <c r="J8786" s="71"/>
      <c r="M8786" s="46"/>
      <c r="R8786" s="51"/>
      <c r="S8786" s="51"/>
    </row>
    <row r="8787" spans="9:19" x14ac:dyDescent="0.25">
      <c r="I8787" s="1"/>
      <c r="J8787" s="71"/>
      <c r="M8787" s="46"/>
      <c r="R8787" s="51"/>
      <c r="S8787" s="51"/>
    </row>
    <row r="8788" spans="9:19" x14ac:dyDescent="0.25">
      <c r="I8788" s="1"/>
      <c r="J8788" s="71"/>
      <c r="M8788" s="46"/>
      <c r="R8788" s="51"/>
      <c r="S8788" s="51"/>
    </row>
    <row r="8789" spans="9:19" x14ac:dyDescent="0.25">
      <c r="I8789" s="1"/>
      <c r="J8789" s="71"/>
      <c r="M8789" s="46"/>
      <c r="R8789" s="51"/>
      <c r="S8789" s="51"/>
    </row>
    <row r="8790" spans="9:19" x14ac:dyDescent="0.25">
      <c r="I8790" s="1"/>
      <c r="J8790" s="71"/>
      <c r="M8790" s="46"/>
      <c r="R8790" s="51"/>
      <c r="S8790" s="51"/>
    </row>
    <row r="8791" spans="9:19" x14ac:dyDescent="0.25">
      <c r="I8791" s="1"/>
      <c r="J8791" s="71"/>
      <c r="M8791" s="46"/>
      <c r="R8791" s="51"/>
      <c r="S8791" s="51"/>
    </row>
    <row r="8792" spans="9:19" x14ac:dyDescent="0.25">
      <c r="I8792" s="1"/>
      <c r="J8792" s="71"/>
      <c r="M8792" s="46"/>
      <c r="R8792" s="51"/>
      <c r="S8792" s="51"/>
    </row>
    <row r="8793" spans="9:19" x14ac:dyDescent="0.25">
      <c r="I8793" s="1"/>
      <c r="J8793" s="71"/>
      <c r="M8793" s="46"/>
      <c r="R8793" s="51"/>
      <c r="S8793" s="51"/>
    </row>
    <row r="8794" spans="9:19" x14ac:dyDescent="0.25">
      <c r="I8794" s="1"/>
      <c r="J8794" s="71"/>
      <c r="M8794" s="46"/>
      <c r="R8794" s="51"/>
      <c r="S8794" s="51"/>
    </row>
    <row r="8795" spans="9:19" x14ac:dyDescent="0.25">
      <c r="I8795" s="1"/>
      <c r="J8795" s="71"/>
      <c r="M8795" s="46"/>
      <c r="R8795" s="51"/>
      <c r="S8795" s="51"/>
    </row>
    <row r="8796" spans="9:19" x14ac:dyDescent="0.25">
      <c r="I8796" s="1"/>
      <c r="J8796" s="71"/>
      <c r="M8796" s="46"/>
      <c r="R8796" s="51"/>
      <c r="S8796" s="51"/>
    </row>
    <row r="8797" spans="9:19" x14ac:dyDescent="0.25">
      <c r="I8797" s="1"/>
      <c r="J8797" s="71"/>
      <c r="M8797" s="46"/>
      <c r="R8797" s="51"/>
      <c r="S8797" s="51"/>
    </row>
    <row r="8798" spans="9:19" x14ac:dyDescent="0.25">
      <c r="I8798" s="1"/>
      <c r="J8798" s="71"/>
      <c r="M8798" s="46"/>
      <c r="R8798" s="51"/>
      <c r="S8798" s="51"/>
    </row>
    <row r="8799" spans="9:19" x14ac:dyDescent="0.25">
      <c r="I8799" s="1"/>
      <c r="J8799" s="71"/>
      <c r="M8799" s="46"/>
      <c r="R8799" s="51"/>
      <c r="S8799" s="51"/>
    </row>
    <row r="8800" spans="9:19" x14ac:dyDescent="0.25">
      <c r="I8800" s="1"/>
      <c r="J8800" s="71"/>
      <c r="M8800" s="46"/>
      <c r="R8800" s="51"/>
      <c r="S8800" s="51"/>
    </row>
    <row r="8801" spans="9:19" x14ac:dyDescent="0.25">
      <c r="I8801" s="1"/>
      <c r="J8801" s="71"/>
      <c r="M8801" s="46"/>
      <c r="R8801" s="51"/>
      <c r="S8801" s="51"/>
    </row>
    <row r="8802" spans="9:19" x14ac:dyDescent="0.25">
      <c r="I8802" s="1"/>
      <c r="J8802" s="71"/>
      <c r="M8802" s="46"/>
      <c r="R8802" s="51"/>
      <c r="S8802" s="51"/>
    </row>
    <row r="8803" spans="9:19" x14ac:dyDescent="0.25">
      <c r="I8803" s="1"/>
      <c r="J8803" s="71"/>
      <c r="M8803" s="46"/>
      <c r="R8803" s="51"/>
      <c r="S8803" s="51"/>
    </row>
    <row r="8804" spans="9:19" x14ac:dyDescent="0.25">
      <c r="I8804" s="1"/>
      <c r="J8804" s="71"/>
      <c r="M8804" s="46"/>
      <c r="R8804" s="51"/>
      <c r="S8804" s="51"/>
    </row>
    <row r="8805" spans="9:19" x14ac:dyDescent="0.25">
      <c r="I8805" s="1"/>
      <c r="J8805" s="71"/>
      <c r="M8805" s="46"/>
      <c r="R8805" s="51"/>
      <c r="S8805" s="51"/>
    </row>
    <row r="8806" spans="9:19" x14ac:dyDescent="0.25">
      <c r="I8806" s="1"/>
      <c r="J8806" s="71"/>
      <c r="M8806" s="46"/>
      <c r="R8806" s="51"/>
      <c r="S8806" s="51"/>
    </row>
    <row r="8807" spans="9:19" x14ac:dyDescent="0.25">
      <c r="I8807" s="1"/>
      <c r="J8807" s="71"/>
      <c r="M8807" s="46"/>
      <c r="R8807" s="51"/>
      <c r="S8807" s="51"/>
    </row>
    <row r="8808" spans="9:19" x14ac:dyDescent="0.25">
      <c r="I8808" s="1"/>
      <c r="J8808" s="71"/>
      <c r="M8808" s="46"/>
      <c r="R8808" s="51"/>
      <c r="S8808" s="51"/>
    </row>
    <row r="8809" spans="9:19" x14ac:dyDescent="0.25">
      <c r="I8809" s="1"/>
      <c r="J8809" s="71"/>
      <c r="M8809" s="46"/>
      <c r="R8809" s="51"/>
      <c r="S8809" s="51"/>
    </row>
    <row r="8810" spans="9:19" x14ac:dyDescent="0.25">
      <c r="I8810" s="1"/>
      <c r="J8810" s="71"/>
      <c r="M8810" s="46"/>
      <c r="R8810" s="51"/>
      <c r="S8810" s="51"/>
    </row>
    <row r="8811" spans="9:19" x14ac:dyDescent="0.25">
      <c r="I8811" s="1"/>
      <c r="J8811" s="71"/>
      <c r="M8811" s="46"/>
      <c r="R8811" s="51"/>
      <c r="S8811" s="51"/>
    </row>
    <row r="8812" spans="9:19" x14ac:dyDescent="0.25">
      <c r="I8812" s="1"/>
      <c r="J8812" s="71"/>
      <c r="M8812" s="46"/>
      <c r="R8812" s="51"/>
      <c r="S8812" s="51"/>
    </row>
    <row r="8813" spans="9:19" x14ac:dyDescent="0.25">
      <c r="I8813" s="1"/>
      <c r="J8813" s="71"/>
      <c r="M8813" s="46"/>
      <c r="R8813" s="51"/>
      <c r="S8813" s="51"/>
    </row>
    <row r="8814" spans="9:19" x14ac:dyDescent="0.25">
      <c r="I8814" s="1"/>
      <c r="J8814" s="71"/>
      <c r="M8814" s="46"/>
      <c r="R8814" s="51"/>
      <c r="S8814" s="51"/>
    </row>
    <row r="8815" spans="9:19" x14ac:dyDescent="0.25">
      <c r="I8815" s="1"/>
      <c r="J8815" s="71"/>
      <c r="M8815" s="46"/>
      <c r="R8815" s="51"/>
      <c r="S8815" s="51"/>
    </row>
    <row r="8816" spans="9:19" x14ac:dyDescent="0.25">
      <c r="I8816" s="1"/>
      <c r="J8816" s="71"/>
      <c r="M8816" s="46"/>
      <c r="R8816" s="51"/>
      <c r="S8816" s="51"/>
    </row>
    <row r="8817" spans="9:19" x14ac:dyDescent="0.25">
      <c r="I8817" s="1"/>
      <c r="J8817" s="71"/>
      <c r="M8817" s="46"/>
      <c r="R8817" s="51"/>
      <c r="S8817" s="51"/>
    </row>
    <row r="8818" spans="9:19" x14ac:dyDescent="0.25">
      <c r="I8818" s="1"/>
      <c r="J8818" s="71"/>
      <c r="M8818" s="46"/>
      <c r="R8818" s="51"/>
      <c r="S8818" s="51"/>
    </row>
    <row r="8819" spans="9:19" x14ac:dyDescent="0.25">
      <c r="I8819" s="1"/>
      <c r="J8819" s="71"/>
      <c r="M8819" s="46"/>
      <c r="R8819" s="51"/>
      <c r="S8819" s="51"/>
    </row>
    <row r="8820" spans="9:19" x14ac:dyDescent="0.25">
      <c r="I8820" s="1"/>
      <c r="J8820" s="71"/>
      <c r="M8820" s="46"/>
      <c r="R8820" s="51"/>
      <c r="S8820" s="51"/>
    </row>
    <row r="8821" spans="9:19" x14ac:dyDescent="0.25">
      <c r="I8821" s="1"/>
      <c r="J8821" s="71"/>
      <c r="M8821" s="46"/>
      <c r="R8821" s="51"/>
      <c r="S8821" s="51"/>
    </row>
    <row r="8822" spans="9:19" x14ac:dyDescent="0.25">
      <c r="I8822" s="1"/>
      <c r="J8822" s="71"/>
      <c r="M8822" s="46"/>
      <c r="R8822" s="51"/>
      <c r="S8822" s="51"/>
    </row>
    <row r="8823" spans="9:19" x14ac:dyDescent="0.25">
      <c r="I8823" s="1"/>
      <c r="J8823" s="71"/>
      <c r="M8823" s="46"/>
      <c r="R8823" s="51"/>
      <c r="S8823" s="51"/>
    </row>
    <row r="8824" spans="9:19" x14ac:dyDescent="0.25">
      <c r="I8824" s="1"/>
      <c r="J8824" s="71"/>
      <c r="M8824" s="46"/>
      <c r="R8824" s="51"/>
      <c r="S8824" s="51"/>
    </row>
    <row r="8825" spans="9:19" x14ac:dyDescent="0.25">
      <c r="I8825" s="1"/>
      <c r="J8825" s="71"/>
      <c r="M8825" s="46"/>
      <c r="R8825" s="51"/>
      <c r="S8825" s="51"/>
    </row>
    <row r="8826" spans="9:19" x14ac:dyDescent="0.25">
      <c r="I8826" s="1"/>
      <c r="J8826" s="71"/>
      <c r="M8826" s="46"/>
      <c r="R8826" s="51"/>
      <c r="S8826" s="51"/>
    </row>
    <row r="8827" spans="9:19" x14ac:dyDescent="0.25">
      <c r="I8827" s="1"/>
      <c r="J8827" s="71"/>
      <c r="M8827" s="46"/>
      <c r="R8827" s="51"/>
      <c r="S8827" s="51"/>
    </row>
    <row r="8828" spans="9:19" x14ac:dyDescent="0.25">
      <c r="I8828" s="1"/>
      <c r="J8828" s="71"/>
      <c r="M8828" s="46"/>
      <c r="R8828" s="51"/>
      <c r="S8828" s="51"/>
    </row>
    <row r="8829" spans="9:19" x14ac:dyDescent="0.25">
      <c r="I8829" s="1"/>
      <c r="J8829" s="71"/>
      <c r="M8829" s="46"/>
      <c r="R8829" s="51"/>
      <c r="S8829" s="51"/>
    </row>
    <row r="8830" spans="9:19" x14ac:dyDescent="0.25">
      <c r="I8830" s="1"/>
      <c r="J8830" s="71"/>
      <c r="M8830" s="46"/>
      <c r="R8830" s="51"/>
      <c r="S8830" s="51"/>
    </row>
    <row r="8831" spans="9:19" x14ac:dyDescent="0.25">
      <c r="I8831" s="1"/>
      <c r="J8831" s="71"/>
      <c r="M8831" s="46"/>
      <c r="R8831" s="51"/>
      <c r="S8831" s="51"/>
    </row>
    <row r="8832" spans="9:19" x14ac:dyDescent="0.25">
      <c r="I8832" s="1"/>
      <c r="J8832" s="71"/>
      <c r="M8832" s="46"/>
      <c r="R8832" s="51"/>
      <c r="S8832" s="51"/>
    </row>
    <row r="8833" spans="9:19" x14ac:dyDescent="0.25">
      <c r="I8833" s="1"/>
      <c r="J8833" s="71"/>
      <c r="M8833" s="46"/>
      <c r="R8833" s="51"/>
      <c r="S8833" s="51"/>
    </row>
    <row r="8834" spans="9:19" x14ac:dyDescent="0.25">
      <c r="I8834" s="1"/>
      <c r="J8834" s="71"/>
      <c r="M8834" s="46"/>
      <c r="R8834" s="51"/>
      <c r="S8834" s="51"/>
    </row>
    <row r="8835" spans="9:19" x14ac:dyDescent="0.25">
      <c r="I8835" s="1"/>
      <c r="J8835" s="71"/>
      <c r="M8835" s="46"/>
      <c r="R8835" s="51"/>
      <c r="S8835" s="51"/>
    </row>
    <row r="8836" spans="9:19" x14ac:dyDescent="0.25">
      <c r="I8836" s="1"/>
      <c r="J8836" s="71"/>
      <c r="M8836" s="46"/>
      <c r="R8836" s="51"/>
      <c r="S8836" s="51"/>
    </row>
    <row r="8837" spans="9:19" x14ac:dyDescent="0.25">
      <c r="I8837" s="1"/>
      <c r="J8837" s="71"/>
      <c r="M8837" s="46"/>
      <c r="R8837" s="51"/>
      <c r="S8837" s="51"/>
    </row>
    <row r="8838" spans="9:19" x14ac:dyDescent="0.25">
      <c r="I8838" s="1"/>
      <c r="J8838" s="71"/>
      <c r="M8838" s="46"/>
      <c r="R8838" s="51"/>
      <c r="S8838" s="51"/>
    </row>
    <row r="8839" spans="9:19" x14ac:dyDescent="0.25">
      <c r="I8839" s="1"/>
      <c r="J8839" s="71"/>
      <c r="M8839" s="46"/>
      <c r="R8839" s="51"/>
      <c r="S8839" s="51"/>
    </row>
    <row r="8840" spans="9:19" x14ac:dyDescent="0.25">
      <c r="I8840" s="1"/>
      <c r="J8840" s="71"/>
      <c r="M8840" s="46"/>
      <c r="R8840" s="51"/>
      <c r="S8840" s="51"/>
    </row>
    <row r="8841" spans="9:19" x14ac:dyDescent="0.25">
      <c r="I8841" s="1"/>
      <c r="J8841" s="71"/>
      <c r="M8841" s="46"/>
      <c r="R8841" s="51"/>
      <c r="S8841" s="51"/>
    </row>
    <row r="8842" spans="9:19" x14ac:dyDescent="0.25">
      <c r="I8842" s="1"/>
      <c r="J8842" s="71"/>
      <c r="M8842" s="46"/>
      <c r="R8842" s="51"/>
      <c r="S8842" s="51"/>
    </row>
    <row r="8843" spans="9:19" x14ac:dyDescent="0.25">
      <c r="I8843" s="1"/>
      <c r="J8843" s="71"/>
      <c r="M8843" s="46"/>
      <c r="R8843" s="51"/>
      <c r="S8843" s="51"/>
    </row>
    <row r="8844" spans="9:19" x14ac:dyDescent="0.25">
      <c r="I8844" s="1"/>
      <c r="J8844" s="71"/>
      <c r="M8844" s="46"/>
      <c r="R8844" s="51"/>
      <c r="S8844" s="51"/>
    </row>
    <row r="8845" spans="9:19" x14ac:dyDescent="0.25">
      <c r="I8845" s="1"/>
      <c r="J8845" s="71"/>
      <c r="M8845" s="46"/>
      <c r="R8845" s="51"/>
      <c r="S8845" s="51"/>
    </row>
    <row r="8846" spans="9:19" x14ac:dyDescent="0.25">
      <c r="I8846" s="1"/>
      <c r="J8846" s="71"/>
      <c r="M8846" s="46"/>
      <c r="R8846" s="51"/>
      <c r="S8846" s="51"/>
    </row>
    <row r="8847" spans="9:19" x14ac:dyDescent="0.25">
      <c r="I8847" s="1"/>
      <c r="J8847" s="71"/>
      <c r="M8847" s="46"/>
      <c r="R8847" s="51"/>
      <c r="S8847" s="51"/>
    </row>
    <row r="8848" spans="9:19" x14ac:dyDescent="0.25">
      <c r="I8848" s="1"/>
      <c r="J8848" s="71"/>
      <c r="M8848" s="46"/>
      <c r="R8848" s="51"/>
      <c r="S8848" s="51"/>
    </row>
    <row r="8849" spans="9:19" x14ac:dyDescent="0.25">
      <c r="I8849" s="1"/>
      <c r="J8849" s="71"/>
      <c r="M8849" s="46"/>
      <c r="R8849" s="51"/>
      <c r="S8849" s="51"/>
    </row>
    <row r="8850" spans="9:19" x14ac:dyDescent="0.25">
      <c r="I8850" s="1"/>
      <c r="J8850" s="71"/>
      <c r="M8850" s="46"/>
      <c r="R8850" s="51"/>
      <c r="S8850" s="51"/>
    </row>
    <row r="8851" spans="9:19" x14ac:dyDescent="0.25">
      <c r="I8851" s="1"/>
      <c r="J8851" s="71"/>
      <c r="M8851" s="46"/>
      <c r="R8851" s="51"/>
      <c r="S8851" s="51"/>
    </row>
    <row r="8852" spans="9:19" x14ac:dyDescent="0.25">
      <c r="I8852" s="1"/>
      <c r="J8852" s="71"/>
      <c r="M8852" s="46"/>
      <c r="R8852" s="51"/>
      <c r="S8852" s="51"/>
    </row>
    <row r="8853" spans="9:19" x14ac:dyDescent="0.25">
      <c r="I8853" s="1"/>
      <c r="J8853" s="71"/>
      <c r="M8853" s="46"/>
      <c r="R8853" s="51"/>
      <c r="S8853" s="51"/>
    </row>
    <row r="8854" spans="9:19" x14ac:dyDescent="0.25">
      <c r="I8854" s="1"/>
      <c r="J8854" s="71"/>
      <c r="M8854" s="46"/>
      <c r="R8854" s="51"/>
      <c r="S8854" s="51"/>
    </row>
    <row r="8855" spans="9:19" x14ac:dyDescent="0.25">
      <c r="I8855" s="1"/>
      <c r="J8855" s="71"/>
      <c r="M8855" s="46"/>
      <c r="R8855" s="51"/>
      <c r="S8855" s="51"/>
    </row>
    <row r="8856" spans="9:19" x14ac:dyDescent="0.25">
      <c r="I8856" s="1"/>
      <c r="J8856" s="71"/>
      <c r="M8856" s="46"/>
      <c r="R8856" s="51"/>
      <c r="S8856" s="51"/>
    </row>
    <row r="8857" spans="9:19" x14ac:dyDescent="0.25">
      <c r="I8857" s="1"/>
      <c r="J8857" s="71"/>
      <c r="M8857" s="46"/>
      <c r="R8857" s="51"/>
      <c r="S8857" s="51"/>
    </row>
    <row r="8858" spans="9:19" x14ac:dyDescent="0.25">
      <c r="I8858" s="1"/>
      <c r="J8858" s="71"/>
      <c r="M8858" s="46"/>
      <c r="R8858" s="51"/>
      <c r="S8858" s="51"/>
    </row>
    <row r="8859" spans="9:19" x14ac:dyDescent="0.25">
      <c r="I8859" s="1"/>
      <c r="J8859" s="71"/>
      <c r="M8859" s="46"/>
      <c r="R8859" s="51"/>
      <c r="S8859" s="51"/>
    </row>
    <row r="8860" spans="9:19" x14ac:dyDescent="0.25">
      <c r="I8860" s="1"/>
      <c r="J8860" s="71"/>
      <c r="M8860" s="46"/>
      <c r="R8860" s="51"/>
      <c r="S8860" s="51"/>
    </row>
    <row r="8861" spans="9:19" x14ac:dyDescent="0.25">
      <c r="I8861" s="1"/>
      <c r="J8861" s="71"/>
      <c r="M8861" s="46"/>
      <c r="R8861" s="51"/>
      <c r="S8861" s="51"/>
    </row>
    <row r="8862" spans="9:19" x14ac:dyDescent="0.25">
      <c r="I8862" s="1"/>
      <c r="J8862" s="71"/>
      <c r="M8862" s="46"/>
      <c r="R8862" s="51"/>
      <c r="S8862" s="51"/>
    </row>
    <row r="8863" spans="9:19" x14ac:dyDescent="0.25">
      <c r="I8863" s="1"/>
      <c r="J8863" s="71"/>
      <c r="M8863" s="46"/>
      <c r="R8863" s="51"/>
      <c r="S8863" s="51"/>
    </row>
    <row r="8864" spans="9:19" x14ac:dyDescent="0.25">
      <c r="I8864" s="1"/>
      <c r="J8864" s="71"/>
      <c r="M8864" s="46"/>
      <c r="R8864" s="51"/>
      <c r="S8864" s="51"/>
    </row>
    <row r="8865" spans="9:19" x14ac:dyDescent="0.25">
      <c r="I8865" s="1"/>
      <c r="J8865" s="71"/>
      <c r="M8865" s="46"/>
      <c r="R8865" s="51"/>
      <c r="S8865" s="51"/>
    </row>
    <row r="8866" spans="9:19" x14ac:dyDescent="0.25">
      <c r="I8866" s="1"/>
      <c r="J8866" s="71"/>
      <c r="M8866" s="46"/>
      <c r="R8866" s="51"/>
      <c r="S8866" s="51"/>
    </row>
    <row r="8867" spans="9:19" x14ac:dyDescent="0.25">
      <c r="I8867" s="1"/>
      <c r="J8867" s="71"/>
      <c r="M8867" s="46"/>
      <c r="R8867" s="51"/>
      <c r="S8867" s="51"/>
    </row>
    <row r="8868" spans="9:19" x14ac:dyDescent="0.25">
      <c r="I8868" s="1"/>
      <c r="J8868" s="71"/>
      <c r="M8868" s="46"/>
      <c r="R8868" s="51"/>
      <c r="S8868" s="51"/>
    </row>
    <row r="8869" spans="9:19" x14ac:dyDescent="0.25">
      <c r="I8869" s="1"/>
      <c r="J8869" s="71"/>
      <c r="M8869" s="46"/>
      <c r="R8869" s="51"/>
      <c r="S8869" s="51"/>
    </row>
    <row r="8870" spans="9:19" x14ac:dyDescent="0.25">
      <c r="I8870" s="1"/>
      <c r="J8870" s="71"/>
      <c r="M8870" s="46"/>
      <c r="R8870" s="51"/>
      <c r="S8870" s="51"/>
    </row>
    <row r="8871" spans="9:19" x14ac:dyDescent="0.25">
      <c r="I8871" s="1"/>
      <c r="J8871" s="71"/>
      <c r="M8871" s="46"/>
      <c r="R8871" s="51"/>
      <c r="S8871" s="51"/>
    </row>
    <row r="8872" spans="9:19" x14ac:dyDescent="0.25">
      <c r="I8872" s="1"/>
      <c r="J8872" s="71"/>
      <c r="M8872" s="46"/>
      <c r="R8872" s="51"/>
      <c r="S8872" s="51"/>
    </row>
    <row r="8873" spans="9:19" x14ac:dyDescent="0.25">
      <c r="I8873" s="1"/>
      <c r="J8873" s="71"/>
      <c r="M8873" s="46"/>
      <c r="R8873" s="51"/>
      <c r="S8873" s="51"/>
    </row>
    <row r="8874" spans="9:19" x14ac:dyDescent="0.25">
      <c r="I8874" s="1"/>
      <c r="J8874" s="71"/>
      <c r="M8874" s="46"/>
      <c r="R8874" s="51"/>
      <c r="S8874" s="51"/>
    </row>
    <row r="8875" spans="9:19" x14ac:dyDescent="0.25">
      <c r="I8875" s="1"/>
      <c r="J8875" s="71"/>
      <c r="M8875" s="46"/>
      <c r="R8875" s="51"/>
      <c r="S8875" s="51"/>
    </row>
    <row r="8876" spans="9:19" x14ac:dyDescent="0.25">
      <c r="I8876" s="1"/>
      <c r="J8876" s="71"/>
      <c r="M8876" s="46"/>
      <c r="R8876" s="51"/>
      <c r="S8876" s="51"/>
    </row>
    <row r="8877" spans="9:19" x14ac:dyDescent="0.25">
      <c r="I8877" s="1"/>
      <c r="J8877" s="71"/>
      <c r="M8877" s="46"/>
      <c r="R8877" s="51"/>
      <c r="S8877" s="51"/>
    </row>
    <row r="8878" spans="9:19" x14ac:dyDescent="0.25">
      <c r="I8878" s="1"/>
      <c r="J8878" s="71"/>
      <c r="M8878" s="46"/>
      <c r="R8878" s="51"/>
      <c r="S8878" s="51"/>
    </row>
    <row r="8879" spans="9:19" x14ac:dyDescent="0.25">
      <c r="I8879" s="1"/>
      <c r="J8879" s="71"/>
      <c r="M8879" s="46"/>
      <c r="R8879" s="51"/>
      <c r="S8879" s="51"/>
    </row>
    <row r="8880" spans="9:19" x14ac:dyDescent="0.25">
      <c r="I8880" s="1"/>
      <c r="J8880" s="71"/>
      <c r="M8880" s="46"/>
      <c r="R8880" s="51"/>
      <c r="S8880" s="51"/>
    </row>
    <row r="8881" spans="9:19" x14ac:dyDescent="0.25">
      <c r="I8881" s="1"/>
      <c r="J8881" s="71"/>
      <c r="M8881" s="46"/>
      <c r="R8881" s="51"/>
      <c r="S8881" s="51"/>
    </row>
    <row r="8882" spans="9:19" x14ac:dyDescent="0.25">
      <c r="I8882" s="1"/>
      <c r="J8882" s="71"/>
      <c r="M8882" s="46"/>
      <c r="R8882" s="51"/>
      <c r="S8882" s="51"/>
    </row>
    <row r="8883" spans="9:19" x14ac:dyDescent="0.25">
      <c r="I8883" s="1"/>
      <c r="J8883" s="71"/>
      <c r="M8883" s="46"/>
      <c r="R8883" s="51"/>
      <c r="S8883" s="51"/>
    </row>
    <row r="8884" spans="9:19" x14ac:dyDescent="0.25">
      <c r="I8884" s="1"/>
      <c r="J8884" s="71"/>
      <c r="M8884" s="46"/>
      <c r="R8884" s="51"/>
      <c r="S8884" s="51"/>
    </row>
    <row r="8885" spans="9:19" x14ac:dyDescent="0.25">
      <c r="I8885" s="1"/>
      <c r="J8885" s="71"/>
      <c r="M8885" s="46"/>
      <c r="R8885" s="51"/>
      <c r="S8885" s="51"/>
    </row>
    <row r="8886" spans="9:19" x14ac:dyDescent="0.25">
      <c r="I8886" s="1"/>
      <c r="J8886" s="71"/>
      <c r="M8886" s="46"/>
      <c r="R8886" s="51"/>
      <c r="S8886" s="51"/>
    </row>
    <row r="8887" spans="9:19" x14ac:dyDescent="0.25">
      <c r="I8887" s="1"/>
      <c r="J8887" s="71"/>
      <c r="M8887" s="46"/>
      <c r="R8887" s="51"/>
      <c r="S8887" s="51"/>
    </row>
    <row r="8888" spans="9:19" x14ac:dyDescent="0.25">
      <c r="I8888" s="1"/>
      <c r="J8888" s="71"/>
      <c r="M8888" s="46"/>
      <c r="R8888" s="51"/>
      <c r="S8888" s="51"/>
    </row>
    <row r="8889" spans="9:19" x14ac:dyDescent="0.25">
      <c r="I8889" s="1"/>
      <c r="J8889" s="71"/>
      <c r="M8889" s="46"/>
      <c r="R8889" s="51"/>
      <c r="S8889" s="51"/>
    </row>
    <row r="8890" spans="9:19" x14ac:dyDescent="0.25">
      <c r="I8890" s="1"/>
      <c r="J8890" s="71"/>
      <c r="M8890" s="46"/>
      <c r="R8890" s="51"/>
      <c r="S8890" s="51"/>
    </row>
    <row r="8891" spans="9:19" x14ac:dyDescent="0.25">
      <c r="I8891" s="1"/>
      <c r="J8891" s="71"/>
      <c r="M8891" s="46"/>
      <c r="R8891" s="51"/>
      <c r="S8891" s="51"/>
    </row>
    <row r="8892" spans="9:19" x14ac:dyDescent="0.25">
      <c r="I8892" s="1"/>
      <c r="J8892" s="71"/>
      <c r="M8892" s="46"/>
      <c r="R8892" s="51"/>
      <c r="S8892" s="51"/>
    </row>
    <row r="8893" spans="9:19" x14ac:dyDescent="0.25">
      <c r="I8893" s="1"/>
      <c r="J8893" s="71"/>
      <c r="M8893" s="46"/>
      <c r="R8893" s="51"/>
      <c r="S8893" s="51"/>
    </row>
    <row r="8894" spans="9:19" x14ac:dyDescent="0.25">
      <c r="I8894" s="1"/>
      <c r="J8894" s="71"/>
      <c r="M8894" s="46"/>
      <c r="R8894" s="51"/>
      <c r="S8894" s="51"/>
    </row>
    <row r="8895" spans="9:19" x14ac:dyDescent="0.25">
      <c r="I8895" s="1"/>
      <c r="J8895" s="71"/>
      <c r="M8895" s="46"/>
      <c r="R8895" s="51"/>
      <c r="S8895" s="51"/>
    </row>
    <row r="8896" spans="9:19" x14ac:dyDescent="0.25">
      <c r="I8896" s="1"/>
      <c r="J8896" s="71"/>
      <c r="M8896" s="46"/>
      <c r="R8896" s="51"/>
      <c r="S8896" s="51"/>
    </row>
    <row r="8897" spans="9:19" x14ac:dyDescent="0.25">
      <c r="I8897" s="1"/>
      <c r="J8897" s="71"/>
      <c r="M8897" s="46"/>
      <c r="R8897" s="51"/>
      <c r="S8897" s="51"/>
    </row>
    <row r="8898" spans="9:19" x14ac:dyDescent="0.25">
      <c r="I8898" s="1"/>
      <c r="J8898" s="71"/>
      <c r="M8898" s="46"/>
      <c r="R8898" s="51"/>
      <c r="S8898" s="51"/>
    </row>
    <row r="8899" spans="9:19" x14ac:dyDescent="0.25">
      <c r="I8899" s="1"/>
      <c r="J8899" s="71"/>
      <c r="M8899" s="46"/>
      <c r="R8899" s="51"/>
      <c r="S8899" s="51"/>
    </row>
    <row r="8900" spans="9:19" x14ac:dyDescent="0.25">
      <c r="I8900" s="1"/>
      <c r="J8900" s="71"/>
      <c r="M8900" s="46"/>
      <c r="R8900" s="51"/>
      <c r="S8900" s="51"/>
    </row>
    <row r="8901" spans="9:19" x14ac:dyDescent="0.25">
      <c r="I8901" s="1"/>
      <c r="J8901" s="71"/>
      <c r="M8901" s="46"/>
      <c r="R8901" s="51"/>
      <c r="S8901" s="51"/>
    </row>
    <row r="8902" spans="9:19" x14ac:dyDescent="0.25">
      <c r="I8902" s="1"/>
      <c r="J8902" s="71"/>
      <c r="M8902" s="46"/>
      <c r="R8902" s="51"/>
      <c r="S8902" s="51"/>
    </row>
    <row r="8903" spans="9:19" x14ac:dyDescent="0.25">
      <c r="I8903" s="1"/>
      <c r="J8903" s="71"/>
      <c r="M8903" s="46"/>
      <c r="R8903" s="51"/>
      <c r="S8903" s="51"/>
    </row>
    <row r="8904" spans="9:19" x14ac:dyDescent="0.25">
      <c r="I8904" s="1"/>
      <c r="J8904" s="71"/>
      <c r="M8904" s="46"/>
      <c r="R8904" s="51"/>
      <c r="S8904" s="51"/>
    </row>
    <row r="8905" spans="9:19" x14ac:dyDescent="0.25">
      <c r="I8905" s="1"/>
      <c r="J8905" s="71"/>
      <c r="M8905" s="46"/>
      <c r="R8905" s="51"/>
      <c r="S8905" s="51"/>
    </row>
    <row r="8906" spans="9:19" x14ac:dyDescent="0.25">
      <c r="I8906" s="1"/>
      <c r="J8906" s="71"/>
      <c r="M8906" s="46"/>
      <c r="R8906" s="51"/>
      <c r="S8906" s="51"/>
    </row>
    <row r="8907" spans="9:19" x14ac:dyDescent="0.25">
      <c r="I8907" s="1"/>
      <c r="J8907" s="71"/>
      <c r="M8907" s="46"/>
      <c r="R8907" s="51"/>
      <c r="S8907" s="51"/>
    </row>
    <row r="8908" spans="9:19" x14ac:dyDescent="0.25">
      <c r="I8908" s="1"/>
      <c r="J8908" s="71"/>
      <c r="M8908" s="46"/>
      <c r="R8908" s="51"/>
      <c r="S8908" s="51"/>
    </row>
    <row r="8909" spans="9:19" x14ac:dyDescent="0.25">
      <c r="I8909" s="1"/>
      <c r="J8909" s="71"/>
      <c r="M8909" s="46"/>
      <c r="R8909" s="51"/>
      <c r="S8909" s="51"/>
    </row>
    <row r="8910" spans="9:19" x14ac:dyDescent="0.25">
      <c r="I8910" s="1"/>
      <c r="J8910" s="71"/>
      <c r="M8910" s="46"/>
      <c r="R8910" s="51"/>
      <c r="S8910" s="51"/>
    </row>
    <row r="8911" spans="9:19" x14ac:dyDescent="0.25">
      <c r="I8911" s="1"/>
      <c r="J8911" s="71"/>
      <c r="M8911" s="46"/>
      <c r="R8911" s="51"/>
      <c r="S8911" s="51"/>
    </row>
    <row r="8912" spans="9:19" x14ac:dyDescent="0.25">
      <c r="I8912" s="1"/>
      <c r="J8912" s="71"/>
      <c r="M8912" s="46"/>
      <c r="R8912" s="51"/>
      <c r="S8912" s="51"/>
    </row>
    <row r="8913" spans="9:19" x14ac:dyDescent="0.25">
      <c r="I8913" s="1"/>
      <c r="J8913" s="71"/>
      <c r="M8913" s="46"/>
      <c r="R8913" s="51"/>
      <c r="S8913" s="51"/>
    </row>
    <row r="8914" spans="9:19" x14ac:dyDescent="0.25">
      <c r="I8914" s="1"/>
      <c r="J8914" s="71"/>
      <c r="M8914" s="46"/>
      <c r="R8914" s="51"/>
      <c r="S8914" s="51"/>
    </row>
    <row r="8915" spans="9:19" x14ac:dyDescent="0.25">
      <c r="I8915" s="1"/>
      <c r="J8915" s="71"/>
      <c r="M8915" s="46"/>
      <c r="R8915" s="51"/>
      <c r="S8915" s="51"/>
    </row>
    <row r="8916" spans="9:19" x14ac:dyDescent="0.25">
      <c r="I8916" s="1"/>
      <c r="J8916" s="71"/>
      <c r="M8916" s="46"/>
      <c r="R8916" s="51"/>
      <c r="S8916" s="51"/>
    </row>
    <row r="8917" spans="9:19" x14ac:dyDescent="0.25">
      <c r="I8917" s="1"/>
      <c r="J8917" s="71"/>
      <c r="M8917" s="46"/>
      <c r="R8917" s="51"/>
      <c r="S8917" s="51"/>
    </row>
    <row r="8918" spans="9:19" x14ac:dyDescent="0.25">
      <c r="I8918" s="1"/>
      <c r="J8918" s="71"/>
      <c r="M8918" s="46"/>
      <c r="R8918" s="51"/>
      <c r="S8918" s="51"/>
    </row>
    <row r="8919" spans="9:19" x14ac:dyDescent="0.25">
      <c r="I8919" s="1"/>
      <c r="J8919" s="71"/>
      <c r="M8919" s="46"/>
      <c r="R8919" s="51"/>
      <c r="S8919" s="51"/>
    </row>
    <row r="8920" spans="9:19" x14ac:dyDescent="0.25">
      <c r="I8920" s="1"/>
      <c r="J8920" s="71"/>
      <c r="M8920" s="46"/>
      <c r="R8920" s="51"/>
      <c r="S8920" s="51"/>
    </row>
    <row r="8921" spans="9:19" x14ac:dyDescent="0.25">
      <c r="I8921" s="1"/>
      <c r="J8921" s="71"/>
      <c r="M8921" s="46"/>
      <c r="R8921" s="51"/>
      <c r="S8921" s="51"/>
    </row>
    <row r="8922" spans="9:19" x14ac:dyDescent="0.25">
      <c r="I8922" s="1"/>
      <c r="J8922" s="71"/>
      <c r="M8922" s="46"/>
      <c r="R8922" s="51"/>
      <c r="S8922" s="51"/>
    </row>
    <row r="8923" spans="9:19" x14ac:dyDescent="0.25">
      <c r="I8923" s="1"/>
      <c r="J8923" s="71"/>
      <c r="M8923" s="46"/>
      <c r="R8923" s="51"/>
      <c r="S8923" s="51"/>
    </row>
    <row r="8924" spans="9:19" x14ac:dyDescent="0.25">
      <c r="I8924" s="1"/>
      <c r="J8924" s="71"/>
      <c r="M8924" s="46"/>
      <c r="R8924" s="51"/>
      <c r="S8924" s="51"/>
    </row>
    <row r="8925" spans="9:19" x14ac:dyDescent="0.25">
      <c r="I8925" s="1"/>
      <c r="J8925" s="71"/>
      <c r="M8925" s="46"/>
      <c r="R8925" s="51"/>
      <c r="S8925" s="51"/>
    </row>
    <row r="8926" spans="9:19" x14ac:dyDescent="0.25">
      <c r="I8926" s="1"/>
      <c r="J8926" s="71"/>
      <c r="M8926" s="46"/>
      <c r="R8926" s="51"/>
      <c r="S8926" s="51"/>
    </row>
    <row r="8927" spans="9:19" x14ac:dyDescent="0.25">
      <c r="I8927" s="1"/>
      <c r="J8927" s="71"/>
      <c r="M8927" s="46"/>
      <c r="R8927" s="51"/>
      <c r="S8927" s="51"/>
    </row>
    <row r="8928" spans="9:19" x14ac:dyDescent="0.25">
      <c r="I8928" s="1"/>
      <c r="J8928" s="71"/>
      <c r="M8928" s="46"/>
      <c r="R8928" s="51"/>
      <c r="S8928" s="51"/>
    </row>
    <row r="8929" spans="9:19" x14ac:dyDescent="0.25">
      <c r="I8929" s="1"/>
      <c r="J8929" s="71"/>
      <c r="M8929" s="46"/>
      <c r="R8929" s="51"/>
      <c r="S8929" s="51"/>
    </row>
    <row r="8930" spans="9:19" x14ac:dyDescent="0.25">
      <c r="I8930" s="1"/>
      <c r="J8930" s="71"/>
      <c r="M8930" s="46"/>
      <c r="R8930" s="51"/>
      <c r="S8930" s="51"/>
    </row>
    <row r="8931" spans="9:19" x14ac:dyDescent="0.25">
      <c r="I8931" s="1"/>
      <c r="J8931" s="71"/>
      <c r="M8931" s="46"/>
      <c r="R8931" s="51"/>
      <c r="S8931" s="51"/>
    </row>
    <row r="8932" spans="9:19" x14ac:dyDescent="0.25">
      <c r="I8932" s="1"/>
      <c r="J8932" s="71"/>
      <c r="M8932" s="46"/>
      <c r="R8932" s="51"/>
      <c r="S8932" s="51"/>
    </row>
    <row r="8933" spans="9:19" x14ac:dyDescent="0.25">
      <c r="I8933" s="1"/>
      <c r="J8933" s="71"/>
      <c r="M8933" s="46"/>
      <c r="R8933" s="51"/>
      <c r="S8933" s="51"/>
    </row>
    <row r="8934" spans="9:19" x14ac:dyDescent="0.25">
      <c r="I8934" s="1"/>
      <c r="J8934" s="71"/>
      <c r="M8934" s="46"/>
      <c r="R8934" s="51"/>
      <c r="S8934" s="51"/>
    </row>
    <row r="8935" spans="9:19" x14ac:dyDescent="0.25">
      <c r="I8935" s="1"/>
      <c r="J8935" s="71"/>
      <c r="M8935" s="46"/>
      <c r="R8935" s="51"/>
      <c r="S8935" s="51"/>
    </row>
    <row r="8936" spans="9:19" x14ac:dyDescent="0.25">
      <c r="I8936" s="1"/>
      <c r="J8936" s="71"/>
      <c r="M8936" s="46"/>
      <c r="R8936" s="51"/>
      <c r="S8936" s="51"/>
    </row>
    <row r="8937" spans="9:19" x14ac:dyDescent="0.25">
      <c r="I8937" s="1"/>
      <c r="J8937" s="71"/>
      <c r="M8937" s="46"/>
      <c r="R8937" s="51"/>
      <c r="S8937" s="51"/>
    </row>
    <row r="8938" spans="9:19" x14ac:dyDescent="0.25">
      <c r="I8938" s="1"/>
      <c r="J8938" s="71"/>
      <c r="M8938" s="46"/>
      <c r="R8938" s="51"/>
      <c r="S8938" s="51"/>
    </row>
    <row r="8939" spans="9:19" x14ac:dyDescent="0.25">
      <c r="I8939" s="1"/>
      <c r="J8939" s="71"/>
      <c r="M8939" s="46"/>
      <c r="R8939" s="51"/>
      <c r="S8939" s="51"/>
    </row>
    <row r="8940" spans="9:19" x14ac:dyDescent="0.25">
      <c r="I8940" s="1"/>
      <c r="J8940" s="71"/>
      <c r="M8940" s="46"/>
      <c r="R8940" s="51"/>
      <c r="S8940" s="51"/>
    </row>
    <row r="8941" spans="9:19" x14ac:dyDescent="0.25">
      <c r="I8941" s="1"/>
      <c r="J8941" s="71"/>
      <c r="M8941" s="46"/>
      <c r="R8941" s="51"/>
      <c r="S8941" s="51"/>
    </row>
    <row r="8942" spans="9:19" x14ac:dyDescent="0.25">
      <c r="I8942" s="1"/>
      <c r="J8942" s="71"/>
      <c r="M8942" s="46"/>
      <c r="R8942" s="51"/>
      <c r="S8942" s="51"/>
    </row>
    <row r="8943" spans="9:19" x14ac:dyDescent="0.25">
      <c r="I8943" s="1"/>
      <c r="J8943" s="71"/>
      <c r="M8943" s="46"/>
      <c r="R8943" s="51"/>
      <c r="S8943" s="51"/>
    </row>
    <row r="8944" spans="9:19" x14ac:dyDescent="0.25">
      <c r="I8944" s="1"/>
      <c r="J8944" s="71"/>
      <c r="M8944" s="46"/>
      <c r="R8944" s="51"/>
      <c r="S8944" s="51"/>
    </row>
    <row r="8945" spans="9:19" x14ac:dyDescent="0.25">
      <c r="I8945" s="1"/>
      <c r="J8945" s="71"/>
      <c r="M8945" s="46"/>
      <c r="R8945" s="51"/>
      <c r="S8945" s="51"/>
    </row>
    <row r="8946" spans="9:19" x14ac:dyDescent="0.25">
      <c r="I8946" s="1"/>
      <c r="J8946" s="71"/>
      <c r="M8946" s="46"/>
      <c r="R8946" s="51"/>
      <c r="S8946" s="51"/>
    </row>
    <row r="8947" spans="9:19" x14ac:dyDescent="0.25">
      <c r="I8947" s="1"/>
      <c r="J8947" s="71"/>
      <c r="M8947" s="46"/>
      <c r="R8947" s="51"/>
      <c r="S8947" s="51"/>
    </row>
    <row r="8948" spans="9:19" x14ac:dyDescent="0.25">
      <c r="I8948" s="1"/>
      <c r="J8948" s="71"/>
      <c r="M8948" s="46"/>
      <c r="R8948" s="51"/>
      <c r="S8948" s="51"/>
    </row>
    <row r="8949" spans="9:19" x14ac:dyDescent="0.25">
      <c r="I8949" s="1"/>
      <c r="J8949" s="71"/>
      <c r="M8949" s="46"/>
      <c r="R8949" s="51"/>
      <c r="S8949" s="51"/>
    </row>
    <row r="8950" spans="9:19" x14ac:dyDescent="0.25">
      <c r="I8950" s="1"/>
      <c r="J8950" s="71"/>
      <c r="M8950" s="46"/>
      <c r="R8950" s="51"/>
      <c r="S8950" s="51"/>
    </row>
    <row r="8951" spans="9:19" x14ac:dyDescent="0.25">
      <c r="I8951" s="1"/>
      <c r="J8951" s="71"/>
      <c r="M8951" s="46"/>
      <c r="R8951" s="51"/>
      <c r="S8951" s="51"/>
    </row>
    <row r="8952" spans="9:19" x14ac:dyDescent="0.25">
      <c r="I8952" s="1"/>
      <c r="J8952" s="71"/>
      <c r="M8952" s="46"/>
      <c r="R8952" s="51"/>
      <c r="S8952" s="51"/>
    </row>
    <row r="8953" spans="9:19" x14ac:dyDescent="0.25">
      <c r="I8953" s="1"/>
      <c r="J8953" s="71"/>
      <c r="M8953" s="46"/>
      <c r="R8953" s="51"/>
      <c r="S8953" s="51"/>
    </row>
    <row r="8954" spans="9:19" x14ac:dyDescent="0.25">
      <c r="I8954" s="1"/>
      <c r="J8954" s="71"/>
      <c r="M8954" s="46"/>
      <c r="R8954" s="51"/>
      <c r="S8954" s="51"/>
    </row>
    <row r="8955" spans="9:19" x14ac:dyDescent="0.25">
      <c r="I8955" s="1"/>
      <c r="J8955" s="71"/>
      <c r="M8955" s="46"/>
      <c r="R8955" s="51"/>
      <c r="S8955" s="51"/>
    </row>
    <row r="8956" spans="9:19" x14ac:dyDescent="0.25">
      <c r="I8956" s="1"/>
      <c r="J8956" s="71"/>
      <c r="M8956" s="46"/>
      <c r="R8956" s="51"/>
      <c r="S8956" s="51"/>
    </row>
    <row r="8957" spans="9:19" x14ac:dyDescent="0.25">
      <c r="I8957" s="1"/>
      <c r="J8957" s="71"/>
      <c r="M8957" s="46"/>
      <c r="R8957" s="51"/>
      <c r="S8957" s="51"/>
    </row>
    <row r="8958" spans="9:19" x14ac:dyDescent="0.25">
      <c r="I8958" s="1"/>
      <c r="J8958" s="71"/>
      <c r="M8958" s="46"/>
      <c r="R8958" s="51"/>
      <c r="S8958" s="51"/>
    </row>
    <row r="8959" spans="9:19" x14ac:dyDescent="0.25">
      <c r="I8959" s="1"/>
      <c r="J8959" s="71"/>
      <c r="M8959" s="46"/>
      <c r="R8959" s="51"/>
      <c r="S8959" s="51"/>
    </row>
    <row r="8960" spans="9:19" x14ac:dyDescent="0.25">
      <c r="I8960" s="1"/>
      <c r="J8960" s="71"/>
      <c r="M8960" s="46"/>
      <c r="R8960" s="51"/>
      <c r="S8960" s="51"/>
    </row>
    <row r="8961" spans="9:19" x14ac:dyDescent="0.25">
      <c r="I8961" s="1"/>
      <c r="J8961" s="71"/>
      <c r="M8961" s="46"/>
      <c r="R8961" s="51"/>
      <c r="S8961" s="51"/>
    </row>
    <row r="8962" spans="9:19" x14ac:dyDescent="0.25">
      <c r="I8962" s="1"/>
      <c r="J8962" s="71"/>
      <c r="M8962" s="46"/>
      <c r="R8962" s="51"/>
      <c r="S8962" s="51"/>
    </row>
    <row r="8963" spans="9:19" x14ac:dyDescent="0.25">
      <c r="I8963" s="1"/>
      <c r="J8963" s="71"/>
      <c r="M8963" s="46"/>
      <c r="R8963" s="51"/>
      <c r="S8963" s="51"/>
    </row>
    <row r="8964" spans="9:19" x14ac:dyDescent="0.25">
      <c r="I8964" s="1"/>
      <c r="J8964" s="71"/>
      <c r="M8964" s="46"/>
      <c r="R8964" s="51"/>
      <c r="S8964" s="51"/>
    </row>
    <row r="8965" spans="9:19" x14ac:dyDescent="0.25">
      <c r="I8965" s="1"/>
      <c r="J8965" s="71"/>
      <c r="M8965" s="46"/>
      <c r="R8965" s="51"/>
      <c r="S8965" s="51"/>
    </row>
    <row r="8966" spans="9:19" x14ac:dyDescent="0.25">
      <c r="I8966" s="1"/>
      <c r="J8966" s="71"/>
      <c r="M8966" s="46"/>
      <c r="R8966" s="51"/>
      <c r="S8966" s="51"/>
    </row>
    <row r="8967" spans="9:19" x14ac:dyDescent="0.25">
      <c r="I8967" s="1"/>
      <c r="J8967" s="71"/>
      <c r="M8967" s="46"/>
      <c r="R8967" s="51"/>
      <c r="S8967" s="51"/>
    </row>
    <row r="8968" spans="9:19" x14ac:dyDescent="0.25">
      <c r="I8968" s="1"/>
      <c r="J8968" s="71"/>
      <c r="M8968" s="46"/>
      <c r="R8968" s="51"/>
      <c r="S8968" s="51"/>
    </row>
    <row r="8969" spans="9:19" x14ac:dyDescent="0.25">
      <c r="I8969" s="1"/>
      <c r="J8969" s="71"/>
      <c r="M8969" s="46"/>
      <c r="R8969" s="51"/>
      <c r="S8969" s="51"/>
    </row>
    <row r="8970" spans="9:19" x14ac:dyDescent="0.25">
      <c r="I8970" s="1"/>
      <c r="J8970" s="71"/>
      <c r="M8970" s="46"/>
      <c r="R8970" s="51"/>
      <c r="S8970" s="51"/>
    </row>
    <row r="8971" spans="9:19" x14ac:dyDescent="0.25">
      <c r="I8971" s="1"/>
      <c r="J8971" s="71"/>
      <c r="M8971" s="46"/>
      <c r="R8971" s="51"/>
      <c r="S8971" s="51"/>
    </row>
    <row r="8972" spans="9:19" x14ac:dyDescent="0.25">
      <c r="I8972" s="1"/>
      <c r="J8972" s="71"/>
      <c r="M8972" s="46"/>
      <c r="R8972" s="51"/>
      <c r="S8972" s="51"/>
    </row>
    <row r="8973" spans="9:19" x14ac:dyDescent="0.25">
      <c r="I8973" s="1"/>
      <c r="J8973" s="71"/>
      <c r="M8973" s="46"/>
      <c r="R8973" s="51"/>
      <c r="S8973" s="51"/>
    </row>
    <row r="8974" spans="9:19" x14ac:dyDescent="0.25">
      <c r="I8974" s="1"/>
      <c r="J8974" s="71"/>
      <c r="M8974" s="46"/>
      <c r="R8974" s="51"/>
      <c r="S8974" s="51"/>
    </row>
    <row r="8975" spans="9:19" x14ac:dyDescent="0.25">
      <c r="I8975" s="1"/>
      <c r="J8975" s="71"/>
      <c r="M8975" s="46"/>
      <c r="R8975" s="51"/>
      <c r="S8975" s="51"/>
    </row>
    <row r="8976" spans="9:19" x14ac:dyDescent="0.25">
      <c r="I8976" s="1"/>
      <c r="J8976" s="71"/>
      <c r="M8976" s="46"/>
      <c r="R8976" s="51"/>
      <c r="S8976" s="51"/>
    </row>
    <row r="8977" spans="9:19" x14ac:dyDescent="0.25">
      <c r="I8977" s="1"/>
      <c r="J8977" s="71"/>
      <c r="M8977" s="46"/>
      <c r="R8977" s="51"/>
      <c r="S8977" s="51"/>
    </row>
    <row r="8978" spans="9:19" x14ac:dyDescent="0.25">
      <c r="I8978" s="1"/>
      <c r="J8978" s="71"/>
      <c r="M8978" s="46"/>
      <c r="R8978" s="51"/>
      <c r="S8978" s="51"/>
    </row>
    <row r="8979" spans="9:19" x14ac:dyDescent="0.25">
      <c r="I8979" s="1"/>
      <c r="J8979" s="71"/>
      <c r="M8979" s="46"/>
      <c r="R8979" s="51"/>
      <c r="S8979" s="51"/>
    </row>
    <row r="8980" spans="9:19" x14ac:dyDescent="0.25">
      <c r="I8980" s="1"/>
      <c r="J8980" s="71"/>
      <c r="M8980" s="46"/>
      <c r="R8980" s="51"/>
      <c r="S8980" s="51"/>
    </row>
    <row r="8981" spans="9:19" x14ac:dyDescent="0.25">
      <c r="I8981" s="1"/>
      <c r="J8981" s="71"/>
      <c r="M8981" s="46"/>
      <c r="R8981" s="51"/>
      <c r="S8981" s="51"/>
    </row>
    <row r="8982" spans="9:19" x14ac:dyDescent="0.25">
      <c r="I8982" s="1"/>
      <c r="J8982" s="71"/>
      <c r="M8982" s="46"/>
      <c r="R8982" s="51"/>
      <c r="S8982" s="51"/>
    </row>
    <row r="8983" spans="9:19" x14ac:dyDescent="0.25">
      <c r="I8983" s="1"/>
      <c r="J8983" s="71"/>
      <c r="M8983" s="46"/>
      <c r="R8983" s="51"/>
      <c r="S8983" s="51"/>
    </row>
    <row r="8984" spans="9:19" x14ac:dyDescent="0.25">
      <c r="I8984" s="1"/>
      <c r="J8984" s="71"/>
      <c r="M8984" s="46"/>
      <c r="R8984" s="51"/>
      <c r="S8984" s="51"/>
    </row>
    <row r="8985" spans="9:19" x14ac:dyDescent="0.25">
      <c r="I8985" s="1"/>
      <c r="J8985" s="71"/>
      <c r="M8985" s="46"/>
      <c r="R8985" s="51"/>
      <c r="S8985" s="51"/>
    </row>
    <row r="8986" spans="9:19" x14ac:dyDescent="0.25">
      <c r="I8986" s="1"/>
      <c r="J8986" s="71"/>
      <c r="M8986" s="46"/>
      <c r="R8986" s="51"/>
      <c r="S8986" s="51"/>
    </row>
    <row r="8987" spans="9:19" x14ac:dyDescent="0.25">
      <c r="I8987" s="1"/>
      <c r="J8987" s="71"/>
      <c r="M8987" s="46"/>
      <c r="R8987" s="51"/>
      <c r="S8987" s="51"/>
    </row>
    <row r="8988" spans="9:19" x14ac:dyDescent="0.25">
      <c r="I8988" s="1"/>
      <c r="J8988" s="71"/>
      <c r="M8988" s="46"/>
      <c r="R8988" s="51"/>
      <c r="S8988" s="51"/>
    </row>
    <row r="8989" spans="9:19" x14ac:dyDescent="0.25">
      <c r="I8989" s="1"/>
      <c r="J8989" s="71"/>
      <c r="M8989" s="46"/>
      <c r="R8989" s="51"/>
      <c r="S8989" s="51"/>
    </row>
    <row r="8990" spans="9:19" x14ac:dyDescent="0.25">
      <c r="I8990" s="1"/>
      <c r="J8990" s="71"/>
      <c r="M8990" s="46"/>
      <c r="R8990" s="51"/>
      <c r="S8990" s="51"/>
    </row>
    <row r="8991" spans="9:19" x14ac:dyDescent="0.25">
      <c r="I8991" s="1"/>
      <c r="J8991" s="71"/>
      <c r="M8991" s="46"/>
      <c r="R8991" s="51"/>
      <c r="S8991" s="51"/>
    </row>
    <row r="8992" spans="9:19" x14ac:dyDescent="0.25">
      <c r="I8992" s="1"/>
      <c r="J8992" s="71"/>
      <c r="M8992" s="46"/>
      <c r="R8992" s="51"/>
      <c r="S8992" s="51"/>
    </row>
    <row r="8993" spans="9:19" x14ac:dyDescent="0.25">
      <c r="I8993" s="1"/>
      <c r="J8993" s="71"/>
      <c r="M8993" s="46"/>
      <c r="R8993" s="51"/>
      <c r="S8993" s="51"/>
    </row>
    <row r="8994" spans="9:19" x14ac:dyDescent="0.25">
      <c r="I8994" s="1"/>
      <c r="J8994" s="71"/>
      <c r="M8994" s="46"/>
      <c r="R8994" s="51"/>
      <c r="S8994" s="51"/>
    </row>
    <row r="8995" spans="9:19" x14ac:dyDescent="0.25">
      <c r="I8995" s="1"/>
      <c r="J8995" s="71"/>
      <c r="M8995" s="46"/>
      <c r="R8995" s="51"/>
      <c r="S8995" s="51"/>
    </row>
    <row r="8996" spans="9:19" x14ac:dyDescent="0.25">
      <c r="I8996" s="1"/>
      <c r="J8996" s="71"/>
      <c r="M8996" s="46"/>
      <c r="R8996" s="51"/>
      <c r="S8996" s="51"/>
    </row>
    <row r="8997" spans="9:19" x14ac:dyDescent="0.25">
      <c r="I8997" s="1"/>
      <c r="J8997" s="71"/>
      <c r="M8997" s="46"/>
      <c r="R8997" s="51"/>
      <c r="S8997" s="51"/>
    </row>
    <row r="8998" spans="9:19" x14ac:dyDescent="0.25">
      <c r="I8998" s="1"/>
      <c r="J8998" s="71"/>
      <c r="M8998" s="46"/>
      <c r="R8998" s="51"/>
      <c r="S8998" s="51"/>
    </row>
    <row r="8999" spans="9:19" x14ac:dyDescent="0.25">
      <c r="I8999" s="1"/>
      <c r="J8999" s="71"/>
      <c r="M8999" s="46"/>
      <c r="R8999" s="51"/>
      <c r="S8999" s="51"/>
    </row>
    <row r="9000" spans="9:19" x14ac:dyDescent="0.25">
      <c r="I9000" s="1"/>
      <c r="J9000" s="71"/>
      <c r="M9000" s="46"/>
      <c r="R9000" s="51"/>
      <c r="S9000" s="51"/>
    </row>
    <row r="9001" spans="9:19" x14ac:dyDescent="0.25">
      <c r="I9001" s="1"/>
      <c r="J9001" s="71"/>
      <c r="M9001" s="46"/>
      <c r="R9001" s="51"/>
      <c r="S9001" s="51"/>
    </row>
    <row r="9002" spans="9:19" x14ac:dyDescent="0.25">
      <c r="I9002" s="1"/>
      <c r="J9002" s="71"/>
      <c r="M9002" s="46"/>
      <c r="R9002" s="51"/>
      <c r="S9002" s="51"/>
    </row>
    <row r="9003" spans="9:19" x14ac:dyDescent="0.25">
      <c r="I9003" s="1"/>
      <c r="J9003" s="71"/>
      <c r="M9003" s="46"/>
      <c r="R9003" s="51"/>
      <c r="S9003" s="51"/>
    </row>
    <row r="9004" spans="9:19" x14ac:dyDescent="0.25">
      <c r="I9004" s="1"/>
      <c r="J9004" s="71"/>
      <c r="M9004" s="46"/>
      <c r="R9004" s="51"/>
      <c r="S9004" s="51"/>
    </row>
    <row r="9005" spans="9:19" x14ac:dyDescent="0.25">
      <c r="I9005" s="1"/>
      <c r="J9005" s="71"/>
      <c r="M9005" s="46"/>
      <c r="R9005" s="51"/>
      <c r="S9005" s="51"/>
    </row>
    <row r="9006" spans="9:19" x14ac:dyDescent="0.25">
      <c r="I9006" s="1"/>
      <c r="J9006" s="71"/>
      <c r="M9006" s="46"/>
      <c r="R9006" s="51"/>
      <c r="S9006" s="51"/>
    </row>
    <row r="9007" spans="9:19" x14ac:dyDescent="0.25">
      <c r="I9007" s="1"/>
      <c r="J9007" s="71"/>
      <c r="M9007" s="46"/>
      <c r="R9007" s="51"/>
      <c r="S9007" s="51"/>
    </row>
    <row r="9008" spans="9:19" x14ac:dyDescent="0.25">
      <c r="I9008" s="1"/>
      <c r="J9008" s="71"/>
      <c r="M9008" s="46"/>
      <c r="R9008" s="51"/>
      <c r="S9008" s="51"/>
    </row>
    <row r="9009" spans="9:19" x14ac:dyDescent="0.25">
      <c r="I9009" s="1"/>
      <c r="J9009" s="71"/>
      <c r="M9009" s="46"/>
      <c r="R9009" s="51"/>
      <c r="S9009" s="51"/>
    </row>
    <row r="9010" spans="9:19" x14ac:dyDescent="0.25">
      <c r="I9010" s="1"/>
      <c r="J9010" s="71"/>
      <c r="M9010" s="46"/>
      <c r="R9010" s="51"/>
      <c r="S9010" s="51"/>
    </row>
    <row r="9011" spans="9:19" x14ac:dyDescent="0.25">
      <c r="I9011" s="1"/>
      <c r="J9011" s="71"/>
      <c r="M9011" s="46"/>
      <c r="R9011" s="51"/>
      <c r="S9011" s="51"/>
    </row>
    <row r="9012" spans="9:19" x14ac:dyDescent="0.25">
      <c r="I9012" s="1"/>
      <c r="J9012" s="71"/>
      <c r="M9012" s="46"/>
      <c r="R9012" s="51"/>
      <c r="S9012" s="51"/>
    </row>
    <row r="9013" spans="9:19" x14ac:dyDescent="0.25">
      <c r="I9013" s="1"/>
      <c r="J9013" s="71"/>
      <c r="M9013" s="46"/>
      <c r="R9013" s="51"/>
      <c r="S9013" s="51"/>
    </row>
    <row r="9014" spans="9:19" x14ac:dyDescent="0.25">
      <c r="I9014" s="1"/>
      <c r="J9014" s="71"/>
      <c r="M9014" s="46"/>
      <c r="R9014" s="51"/>
      <c r="S9014" s="51"/>
    </row>
    <row r="9015" spans="9:19" x14ac:dyDescent="0.25">
      <c r="I9015" s="1"/>
      <c r="J9015" s="71"/>
      <c r="M9015" s="46"/>
      <c r="R9015" s="51"/>
      <c r="S9015" s="51"/>
    </row>
    <row r="9016" spans="9:19" x14ac:dyDescent="0.25">
      <c r="I9016" s="1"/>
      <c r="J9016" s="71"/>
      <c r="M9016" s="46"/>
      <c r="R9016" s="51"/>
      <c r="S9016" s="51"/>
    </row>
    <row r="9017" spans="9:19" x14ac:dyDescent="0.25">
      <c r="I9017" s="1"/>
      <c r="J9017" s="71"/>
      <c r="M9017" s="46"/>
      <c r="R9017" s="51"/>
      <c r="S9017" s="51"/>
    </row>
    <row r="9018" spans="9:19" x14ac:dyDescent="0.25">
      <c r="I9018" s="1"/>
      <c r="J9018" s="71"/>
      <c r="M9018" s="46"/>
      <c r="R9018" s="51"/>
      <c r="S9018" s="51"/>
    </row>
    <row r="9019" spans="9:19" x14ac:dyDescent="0.25">
      <c r="I9019" s="1"/>
      <c r="J9019" s="71"/>
      <c r="M9019" s="46"/>
      <c r="R9019" s="51"/>
      <c r="S9019" s="51"/>
    </row>
    <row r="9020" spans="9:19" x14ac:dyDescent="0.25">
      <c r="I9020" s="1"/>
      <c r="J9020" s="71"/>
      <c r="M9020" s="46"/>
      <c r="R9020" s="51"/>
      <c r="S9020" s="51"/>
    </row>
    <row r="9021" spans="9:19" x14ac:dyDescent="0.25">
      <c r="I9021" s="1"/>
      <c r="J9021" s="71"/>
      <c r="M9021" s="46"/>
      <c r="R9021" s="51"/>
      <c r="S9021" s="51"/>
    </row>
    <row r="9022" spans="9:19" x14ac:dyDescent="0.25">
      <c r="I9022" s="1"/>
      <c r="J9022" s="71"/>
      <c r="M9022" s="46"/>
      <c r="R9022" s="51"/>
      <c r="S9022" s="51"/>
    </row>
    <row r="9023" spans="9:19" x14ac:dyDescent="0.25">
      <c r="I9023" s="1"/>
      <c r="J9023" s="71"/>
      <c r="M9023" s="46"/>
      <c r="R9023" s="51"/>
      <c r="S9023" s="51"/>
    </row>
    <row r="9024" spans="9:19" x14ac:dyDescent="0.25">
      <c r="I9024" s="1"/>
      <c r="J9024" s="71"/>
      <c r="M9024" s="46"/>
      <c r="R9024" s="51"/>
      <c r="S9024" s="51"/>
    </row>
    <row r="9025" spans="9:19" x14ac:dyDescent="0.25">
      <c r="I9025" s="1"/>
      <c r="J9025" s="71"/>
      <c r="M9025" s="46"/>
      <c r="R9025" s="51"/>
      <c r="S9025" s="51"/>
    </row>
    <row r="9026" spans="9:19" x14ac:dyDescent="0.25">
      <c r="I9026" s="1"/>
      <c r="J9026" s="71"/>
      <c r="M9026" s="46"/>
      <c r="R9026" s="51"/>
      <c r="S9026" s="51"/>
    </row>
    <row r="9027" spans="9:19" x14ac:dyDescent="0.25">
      <c r="I9027" s="1"/>
      <c r="J9027" s="71"/>
      <c r="M9027" s="46"/>
      <c r="R9027" s="51"/>
      <c r="S9027" s="51"/>
    </row>
    <row r="9028" spans="9:19" x14ac:dyDescent="0.25">
      <c r="I9028" s="1"/>
      <c r="J9028" s="71"/>
      <c r="M9028" s="46"/>
      <c r="R9028" s="51"/>
      <c r="S9028" s="51"/>
    </row>
    <row r="9029" spans="9:19" x14ac:dyDescent="0.25">
      <c r="I9029" s="1"/>
      <c r="J9029" s="71"/>
      <c r="M9029" s="46"/>
      <c r="R9029" s="51"/>
      <c r="S9029" s="51"/>
    </row>
    <row r="9030" spans="9:19" x14ac:dyDescent="0.25">
      <c r="I9030" s="1"/>
      <c r="J9030" s="71"/>
      <c r="M9030" s="46"/>
      <c r="R9030" s="51"/>
      <c r="S9030" s="51"/>
    </row>
    <row r="9031" spans="9:19" x14ac:dyDescent="0.25">
      <c r="I9031" s="1"/>
      <c r="J9031" s="71"/>
      <c r="M9031" s="46"/>
      <c r="R9031" s="51"/>
      <c r="S9031" s="51"/>
    </row>
    <row r="9032" spans="9:19" x14ac:dyDescent="0.25">
      <c r="I9032" s="1"/>
      <c r="J9032" s="71"/>
      <c r="M9032" s="46"/>
      <c r="R9032" s="51"/>
      <c r="S9032" s="51"/>
    </row>
    <row r="9033" spans="9:19" x14ac:dyDescent="0.25">
      <c r="I9033" s="1"/>
      <c r="J9033" s="71"/>
      <c r="M9033" s="46"/>
      <c r="R9033" s="51"/>
      <c r="S9033" s="51"/>
    </row>
    <row r="9034" spans="9:19" x14ac:dyDescent="0.25">
      <c r="I9034" s="1"/>
      <c r="J9034" s="71"/>
      <c r="M9034" s="46"/>
      <c r="R9034" s="51"/>
      <c r="S9034" s="51"/>
    </row>
    <row r="9035" spans="9:19" x14ac:dyDescent="0.25">
      <c r="I9035" s="1"/>
      <c r="J9035" s="71"/>
      <c r="M9035" s="46"/>
      <c r="R9035" s="51"/>
      <c r="S9035" s="51"/>
    </row>
    <row r="9036" spans="9:19" x14ac:dyDescent="0.25">
      <c r="I9036" s="1"/>
      <c r="J9036" s="71"/>
      <c r="M9036" s="46"/>
      <c r="R9036" s="51"/>
      <c r="S9036" s="51"/>
    </row>
    <row r="9037" spans="9:19" x14ac:dyDescent="0.25">
      <c r="I9037" s="1"/>
      <c r="J9037" s="71"/>
      <c r="M9037" s="46"/>
      <c r="R9037" s="51"/>
      <c r="S9037" s="51"/>
    </row>
    <row r="9038" spans="9:19" x14ac:dyDescent="0.25">
      <c r="I9038" s="1"/>
      <c r="J9038" s="71"/>
      <c r="M9038" s="46"/>
      <c r="R9038" s="51"/>
      <c r="S9038" s="51"/>
    </row>
    <row r="9039" spans="9:19" x14ac:dyDescent="0.25">
      <c r="I9039" s="1"/>
      <c r="J9039" s="71"/>
      <c r="M9039" s="46"/>
      <c r="R9039" s="51"/>
      <c r="S9039" s="51"/>
    </row>
    <row r="9040" spans="9:19" x14ac:dyDescent="0.25">
      <c r="I9040" s="1"/>
      <c r="J9040" s="71"/>
      <c r="M9040" s="46"/>
      <c r="R9040" s="51"/>
      <c r="S9040" s="51"/>
    </row>
    <row r="9041" spans="9:19" x14ac:dyDescent="0.25">
      <c r="I9041" s="1"/>
      <c r="J9041" s="71"/>
      <c r="M9041" s="46"/>
      <c r="R9041" s="51"/>
      <c r="S9041" s="51"/>
    </row>
    <row r="9042" spans="9:19" x14ac:dyDescent="0.25">
      <c r="I9042" s="1"/>
      <c r="J9042" s="71"/>
      <c r="M9042" s="46"/>
      <c r="R9042" s="51"/>
      <c r="S9042" s="51"/>
    </row>
    <row r="9043" spans="9:19" x14ac:dyDescent="0.25">
      <c r="I9043" s="1"/>
      <c r="J9043" s="71"/>
      <c r="M9043" s="46"/>
      <c r="R9043" s="51"/>
      <c r="S9043" s="51"/>
    </row>
    <row r="9044" spans="9:19" x14ac:dyDescent="0.25">
      <c r="I9044" s="1"/>
      <c r="J9044" s="71"/>
      <c r="M9044" s="46"/>
      <c r="R9044" s="51"/>
      <c r="S9044" s="51"/>
    </row>
    <row r="9045" spans="9:19" x14ac:dyDescent="0.25">
      <c r="I9045" s="1"/>
      <c r="J9045" s="71"/>
      <c r="M9045" s="46"/>
      <c r="R9045" s="51"/>
      <c r="S9045" s="51"/>
    </row>
    <row r="9046" spans="9:19" x14ac:dyDescent="0.25">
      <c r="I9046" s="1"/>
      <c r="J9046" s="71"/>
      <c r="M9046" s="46"/>
      <c r="R9046" s="51"/>
      <c r="S9046" s="51"/>
    </row>
    <row r="9047" spans="9:19" x14ac:dyDescent="0.25">
      <c r="I9047" s="1"/>
      <c r="J9047" s="71"/>
      <c r="M9047" s="46"/>
      <c r="R9047" s="51"/>
      <c r="S9047" s="51"/>
    </row>
    <row r="9048" spans="9:19" x14ac:dyDescent="0.25">
      <c r="I9048" s="1"/>
      <c r="J9048" s="71"/>
      <c r="M9048" s="46"/>
      <c r="R9048" s="51"/>
      <c r="S9048" s="51"/>
    </row>
    <row r="9049" spans="9:19" x14ac:dyDescent="0.25">
      <c r="I9049" s="1"/>
      <c r="J9049" s="71"/>
      <c r="M9049" s="46"/>
      <c r="R9049" s="51"/>
      <c r="S9049" s="51"/>
    </row>
    <row r="9050" spans="9:19" x14ac:dyDescent="0.25">
      <c r="I9050" s="1"/>
      <c r="J9050" s="71"/>
      <c r="M9050" s="46"/>
      <c r="R9050" s="51"/>
      <c r="S9050" s="51"/>
    </row>
    <row r="9051" spans="9:19" x14ac:dyDescent="0.25">
      <c r="I9051" s="1"/>
      <c r="J9051" s="71"/>
      <c r="M9051" s="46"/>
      <c r="R9051" s="51"/>
      <c r="S9051" s="51"/>
    </row>
    <row r="9052" spans="9:19" x14ac:dyDescent="0.25">
      <c r="I9052" s="1"/>
      <c r="J9052" s="71"/>
      <c r="M9052" s="46"/>
      <c r="R9052" s="51"/>
      <c r="S9052" s="51"/>
    </row>
    <row r="9053" spans="9:19" x14ac:dyDescent="0.25">
      <c r="I9053" s="1"/>
      <c r="J9053" s="71"/>
      <c r="M9053" s="46"/>
      <c r="R9053" s="51"/>
      <c r="S9053" s="51"/>
    </row>
    <row r="9054" spans="9:19" x14ac:dyDescent="0.25">
      <c r="I9054" s="1"/>
      <c r="J9054" s="71"/>
      <c r="M9054" s="46"/>
      <c r="R9054" s="51"/>
      <c r="S9054" s="51"/>
    </row>
    <row r="9055" spans="9:19" x14ac:dyDescent="0.25">
      <c r="I9055" s="1"/>
      <c r="J9055" s="71"/>
      <c r="M9055" s="46"/>
      <c r="R9055" s="51"/>
      <c r="S9055" s="51"/>
    </row>
    <row r="9056" spans="9:19" x14ac:dyDescent="0.25">
      <c r="I9056" s="1"/>
      <c r="J9056" s="71"/>
      <c r="M9056" s="46"/>
      <c r="R9056" s="51"/>
      <c r="S9056" s="51"/>
    </row>
    <row r="9057" spans="9:19" x14ac:dyDescent="0.25">
      <c r="I9057" s="1"/>
      <c r="J9057" s="71"/>
      <c r="M9057" s="46"/>
      <c r="R9057" s="51"/>
      <c r="S9057" s="51"/>
    </row>
    <row r="9058" spans="9:19" x14ac:dyDescent="0.25">
      <c r="I9058" s="1"/>
      <c r="J9058" s="71"/>
      <c r="M9058" s="46"/>
      <c r="R9058" s="51"/>
      <c r="S9058" s="51"/>
    </row>
    <row r="9059" spans="9:19" x14ac:dyDescent="0.25">
      <c r="I9059" s="1"/>
      <c r="J9059" s="71"/>
      <c r="M9059" s="46"/>
      <c r="R9059" s="51"/>
      <c r="S9059" s="51"/>
    </row>
    <row r="9060" spans="9:19" x14ac:dyDescent="0.25">
      <c r="I9060" s="1"/>
      <c r="J9060" s="71"/>
      <c r="M9060" s="46"/>
      <c r="R9060" s="51"/>
      <c r="S9060" s="51"/>
    </row>
    <row r="9061" spans="9:19" x14ac:dyDescent="0.25">
      <c r="I9061" s="1"/>
      <c r="J9061" s="71"/>
      <c r="M9061" s="46"/>
      <c r="R9061" s="51"/>
      <c r="S9061" s="51"/>
    </row>
    <row r="9062" spans="9:19" x14ac:dyDescent="0.25">
      <c r="I9062" s="1"/>
      <c r="J9062" s="71"/>
      <c r="M9062" s="46"/>
      <c r="R9062" s="51"/>
      <c r="S9062" s="51"/>
    </row>
    <row r="9063" spans="9:19" x14ac:dyDescent="0.25">
      <c r="I9063" s="1"/>
      <c r="J9063" s="71"/>
      <c r="M9063" s="46"/>
      <c r="R9063" s="51"/>
      <c r="S9063" s="51"/>
    </row>
    <row r="9064" spans="9:19" x14ac:dyDescent="0.25">
      <c r="I9064" s="1"/>
      <c r="J9064" s="71"/>
      <c r="M9064" s="46"/>
      <c r="R9064" s="51"/>
      <c r="S9064" s="51"/>
    </row>
    <row r="9065" spans="9:19" x14ac:dyDescent="0.25">
      <c r="I9065" s="1"/>
      <c r="J9065" s="71"/>
      <c r="M9065" s="46"/>
      <c r="R9065" s="51"/>
      <c r="S9065" s="51"/>
    </row>
    <row r="9066" spans="9:19" x14ac:dyDescent="0.25">
      <c r="I9066" s="1"/>
      <c r="J9066" s="71"/>
      <c r="M9066" s="46"/>
      <c r="R9066" s="51"/>
      <c r="S9066" s="51"/>
    </row>
    <row r="9067" spans="9:19" x14ac:dyDescent="0.25">
      <c r="I9067" s="1"/>
      <c r="J9067" s="71"/>
      <c r="M9067" s="46"/>
      <c r="R9067" s="51"/>
      <c r="S9067" s="51"/>
    </row>
    <row r="9068" spans="9:19" x14ac:dyDescent="0.25">
      <c r="I9068" s="1"/>
      <c r="J9068" s="71"/>
      <c r="M9068" s="46"/>
      <c r="R9068" s="51"/>
      <c r="S9068" s="51"/>
    </row>
    <row r="9069" spans="9:19" x14ac:dyDescent="0.25">
      <c r="I9069" s="1"/>
      <c r="J9069" s="71"/>
      <c r="M9069" s="46"/>
      <c r="R9069" s="51"/>
      <c r="S9069" s="51"/>
    </row>
    <row r="9070" spans="9:19" x14ac:dyDescent="0.25">
      <c r="I9070" s="1"/>
      <c r="J9070" s="71"/>
      <c r="M9070" s="46"/>
      <c r="R9070" s="51"/>
      <c r="S9070" s="51"/>
    </row>
    <row r="9071" spans="9:19" x14ac:dyDescent="0.25">
      <c r="I9071" s="1"/>
      <c r="J9071" s="71"/>
      <c r="M9071" s="46"/>
      <c r="R9071" s="51"/>
      <c r="S9071" s="51"/>
    </row>
    <row r="9072" spans="9:19" x14ac:dyDescent="0.25">
      <c r="I9072" s="1"/>
      <c r="J9072" s="71"/>
      <c r="M9072" s="46"/>
      <c r="R9072" s="51"/>
      <c r="S9072" s="51"/>
    </row>
    <row r="9073" spans="9:19" x14ac:dyDescent="0.25">
      <c r="I9073" s="1"/>
      <c r="J9073" s="71"/>
      <c r="M9073" s="46"/>
      <c r="R9073" s="51"/>
      <c r="S9073" s="51"/>
    </row>
    <row r="9074" spans="9:19" x14ac:dyDescent="0.25">
      <c r="I9074" s="1"/>
      <c r="J9074" s="71"/>
      <c r="M9074" s="46"/>
      <c r="R9074" s="51"/>
      <c r="S9074" s="51"/>
    </row>
    <row r="9075" spans="9:19" x14ac:dyDescent="0.25">
      <c r="I9075" s="1"/>
      <c r="J9075" s="71"/>
      <c r="M9075" s="46"/>
      <c r="R9075" s="51"/>
      <c r="S9075" s="51"/>
    </row>
    <row r="9076" spans="9:19" x14ac:dyDescent="0.25">
      <c r="I9076" s="1"/>
      <c r="J9076" s="71"/>
      <c r="M9076" s="46"/>
      <c r="R9076" s="51"/>
      <c r="S9076" s="51"/>
    </row>
    <row r="9077" spans="9:19" x14ac:dyDescent="0.25">
      <c r="I9077" s="1"/>
      <c r="J9077" s="71"/>
      <c r="M9077" s="46"/>
      <c r="R9077" s="51"/>
      <c r="S9077" s="51"/>
    </row>
    <row r="9078" spans="9:19" x14ac:dyDescent="0.25">
      <c r="I9078" s="1"/>
      <c r="J9078" s="71"/>
      <c r="M9078" s="46"/>
      <c r="R9078" s="51"/>
      <c r="S9078" s="51"/>
    </row>
    <row r="9079" spans="9:19" x14ac:dyDescent="0.25">
      <c r="I9079" s="1"/>
      <c r="J9079" s="71"/>
      <c r="M9079" s="46"/>
      <c r="R9079" s="51"/>
      <c r="S9079" s="51"/>
    </row>
    <row r="9080" spans="9:19" x14ac:dyDescent="0.25">
      <c r="I9080" s="1"/>
      <c r="J9080" s="71"/>
      <c r="M9080" s="46"/>
      <c r="R9080" s="51"/>
      <c r="S9080" s="51"/>
    </row>
    <row r="9081" spans="9:19" x14ac:dyDescent="0.25">
      <c r="I9081" s="1"/>
      <c r="J9081" s="71"/>
      <c r="M9081" s="46"/>
      <c r="R9081" s="51"/>
      <c r="S9081" s="51"/>
    </row>
    <row r="9082" spans="9:19" x14ac:dyDescent="0.25">
      <c r="I9082" s="1"/>
      <c r="J9082" s="71"/>
      <c r="M9082" s="46"/>
      <c r="R9082" s="51"/>
      <c r="S9082" s="51"/>
    </row>
    <row r="9083" spans="9:19" x14ac:dyDescent="0.25">
      <c r="I9083" s="1"/>
      <c r="J9083" s="71"/>
      <c r="M9083" s="46"/>
      <c r="R9083" s="51"/>
      <c r="S9083" s="51"/>
    </row>
    <row r="9084" spans="9:19" x14ac:dyDescent="0.25">
      <c r="I9084" s="1"/>
      <c r="J9084" s="71"/>
      <c r="M9084" s="46"/>
      <c r="R9084" s="51"/>
      <c r="S9084" s="51"/>
    </row>
    <row r="9085" spans="9:19" x14ac:dyDescent="0.25">
      <c r="I9085" s="1"/>
      <c r="J9085" s="71"/>
      <c r="M9085" s="46"/>
      <c r="R9085" s="51"/>
      <c r="S9085" s="51"/>
    </row>
    <row r="9086" spans="9:19" x14ac:dyDescent="0.25">
      <c r="I9086" s="1"/>
      <c r="J9086" s="71"/>
      <c r="M9086" s="46"/>
      <c r="R9086" s="51"/>
      <c r="S9086" s="51"/>
    </row>
    <row r="9087" spans="9:19" x14ac:dyDescent="0.25">
      <c r="I9087" s="1"/>
      <c r="J9087" s="71"/>
      <c r="M9087" s="46"/>
      <c r="R9087" s="51"/>
      <c r="S9087" s="51"/>
    </row>
    <row r="9088" spans="9:19" x14ac:dyDescent="0.25">
      <c r="I9088" s="1"/>
      <c r="J9088" s="71"/>
      <c r="M9088" s="46"/>
      <c r="R9088" s="51"/>
      <c r="S9088" s="51"/>
    </row>
    <row r="9089" spans="9:19" x14ac:dyDescent="0.25">
      <c r="I9089" s="1"/>
      <c r="J9089" s="71"/>
      <c r="M9089" s="46"/>
      <c r="R9089" s="51"/>
      <c r="S9089" s="51"/>
    </row>
    <row r="9090" spans="9:19" x14ac:dyDescent="0.25">
      <c r="I9090" s="1"/>
      <c r="J9090" s="71"/>
      <c r="M9090" s="46"/>
      <c r="R9090" s="51"/>
      <c r="S9090" s="51"/>
    </row>
    <row r="9091" spans="9:19" x14ac:dyDescent="0.25">
      <c r="I9091" s="1"/>
      <c r="J9091" s="71"/>
      <c r="M9091" s="46"/>
      <c r="R9091" s="51"/>
      <c r="S9091" s="51"/>
    </row>
    <row r="9092" spans="9:19" x14ac:dyDescent="0.25">
      <c r="I9092" s="1"/>
      <c r="J9092" s="71"/>
      <c r="M9092" s="46"/>
      <c r="R9092" s="51"/>
      <c r="S9092" s="51"/>
    </row>
    <row r="9093" spans="9:19" x14ac:dyDescent="0.25">
      <c r="I9093" s="1"/>
      <c r="J9093" s="71"/>
      <c r="M9093" s="46"/>
      <c r="R9093" s="51"/>
      <c r="S9093" s="51"/>
    </row>
    <row r="9094" spans="9:19" x14ac:dyDescent="0.25">
      <c r="I9094" s="1"/>
      <c r="J9094" s="71"/>
      <c r="M9094" s="46"/>
      <c r="R9094" s="51"/>
      <c r="S9094" s="51"/>
    </row>
    <row r="9095" spans="9:19" x14ac:dyDescent="0.25">
      <c r="I9095" s="1"/>
      <c r="J9095" s="71"/>
      <c r="M9095" s="46"/>
      <c r="R9095" s="51"/>
      <c r="S9095" s="51"/>
    </row>
    <row r="9096" spans="9:19" x14ac:dyDescent="0.25">
      <c r="I9096" s="1"/>
      <c r="J9096" s="71"/>
      <c r="M9096" s="46"/>
      <c r="R9096" s="51"/>
      <c r="S9096" s="51"/>
    </row>
    <row r="9097" spans="9:19" x14ac:dyDescent="0.25">
      <c r="I9097" s="1"/>
      <c r="J9097" s="71"/>
      <c r="M9097" s="46"/>
      <c r="R9097" s="51"/>
      <c r="S9097" s="51"/>
    </row>
    <row r="9098" spans="9:19" x14ac:dyDescent="0.25">
      <c r="I9098" s="1"/>
      <c r="J9098" s="71"/>
      <c r="M9098" s="46"/>
      <c r="R9098" s="51"/>
      <c r="S9098" s="51"/>
    </row>
    <row r="9099" spans="9:19" x14ac:dyDescent="0.25">
      <c r="I9099" s="1"/>
      <c r="J9099" s="71"/>
      <c r="M9099" s="46"/>
      <c r="R9099" s="51"/>
      <c r="S9099" s="51"/>
    </row>
    <row r="9100" spans="9:19" x14ac:dyDescent="0.25">
      <c r="I9100" s="1"/>
      <c r="J9100" s="71"/>
      <c r="M9100" s="46"/>
      <c r="R9100" s="51"/>
      <c r="S9100" s="51"/>
    </row>
    <row r="9101" spans="9:19" x14ac:dyDescent="0.25">
      <c r="I9101" s="1"/>
      <c r="J9101" s="71"/>
      <c r="M9101" s="46"/>
      <c r="R9101" s="51"/>
      <c r="S9101" s="51"/>
    </row>
    <row r="9102" spans="9:19" x14ac:dyDescent="0.25">
      <c r="I9102" s="1"/>
      <c r="J9102" s="71"/>
      <c r="M9102" s="46"/>
      <c r="R9102" s="51"/>
      <c r="S9102" s="51"/>
    </row>
    <row r="9103" spans="9:19" x14ac:dyDescent="0.25">
      <c r="I9103" s="1"/>
      <c r="J9103" s="71"/>
      <c r="M9103" s="46"/>
      <c r="R9103" s="51"/>
      <c r="S9103" s="51"/>
    </row>
    <row r="9104" spans="9:19" x14ac:dyDescent="0.25">
      <c r="I9104" s="1"/>
      <c r="J9104" s="71"/>
      <c r="M9104" s="46"/>
      <c r="R9104" s="51"/>
      <c r="S9104" s="51"/>
    </row>
    <row r="9105" spans="9:19" x14ac:dyDescent="0.25">
      <c r="I9105" s="1"/>
      <c r="J9105" s="71"/>
      <c r="M9105" s="46"/>
      <c r="R9105" s="51"/>
      <c r="S9105" s="51"/>
    </row>
    <row r="9106" spans="9:19" x14ac:dyDescent="0.25">
      <c r="I9106" s="1"/>
      <c r="J9106" s="71"/>
      <c r="M9106" s="46"/>
      <c r="R9106" s="51"/>
      <c r="S9106" s="51"/>
    </row>
    <row r="9107" spans="9:19" x14ac:dyDescent="0.25">
      <c r="I9107" s="1"/>
      <c r="J9107" s="71"/>
      <c r="M9107" s="46"/>
      <c r="R9107" s="51"/>
      <c r="S9107" s="51"/>
    </row>
    <row r="9108" spans="9:19" x14ac:dyDescent="0.25">
      <c r="I9108" s="1"/>
      <c r="J9108" s="71"/>
      <c r="M9108" s="46"/>
      <c r="R9108" s="51"/>
      <c r="S9108" s="51"/>
    </row>
    <row r="9109" spans="9:19" x14ac:dyDescent="0.25">
      <c r="I9109" s="1"/>
      <c r="J9109" s="71"/>
      <c r="M9109" s="46"/>
      <c r="R9109" s="51"/>
      <c r="S9109" s="51"/>
    </row>
    <row r="9110" spans="9:19" x14ac:dyDescent="0.25">
      <c r="I9110" s="1"/>
      <c r="J9110" s="71"/>
      <c r="M9110" s="46"/>
      <c r="R9110" s="51"/>
      <c r="S9110" s="51"/>
    </row>
    <row r="9111" spans="9:19" x14ac:dyDescent="0.25">
      <c r="I9111" s="1"/>
      <c r="J9111" s="71"/>
      <c r="M9111" s="46"/>
      <c r="R9111" s="51"/>
      <c r="S9111" s="51"/>
    </row>
    <row r="9112" spans="9:19" x14ac:dyDescent="0.25">
      <c r="I9112" s="1"/>
      <c r="J9112" s="71"/>
      <c r="M9112" s="46"/>
      <c r="R9112" s="51"/>
      <c r="S9112" s="51"/>
    </row>
    <row r="9113" spans="9:19" x14ac:dyDescent="0.25">
      <c r="I9113" s="1"/>
      <c r="J9113" s="71"/>
      <c r="M9113" s="46"/>
      <c r="R9113" s="51"/>
      <c r="S9113" s="51"/>
    </row>
    <row r="9114" spans="9:19" x14ac:dyDescent="0.25">
      <c r="I9114" s="1"/>
      <c r="J9114" s="71"/>
      <c r="M9114" s="46"/>
      <c r="R9114" s="51"/>
      <c r="S9114" s="51"/>
    </row>
    <row r="9115" spans="9:19" x14ac:dyDescent="0.25">
      <c r="I9115" s="1"/>
      <c r="J9115" s="71"/>
      <c r="M9115" s="46"/>
      <c r="R9115" s="51"/>
      <c r="S9115" s="51"/>
    </row>
    <row r="9116" spans="9:19" x14ac:dyDescent="0.25">
      <c r="I9116" s="1"/>
      <c r="J9116" s="71"/>
      <c r="M9116" s="46"/>
      <c r="R9116" s="51"/>
      <c r="S9116" s="51"/>
    </row>
    <row r="9117" spans="9:19" x14ac:dyDescent="0.25">
      <c r="I9117" s="1"/>
      <c r="J9117" s="71"/>
      <c r="M9117" s="46"/>
      <c r="R9117" s="51"/>
      <c r="S9117" s="51"/>
    </row>
    <row r="9118" spans="9:19" x14ac:dyDescent="0.25">
      <c r="I9118" s="1"/>
      <c r="J9118" s="71"/>
      <c r="M9118" s="46"/>
      <c r="R9118" s="51"/>
      <c r="S9118" s="51"/>
    </row>
    <row r="9119" spans="9:19" x14ac:dyDescent="0.25">
      <c r="I9119" s="1"/>
      <c r="J9119" s="71"/>
      <c r="M9119" s="46"/>
      <c r="R9119" s="51"/>
      <c r="S9119" s="51"/>
    </row>
    <row r="9120" spans="9:19" x14ac:dyDescent="0.25">
      <c r="I9120" s="1"/>
      <c r="J9120" s="71"/>
      <c r="M9120" s="46"/>
      <c r="R9120" s="51"/>
      <c r="S9120" s="51"/>
    </row>
    <row r="9121" spans="9:19" x14ac:dyDescent="0.25">
      <c r="I9121" s="1"/>
      <c r="J9121" s="71"/>
      <c r="M9121" s="46"/>
      <c r="R9121" s="51"/>
      <c r="S9121" s="51"/>
    </row>
    <row r="9122" spans="9:19" x14ac:dyDescent="0.25">
      <c r="I9122" s="1"/>
      <c r="J9122" s="71"/>
      <c r="M9122" s="46"/>
      <c r="R9122" s="51"/>
      <c r="S9122" s="51"/>
    </row>
    <row r="9123" spans="9:19" x14ac:dyDescent="0.25">
      <c r="I9123" s="1"/>
      <c r="J9123" s="71"/>
      <c r="M9123" s="46"/>
      <c r="R9123" s="51"/>
      <c r="S9123" s="51"/>
    </row>
    <row r="9124" spans="9:19" x14ac:dyDescent="0.25">
      <c r="I9124" s="1"/>
      <c r="J9124" s="71"/>
      <c r="M9124" s="46"/>
      <c r="R9124" s="51"/>
      <c r="S9124" s="51"/>
    </row>
    <row r="9125" spans="9:19" x14ac:dyDescent="0.25">
      <c r="I9125" s="1"/>
      <c r="J9125" s="71"/>
      <c r="M9125" s="46"/>
      <c r="R9125" s="51"/>
      <c r="S9125" s="51"/>
    </row>
    <row r="9126" spans="9:19" x14ac:dyDescent="0.25">
      <c r="I9126" s="1"/>
      <c r="J9126" s="71"/>
      <c r="M9126" s="46"/>
      <c r="R9126" s="51"/>
      <c r="S9126" s="51"/>
    </row>
    <row r="9127" spans="9:19" x14ac:dyDescent="0.25">
      <c r="I9127" s="1"/>
      <c r="J9127" s="71"/>
      <c r="M9127" s="46"/>
      <c r="R9127" s="51"/>
      <c r="S9127" s="51"/>
    </row>
    <row r="9128" spans="9:19" x14ac:dyDescent="0.25">
      <c r="I9128" s="1"/>
      <c r="J9128" s="71"/>
      <c r="M9128" s="46"/>
      <c r="R9128" s="51"/>
      <c r="S9128" s="51"/>
    </row>
    <row r="9129" spans="9:19" x14ac:dyDescent="0.25">
      <c r="I9129" s="1"/>
      <c r="J9129" s="71"/>
      <c r="M9129" s="46"/>
      <c r="R9129" s="51"/>
      <c r="S9129" s="51"/>
    </row>
    <row r="9130" spans="9:19" x14ac:dyDescent="0.25">
      <c r="I9130" s="1"/>
      <c r="J9130" s="71"/>
      <c r="M9130" s="46"/>
      <c r="R9130" s="51"/>
      <c r="S9130" s="51"/>
    </row>
    <row r="9131" spans="9:19" x14ac:dyDescent="0.25">
      <c r="I9131" s="1"/>
      <c r="J9131" s="71"/>
      <c r="M9131" s="46"/>
      <c r="R9131" s="51"/>
      <c r="S9131" s="51"/>
    </row>
    <row r="9132" spans="9:19" x14ac:dyDescent="0.25">
      <c r="I9132" s="1"/>
      <c r="J9132" s="71"/>
      <c r="M9132" s="46"/>
      <c r="R9132" s="51"/>
      <c r="S9132" s="51"/>
    </row>
    <row r="9133" spans="9:19" x14ac:dyDescent="0.25">
      <c r="I9133" s="1"/>
      <c r="J9133" s="71"/>
      <c r="M9133" s="46"/>
      <c r="R9133" s="51"/>
      <c r="S9133" s="51"/>
    </row>
    <row r="9134" spans="9:19" x14ac:dyDescent="0.25">
      <c r="I9134" s="1"/>
      <c r="J9134" s="71"/>
      <c r="M9134" s="46"/>
      <c r="R9134" s="51"/>
      <c r="S9134" s="51"/>
    </row>
    <row r="9135" spans="9:19" x14ac:dyDescent="0.25">
      <c r="I9135" s="1"/>
      <c r="J9135" s="71"/>
      <c r="M9135" s="46"/>
      <c r="R9135" s="51"/>
      <c r="S9135" s="51"/>
    </row>
    <row r="9136" spans="9:19" x14ac:dyDescent="0.25">
      <c r="I9136" s="1"/>
      <c r="J9136" s="71"/>
      <c r="M9136" s="46"/>
      <c r="R9136" s="51"/>
      <c r="S9136" s="51"/>
    </row>
    <row r="9137" spans="9:19" x14ac:dyDescent="0.25">
      <c r="I9137" s="1"/>
      <c r="J9137" s="71"/>
      <c r="M9137" s="46"/>
      <c r="R9137" s="51"/>
      <c r="S9137" s="51"/>
    </row>
    <row r="9138" spans="9:19" x14ac:dyDescent="0.25">
      <c r="I9138" s="1"/>
      <c r="J9138" s="71"/>
      <c r="M9138" s="46"/>
      <c r="R9138" s="51"/>
      <c r="S9138" s="51"/>
    </row>
    <row r="9139" spans="9:19" x14ac:dyDescent="0.25">
      <c r="I9139" s="1"/>
      <c r="J9139" s="71"/>
      <c r="M9139" s="46"/>
      <c r="R9139" s="51"/>
      <c r="S9139" s="51"/>
    </row>
    <row r="9140" spans="9:19" x14ac:dyDescent="0.25">
      <c r="I9140" s="1"/>
      <c r="J9140" s="71"/>
      <c r="M9140" s="46"/>
      <c r="R9140" s="51"/>
      <c r="S9140" s="51"/>
    </row>
    <row r="9141" spans="9:19" x14ac:dyDescent="0.25">
      <c r="I9141" s="1"/>
      <c r="J9141" s="71"/>
      <c r="M9141" s="46"/>
      <c r="R9141" s="51"/>
      <c r="S9141" s="51"/>
    </row>
    <row r="9142" spans="9:19" x14ac:dyDescent="0.25">
      <c r="I9142" s="1"/>
      <c r="J9142" s="71"/>
      <c r="M9142" s="46"/>
      <c r="R9142" s="51"/>
      <c r="S9142" s="51"/>
    </row>
    <row r="9143" spans="9:19" x14ac:dyDescent="0.25">
      <c r="I9143" s="1"/>
      <c r="J9143" s="71"/>
      <c r="M9143" s="46"/>
      <c r="R9143" s="51"/>
      <c r="S9143" s="51"/>
    </row>
    <row r="9144" spans="9:19" x14ac:dyDescent="0.25">
      <c r="I9144" s="1"/>
      <c r="J9144" s="71"/>
      <c r="M9144" s="46"/>
      <c r="R9144" s="51"/>
      <c r="S9144" s="51"/>
    </row>
    <row r="9145" spans="9:19" x14ac:dyDescent="0.25">
      <c r="I9145" s="1"/>
      <c r="J9145" s="71"/>
      <c r="M9145" s="46"/>
      <c r="R9145" s="51"/>
      <c r="S9145" s="51"/>
    </row>
    <row r="9146" spans="9:19" x14ac:dyDescent="0.25">
      <c r="I9146" s="1"/>
      <c r="J9146" s="71"/>
      <c r="M9146" s="46"/>
      <c r="R9146" s="51"/>
      <c r="S9146" s="51"/>
    </row>
    <row r="9147" spans="9:19" x14ac:dyDescent="0.25">
      <c r="I9147" s="1"/>
      <c r="J9147" s="71"/>
      <c r="M9147" s="46"/>
      <c r="R9147" s="51"/>
      <c r="S9147" s="51"/>
    </row>
    <row r="9148" spans="9:19" x14ac:dyDescent="0.25">
      <c r="I9148" s="1"/>
      <c r="J9148" s="71"/>
      <c r="M9148" s="46"/>
      <c r="R9148" s="51"/>
      <c r="S9148" s="51"/>
    </row>
    <row r="9149" spans="9:19" x14ac:dyDescent="0.25">
      <c r="I9149" s="1"/>
      <c r="J9149" s="71"/>
      <c r="M9149" s="46"/>
      <c r="R9149" s="51"/>
      <c r="S9149" s="51"/>
    </row>
    <row r="9150" spans="9:19" x14ac:dyDescent="0.25">
      <c r="I9150" s="1"/>
      <c r="J9150" s="71"/>
      <c r="M9150" s="46"/>
      <c r="R9150" s="51"/>
      <c r="S9150" s="51"/>
    </row>
    <row r="9151" spans="9:19" x14ac:dyDescent="0.25">
      <c r="I9151" s="1"/>
      <c r="J9151" s="71"/>
      <c r="M9151" s="46"/>
      <c r="R9151" s="51"/>
      <c r="S9151" s="51"/>
    </row>
    <row r="9152" spans="9:19" x14ac:dyDescent="0.25">
      <c r="I9152" s="1"/>
      <c r="J9152" s="71"/>
      <c r="M9152" s="46"/>
      <c r="R9152" s="51"/>
      <c r="S9152" s="51"/>
    </row>
    <row r="9153" spans="9:19" x14ac:dyDescent="0.25">
      <c r="I9153" s="1"/>
      <c r="J9153" s="71"/>
      <c r="M9153" s="46"/>
      <c r="R9153" s="51"/>
      <c r="S9153" s="51"/>
    </row>
    <row r="9154" spans="9:19" x14ac:dyDescent="0.25">
      <c r="I9154" s="1"/>
      <c r="J9154" s="71"/>
      <c r="M9154" s="46"/>
      <c r="R9154" s="51"/>
      <c r="S9154" s="51"/>
    </row>
    <row r="9155" spans="9:19" x14ac:dyDescent="0.25">
      <c r="I9155" s="1"/>
      <c r="J9155" s="71"/>
      <c r="M9155" s="46"/>
      <c r="R9155" s="51"/>
      <c r="S9155" s="51"/>
    </row>
    <row r="9156" spans="9:19" x14ac:dyDescent="0.25">
      <c r="I9156" s="1"/>
      <c r="J9156" s="71"/>
      <c r="M9156" s="46"/>
      <c r="R9156" s="51"/>
      <c r="S9156" s="51"/>
    </row>
    <row r="9157" spans="9:19" x14ac:dyDescent="0.25">
      <c r="I9157" s="1"/>
      <c r="J9157" s="71"/>
      <c r="M9157" s="46"/>
      <c r="R9157" s="51"/>
      <c r="S9157" s="51"/>
    </row>
    <row r="9158" spans="9:19" x14ac:dyDescent="0.25">
      <c r="I9158" s="1"/>
      <c r="J9158" s="71"/>
      <c r="M9158" s="46"/>
      <c r="R9158" s="51"/>
      <c r="S9158" s="51"/>
    </row>
    <row r="9159" spans="9:19" x14ac:dyDescent="0.25">
      <c r="I9159" s="1"/>
      <c r="J9159" s="71"/>
      <c r="M9159" s="46"/>
      <c r="R9159" s="51"/>
      <c r="S9159" s="51"/>
    </row>
    <row r="9160" spans="9:19" x14ac:dyDescent="0.25">
      <c r="I9160" s="1"/>
      <c r="J9160" s="71"/>
      <c r="M9160" s="46"/>
      <c r="R9160" s="51"/>
      <c r="S9160" s="51"/>
    </row>
    <row r="9161" spans="9:19" x14ac:dyDescent="0.25">
      <c r="I9161" s="1"/>
      <c r="J9161" s="71"/>
      <c r="M9161" s="46"/>
      <c r="R9161" s="51"/>
      <c r="S9161" s="51"/>
    </row>
    <row r="9162" spans="9:19" x14ac:dyDescent="0.25">
      <c r="I9162" s="1"/>
      <c r="J9162" s="71"/>
      <c r="M9162" s="46"/>
      <c r="R9162" s="51"/>
      <c r="S9162" s="51"/>
    </row>
    <row r="9163" spans="9:19" x14ac:dyDescent="0.25">
      <c r="I9163" s="1"/>
      <c r="J9163" s="71"/>
      <c r="M9163" s="46"/>
      <c r="R9163" s="51"/>
      <c r="S9163" s="51"/>
    </row>
    <row r="9164" spans="9:19" x14ac:dyDescent="0.25">
      <c r="I9164" s="1"/>
      <c r="J9164" s="71"/>
      <c r="M9164" s="46"/>
      <c r="R9164" s="51"/>
      <c r="S9164" s="51"/>
    </row>
    <row r="9165" spans="9:19" x14ac:dyDescent="0.25">
      <c r="I9165" s="1"/>
      <c r="J9165" s="71"/>
      <c r="M9165" s="46"/>
      <c r="R9165" s="51"/>
      <c r="S9165" s="51"/>
    </row>
    <row r="9166" spans="9:19" x14ac:dyDescent="0.25">
      <c r="I9166" s="1"/>
      <c r="J9166" s="71"/>
      <c r="M9166" s="46"/>
      <c r="R9166" s="51"/>
      <c r="S9166" s="51"/>
    </row>
    <row r="9167" spans="9:19" x14ac:dyDescent="0.25">
      <c r="I9167" s="1"/>
      <c r="J9167" s="71"/>
      <c r="M9167" s="46"/>
      <c r="R9167" s="51"/>
      <c r="S9167" s="51"/>
    </row>
    <row r="9168" spans="9:19" x14ac:dyDescent="0.25">
      <c r="I9168" s="1"/>
      <c r="J9168" s="71"/>
      <c r="M9168" s="46"/>
      <c r="R9168" s="51"/>
      <c r="S9168" s="51"/>
    </row>
    <row r="9169" spans="9:19" x14ac:dyDescent="0.25">
      <c r="I9169" s="1"/>
      <c r="J9169" s="71"/>
      <c r="M9169" s="46"/>
      <c r="R9169" s="51"/>
      <c r="S9169" s="51"/>
    </row>
    <row r="9170" spans="9:19" x14ac:dyDescent="0.25">
      <c r="I9170" s="1"/>
      <c r="J9170" s="71"/>
      <c r="M9170" s="46"/>
      <c r="R9170" s="51"/>
      <c r="S9170" s="51"/>
    </row>
    <row r="9171" spans="9:19" x14ac:dyDescent="0.25">
      <c r="I9171" s="1"/>
      <c r="J9171" s="71"/>
      <c r="M9171" s="46"/>
      <c r="R9171" s="51"/>
      <c r="S9171" s="51"/>
    </row>
    <row r="9172" spans="9:19" x14ac:dyDescent="0.25">
      <c r="I9172" s="1"/>
      <c r="J9172" s="71"/>
      <c r="M9172" s="46"/>
      <c r="R9172" s="51"/>
      <c r="S9172" s="51"/>
    </row>
    <row r="9173" spans="9:19" x14ac:dyDescent="0.25">
      <c r="I9173" s="1"/>
      <c r="J9173" s="71"/>
      <c r="M9173" s="46"/>
      <c r="R9173" s="51"/>
      <c r="S9173" s="51"/>
    </row>
    <row r="9174" spans="9:19" x14ac:dyDescent="0.25">
      <c r="I9174" s="1"/>
      <c r="J9174" s="71"/>
      <c r="M9174" s="46"/>
      <c r="R9174" s="51"/>
      <c r="S9174" s="51"/>
    </row>
    <row r="9175" spans="9:19" x14ac:dyDescent="0.25">
      <c r="I9175" s="1"/>
      <c r="J9175" s="71"/>
      <c r="M9175" s="46"/>
      <c r="R9175" s="51"/>
      <c r="S9175" s="51"/>
    </row>
    <row r="9176" spans="9:19" x14ac:dyDescent="0.25">
      <c r="I9176" s="1"/>
      <c r="J9176" s="71"/>
      <c r="M9176" s="46"/>
      <c r="R9176" s="51"/>
      <c r="S9176" s="51"/>
    </row>
    <row r="9177" spans="9:19" x14ac:dyDescent="0.25">
      <c r="I9177" s="1"/>
      <c r="J9177" s="71"/>
      <c r="M9177" s="46"/>
      <c r="R9177" s="51"/>
      <c r="S9177" s="51"/>
    </row>
    <row r="9178" spans="9:19" x14ac:dyDescent="0.25">
      <c r="I9178" s="1"/>
      <c r="J9178" s="71"/>
      <c r="M9178" s="46"/>
      <c r="R9178" s="51"/>
      <c r="S9178" s="51"/>
    </row>
    <row r="9179" spans="9:19" x14ac:dyDescent="0.25">
      <c r="I9179" s="1"/>
      <c r="J9179" s="71"/>
      <c r="M9179" s="46"/>
      <c r="R9179" s="51"/>
      <c r="S9179" s="51"/>
    </row>
    <row r="9180" spans="9:19" x14ac:dyDescent="0.25">
      <c r="I9180" s="1"/>
      <c r="J9180" s="71"/>
      <c r="M9180" s="46"/>
      <c r="R9180" s="51"/>
      <c r="S9180" s="51"/>
    </row>
    <row r="9181" spans="9:19" x14ac:dyDescent="0.25">
      <c r="I9181" s="1"/>
      <c r="J9181" s="71"/>
      <c r="M9181" s="46"/>
      <c r="R9181" s="51"/>
      <c r="S9181" s="51"/>
    </row>
    <row r="9182" spans="9:19" x14ac:dyDescent="0.25">
      <c r="I9182" s="1"/>
      <c r="J9182" s="71"/>
      <c r="M9182" s="46"/>
      <c r="R9182" s="51"/>
      <c r="S9182" s="51"/>
    </row>
    <row r="9183" spans="9:19" x14ac:dyDescent="0.25">
      <c r="I9183" s="1"/>
      <c r="J9183" s="71"/>
      <c r="M9183" s="46"/>
      <c r="R9183" s="51"/>
      <c r="S9183" s="51"/>
    </row>
    <row r="9184" spans="9:19" x14ac:dyDescent="0.25">
      <c r="I9184" s="1"/>
      <c r="J9184" s="71"/>
      <c r="M9184" s="46"/>
      <c r="R9184" s="51"/>
      <c r="S9184" s="51"/>
    </row>
    <row r="9185" spans="9:19" x14ac:dyDescent="0.25">
      <c r="I9185" s="1"/>
      <c r="J9185" s="71"/>
      <c r="M9185" s="46"/>
      <c r="R9185" s="51"/>
      <c r="S9185" s="51"/>
    </row>
    <row r="9186" spans="9:19" x14ac:dyDescent="0.25">
      <c r="I9186" s="1"/>
      <c r="J9186" s="71"/>
      <c r="M9186" s="46"/>
      <c r="R9186" s="51"/>
      <c r="S9186" s="51"/>
    </row>
    <row r="9187" spans="9:19" x14ac:dyDescent="0.25">
      <c r="I9187" s="1"/>
      <c r="J9187" s="71"/>
      <c r="M9187" s="46"/>
      <c r="R9187" s="51"/>
      <c r="S9187" s="51"/>
    </row>
    <row r="9188" spans="9:19" x14ac:dyDescent="0.25">
      <c r="I9188" s="1"/>
      <c r="J9188" s="71"/>
      <c r="M9188" s="46"/>
      <c r="R9188" s="51"/>
      <c r="S9188" s="51"/>
    </row>
    <row r="9189" spans="9:19" x14ac:dyDescent="0.25">
      <c r="I9189" s="1"/>
      <c r="J9189" s="71"/>
      <c r="M9189" s="46"/>
      <c r="R9189" s="51"/>
      <c r="S9189" s="51"/>
    </row>
    <row r="9190" spans="9:19" x14ac:dyDescent="0.25">
      <c r="I9190" s="1"/>
      <c r="J9190" s="71"/>
      <c r="M9190" s="46"/>
      <c r="R9190" s="51"/>
      <c r="S9190" s="51"/>
    </row>
    <row r="9191" spans="9:19" x14ac:dyDescent="0.25">
      <c r="I9191" s="1"/>
      <c r="J9191" s="71"/>
      <c r="M9191" s="46"/>
      <c r="R9191" s="51"/>
      <c r="S9191" s="51"/>
    </row>
    <row r="9192" spans="9:19" x14ac:dyDescent="0.25">
      <c r="I9192" s="1"/>
      <c r="J9192" s="71"/>
      <c r="M9192" s="46"/>
      <c r="R9192" s="51"/>
      <c r="S9192" s="51"/>
    </row>
    <row r="9193" spans="9:19" x14ac:dyDescent="0.25">
      <c r="I9193" s="1"/>
      <c r="J9193" s="71"/>
      <c r="M9193" s="46"/>
      <c r="R9193" s="51"/>
      <c r="S9193" s="51"/>
    </row>
    <row r="9194" spans="9:19" x14ac:dyDescent="0.25">
      <c r="I9194" s="1"/>
      <c r="J9194" s="71"/>
      <c r="M9194" s="46"/>
      <c r="R9194" s="51"/>
      <c r="S9194" s="51"/>
    </row>
    <row r="9195" spans="9:19" x14ac:dyDescent="0.25">
      <c r="I9195" s="1"/>
      <c r="J9195" s="71"/>
      <c r="M9195" s="46"/>
      <c r="R9195" s="51"/>
      <c r="S9195" s="51"/>
    </row>
    <row r="9196" spans="9:19" x14ac:dyDescent="0.25">
      <c r="I9196" s="1"/>
      <c r="J9196" s="71"/>
      <c r="M9196" s="46"/>
      <c r="R9196" s="51"/>
      <c r="S9196" s="51"/>
    </row>
    <row r="9197" spans="9:19" x14ac:dyDescent="0.25">
      <c r="I9197" s="1"/>
      <c r="J9197" s="71"/>
      <c r="M9197" s="46"/>
      <c r="R9197" s="51"/>
      <c r="S9197" s="51"/>
    </row>
    <row r="9198" spans="9:19" x14ac:dyDescent="0.25">
      <c r="I9198" s="1"/>
      <c r="J9198" s="71"/>
      <c r="M9198" s="46"/>
      <c r="R9198" s="51"/>
      <c r="S9198" s="51"/>
    </row>
    <row r="9199" spans="9:19" x14ac:dyDescent="0.25">
      <c r="I9199" s="1"/>
      <c r="J9199" s="71"/>
      <c r="M9199" s="46"/>
      <c r="R9199" s="51"/>
      <c r="S9199" s="51"/>
    </row>
    <row r="9200" spans="9:19" x14ac:dyDescent="0.25">
      <c r="I9200" s="1"/>
      <c r="J9200" s="71"/>
      <c r="M9200" s="46"/>
      <c r="R9200" s="51"/>
      <c r="S9200" s="51"/>
    </row>
    <row r="9201" spans="9:19" x14ac:dyDescent="0.25">
      <c r="I9201" s="1"/>
      <c r="J9201" s="71"/>
      <c r="M9201" s="46"/>
      <c r="R9201" s="51"/>
      <c r="S9201" s="51"/>
    </row>
    <row r="9202" spans="9:19" x14ac:dyDescent="0.25">
      <c r="I9202" s="1"/>
      <c r="J9202" s="71"/>
      <c r="M9202" s="46"/>
      <c r="R9202" s="51"/>
      <c r="S9202" s="51"/>
    </row>
    <row r="9203" spans="9:19" x14ac:dyDescent="0.25">
      <c r="I9203" s="1"/>
      <c r="J9203" s="71"/>
      <c r="M9203" s="46"/>
      <c r="R9203" s="51"/>
      <c r="S9203" s="51"/>
    </row>
    <row r="9204" spans="9:19" x14ac:dyDescent="0.25">
      <c r="I9204" s="1"/>
      <c r="J9204" s="71"/>
      <c r="M9204" s="46"/>
      <c r="R9204" s="51"/>
      <c r="S9204" s="51"/>
    </row>
    <row r="9205" spans="9:19" x14ac:dyDescent="0.25">
      <c r="I9205" s="1"/>
      <c r="J9205" s="71"/>
      <c r="M9205" s="46"/>
      <c r="R9205" s="51"/>
      <c r="S9205" s="51"/>
    </row>
    <row r="9206" spans="9:19" x14ac:dyDescent="0.25">
      <c r="I9206" s="1"/>
      <c r="J9206" s="71"/>
      <c r="M9206" s="46"/>
      <c r="R9206" s="51"/>
      <c r="S9206" s="51"/>
    </row>
    <row r="9207" spans="9:19" x14ac:dyDescent="0.25">
      <c r="I9207" s="1"/>
      <c r="J9207" s="71"/>
      <c r="M9207" s="46"/>
      <c r="R9207" s="51"/>
      <c r="S9207" s="51"/>
    </row>
    <row r="9208" spans="9:19" x14ac:dyDescent="0.25">
      <c r="I9208" s="1"/>
      <c r="J9208" s="71"/>
      <c r="M9208" s="46"/>
      <c r="R9208" s="51"/>
      <c r="S9208" s="51"/>
    </row>
    <row r="9209" spans="9:19" x14ac:dyDescent="0.25">
      <c r="I9209" s="1"/>
      <c r="J9209" s="71"/>
      <c r="M9209" s="46"/>
      <c r="R9209" s="51"/>
      <c r="S9209" s="51"/>
    </row>
    <row r="9210" spans="9:19" x14ac:dyDescent="0.25">
      <c r="I9210" s="1"/>
      <c r="J9210" s="71"/>
      <c r="M9210" s="46"/>
      <c r="R9210" s="51"/>
      <c r="S9210" s="51"/>
    </row>
    <row r="9211" spans="9:19" x14ac:dyDescent="0.25">
      <c r="I9211" s="1"/>
      <c r="J9211" s="71"/>
      <c r="M9211" s="46"/>
      <c r="R9211" s="51"/>
      <c r="S9211" s="51"/>
    </row>
    <row r="9212" spans="9:19" x14ac:dyDescent="0.25">
      <c r="I9212" s="1"/>
      <c r="J9212" s="71"/>
      <c r="M9212" s="46"/>
      <c r="R9212" s="51"/>
      <c r="S9212" s="51"/>
    </row>
    <row r="9213" spans="9:19" x14ac:dyDescent="0.25">
      <c r="I9213" s="1"/>
      <c r="J9213" s="71"/>
      <c r="M9213" s="46"/>
      <c r="R9213" s="51"/>
      <c r="S9213" s="51"/>
    </row>
    <row r="9214" spans="9:19" x14ac:dyDescent="0.25">
      <c r="I9214" s="1"/>
      <c r="J9214" s="71"/>
      <c r="M9214" s="46"/>
      <c r="R9214" s="51"/>
      <c r="S9214" s="51"/>
    </row>
    <row r="9215" spans="9:19" x14ac:dyDescent="0.25">
      <c r="I9215" s="1"/>
      <c r="J9215" s="71"/>
      <c r="M9215" s="46"/>
      <c r="R9215" s="51"/>
      <c r="S9215" s="51"/>
    </row>
    <row r="9216" spans="9:19" x14ac:dyDescent="0.25">
      <c r="I9216" s="1"/>
      <c r="J9216" s="71"/>
      <c r="M9216" s="46"/>
      <c r="R9216" s="51"/>
      <c r="S9216" s="51"/>
    </row>
    <row r="9217" spans="9:19" x14ac:dyDescent="0.25">
      <c r="I9217" s="1"/>
      <c r="J9217" s="71"/>
      <c r="M9217" s="46"/>
      <c r="R9217" s="51"/>
      <c r="S9217" s="51"/>
    </row>
    <row r="9218" spans="9:19" x14ac:dyDescent="0.25">
      <c r="I9218" s="1"/>
      <c r="J9218" s="71"/>
      <c r="M9218" s="46"/>
      <c r="R9218" s="51"/>
      <c r="S9218" s="51"/>
    </row>
    <row r="9219" spans="9:19" x14ac:dyDescent="0.25">
      <c r="I9219" s="1"/>
      <c r="J9219" s="71"/>
      <c r="M9219" s="46"/>
      <c r="R9219" s="51"/>
      <c r="S9219" s="51"/>
    </row>
    <row r="9220" spans="9:19" x14ac:dyDescent="0.25">
      <c r="I9220" s="1"/>
      <c r="J9220" s="71"/>
      <c r="M9220" s="46"/>
      <c r="R9220" s="51"/>
      <c r="S9220" s="51"/>
    </row>
    <row r="9221" spans="9:19" x14ac:dyDescent="0.25">
      <c r="I9221" s="1"/>
      <c r="J9221" s="71"/>
      <c r="M9221" s="46"/>
      <c r="R9221" s="51"/>
      <c r="S9221" s="51"/>
    </row>
    <row r="9222" spans="9:19" x14ac:dyDescent="0.25">
      <c r="I9222" s="1"/>
      <c r="J9222" s="71"/>
      <c r="M9222" s="46"/>
      <c r="R9222" s="51"/>
      <c r="S9222" s="51"/>
    </row>
    <row r="9223" spans="9:19" x14ac:dyDescent="0.25">
      <c r="I9223" s="1"/>
      <c r="J9223" s="71"/>
      <c r="M9223" s="46"/>
      <c r="R9223" s="51"/>
      <c r="S9223" s="51"/>
    </row>
    <row r="9224" spans="9:19" x14ac:dyDescent="0.25">
      <c r="I9224" s="1"/>
      <c r="J9224" s="71"/>
      <c r="M9224" s="46"/>
      <c r="R9224" s="51"/>
      <c r="S9224" s="51"/>
    </row>
    <row r="9225" spans="9:19" x14ac:dyDescent="0.25">
      <c r="I9225" s="1"/>
      <c r="J9225" s="71"/>
      <c r="M9225" s="46"/>
      <c r="R9225" s="51"/>
      <c r="S9225" s="51"/>
    </row>
    <row r="9226" spans="9:19" x14ac:dyDescent="0.25">
      <c r="I9226" s="1"/>
      <c r="J9226" s="71"/>
      <c r="M9226" s="46"/>
      <c r="R9226" s="51"/>
      <c r="S9226" s="51"/>
    </row>
    <row r="9227" spans="9:19" x14ac:dyDescent="0.25">
      <c r="I9227" s="1"/>
      <c r="J9227" s="71"/>
      <c r="M9227" s="46"/>
      <c r="R9227" s="51"/>
      <c r="S9227" s="51"/>
    </row>
    <row r="9228" spans="9:19" x14ac:dyDescent="0.25">
      <c r="I9228" s="1"/>
      <c r="J9228" s="71"/>
      <c r="M9228" s="46"/>
      <c r="R9228" s="51"/>
      <c r="S9228" s="51"/>
    </row>
    <row r="9229" spans="9:19" x14ac:dyDescent="0.25">
      <c r="I9229" s="1"/>
      <c r="J9229" s="71"/>
      <c r="M9229" s="46"/>
      <c r="R9229" s="51"/>
      <c r="S9229" s="51"/>
    </row>
    <row r="9230" spans="9:19" x14ac:dyDescent="0.25">
      <c r="I9230" s="1"/>
      <c r="J9230" s="71"/>
      <c r="M9230" s="46"/>
      <c r="R9230" s="51"/>
      <c r="S9230" s="51"/>
    </row>
    <row r="9231" spans="9:19" x14ac:dyDescent="0.25">
      <c r="I9231" s="1"/>
      <c r="J9231" s="71"/>
      <c r="M9231" s="46"/>
      <c r="R9231" s="51"/>
      <c r="S9231" s="51"/>
    </row>
    <row r="9232" spans="9:19" x14ac:dyDescent="0.25">
      <c r="I9232" s="1"/>
      <c r="J9232" s="71"/>
      <c r="M9232" s="46"/>
      <c r="R9232" s="51"/>
      <c r="S9232" s="51"/>
    </row>
    <row r="9233" spans="9:19" x14ac:dyDescent="0.25">
      <c r="I9233" s="1"/>
      <c r="J9233" s="71"/>
      <c r="M9233" s="46"/>
      <c r="R9233" s="51"/>
      <c r="S9233" s="51"/>
    </row>
    <row r="9234" spans="9:19" x14ac:dyDescent="0.25">
      <c r="I9234" s="1"/>
      <c r="J9234" s="71"/>
      <c r="M9234" s="46"/>
      <c r="R9234" s="51"/>
      <c r="S9234" s="51"/>
    </row>
    <row r="9235" spans="9:19" x14ac:dyDescent="0.25">
      <c r="I9235" s="1"/>
      <c r="J9235" s="71"/>
      <c r="M9235" s="46"/>
      <c r="R9235" s="51"/>
      <c r="S9235" s="51"/>
    </row>
    <row r="9236" spans="9:19" x14ac:dyDescent="0.25">
      <c r="I9236" s="1"/>
      <c r="J9236" s="71"/>
      <c r="M9236" s="46"/>
      <c r="R9236" s="51"/>
      <c r="S9236" s="51"/>
    </row>
    <row r="9237" spans="9:19" x14ac:dyDescent="0.25">
      <c r="I9237" s="1"/>
      <c r="J9237" s="71"/>
      <c r="M9237" s="46"/>
      <c r="R9237" s="51"/>
      <c r="S9237" s="51"/>
    </row>
    <row r="9238" spans="9:19" x14ac:dyDescent="0.25">
      <c r="I9238" s="1"/>
      <c r="J9238" s="71"/>
      <c r="M9238" s="46"/>
      <c r="R9238" s="51"/>
      <c r="S9238" s="51"/>
    </row>
    <row r="9239" spans="9:19" x14ac:dyDescent="0.25">
      <c r="I9239" s="1"/>
      <c r="J9239" s="71"/>
      <c r="M9239" s="46"/>
      <c r="R9239" s="51"/>
      <c r="S9239" s="51"/>
    </row>
    <row r="9240" spans="9:19" x14ac:dyDescent="0.25">
      <c r="I9240" s="1"/>
      <c r="J9240" s="71"/>
      <c r="M9240" s="46"/>
      <c r="R9240" s="51"/>
      <c r="S9240" s="51"/>
    </row>
    <row r="9241" spans="9:19" x14ac:dyDescent="0.25">
      <c r="I9241" s="1"/>
      <c r="J9241" s="71"/>
      <c r="M9241" s="46"/>
      <c r="R9241" s="51"/>
      <c r="S9241" s="51"/>
    </row>
    <row r="9242" spans="9:19" x14ac:dyDescent="0.25">
      <c r="I9242" s="1"/>
      <c r="J9242" s="71"/>
      <c r="M9242" s="46"/>
      <c r="R9242" s="51"/>
      <c r="S9242" s="51"/>
    </row>
    <row r="9243" spans="9:19" x14ac:dyDescent="0.25">
      <c r="I9243" s="1"/>
      <c r="J9243" s="71"/>
      <c r="M9243" s="46"/>
      <c r="R9243" s="51"/>
      <c r="S9243" s="51"/>
    </row>
    <row r="9244" spans="9:19" x14ac:dyDescent="0.25">
      <c r="I9244" s="1"/>
      <c r="J9244" s="71"/>
      <c r="M9244" s="46"/>
      <c r="R9244" s="51"/>
      <c r="S9244" s="51"/>
    </row>
    <row r="9245" spans="9:19" x14ac:dyDescent="0.25">
      <c r="I9245" s="1"/>
      <c r="J9245" s="71"/>
      <c r="M9245" s="46"/>
      <c r="R9245" s="51"/>
      <c r="S9245" s="51"/>
    </row>
    <row r="9246" spans="9:19" x14ac:dyDescent="0.25">
      <c r="I9246" s="1"/>
      <c r="J9246" s="71"/>
      <c r="M9246" s="46"/>
      <c r="R9246" s="51"/>
      <c r="S9246" s="51"/>
    </row>
    <row r="9247" spans="9:19" x14ac:dyDescent="0.25">
      <c r="I9247" s="1"/>
      <c r="J9247" s="71"/>
      <c r="M9247" s="46"/>
      <c r="R9247" s="51"/>
      <c r="S9247" s="51"/>
    </row>
    <row r="9248" spans="9:19" x14ac:dyDescent="0.25">
      <c r="I9248" s="1"/>
      <c r="J9248" s="71"/>
      <c r="M9248" s="46"/>
      <c r="R9248" s="51"/>
      <c r="S9248" s="51"/>
    </row>
    <row r="9249" spans="9:19" x14ac:dyDescent="0.25">
      <c r="I9249" s="1"/>
      <c r="J9249" s="71"/>
      <c r="M9249" s="46"/>
      <c r="R9249" s="51"/>
      <c r="S9249" s="51"/>
    </row>
    <row r="9250" spans="9:19" x14ac:dyDescent="0.25">
      <c r="I9250" s="1"/>
      <c r="J9250" s="71"/>
      <c r="M9250" s="46"/>
      <c r="R9250" s="51"/>
      <c r="S9250" s="51"/>
    </row>
    <row r="9251" spans="9:19" x14ac:dyDescent="0.25">
      <c r="I9251" s="1"/>
      <c r="J9251" s="71"/>
      <c r="M9251" s="46"/>
      <c r="R9251" s="51"/>
      <c r="S9251" s="51"/>
    </row>
    <row r="9252" spans="9:19" x14ac:dyDescent="0.25">
      <c r="I9252" s="1"/>
      <c r="J9252" s="71"/>
      <c r="M9252" s="46"/>
      <c r="R9252" s="51"/>
      <c r="S9252" s="51"/>
    </row>
    <row r="9253" spans="9:19" x14ac:dyDescent="0.25">
      <c r="I9253" s="1"/>
      <c r="J9253" s="71"/>
      <c r="M9253" s="46"/>
      <c r="R9253" s="51"/>
      <c r="S9253" s="51"/>
    </row>
    <row r="9254" spans="9:19" x14ac:dyDescent="0.25">
      <c r="I9254" s="1"/>
      <c r="J9254" s="71"/>
      <c r="M9254" s="46"/>
      <c r="R9254" s="51"/>
      <c r="S9254" s="51"/>
    </row>
    <row r="9255" spans="9:19" x14ac:dyDescent="0.25">
      <c r="I9255" s="1"/>
      <c r="J9255" s="71"/>
      <c r="M9255" s="46"/>
      <c r="R9255" s="51"/>
      <c r="S9255" s="51"/>
    </row>
    <row r="9256" spans="9:19" x14ac:dyDescent="0.25">
      <c r="I9256" s="1"/>
      <c r="J9256" s="71"/>
      <c r="M9256" s="46"/>
      <c r="R9256" s="51"/>
      <c r="S9256" s="51"/>
    </row>
    <row r="9257" spans="9:19" x14ac:dyDescent="0.25">
      <c r="I9257" s="1"/>
      <c r="J9257" s="71"/>
      <c r="M9257" s="46"/>
      <c r="R9257" s="51"/>
      <c r="S9257" s="51"/>
    </row>
    <row r="9258" spans="9:19" x14ac:dyDescent="0.25">
      <c r="I9258" s="1"/>
      <c r="J9258" s="71"/>
      <c r="M9258" s="46"/>
      <c r="R9258" s="51"/>
      <c r="S9258" s="51"/>
    </row>
    <row r="9259" spans="9:19" x14ac:dyDescent="0.25">
      <c r="I9259" s="1"/>
      <c r="J9259" s="71"/>
      <c r="M9259" s="46"/>
      <c r="R9259" s="51"/>
      <c r="S9259" s="51"/>
    </row>
    <row r="9260" spans="9:19" x14ac:dyDescent="0.25">
      <c r="I9260" s="1"/>
      <c r="J9260" s="71"/>
      <c r="M9260" s="46"/>
      <c r="R9260" s="51"/>
      <c r="S9260" s="51"/>
    </row>
    <row r="9261" spans="9:19" x14ac:dyDescent="0.25">
      <c r="I9261" s="1"/>
      <c r="J9261" s="71"/>
      <c r="M9261" s="46"/>
      <c r="R9261" s="51"/>
      <c r="S9261" s="51"/>
    </row>
    <row r="9262" spans="9:19" x14ac:dyDescent="0.25">
      <c r="I9262" s="1"/>
      <c r="J9262" s="71"/>
      <c r="M9262" s="46"/>
      <c r="R9262" s="51"/>
      <c r="S9262" s="51"/>
    </row>
    <row r="9263" spans="9:19" x14ac:dyDescent="0.25">
      <c r="I9263" s="1"/>
      <c r="J9263" s="71"/>
      <c r="M9263" s="46"/>
      <c r="R9263" s="51"/>
      <c r="S9263" s="51"/>
    </row>
    <row r="9264" spans="9:19" x14ac:dyDescent="0.25">
      <c r="I9264" s="1"/>
      <c r="J9264" s="71"/>
      <c r="M9264" s="46"/>
      <c r="R9264" s="51"/>
      <c r="S9264" s="51"/>
    </row>
    <row r="9265" spans="9:19" x14ac:dyDescent="0.25">
      <c r="I9265" s="1"/>
      <c r="J9265" s="71"/>
      <c r="M9265" s="46"/>
      <c r="R9265" s="51"/>
      <c r="S9265" s="51"/>
    </row>
    <row r="9266" spans="9:19" x14ac:dyDescent="0.25">
      <c r="I9266" s="1"/>
      <c r="J9266" s="71"/>
      <c r="M9266" s="46"/>
      <c r="R9266" s="51"/>
      <c r="S9266" s="51"/>
    </row>
    <row r="9267" spans="9:19" x14ac:dyDescent="0.25">
      <c r="I9267" s="1"/>
      <c r="J9267" s="71"/>
      <c r="M9267" s="46"/>
      <c r="R9267" s="51"/>
      <c r="S9267" s="51"/>
    </row>
    <row r="9268" spans="9:19" x14ac:dyDescent="0.25">
      <c r="I9268" s="1"/>
      <c r="J9268" s="71"/>
      <c r="M9268" s="46"/>
      <c r="R9268" s="51"/>
      <c r="S9268" s="51"/>
    </row>
    <row r="9269" spans="9:19" x14ac:dyDescent="0.25">
      <c r="I9269" s="1"/>
      <c r="J9269" s="71"/>
      <c r="M9269" s="46"/>
      <c r="R9269" s="51"/>
      <c r="S9269" s="51"/>
    </row>
    <row r="9270" spans="9:19" x14ac:dyDescent="0.25">
      <c r="I9270" s="1"/>
      <c r="J9270" s="71"/>
      <c r="M9270" s="46"/>
      <c r="R9270" s="51"/>
      <c r="S9270" s="51"/>
    </row>
    <row r="9271" spans="9:19" x14ac:dyDescent="0.25">
      <c r="I9271" s="1"/>
      <c r="J9271" s="71"/>
      <c r="M9271" s="46"/>
      <c r="R9271" s="51"/>
      <c r="S9271" s="51"/>
    </row>
    <row r="9272" spans="9:19" x14ac:dyDescent="0.25">
      <c r="I9272" s="1"/>
      <c r="J9272" s="71"/>
      <c r="M9272" s="46"/>
      <c r="R9272" s="51"/>
      <c r="S9272" s="51"/>
    </row>
    <row r="9273" spans="9:19" x14ac:dyDescent="0.25">
      <c r="I9273" s="1"/>
      <c r="J9273" s="71"/>
      <c r="M9273" s="46"/>
      <c r="R9273" s="51"/>
      <c r="S9273" s="51"/>
    </row>
    <row r="9274" spans="9:19" x14ac:dyDescent="0.25">
      <c r="I9274" s="1"/>
      <c r="J9274" s="71"/>
      <c r="M9274" s="46"/>
      <c r="R9274" s="51"/>
      <c r="S9274" s="51"/>
    </row>
    <row r="9275" spans="9:19" x14ac:dyDescent="0.25">
      <c r="I9275" s="1"/>
      <c r="J9275" s="71"/>
      <c r="M9275" s="46"/>
      <c r="R9275" s="51"/>
      <c r="S9275" s="51"/>
    </row>
    <row r="9276" spans="9:19" x14ac:dyDescent="0.25">
      <c r="I9276" s="1"/>
      <c r="J9276" s="71"/>
      <c r="M9276" s="46"/>
      <c r="R9276" s="51"/>
      <c r="S9276" s="51"/>
    </row>
    <row r="9277" spans="9:19" x14ac:dyDescent="0.25">
      <c r="I9277" s="1"/>
      <c r="J9277" s="71"/>
      <c r="M9277" s="46"/>
      <c r="R9277" s="51"/>
      <c r="S9277" s="51"/>
    </row>
    <row r="9278" spans="9:19" x14ac:dyDescent="0.25">
      <c r="I9278" s="1"/>
      <c r="J9278" s="71"/>
      <c r="M9278" s="46"/>
      <c r="R9278" s="51"/>
      <c r="S9278" s="51"/>
    </row>
    <row r="9279" spans="9:19" x14ac:dyDescent="0.25">
      <c r="I9279" s="1"/>
      <c r="J9279" s="71"/>
      <c r="M9279" s="46"/>
      <c r="R9279" s="51"/>
      <c r="S9279" s="51"/>
    </row>
    <row r="9280" spans="9:19" x14ac:dyDescent="0.25">
      <c r="I9280" s="1"/>
      <c r="J9280" s="71"/>
      <c r="M9280" s="46"/>
      <c r="R9280" s="51"/>
      <c r="S9280" s="51"/>
    </row>
    <row r="9281" spans="9:19" x14ac:dyDescent="0.25">
      <c r="I9281" s="1"/>
      <c r="J9281" s="71"/>
      <c r="M9281" s="46"/>
      <c r="R9281" s="51"/>
      <c r="S9281" s="51"/>
    </row>
    <row r="9282" spans="9:19" x14ac:dyDescent="0.25">
      <c r="I9282" s="1"/>
      <c r="J9282" s="71"/>
      <c r="M9282" s="46"/>
      <c r="R9282" s="51"/>
      <c r="S9282" s="51"/>
    </row>
    <row r="9283" spans="9:19" x14ac:dyDescent="0.25">
      <c r="I9283" s="1"/>
      <c r="J9283" s="71"/>
      <c r="M9283" s="46"/>
      <c r="R9283" s="51"/>
      <c r="S9283" s="51"/>
    </row>
    <row r="9284" spans="9:19" x14ac:dyDescent="0.25">
      <c r="I9284" s="1"/>
      <c r="J9284" s="71"/>
      <c r="M9284" s="46"/>
      <c r="R9284" s="51"/>
      <c r="S9284" s="51"/>
    </row>
    <row r="9285" spans="9:19" x14ac:dyDescent="0.25">
      <c r="I9285" s="1"/>
      <c r="J9285" s="71"/>
      <c r="M9285" s="46"/>
      <c r="R9285" s="51"/>
      <c r="S9285" s="51"/>
    </row>
    <row r="9286" spans="9:19" x14ac:dyDescent="0.25">
      <c r="I9286" s="1"/>
      <c r="J9286" s="71"/>
      <c r="M9286" s="46"/>
      <c r="R9286" s="51"/>
      <c r="S9286" s="51"/>
    </row>
    <row r="9287" spans="9:19" x14ac:dyDescent="0.25">
      <c r="I9287" s="1"/>
      <c r="J9287" s="71"/>
      <c r="M9287" s="46"/>
      <c r="R9287" s="51"/>
      <c r="S9287" s="51"/>
    </row>
    <row r="9288" spans="9:19" x14ac:dyDescent="0.25">
      <c r="I9288" s="1"/>
      <c r="J9288" s="71"/>
      <c r="M9288" s="46"/>
      <c r="R9288" s="51"/>
      <c r="S9288" s="51"/>
    </row>
    <row r="9289" spans="9:19" x14ac:dyDescent="0.25">
      <c r="I9289" s="1"/>
      <c r="J9289" s="71"/>
      <c r="M9289" s="46"/>
      <c r="R9289" s="51"/>
      <c r="S9289" s="51"/>
    </row>
    <row r="9290" spans="9:19" x14ac:dyDescent="0.25">
      <c r="I9290" s="1"/>
      <c r="J9290" s="71"/>
      <c r="M9290" s="46"/>
      <c r="R9290" s="51"/>
      <c r="S9290" s="51"/>
    </row>
    <row r="9291" spans="9:19" x14ac:dyDescent="0.25">
      <c r="I9291" s="1"/>
      <c r="J9291" s="71"/>
      <c r="M9291" s="46"/>
      <c r="R9291" s="51"/>
      <c r="S9291" s="51"/>
    </row>
    <row r="9292" spans="9:19" x14ac:dyDescent="0.25">
      <c r="I9292" s="1"/>
      <c r="J9292" s="71"/>
      <c r="M9292" s="46"/>
      <c r="R9292" s="51"/>
      <c r="S9292" s="51"/>
    </row>
    <row r="9293" spans="9:19" x14ac:dyDescent="0.25">
      <c r="I9293" s="1"/>
      <c r="J9293" s="71"/>
      <c r="M9293" s="46"/>
      <c r="R9293" s="51"/>
      <c r="S9293" s="51"/>
    </row>
    <row r="9294" spans="9:19" x14ac:dyDescent="0.25">
      <c r="I9294" s="1"/>
      <c r="J9294" s="71"/>
      <c r="M9294" s="46"/>
      <c r="R9294" s="51"/>
      <c r="S9294" s="51"/>
    </row>
    <row r="9295" spans="9:19" x14ac:dyDescent="0.25">
      <c r="I9295" s="1"/>
      <c r="J9295" s="71"/>
      <c r="M9295" s="46"/>
      <c r="R9295" s="51"/>
      <c r="S9295" s="51"/>
    </row>
    <row r="9296" spans="9:19" x14ac:dyDescent="0.25">
      <c r="I9296" s="1"/>
      <c r="J9296" s="71"/>
      <c r="M9296" s="46"/>
      <c r="R9296" s="51"/>
      <c r="S9296" s="51"/>
    </row>
    <row r="9297" spans="9:19" x14ac:dyDescent="0.25">
      <c r="I9297" s="1"/>
      <c r="J9297" s="71"/>
      <c r="M9297" s="46"/>
      <c r="R9297" s="51"/>
      <c r="S9297" s="51"/>
    </row>
    <row r="9298" spans="9:19" x14ac:dyDescent="0.25">
      <c r="I9298" s="1"/>
      <c r="J9298" s="71"/>
      <c r="M9298" s="46"/>
      <c r="R9298" s="51"/>
      <c r="S9298" s="51"/>
    </row>
    <row r="9299" spans="9:19" x14ac:dyDescent="0.25">
      <c r="I9299" s="1"/>
      <c r="J9299" s="71"/>
      <c r="M9299" s="46"/>
      <c r="R9299" s="51"/>
      <c r="S9299" s="51"/>
    </row>
    <row r="9300" spans="9:19" x14ac:dyDescent="0.25">
      <c r="I9300" s="1"/>
      <c r="J9300" s="71"/>
      <c r="M9300" s="46"/>
      <c r="R9300" s="51"/>
      <c r="S9300" s="51"/>
    </row>
    <row r="9301" spans="9:19" x14ac:dyDescent="0.25">
      <c r="I9301" s="1"/>
      <c r="J9301" s="71"/>
      <c r="M9301" s="46"/>
      <c r="R9301" s="51"/>
      <c r="S9301" s="51"/>
    </row>
    <row r="9302" spans="9:19" x14ac:dyDescent="0.25">
      <c r="I9302" s="1"/>
      <c r="J9302" s="71"/>
      <c r="M9302" s="46"/>
      <c r="R9302" s="51"/>
      <c r="S9302" s="51"/>
    </row>
    <row r="9303" spans="9:19" x14ac:dyDescent="0.25">
      <c r="I9303" s="1"/>
      <c r="J9303" s="71"/>
      <c r="M9303" s="46"/>
      <c r="R9303" s="51"/>
      <c r="S9303" s="51"/>
    </row>
    <row r="9304" spans="9:19" x14ac:dyDescent="0.25">
      <c r="I9304" s="1"/>
      <c r="J9304" s="71"/>
      <c r="M9304" s="46"/>
      <c r="R9304" s="51"/>
      <c r="S9304" s="51"/>
    </row>
    <row r="9305" spans="9:19" x14ac:dyDescent="0.25">
      <c r="I9305" s="1"/>
      <c r="J9305" s="71"/>
      <c r="M9305" s="46"/>
      <c r="R9305" s="51"/>
      <c r="S9305" s="51"/>
    </row>
    <row r="9306" spans="9:19" x14ac:dyDescent="0.25">
      <c r="I9306" s="1"/>
      <c r="J9306" s="71"/>
      <c r="M9306" s="46"/>
      <c r="R9306" s="51"/>
      <c r="S9306" s="51"/>
    </row>
    <row r="9307" spans="9:19" x14ac:dyDescent="0.25">
      <c r="I9307" s="1"/>
      <c r="J9307" s="71"/>
      <c r="M9307" s="46"/>
      <c r="R9307" s="51"/>
      <c r="S9307" s="51"/>
    </row>
    <row r="9308" spans="9:19" x14ac:dyDescent="0.25">
      <c r="I9308" s="1"/>
      <c r="J9308" s="71"/>
      <c r="M9308" s="46"/>
      <c r="R9308" s="51"/>
      <c r="S9308" s="51"/>
    </row>
    <row r="9309" spans="9:19" x14ac:dyDescent="0.25">
      <c r="I9309" s="1"/>
      <c r="J9309" s="71"/>
      <c r="M9309" s="46"/>
      <c r="R9309" s="51"/>
      <c r="S9309" s="51"/>
    </row>
    <row r="9310" spans="9:19" x14ac:dyDescent="0.25">
      <c r="I9310" s="1"/>
      <c r="J9310" s="71"/>
      <c r="M9310" s="46"/>
      <c r="R9310" s="51"/>
      <c r="S9310" s="51"/>
    </row>
    <row r="9311" spans="9:19" x14ac:dyDescent="0.25">
      <c r="I9311" s="1"/>
      <c r="J9311" s="71"/>
      <c r="M9311" s="46"/>
      <c r="R9311" s="51"/>
      <c r="S9311" s="51"/>
    </row>
    <row r="9312" spans="9:19" x14ac:dyDescent="0.25">
      <c r="I9312" s="1"/>
      <c r="J9312" s="71"/>
      <c r="M9312" s="46"/>
      <c r="R9312" s="51"/>
      <c r="S9312" s="51"/>
    </row>
    <row r="9313" spans="9:19" x14ac:dyDescent="0.25">
      <c r="I9313" s="1"/>
      <c r="J9313" s="71"/>
      <c r="M9313" s="46"/>
      <c r="R9313" s="51"/>
      <c r="S9313" s="51"/>
    </row>
    <row r="9314" spans="9:19" x14ac:dyDescent="0.25">
      <c r="I9314" s="1"/>
      <c r="J9314" s="71"/>
      <c r="M9314" s="46"/>
      <c r="R9314" s="51"/>
      <c r="S9314" s="51"/>
    </row>
    <row r="9315" spans="9:19" x14ac:dyDescent="0.25">
      <c r="I9315" s="1"/>
      <c r="J9315" s="71"/>
      <c r="M9315" s="46"/>
      <c r="R9315" s="51"/>
      <c r="S9315" s="51"/>
    </row>
    <row r="9316" spans="9:19" x14ac:dyDescent="0.25">
      <c r="I9316" s="1"/>
      <c r="J9316" s="71"/>
      <c r="M9316" s="46"/>
      <c r="R9316" s="51"/>
      <c r="S9316" s="51"/>
    </row>
    <row r="9317" spans="9:19" x14ac:dyDescent="0.25">
      <c r="I9317" s="1"/>
      <c r="J9317" s="71"/>
      <c r="M9317" s="46"/>
      <c r="R9317" s="51"/>
      <c r="S9317" s="51"/>
    </row>
    <row r="9318" spans="9:19" x14ac:dyDescent="0.25">
      <c r="I9318" s="1"/>
      <c r="J9318" s="71"/>
      <c r="M9318" s="46"/>
      <c r="R9318" s="51"/>
      <c r="S9318" s="51"/>
    </row>
    <row r="9319" spans="9:19" x14ac:dyDescent="0.25">
      <c r="I9319" s="1"/>
      <c r="J9319" s="71"/>
      <c r="M9319" s="46"/>
      <c r="R9319" s="51"/>
      <c r="S9319" s="51"/>
    </row>
    <row r="9320" spans="9:19" x14ac:dyDescent="0.25">
      <c r="I9320" s="1"/>
      <c r="J9320" s="71"/>
      <c r="M9320" s="46"/>
      <c r="R9320" s="51"/>
      <c r="S9320" s="51"/>
    </row>
    <row r="9321" spans="9:19" x14ac:dyDescent="0.25">
      <c r="I9321" s="1"/>
      <c r="J9321" s="71"/>
      <c r="M9321" s="46"/>
      <c r="R9321" s="51"/>
      <c r="S9321" s="51"/>
    </row>
    <row r="9322" spans="9:19" x14ac:dyDescent="0.25">
      <c r="I9322" s="1"/>
      <c r="J9322" s="71"/>
      <c r="M9322" s="46"/>
      <c r="R9322" s="51"/>
      <c r="S9322" s="51"/>
    </row>
    <row r="9323" spans="9:19" x14ac:dyDescent="0.25">
      <c r="I9323" s="1"/>
      <c r="J9323" s="71"/>
      <c r="M9323" s="46"/>
      <c r="R9323" s="51"/>
      <c r="S9323" s="51"/>
    </row>
    <row r="9324" spans="9:19" x14ac:dyDescent="0.25">
      <c r="I9324" s="1"/>
      <c r="J9324" s="71"/>
      <c r="M9324" s="46"/>
      <c r="R9324" s="51"/>
      <c r="S9324" s="51"/>
    </row>
    <row r="9325" spans="9:19" x14ac:dyDescent="0.25">
      <c r="I9325" s="1"/>
      <c r="J9325" s="71"/>
      <c r="M9325" s="46"/>
      <c r="R9325" s="51"/>
      <c r="S9325" s="51"/>
    </row>
    <row r="9326" spans="9:19" x14ac:dyDescent="0.25">
      <c r="I9326" s="1"/>
      <c r="J9326" s="71"/>
      <c r="M9326" s="46"/>
      <c r="R9326" s="51"/>
      <c r="S9326" s="51"/>
    </row>
    <row r="9327" spans="9:19" x14ac:dyDescent="0.25">
      <c r="I9327" s="1"/>
      <c r="J9327" s="71"/>
      <c r="M9327" s="46"/>
      <c r="R9327" s="51"/>
      <c r="S9327" s="51"/>
    </row>
    <row r="9328" spans="9:19" x14ac:dyDescent="0.25">
      <c r="I9328" s="1"/>
      <c r="J9328" s="71"/>
      <c r="M9328" s="46"/>
      <c r="R9328" s="51"/>
      <c r="S9328" s="51"/>
    </row>
    <row r="9329" spans="9:19" x14ac:dyDescent="0.25">
      <c r="I9329" s="1"/>
      <c r="J9329" s="71"/>
      <c r="M9329" s="46"/>
      <c r="R9329" s="51"/>
      <c r="S9329" s="51"/>
    </row>
    <row r="9330" spans="9:19" x14ac:dyDescent="0.25">
      <c r="I9330" s="1"/>
      <c r="J9330" s="71"/>
      <c r="M9330" s="46"/>
      <c r="R9330" s="51"/>
      <c r="S9330" s="51"/>
    </row>
    <row r="9331" spans="9:19" x14ac:dyDescent="0.25">
      <c r="I9331" s="1"/>
      <c r="J9331" s="71"/>
      <c r="M9331" s="46"/>
      <c r="R9331" s="51"/>
      <c r="S9331" s="51"/>
    </row>
    <row r="9332" spans="9:19" x14ac:dyDescent="0.25">
      <c r="I9332" s="1"/>
      <c r="J9332" s="71"/>
      <c r="M9332" s="46"/>
      <c r="R9332" s="51"/>
      <c r="S9332" s="51"/>
    </row>
    <row r="9333" spans="9:19" x14ac:dyDescent="0.25">
      <c r="I9333" s="1"/>
      <c r="J9333" s="71"/>
      <c r="M9333" s="46"/>
      <c r="R9333" s="51"/>
      <c r="S9333" s="51"/>
    </row>
    <row r="9334" spans="9:19" x14ac:dyDescent="0.25">
      <c r="I9334" s="1"/>
      <c r="J9334" s="71"/>
      <c r="M9334" s="46"/>
      <c r="R9334" s="51"/>
      <c r="S9334" s="51"/>
    </row>
    <row r="9335" spans="9:19" x14ac:dyDescent="0.25">
      <c r="I9335" s="1"/>
      <c r="J9335" s="71"/>
      <c r="M9335" s="46"/>
      <c r="R9335" s="51"/>
      <c r="S9335" s="51"/>
    </row>
    <row r="9336" spans="9:19" x14ac:dyDescent="0.25">
      <c r="I9336" s="1"/>
      <c r="J9336" s="71"/>
      <c r="M9336" s="46"/>
      <c r="R9336" s="51"/>
      <c r="S9336" s="51"/>
    </row>
    <row r="9337" spans="9:19" x14ac:dyDescent="0.25">
      <c r="I9337" s="1"/>
      <c r="J9337" s="71"/>
      <c r="M9337" s="46"/>
      <c r="R9337" s="51"/>
      <c r="S9337" s="51"/>
    </row>
    <row r="9338" spans="9:19" x14ac:dyDescent="0.25">
      <c r="I9338" s="1"/>
      <c r="J9338" s="71"/>
      <c r="M9338" s="46"/>
      <c r="R9338" s="51"/>
      <c r="S9338" s="51"/>
    </row>
    <row r="9339" spans="9:19" x14ac:dyDescent="0.25">
      <c r="I9339" s="1"/>
      <c r="J9339" s="71"/>
      <c r="M9339" s="46"/>
      <c r="R9339" s="51"/>
      <c r="S9339" s="51"/>
    </row>
    <row r="9340" spans="9:19" x14ac:dyDescent="0.25">
      <c r="I9340" s="1"/>
      <c r="J9340" s="71"/>
      <c r="M9340" s="46"/>
      <c r="R9340" s="51"/>
      <c r="S9340" s="51"/>
    </row>
    <row r="9341" spans="9:19" x14ac:dyDescent="0.25">
      <c r="I9341" s="1"/>
      <c r="J9341" s="71"/>
      <c r="M9341" s="46"/>
      <c r="R9341" s="51"/>
      <c r="S9341" s="51"/>
    </row>
    <row r="9342" spans="9:19" x14ac:dyDescent="0.25">
      <c r="I9342" s="1"/>
      <c r="J9342" s="71"/>
      <c r="M9342" s="46"/>
      <c r="R9342" s="51"/>
      <c r="S9342" s="51"/>
    </row>
    <row r="9343" spans="9:19" x14ac:dyDescent="0.25">
      <c r="I9343" s="1"/>
      <c r="J9343" s="71"/>
      <c r="M9343" s="46"/>
      <c r="R9343" s="51"/>
      <c r="S9343" s="51"/>
    </row>
    <row r="9344" spans="9:19" x14ac:dyDescent="0.25">
      <c r="I9344" s="1"/>
      <c r="J9344" s="71"/>
      <c r="M9344" s="46"/>
      <c r="R9344" s="51"/>
      <c r="S9344" s="51"/>
    </row>
    <row r="9345" spans="9:19" x14ac:dyDescent="0.25">
      <c r="I9345" s="1"/>
      <c r="J9345" s="71"/>
      <c r="M9345" s="46"/>
      <c r="R9345" s="51"/>
      <c r="S9345" s="51"/>
    </row>
    <row r="9346" spans="9:19" x14ac:dyDescent="0.25">
      <c r="I9346" s="1"/>
      <c r="J9346" s="71"/>
      <c r="M9346" s="46"/>
      <c r="R9346" s="51"/>
      <c r="S9346" s="51"/>
    </row>
    <row r="9347" spans="9:19" x14ac:dyDescent="0.25">
      <c r="I9347" s="1"/>
      <c r="J9347" s="71"/>
      <c r="M9347" s="46"/>
      <c r="R9347" s="51"/>
      <c r="S9347" s="51"/>
    </row>
    <row r="9348" spans="9:19" x14ac:dyDescent="0.25">
      <c r="I9348" s="1"/>
      <c r="J9348" s="71"/>
      <c r="M9348" s="46"/>
      <c r="R9348" s="51"/>
      <c r="S9348" s="51"/>
    </row>
    <row r="9349" spans="9:19" x14ac:dyDescent="0.25">
      <c r="I9349" s="1"/>
      <c r="J9349" s="71"/>
      <c r="M9349" s="46"/>
      <c r="R9349" s="51"/>
      <c r="S9349" s="51"/>
    </row>
    <row r="9350" spans="9:19" x14ac:dyDescent="0.25">
      <c r="I9350" s="1"/>
      <c r="J9350" s="71"/>
      <c r="M9350" s="46"/>
      <c r="R9350" s="51"/>
      <c r="S9350" s="51"/>
    </row>
    <row r="9351" spans="9:19" x14ac:dyDescent="0.25">
      <c r="I9351" s="1"/>
      <c r="J9351" s="71"/>
      <c r="M9351" s="46"/>
      <c r="R9351" s="51"/>
      <c r="S9351" s="51"/>
    </row>
    <row r="9352" spans="9:19" x14ac:dyDescent="0.25">
      <c r="I9352" s="1"/>
      <c r="J9352" s="71"/>
      <c r="M9352" s="46"/>
      <c r="R9352" s="51"/>
      <c r="S9352" s="51"/>
    </row>
    <row r="9353" spans="9:19" x14ac:dyDescent="0.25">
      <c r="I9353" s="1"/>
      <c r="J9353" s="71"/>
      <c r="M9353" s="46"/>
      <c r="R9353" s="51"/>
      <c r="S9353" s="51"/>
    </row>
    <row r="9354" spans="9:19" x14ac:dyDescent="0.25">
      <c r="I9354" s="1"/>
      <c r="J9354" s="71"/>
      <c r="M9354" s="46"/>
      <c r="R9354" s="51"/>
      <c r="S9354" s="51"/>
    </row>
    <row r="9355" spans="9:19" x14ac:dyDescent="0.25">
      <c r="I9355" s="1"/>
      <c r="J9355" s="71"/>
      <c r="M9355" s="46"/>
      <c r="R9355" s="51"/>
      <c r="S9355" s="51"/>
    </row>
    <row r="9356" spans="9:19" x14ac:dyDescent="0.25">
      <c r="I9356" s="1"/>
      <c r="J9356" s="71"/>
      <c r="M9356" s="46"/>
      <c r="R9356" s="51"/>
      <c r="S9356" s="51"/>
    </row>
    <row r="9357" spans="9:19" x14ac:dyDescent="0.25">
      <c r="I9357" s="1"/>
      <c r="J9357" s="71"/>
      <c r="M9357" s="46"/>
      <c r="R9357" s="51"/>
      <c r="S9357" s="51"/>
    </row>
    <row r="9358" spans="9:19" x14ac:dyDescent="0.25">
      <c r="I9358" s="1"/>
      <c r="J9358" s="71"/>
      <c r="M9358" s="46"/>
      <c r="R9358" s="51"/>
      <c r="S9358" s="51"/>
    </row>
    <row r="9359" spans="9:19" x14ac:dyDescent="0.25">
      <c r="I9359" s="1"/>
      <c r="J9359" s="71"/>
      <c r="M9359" s="46"/>
      <c r="R9359" s="51"/>
      <c r="S9359" s="51"/>
    </row>
    <row r="9360" spans="9:19" x14ac:dyDescent="0.25">
      <c r="I9360" s="1"/>
      <c r="J9360" s="71"/>
      <c r="M9360" s="46"/>
      <c r="R9360" s="51"/>
      <c r="S9360" s="51"/>
    </row>
    <row r="9361" spans="9:19" x14ac:dyDescent="0.25">
      <c r="I9361" s="1"/>
      <c r="J9361" s="71"/>
      <c r="M9361" s="46"/>
      <c r="R9361" s="51"/>
      <c r="S9361" s="51"/>
    </row>
    <row r="9362" spans="9:19" x14ac:dyDescent="0.25">
      <c r="I9362" s="1"/>
      <c r="J9362" s="71"/>
      <c r="M9362" s="46"/>
      <c r="R9362" s="51"/>
      <c r="S9362" s="51"/>
    </row>
    <row r="9363" spans="9:19" x14ac:dyDescent="0.25">
      <c r="I9363" s="1"/>
      <c r="J9363" s="71"/>
      <c r="M9363" s="46"/>
      <c r="R9363" s="51"/>
      <c r="S9363" s="51"/>
    </row>
    <row r="9364" spans="9:19" x14ac:dyDescent="0.25">
      <c r="I9364" s="1"/>
      <c r="J9364" s="71"/>
      <c r="M9364" s="46"/>
      <c r="R9364" s="51"/>
      <c r="S9364" s="51"/>
    </row>
    <row r="9365" spans="9:19" x14ac:dyDescent="0.25">
      <c r="I9365" s="1"/>
      <c r="J9365" s="71"/>
      <c r="M9365" s="46"/>
      <c r="R9365" s="51"/>
      <c r="S9365" s="51"/>
    </row>
    <row r="9366" spans="9:19" x14ac:dyDescent="0.25">
      <c r="I9366" s="1"/>
      <c r="J9366" s="71"/>
      <c r="M9366" s="46"/>
      <c r="R9366" s="51"/>
      <c r="S9366" s="51"/>
    </row>
    <row r="9367" spans="9:19" x14ac:dyDescent="0.25">
      <c r="I9367" s="1"/>
      <c r="J9367" s="71"/>
      <c r="M9367" s="46"/>
      <c r="R9367" s="51"/>
      <c r="S9367" s="51"/>
    </row>
    <row r="9368" spans="9:19" x14ac:dyDescent="0.25">
      <c r="I9368" s="1"/>
      <c r="J9368" s="71"/>
      <c r="M9368" s="46"/>
      <c r="R9368" s="51"/>
      <c r="S9368" s="51"/>
    </row>
    <row r="9369" spans="9:19" x14ac:dyDescent="0.25">
      <c r="I9369" s="1"/>
      <c r="J9369" s="71"/>
      <c r="M9369" s="46"/>
      <c r="R9369" s="51"/>
      <c r="S9369" s="51"/>
    </row>
    <row r="9370" spans="9:19" x14ac:dyDescent="0.25">
      <c r="I9370" s="1"/>
      <c r="J9370" s="71"/>
      <c r="M9370" s="46"/>
      <c r="R9370" s="51"/>
      <c r="S9370" s="51"/>
    </row>
    <row r="9371" spans="9:19" x14ac:dyDescent="0.25">
      <c r="I9371" s="1"/>
      <c r="J9371" s="71"/>
      <c r="M9371" s="46"/>
      <c r="R9371" s="51"/>
      <c r="S9371" s="51"/>
    </row>
    <row r="9372" spans="9:19" x14ac:dyDescent="0.25">
      <c r="I9372" s="1"/>
      <c r="J9372" s="71"/>
      <c r="M9372" s="46"/>
      <c r="R9372" s="51"/>
      <c r="S9372" s="51"/>
    </row>
    <row r="9373" spans="9:19" x14ac:dyDescent="0.25">
      <c r="I9373" s="1"/>
      <c r="J9373" s="71"/>
      <c r="M9373" s="46"/>
      <c r="R9373" s="51"/>
      <c r="S9373" s="51"/>
    </row>
    <row r="9374" spans="9:19" x14ac:dyDescent="0.25">
      <c r="I9374" s="1"/>
      <c r="J9374" s="71"/>
      <c r="M9374" s="46"/>
      <c r="R9374" s="51"/>
      <c r="S9374" s="51"/>
    </row>
    <row r="9375" spans="9:19" x14ac:dyDescent="0.25">
      <c r="I9375" s="1"/>
      <c r="J9375" s="71"/>
      <c r="M9375" s="46"/>
      <c r="R9375" s="51"/>
      <c r="S9375" s="51"/>
    </row>
    <row r="9376" spans="9:19" x14ac:dyDescent="0.25">
      <c r="I9376" s="1"/>
      <c r="J9376" s="71"/>
      <c r="M9376" s="46"/>
      <c r="R9376" s="51"/>
      <c r="S9376" s="51"/>
    </row>
    <row r="9377" spans="9:19" x14ac:dyDescent="0.25">
      <c r="I9377" s="1"/>
      <c r="J9377" s="71"/>
      <c r="M9377" s="46"/>
      <c r="R9377" s="51"/>
      <c r="S9377" s="51"/>
    </row>
    <row r="9378" spans="9:19" x14ac:dyDescent="0.25">
      <c r="I9378" s="1"/>
      <c r="J9378" s="71"/>
      <c r="M9378" s="46"/>
      <c r="R9378" s="51"/>
      <c r="S9378" s="51"/>
    </row>
    <row r="9379" spans="9:19" x14ac:dyDescent="0.25">
      <c r="I9379" s="1"/>
      <c r="J9379" s="71"/>
      <c r="M9379" s="46"/>
      <c r="R9379" s="51"/>
      <c r="S9379" s="51"/>
    </row>
    <row r="9380" spans="9:19" x14ac:dyDescent="0.25">
      <c r="I9380" s="1"/>
      <c r="J9380" s="71"/>
      <c r="M9380" s="46"/>
      <c r="R9380" s="51"/>
      <c r="S9380" s="51"/>
    </row>
    <row r="9381" spans="9:19" x14ac:dyDescent="0.25">
      <c r="I9381" s="1"/>
      <c r="J9381" s="71"/>
      <c r="M9381" s="46"/>
      <c r="R9381" s="51"/>
      <c r="S9381" s="51"/>
    </row>
    <row r="9382" spans="9:19" x14ac:dyDescent="0.25">
      <c r="I9382" s="1"/>
      <c r="J9382" s="71"/>
      <c r="M9382" s="46"/>
      <c r="R9382" s="51"/>
      <c r="S9382" s="51"/>
    </row>
    <row r="9383" spans="9:19" x14ac:dyDescent="0.25">
      <c r="I9383" s="1"/>
      <c r="J9383" s="71"/>
      <c r="M9383" s="46"/>
      <c r="R9383" s="51"/>
      <c r="S9383" s="51"/>
    </row>
    <row r="9384" spans="9:19" x14ac:dyDescent="0.25">
      <c r="I9384" s="1"/>
      <c r="J9384" s="71"/>
      <c r="M9384" s="46"/>
      <c r="R9384" s="51"/>
      <c r="S9384" s="51"/>
    </row>
    <row r="9385" spans="9:19" x14ac:dyDescent="0.25">
      <c r="I9385" s="1"/>
      <c r="J9385" s="71"/>
      <c r="M9385" s="46"/>
      <c r="R9385" s="51"/>
      <c r="S9385" s="51"/>
    </row>
    <row r="9386" spans="9:19" x14ac:dyDescent="0.25">
      <c r="I9386" s="1"/>
      <c r="J9386" s="71"/>
      <c r="M9386" s="46"/>
      <c r="R9386" s="51"/>
      <c r="S9386" s="51"/>
    </row>
    <row r="9387" spans="9:19" x14ac:dyDescent="0.25">
      <c r="I9387" s="1"/>
      <c r="J9387" s="71"/>
      <c r="M9387" s="46"/>
      <c r="R9387" s="51"/>
      <c r="S9387" s="51"/>
    </row>
    <row r="9388" spans="9:19" x14ac:dyDescent="0.25">
      <c r="I9388" s="1"/>
      <c r="J9388" s="71"/>
      <c r="M9388" s="46"/>
      <c r="R9388" s="51"/>
      <c r="S9388" s="51"/>
    </row>
    <row r="9389" spans="9:19" x14ac:dyDescent="0.25">
      <c r="I9389" s="1"/>
      <c r="J9389" s="71"/>
      <c r="M9389" s="46"/>
      <c r="R9389" s="51"/>
      <c r="S9389" s="51"/>
    </row>
    <row r="9390" spans="9:19" x14ac:dyDescent="0.25">
      <c r="I9390" s="1"/>
      <c r="J9390" s="71"/>
      <c r="M9390" s="46"/>
      <c r="R9390" s="51"/>
      <c r="S9390" s="51"/>
    </row>
    <row r="9391" spans="9:19" x14ac:dyDescent="0.25">
      <c r="I9391" s="1"/>
      <c r="J9391" s="71"/>
      <c r="M9391" s="46"/>
      <c r="R9391" s="51"/>
      <c r="S9391" s="51"/>
    </row>
    <row r="9392" spans="9:19" x14ac:dyDescent="0.25">
      <c r="I9392" s="1"/>
      <c r="J9392" s="71"/>
      <c r="M9392" s="46"/>
      <c r="R9392" s="51"/>
      <c r="S9392" s="51"/>
    </row>
    <row r="9393" spans="9:19" x14ac:dyDescent="0.25">
      <c r="I9393" s="1"/>
      <c r="J9393" s="71"/>
      <c r="M9393" s="46"/>
      <c r="R9393" s="51"/>
      <c r="S9393" s="51"/>
    </row>
    <row r="9394" spans="9:19" x14ac:dyDescent="0.25">
      <c r="I9394" s="1"/>
      <c r="J9394" s="71"/>
      <c r="M9394" s="46"/>
      <c r="R9394" s="51"/>
      <c r="S9394" s="51"/>
    </row>
    <row r="9395" spans="9:19" x14ac:dyDescent="0.25">
      <c r="I9395" s="1"/>
      <c r="J9395" s="71"/>
      <c r="M9395" s="46"/>
      <c r="R9395" s="51"/>
      <c r="S9395" s="51"/>
    </row>
    <row r="9396" spans="9:19" x14ac:dyDescent="0.25">
      <c r="I9396" s="1"/>
      <c r="J9396" s="71"/>
      <c r="M9396" s="46"/>
      <c r="R9396" s="51"/>
      <c r="S9396" s="51"/>
    </row>
    <row r="9397" spans="9:19" x14ac:dyDescent="0.25">
      <c r="I9397" s="1"/>
      <c r="J9397" s="71"/>
      <c r="M9397" s="46"/>
      <c r="R9397" s="51"/>
      <c r="S9397" s="51"/>
    </row>
    <row r="9398" spans="9:19" x14ac:dyDescent="0.25">
      <c r="I9398" s="1"/>
      <c r="J9398" s="71"/>
      <c r="M9398" s="46"/>
      <c r="R9398" s="51"/>
      <c r="S9398" s="51"/>
    </row>
    <row r="9399" spans="9:19" x14ac:dyDescent="0.25">
      <c r="I9399" s="1"/>
      <c r="J9399" s="71"/>
      <c r="M9399" s="46"/>
      <c r="R9399" s="51"/>
      <c r="S9399" s="51"/>
    </row>
    <row r="9400" spans="9:19" x14ac:dyDescent="0.25">
      <c r="I9400" s="1"/>
      <c r="J9400" s="71"/>
      <c r="M9400" s="46"/>
      <c r="R9400" s="51"/>
      <c r="S9400" s="51"/>
    </row>
    <row r="9401" spans="9:19" x14ac:dyDescent="0.25">
      <c r="I9401" s="1"/>
      <c r="J9401" s="71"/>
      <c r="M9401" s="46"/>
      <c r="R9401" s="51"/>
      <c r="S9401" s="51"/>
    </row>
    <row r="9402" spans="9:19" x14ac:dyDescent="0.25">
      <c r="I9402" s="1"/>
      <c r="J9402" s="71"/>
      <c r="M9402" s="46"/>
      <c r="R9402" s="51"/>
      <c r="S9402" s="51"/>
    </row>
    <row r="9403" spans="9:19" x14ac:dyDescent="0.25">
      <c r="I9403" s="1"/>
      <c r="J9403" s="71"/>
      <c r="M9403" s="46"/>
      <c r="R9403" s="51"/>
      <c r="S9403" s="51"/>
    </row>
    <row r="9404" spans="9:19" x14ac:dyDescent="0.25">
      <c r="I9404" s="1"/>
      <c r="J9404" s="71"/>
      <c r="M9404" s="46"/>
      <c r="R9404" s="51"/>
      <c r="S9404" s="51"/>
    </row>
    <row r="9405" spans="9:19" x14ac:dyDescent="0.25">
      <c r="I9405" s="1"/>
      <c r="J9405" s="71"/>
      <c r="M9405" s="46"/>
      <c r="R9405" s="51"/>
      <c r="S9405" s="51"/>
    </row>
    <row r="9406" spans="9:19" x14ac:dyDescent="0.25">
      <c r="I9406" s="1"/>
      <c r="J9406" s="71"/>
      <c r="M9406" s="46"/>
      <c r="R9406" s="51"/>
      <c r="S9406" s="51"/>
    </row>
    <row r="9407" spans="9:19" x14ac:dyDescent="0.25">
      <c r="I9407" s="1"/>
      <c r="J9407" s="71"/>
      <c r="M9407" s="46"/>
      <c r="R9407" s="51"/>
      <c r="S9407" s="51"/>
    </row>
    <row r="9408" spans="9:19" x14ac:dyDescent="0.25">
      <c r="I9408" s="1"/>
      <c r="J9408" s="71"/>
      <c r="M9408" s="46"/>
      <c r="R9408" s="51"/>
      <c r="S9408" s="51"/>
    </row>
    <row r="9409" spans="9:19" x14ac:dyDescent="0.25">
      <c r="I9409" s="1"/>
      <c r="J9409" s="71"/>
      <c r="M9409" s="46"/>
      <c r="R9409" s="51"/>
      <c r="S9409" s="51"/>
    </row>
    <row r="9410" spans="9:19" x14ac:dyDescent="0.25">
      <c r="I9410" s="1"/>
      <c r="J9410" s="71"/>
      <c r="M9410" s="46"/>
      <c r="R9410" s="51"/>
      <c r="S9410" s="51"/>
    </row>
    <row r="9411" spans="9:19" x14ac:dyDescent="0.25">
      <c r="I9411" s="1"/>
      <c r="J9411" s="71"/>
      <c r="M9411" s="46"/>
      <c r="R9411" s="51"/>
      <c r="S9411" s="51"/>
    </row>
    <row r="9412" spans="9:19" x14ac:dyDescent="0.25">
      <c r="I9412" s="1"/>
      <c r="J9412" s="71"/>
      <c r="M9412" s="46"/>
      <c r="R9412" s="51"/>
      <c r="S9412" s="51"/>
    </row>
    <row r="9413" spans="9:19" x14ac:dyDescent="0.25">
      <c r="I9413" s="1"/>
      <c r="J9413" s="71"/>
      <c r="M9413" s="46"/>
      <c r="R9413" s="51"/>
      <c r="S9413" s="51"/>
    </row>
    <row r="9414" spans="9:19" x14ac:dyDescent="0.25">
      <c r="I9414" s="1"/>
      <c r="J9414" s="71"/>
      <c r="M9414" s="46"/>
      <c r="R9414" s="51"/>
      <c r="S9414" s="51"/>
    </row>
    <row r="9415" spans="9:19" x14ac:dyDescent="0.25">
      <c r="I9415" s="1"/>
      <c r="J9415" s="71"/>
      <c r="M9415" s="46"/>
      <c r="R9415" s="51"/>
      <c r="S9415" s="51"/>
    </row>
    <row r="9416" spans="9:19" x14ac:dyDescent="0.25">
      <c r="I9416" s="1"/>
      <c r="J9416" s="71"/>
      <c r="M9416" s="46"/>
      <c r="R9416" s="51"/>
      <c r="S9416" s="51"/>
    </row>
    <row r="9417" spans="9:19" x14ac:dyDescent="0.25">
      <c r="I9417" s="1"/>
      <c r="J9417" s="71"/>
      <c r="M9417" s="46"/>
      <c r="R9417" s="51"/>
      <c r="S9417" s="51"/>
    </row>
    <row r="9418" spans="9:19" x14ac:dyDescent="0.25">
      <c r="I9418" s="1"/>
      <c r="J9418" s="71"/>
      <c r="M9418" s="46"/>
      <c r="R9418" s="51"/>
      <c r="S9418" s="51"/>
    </row>
    <row r="9419" spans="9:19" x14ac:dyDescent="0.25">
      <c r="I9419" s="1"/>
      <c r="J9419" s="71"/>
      <c r="M9419" s="46"/>
      <c r="R9419" s="51"/>
      <c r="S9419" s="51"/>
    </row>
    <row r="9420" spans="9:19" x14ac:dyDescent="0.25">
      <c r="I9420" s="1"/>
      <c r="J9420" s="71"/>
      <c r="M9420" s="46"/>
      <c r="R9420" s="51"/>
      <c r="S9420" s="51"/>
    </row>
    <row r="9421" spans="9:19" x14ac:dyDescent="0.25">
      <c r="I9421" s="1"/>
      <c r="J9421" s="71"/>
      <c r="M9421" s="46"/>
      <c r="R9421" s="51"/>
      <c r="S9421" s="51"/>
    </row>
    <row r="9422" spans="9:19" x14ac:dyDescent="0.25">
      <c r="I9422" s="1"/>
      <c r="J9422" s="71"/>
      <c r="M9422" s="46"/>
      <c r="R9422" s="51"/>
      <c r="S9422" s="51"/>
    </row>
    <row r="9423" spans="9:19" x14ac:dyDescent="0.25">
      <c r="I9423" s="1"/>
      <c r="J9423" s="71"/>
      <c r="M9423" s="46"/>
      <c r="R9423" s="51"/>
      <c r="S9423" s="51"/>
    </row>
    <row r="9424" spans="9:19" x14ac:dyDescent="0.25">
      <c r="I9424" s="1"/>
      <c r="J9424" s="71"/>
      <c r="M9424" s="46"/>
      <c r="R9424" s="51"/>
      <c r="S9424" s="51"/>
    </row>
    <row r="9425" spans="9:19" x14ac:dyDescent="0.25">
      <c r="I9425" s="1"/>
      <c r="J9425" s="71"/>
      <c r="M9425" s="46"/>
      <c r="R9425" s="51"/>
      <c r="S9425" s="51"/>
    </row>
    <row r="9426" spans="9:19" x14ac:dyDescent="0.25">
      <c r="I9426" s="1"/>
      <c r="J9426" s="71"/>
      <c r="M9426" s="46"/>
      <c r="R9426" s="51"/>
      <c r="S9426" s="51"/>
    </row>
    <row r="9427" spans="9:19" x14ac:dyDescent="0.25">
      <c r="I9427" s="1"/>
      <c r="J9427" s="71"/>
      <c r="M9427" s="46"/>
      <c r="R9427" s="51"/>
      <c r="S9427" s="51"/>
    </row>
    <row r="9428" spans="9:19" x14ac:dyDescent="0.25">
      <c r="I9428" s="1"/>
      <c r="J9428" s="71"/>
      <c r="M9428" s="46"/>
      <c r="R9428" s="51"/>
      <c r="S9428" s="51"/>
    </row>
    <row r="9429" spans="9:19" x14ac:dyDescent="0.25">
      <c r="I9429" s="1"/>
      <c r="J9429" s="71"/>
      <c r="M9429" s="46"/>
      <c r="R9429" s="51"/>
      <c r="S9429" s="51"/>
    </row>
    <row r="9430" spans="9:19" x14ac:dyDescent="0.25">
      <c r="I9430" s="1"/>
      <c r="J9430" s="71"/>
      <c r="M9430" s="46"/>
      <c r="R9430" s="51"/>
      <c r="S9430" s="51"/>
    </row>
    <row r="9431" spans="9:19" x14ac:dyDescent="0.25">
      <c r="I9431" s="1"/>
      <c r="J9431" s="71"/>
      <c r="M9431" s="46"/>
      <c r="R9431" s="51"/>
      <c r="S9431" s="51"/>
    </row>
    <row r="9432" spans="9:19" x14ac:dyDescent="0.25">
      <c r="I9432" s="1"/>
      <c r="J9432" s="71"/>
      <c r="M9432" s="46"/>
      <c r="R9432" s="51"/>
      <c r="S9432" s="51"/>
    </row>
    <row r="9433" spans="9:19" x14ac:dyDescent="0.25">
      <c r="I9433" s="1"/>
      <c r="J9433" s="71"/>
      <c r="M9433" s="46"/>
      <c r="R9433" s="51"/>
      <c r="S9433" s="51"/>
    </row>
    <row r="9434" spans="9:19" x14ac:dyDescent="0.25">
      <c r="I9434" s="1"/>
      <c r="J9434" s="71"/>
      <c r="M9434" s="46"/>
      <c r="R9434" s="51"/>
      <c r="S9434" s="51"/>
    </row>
    <row r="9435" spans="9:19" x14ac:dyDescent="0.25">
      <c r="I9435" s="1"/>
      <c r="J9435" s="71"/>
      <c r="M9435" s="46"/>
      <c r="R9435" s="51"/>
      <c r="S9435" s="51"/>
    </row>
    <row r="9436" spans="9:19" x14ac:dyDescent="0.25">
      <c r="I9436" s="1"/>
      <c r="J9436" s="71"/>
      <c r="M9436" s="46"/>
      <c r="R9436" s="51"/>
      <c r="S9436" s="51"/>
    </row>
    <row r="9437" spans="9:19" x14ac:dyDescent="0.25">
      <c r="I9437" s="1"/>
      <c r="J9437" s="71"/>
      <c r="M9437" s="46"/>
      <c r="R9437" s="51"/>
      <c r="S9437" s="51"/>
    </row>
    <row r="9438" spans="9:19" x14ac:dyDescent="0.25">
      <c r="I9438" s="1"/>
      <c r="J9438" s="71"/>
      <c r="M9438" s="46"/>
      <c r="R9438" s="51"/>
      <c r="S9438" s="51"/>
    </row>
    <row r="9439" spans="9:19" x14ac:dyDescent="0.25">
      <c r="I9439" s="1"/>
      <c r="J9439" s="71"/>
      <c r="M9439" s="46"/>
      <c r="R9439" s="51"/>
      <c r="S9439" s="51"/>
    </row>
    <row r="9440" spans="9:19" x14ac:dyDescent="0.25">
      <c r="I9440" s="1"/>
      <c r="J9440" s="71"/>
      <c r="M9440" s="46"/>
      <c r="R9440" s="51"/>
      <c r="S9440" s="51"/>
    </row>
    <row r="9441" spans="9:19" x14ac:dyDescent="0.25">
      <c r="I9441" s="1"/>
      <c r="J9441" s="71"/>
      <c r="M9441" s="46"/>
      <c r="R9441" s="51"/>
      <c r="S9441" s="51"/>
    </row>
    <row r="9442" spans="9:19" x14ac:dyDescent="0.25">
      <c r="I9442" s="1"/>
      <c r="J9442" s="71"/>
      <c r="M9442" s="46"/>
      <c r="R9442" s="51"/>
      <c r="S9442" s="51"/>
    </row>
    <row r="9443" spans="9:19" x14ac:dyDescent="0.25">
      <c r="I9443" s="1"/>
      <c r="J9443" s="71"/>
      <c r="M9443" s="46"/>
      <c r="R9443" s="51"/>
      <c r="S9443" s="51"/>
    </row>
    <row r="9444" spans="9:19" x14ac:dyDescent="0.25">
      <c r="I9444" s="1"/>
      <c r="J9444" s="71"/>
      <c r="M9444" s="46"/>
      <c r="R9444" s="51"/>
      <c r="S9444" s="51"/>
    </row>
    <row r="9445" spans="9:19" x14ac:dyDescent="0.25">
      <c r="I9445" s="1"/>
      <c r="J9445" s="71"/>
      <c r="M9445" s="46"/>
      <c r="R9445" s="51"/>
      <c r="S9445" s="51"/>
    </row>
    <row r="9446" spans="9:19" x14ac:dyDescent="0.25">
      <c r="I9446" s="1"/>
      <c r="J9446" s="71"/>
      <c r="M9446" s="46"/>
      <c r="R9446" s="51"/>
      <c r="S9446" s="51"/>
    </row>
    <row r="9447" spans="9:19" x14ac:dyDescent="0.25">
      <c r="I9447" s="1"/>
      <c r="J9447" s="71"/>
      <c r="M9447" s="46"/>
      <c r="R9447" s="51"/>
      <c r="S9447" s="51"/>
    </row>
    <row r="9448" spans="9:19" x14ac:dyDescent="0.25">
      <c r="I9448" s="1"/>
      <c r="J9448" s="71"/>
      <c r="M9448" s="46"/>
      <c r="R9448" s="51"/>
      <c r="S9448" s="51"/>
    </row>
    <row r="9449" spans="9:19" x14ac:dyDescent="0.25">
      <c r="I9449" s="1"/>
      <c r="J9449" s="71"/>
      <c r="M9449" s="46"/>
      <c r="R9449" s="51"/>
      <c r="S9449" s="51"/>
    </row>
    <row r="9450" spans="9:19" x14ac:dyDescent="0.25">
      <c r="I9450" s="1"/>
      <c r="J9450" s="71"/>
      <c r="M9450" s="46"/>
      <c r="R9450" s="51"/>
      <c r="S9450" s="51"/>
    </row>
    <row r="9451" spans="9:19" x14ac:dyDescent="0.25">
      <c r="I9451" s="1"/>
      <c r="J9451" s="71"/>
      <c r="M9451" s="46"/>
      <c r="R9451" s="51"/>
      <c r="S9451" s="51"/>
    </row>
    <row r="9452" spans="9:19" x14ac:dyDescent="0.25">
      <c r="I9452" s="1"/>
      <c r="J9452" s="71"/>
      <c r="M9452" s="46"/>
      <c r="R9452" s="51"/>
      <c r="S9452" s="51"/>
    </row>
    <row r="9453" spans="9:19" x14ac:dyDescent="0.25">
      <c r="I9453" s="1"/>
      <c r="J9453" s="71"/>
      <c r="M9453" s="46"/>
      <c r="R9453" s="51"/>
      <c r="S9453" s="51"/>
    </row>
    <row r="9454" spans="9:19" x14ac:dyDescent="0.25">
      <c r="I9454" s="1"/>
      <c r="J9454" s="71"/>
      <c r="M9454" s="46"/>
      <c r="R9454" s="51"/>
      <c r="S9454" s="51"/>
    </row>
    <row r="9455" spans="9:19" x14ac:dyDescent="0.25">
      <c r="I9455" s="1"/>
      <c r="J9455" s="71"/>
      <c r="M9455" s="46"/>
      <c r="R9455" s="51"/>
      <c r="S9455" s="51"/>
    </row>
    <row r="9456" spans="9:19" x14ac:dyDescent="0.25">
      <c r="I9456" s="1"/>
      <c r="J9456" s="71"/>
      <c r="M9456" s="46"/>
      <c r="R9456" s="51"/>
      <c r="S9456" s="51"/>
    </row>
    <row r="9457" spans="9:19" x14ac:dyDescent="0.25">
      <c r="I9457" s="1"/>
      <c r="J9457" s="71"/>
      <c r="M9457" s="46"/>
      <c r="R9457" s="51"/>
      <c r="S9457" s="51"/>
    </row>
    <row r="9458" spans="9:19" x14ac:dyDescent="0.25">
      <c r="I9458" s="1"/>
      <c r="J9458" s="71"/>
      <c r="M9458" s="46"/>
      <c r="R9458" s="51"/>
      <c r="S9458" s="51"/>
    </row>
    <row r="9459" spans="9:19" x14ac:dyDescent="0.25">
      <c r="I9459" s="1"/>
      <c r="J9459" s="71"/>
      <c r="M9459" s="46"/>
      <c r="R9459" s="51"/>
      <c r="S9459" s="51"/>
    </row>
    <row r="9460" spans="9:19" x14ac:dyDescent="0.25">
      <c r="I9460" s="1"/>
      <c r="J9460" s="71"/>
      <c r="M9460" s="46"/>
      <c r="R9460" s="51"/>
      <c r="S9460" s="51"/>
    </row>
    <row r="9461" spans="9:19" x14ac:dyDescent="0.25">
      <c r="I9461" s="1"/>
      <c r="J9461" s="71"/>
      <c r="M9461" s="46"/>
      <c r="R9461" s="51"/>
      <c r="S9461" s="51"/>
    </row>
    <row r="9462" spans="9:19" x14ac:dyDescent="0.25">
      <c r="I9462" s="1"/>
      <c r="J9462" s="71"/>
      <c r="M9462" s="46"/>
      <c r="R9462" s="51"/>
      <c r="S9462" s="51"/>
    </row>
    <row r="9463" spans="9:19" x14ac:dyDescent="0.25">
      <c r="I9463" s="1"/>
      <c r="J9463" s="71"/>
      <c r="M9463" s="46"/>
      <c r="R9463" s="51"/>
      <c r="S9463" s="51"/>
    </row>
    <row r="9464" spans="9:19" x14ac:dyDescent="0.25">
      <c r="I9464" s="1"/>
      <c r="J9464" s="71"/>
      <c r="M9464" s="46"/>
      <c r="R9464" s="51"/>
      <c r="S9464" s="51"/>
    </row>
    <row r="9465" spans="9:19" x14ac:dyDescent="0.25">
      <c r="I9465" s="1"/>
      <c r="J9465" s="71"/>
      <c r="M9465" s="46"/>
      <c r="R9465" s="51"/>
      <c r="S9465" s="51"/>
    </row>
    <row r="9466" spans="9:19" x14ac:dyDescent="0.25">
      <c r="I9466" s="1"/>
      <c r="J9466" s="71"/>
      <c r="M9466" s="46"/>
      <c r="R9466" s="51"/>
      <c r="S9466" s="51"/>
    </row>
    <row r="9467" spans="9:19" x14ac:dyDescent="0.25">
      <c r="I9467" s="1"/>
      <c r="J9467" s="71"/>
      <c r="M9467" s="46"/>
      <c r="R9467" s="51"/>
      <c r="S9467" s="51"/>
    </row>
    <row r="9468" spans="9:19" x14ac:dyDescent="0.25">
      <c r="I9468" s="1"/>
      <c r="J9468" s="71"/>
      <c r="M9468" s="46"/>
      <c r="R9468" s="51"/>
      <c r="S9468" s="51"/>
    </row>
    <row r="9469" spans="9:19" x14ac:dyDescent="0.25">
      <c r="I9469" s="1"/>
      <c r="J9469" s="71"/>
      <c r="M9469" s="46"/>
      <c r="R9469" s="51"/>
      <c r="S9469" s="51"/>
    </row>
    <row r="9470" spans="9:19" x14ac:dyDescent="0.25">
      <c r="I9470" s="1"/>
      <c r="J9470" s="71"/>
      <c r="M9470" s="46"/>
      <c r="R9470" s="51"/>
      <c r="S9470" s="51"/>
    </row>
    <row r="9471" spans="9:19" x14ac:dyDescent="0.25">
      <c r="I9471" s="1"/>
      <c r="J9471" s="71"/>
      <c r="M9471" s="46"/>
      <c r="R9471" s="51"/>
      <c r="S9471" s="51"/>
    </row>
    <row r="9472" spans="9:19" x14ac:dyDescent="0.25">
      <c r="I9472" s="1"/>
      <c r="J9472" s="71"/>
      <c r="M9472" s="46"/>
      <c r="R9472" s="51"/>
      <c r="S9472" s="51"/>
    </row>
    <row r="9473" spans="9:19" x14ac:dyDescent="0.25">
      <c r="I9473" s="1"/>
      <c r="J9473" s="71"/>
      <c r="M9473" s="46"/>
      <c r="R9473" s="51"/>
      <c r="S9473" s="51"/>
    </row>
    <row r="9474" spans="9:19" x14ac:dyDescent="0.25">
      <c r="I9474" s="1"/>
      <c r="J9474" s="71"/>
      <c r="M9474" s="46"/>
      <c r="R9474" s="51"/>
      <c r="S9474" s="51"/>
    </row>
    <row r="9475" spans="9:19" x14ac:dyDescent="0.25">
      <c r="I9475" s="1"/>
      <c r="J9475" s="71"/>
      <c r="M9475" s="46"/>
      <c r="R9475" s="51"/>
      <c r="S9475" s="51"/>
    </row>
    <row r="9476" spans="9:19" x14ac:dyDescent="0.25">
      <c r="I9476" s="1"/>
      <c r="J9476" s="71"/>
      <c r="M9476" s="46"/>
      <c r="R9476" s="51"/>
      <c r="S9476" s="51"/>
    </row>
    <row r="9477" spans="9:19" x14ac:dyDescent="0.25">
      <c r="I9477" s="1"/>
      <c r="J9477" s="71"/>
      <c r="M9477" s="46"/>
      <c r="R9477" s="51"/>
      <c r="S9477" s="51"/>
    </row>
    <row r="9478" spans="9:19" x14ac:dyDescent="0.25">
      <c r="I9478" s="1"/>
      <c r="J9478" s="71"/>
      <c r="M9478" s="46"/>
      <c r="R9478" s="51"/>
      <c r="S9478" s="51"/>
    </row>
    <row r="9479" spans="9:19" x14ac:dyDescent="0.25">
      <c r="I9479" s="1"/>
      <c r="J9479" s="71"/>
      <c r="M9479" s="46"/>
      <c r="R9479" s="51"/>
      <c r="S9479" s="51"/>
    </row>
    <row r="9480" spans="9:19" x14ac:dyDescent="0.25">
      <c r="I9480" s="1"/>
      <c r="J9480" s="71"/>
      <c r="M9480" s="46"/>
      <c r="R9480" s="51"/>
      <c r="S9480" s="51"/>
    </row>
    <row r="9481" spans="9:19" x14ac:dyDescent="0.25">
      <c r="I9481" s="1"/>
      <c r="J9481" s="71"/>
      <c r="M9481" s="46"/>
      <c r="R9481" s="51"/>
      <c r="S9481" s="51"/>
    </row>
    <row r="9482" spans="9:19" x14ac:dyDescent="0.25">
      <c r="I9482" s="1"/>
      <c r="J9482" s="71"/>
      <c r="M9482" s="46"/>
      <c r="R9482" s="51"/>
      <c r="S9482" s="51"/>
    </row>
    <row r="9483" spans="9:19" x14ac:dyDescent="0.25">
      <c r="I9483" s="1"/>
      <c r="J9483" s="71"/>
      <c r="M9483" s="46"/>
      <c r="R9483" s="51"/>
      <c r="S9483" s="51"/>
    </row>
    <row r="9484" spans="9:19" x14ac:dyDescent="0.25">
      <c r="I9484" s="1"/>
      <c r="J9484" s="71"/>
      <c r="M9484" s="46"/>
      <c r="R9484" s="51"/>
      <c r="S9484" s="51"/>
    </row>
    <row r="9485" spans="9:19" x14ac:dyDescent="0.25">
      <c r="I9485" s="1"/>
      <c r="J9485" s="71"/>
      <c r="M9485" s="46"/>
      <c r="R9485" s="51"/>
      <c r="S9485" s="51"/>
    </row>
    <row r="9486" spans="9:19" x14ac:dyDescent="0.25">
      <c r="I9486" s="1"/>
      <c r="J9486" s="71"/>
      <c r="M9486" s="46"/>
      <c r="R9486" s="51"/>
      <c r="S9486" s="51"/>
    </row>
    <row r="9487" spans="9:19" x14ac:dyDescent="0.25">
      <c r="I9487" s="1"/>
      <c r="J9487" s="71"/>
      <c r="M9487" s="46"/>
      <c r="R9487" s="51"/>
      <c r="S9487" s="51"/>
    </row>
    <row r="9488" spans="9:19" x14ac:dyDescent="0.25">
      <c r="I9488" s="1"/>
      <c r="J9488" s="71"/>
      <c r="M9488" s="46"/>
      <c r="R9488" s="51"/>
      <c r="S9488" s="51"/>
    </row>
    <row r="9489" spans="9:19" x14ac:dyDescent="0.25">
      <c r="I9489" s="1"/>
      <c r="J9489" s="71"/>
      <c r="M9489" s="46"/>
      <c r="R9489" s="51"/>
      <c r="S9489" s="51"/>
    </row>
    <row r="9490" spans="9:19" x14ac:dyDescent="0.25">
      <c r="I9490" s="1"/>
      <c r="J9490" s="71"/>
      <c r="M9490" s="46"/>
      <c r="R9490" s="51"/>
      <c r="S9490" s="51"/>
    </row>
    <row r="9491" spans="9:19" x14ac:dyDescent="0.25">
      <c r="I9491" s="1"/>
      <c r="J9491" s="71"/>
      <c r="M9491" s="46"/>
      <c r="R9491" s="51"/>
      <c r="S9491" s="51"/>
    </row>
    <row r="9492" spans="9:19" x14ac:dyDescent="0.25">
      <c r="I9492" s="1"/>
      <c r="J9492" s="71"/>
      <c r="M9492" s="46"/>
      <c r="R9492" s="51"/>
      <c r="S9492" s="51"/>
    </row>
    <row r="9493" spans="9:19" x14ac:dyDescent="0.25">
      <c r="I9493" s="1"/>
      <c r="J9493" s="71"/>
      <c r="M9493" s="46"/>
      <c r="R9493" s="51"/>
      <c r="S9493" s="51"/>
    </row>
    <row r="9494" spans="9:19" x14ac:dyDescent="0.25">
      <c r="I9494" s="1"/>
      <c r="J9494" s="71"/>
      <c r="M9494" s="46"/>
      <c r="R9494" s="51"/>
      <c r="S9494" s="51"/>
    </row>
    <row r="9495" spans="9:19" x14ac:dyDescent="0.25">
      <c r="I9495" s="1"/>
      <c r="J9495" s="71"/>
      <c r="M9495" s="46"/>
      <c r="R9495" s="51"/>
      <c r="S9495" s="51"/>
    </row>
    <row r="9496" spans="9:19" x14ac:dyDescent="0.25">
      <c r="I9496" s="1"/>
      <c r="J9496" s="71"/>
      <c r="M9496" s="46"/>
      <c r="R9496" s="51"/>
      <c r="S9496" s="51"/>
    </row>
    <row r="9497" spans="9:19" x14ac:dyDescent="0.25">
      <c r="I9497" s="1"/>
      <c r="J9497" s="71"/>
      <c r="M9497" s="46"/>
      <c r="R9497" s="51"/>
      <c r="S9497" s="51"/>
    </row>
    <row r="9498" spans="9:19" x14ac:dyDescent="0.25">
      <c r="I9498" s="1"/>
      <c r="J9498" s="71"/>
      <c r="M9498" s="46"/>
      <c r="R9498" s="51"/>
      <c r="S9498" s="51"/>
    </row>
    <row r="9499" spans="9:19" x14ac:dyDescent="0.25">
      <c r="I9499" s="1"/>
      <c r="J9499" s="71"/>
      <c r="M9499" s="46"/>
      <c r="R9499" s="51"/>
      <c r="S9499" s="51"/>
    </row>
    <row r="9500" spans="9:19" x14ac:dyDescent="0.25">
      <c r="I9500" s="1"/>
      <c r="J9500" s="71"/>
      <c r="M9500" s="46"/>
      <c r="R9500" s="51"/>
      <c r="S9500" s="51"/>
    </row>
    <row r="9501" spans="9:19" x14ac:dyDescent="0.25">
      <c r="I9501" s="1"/>
      <c r="J9501" s="71"/>
      <c r="M9501" s="46"/>
      <c r="R9501" s="51"/>
      <c r="S9501" s="51"/>
    </row>
    <row r="9502" spans="9:19" x14ac:dyDescent="0.25">
      <c r="I9502" s="1"/>
      <c r="J9502" s="71"/>
      <c r="M9502" s="46"/>
      <c r="R9502" s="51"/>
      <c r="S9502" s="51"/>
    </row>
    <row r="9503" spans="9:19" x14ac:dyDescent="0.25">
      <c r="I9503" s="1"/>
      <c r="J9503" s="71"/>
      <c r="M9503" s="46"/>
      <c r="R9503" s="51"/>
      <c r="S9503" s="51"/>
    </row>
    <row r="9504" spans="9:19" x14ac:dyDescent="0.25">
      <c r="I9504" s="1"/>
      <c r="J9504" s="71"/>
      <c r="M9504" s="46"/>
      <c r="R9504" s="51"/>
      <c r="S9504" s="51"/>
    </row>
    <row r="9505" spans="9:19" x14ac:dyDescent="0.25">
      <c r="I9505" s="1"/>
      <c r="J9505" s="71"/>
      <c r="M9505" s="46"/>
      <c r="R9505" s="51"/>
      <c r="S9505" s="51"/>
    </row>
    <row r="9506" spans="9:19" x14ac:dyDescent="0.25">
      <c r="I9506" s="1"/>
      <c r="J9506" s="71"/>
      <c r="M9506" s="46"/>
      <c r="R9506" s="51"/>
      <c r="S9506" s="51"/>
    </row>
    <row r="9507" spans="9:19" x14ac:dyDescent="0.25">
      <c r="I9507" s="1"/>
      <c r="J9507" s="71"/>
      <c r="M9507" s="46"/>
      <c r="R9507" s="51"/>
      <c r="S9507" s="51"/>
    </row>
    <row r="9508" spans="9:19" x14ac:dyDescent="0.25">
      <c r="I9508" s="1"/>
      <c r="J9508" s="71"/>
      <c r="M9508" s="46"/>
      <c r="R9508" s="51"/>
      <c r="S9508" s="51"/>
    </row>
    <row r="9509" spans="9:19" x14ac:dyDescent="0.25">
      <c r="I9509" s="1"/>
      <c r="J9509" s="71"/>
      <c r="M9509" s="46"/>
      <c r="R9509" s="51"/>
      <c r="S9509" s="51"/>
    </row>
    <row r="9510" spans="9:19" x14ac:dyDescent="0.25">
      <c r="I9510" s="1"/>
      <c r="J9510" s="71"/>
      <c r="M9510" s="46"/>
      <c r="R9510" s="51"/>
      <c r="S9510" s="51"/>
    </row>
    <row r="9511" spans="9:19" x14ac:dyDescent="0.25">
      <c r="I9511" s="1"/>
      <c r="J9511" s="71"/>
      <c r="M9511" s="46"/>
      <c r="R9511" s="51"/>
      <c r="S9511" s="51"/>
    </row>
    <row r="9512" spans="9:19" x14ac:dyDescent="0.25">
      <c r="I9512" s="1"/>
      <c r="J9512" s="71"/>
      <c r="M9512" s="46"/>
      <c r="R9512" s="51"/>
      <c r="S9512" s="51"/>
    </row>
    <row r="9513" spans="9:19" x14ac:dyDescent="0.25">
      <c r="I9513" s="1"/>
      <c r="J9513" s="71"/>
      <c r="M9513" s="46"/>
      <c r="R9513" s="51"/>
      <c r="S9513" s="51"/>
    </row>
    <row r="9514" spans="9:19" x14ac:dyDescent="0.25">
      <c r="I9514" s="1"/>
      <c r="J9514" s="71"/>
      <c r="M9514" s="46"/>
      <c r="R9514" s="51"/>
      <c r="S9514" s="51"/>
    </row>
    <row r="9515" spans="9:19" x14ac:dyDescent="0.25">
      <c r="I9515" s="1"/>
      <c r="J9515" s="71"/>
      <c r="M9515" s="46"/>
      <c r="R9515" s="51"/>
      <c r="S9515" s="51"/>
    </row>
    <row r="9516" spans="9:19" x14ac:dyDescent="0.25">
      <c r="I9516" s="1"/>
      <c r="J9516" s="71"/>
      <c r="M9516" s="46"/>
      <c r="R9516" s="51"/>
      <c r="S9516" s="51"/>
    </row>
    <row r="9517" spans="9:19" x14ac:dyDescent="0.25">
      <c r="I9517" s="1"/>
      <c r="J9517" s="71"/>
      <c r="M9517" s="46"/>
      <c r="R9517" s="51"/>
      <c r="S9517" s="51"/>
    </row>
    <row r="9518" spans="9:19" x14ac:dyDescent="0.25">
      <c r="I9518" s="1"/>
      <c r="J9518" s="71"/>
      <c r="M9518" s="46"/>
      <c r="R9518" s="51"/>
      <c r="S9518" s="51"/>
    </row>
    <row r="9519" spans="9:19" x14ac:dyDescent="0.25">
      <c r="I9519" s="1"/>
      <c r="J9519" s="71"/>
      <c r="M9519" s="46"/>
      <c r="R9519" s="51"/>
      <c r="S9519" s="51"/>
    </row>
    <row r="9520" spans="9:19" x14ac:dyDescent="0.25">
      <c r="I9520" s="1"/>
      <c r="J9520" s="71"/>
      <c r="M9520" s="46"/>
      <c r="R9520" s="51"/>
      <c r="S9520" s="51"/>
    </row>
    <row r="9521" spans="9:19" x14ac:dyDescent="0.25">
      <c r="I9521" s="1"/>
      <c r="J9521" s="71"/>
      <c r="M9521" s="46"/>
      <c r="R9521" s="51"/>
      <c r="S9521" s="51"/>
    </row>
    <row r="9522" spans="9:19" x14ac:dyDescent="0.25">
      <c r="I9522" s="1"/>
      <c r="J9522" s="71"/>
      <c r="M9522" s="46"/>
      <c r="R9522" s="51"/>
      <c r="S9522" s="51"/>
    </row>
    <row r="9523" spans="9:19" x14ac:dyDescent="0.25">
      <c r="I9523" s="1"/>
      <c r="J9523" s="71"/>
      <c r="M9523" s="46"/>
      <c r="R9523" s="51"/>
      <c r="S9523" s="51"/>
    </row>
    <row r="9524" spans="9:19" x14ac:dyDescent="0.25">
      <c r="I9524" s="1"/>
      <c r="J9524" s="71"/>
      <c r="M9524" s="46"/>
      <c r="R9524" s="51"/>
      <c r="S9524" s="51"/>
    </row>
    <row r="9525" spans="9:19" x14ac:dyDescent="0.25">
      <c r="I9525" s="1"/>
      <c r="J9525" s="71"/>
      <c r="M9525" s="46"/>
      <c r="R9525" s="51"/>
      <c r="S9525" s="51"/>
    </row>
    <row r="9526" spans="9:19" x14ac:dyDescent="0.25">
      <c r="I9526" s="1"/>
      <c r="J9526" s="71"/>
      <c r="M9526" s="46"/>
      <c r="R9526" s="51"/>
      <c r="S9526" s="51"/>
    </row>
    <row r="9527" spans="9:19" x14ac:dyDescent="0.25">
      <c r="I9527" s="1"/>
      <c r="J9527" s="71"/>
      <c r="M9527" s="46"/>
      <c r="R9527" s="51"/>
      <c r="S9527" s="51"/>
    </row>
    <row r="9528" spans="9:19" x14ac:dyDescent="0.25">
      <c r="I9528" s="1"/>
      <c r="J9528" s="71"/>
      <c r="M9528" s="46"/>
      <c r="R9528" s="51"/>
      <c r="S9528" s="51"/>
    </row>
    <row r="9529" spans="9:19" x14ac:dyDescent="0.25">
      <c r="I9529" s="1"/>
      <c r="J9529" s="71"/>
      <c r="M9529" s="46"/>
      <c r="R9529" s="51"/>
      <c r="S9529" s="51"/>
    </row>
    <row r="9530" spans="9:19" x14ac:dyDescent="0.25">
      <c r="I9530" s="1"/>
      <c r="J9530" s="71"/>
      <c r="M9530" s="46"/>
      <c r="R9530" s="51"/>
      <c r="S9530" s="51"/>
    </row>
    <row r="9531" spans="9:19" x14ac:dyDescent="0.25">
      <c r="I9531" s="1"/>
      <c r="J9531" s="71"/>
      <c r="M9531" s="46"/>
      <c r="R9531" s="51"/>
      <c r="S9531" s="51"/>
    </row>
    <row r="9532" spans="9:19" x14ac:dyDescent="0.25">
      <c r="I9532" s="1"/>
      <c r="J9532" s="71"/>
      <c r="M9532" s="46"/>
      <c r="R9532" s="51"/>
      <c r="S9532" s="51"/>
    </row>
    <row r="9533" spans="9:19" x14ac:dyDescent="0.25">
      <c r="I9533" s="1"/>
      <c r="J9533" s="71"/>
      <c r="M9533" s="46"/>
      <c r="R9533" s="51"/>
      <c r="S9533" s="51"/>
    </row>
    <row r="9534" spans="9:19" x14ac:dyDescent="0.25">
      <c r="I9534" s="1"/>
      <c r="J9534" s="71"/>
      <c r="M9534" s="46"/>
      <c r="R9534" s="51"/>
      <c r="S9534" s="51"/>
    </row>
    <row r="9535" spans="9:19" x14ac:dyDescent="0.25">
      <c r="I9535" s="1"/>
      <c r="J9535" s="71"/>
      <c r="M9535" s="46"/>
      <c r="R9535" s="51"/>
      <c r="S9535" s="51"/>
    </row>
    <row r="9536" spans="9:19" x14ac:dyDescent="0.25">
      <c r="I9536" s="1"/>
      <c r="J9536" s="71"/>
      <c r="M9536" s="46"/>
      <c r="R9536" s="51"/>
      <c r="S9536" s="51"/>
    </row>
    <row r="9537" spans="9:19" x14ac:dyDescent="0.25">
      <c r="I9537" s="1"/>
      <c r="J9537" s="71"/>
      <c r="M9537" s="46"/>
      <c r="R9537" s="51"/>
      <c r="S9537" s="51"/>
    </row>
    <row r="9538" spans="9:19" x14ac:dyDescent="0.25">
      <c r="I9538" s="1"/>
      <c r="J9538" s="71"/>
      <c r="M9538" s="46"/>
      <c r="R9538" s="51"/>
      <c r="S9538" s="51"/>
    </row>
    <row r="9539" spans="9:19" x14ac:dyDescent="0.25">
      <c r="I9539" s="1"/>
      <c r="J9539" s="71"/>
      <c r="M9539" s="46"/>
      <c r="R9539" s="51"/>
      <c r="S9539" s="51"/>
    </row>
    <row r="9540" spans="9:19" x14ac:dyDescent="0.25">
      <c r="I9540" s="1"/>
      <c r="J9540" s="71"/>
      <c r="M9540" s="46"/>
      <c r="R9540" s="51"/>
      <c r="S9540" s="51"/>
    </row>
    <row r="9541" spans="9:19" x14ac:dyDescent="0.25">
      <c r="I9541" s="1"/>
      <c r="J9541" s="71"/>
      <c r="M9541" s="46"/>
      <c r="R9541" s="51"/>
      <c r="S9541" s="51"/>
    </row>
    <row r="9542" spans="9:19" x14ac:dyDescent="0.25">
      <c r="I9542" s="1"/>
      <c r="J9542" s="71"/>
      <c r="M9542" s="46"/>
      <c r="R9542" s="51"/>
      <c r="S9542" s="51"/>
    </row>
    <row r="9543" spans="9:19" x14ac:dyDescent="0.25">
      <c r="I9543" s="1"/>
      <c r="J9543" s="71"/>
      <c r="M9543" s="46"/>
      <c r="R9543" s="51"/>
      <c r="S9543" s="51"/>
    </row>
    <row r="9544" spans="9:19" x14ac:dyDescent="0.25">
      <c r="I9544" s="1"/>
      <c r="J9544" s="71"/>
      <c r="M9544" s="46"/>
      <c r="R9544" s="51"/>
      <c r="S9544" s="51"/>
    </row>
    <row r="9545" spans="9:19" x14ac:dyDescent="0.25">
      <c r="I9545" s="1"/>
      <c r="J9545" s="71"/>
      <c r="M9545" s="46"/>
      <c r="R9545" s="51"/>
      <c r="S9545" s="51"/>
    </row>
    <row r="9546" spans="9:19" x14ac:dyDescent="0.25">
      <c r="I9546" s="1"/>
      <c r="J9546" s="71"/>
      <c r="M9546" s="46"/>
      <c r="R9546" s="51"/>
      <c r="S9546" s="51"/>
    </row>
    <row r="9547" spans="9:19" x14ac:dyDescent="0.25">
      <c r="I9547" s="1"/>
      <c r="J9547" s="71"/>
      <c r="M9547" s="46"/>
      <c r="R9547" s="51"/>
      <c r="S9547" s="51"/>
    </row>
    <row r="9548" spans="9:19" x14ac:dyDescent="0.25">
      <c r="I9548" s="1"/>
      <c r="J9548" s="71"/>
      <c r="M9548" s="46"/>
      <c r="R9548" s="51"/>
      <c r="S9548" s="51"/>
    </row>
    <row r="9549" spans="9:19" x14ac:dyDescent="0.25">
      <c r="I9549" s="1"/>
      <c r="J9549" s="71"/>
      <c r="M9549" s="46"/>
      <c r="R9549" s="51"/>
      <c r="S9549" s="51"/>
    </row>
    <row r="9550" spans="9:19" x14ac:dyDescent="0.25">
      <c r="I9550" s="1"/>
      <c r="J9550" s="71"/>
      <c r="M9550" s="46"/>
      <c r="R9550" s="51"/>
      <c r="S9550" s="51"/>
    </row>
    <row r="9551" spans="9:19" x14ac:dyDescent="0.25">
      <c r="I9551" s="1"/>
      <c r="J9551" s="71"/>
      <c r="M9551" s="46"/>
      <c r="R9551" s="51"/>
      <c r="S9551" s="51"/>
    </row>
    <row r="9552" spans="9:19" x14ac:dyDescent="0.25">
      <c r="I9552" s="1"/>
      <c r="J9552" s="71"/>
      <c r="M9552" s="46"/>
      <c r="R9552" s="51"/>
      <c r="S9552" s="51"/>
    </row>
    <row r="9553" spans="9:19" x14ac:dyDescent="0.25">
      <c r="I9553" s="1"/>
      <c r="J9553" s="71"/>
      <c r="M9553" s="46"/>
      <c r="R9553" s="51"/>
      <c r="S9553" s="51"/>
    </row>
    <row r="9554" spans="9:19" x14ac:dyDescent="0.25">
      <c r="I9554" s="1"/>
      <c r="J9554" s="71"/>
      <c r="M9554" s="46"/>
      <c r="R9554" s="51"/>
      <c r="S9554" s="51"/>
    </row>
    <row r="9555" spans="9:19" x14ac:dyDescent="0.25">
      <c r="I9555" s="1"/>
      <c r="J9555" s="71"/>
      <c r="M9555" s="46"/>
      <c r="R9555" s="51"/>
      <c r="S9555" s="51"/>
    </row>
    <row r="9556" spans="9:19" x14ac:dyDescent="0.25">
      <c r="I9556" s="1"/>
      <c r="J9556" s="71"/>
      <c r="M9556" s="46"/>
      <c r="R9556" s="51"/>
      <c r="S9556" s="51"/>
    </row>
    <row r="9557" spans="9:19" x14ac:dyDescent="0.25">
      <c r="I9557" s="1"/>
      <c r="J9557" s="71"/>
      <c r="M9557" s="46"/>
      <c r="R9557" s="51"/>
      <c r="S9557" s="51"/>
    </row>
    <row r="9558" spans="9:19" x14ac:dyDescent="0.25">
      <c r="I9558" s="1"/>
      <c r="J9558" s="71"/>
      <c r="M9558" s="46"/>
      <c r="R9558" s="51"/>
      <c r="S9558" s="51"/>
    </row>
    <row r="9559" spans="9:19" x14ac:dyDescent="0.25">
      <c r="I9559" s="1"/>
      <c r="J9559" s="71"/>
      <c r="M9559" s="46"/>
      <c r="R9559" s="51"/>
      <c r="S9559" s="51"/>
    </row>
    <row r="9560" spans="9:19" x14ac:dyDescent="0.25">
      <c r="I9560" s="1"/>
      <c r="J9560" s="71"/>
      <c r="M9560" s="46"/>
      <c r="R9560" s="51"/>
      <c r="S9560" s="51"/>
    </row>
    <row r="9561" spans="9:19" x14ac:dyDescent="0.25">
      <c r="I9561" s="1"/>
      <c r="J9561" s="71"/>
      <c r="M9561" s="46"/>
      <c r="R9561" s="51"/>
      <c r="S9561" s="51"/>
    </row>
    <row r="9562" spans="9:19" x14ac:dyDescent="0.25">
      <c r="I9562" s="1"/>
      <c r="J9562" s="71"/>
      <c r="M9562" s="46"/>
      <c r="R9562" s="51"/>
      <c r="S9562" s="51"/>
    </row>
    <row r="9563" spans="9:19" x14ac:dyDescent="0.25">
      <c r="I9563" s="1"/>
      <c r="J9563" s="71"/>
      <c r="M9563" s="46"/>
      <c r="R9563" s="51"/>
      <c r="S9563" s="51"/>
    </row>
    <row r="9564" spans="9:19" x14ac:dyDescent="0.25">
      <c r="I9564" s="1"/>
      <c r="J9564" s="71"/>
      <c r="M9564" s="46"/>
      <c r="R9564" s="51"/>
      <c r="S9564" s="51"/>
    </row>
    <row r="9565" spans="9:19" x14ac:dyDescent="0.25">
      <c r="I9565" s="1"/>
      <c r="J9565" s="71"/>
      <c r="M9565" s="46"/>
      <c r="R9565" s="51"/>
      <c r="S9565" s="51"/>
    </row>
    <row r="9566" spans="9:19" x14ac:dyDescent="0.25">
      <c r="I9566" s="1"/>
      <c r="J9566" s="71"/>
      <c r="M9566" s="46"/>
      <c r="R9566" s="51"/>
      <c r="S9566" s="51"/>
    </row>
    <row r="9567" spans="9:19" x14ac:dyDescent="0.25">
      <c r="I9567" s="1"/>
      <c r="J9567" s="71"/>
      <c r="M9567" s="46"/>
      <c r="R9567" s="51"/>
      <c r="S9567" s="51"/>
    </row>
    <row r="9568" spans="9:19" x14ac:dyDescent="0.25">
      <c r="I9568" s="1"/>
      <c r="J9568" s="71"/>
      <c r="M9568" s="46"/>
      <c r="R9568" s="51"/>
      <c r="S9568" s="51"/>
    </row>
    <row r="9569" spans="9:19" x14ac:dyDescent="0.25">
      <c r="I9569" s="1"/>
      <c r="J9569" s="71"/>
      <c r="M9569" s="46"/>
      <c r="R9569" s="51"/>
      <c r="S9569" s="51"/>
    </row>
    <row r="9570" spans="9:19" x14ac:dyDescent="0.25">
      <c r="I9570" s="1"/>
      <c r="J9570" s="71"/>
      <c r="M9570" s="46"/>
      <c r="R9570" s="51"/>
      <c r="S9570" s="51"/>
    </row>
    <row r="9571" spans="9:19" x14ac:dyDescent="0.25">
      <c r="I9571" s="1"/>
      <c r="J9571" s="71"/>
      <c r="M9571" s="46"/>
      <c r="R9571" s="51"/>
      <c r="S9571" s="51"/>
    </row>
    <row r="9572" spans="9:19" x14ac:dyDescent="0.25">
      <c r="I9572" s="1"/>
      <c r="J9572" s="71"/>
      <c r="M9572" s="46"/>
      <c r="R9572" s="51"/>
      <c r="S9572" s="51"/>
    </row>
    <row r="9573" spans="9:19" x14ac:dyDescent="0.25">
      <c r="I9573" s="1"/>
      <c r="J9573" s="71"/>
      <c r="M9573" s="46"/>
      <c r="R9573" s="51"/>
      <c r="S9573" s="51"/>
    </row>
    <row r="9574" spans="9:19" x14ac:dyDescent="0.25">
      <c r="I9574" s="1"/>
      <c r="J9574" s="71"/>
      <c r="M9574" s="46"/>
      <c r="R9574" s="51"/>
      <c r="S9574" s="51"/>
    </row>
    <row r="9575" spans="9:19" x14ac:dyDescent="0.25">
      <c r="I9575" s="1"/>
      <c r="J9575" s="71"/>
      <c r="M9575" s="46"/>
      <c r="R9575" s="51"/>
      <c r="S9575" s="51"/>
    </row>
    <row r="9576" spans="9:19" x14ac:dyDescent="0.25">
      <c r="I9576" s="1"/>
      <c r="J9576" s="71"/>
      <c r="M9576" s="46"/>
      <c r="R9576" s="51"/>
      <c r="S9576" s="51"/>
    </row>
    <row r="9577" spans="9:19" x14ac:dyDescent="0.25">
      <c r="I9577" s="1"/>
      <c r="J9577" s="71"/>
      <c r="M9577" s="46"/>
      <c r="R9577" s="51"/>
      <c r="S9577" s="51"/>
    </row>
    <row r="9578" spans="9:19" x14ac:dyDescent="0.25">
      <c r="I9578" s="1"/>
      <c r="J9578" s="71"/>
      <c r="M9578" s="46"/>
      <c r="R9578" s="51"/>
      <c r="S9578" s="51"/>
    </row>
    <row r="9579" spans="9:19" x14ac:dyDescent="0.25">
      <c r="I9579" s="1"/>
      <c r="J9579" s="71"/>
      <c r="M9579" s="46"/>
      <c r="R9579" s="51"/>
      <c r="S9579" s="51"/>
    </row>
    <row r="9580" spans="9:19" x14ac:dyDescent="0.25">
      <c r="I9580" s="1"/>
      <c r="J9580" s="71"/>
      <c r="M9580" s="46"/>
      <c r="R9580" s="51"/>
      <c r="S9580" s="51"/>
    </row>
    <row r="9581" spans="9:19" x14ac:dyDescent="0.25">
      <c r="I9581" s="1"/>
      <c r="J9581" s="71"/>
      <c r="M9581" s="46"/>
      <c r="R9581" s="51"/>
      <c r="S9581" s="51"/>
    </row>
    <row r="9582" spans="9:19" x14ac:dyDescent="0.25">
      <c r="I9582" s="1"/>
      <c r="J9582" s="71"/>
      <c r="M9582" s="46"/>
      <c r="R9582" s="51"/>
      <c r="S9582" s="51"/>
    </row>
    <row r="9583" spans="9:19" x14ac:dyDescent="0.25">
      <c r="I9583" s="1"/>
      <c r="J9583" s="71"/>
      <c r="M9583" s="46"/>
      <c r="R9583" s="51"/>
      <c r="S9583" s="51"/>
    </row>
    <row r="9584" spans="9:19" x14ac:dyDescent="0.25">
      <c r="I9584" s="1"/>
      <c r="J9584" s="71"/>
      <c r="M9584" s="46"/>
      <c r="R9584" s="51"/>
      <c r="S9584" s="51"/>
    </row>
    <row r="9585" spans="9:19" x14ac:dyDescent="0.25">
      <c r="I9585" s="1"/>
      <c r="J9585" s="71"/>
      <c r="M9585" s="46"/>
      <c r="R9585" s="51"/>
      <c r="S9585" s="51"/>
    </row>
    <row r="9586" spans="9:19" x14ac:dyDescent="0.25">
      <c r="I9586" s="1"/>
      <c r="J9586" s="71"/>
      <c r="M9586" s="46"/>
      <c r="R9586" s="51"/>
      <c r="S9586" s="51"/>
    </row>
    <row r="9587" spans="9:19" x14ac:dyDescent="0.25">
      <c r="I9587" s="1"/>
      <c r="J9587" s="71"/>
      <c r="M9587" s="46"/>
      <c r="R9587" s="51"/>
      <c r="S9587" s="51"/>
    </row>
    <row r="9588" spans="9:19" x14ac:dyDescent="0.25">
      <c r="I9588" s="1"/>
      <c r="J9588" s="71"/>
      <c r="M9588" s="46"/>
      <c r="R9588" s="51"/>
      <c r="S9588" s="51"/>
    </row>
    <row r="9589" spans="9:19" x14ac:dyDescent="0.25">
      <c r="I9589" s="1"/>
      <c r="J9589" s="71"/>
      <c r="M9589" s="46"/>
      <c r="R9589" s="51"/>
      <c r="S9589" s="51"/>
    </row>
    <row r="9590" spans="9:19" x14ac:dyDescent="0.25">
      <c r="I9590" s="1"/>
      <c r="J9590" s="71"/>
      <c r="M9590" s="46"/>
      <c r="R9590" s="51"/>
      <c r="S9590" s="51"/>
    </row>
    <row r="9591" spans="9:19" x14ac:dyDescent="0.25">
      <c r="I9591" s="1"/>
      <c r="J9591" s="71"/>
      <c r="M9591" s="46"/>
      <c r="R9591" s="51"/>
      <c r="S9591" s="51"/>
    </row>
    <row r="9592" spans="9:19" x14ac:dyDescent="0.25">
      <c r="I9592" s="1"/>
      <c r="J9592" s="71"/>
      <c r="M9592" s="46"/>
      <c r="R9592" s="51"/>
      <c r="S9592" s="51"/>
    </row>
    <row r="9593" spans="9:19" x14ac:dyDescent="0.25">
      <c r="I9593" s="1"/>
      <c r="J9593" s="71"/>
      <c r="M9593" s="46"/>
      <c r="R9593" s="51"/>
      <c r="S9593" s="51"/>
    </row>
    <row r="9594" spans="9:19" x14ac:dyDescent="0.25">
      <c r="I9594" s="1"/>
      <c r="J9594" s="71"/>
      <c r="M9594" s="46"/>
      <c r="R9594" s="51"/>
      <c r="S9594" s="51"/>
    </row>
    <row r="9595" spans="9:19" x14ac:dyDescent="0.25">
      <c r="I9595" s="1"/>
      <c r="J9595" s="71"/>
      <c r="M9595" s="46"/>
      <c r="R9595" s="51"/>
      <c r="S9595" s="51"/>
    </row>
    <row r="9596" spans="9:19" x14ac:dyDescent="0.25">
      <c r="I9596" s="1"/>
      <c r="J9596" s="71"/>
      <c r="M9596" s="46"/>
      <c r="R9596" s="51"/>
      <c r="S9596" s="51"/>
    </row>
    <row r="9597" spans="9:19" x14ac:dyDescent="0.25">
      <c r="I9597" s="1"/>
      <c r="J9597" s="71"/>
      <c r="M9597" s="46"/>
      <c r="R9597" s="51"/>
      <c r="S9597" s="51"/>
    </row>
    <row r="9598" spans="9:19" x14ac:dyDescent="0.25">
      <c r="I9598" s="1"/>
      <c r="J9598" s="71"/>
      <c r="M9598" s="46"/>
      <c r="R9598" s="51"/>
      <c r="S9598" s="51"/>
    </row>
    <row r="9599" spans="9:19" x14ac:dyDescent="0.25">
      <c r="I9599" s="1"/>
      <c r="J9599" s="71"/>
      <c r="M9599" s="46"/>
      <c r="R9599" s="51"/>
      <c r="S9599" s="51"/>
    </row>
    <row r="9600" spans="9:19" x14ac:dyDescent="0.25">
      <c r="I9600" s="1"/>
      <c r="J9600" s="71"/>
      <c r="M9600" s="46"/>
      <c r="R9600" s="51"/>
      <c r="S9600" s="51"/>
    </row>
    <row r="9601" spans="9:19" x14ac:dyDescent="0.25">
      <c r="I9601" s="1"/>
      <c r="J9601" s="71"/>
      <c r="M9601" s="46"/>
      <c r="R9601" s="51"/>
      <c r="S9601" s="51"/>
    </row>
    <row r="9602" spans="9:19" x14ac:dyDescent="0.25">
      <c r="I9602" s="1"/>
      <c r="J9602" s="71"/>
      <c r="M9602" s="46"/>
      <c r="R9602" s="51"/>
      <c r="S9602" s="51"/>
    </row>
    <row r="9603" spans="9:19" x14ac:dyDescent="0.25">
      <c r="I9603" s="1"/>
      <c r="J9603" s="71"/>
      <c r="M9603" s="46"/>
      <c r="R9603" s="51"/>
      <c r="S9603" s="51"/>
    </row>
    <row r="9604" spans="9:19" x14ac:dyDescent="0.25">
      <c r="I9604" s="1"/>
      <c r="J9604" s="71"/>
      <c r="M9604" s="46"/>
      <c r="R9604" s="51"/>
      <c r="S9604" s="51"/>
    </row>
    <row r="9605" spans="9:19" x14ac:dyDescent="0.25">
      <c r="I9605" s="1"/>
      <c r="J9605" s="71"/>
      <c r="M9605" s="46"/>
      <c r="R9605" s="51"/>
      <c r="S9605" s="51"/>
    </row>
    <row r="9606" spans="9:19" x14ac:dyDescent="0.25">
      <c r="I9606" s="1"/>
      <c r="J9606" s="71"/>
      <c r="M9606" s="46"/>
      <c r="R9606" s="51"/>
      <c r="S9606" s="51"/>
    </row>
    <row r="9607" spans="9:19" x14ac:dyDescent="0.25">
      <c r="I9607" s="1"/>
      <c r="J9607" s="71"/>
      <c r="M9607" s="46"/>
      <c r="R9607" s="51"/>
      <c r="S9607" s="51"/>
    </row>
    <row r="9608" spans="9:19" x14ac:dyDescent="0.25">
      <c r="I9608" s="1"/>
      <c r="J9608" s="71"/>
      <c r="M9608" s="46"/>
      <c r="R9608" s="51"/>
      <c r="S9608" s="51"/>
    </row>
    <row r="9609" spans="9:19" x14ac:dyDescent="0.25">
      <c r="I9609" s="1"/>
      <c r="J9609" s="71"/>
      <c r="M9609" s="46"/>
      <c r="R9609" s="51"/>
      <c r="S9609" s="51"/>
    </row>
    <row r="9610" spans="9:19" x14ac:dyDescent="0.25">
      <c r="I9610" s="1"/>
      <c r="J9610" s="71"/>
      <c r="M9610" s="46"/>
      <c r="R9610" s="51"/>
      <c r="S9610" s="51"/>
    </row>
    <row r="9611" spans="9:19" x14ac:dyDescent="0.25">
      <c r="I9611" s="1"/>
      <c r="J9611" s="71"/>
      <c r="M9611" s="46"/>
      <c r="R9611" s="51"/>
      <c r="S9611" s="51"/>
    </row>
    <row r="9612" spans="9:19" x14ac:dyDescent="0.25">
      <c r="I9612" s="1"/>
      <c r="J9612" s="71"/>
      <c r="M9612" s="46"/>
      <c r="R9612" s="51"/>
      <c r="S9612" s="51"/>
    </row>
    <row r="9613" spans="9:19" x14ac:dyDescent="0.25">
      <c r="I9613" s="1"/>
      <c r="J9613" s="71"/>
      <c r="M9613" s="46"/>
      <c r="R9613" s="51"/>
      <c r="S9613" s="51"/>
    </row>
    <row r="9614" spans="9:19" x14ac:dyDescent="0.25">
      <c r="I9614" s="1"/>
      <c r="J9614" s="71"/>
      <c r="M9614" s="46"/>
      <c r="R9614" s="51"/>
      <c r="S9614" s="51"/>
    </row>
    <row r="9615" spans="9:19" x14ac:dyDescent="0.25">
      <c r="I9615" s="1"/>
      <c r="J9615" s="71"/>
      <c r="M9615" s="46"/>
      <c r="R9615" s="51"/>
      <c r="S9615" s="51"/>
    </row>
    <row r="9616" spans="9:19" x14ac:dyDescent="0.25">
      <c r="I9616" s="1"/>
      <c r="J9616" s="71"/>
      <c r="M9616" s="46"/>
      <c r="R9616" s="51"/>
      <c r="S9616" s="51"/>
    </row>
    <row r="9617" spans="9:19" x14ac:dyDescent="0.25">
      <c r="I9617" s="1"/>
      <c r="J9617" s="71"/>
      <c r="M9617" s="46"/>
      <c r="R9617" s="51"/>
      <c r="S9617" s="51"/>
    </row>
    <row r="9618" spans="9:19" x14ac:dyDescent="0.25">
      <c r="I9618" s="1"/>
      <c r="J9618" s="71"/>
      <c r="M9618" s="46"/>
      <c r="R9618" s="51"/>
      <c r="S9618" s="51"/>
    </row>
    <row r="9619" spans="9:19" x14ac:dyDescent="0.25">
      <c r="I9619" s="1"/>
      <c r="J9619" s="71"/>
      <c r="M9619" s="46"/>
      <c r="R9619" s="51"/>
      <c r="S9619" s="51"/>
    </row>
    <row r="9620" spans="9:19" x14ac:dyDescent="0.25">
      <c r="I9620" s="1"/>
      <c r="J9620" s="71"/>
      <c r="M9620" s="46"/>
      <c r="R9620" s="51"/>
      <c r="S9620" s="51"/>
    </row>
    <row r="9621" spans="9:19" x14ac:dyDescent="0.25">
      <c r="I9621" s="1"/>
      <c r="J9621" s="71"/>
      <c r="M9621" s="46"/>
      <c r="R9621" s="51"/>
      <c r="S9621" s="51"/>
    </row>
    <row r="9622" spans="9:19" x14ac:dyDescent="0.25">
      <c r="I9622" s="1"/>
      <c r="J9622" s="71"/>
      <c r="M9622" s="46"/>
      <c r="R9622" s="51"/>
      <c r="S9622" s="51"/>
    </row>
    <row r="9623" spans="9:19" x14ac:dyDescent="0.25">
      <c r="I9623" s="1"/>
      <c r="J9623" s="71"/>
      <c r="M9623" s="46"/>
      <c r="R9623" s="51"/>
      <c r="S9623" s="51"/>
    </row>
    <row r="9624" spans="9:19" x14ac:dyDescent="0.25">
      <c r="I9624" s="1"/>
      <c r="J9624" s="71"/>
      <c r="M9624" s="46"/>
      <c r="R9624" s="51"/>
      <c r="S9624" s="51"/>
    </row>
    <row r="9625" spans="9:19" x14ac:dyDescent="0.25">
      <c r="I9625" s="1"/>
      <c r="J9625" s="71"/>
      <c r="M9625" s="46"/>
      <c r="R9625" s="51"/>
      <c r="S9625" s="51"/>
    </row>
    <row r="9626" spans="9:19" x14ac:dyDescent="0.25">
      <c r="I9626" s="1"/>
      <c r="J9626" s="71"/>
      <c r="M9626" s="46"/>
      <c r="R9626" s="51"/>
      <c r="S9626" s="51"/>
    </row>
    <row r="9627" spans="9:19" x14ac:dyDescent="0.25">
      <c r="I9627" s="1"/>
      <c r="J9627" s="71"/>
      <c r="M9627" s="46"/>
      <c r="R9627" s="51"/>
      <c r="S9627" s="51"/>
    </row>
    <row r="9628" spans="9:19" x14ac:dyDescent="0.25">
      <c r="I9628" s="1"/>
      <c r="J9628" s="71"/>
      <c r="M9628" s="46"/>
      <c r="R9628" s="51"/>
      <c r="S9628" s="51"/>
    </row>
    <row r="9629" spans="9:19" x14ac:dyDescent="0.25">
      <c r="I9629" s="1"/>
      <c r="J9629" s="71"/>
      <c r="M9629" s="46"/>
      <c r="R9629" s="51"/>
      <c r="S9629" s="51"/>
    </row>
    <row r="9630" spans="9:19" x14ac:dyDescent="0.25">
      <c r="I9630" s="1"/>
      <c r="J9630" s="71"/>
      <c r="M9630" s="46"/>
      <c r="R9630" s="51"/>
      <c r="S9630" s="51"/>
    </row>
    <row r="9631" spans="9:19" x14ac:dyDescent="0.25">
      <c r="I9631" s="1"/>
      <c r="J9631" s="71"/>
      <c r="M9631" s="46"/>
      <c r="R9631" s="51"/>
      <c r="S9631" s="51"/>
    </row>
    <row r="9632" spans="9:19" x14ac:dyDescent="0.25">
      <c r="I9632" s="1"/>
      <c r="J9632" s="71"/>
      <c r="M9632" s="46"/>
      <c r="R9632" s="51"/>
      <c r="S9632" s="51"/>
    </row>
    <row r="9633" spans="9:19" x14ac:dyDescent="0.25">
      <c r="I9633" s="1"/>
      <c r="J9633" s="71"/>
      <c r="M9633" s="46"/>
      <c r="R9633" s="51"/>
      <c r="S9633" s="51"/>
    </row>
    <row r="9634" spans="9:19" x14ac:dyDescent="0.25">
      <c r="I9634" s="1"/>
      <c r="J9634" s="71"/>
      <c r="M9634" s="46"/>
      <c r="R9634" s="51"/>
      <c r="S9634" s="51"/>
    </row>
    <row r="9635" spans="9:19" x14ac:dyDescent="0.25">
      <c r="I9635" s="1"/>
      <c r="J9635" s="71"/>
      <c r="M9635" s="46"/>
      <c r="R9635" s="51"/>
      <c r="S9635" s="51"/>
    </row>
    <row r="9636" spans="9:19" x14ac:dyDescent="0.25">
      <c r="I9636" s="1"/>
      <c r="J9636" s="71"/>
      <c r="M9636" s="46"/>
      <c r="R9636" s="51"/>
      <c r="S9636" s="51"/>
    </row>
    <row r="9637" spans="9:19" x14ac:dyDescent="0.25">
      <c r="I9637" s="1"/>
      <c r="J9637" s="71"/>
      <c r="M9637" s="46"/>
      <c r="R9637" s="51"/>
      <c r="S9637" s="51"/>
    </row>
    <row r="9638" spans="9:19" x14ac:dyDescent="0.25">
      <c r="I9638" s="1"/>
      <c r="J9638" s="71"/>
      <c r="M9638" s="46"/>
      <c r="R9638" s="51"/>
      <c r="S9638" s="51"/>
    </row>
    <row r="9639" spans="9:19" x14ac:dyDescent="0.25">
      <c r="I9639" s="1"/>
      <c r="J9639" s="71"/>
      <c r="M9639" s="46"/>
      <c r="R9639" s="51"/>
      <c r="S9639" s="51"/>
    </row>
    <row r="9640" spans="9:19" x14ac:dyDescent="0.25">
      <c r="I9640" s="1"/>
      <c r="J9640" s="71"/>
      <c r="M9640" s="46"/>
      <c r="R9640" s="51"/>
      <c r="S9640" s="51"/>
    </row>
    <row r="9641" spans="9:19" x14ac:dyDescent="0.25">
      <c r="I9641" s="1"/>
      <c r="J9641" s="71"/>
      <c r="M9641" s="46"/>
      <c r="R9641" s="51"/>
      <c r="S9641" s="51"/>
    </row>
    <row r="9642" spans="9:19" x14ac:dyDescent="0.25">
      <c r="I9642" s="1"/>
      <c r="J9642" s="71"/>
      <c r="M9642" s="46"/>
      <c r="R9642" s="51"/>
      <c r="S9642" s="51"/>
    </row>
    <row r="9643" spans="9:19" x14ac:dyDescent="0.25">
      <c r="I9643" s="1"/>
      <c r="J9643" s="71"/>
      <c r="M9643" s="46"/>
      <c r="R9643" s="51"/>
      <c r="S9643" s="51"/>
    </row>
    <row r="9644" spans="9:19" x14ac:dyDescent="0.25">
      <c r="I9644" s="1"/>
      <c r="J9644" s="71"/>
      <c r="M9644" s="46"/>
      <c r="R9644" s="51"/>
      <c r="S9644" s="51"/>
    </row>
    <row r="9645" spans="9:19" x14ac:dyDescent="0.25">
      <c r="I9645" s="1"/>
      <c r="J9645" s="71"/>
      <c r="M9645" s="46"/>
      <c r="R9645" s="51"/>
      <c r="S9645" s="51"/>
    </row>
    <row r="9646" spans="9:19" x14ac:dyDescent="0.25">
      <c r="I9646" s="1"/>
      <c r="J9646" s="71"/>
      <c r="M9646" s="46"/>
      <c r="R9646" s="51"/>
      <c r="S9646" s="51"/>
    </row>
    <row r="9647" spans="9:19" x14ac:dyDescent="0.25">
      <c r="I9647" s="1"/>
      <c r="J9647" s="71"/>
      <c r="M9647" s="46"/>
      <c r="R9647" s="51"/>
      <c r="S9647" s="51"/>
    </row>
    <row r="9648" spans="9:19" x14ac:dyDescent="0.25">
      <c r="I9648" s="1"/>
      <c r="J9648" s="71"/>
      <c r="M9648" s="46"/>
      <c r="R9648" s="51"/>
      <c r="S9648" s="51"/>
    </row>
    <row r="9649" spans="9:19" x14ac:dyDescent="0.25">
      <c r="I9649" s="1"/>
      <c r="J9649" s="71"/>
      <c r="M9649" s="46"/>
      <c r="R9649" s="51"/>
      <c r="S9649" s="51"/>
    </row>
    <row r="9650" spans="9:19" x14ac:dyDescent="0.25">
      <c r="I9650" s="1"/>
      <c r="J9650" s="71"/>
      <c r="M9650" s="46"/>
      <c r="R9650" s="51"/>
      <c r="S9650" s="51"/>
    </row>
    <row r="9651" spans="9:19" x14ac:dyDescent="0.25">
      <c r="I9651" s="1"/>
      <c r="J9651" s="71"/>
      <c r="M9651" s="46"/>
      <c r="R9651" s="51"/>
      <c r="S9651" s="51"/>
    </row>
    <row r="9652" spans="9:19" x14ac:dyDescent="0.25">
      <c r="I9652" s="1"/>
      <c r="J9652" s="71"/>
      <c r="M9652" s="46"/>
      <c r="R9652" s="51"/>
      <c r="S9652" s="51"/>
    </row>
    <row r="9653" spans="9:19" x14ac:dyDescent="0.25">
      <c r="I9653" s="1"/>
      <c r="J9653" s="71"/>
      <c r="M9653" s="46"/>
      <c r="R9653" s="51"/>
      <c r="S9653" s="51"/>
    </row>
    <row r="9654" spans="9:19" x14ac:dyDescent="0.25">
      <c r="I9654" s="1"/>
      <c r="J9654" s="71"/>
      <c r="M9654" s="46"/>
      <c r="R9654" s="51"/>
      <c r="S9654" s="51"/>
    </row>
    <row r="9655" spans="9:19" x14ac:dyDescent="0.25">
      <c r="I9655" s="1"/>
      <c r="J9655" s="71"/>
      <c r="M9655" s="46"/>
      <c r="R9655" s="51"/>
      <c r="S9655" s="51"/>
    </row>
    <row r="9656" spans="9:19" x14ac:dyDescent="0.25">
      <c r="I9656" s="1"/>
      <c r="J9656" s="71"/>
      <c r="M9656" s="46"/>
      <c r="R9656" s="51"/>
      <c r="S9656" s="51"/>
    </row>
    <row r="9657" spans="9:19" x14ac:dyDescent="0.25">
      <c r="I9657" s="1"/>
      <c r="J9657" s="71"/>
      <c r="M9657" s="46"/>
      <c r="R9657" s="51"/>
      <c r="S9657" s="51"/>
    </row>
    <row r="9658" spans="9:19" x14ac:dyDescent="0.25">
      <c r="I9658" s="1"/>
      <c r="J9658" s="71"/>
      <c r="M9658" s="46"/>
      <c r="R9658" s="51"/>
      <c r="S9658" s="51"/>
    </row>
    <row r="9659" spans="9:19" x14ac:dyDescent="0.25">
      <c r="I9659" s="1"/>
      <c r="J9659" s="71"/>
      <c r="M9659" s="46"/>
      <c r="R9659" s="51"/>
      <c r="S9659" s="51"/>
    </row>
    <row r="9660" spans="9:19" x14ac:dyDescent="0.25">
      <c r="I9660" s="1"/>
      <c r="J9660" s="71"/>
      <c r="M9660" s="46"/>
      <c r="R9660" s="51"/>
      <c r="S9660" s="51"/>
    </row>
    <row r="9661" spans="9:19" x14ac:dyDescent="0.25">
      <c r="I9661" s="1"/>
      <c r="J9661" s="71"/>
      <c r="M9661" s="46"/>
      <c r="R9661" s="51"/>
      <c r="S9661" s="51"/>
    </row>
    <row r="9662" spans="9:19" x14ac:dyDescent="0.25">
      <c r="I9662" s="1"/>
      <c r="J9662" s="71"/>
      <c r="M9662" s="46"/>
      <c r="R9662" s="51"/>
      <c r="S9662" s="51"/>
    </row>
    <row r="9663" spans="9:19" x14ac:dyDescent="0.25">
      <c r="I9663" s="1"/>
      <c r="J9663" s="71"/>
      <c r="M9663" s="46"/>
      <c r="R9663" s="51"/>
      <c r="S9663" s="51"/>
    </row>
    <row r="9664" spans="9:19" x14ac:dyDescent="0.25">
      <c r="I9664" s="1"/>
      <c r="J9664" s="71"/>
      <c r="M9664" s="46"/>
      <c r="R9664" s="51"/>
      <c r="S9664" s="51"/>
    </row>
    <row r="9665" spans="9:19" x14ac:dyDescent="0.25">
      <c r="I9665" s="1"/>
      <c r="J9665" s="71"/>
      <c r="M9665" s="46"/>
      <c r="R9665" s="51"/>
      <c r="S9665" s="51"/>
    </row>
    <row r="9666" spans="9:19" x14ac:dyDescent="0.25">
      <c r="I9666" s="1"/>
      <c r="J9666" s="71"/>
      <c r="M9666" s="46"/>
      <c r="R9666" s="51"/>
      <c r="S9666" s="51"/>
    </row>
    <row r="9667" spans="9:19" x14ac:dyDescent="0.25">
      <c r="I9667" s="1"/>
      <c r="J9667" s="71"/>
      <c r="M9667" s="46"/>
      <c r="R9667" s="51"/>
      <c r="S9667" s="51"/>
    </row>
    <row r="9668" spans="9:19" x14ac:dyDescent="0.25">
      <c r="I9668" s="1"/>
      <c r="J9668" s="71"/>
      <c r="M9668" s="46"/>
      <c r="R9668" s="51"/>
      <c r="S9668" s="51"/>
    </row>
    <row r="9669" spans="9:19" x14ac:dyDescent="0.25">
      <c r="I9669" s="1"/>
      <c r="J9669" s="71"/>
      <c r="M9669" s="46"/>
      <c r="R9669" s="51"/>
      <c r="S9669" s="51"/>
    </row>
    <row r="9670" spans="9:19" x14ac:dyDescent="0.25">
      <c r="I9670" s="1"/>
      <c r="J9670" s="71"/>
      <c r="M9670" s="46"/>
      <c r="R9670" s="51"/>
      <c r="S9670" s="51"/>
    </row>
    <row r="9671" spans="9:19" x14ac:dyDescent="0.25">
      <c r="I9671" s="1"/>
      <c r="J9671" s="71"/>
      <c r="M9671" s="46"/>
      <c r="R9671" s="51"/>
      <c r="S9671" s="51"/>
    </row>
    <row r="9672" spans="9:19" x14ac:dyDescent="0.25">
      <c r="I9672" s="1"/>
      <c r="J9672" s="71"/>
      <c r="M9672" s="46"/>
      <c r="R9672" s="51"/>
      <c r="S9672" s="51"/>
    </row>
    <row r="9673" spans="9:19" x14ac:dyDescent="0.25">
      <c r="I9673" s="1"/>
      <c r="J9673" s="71"/>
      <c r="M9673" s="46"/>
      <c r="R9673" s="51"/>
      <c r="S9673" s="51"/>
    </row>
    <row r="9674" spans="9:19" x14ac:dyDescent="0.25">
      <c r="I9674" s="1"/>
      <c r="J9674" s="71"/>
      <c r="M9674" s="46"/>
      <c r="R9674" s="51"/>
      <c r="S9674" s="51"/>
    </row>
    <row r="9675" spans="9:19" x14ac:dyDescent="0.25">
      <c r="I9675" s="1"/>
      <c r="J9675" s="71"/>
      <c r="M9675" s="46"/>
      <c r="R9675" s="51"/>
      <c r="S9675" s="51"/>
    </row>
    <row r="9676" spans="9:19" x14ac:dyDescent="0.25">
      <c r="I9676" s="1"/>
      <c r="J9676" s="71"/>
      <c r="M9676" s="46"/>
      <c r="R9676" s="51"/>
      <c r="S9676" s="51"/>
    </row>
    <row r="9677" spans="9:19" x14ac:dyDescent="0.25">
      <c r="I9677" s="1"/>
      <c r="J9677" s="71"/>
      <c r="M9677" s="46"/>
      <c r="R9677" s="51"/>
      <c r="S9677" s="51"/>
    </row>
    <row r="9678" spans="9:19" x14ac:dyDescent="0.25">
      <c r="I9678" s="1"/>
      <c r="J9678" s="71"/>
      <c r="M9678" s="46"/>
      <c r="R9678" s="51"/>
      <c r="S9678" s="51"/>
    </row>
    <row r="9679" spans="9:19" x14ac:dyDescent="0.25">
      <c r="I9679" s="1"/>
      <c r="J9679" s="71"/>
      <c r="M9679" s="46"/>
      <c r="R9679" s="51"/>
      <c r="S9679" s="51"/>
    </row>
    <row r="9680" spans="9:19" x14ac:dyDescent="0.25">
      <c r="I9680" s="1"/>
      <c r="J9680" s="71"/>
      <c r="M9680" s="46"/>
      <c r="R9680" s="51"/>
      <c r="S9680" s="51"/>
    </row>
    <row r="9681" spans="9:19" x14ac:dyDescent="0.25">
      <c r="I9681" s="1"/>
      <c r="J9681" s="71"/>
      <c r="M9681" s="46"/>
      <c r="R9681" s="51"/>
      <c r="S9681" s="51"/>
    </row>
    <row r="9682" spans="9:19" x14ac:dyDescent="0.25">
      <c r="I9682" s="1"/>
      <c r="J9682" s="71"/>
      <c r="M9682" s="46"/>
      <c r="R9682" s="51"/>
      <c r="S9682" s="51"/>
    </row>
    <row r="9683" spans="9:19" x14ac:dyDescent="0.25">
      <c r="I9683" s="1"/>
      <c r="J9683" s="71"/>
      <c r="M9683" s="46"/>
      <c r="R9683" s="51"/>
      <c r="S9683" s="51"/>
    </row>
    <row r="9684" spans="9:19" x14ac:dyDescent="0.25">
      <c r="I9684" s="1"/>
      <c r="J9684" s="71"/>
      <c r="M9684" s="46"/>
      <c r="R9684" s="51"/>
      <c r="S9684" s="51"/>
    </row>
    <row r="9685" spans="9:19" x14ac:dyDescent="0.25">
      <c r="I9685" s="1"/>
      <c r="J9685" s="71"/>
      <c r="M9685" s="46"/>
      <c r="R9685" s="51"/>
      <c r="S9685" s="51"/>
    </row>
    <row r="9686" spans="9:19" x14ac:dyDescent="0.25">
      <c r="I9686" s="1"/>
      <c r="J9686" s="71"/>
      <c r="M9686" s="46"/>
      <c r="R9686" s="51"/>
      <c r="S9686" s="51"/>
    </row>
    <row r="9687" spans="9:19" x14ac:dyDescent="0.25">
      <c r="I9687" s="1"/>
      <c r="J9687" s="71"/>
      <c r="M9687" s="46"/>
      <c r="R9687" s="51"/>
      <c r="S9687" s="51"/>
    </row>
    <row r="9688" spans="9:19" x14ac:dyDescent="0.25">
      <c r="I9688" s="1"/>
      <c r="J9688" s="71"/>
      <c r="M9688" s="46"/>
      <c r="R9688" s="51"/>
      <c r="S9688" s="51"/>
    </row>
    <row r="9689" spans="9:19" x14ac:dyDescent="0.25">
      <c r="I9689" s="1"/>
      <c r="J9689" s="71"/>
      <c r="M9689" s="46"/>
      <c r="R9689" s="51"/>
      <c r="S9689" s="51"/>
    </row>
    <row r="9690" spans="9:19" x14ac:dyDescent="0.25">
      <c r="I9690" s="1"/>
      <c r="J9690" s="71"/>
      <c r="M9690" s="46"/>
      <c r="R9690" s="51"/>
      <c r="S9690" s="51"/>
    </row>
    <row r="9691" spans="9:19" x14ac:dyDescent="0.25">
      <c r="I9691" s="1"/>
      <c r="J9691" s="71"/>
      <c r="M9691" s="46"/>
      <c r="R9691" s="51"/>
      <c r="S9691" s="51"/>
    </row>
    <row r="9692" spans="9:19" x14ac:dyDescent="0.25">
      <c r="I9692" s="1"/>
      <c r="J9692" s="71"/>
      <c r="M9692" s="46"/>
      <c r="R9692" s="51"/>
      <c r="S9692" s="51"/>
    </row>
    <row r="9693" spans="9:19" x14ac:dyDescent="0.25">
      <c r="I9693" s="1"/>
      <c r="J9693" s="71"/>
      <c r="M9693" s="46"/>
      <c r="R9693" s="51"/>
      <c r="S9693" s="51"/>
    </row>
    <row r="9694" spans="9:19" x14ac:dyDescent="0.25">
      <c r="I9694" s="1"/>
      <c r="J9694" s="71"/>
      <c r="M9694" s="46"/>
      <c r="R9694" s="51"/>
      <c r="S9694" s="51"/>
    </row>
    <row r="9695" spans="9:19" x14ac:dyDescent="0.25">
      <c r="I9695" s="1"/>
      <c r="J9695" s="71"/>
      <c r="M9695" s="46"/>
      <c r="R9695" s="51"/>
      <c r="S9695" s="51"/>
    </row>
    <row r="9696" spans="9:19" x14ac:dyDescent="0.25">
      <c r="I9696" s="1"/>
      <c r="J9696" s="71"/>
      <c r="M9696" s="46"/>
      <c r="R9696" s="51"/>
      <c r="S9696" s="51"/>
    </row>
    <row r="9697" spans="9:19" x14ac:dyDescent="0.25">
      <c r="I9697" s="1"/>
      <c r="J9697" s="71"/>
      <c r="M9697" s="46"/>
      <c r="R9697" s="51"/>
      <c r="S9697" s="51"/>
    </row>
    <row r="9698" spans="9:19" x14ac:dyDescent="0.25">
      <c r="I9698" s="1"/>
      <c r="J9698" s="71"/>
      <c r="M9698" s="46"/>
      <c r="R9698" s="51"/>
      <c r="S9698" s="51"/>
    </row>
    <row r="9699" spans="9:19" x14ac:dyDescent="0.25">
      <c r="I9699" s="1"/>
      <c r="J9699" s="71"/>
      <c r="M9699" s="46"/>
      <c r="R9699" s="51"/>
      <c r="S9699" s="51"/>
    </row>
    <row r="9700" spans="9:19" x14ac:dyDescent="0.25">
      <c r="I9700" s="1"/>
      <c r="J9700" s="71"/>
      <c r="M9700" s="46"/>
      <c r="R9700" s="51"/>
      <c r="S9700" s="51"/>
    </row>
    <row r="9701" spans="9:19" x14ac:dyDescent="0.25">
      <c r="I9701" s="1"/>
      <c r="J9701" s="71"/>
      <c r="M9701" s="46"/>
      <c r="R9701" s="51"/>
      <c r="S9701" s="51"/>
    </row>
    <row r="9702" spans="9:19" x14ac:dyDescent="0.25">
      <c r="I9702" s="1"/>
      <c r="J9702" s="71"/>
      <c r="M9702" s="46"/>
      <c r="R9702" s="51"/>
      <c r="S9702" s="51"/>
    </row>
    <row r="9703" spans="9:19" x14ac:dyDescent="0.25">
      <c r="I9703" s="1"/>
      <c r="J9703" s="71"/>
      <c r="M9703" s="46"/>
      <c r="R9703" s="51"/>
      <c r="S9703" s="51"/>
    </row>
    <row r="9704" spans="9:19" x14ac:dyDescent="0.25">
      <c r="I9704" s="1"/>
      <c r="J9704" s="71"/>
      <c r="M9704" s="46"/>
      <c r="R9704" s="51"/>
      <c r="S9704" s="51"/>
    </row>
    <row r="9705" spans="9:19" x14ac:dyDescent="0.25">
      <c r="I9705" s="1"/>
      <c r="J9705" s="71"/>
      <c r="M9705" s="46"/>
      <c r="R9705" s="51"/>
      <c r="S9705" s="51"/>
    </row>
    <row r="9706" spans="9:19" x14ac:dyDescent="0.25">
      <c r="I9706" s="1"/>
      <c r="J9706" s="71"/>
      <c r="M9706" s="46"/>
      <c r="R9706" s="51"/>
      <c r="S9706" s="51"/>
    </row>
    <row r="9707" spans="9:19" x14ac:dyDescent="0.25">
      <c r="I9707" s="1"/>
      <c r="J9707" s="71"/>
      <c r="M9707" s="46"/>
      <c r="R9707" s="51"/>
      <c r="S9707" s="51"/>
    </row>
    <row r="9708" spans="9:19" x14ac:dyDescent="0.25">
      <c r="I9708" s="1"/>
      <c r="J9708" s="71"/>
      <c r="M9708" s="46"/>
      <c r="R9708" s="51"/>
      <c r="S9708" s="51"/>
    </row>
    <row r="9709" spans="9:19" x14ac:dyDescent="0.25">
      <c r="I9709" s="1"/>
      <c r="J9709" s="71"/>
      <c r="M9709" s="46"/>
      <c r="R9709" s="51"/>
      <c r="S9709" s="51"/>
    </row>
    <row r="9710" spans="9:19" x14ac:dyDescent="0.25">
      <c r="I9710" s="1"/>
      <c r="J9710" s="71"/>
      <c r="M9710" s="46"/>
      <c r="R9710" s="51"/>
      <c r="S9710" s="51"/>
    </row>
    <row r="9711" spans="9:19" x14ac:dyDescent="0.25">
      <c r="I9711" s="1"/>
      <c r="J9711" s="71"/>
      <c r="M9711" s="46"/>
      <c r="R9711" s="51"/>
      <c r="S9711" s="51"/>
    </row>
    <row r="9712" spans="9:19" x14ac:dyDescent="0.25">
      <c r="I9712" s="1"/>
      <c r="J9712" s="71"/>
      <c r="M9712" s="46"/>
      <c r="R9712" s="51"/>
      <c r="S9712" s="51"/>
    </row>
    <row r="9713" spans="9:19" x14ac:dyDescent="0.25">
      <c r="I9713" s="1"/>
      <c r="J9713" s="71"/>
      <c r="M9713" s="46"/>
      <c r="R9713" s="51"/>
      <c r="S9713" s="51"/>
    </row>
    <row r="9714" spans="9:19" x14ac:dyDescent="0.25">
      <c r="I9714" s="1"/>
      <c r="J9714" s="71"/>
      <c r="M9714" s="46"/>
      <c r="R9714" s="51"/>
      <c r="S9714" s="51"/>
    </row>
    <row r="9715" spans="9:19" x14ac:dyDescent="0.25">
      <c r="I9715" s="1"/>
      <c r="J9715" s="71"/>
      <c r="M9715" s="46"/>
      <c r="R9715" s="51"/>
      <c r="S9715" s="51"/>
    </row>
    <row r="9716" spans="9:19" x14ac:dyDescent="0.25">
      <c r="I9716" s="1"/>
      <c r="J9716" s="71"/>
      <c r="M9716" s="46"/>
      <c r="R9716" s="51"/>
      <c r="S9716" s="51"/>
    </row>
    <row r="9717" spans="9:19" x14ac:dyDescent="0.25">
      <c r="I9717" s="1"/>
      <c r="J9717" s="71"/>
      <c r="M9717" s="46"/>
      <c r="R9717" s="51"/>
      <c r="S9717" s="51"/>
    </row>
    <row r="9718" spans="9:19" x14ac:dyDescent="0.25">
      <c r="I9718" s="1"/>
      <c r="J9718" s="71"/>
      <c r="M9718" s="46"/>
      <c r="R9718" s="51"/>
      <c r="S9718" s="51"/>
    </row>
    <row r="9719" spans="9:19" x14ac:dyDescent="0.25">
      <c r="I9719" s="1"/>
      <c r="J9719" s="71"/>
      <c r="M9719" s="46"/>
      <c r="R9719" s="51"/>
      <c r="S9719" s="51"/>
    </row>
    <row r="9720" spans="9:19" x14ac:dyDescent="0.25">
      <c r="I9720" s="1"/>
      <c r="J9720" s="71"/>
      <c r="M9720" s="46"/>
      <c r="R9720" s="51"/>
      <c r="S9720" s="51"/>
    </row>
    <row r="9721" spans="9:19" x14ac:dyDescent="0.25">
      <c r="I9721" s="1"/>
      <c r="J9721" s="71"/>
      <c r="M9721" s="46"/>
      <c r="R9721" s="51"/>
      <c r="S9721" s="51"/>
    </row>
    <row r="9722" spans="9:19" x14ac:dyDescent="0.25">
      <c r="I9722" s="1"/>
      <c r="J9722" s="71"/>
      <c r="M9722" s="46"/>
      <c r="R9722" s="51"/>
      <c r="S9722" s="51"/>
    </row>
    <row r="9723" spans="9:19" x14ac:dyDescent="0.25">
      <c r="I9723" s="1"/>
      <c r="J9723" s="71"/>
      <c r="M9723" s="46"/>
      <c r="R9723" s="51"/>
      <c r="S9723" s="51"/>
    </row>
    <row r="9724" spans="9:19" x14ac:dyDescent="0.25">
      <c r="I9724" s="1"/>
      <c r="J9724" s="71"/>
      <c r="M9724" s="46"/>
      <c r="R9724" s="51"/>
      <c r="S9724" s="51"/>
    </row>
    <row r="9725" spans="9:19" x14ac:dyDescent="0.25">
      <c r="I9725" s="1"/>
      <c r="J9725" s="71"/>
      <c r="M9725" s="46"/>
      <c r="R9725" s="51"/>
      <c r="S9725" s="51"/>
    </row>
    <row r="9726" spans="9:19" x14ac:dyDescent="0.25">
      <c r="I9726" s="1"/>
      <c r="J9726" s="71"/>
      <c r="M9726" s="46"/>
      <c r="R9726" s="51"/>
      <c r="S9726" s="51"/>
    </row>
    <row r="9727" spans="9:19" x14ac:dyDescent="0.25">
      <c r="I9727" s="1"/>
      <c r="J9727" s="71"/>
      <c r="M9727" s="46"/>
      <c r="R9727" s="51"/>
      <c r="S9727" s="51"/>
    </row>
    <row r="9728" spans="9:19" x14ac:dyDescent="0.25">
      <c r="I9728" s="1"/>
      <c r="J9728" s="71"/>
      <c r="M9728" s="46"/>
      <c r="R9728" s="51"/>
      <c r="S9728" s="51"/>
    </row>
    <row r="9729" spans="9:19" x14ac:dyDescent="0.25">
      <c r="I9729" s="1"/>
      <c r="J9729" s="71"/>
      <c r="M9729" s="46"/>
      <c r="R9729" s="51"/>
      <c r="S9729" s="51"/>
    </row>
    <row r="9730" spans="9:19" x14ac:dyDescent="0.25">
      <c r="I9730" s="1"/>
      <c r="J9730" s="71"/>
      <c r="M9730" s="46"/>
      <c r="R9730" s="51"/>
      <c r="S9730" s="51"/>
    </row>
    <row r="9731" spans="9:19" x14ac:dyDescent="0.25">
      <c r="I9731" s="1"/>
      <c r="J9731" s="71"/>
      <c r="M9731" s="46"/>
      <c r="R9731" s="51"/>
      <c r="S9731" s="51"/>
    </row>
    <row r="9732" spans="9:19" x14ac:dyDescent="0.25">
      <c r="I9732" s="1"/>
      <c r="J9732" s="71"/>
      <c r="M9732" s="46"/>
      <c r="R9732" s="51"/>
      <c r="S9732" s="51"/>
    </row>
    <row r="9733" spans="9:19" x14ac:dyDescent="0.25">
      <c r="I9733" s="1"/>
      <c r="J9733" s="71"/>
      <c r="M9733" s="46"/>
      <c r="R9733" s="51"/>
      <c r="S9733" s="51"/>
    </row>
    <row r="9734" spans="9:19" x14ac:dyDescent="0.25">
      <c r="I9734" s="1"/>
      <c r="J9734" s="71"/>
      <c r="M9734" s="46"/>
      <c r="R9734" s="51"/>
      <c r="S9734" s="51"/>
    </row>
    <row r="9735" spans="9:19" x14ac:dyDescent="0.25">
      <c r="I9735" s="1"/>
      <c r="J9735" s="71"/>
      <c r="M9735" s="46"/>
      <c r="R9735" s="51"/>
      <c r="S9735" s="51"/>
    </row>
    <row r="9736" spans="9:19" x14ac:dyDescent="0.25">
      <c r="I9736" s="1"/>
      <c r="J9736" s="71"/>
      <c r="M9736" s="46"/>
      <c r="R9736" s="51"/>
      <c r="S9736" s="51"/>
    </row>
    <row r="9737" spans="9:19" x14ac:dyDescent="0.25">
      <c r="I9737" s="1"/>
      <c r="J9737" s="71"/>
      <c r="M9737" s="46"/>
      <c r="R9737" s="51"/>
      <c r="S9737" s="51"/>
    </row>
    <row r="9738" spans="9:19" x14ac:dyDescent="0.25">
      <c r="I9738" s="1"/>
      <c r="J9738" s="71"/>
      <c r="M9738" s="46"/>
      <c r="R9738" s="51"/>
      <c r="S9738" s="51"/>
    </row>
    <row r="9739" spans="9:19" x14ac:dyDescent="0.25">
      <c r="I9739" s="1"/>
      <c r="J9739" s="71"/>
      <c r="M9739" s="46"/>
      <c r="R9739" s="51"/>
      <c r="S9739" s="51"/>
    </row>
    <row r="9740" spans="9:19" x14ac:dyDescent="0.25">
      <c r="I9740" s="1"/>
      <c r="J9740" s="71"/>
      <c r="M9740" s="46"/>
      <c r="R9740" s="51"/>
      <c r="S9740" s="51"/>
    </row>
    <row r="9741" spans="9:19" x14ac:dyDescent="0.25">
      <c r="I9741" s="1"/>
      <c r="J9741" s="71"/>
      <c r="M9741" s="46"/>
      <c r="R9741" s="51"/>
      <c r="S9741" s="51"/>
    </row>
    <row r="9742" spans="9:19" x14ac:dyDescent="0.25">
      <c r="I9742" s="1"/>
      <c r="J9742" s="71"/>
      <c r="M9742" s="46"/>
      <c r="R9742" s="51"/>
      <c r="S9742" s="51"/>
    </row>
    <row r="9743" spans="9:19" x14ac:dyDescent="0.25">
      <c r="I9743" s="1"/>
      <c r="J9743" s="71"/>
      <c r="M9743" s="46"/>
      <c r="R9743" s="51"/>
      <c r="S9743" s="51"/>
    </row>
    <row r="9744" spans="9:19" x14ac:dyDescent="0.25">
      <c r="I9744" s="1"/>
      <c r="J9744" s="71"/>
      <c r="M9744" s="46"/>
      <c r="R9744" s="51"/>
      <c r="S9744" s="51"/>
    </row>
    <row r="9745" spans="9:19" x14ac:dyDescent="0.25">
      <c r="I9745" s="1"/>
      <c r="J9745" s="71"/>
      <c r="M9745" s="46"/>
      <c r="R9745" s="51"/>
      <c r="S9745" s="51"/>
    </row>
    <row r="9746" spans="9:19" x14ac:dyDescent="0.25">
      <c r="I9746" s="1"/>
      <c r="J9746" s="71"/>
      <c r="M9746" s="46"/>
      <c r="R9746" s="51"/>
      <c r="S9746" s="51"/>
    </row>
    <row r="9747" spans="9:19" x14ac:dyDescent="0.25">
      <c r="I9747" s="1"/>
      <c r="J9747" s="71"/>
      <c r="M9747" s="46"/>
      <c r="R9747" s="51"/>
      <c r="S9747" s="51"/>
    </row>
    <row r="9748" spans="9:19" x14ac:dyDescent="0.25">
      <c r="I9748" s="1"/>
      <c r="J9748" s="71"/>
      <c r="M9748" s="46"/>
      <c r="R9748" s="51"/>
      <c r="S9748" s="51"/>
    </row>
    <row r="9749" spans="9:19" x14ac:dyDescent="0.25">
      <c r="I9749" s="1"/>
      <c r="J9749" s="71"/>
      <c r="M9749" s="46"/>
      <c r="R9749" s="51"/>
      <c r="S9749" s="51"/>
    </row>
    <row r="9750" spans="9:19" x14ac:dyDescent="0.25">
      <c r="I9750" s="1"/>
      <c r="J9750" s="71"/>
      <c r="M9750" s="46"/>
      <c r="R9750" s="51"/>
      <c r="S9750" s="51"/>
    </row>
    <row r="9751" spans="9:19" x14ac:dyDescent="0.25">
      <c r="I9751" s="1"/>
      <c r="J9751" s="71"/>
      <c r="M9751" s="46"/>
      <c r="R9751" s="51"/>
      <c r="S9751" s="51"/>
    </row>
    <row r="9752" spans="9:19" x14ac:dyDescent="0.25">
      <c r="I9752" s="1"/>
      <c r="J9752" s="71"/>
      <c r="M9752" s="46"/>
      <c r="R9752" s="51"/>
      <c r="S9752" s="51"/>
    </row>
    <row r="9753" spans="9:19" x14ac:dyDescent="0.25">
      <c r="I9753" s="1"/>
      <c r="J9753" s="71"/>
      <c r="M9753" s="46"/>
      <c r="R9753" s="51"/>
      <c r="S9753" s="51"/>
    </row>
    <row r="9754" spans="9:19" x14ac:dyDescent="0.25">
      <c r="I9754" s="1"/>
      <c r="J9754" s="71"/>
      <c r="M9754" s="46"/>
      <c r="R9754" s="51"/>
      <c r="S9754" s="51"/>
    </row>
    <row r="9755" spans="9:19" x14ac:dyDescent="0.25">
      <c r="I9755" s="1"/>
      <c r="J9755" s="71"/>
      <c r="M9755" s="46"/>
      <c r="R9755" s="51"/>
      <c r="S9755" s="51"/>
    </row>
    <row r="9756" spans="9:19" x14ac:dyDescent="0.25">
      <c r="I9756" s="1"/>
      <c r="J9756" s="71"/>
      <c r="M9756" s="46"/>
      <c r="R9756" s="51"/>
      <c r="S9756" s="51"/>
    </row>
    <row r="9757" spans="9:19" x14ac:dyDescent="0.25">
      <c r="I9757" s="1"/>
      <c r="J9757" s="71"/>
      <c r="M9757" s="46"/>
      <c r="R9757" s="51"/>
      <c r="S9757" s="51"/>
    </row>
    <row r="9758" spans="9:19" x14ac:dyDescent="0.25">
      <c r="I9758" s="1"/>
      <c r="J9758" s="71"/>
      <c r="M9758" s="46"/>
      <c r="R9758" s="51"/>
      <c r="S9758" s="51"/>
    </row>
    <row r="9759" spans="9:19" x14ac:dyDescent="0.25">
      <c r="I9759" s="1"/>
      <c r="J9759" s="71"/>
      <c r="M9759" s="46"/>
      <c r="R9759" s="51"/>
      <c r="S9759" s="51"/>
    </row>
    <row r="9760" spans="9:19" x14ac:dyDescent="0.25">
      <c r="I9760" s="1"/>
      <c r="J9760" s="71"/>
      <c r="M9760" s="46"/>
      <c r="R9760" s="51"/>
      <c r="S9760" s="51"/>
    </row>
    <row r="9761" spans="9:19" x14ac:dyDescent="0.25">
      <c r="I9761" s="1"/>
      <c r="J9761" s="71"/>
      <c r="M9761" s="46"/>
      <c r="R9761" s="51"/>
      <c r="S9761" s="51"/>
    </row>
    <row r="9762" spans="9:19" x14ac:dyDescent="0.25">
      <c r="I9762" s="1"/>
      <c r="J9762" s="71"/>
      <c r="M9762" s="46"/>
      <c r="R9762" s="51"/>
      <c r="S9762" s="51"/>
    </row>
    <row r="9763" spans="9:19" x14ac:dyDescent="0.25">
      <c r="I9763" s="1"/>
      <c r="J9763" s="71"/>
      <c r="M9763" s="46"/>
      <c r="R9763" s="51"/>
      <c r="S9763" s="51"/>
    </row>
    <row r="9764" spans="9:19" x14ac:dyDescent="0.25">
      <c r="I9764" s="1"/>
      <c r="J9764" s="71"/>
      <c r="M9764" s="46"/>
      <c r="R9764" s="51"/>
      <c r="S9764" s="51"/>
    </row>
    <row r="9765" spans="9:19" x14ac:dyDescent="0.25">
      <c r="I9765" s="1"/>
      <c r="J9765" s="71"/>
      <c r="M9765" s="46"/>
      <c r="R9765" s="51"/>
      <c r="S9765" s="51"/>
    </row>
    <row r="9766" spans="9:19" x14ac:dyDescent="0.25">
      <c r="I9766" s="1"/>
      <c r="J9766" s="71"/>
      <c r="M9766" s="46"/>
      <c r="R9766" s="51"/>
      <c r="S9766" s="51"/>
    </row>
    <row r="9767" spans="9:19" x14ac:dyDescent="0.25">
      <c r="I9767" s="1"/>
      <c r="J9767" s="71"/>
      <c r="M9767" s="46"/>
      <c r="R9767" s="51"/>
      <c r="S9767" s="51"/>
    </row>
    <row r="9768" spans="9:19" x14ac:dyDescent="0.25">
      <c r="I9768" s="1"/>
      <c r="J9768" s="71"/>
      <c r="M9768" s="46"/>
      <c r="R9768" s="51"/>
      <c r="S9768" s="51"/>
    </row>
    <row r="9769" spans="9:19" x14ac:dyDescent="0.25">
      <c r="I9769" s="1"/>
      <c r="J9769" s="71"/>
      <c r="M9769" s="46"/>
      <c r="R9769" s="51"/>
      <c r="S9769" s="51"/>
    </row>
    <row r="9770" spans="9:19" x14ac:dyDescent="0.25">
      <c r="I9770" s="1"/>
      <c r="J9770" s="71"/>
      <c r="M9770" s="46"/>
      <c r="R9770" s="51"/>
      <c r="S9770" s="51"/>
    </row>
    <row r="9771" spans="9:19" x14ac:dyDescent="0.25">
      <c r="I9771" s="1"/>
      <c r="J9771" s="71"/>
      <c r="M9771" s="46"/>
      <c r="R9771" s="51"/>
      <c r="S9771" s="51"/>
    </row>
    <row r="9772" spans="9:19" x14ac:dyDescent="0.25">
      <c r="I9772" s="1"/>
      <c r="J9772" s="71"/>
      <c r="M9772" s="46"/>
      <c r="R9772" s="51"/>
      <c r="S9772" s="51"/>
    </row>
    <row r="9773" spans="9:19" x14ac:dyDescent="0.25">
      <c r="I9773" s="1"/>
      <c r="J9773" s="71"/>
      <c r="M9773" s="46"/>
      <c r="R9773" s="51"/>
      <c r="S9773" s="51"/>
    </row>
    <row r="9774" spans="9:19" x14ac:dyDescent="0.25">
      <c r="I9774" s="1"/>
      <c r="J9774" s="71"/>
      <c r="M9774" s="46"/>
      <c r="R9774" s="51"/>
      <c r="S9774" s="51"/>
    </row>
    <row r="9775" spans="9:19" x14ac:dyDescent="0.25">
      <c r="I9775" s="1"/>
      <c r="J9775" s="71"/>
      <c r="M9775" s="46"/>
      <c r="R9775" s="51"/>
      <c r="S9775" s="51"/>
    </row>
    <row r="9776" spans="9:19" x14ac:dyDescent="0.25">
      <c r="I9776" s="1"/>
      <c r="J9776" s="71"/>
      <c r="M9776" s="46"/>
      <c r="R9776" s="51"/>
      <c r="S9776" s="51"/>
    </row>
    <row r="9777" spans="9:19" x14ac:dyDescent="0.25">
      <c r="I9777" s="1"/>
      <c r="J9777" s="71"/>
      <c r="M9777" s="46"/>
      <c r="R9777" s="51"/>
      <c r="S9777" s="51"/>
    </row>
    <row r="9778" spans="9:19" x14ac:dyDescent="0.25">
      <c r="I9778" s="1"/>
      <c r="J9778" s="71"/>
      <c r="M9778" s="46"/>
      <c r="R9778" s="51"/>
      <c r="S9778" s="51"/>
    </row>
    <row r="9779" spans="9:19" x14ac:dyDescent="0.25">
      <c r="I9779" s="1"/>
      <c r="J9779" s="71"/>
      <c r="M9779" s="46"/>
      <c r="R9779" s="51"/>
      <c r="S9779" s="51"/>
    </row>
    <row r="9780" spans="9:19" x14ac:dyDescent="0.25">
      <c r="I9780" s="1"/>
      <c r="J9780" s="71"/>
      <c r="M9780" s="46"/>
      <c r="R9780" s="51"/>
      <c r="S9780" s="51"/>
    </row>
    <row r="9781" spans="9:19" x14ac:dyDescent="0.25">
      <c r="I9781" s="1"/>
      <c r="J9781" s="71"/>
      <c r="M9781" s="46"/>
      <c r="R9781" s="51"/>
      <c r="S9781" s="51"/>
    </row>
    <row r="9782" spans="9:19" x14ac:dyDescent="0.25">
      <c r="I9782" s="1"/>
      <c r="J9782" s="71"/>
      <c r="M9782" s="46"/>
      <c r="R9782" s="51"/>
      <c r="S9782" s="51"/>
    </row>
    <row r="9783" spans="9:19" x14ac:dyDescent="0.25">
      <c r="I9783" s="1"/>
      <c r="J9783" s="71"/>
      <c r="M9783" s="46"/>
      <c r="R9783" s="51"/>
      <c r="S9783" s="51"/>
    </row>
    <row r="9784" spans="9:19" x14ac:dyDescent="0.25">
      <c r="I9784" s="1"/>
      <c r="J9784" s="71"/>
      <c r="M9784" s="46"/>
      <c r="R9784" s="51"/>
      <c r="S9784" s="51"/>
    </row>
    <row r="9785" spans="9:19" x14ac:dyDescent="0.25">
      <c r="I9785" s="1"/>
      <c r="J9785" s="71"/>
      <c r="M9785" s="46"/>
      <c r="R9785" s="51"/>
      <c r="S9785" s="51"/>
    </row>
    <row r="9786" spans="9:19" x14ac:dyDescent="0.25">
      <c r="I9786" s="1"/>
      <c r="J9786" s="71"/>
      <c r="M9786" s="46"/>
      <c r="R9786" s="51"/>
      <c r="S9786" s="51"/>
    </row>
    <row r="9787" spans="9:19" x14ac:dyDescent="0.25">
      <c r="I9787" s="1"/>
      <c r="J9787" s="71"/>
      <c r="M9787" s="46"/>
      <c r="R9787" s="51"/>
      <c r="S9787" s="51"/>
    </row>
    <row r="9788" spans="9:19" x14ac:dyDescent="0.25">
      <c r="I9788" s="1"/>
      <c r="J9788" s="71"/>
      <c r="M9788" s="46"/>
      <c r="R9788" s="51"/>
      <c r="S9788" s="51"/>
    </row>
    <row r="9789" spans="9:19" x14ac:dyDescent="0.25">
      <c r="I9789" s="1"/>
      <c r="J9789" s="71"/>
      <c r="M9789" s="46"/>
      <c r="R9789" s="51"/>
      <c r="S9789" s="51"/>
    </row>
    <row r="9790" spans="9:19" x14ac:dyDescent="0.25">
      <c r="I9790" s="1"/>
      <c r="J9790" s="71"/>
      <c r="M9790" s="46"/>
      <c r="R9790" s="51"/>
      <c r="S9790" s="51"/>
    </row>
    <row r="9791" spans="9:19" x14ac:dyDescent="0.25">
      <c r="I9791" s="1"/>
      <c r="J9791" s="71"/>
      <c r="M9791" s="46"/>
      <c r="R9791" s="51"/>
      <c r="S9791" s="51"/>
    </row>
    <row r="9792" spans="9:19" x14ac:dyDescent="0.25">
      <c r="I9792" s="1"/>
      <c r="J9792" s="71"/>
      <c r="M9792" s="46"/>
      <c r="R9792" s="51"/>
      <c r="S9792" s="51"/>
    </row>
    <row r="9793" spans="9:19" x14ac:dyDescent="0.25">
      <c r="I9793" s="1"/>
      <c r="J9793" s="71"/>
      <c r="M9793" s="46"/>
      <c r="R9793" s="51"/>
      <c r="S9793" s="51"/>
    </row>
    <row r="9794" spans="9:19" x14ac:dyDescent="0.25">
      <c r="I9794" s="1"/>
      <c r="J9794" s="71"/>
      <c r="M9794" s="46"/>
      <c r="R9794" s="51"/>
      <c r="S9794" s="51"/>
    </row>
    <row r="9795" spans="9:19" x14ac:dyDescent="0.25">
      <c r="I9795" s="1"/>
      <c r="J9795" s="71"/>
      <c r="M9795" s="46"/>
      <c r="R9795" s="51"/>
      <c r="S9795" s="51"/>
    </row>
    <row r="9796" spans="9:19" x14ac:dyDescent="0.25">
      <c r="I9796" s="1"/>
      <c r="J9796" s="71"/>
      <c r="M9796" s="46"/>
      <c r="R9796" s="51"/>
      <c r="S9796" s="51"/>
    </row>
    <row r="9797" spans="9:19" x14ac:dyDescent="0.25">
      <c r="I9797" s="1"/>
      <c r="J9797" s="71"/>
      <c r="M9797" s="46"/>
      <c r="R9797" s="51"/>
      <c r="S9797" s="51"/>
    </row>
    <row r="9798" spans="9:19" x14ac:dyDescent="0.25">
      <c r="I9798" s="1"/>
      <c r="J9798" s="71"/>
      <c r="M9798" s="46"/>
      <c r="R9798" s="51"/>
      <c r="S9798" s="51"/>
    </row>
    <row r="9799" spans="9:19" x14ac:dyDescent="0.25">
      <c r="I9799" s="1"/>
      <c r="J9799" s="71"/>
      <c r="M9799" s="46"/>
      <c r="R9799" s="51"/>
      <c r="S9799" s="51"/>
    </row>
    <row r="9800" spans="9:19" x14ac:dyDescent="0.25">
      <c r="I9800" s="1"/>
      <c r="J9800" s="71"/>
      <c r="M9800" s="46"/>
      <c r="R9800" s="51"/>
      <c r="S9800" s="51"/>
    </row>
    <row r="9801" spans="9:19" x14ac:dyDescent="0.25">
      <c r="I9801" s="1"/>
      <c r="J9801" s="71"/>
      <c r="M9801" s="46"/>
      <c r="R9801" s="51"/>
      <c r="S9801" s="51"/>
    </row>
    <row r="9802" spans="9:19" x14ac:dyDescent="0.25">
      <c r="I9802" s="1"/>
      <c r="J9802" s="71"/>
      <c r="M9802" s="46"/>
      <c r="R9802" s="51"/>
      <c r="S9802" s="51"/>
    </row>
    <row r="9803" spans="9:19" x14ac:dyDescent="0.25">
      <c r="I9803" s="1"/>
      <c r="J9803" s="71"/>
      <c r="M9803" s="46"/>
      <c r="R9803" s="51"/>
      <c r="S9803" s="51"/>
    </row>
    <row r="9804" spans="9:19" x14ac:dyDescent="0.25">
      <c r="I9804" s="1"/>
      <c r="J9804" s="71"/>
      <c r="M9804" s="46"/>
      <c r="R9804" s="51"/>
      <c r="S9804" s="51"/>
    </row>
    <row r="9805" spans="9:19" x14ac:dyDescent="0.25">
      <c r="I9805" s="1"/>
      <c r="J9805" s="71"/>
      <c r="M9805" s="46"/>
      <c r="R9805" s="51"/>
      <c r="S9805" s="51"/>
    </row>
    <row r="9806" spans="9:19" x14ac:dyDescent="0.25">
      <c r="I9806" s="1"/>
      <c r="J9806" s="71"/>
      <c r="M9806" s="46"/>
      <c r="R9806" s="51"/>
      <c r="S9806" s="51"/>
    </row>
    <row r="9807" spans="9:19" x14ac:dyDescent="0.25">
      <c r="I9807" s="1"/>
      <c r="J9807" s="71"/>
      <c r="M9807" s="46"/>
      <c r="R9807" s="51"/>
      <c r="S9807" s="51"/>
    </row>
    <row r="9808" spans="9:19" x14ac:dyDescent="0.25">
      <c r="I9808" s="1"/>
      <c r="J9808" s="71"/>
      <c r="M9808" s="46"/>
      <c r="R9808" s="51"/>
      <c r="S9808" s="51"/>
    </row>
    <row r="9809" spans="9:19" x14ac:dyDescent="0.25">
      <c r="I9809" s="1"/>
      <c r="J9809" s="71"/>
      <c r="M9809" s="46"/>
      <c r="R9809" s="51"/>
      <c r="S9809" s="51"/>
    </row>
    <row r="9810" spans="9:19" x14ac:dyDescent="0.25">
      <c r="I9810" s="1"/>
      <c r="J9810" s="71"/>
      <c r="M9810" s="46"/>
      <c r="R9810" s="51"/>
      <c r="S9810" s="51"/>
    </row>
    <row r="9811" spans="9:19" x14ac:dyDescent="0.25">
      <c r="I9811" s="1"/>
      <c r="J9811" s="71"/>
      <c r="M9811" s="46"/>
      <c r="R9811" s="51"/>
      <c r="S9811" s="51"/>
    </row>
    <row r="9812" spans="9:19" x14ac:dyDescent="0.25">
      <c r="I9812" s="1"/>
      <c r="J9812" s="71"/>
      <c r="M9812" s="46"/>
      <c r="R9812" s="51"/>
      <c r="S9812" s="51"/>
    </row>
    <row r="9813" spans="9:19" x14ac:dyDescent="0.25">
      <c r="I9813" s="1"/>
      <c r="J9813" s="71"/>
      <c r="M9813" s="46"/>
      <c r="R9813" s="51"/>
      <c r="S9813" s="51"/>
    </row>
    <row r="9814" spans="9:19" x14ac:dyDescent="0.25">
      <c r="I9814" s="1"/>
      <c r="J9814" s="71"/>
      <c r="M9814" s="46"/>
      <c r="R9814" s="51"/>
      <c r="S9814" s="51"/>
    </row>
    <row r="9815" spans="9:19" x14ac:dyDescent="0.25">
      <c r="I9815" s="1"/>
      <c r="J9815" s="71"/>
      <c r="M9815" s="46"/>
      <c r="R9815" s="51"/>
      <c r="S9815" s="51"/>
    </row>
    <row r="9816" spans="9:19" x14ac:dyDescent="0.25">
      <c r="I9816" s="1"/>
      <c r="J9816" s="71"/>
      <c r="M9816" s="46"/>
      <c r="R9816" s="51"/>
      <c r="S9816" s="51"/>
    </row>
    <row r="9817" spans="9:19" x14ac:dyDescent="0.25">
      <c r="I9817" s="1"/>
      <c r="J9817" s="71"/>
      <c r="M9817" s="46"/>
      <c r="R9817" s="51"/>
      <c r="S9817" s="51"/>
    </row>
    <row r="9818" spans="9:19" x14ac:dyDescent="0.25">
      <c r="I9818" s="1"/>
      <c r="J9818" s="71"/>
      <c r="M9818" s="46"/>
      <c r="R9818" s="51"/>
      <c r="S9818" s="51"/>
    </row>
    <row r="9819" spans="9:19" x14ac:dyDescent="0.25">
      <c r="I9819" s="1"/>
      <c r="J9819" s="71"/>
      <c r="M9819" s="46"/>
      <c r="R9819" s="51"/>
      <c r="S9819" s="51"/>
    </row>
    <row r="9820" spans="9:19" x14ac:dyDescent="0.25">
      <c r="I9820" s="1"/>
      <c r="J9820" s="71"/>
      <c r="M9820" s="46"/>
      <c r="R9820" s="51"/>
      <c r="S9820" s="51"/>
    </row>
    <row r="9821" spans="9:19" x14ac:dyDescent="0.25">
      <c r="I9821" s="1"/>
      <c r="J9821" s="71"/>
      <c r="M9821" s="46"/>
      <c r="R9821" s="51"/>
      <c r="S9821" s="51"/>
    </row>
    <row r="9822" spans="9:19" x14ac:dyDescent="0.25">
      <c r="I9822" s="1"/>
      <c r="J9822" s="71"/>
      <c r="M9822" s="46"/>
      <c r="R9822" s="51"/>
      <c r="S9822" s="51"/>
    </row>
    <row r="9823" spans="9:19" x14ac:dyDescent="0.25">
      <c r="I9823" s="1"/>
      <c r="J9823" s="71"/>
      <c r="M9823" s="46"/>
      <c r="R9823" s="51"/>
      <c r="S9823" s="51"/>
    </row>
    <row r="9824" spans="9:19" x14ac:dyDescent="0.25">
      <c r="I9824" s="1"/>
      <c r="J9824" s="71"/>
      <c r="M9824" s="46"/>
      <c r="R9824" s="51"/>
      <c r="S9824" s="51"/>
    </row>
    <row r="9825" spans="9:19" x14ac:dyDescent="0.25">
      <c r="I9825" s="1"/>
      <c r="J9825" s="71"/>
      <c r="M9825" s="46"/>
      <c r="R9825" s="51"/>
      <c r="S9825" s="51"/>
    </row>
    <row r="9826" spans="9:19" x14ac:dyDescent="0.25">
      <c r="I9826" s="1"/>
      <c r="J9826" s="71"/>
      <c r="M9826" s="46"/>
      <c r="R9826" s="51"/>
      <c r="S9826" s="51"/>
    </row>
    <row r="9827" spans="9:19" x14ac:dyDescent="0.25">
      <c r="I9827" s="1"/>
      <c r="J9827" s="71"/>
      <c r="M9827" s="46"/>
      <c r="R9827" s="51"/>
      <c r="S9827" s="51"/>
    </row>
    <row r="9828" spans="9:19" x14ac:dyDescent="0.25">
      <c r="I9828" s="1"/>
      <c r="J9828" s="71"/>
      <c r="M9828" s="46"/>
      <c r="R9828" s="51"/>
      <c r="S9828" s="51"/>
    </row>
    <row r="9829" spans="9:19" x14ac:dyDescent="0.25">
      <c r="I9829" s="1"/>
      <c r="J9829" s="71"/>
      <c r="M9829" s="46"/>
      <c r="R9829" s="51"/>
      <c r="S9829" s="51"/>
    </row>
    <row r="9830" spans="9:19" x14ac:dyDescent="0.25">
      <c r="I9830" s="1"/>
      <c r="J9830" s="71"/>
      <c r="M9830" s="46"/>
      <c r="R9830" s="51"/>
      <c r="S9830" s="51"/>
    </row>
    <row r="9831" spans="9:19" x14ac:dyDescent="0.25">
      <c r="I9831" s="1"/>
      <c r="J9831" s="71"/>
      <c r="M9831" s="46"/>
      <c r="R9831" s="51"/>
      <c r="S9831" s="51"/>
    </row>
    <row r="9832" spans="9:19" x14ac:dyDescent="0.25">
      <c r="I9832" s="1"/>
      <c r="J9832" s="71"/>
      <c r="M9832" s="46"/>
      <c r="R9832" s="51"/>
      <c r="S9832" s="51"/>
    </row>
    <row r="9833" spans="9:19" x14ac:dyDescent="0.25">
      <c r="I9833" s="1"/>
      <c r="J9833" s="71"/>
      <c r="M9833" s="46"/>
      <c r="R9833" s="51"/>
      <c r="S9833" s="51"/>
    </row>
    <row r="9834" spans="9:19" x14ac:dyDescent="0.25">
      <c r="I9834" s="1"/>
      <c r="J9834" s="71"/>
      <c r="M9834" s="46"/>
      <c r="R9834" s="51"/>
      <c r="S9834" s="51"/>
    </row>
    <row r="9835" spans="9:19" x14ac:dyDescent="0.25">
      <c r="I9835" s="1"/>
      <c r="J9835" s="71"/>
      <c r="M9835" s="46"/>
      <c r="R9835" s="51"/>
      <c r="S9835" s="51"/>
    </row>
    <row r="9836" spans="9:19" x14ac:dyDescent="0.25">
      <c r="I9836" s="1"/>
      <c r="J9836" s="71"/>
      <c r="M9836" s="46"/>
      <c r="R9836" s="51"/>
      <c r="S9836" s="51"/>
    </row>
    <row r="9837" spans="9:19" x14ac:dyDescent="0.25">
      <c r="I9837" s="1"/>
      <c r="J9837" s="71"/>
      <c r="M9837" s="46"/>
      <c r="R9837" s="51"/>
      <c r="S9837" s="51"/>
    </row>
    <row r="9838" spans="9:19" x14ac:dyDescent="0.25">
      <c r="I9838" s="1"/>
      <c r="J9838" s="71"/>
      <c r="M9838" s="46"/>
      <c r="R9838" s="51"/>
      <c r="S9838" s="51"/>
    </row>
    <row r="9839" spans="9:19" x14ac:dyDescent="0.25">
      <c r="I9839" s="1"/>
      <c r="J9839" s="71"/>
      <c r="M9839" s="46"/>
      <c r="R9839" s="51"/>
      <c r="S9839" s="51"/>
    </row>
    <row r="9840" spans="9:19" x14ac:dyDescent="0.25">
      <c r="I9840" s="1"/>
      <c r="J9840" s="71"/>
      <c r="M9840" s="46"/>
      <c r="R9840" s="51"/>
      <c r="S9840" s="51"/>
    </row>
    <row r="9841" spans="9:19" x14ac:dyDescent="0.25">
      <c r="I9841" s="1"/>
      <c r="J9841" s="71"/>
      <c r="M9841" s="46"/>
      <c r="R9841" s="51"/>
      <c r="S9841" s="51"/>
    </row>
    <row r="9842" spans="9:19" x14ac:dyDescent="0.25">
      <c r="I9842" s="1"/>
      <c r="J9842" s="71"/>
      <c r="M9842" s="46"/>
      <c r="R9842" s="51"/>
      <c r="S9842" s="51"/>
    </row>
    <row r="9843" spans="9:19" x14ac:dyDescent="0.25">
      <c r="I9843" s="1"/>
      <c r="J9843" s="71"/>
      <c r="M9843" s="46"/>
      <c r="R9843" s="51"/>
      <c r="S9843" s="51"/>
    </row>
    <row r="9844" spans="9:19" x14ac:dyDescent="0.25">
      <c r="I9844" s="1"/>
      <c r="J9844" s="71"/>
      <c r="M9844" s="46"/>
      <c r="R9844" s="51"/>
      <c r="S9844" s="51"/>
    </row>
    <row r="9845" spans="9:19" x14ac:dyDescent="0.25">
      <c r="I9845" s="1"/>
      <c r="J9845" s="71"/>
      <c r="M9845" s="46"/>
      <c r="R9845" s="51"/>
      <c r="S9845" s="51"/>
    </row>
    <row r="9846" spans="9:19" x14ac:dyDescent="0.25">
      <c r="I9846" s="1"/>
      <c r="J9846" s="71"/>
      <c r="M9846" s="46"/>
      <c r="R9846" s="51"/>
      <c r="S9846" s="51"/>
    </row>
    <row r="9847" spans="9:19" x14ac:dyDescent="0.25">
      <c r="I9847" s="1"/>
      <c r="J9847" s="71"/>
      <c r="M9847" s="46"/>
      <c r="R9847" s="51"/>
      <c r="S9847" s="51"/>
    </row>
    <row r="9848" spans="9:19" x14ac:dyDescent="0.25">
      <c r="I9848" s="1"/>
      <c r="J9848" s="71"/>
      <c r="M9848" s="46"/>
      <c r="R9848" s="51"/>
      <c r="S9848" s="51"/>
    </row>
    <row r="9849" spans="9:19" x14ac:dyDescent="0.25">
      <c r="I9849" s="1"/>
      <c r="J9849" s="71"/>
      <c r="M9849" s="46"/>
      <c r="R9849" s="51"/>
      <c r="S9849" s="51"/>
    </row>
    <row r="9850" spans="9:19" x14ac:dyDescent="0.25">
      <c r="I9850" s="1"/>
      <c r="J9850" s="71"/>
      <c r="M9850" s="46"/>
      <c r="R9850" s="51"/>
      <c r="S9850" s="51"/>
    </row>
    <row r="9851" spans="9:19" x14ac:dyDescent="0.25">
      <c r="I9851" s="1"/>
      <c r="J9851" s="71"/>
      <c r="M9851" s="46"/>
      <c r="R9851" s="51"/>
      <c r="S9851" s="51"/>
    </row>
    <row r="9852" spans="9:19" x14ac:dyDescent="0.25">
      <c r="I9852" s="1"/>
      <c r="J9852" s="71"/>
      <c r="M9852" s="46"/>
      <c r="R9852" s="51"/>
      <c r="S9852" s="51"/>
    </row>
    <row r="9853" spans="9:19" x14ac:dyDescent="0.25">
      <c r="I9853" s="1"/>
      <c r="J9853" s="71"/>
      <c r="M9853" s="46"/>
      <c r="R9853" s="51"/>
      <c r="S9853" s="51"/>
    </row>
    <row r="9854" spans="9:19" x14ac:dyDescent="0.25">
      <c r="I9854" s="1"/>
      <c r="J9854" s="71"/>
      <c r="M9854" s="46"/>
      <c r="R9854" s="51"/>
      <c r="S9854" s="51"/>
    </row>
    <row r="9855" spans="9:19" x14ac:dyDescent="0.25">
      <c r="I9855" s="1"/>
      <c r="J9855" s="71"/>
      <c r="M9855" s="46"/>
      <c r="R9855" s="51"/>
      <c r="S9855" s="51"/>
    </row>
    <row r="9856" spans="9:19" x14ac:dyDescent="0.25">
      <c r="I9856" s="1"/>
      <c r="J9856" s="71"/>
      <c r="M9856" s="46"/>
      <c r="R9856" s="51"/>
      <c r="S9856" s="51"/>
    </row>
    <row r="9857" spans="9:19" x14ac:dyDescent="0.25">
      <c r="I9857" s="1"/>
      <c r="J9857" s="71"/>
      <c r="M9857" s="46"/>
      <c r="R9857" s="51"/>
      <c r="S9857" s="51"/>
    </row>
    <row r="9858" spans="9:19" x14ac:dyDescent="0.25">
      <c r="I9858" s="1"/>
      <c r="J9858" s="71"/>
      <c r="M9858" s="46"/>
      <c r="R9858" s="51"/>
      <c r="S9858" s="51"/>
    </row>
    <row r="9859" spans="9:19" x14ac:dyDescent="0.25">
      <c r="I9859" s="1"/>
      <c r="J9859" s="71"/>
      <c r="M9859" s="46"/>
      <c r="R9859" s="51"/>
      <c r="S9859" s="51"/>
    </row>
    <row r="9860" spans="9:19" x14ac:dyDescent="0.25">
      <c r="I9860" s="1"/>
      <c r="J9860" s="71"/>
      <c r="M9860" s="46"/>
      <c r="R9860" s="51"/>
      <c r="S9860" s="51"/>
    </row>
    <row r="9861" spans="9:19" x14ac:dyDescent="0.25">
      <c r="I9861" s="1"/>
      <c r="J9861" s="71"/>
      <c r="M9861" s="46"/>
      <c r="R9861" s="51"/>
      <c r="S9861" s="51"/>
    </row>
    <row r="9862" spans="9:19" x14ac:dyDescent="0.25">
      <c r="I9862" s="1"/>
      <c r="J9862" s="71"/>
      <c r="M9862" s="46"/>
      <c r="R9862" s="51"/>
      <c r="S9862" s="51"/>
    </row>
    <row r="9863" spans="9:19" x14ac:dyDescent="0.25">
      <c r="I9863" s="1"/>
      <c r="J9863" s="71"/>
      <c r="M9863" s="46"/>
      <c r="R9863" s="51"/>
      <c r="S9863" s="51"/>
    </row>
    <row r="9864" spans="9:19" x14ac:dyDescent="0.25">
      <c r="I9864" s="1"/>
      <c r="J9864" s="71"/>
      <c r="M9864" s="46"/>
      <c r="R9864" s="51"/>
      <c r="S9864" s="51"/>
    </row>
    <row r="9865" spans="9:19" x14ac:dyDescent="0.25">
      <c r="I9865" s="1"/>
      <c r="J9865" s="71"/>
      <c r="M9865" s="46"/>
      <c r="R9865" s="51"/>
      <c r="S9865" s="51"/>
    </row>
    <row r="9866" spans="9:19" x14ac:dyDescent="0.25">
      <c r="I9866" s="1"/>
      <c r="J9866" s="71"/>
      <c r="M9866" s="46"/>
      <c r="R9866" s="51"/>
      <c r="S9866" s="51"/>
    </row>
    <row r="9867" spans="9:19" x14ac:dyDescent="0.25">
      <c r="I9867" s="1"/>
      <c r="J9867" s="71"/>
      <c r="M9867" s="46"/>
      <c r="R9867" s="51"/>
      <c r="S9867" s="51"/>
    </row>
    <row r="9868" spans="9:19" x14ac:dyDescent="0.25">
      <c r="I9868" s="1"/>
      <c r="J9868" s="71"/>
      <c r="M9868" s="46"/>
      <c r="R9868" s="51"/>
      <c r="S9868" s="51"/>
    </row>
    <row r="9869" spans="9:19" x14ac:dyDescent="0.25">
      <c r="I9869" s="1"/>
      <c r="J9869" s="71"/>
      <c r="M9869" s="46"/>
      <c r="R9869" s="51"/>
      <c r="S9869" s="51"/>
    </row>
    <row r="9870" spans="9:19" x14ac:dyDescent="0.25">
      <c r="I9870" s="1"/>
      <c r="J9870" s="71"/>
      <c r="M9870" s="46"/>
      <c r="R9870" s="51"/>
      <c r="S9870" s="51"/>
    </row>
    <row r="9871" spans="9:19" x14ac:dyDescent="0.25">
      <c r="I9871" s="1"/>
      <c r="J9871" s="71"/>
      <c r="M9871" s="46"/>
      <c r="R9871" s="51"/>
      <c r="S9871" s="51"/>
    </row>
    <row r="9872" spans="9:19" x14ac:dyDescent="0.25">
      <c r="I9872" s="1"/>
      <c r="J9872" s="71"/>
      <c r="M9872" s="46"/>
      <c r="R9872" s="51"/>
      <c r="S9872" s="51"/>
    </row>
    <row r="9873" spans="9:19" x14ac:dyDescent="0.25">
      <c r="I9873" s="1"/>
      <c r="J9873" s="71"/>
      <c r="M9873" s="46"/>
      <c r="R9873" s="51"/>
      <c r="S9873" s="51"/>
    </row>
    <row r="9874" spans="9:19" x14ac:dyDescent="0.25">
      <c r="I9874" s="1"/>
      <c r="J9874" s="71"/>
      <c r="M9874" s="46"/>
      <c r="R9874" s="51"/>
      <c r="S9874" s="51"/>
    </row>
    <row r="9875" spans="9:19" x14ac:dyDescent="0.25">
      <c r="I9875" s="1"/>
      <c r="J9875" s="71"/>
      <c r="M9875" s="46"/>
      <c r="R9875" s="51"/>
      <c r="S9875" s="51"/>
    </row>
    <row r="9876" spans="9:19" x14ac:dyDescent="0.25">
      <c r="I9876" s="1"/>
      <c r="J9876" s="71"/>
      <c r="M9876" s="46"/>
      <c r="R9876" s="51"/>
      <c r="S9876" s="51"/>
    </row>
    <row r="9877" spans="9:19" x14ac:dyDescent="0.25">
      <c r="I9877" s="1"/>
      <c r="J9877" s="71"/>
      <c r="M9877" s="46"/>
      <c r="R9877" s="51"/>
      <c r="S9877" s="51"/>
    </row>
    <row r="9878" spans="9:19" x14ac:dyDescent="0.25">
      <c r="I9878" s="1"/>
      <c r="J9878" s="71"/>
      <c r="M9878" s="46"/>
      <c r="R9878" s="51"/>
      <c r="S9878" s="51"/>
    </row>
    <row r="9879" spans="9:19" x14ac:dyDescent="0.25">
      <c r="I9879" s="1"/>
      <c r="J9879" s="71"/>
      <c r="M9879" s="46"/>
      <c r="R9879" s="51"/>
      <c r="S9879" s="51"/>
    </row>
    <row r="9880" spans="9:19" x14ac:dyDescent="0.25">
      <c r="I9880" s="1"/>
      <c r="J9880" s="71"/>
      <c r="M9880" s="46"/>
      <c r="R9880" s="51"/>
      <c r="S9880" s="51"/>
    </row>
    <row r="9881" spans="9:19" x14ac:dyDescent="0.25">
      <c r="I9881" s="1"/>
      <c r="J9881" s="71"/>
      <c r="M9881" s="46"/>
      <c r="R9881" s="51"/>
      <c r="S9881" s="51"/>
    </row>
    <row r="9882" spans="9:19" x14ac:dyDescent="0.25">
      <c r="I9882" s="1"/>
      <c r="J9882" s="71"/>
      <c r="M9882" s="46"/>
      <c r="R9882" s="51"/>
      <c r="S9882" s="51"/>
    </row>
    <row r="9883" spans="9:19" x14ac:dyDescent="0.25">
      <c r="I9883" s="1"/>
      <c r="J9883" s="71"/>
      <c r="M9883" s="46"/>
      <c r="R9883" s="51"/>
      <c r="S9883" s="51"/>
    </row>
    <row r="9884" spans="9:19" x14ac:dyDescent="0.25">
      <c r="I9884" s="1"/>
      <c r="J9884" s="71"/>
      <c r="M9884" s="46"/>
      <c r="R9884" s="51"/>
      <c r="S9884" s="51"/>
    </row>
    <row r="9885" spans="9:19" x14ac:dyDescent="0.25">
      <c r="I9885" s="1"/>
      <c r="J9885" s="71"/>
      <c r="M9885" s="46"/>
      <c r="R9885" s="51"/>
      <c r="S9885" s="51"/>
    </row>
    <row r="9886" spans="9:19" x14ac:dyDescent="0.25">
      <c r="I9886" s="1"/>
      <c r="J9886" s="71"/>
      <c r="M9886" s="46"/>
      <c r="R9886" s="51"/>
      <c r="S9886" s="51"/>
    </row>
    <row r="9887" spans="9:19" x14ac:dyDescent="0.25">
      <c r="I9887" s="1"/>
      <c r="J9887" s="71"/>
      <c r="M9887" s="46"/>
      <c r="R9887" s="51"/>
      <c r="S9887" s="51"/>
    </row>
    <row r="9888" spans="9:19" x14ac:dyDescent="0.25">
      <c r="I9888" s="1"/>
      <c r="J9888" s="71"/>
      <c r="M9888" s="46"/>
      <c r="R9888" s="51"/>
      <c r="S9888" s="51"/>
    </row>
    <row r="9889" spans="9:19" x14ac:dyDescent="0.25">
      <c r="I9889" s="1"/>
      <c r="J9889" s="71"/>
      <c r="M9889" s="46"/>
      <c r="R9889" s="51"/>
      <c r="S9889" s="51"/>
    </row>
    <row r="9890" spans="9:19" x14ac:dyDescent="0.25">
      <c r="I9890" s="1"/>
      <c r="J9890" s="71"/>
      <c r="M9890" s="46"/>
      <c r="R9890" s="51"/>
      <c r="S9890" s="51"/>
    </row>
    <row r="9891" spans="9:19" x14ac:dyDescent="0.25">
      <c r="I9891" s="1"/>
      <c r="J9891" s="71"/>
      <c r="M9891" s="46"/>
      <c r="R9891" s="51"/>
      <c r="S9891" s="51"/>
    </row>
    <row r="9892" spans="9:19" x14ac:dyDescent="0.25">
      <c r="I9892" s="1"/>
      <c r="J9892" s="71"/>
      <c r="M9892" s="46"/>
      <c r="R9892" s="51"/>
      <c r="S9892" s="51"/>
    </row>
    <row r="9893" spans="9:19" x14ac:dyDescent="0.25">
      <c r="I9893" s="1"/>
      <c r="J9893" s="71"/>
      <c r="M9893" s="46"/>
      <c r="R9893" s="51"/>
      <c r="S9893" s="51"/>
    </row>
    <row r="9894" spans="9:19" x14ac:dyDescent="0.25">
      <c r="I9894" s="1"/>
      <c r="J9894" s="71"/>
      <c r="M9894" s="46"/>
      <c r="R9894" s="51"/>
      <c r="S9894" s="51"/>
    </row>
    <row r="9895" spans="9:19" x14ac:dyDescent="0.25">
      <c r="I9895" s="1"/>
      <c r="J9895" s="71"/>
      <c r="M9895" s="46"/>
      <c r="R9895" s="51"/>
      <c r="S9895" s="51"/>
    </row>
    <row r="9896" spans="9:19" x14ac:dyDescent="0.25">
      <c r="I9896" s="1"/>
      <c r="J9896" s="71"/>
      <c r="M9896" s="46"/>
      <c r="R9896" s="51"/>
      <c r="S9896" s="51"/>
    </row>
    <row r="9897" spans="9:19" x14ac:dyDescent="0.25">
      <c r="I9897" s="1"/>
      <c r="J9897" s="71"/>
      <c r="M9897" s="46"/>
      <c r="R9897" s="51"/>
      <c r="S9897" s="51"/>
    </row>
    <row r="9898" spans="9:19" x14ac:dyDescent="0.25">
      <c r="I9898" s="1"/>
      <c r="J9898" s="71"/>
      <c r="M9898" s="46"/>
      <c r="R9898" s="51"/>
      <c r="S9898" s="51"/>
    </row>
    <row r="9899" spans="9:19" x14ac:dyDescent="0.25">
      <c r="I9899" s="1"/>
      <c r="J9899" s="71"/>
      <c r="M9899" s="46"/>
      <c r="R9899" s="51"/>
      <c r="S9899" s="51"/>
    </row>
    <row r="9900" spans="9:19" x14ac:dyDescent="0.25">
      <c r="I9900" s="1"/>
      <c r="J9900" s="71"/>
      <c r="M9900" s="46"/>
      <c r="R9900" s="51"/>
      <c r="S9900" s="51"/>
    </row>
    <row r="9901" spans="9:19" x14ac:dyDescent="0.25">
      <c r="I9901" s="1"/>
      <c r="J9901" s="71"/>
      <c r="M9901" s="46"/>
      <c r="R9901" s="51"/>
      <c r="S9901" s="51"/>
    </row>
    <row r="9902" spans="9:19" x14ac:dyDescent="0.25">
      <c r="I9902" s="1"/>
      <c r="J9902" s="71"/>
      <c r="M9902" s="46"/>
      <c r="R9902" s="51"/>
      <c r="S9902" s="51"/>
    </row>
    <row r="9903" spans="9:19" x14ac:dyDescent="0.25">
      <c r="I9903" s="1"/>
      <c r="J9903" s="71"/>
      <c r="M9903" s="46"/>
      <c r="R9903" s="51"/>
      <c r="S9903" s="51"/>
    </row>
    <row r="9904" spans="9:19" x14ac:dyDescent="0.25">
      <c r="I9904" s="1"/>
      <c r="J9904" s="71"/>
      <c r="M9904" s="46"/>
      <c r="R9904" s="51"/>
      <c r="S9904" s="51"/>
    </row>
    <row r="9905" spans="9:19" x14ac:dyDescent="0.25">
      <c r="I9905" s="1"/>
      <c r="J9905" s="71"/>
      <c r="M9905" s="46"/>
      <c r="R9905" s="51"/>
      <c r="S9905" s="51"/>
    </row>
    <row r="9906" spans="9:19" x14ac:dyDescent="0.25">
      <c r="I9906" s="1"/>
      <c r="J9906" s="71"/>
      <c r="M9906" s="46"/>
      <c r="R9906" s="51"/>
      <c r="S9906" s="51"/>
    </row>
    <row r="9907" spans="9:19" x14ac:dyDescent="0.25">
      <c r="I9907" s="1"/>
      <c r="J9907" s="71"/>
      <c r="M9907" s="46"/>
      <c r="R9907" s="51"/>
      <c r="S9907" s="51"/>
    </row>
    <row r="9908" spans="9:19" x14ac:dyDescent="0.25">
      <c r="I9908" s="1"/>
      <c r="J9908" s="71"/>
      <c r="M9908" s="46"/>
      <c r="R9908" s="51"/>
      <c r="S9908" s="51"/>
    </row>
    <row r="9909" spans="9:19" x14ac:dyDescent="0.25">
      <c r="I9909" s="1"/>
      <c r="J9909" s="71"/>
      <c r="M9909" s="46"/>
      <c r="R9909" s="51"/>
      <c r="S9909" s="51"/>
    </row>
    <row r="9910" spans="9:19" x14ac:dyDescent="0.25">
      <c r="I9910" s="1"/>
      <c r="J9910" s="71"/>
      <c r="M9910" s="46"/>
      <c r="R9910" s="51"/>
      <c r="S9910" s="51"/>
    </row>
    <row r="9911" spans="9:19" x14ac:dyDescent="0.25">
      <c r="I9911" s="1"/>
      <c r="J9911" s="71"/>
      <c r="M9911" s="46"/>
      <c r="R9911" s="51"/>
      <c r="S9911" s="51"/>
    </row>
    <row r="9912" spans="9:19" x14ac:dyDescent="0.25">
      <c r="I9912" s="1"/>
      <c r="J9912" s="71"/>
      <c r="M9912" s="46"/>
      <c r="R9912" s="51"/>
      <c r="S9912" s="51"/>
    </row>
    <row r="9913" spans="9:19" x14ac:dyDescent="0.25">
      <c r="I9913" s="1"/>
      <c r="J9913" s="71"/>
      <c r="M9913" s="46"/>
      <c r="R9913" s="51"/>
      <c r="S9913" s="51"/>
    </row>
    <row r="9914" spans="9:19" x14ac:dyDescent="0.25">
      <c r="I9914" s="1"/>
      <c r="J9914" s="71"/>
      <c r="M9914" s="46"/>
      <c r="R9914" s="51"/>
      <c r="S9914" s="51"/>
    </row>
    <row r="9915" spans="9:19" x14ac:dyDescent="0.25">
      <c r="I9915" s="1"/>
      <c r="J9915" s="71"/>
      <c r="M9915" s="46"/>
      <c r="R9915" s="51"/>
      <c r="S9915" s="51"/>
    </row>
    <row r="9916" spans="9:19" x14ac:dyDescent="0.25">
      <c r="I9916" s="1"/>
      <c r="J9916" s="71"/>
      <c r="M9916" s="46"/>
      <c r="R9916" s="51"/>
      <c r="S9916" s="51"/>
    </row>
    <row r="9917" spans="9:19" x14ac:dyDescent="0.25">
      <c r="I9917" s="1"/>
      <c r="J9917" s="71"/>
      <c r="M9917" s="46"/>
      <c r="R9917" s="51"/>
      <c r="S9917" s="51"/>
    </row>
    <row r="9918" spans="9:19" x14ac:dyDescent="0.25">
      <c r="I9918" s="1"/>
      <c r="J9918" s="71"/>
      <c r="M9918" s="46"/>
      <c r="R9918" s="51"/>
      <c r="S9918" s="51"/>
    </row>
    <row r="9919" spans="9:19" x14ac:dyDescent="0.25">
      <c r="I9919" s="1"/>
      <c r="J9919" s="71"/>
      <c r="M9919" s="46"/>
      <c r="R9919" s="51"/>
      <c r="S9919" s="51"/>
    </row>
    <row r="9920" spans="9:19" x14ac:dyDescent="0.25">
      <c r="I9920" s="1"/>
      <c r="J9920" s="71"/>
      <c r="M9920" s="46"/>
      <c r="R9920" s="51"/>
      <c r="S9920" s="51"/>
    </row>
    <row r="9921" spans="9:19" x14ac:dyDescent="0.25">
      <c r="I9921" s="1"/>
      <c r="J9921" s="71"/>
      <c r="M9921" s="46"/>
      <c r="R9921" s="51"/>
      <c r="S9921" s="51"/>
    </row>
    <row r="9922" spans="9:19" x14ac:dyDescent="0.25">
      <c r="I9922" s="1"/>
      <c r="J9922" s="71"/>
      <c r="M9922" s="46"/>
      <c r="R9922" s="51"/>
      <c r="S9922" s="51"/>
    </row>
    <row r="9923" spans="9:19" x14ac:dyDescent="0.25">
      <c r="I9923" s="1"/>
      <c r="J9923" s="71"/>
      <c r="M9923" s="46"/>
      <c r="R9923" s="51"/>
      <c r="S9923" s="51"/>
    </row>
    <row r="9924" spans="9:19" x14ac:dyDescent="0.25">
      <c r="I9924" s="1"/>
      <c r="J9924" s="71"/>
      <c r="M9924" s="46"/>
      <c r="R9924" s="51"/>
      <c r="S9924" s="51"/>
    </row>
    <row r="9925" spans="9:19" x14ac:dyDescent="0.25">
      <c r="I9925" s="1"/>
      <c r="J9925" s="71"/>
      <c r="M9925" s="46"/>
      <c r="R9925" s="51"/>
      <c r="S9925" s="51"/>
    </row>
    <row r="9926" spans="9:19" x14ac:dyDescent="0.25">
      <c r="I9926" s="1"/>
      <c r="J9926" s="71"/>
      <c r="M9926" s="46"/>
      <c r="R9926" s="51"/>
      <c r="S9926" s="51"/>
    </row>
    <row r="9927" spans="9:19" x14ac:dyDescent="0.25">
      <c r="I9927" s="1"/>
      <c r="J9927" s="71"/>
      <c r="M9927" s="46"/>
      <c r="R9927" s="51"/>
      <c r="S9927" s="51"/>
    </row>
    <row r="9928" spans="9:19" x14ac:dyDescent="0.25">
      <c r="I9928" s="1"/>
      <c r="J9928" s="71"/>
      <c r="M9928" s="46"/>
      <c r="R9928" s="51"/>
      <c r="S9928" s="51"/>
    </row>
    <row r="9929" spans="9:19" x14ac:dyDescent="0.25">
      <c r="I9929" s="1"/>
      <c r="J9929" s="71"/>
      <c r="M9929" s="46"/>
      <c r="R9929" s="51"/>
      <c r="S9929" s="51"/>
    </row>
    <row r="9930" spans="9:19" x14ac:dyDescent="0.25">
      <c r="I9930" s="1"/>
      <c r="J9930" s="71"/>
      <c r="M9930" s="46"/>
      <c r="R9930" s="51"/>
      <c r="S9930" s="51"/>
    </row>
    <row r="9931" spans="9:19" x14ac:dyDescent="0.25">
      <c r="I9931" s="1"/>
      <c r="J9931" s="71"/>
      <c r="M9931" s="46"/>
      <c r="R9931" s="51"/>
      <c r="S9931" s="51"/>
    </row>
    <row r="9932" spans="9:19" x14ac:dyDescent="0.25">
      <c r="I9932" s="1"/>
      <c r="J9932" s="71"/>
      <c r="M9932" s="46"/>
      <c r="R9932" s="51"/>
      <c r="S9932" s="51"/>
    </row>
    <row r="9933" spans="9:19" x14ac:dyDescent="0.25">
      <c r="I9933" s="1"/>
      <c r="J9933" s="71"/>
      <c r="M9933" s="46"/>
      <c r="R9933" s="51"/>
      <c r="S9933" s="51"/>
    </row>
    <row r="9934" spans="9:19" x14ac:dyDescent="0.25">
      <c r="I9934" s="1"/>
      <c r="J9934" s="71"/>
      <c r="M9934" s="46"/>
      <c r="R9934" s="51"/>
      <c r="S9934" s="51"/>
    </row>
    <row r="9935" spans="9:19" x14ac:dyDescent="0.25">
      <c r="I9935" s="1"/>
      <c r="J9935" s="71"/>
      <c r="M9935" s="46"/>
      <c r="R9935" s="51"/>
      <c r="S9935" s="51"/>
    </row>
    <row r="9936" spans="9:19" x14ac:dyDescent="0.25">
      <c r="I9936" s="1"/>
      <c r="J9936" s="71"/>
      <c r="M9936" s="46"/>
      <c r="R9936" s="51"/>
      <c r="S9936" s="51"/>
    </row>
    <row r="9937" spans="9:19" x14ac:dyDescent="0.25">
      <c r="I9937" s="1"/>
      <c r="J9937" s="71"/>
      <c r="M9937" s="46"/>
      <c r="R9937" s="51"/>
      <c r="S9937" s="51"/>
    </row>
    <row r="9938" spans="9:19" x14ac:dyDescent="0.25">
      <c r="I9938" s="1"/>
      <c r="J9938" s="71"/>
      <c r="M9938" s="46"/>
      <c r="R9938" s="51"/>
      <c r="S9938" s="51"/>
    </row>
    <row r="9939" spans="9:19" x14ac:dyDescent="0.25">
      <c r="I9939" s="1"/>
      <c r="J9939" s="71"/>
      <c r="M9939" s="46"/>
      <c r="R9939" s="51"/>
      <c r="S9939" s="51"/>
    </row>
    <row r="9940" spans="9:19" x14ac:dyDescent="0.25">
      <c r="I9940" s="1"/>
      <c r="J9940" s="71"/>
      <c r="M9940" s="46"/>
      <c r="R9940" s="51"/>
      <c r="S9940" s="51"/>
    </row>
    <row r="9941" spans="9:19" x14ac:dyDescent="0.25">
      <c r="I9941" s="1"/>
      <c r="J9941" s="71"/>
      <c r="M9941" s="46"/>
      <c r="R9941" s="51"/>
      <c r="S9941" s="51"/>
    </row>
    <row r="9942" spans="9:19" x14ac:dyDescent="0.25">
      <c r="I9942" s="1"/>
      <c r="J9942" s="71"/>
      <c r="M9942" s="46"/>
      <c r="R9942" s="51"/>
      <c r="S9942" s="51"/>
    </row>
    <row r="9943" spans="9:19" x14ac:dyDescent="0.25">
      <c r="I9943" s="1"/>
      <c r="J9943" s="71"/>
      <c r="M9943" s="46"/>
      <c r="R9943" s="51"/>
      <c r="S9943" s="51"/>
    </row>
    <row r="9944" spans="9:19" x14ac:dyDescent="0.25">
      <c r="I9944" s="1"/>
      <c r="J9944" s="71"/>
      <c r="M9944" s="46"/>
      <c r="R9944" s="51"/>
      <c r="S9944" s="51"/>
    </row>
    <row r="9945" spans="9:19" x14ac:dyDescent="0.25">
      <c r="I9945" s="1"/>
      <c r="J9945" s="71"/>
      <c r="M9945" s="46"/>
      <c r="R9945" s="51"/>
      <c r="S9945" s="51"/>
    </row>
    <row r="9946" spans="9:19" x14ac:dyDescent="0.25">
      <c r="I9946" s="1"/>
      <c r="J9946" s="71"/>
      <c r="M9946" s="46"/>
      <c r="R9946" s="51"/>
      <c r="S9946" s="51"/>
    </row>
    <row r="9947" spans="9:19" x14ac:dyDescent="0.25">
      <c r="I9947" s="1"/>
      <c r="J9947" s="71"/>
      <c r="M9947" s="46"/>
      <c r="R9947" s="51"/>
      <c r="S9947" s="51"/>
    </row>
    <row r="9948" spans="9:19" x14ac:dyDescent="0.25">
      <c r="I9948" s="1"/>
      <c r="J9948" s="71"/>
      <c r="M9948" s="46"/>
      <c r="R9948" s="51"/>
      <c r="S9948" s="51"/>
    </row>
    <row r="9949" spans="9:19" x14ac:dyDescent="0.25">
      <c r="I9949" s="1"/>
      <c r="J9949" s="71"/>
      <c r="M9949" s="46"/>
      <c r="R9949" s="51"/>
      <c r="S9949" s="51"/>
    </row>
    <row r="9950" spans="9:19" x14ac:dyDescent="0.25">
      <c r="I9950" s="1"/>
      <c r="J9950" s="71"/>
      <c r="M9950" s="46"/>
      <c r="R9950" s="51"/>
      <c r="S9950" s="51"/>
    </row>
    <row r="9951" spans="9:19" x14ac:dyDescent="0.25">
      <c r="I9951" s="1"/>
      <c r="J9951" s="71"/>
      <c r="M9951" s="46"/>
      <c r="R9951" s="51"/>
      <c r="S9951" s="51"/>
    </row>
    <row r="9952" spans="9:19" x14ac:dyDescent="0.25">
      <c r="I9952" s="1"/>
      <c r="J9952" s="71"/>
      <c r="M9952" s="46"/>
      <c r="R9952" s="51"/>
      <c r="S9952" s="51"/>
    </row>
    <row r="9953" spans="9:19" x14ac:dyDescent="0.25">
      <c r="I9953" s="1"/>
      <c r="J9953" s="71"/>
      <c r="M9953" s="46"/>
      <c r="R9953" s="51"/>
      <c r="S9953" s="51"/>
    </row>
    <row r="9954" spans="9:19" x14ac:dyDescent="0.25">
      <c r="I9954" s="1"/>
      <c r="J9954" s="71"/>
      <c r="M9954" s="46"/>
      <c r="R9954" s="51"/>
      <c r="S9954" s="51"/>
    </row>
    <row r="9955" spans="9:19" x14ac:dyDescent="0.25">
      <c r="I9955" s="1"/>
      <c r="J9955" s="71"/>
      <c r="M9955" s="46"/>
      <c r="R9955" s="51"/>
      <c r="S9955" s="51"/>
    </row>
    <row r="9956" spans="9:19" x14ac:dyDescent="0.25">
      <c r="I9956" s="1"/>
      <c r="J9956" s="71"/>
      <c r="M9956" s="46"/>
      <c r="R9956" s="51"/>
      <c r="S9956" s="51"/>
    </row>
    <row r="9957" spans="9:19" x14ac:dyDescent="0.25">
      <c r="I9957" s="1"/>
      <c r="J9957" s="71"/>
      <c r="M9957" s="46"/>
      <c r="R9957" s="51"/>
      <c r="S9957" s="51"/>
    </row>
    <row r="9958" spans="9:19" x14ac:dyDescent="0.25">
      <c r="I9958" s="1"/>
      <c r="J9958" s="71"/>
      <c r="M9958" s="46"/>
      <c r="R9958" s="51"/>
      <c r="S9958" s="51"/>
    </row>
    <row r="9959" spans="9:19" x14ac:dyDescent="0.25">
      <c r="I9959" s="1"/>
      <c r="J9959" s="71"/>
      <c r="M9959" s="46"/>
      <c r="R9959" s="51"/>
      <c r="S9959" s="51"/>
    </row>
    <row r="9960" spans="9:19" x14ac:dyDescent="0.25">
      <c r="I9960" s="1"/>
      <c r="J9960" s="71"/>
      <c r="M9960" s="46"/>
      <c r="R9960" s="51"/>
      <c r="S9960" s="51"/>
    </row>
    <row r="9961" spans="9:19" x14ac:dyDescent="0.25">
      <c r="I9961" s="1"/>
      <c r="J9961" s="71"/>
      <c r="M9961" s="46"/>
      <c r="R9961" s="51"/>
      <c r="S9961" s="51"/>
    </row>
    <row r="9962" spans="9:19" x14ac:dyDescent="0.25">
      <c r="I9962" s="1"/>
      <c r="J9962" s="71"/>
      <c r="M9962" s="46"/>
      <c r="R9962" s="51"/>
      <c r="S9962" s="51"/>
    </row>
    <row r="9963" spans="9:19" x14ac:dyDescent="0.25">
      <c r="I9963" s="1"/>
      <c r="J9963" s="71"/>
      <c r="M9963" s="46"/>
      <c r="R9963" s="51"/>
      <c r="S9963" s="51"/>
    </row>
    <row r="9964" spans="9:19" x14ac:dyDescent="0.25">
      <c r="I9964" s="1"/>
      <c r="J9964" s="71"/>
      <c r="M9964" s="46"/>
      <c r="R9964" s="51"/>
      <c r="S9964" s="51"/>
    </row>
    <row r="9965" spans="9:19" x14ac:dyDescent="0.25">
      <c r="I9965" s="1"/>
      <c r="J9965" s="71"/>
      <c r="M9965" s="46"/>
      <c r="R9965" s="51"/>
      <c r="S9965" s="51"/>
    </row>
    <row r="9966" spans="9:19" x14ac:dyDescent="0.25">
      <c r="I9966" s="1"/>
      <c r="J9966" s="71"/>
      <c r="M9966" s="46"/>
      <c r="R9966" s="51"/>
      <c r="S9966" s="51"/>
    </row>
    <row r="9967" spans="9:19" x14ac:dyDescent="0.25">
      <c r="I9967" s="1"/>
      <c r="J9967" s="71"/>
      <c r="M9967" s="46"/>
      <c r="R9967" s="51"/>
      <c r="S9967" s="51"/>
    </row>
    <row r="9968" spans="9:19" x14ac:dyDescent="0.25">
      <c r="I9968" s="1"/>
      <c r="J9968" s="71"/>
      <c r="M9968" s="46"/>
      <c r="R9968" s="51"/>
      <c r="S9968" s="51"/>
    </row>
    <row r="9969" spans="9:19" x14ac:dyDescent="0.25">
      <c r="I9969" s="1"/>
      <c r="J9969" s="71"/>
      <c r="M9969" s="46"/>
      <c r="R9969" s="51"/>
      <c r="S9969" s="51"/>
    </row>
    <row r="9970" spans="9:19" x14ac:dyDescent="0.25">
      <c r="I9970" s="1"/>
      <c r="J9970" s="71"/>
      <c r="M9970" s="46"/>
      <c r="R9970" s="51"/>
      <c r="S9970" s="51"/>
    </row>
    <row r="9971" spans="9:19" x14ac:dyDescent="0.25">
      <c r="I9971" s="1"/>
      <c r="J9971" s="71"/>
      <c r="M9971" s="46"/>
      <c r="R9971" s="51"/>
      <c r="S9971" s="51"/>
    </row>
    <row r="9972" spans="9:19" x14ac:dyDescent="0.25">
      <c r="I9972" s="1"/>
      <c r="J9972" s="71"/>
      <c r="M9972" s="46"/>
      <c r="R9972" s="51"/>
      <c r="S9972" s="51"/>
    </row>
    <row r="9973" spans="9:19" x14ac:dyDescent="0.25">
      <c r="I9973" s="1"/>
      <c r="J9973" s="71"/>
      <c r="M9973" s="46"/>
      <c r="R9973" s="51"/>
      <c r="S9973" s="51"/>
    </row>
    <row r="9974" spans="9:19" x14ac:dyDescent="0.25">
      <c r="I9974" s="1"/>
      <c r="J9974" s="71"/>
      <c r="M9974" s="46"/>
      <c r="R9974" s="51"/>
      <c r="S9974" s="51"/>
    </row>
    <row r="9975" spans="9:19" x14ac:dyDescent="0.25">
      <c r="I9975" s="1"/>
      <c r="J9975" s="71"/>
      <c r="M9975" s="46"/>
      <c r="R9975" s="51"/>
      <c r="S9975" s="51"/>
    </row>
    <row r="9976" spans="9:19" x14ac:dyDescent="0.25">
      <c r="I9976" s="1"/>
      <c r="J9976" s="71"/>
      <c r="M9976" s="46"/>
      <c r="R9976" s="51"/>
      <c r="S9976" s="51"/>
    </row>
    <row r="9977" spans="9:19" x14ac:dyDescent="0.25">
      <c r="I9977" s="1"/>
      <c r="J9977" s="71"/>
      <c r="M9977" s="46"/>
      <c r="R9977" s="51"/>
      <c r="S9977" s="51"/>
    </row>
    <row r="9978" spans="9:19" x14ac:dyDescent="0.25">
      <c r="I9978" s="1"/>
      <c r="J9978" s="71"/>
      <c r="M9978" s="46"/>
      <c r="R9978" s="51"/>
      <c r="S9978" s="51"/>
    </row>
    <row r="9979" spans="9:19" x14ac:dyDescent="0.25">
      <c r="I9979" s="1"/>
      <c r="J9979" s="71"/>
      <c r="M9979" s="46"/>
      <c r="R9979" s="51"/>
      <c r="S9979" s="51"/>
    </row>
    <row r="9980" spans="9:19" x14ac:dyDescent="0.25">
      <c r="I9980" s="1"/>
      <c r="J9980" s="71"/>
      <c r="M9980" s="46"/>
      <c r="R9980" s="51"/>
      <c r="S9980" s="51"/>
    </row>
    <row r="9981" spans="9:19" x14ac:dyDescent="0.25">
      <c r="I9981" s="1"/>
      <c r="J9981" s="71"/>
      <c r="M9981" s="46"/>
      <c r="R9981" s="51"/>
      <c r="S9981" s="51"/>
    </row>
    <row r="9982" spans="9:19" x14ac:dyDescent="0.25">
      <c r="I9982" s="1"/>
      <c r="J9982" s="71"/>
      <c r="M9982" s="46"/>
      <c r="R9982" s="51"/>
      <c r="S9982" s="51"/>
    </row>
    <row r="9983" spans="9:19" x14ac:dyDescent="0.25">
      <c r="I9983" s="1"/>
      <c r="J9983" s="71"/>
      <c r="M9983" s="46"/>
      <c r="R9983" s="51"/>
      <c r="S9983" s="51"/>
    </row>
    <row r="9984" spans="9:19" x14ac:dyDescent="0.25">
      <c r="I9984" s="1"/>
      <c r="J9984" s="71"/>
      <c r="M9984" s="46"/>
      <c r="R9984" s="51"/>
      <c r="S9984" s="51"/>
    </row>
    <row r="9985" spans="9:19" x14ac:dyDescent="0.25">
      <c r="I9985" s="1"/>
      <c r="J9985" s="71"/>
      <c r="M9985" s="46"/>
      <c r="R9985" s="51"/>
      <c r="S9985" s="51"/>
    </row>
    <row r="9986" spans="9:19" x14ac:dyDescent="0.25">
      <c r="I9986" s="1"/>
      <c r="J9986" s="71"/>
      <c r="M9986" s="46"/>
      <c r="R9986" s="51"/>
      <c r="S9986" s="51"/>
    </row>
    <row r="9987" spans="9:19" x14ac:dyDescent="0.25">
      <c r="I9987" s="1"/>
      <c r="J9987" s="71"/>
      <c r="M9987" s="46"/>
      <c r="R9987" s="51"/>
      <c r="S9987" s="51"/>
    </row>
    <row r="9988" spans="9:19" x14ac:dyDescent="0.25">
      <c r="I9988" s="1"/>
      <c r="J9988" s="71"/>
      <c r="M9988" s="46"/>
      <c r="R9988" s="51"/>
      <c r="S9988" s="51"/>
    </row>
    <row r="9989" spans="9:19" x14ac:dyDescent="0.25">
      <c r="I9989" s="1"/>
      <c r="J9989" s="71"/>
      <c r="M9989" s="46"/>
      <c r="R9989" s="51"/>
      <c r="S9989" s="51"/>
    </row>
    <row r="9990" spans="9:19" x14ac:dyDescent="0.25">
      <c r="I9990" s="1"/>
      <c r="J9990" s="71"/>
      <c r="M9990" s="46"/>
      <c r="R9990" s="51"/>
      <c r="S9990" s="51"/>
    </row>
    <row r="9991" spans="9:19" x14ac:dyDescent="0.25">
      <c r="I9991" s="1"/>
      <c r="J9991" s="71"/>
      <c r="M9991" s="46"/>
      <c r="R9991" s="51"/>
      <c r="S9991" s="51"/>
    </row>
    <row r="9992" spans="9:19" x14ac:dyDescent="0.25">
      <c r="I9992" s="1"/>
      <c r="J9992" s="71"/>
      <c r="M9992" s="46"/>
      <c r="R9992" s="51"/>
      <c r="S9992" s="51"/>
    </row>
    <row r="9993" spans="9:19" x14ac:dyDescent="0.25">
      <c r="I9993" s="1"/>
      <c r="J9993" s="71"/>
      <c r="M9993" s="46"/>
      <c r="R9993" s="51"/>
      <c r="S9993" s="51"/>
    </row>
    <row r="9994" spans="9:19" x14ac:dyDescent="0.25">
      <c r="I9994" s="1"/>
      <c r="J9994" s="71"/>
      <c r="M9994" s="46"/>
      <c r="R9994" s="51"/>
      <c r="S9994" s="51"/>
    </row>
    <row r="9995" spans="9:19" x14ac:dyDescent="0.25">
      <c r="I9995" s="1"/>
      <c r="J9995" s="71"/>
      <c r="M9995" s="46"/>
      <c r="R9995" s="51"/>
      <c r="S9995" s="51"/>
    </row>
    <row r="9996" spans="9:19" x14ac:dyDescent="0.25">
      <c r="I9996" s="1"/>
      <c r="J9996" s="71"/>
      <c r="M9996" s="46"/>
      <c r="R9996" s="51"/>
      <c r="S9996" s="51"/>
    </row>
    <row r="9997" spans="9:19" x14ac:dyDescent="0.25">
      <c r="I9997" s="1"/>
      <c r="J9997" s="71"/>
      <c r="M9997" s="46"/>
      <c r="R9997" s="51"/>
      <c r="S9997" s="51"/>
    </row>
    <row r="9998" spans="9:19" x14ac:dyDescent="0.25">
      <c r="I9998" s="1"/>
      <c r="J9998" s="71"/>
      <c r="M9998" s="46"/>
      <c r="R9998" s="51"/>
      <c r="S9998" s="51"/>
    </row>
    <row r="9999" spans="9:19" x14ac:dyDescent="0.25">
      <c r="I9999" s="1"/>
      <c r="J9999" s="71"/>
      <c r="M9999" s="46"/>
      <c r="R9999" s="51"/>
      <c r="S9999" s="51"/>
    </row>
    <row r="10000" spans="9:19" x14ac:dyDescent="0.25">
      <c r="I10000" s="1"/>
      <c r="J10000" s="71"/>
      <c r="M10000" s="46"/>
      <c r="R10000" s="51"/>
      <c r="S10000" s="51"/>
    </row>
    <row r="10001" spans="9:19" x14ac:dyDescent="0.25">
      <c r="I10001" s="1"/>
      <c r="J10001" s="71"/>
      <c r="M10001" s="46"/>
      <c r="R10001" s="51"/>
      <c r="S10001" s="51"/>
    </row>
    <row r="10002" spans="9:19" x14ac:dyDescent="0.25">
      <c r="I10002" s="1"/>
      <c r="J10002" s="71"/>
      <c r="M10002" s="46"/>
      <c r="R10002" s="51"/>
      <c r="S10002" s="51"/>
    </row>
    <row r="10003" spans="9:19" x14ac:dyDescent="0.25">
      <c r="I10003" s="1"/>
      <c r="J10003" s="71"/>
      <c r="M10003" s="46"/>
      <c r="R10003" s="51"/>
      <c r="S10003" s="51"/>
    </row>
    <row r="10004" spans="9:19" x14ac:dyDescent="0.25">
      <c r="I10004" s="1"/>
      <c r="J10004" s="71"/>
      <c r="M10004" s="46"/>
      <c r="R10004" s="51"/>
      <c r="S10004" s="51"/>
    </row>
    <row r="10005" spans="9:19" x14ac:dyDescent="0.25">
      <c r="I10005" s="1"/>
      <c r="J10005" s="71"/>
      <c r="M10005" s="46"/>
      <c r="R10005" s="51"/>
      <c r="S10005" s="51"/>
    </row>
    <row r="10006" spans="9:19" x14ac:dyDescent="0.25">
      <c r="I10006" s="1"/>
      <c r="J10006" s="71"/>
      <c r="M10006" s="46"/>
      <c r="R10006" s="51"/>
      <c r="S10006" s="51"/>
    </row>
    <row r="10007" spans="9:19" x14ac:dyDescent="0.25">
      <c r="I10007" s="1"/>
      <c r="J10007" s="71"/>
      <c r="M10007" s="46"/>
      <c r="R10007" s="51"/>
      <c r="S10007" s="51"/>
    </row>
    <row r="10008" spans="9:19" x14ac:dyDescent="0.25">
      <c r="I10008" s="1"/>
      <c r="J10008" s="71"/>
      <c r="M10008" s="46"/>
      <c r="R10008" s="51"/>
      <c r="S10008" s="51"/>
    </row>
    <row r="10009" spans="9:19" x14ac:dyDescent="0.25">
      <c r="I10009" s="1"/>
      <c r="J10009" s="71"/>
      <c r="M10009" s="46"/>
      <c r="R10009" s="51"/>
      <c r="S10009" s="51"/>
    </row>
    <row r="10010" spans="9:19" x14ac:dyDescent="0.25">
      <c r="I10010" s="1"/>
      <c r="J10010" s="71"/>
      <c r="M10010" s="46"/>
      <c r="R10010" s="51"/>
      <c r="S10010" s="51"/>
    </row>
    <row r="10011" spans="9:19" x14ac:dyDescent="0.25">
      <c r="I10011" s="1"/>
      <c r="J10011" s="71"/>
      <c r="M10011" s="46"/>
      <c r="R10011" s="51"/>
      <c r="S10011" s="51"/>
    </row>
    <row r="10012" spans="9:19" x14ac:dyDescent="0.25">
      <c r="I10012" s="1"/>
      <c r="J10012" s="71"/>
      <c r="M10012" s="46"/>
      <c r="R10012" s="51"/>
      <c r="S10012" s="51"/>
    </row>
    <row r="10013" spans="9:19" x14ac:dyDescent="0.25">
      <c r="I10013" s="1"/>
      <c r="J10013" s="71"/>
      <c r="M10013" s="46"/>
      <c r="R10013" s="51"/>
      <c r="S10013" s="51"/>
    </row>
    <row r="10014" spans="9:19" x14ac:dyDescent="0.25">
      <c r="I10014" s="1"/>
      <c r="J10014" s="71"/>
      <c r="M10014" s="46"/>
      <c r="R10014" s="51"/>
      <c r="S10014" s="51"/>
    </row>
    <row r="10015" spans="9:19" x14ac:dyDescent="0.25">
      <c r="I10015" s="1"/>
      <c r="J10015" s="71"/>
      <c r="M10015" s="46"/>
      <c r="R10015" s="51"/>
      <c r="S10015" s="51"/>
    </row>
    <row r="10016" spans="9:19" x14ac:dyDescent="0.25">
      <c r="I10016" s="1"/>
      <c r="J10016" s="71"/>
      <c r="M10016" s="46"/>
      <c r="R10016" s="51"/>
      <c r="S10016" s="51"/>
    </row>
    <row r="10017" spans="9:19" x14ac:dyDescent="0.25">
      <c r="I10017" s="1"/>
      <c r="J10017" s="71"/>
      <c r="M10017" s="46"/>
      <c r="R10017" s="51"/>
      <c r="S10017" s="51"/>
    </row>
    <row r="10018" spans="9:19" x14ac:dyDescent="0.25">
      <c r="I10018" s="1"/>
      <c r="J10018" s="71"/>
      <c r="M10018" s="46"/>
      <c r="R10018" s="51"/>
      <c r="S10018" s="51"/>
    </row>
    <row r="10019" spans="9:19" x14ac:dyDescent="0.25">
      <c r="I10019" s="1"/>
      <c r="J10019" s="71"/>
      <c r="M10019" s="46"/>
      <c r="R10019" s="51"/>
      <c r="S10019" s="51"/>
    </row>
    <row r="10020" spans="9:19" x14ac:dyDescent="0.25">
      <c r="I10020" s="1"/>
      <c r="J10020" s="71"/>
      <c r="M10020" s="46"/>
      <c r="R10020" s="51"/>
      <c r="S10020" s="51"/>
    </row>
    <row r="10021" spans="9:19" x14ac:dyDescent="0.25">
      <c r="I10021" s="1"/>
      <c r="J10021" s="71"/>
      <c r="M10021" s="46"/>
      <c r="R10021" s="51"/>
      <c r="S10021" s="51"/>
    </row>
    <row r="10022" spans="9:19" x14ac:dyDescent="0.25">
      <c r="I10022" s="1"/>
      <c r="J10022" s="71"/>
      <c r="M10022" s="46"/>
      <c r="R10022" s="51"/>
      <c r="S10022" s="51"/>
    </row>
    <row r="10023" spans="9:19" x14ac:dyDescent="0.25">
      <c r="I10023" s="1"/>
      <c r="J10023" s="71"/>
      <c r="M10023" s="46"/>
      <c r="R10023" s="51"/>
      <c r="S10023" s="51"/>
    </row>
    <row r="10024" spans="9:19" x14ac:dyDescent="0.25">
      <c r="I10024" s="1"/>
      <c r="J10024" s="71"/>
      <c r="M10024" s="46"/>
      <c r="R10024" s="51"/>
      <c r="S10024" s="51"/>
    </row>
    <row r="10025" spans="9:19" x14ac:dyDescent="0.25">
      <c r="I10025" s="1"/>
      <c r="J10025" s="71"/>
      <c r="M10025" s="46"/>
      <c r="R10025" s="51"/>
      <c r="S10025" s="51"/>
    </row>
    <row r="10026" spans="9:19" x14ac:dyDescent="0.25">
      <c r="I10026" s="1"/>
      <c r="J10026" s="71"/>
      <c r="M10026" s="46"/>
      <c r="R10026" s="51"/>
      <c r="S10026" s="51"/>
    </row>
    <row r="10027" spans="9:19" x14ac:dyDescent="0.25">
      <c r="I10027" s="1"/>
      <c r="J10027" s="71"/>
      <c r="M10027" s="46"/>
      <c r="R10027" s="51"/>
      <c r="S10027" s="51"/>
    </row>
    <row r="10028" spans="9:19" x14ac:dyDescent="0.25">
      <c r="I10028" s="1"/>
      <c r="J10028" s="71"/>
      <c r="M10028" s="46"/>
      <c r="R10028" s="51"/>
      <c r="S10028" s="51"/>
    </row>
    <row r="10029" spans="9:19" x14ac:dyDescent="0.25">
      <c r="I10029" s="1"/>
      <c r="J10029" s="71"/>
      <c r="M10029" s="46"/>
      <c r="R10029" s="51"/>
      <c r="S10029" s="51"/>
    </row>
    <row r="10030" spans="9:19" x14ac:dyDescent="0.25">
      <c r="I10030" s="1"/>
      <c r="J10030" s="71"/>
      <c r="M10030" s="46"/>
      <c r="R10030" s="51"/>
      <c r="S10030" s="51"/>
    </row>
    <row r="10031" spans="9:19" x14ac:dyDescent="0.25">
      <c r="I10031" s="1"/>
      <c r="J10031" s="71"/>
      <c r="M10031" s="46"/>
      <c r="R10031" s="51"/>
      <c r="S10031" s="51"/>
    </row>
    <row r="10032" spans="9:19" x14ac:dyDescent="0.25">
      <c r="I10032" s="1"/>
      <c r="J10032" s="71"/>
      <c r="M10032" s="46"/>
      <c r="R10032" s="51"/>
      <c r="S10032" s="51"/>
    </row>
    <row r="10033" spans="9:19" x14ac:dyDescent="0.25">
      <c r="I10033" s="1"/>
      <c r="J10033" s="71"/>
      <c r="M10033" s="46"/>
      <c r="R10033" s="51"/>
      <c r="S10033" s="51"/>
    </row>
    <row r="10034" spans="9:19" x14ac:dyDescent="0.25">
      <c r="I10034" s="1"/>
      <c r="J10034" s="71"/>
      <c r="M10034" s="46"/>
      <c r="R10034" s="51"/>
      <c r="S10034" s="51"/>
    </row>
    <row r="10035" spans="9:19" x14ac:dyDescent="0.25">
      <c r="I10035" s="1"/>
      <c r="J10035" s="71"/>
      <c r="M10035" s="46"/>
      <c r="R10035" s="51"/>
      <c r="S10035" s="51"/>
    </row>
    <row r="10036" spans="9:19" x14ac:dyDescent="0.25">
      <c r="I10036" s="1"/>
      <c r="J10036" s="71"/>
      <c r="M10036" s="46"/>
      <c r="R10036" s="51"/>
      <c r="S10036" s="51"/>
    </row>
    <row r="10037" spans="9:19" x14ac:dyDescent="0.25">
      <c r="I10037" s="1"/>
      <c r="J10037" s="71"/>
      <c r="M10037" s="46"/>
      <c r="R10037" s="51"/>
      <c r="S10037" s="51"/>
    </row>
    <row r="10038" spans="9:19" x14ac:dyDescent="0.25">
      <c r="I10038" s="1"/>
      <c r="J10038" s="71"/>
      <c r="M10038" s="46"/>
      <c r="R10038" s="51"/>
      <c r="S10038" s="51"/>
    </row>
    <row r="10039" spans="9:19" x14ac:dyDescent="0.25">
      <c r="I10039" s="1"/>
      <c r="J10039" s="71"/>
      <c r="M10039" s="46"/>
      <c r="R10039" s="51"/>
      <c r="S10039" s="51"/>
    </row>
    <row r="10040" spans="9:19" x14ac:dyDescent="0.25">
      <c r="I10040" s="1"/>
      <c r="J10040" s="71"/>
      <c r="M10040" s="46"/>
      <c r="R10040" s="51"/>
      <c r="S10040" s="51"/>
    </row>
    <row r="10041" spans="9:19" x14ac:dyDescent="0.25">
      <c r="I10041" s="1"/>
      <c r="J10041" s="71"/>
      <c r="M10041" s="46"/>
      <c r="R10041" s="51"/>
      <c r="S10041" s="51"/>
    </row>
    <row r="10042" spans="9:19" x14ac:dyDescent="0.25">
      <c r="I10042" s="1"/>
      <c r="J10042" s="71"/>
      <c r="M10042" s="46"/>
      <c r="R10042" s="51"/>
      <c r="S10042" s="51"/>
    </row>
    <row r="10043" spans="9:19" x14ac:dyDescent="0.25">
      <c r="I10043" s="1"/>
      <c r="J10043" s="71"/>
      <c r="M10043" s="46"/>
      <c r="R10043" s="51"/>
      <c r="S10043" s="51"/>
    </row>
    <row r="10044" spans="9:19" x14ac:dyDescent="0.25">
      <c r="I10044" s="1"/>
      <c r="J10044" s="71"/>
      <c r="M10044" s="46"/>
      <c r="R10044" s="51"/>
      <c r="S10044" s="51"/>
    </row>
    <row r="10045" spans="9:19" x14ac:dyDescent="0.25">
      <c r="I10045" s="1"/>
      <c r="J10045" s="71"/>
      <c r="M10045" s="46"/>
      <c r="R10045" s="51"/>
      <c r="S10045" s="51"/>
    </row>
    <row r="10046" spans="9:19" x14ac:dyDescent="0.25">
      <c r="I10046" s="1"/>
      <c r="J10046" s="71"/>
      <c r="M10046" s="46"/>
      <c r="R10046" s="51"/>
      <c r="S10046" s="51"/>
    </row>
    <row r="10047" spans="9:19" x14ac:dyDescent="0.25">
      <c r="I10047" s="1"/>
      <c r="J10047" s="71"/>
      <c r="M10047" s="46"/>
      <c r="R10047" s="51"/>
      <c r="S10047" s="51"/>
    </row>
    <row r="10048" spans="9:19" x14ac:dyDescent="0.25">
      <c r="I10048" s="1"/>
      <c r="J10048" s="71"/>
      <c r="M10048" s="46"/>
      <c r="R10048" s="51"/>
      <c r="S10048" s="51"/>
    </row>
    <row r="10049" spans="9:19" x14ac:dyDescent="0.25">
      <c r="I10049" s="1"/>
      <c r="J10049" s="71"/>
      <c r="M10049" s="46"/>
      <c r="R10049" s="51"/>
      <c r="S10049" s="51"/>
    </row>
    <row r="10050" spans="9:19" x14ac:dyDescent="0.25">
      <c r="I10050" s="1"/>
      <c r="J10050" s="71"/>
      <c r="M10050" s="46"/>
      <c r="R10050" s="51"/>
      <c r="S10050" s="51"/>
    </row>
    <row r="10051" spans="9:19" x14ac:dyDescent="0.25">
      <c r="I10051" s="1"/>
      <c r="J10051" s="71"/>
      <c r="M10051" s="46"/>
      <c r="R10051" s="51"/>
      <c r="S10051" s="51"/>
    </row>
    <row r="10052" spans="9:19" x14ac:dyDescent="0.25">
      <c r="I10052" s="1"/>
      <c r="J10052" s="71"/>
      <c r="M10052" s="46"/>
      <c r="R10052" s="51"/>
      <c r="S10052" s="51"/>
    </row>
    <row r="10053" spans="9:19" x14ac:dyDescent="0.25">
      <c r="I10053" s="1"/>
      <c r="J10053" s="71"/>
      <c r="M10053" s="46"/>
      <c r="R10053" s="51"/>
      <c r="S10053" s="51"/>
    </row>
    <row r="10054" spans="9:19" x14ac:dyDescent="0.25">
      <c r="I10054" s="1"/>
      <c r="J10054" s="71"/>
      <c r="M10054" s="46"/>
      <c r="R10054" s="51"/>
      <c r="S10054" s="51"/>
    </row>
    <row r="10055" spans="9:19" x14ac:dyDescent="0.25">
      <c r="I10055" s="1"/>
      <c r="J10055" s="71"/>
      <c r="M10055" s="46"/>
      <c r="R10055" s="51"/>
      <c r="S10055" s="51"/>
    </row>
    <row r="10056" spans="9:19" x14ac:dyDescent="0.25">
      <c r="I10056" s="1"/>
      <c r="J10056" s="71"/>
      <c r="M10056" s="46"/>
      <c r="R10056" s="51"/>
      <c r="S10056" s="51"/>
    </row>
    <row r="10057" spans="9:19" x14ac:dyDescent="0.25">
      <c r="I10057" s="1"/>
      <c r="J10057" s="71"/>
      <c r="M10057" s="46"/>
      <c r="R10057" s="51"/>
      <c r="S10057" s="51"/>
    </row>
    <row r="10058" spans="9:19" x14ac:dyDescent="0.25">
      <c r="I10058" s="1"/>
      <c r="J10058" s="71"/>
      <c r="M10058" s="46"/>
      <c r="R10058" s="51"/>
      <c r="S10058" s="51"/>
    </row>
    <row r="10059" spans="9:19" x14ac:dyDescent="0.25">
      <c r="I10059" s="1"/>
      <c r="J10059" s="71"/>
      <c r="M10059" s="46"/>
      <c r="R10059" s="51"/>
      <c r="S10059" s="51"/>
    </row>
    <row r="10060" spans="9:19" x14ac:dyDescent="0.25">
      <c r="I10060" s="1"/>
      <c r="J10060" s="71"/>
      <c r="M10060" s="46"/>
      <c r="R10060" s="51"/>
      <c r="S10060" s="51"/>
    </row>
    <row r="10061" spans="9:19" x14ac:dyDescent="0.25">
      <c r="I10061" s="1"/>
      <c r="J10061" s="71"/>
      <c r="M10061" s="46"/>
      <c r="R10061" s="51"/>
      <c r="S10061" s="51"/>
    </row>
    <row r="10062" spans="9:19" x14ac:dyDescent="0.25">
      <c r="I10062" s="1"/>
      <c r="J10062" s="71"/>
      <c r="M10062" s="46"/>
      <c r="R10062" s="51"/>
      <c r="S10062" s="51"/>
    </row>
    <row r="10063" spans="9:19" x14ac:dyDescent="0.25">
      <c r="I10063" s="1"/>
      <c r="J10063" s="71"/>
      <c r="M10063" s="46"/>
      <c r="R10063" s="51"/>
      <c r="S10063" s="51"/>
    </row>
    <row r="10064" spans="9:19" x14ac:dyDescent="0.25">
      <c r="I10064" s="1"/>
      <c r="J10064" s="71"/>
      <c r="M10064" s="46"/>
      <c r="R10064" s="51"/>
      <c r="S10064" s="51"/>
    </row>
    <row r="10065" spans="9:19" x14ac:dyDescent="0.25">
      <c r="I10065" s="1"/>
      <c r="J10065" s="71"/>
      <c r="M10065" s="46"/>
      <c r="R10065" s="51"/>
      <c r="S10065" s="51"/>
    </row>
    <row r="10066" spans="9:19" x14ac:dyDescent="0.25">
      <c r="I10066" s="1"/>
      <c r="J10066" s="71"/>
      <c r="M10066" s="46"/>
      <c r="R10066" s="51"/>
      <c r="S10066" s="51"/>
    </row>
    <row r="10067" spans="9:19" x14ac:dyDescent="0.25">
      <c r="I10067" s="1"/>
      <c r="J10067" s="71"/>
      <c r="M10067" s="46"/>
      <c r="R10067" s="51"/>
      <c r="S10067" s="51"/>
    </row>
    <row r="10068" spans="9:19" x14ac:dyDescent="0.25">
      <c r="I10068" s="1"/>
      <c r="J10068" s="71"/>
      <c r="M10068" s="46"/>
      <c r="R10068" s="51"/>
      <c r="S10068" s="51"/>
    </row>
    <row r="10069" spans="9:19" x14ac:dyDescent="0.25">
      <c r="I10069" s="1"/>
      <c r="J10069" s="71"/>
      <c r="M10069" s="46"/>
      <c r="R10069" s="51"/>
      <c r="S10069" s="51"/>
    </row>
    <row r="10070" spans="9:19" x14ac:dyDescent="0.25">
      <c r="I10070" s="1"/>
      <c r="J10070" s="71"/>
      <c r="M10070" s="46"/>
      <c r="R10070" s="51"/>
      <c r="S10070" s="51"/>
    </row>
    <row r="10071" spans="9:19" x14ac:dyDescent="0.25">
      <c r="I10071" s="1"/>
      <c r="J10071" s="71"/>
      <c r="M10071" s="46"/>
      <c r="R10071" s="51"/>
      <c r="S10071" s="51"/>
    </row>
    <row r="10072" spans="9:19" x14ac:dyDescent="0.25">
      <c r="I10072" s="1"/>
      <c r="J10072" s="71"/>
      <c r="M10072" s="46"/>
      <c r="R10072" s="51"/>
      <c r="S10072" s="51"/>
    </row>
    <row r="10073" spans="9:19" x14ac:dyDescent="0.25">
      <c r="I10073" s="1"/>
      <c r="J10073" s="71"/>
      <c r="M10073" s="46"/>
      <c r="R10073" s="51"/>
      <c r="S10073" s="51"/>
    </row>
    <row r="10074" spans="9:19" x14ac:dyDescent="0.25">
      <c r="I10074" s="1"/>
      <c r="J10074" s="71"/>
      <c r="M10074" s="46"/>
      <c r="R10074" s="51"/>
      <c r="S10074" s="51"/>
    </row>
    <row r="10075" spans="9:19" x14ac:dyDescent="0.25">
      <c r="I10075" s="1"/>
      <c r="J10075" s="71"/>
      <c r="M10075" s="46"/>
      <c r="R10075" s="51"/>
      <c r="S10075" s="51"/>
    </row>
    <row r="10076" spans="9:19" x14ac:dyDescent="0.25">
      <c r="I10076" s="1"/>
      <c r="J10076" s="71"/>
      <c r="M10076" s="46"/>
      <c r="R10076" s="51"/>
      <c r="S10076" s="51"/>
    </row>
    <row r="10077" spans="9:19" x14ac:dyDescent="0.25">
      <c r="I10077" s="1"/>
      <c r="J10077" s="71"/>
      <c r="M10077" s="46"/>
      <c r="R10077" s="51"/>
      <c r="S10077" s="51"/>
    </row>
    <row r="10078" spans="9:19" x14ac:dyDescent="0.25">
      <c r="I10078" s="1"/>
      <c r="J10078" s="71"/>
      <c r="M10078" s="46"/>
      <c r="R10078" s="51"/>
      <c r="S10078" s="51"/>
    </row>
    <row r="10079" spans="9:19" x14ac:dyDescent="0.25">
      <c r="I10079" s="1"/>
      <c r="J10079" s="71"/>
      <c r="M10079" s="46"/>
      <c r="R10079" s="51"/>
      <c r="S10079" s="51"/>
    </row>
    <row r="10080" spans="9:19" x14ac:dyDescent="0.25">
      <c r="I10080" s="1"/>
      <c r="J10080" s="71"/>
      <c r="M10080" s="46"/>
      <c r="R10080" s="51"/>
      <c r="S10080" s="51"/>
    </row>
    <row r="10081" spans="9:19" x14ac:dyDescent="0.25">
      <c r="I10081" s="1"/>
      <c r="J10081" s="71"/>
      <c r="M10081" s="46"/>
      <c r="R10081" s="51"/>
      <c r="S10081" s="51"/>
    </row>
    <row r="10082" spans="9:19" x14ac:dyDescent="0.25">
      <c r="I10082" s="1"/>
      <c r="J10082" s="71"/>
      <c r="M10082" s="46"/>
      <c r="R10082" s="51"/>
      <c r="S10082" s="51"/>
    </row>
    <row r="10083" spans="9:19" x14ac:dyDescent="0.25">
      <c r="I10083" s="1"/>
      <c r="J10083" s="71"/>
      <c r="M10083" s="46"/>
      <c r="R10083" s="51"/>
      <c r="S10083" s="51"/>
    </row>
    <row r="10084" spans="9:19" x14ac:dyDescent="0.25">
      <c r="I10084" s="1"/>
      <c r="J10084" s="71"/>
      <c r="M10084" s="46"/>
      <c r="R10084" s="51"/>
      <c r="S10084" s="51"/>
    </row>
    <row r="10085" spans="9:19" x14ac:dyDescent="0.25">
      <c r="I10085" s="1"/>
      <c r="J10085" s="71"/>
      <c r="M10085" s="46"/>
      <c r="R10085" s="51"/>
      <c r="S10085" s="51"/>
    </row>
    <row r="10086" spans="9:19" x14ac:dyDescent="0.25">
      <c r="I10086" s="1"/>
      <c r="J10086" s="71"/>
      <c r="M10086" s="46"/>
      <c r="R10086" s="51"/>
      <c r="S10086" s="51"/>
    </row>
    <row r="10087" spans="9:19" x14ac:dyDescent="0.25">
      <c r="I10087" s="1"/>
      <c r="J10087" s="71"/>
      <c r="M10087" s="46"/>
      <c r="R10087" s="51"/>
      <c r="S10087" s="51"/>
    </row>
    <row r="10088" spans="9:19" x14ac:dyDescent="0.25">
      <c r="I10088" s="1"/>
      <c r="J10088" s="71"/>
      <c r="M10088" s="46"/>
      <c r="R10088" s="51"/>
      <c r="S10088" s="51"/>
    </row>
    <row r="10089" spans="9:19" x14ac:dyDescent="0.25">
      <c r="I10089" s="1"/>
      <c r="J10089" s="71"/>
      <c r="M10089" s="46"/>
      <c r="R10089" s="51"/>
      <c r="S10089" s="51"/>
    </row>
    <row r="10090" spans="9:19" x14ac:dyDescent="0.25">
      <c r="I10090" s="1"/>
      <c r="J10090" s="71"/>
      <c r="M10090" s="46"/>
      <c r="R10090" s="51"/>
      <c r="S10090" s="51"/>
    </row>
    <row r="10091" spans="9:19" x14ac:dyDescent="0.25">
      <c r="I10091" s="1"/>
      <c r="J10091" s="71"/>
      <c r="M10091" s="46"/>
      <c r="R10091" s="51"/>
      <c r="S10091" s="51"/>
    </row>
    <row r="10092" spans="9:19" x14ac:dyDescent="0.25">
      <c r="I10092" s="1"/>
      <c r="J10092" s="71"/>
      <c r="M10092" s="46"/>
      <c r="R10092" s="51"/>
      <c r="S10092" s="51"/>
    </row>
    <row r="10093" spans="9:19" x14ac:dyDescent="0.25">
      <c r="I10093" s="1"/>
      <c r="J10093" s="71"/>
      <c r="M10093" s="46"/>
      <c r="R10093" s="51"/>
      <c r="S10093" s="51"/>
    </row>
    <row r="10094" spans="9:19" x14ac:dyDescent="0.25">
      <c r="I10094" s="1"/>
      <c r="J10094" s="71"/>
      <c r="M10094" s="46"/>
      <c r="R10094" s="51"/>
      <c r="S10094" s="51"/>
    </row>
    <row r="10095" spans="9:19" x14ac:dyDescent="0.25">
      <c r="I10095" s="1"/>
      <c r="J10095" s="71"/>
      <c r="M10095" s="46"/>
      <c r="R10095" s="51"/>
      <c r="S10095" s="51"/>
    </row>
    <row r="10096" spans="9:19" x14ac:dyDescent="0.25">
      <c r="I10096" s="1"/>
      <c r="J10096" s="71"/>
      <c r="M10096" s="46"/>
      <c r="R10096" s="51"/>
      <c r="S10096" s="51"/>
    </row>
    <row r="10097" spans="9:19" x14ac:dyDescent="0.25">
      <c r="I10097" s="1"/>
      <c r="J10097" s="71"/>
      <c r="M10097" s="46"/>
      <c r="R10097" s="51"/>
      <c r="S10097" s="51"/>
    </row>
    <row r="10098" spans="9:19" x14ac:dyDescent="0.25">
      <c r="I10098" s="1"/>
      <c r="J10098" s="71"/>
      <c r="M10098" s="46"/>
      <c r="R10098" s="51"/>
      <c r="S10098" s="51"/>
    </row>
    <row r="10099" spans="9:19" x14ac:dyDescent="0.25">
      <c r="I10099" s="1"/>
      <c r="J10099" s="71"/>
      <c r="M10099" s="46"/>
      <c r="R10099" s="51"/>
      <c r="S10099" s="51"/>
    </row>
    <row r="10100" spans="9:19" x14ac:dyDescent="0.25">
      <c r="I10100" s="1"/>
      <c r="J10100" s="71"/>
      <c r="M10100" s="46"/>
      <c r="R10100" s="51"/>
      <c r="S10100" s="51"/>
    </row>
    <row r="10101" spans="9:19" x14ac:dyDescent="0.25">
      <c r="I10101" s="1"/>
      <c r="J10101" s="71"/>
      <c r="M10101" s="46"/>
      <c r="R10101" s="51"/>
      <c r="S10101" s="51"/>
    </row>
    <row r="10102" spans="9:19" x14ac:dyDescent="0.25">
      <c r="I10102" s="1"/>
      <c r="J10102" s="71"/>
      <c r="M10102" s="46"/>
      <c r="R10102" s="51"/>
      <c r="S10102" s="51"/>
    </row>
    <row r="10103" spans="9:19" x14ac:dyDescent="0.25">
      <c r="I10103" s="1"/>
      <c r="J10103" s="71"/>
      <c r="M10103" s="46"/>
      <c r="R10103" s="51"/>
      <c r="S10103" s="51"/>
    </row>
    <row r="10104" spans="9:19" x14ac:dyDescent="0.25">
      <c r="I10104" s="1"/>
      <c r="J10104" s="71"/>
      <c r="M10104" s="46"/>
      <c r="R10104" s="51"/>
      <c r="S10104" s="51"/>
    </row>
    <row r="10105" spans="9:19" x14ac:dyDescent="0.25">
      <c r="I10105" s="1"/>
      <c r="J10105" s="71"/>
      <c r="M10105" s="46"/>
      <c r="R10105" s="51"/>
      <c r="S10105" s="51"/>
    </row>
    <row r="10106" spans="9:19" x14ac:dyDescent="0.25">
      <c r="I10106" s="1"/>
      <c r="J10106" s="71"/>
      <c r="M10106" s="46"/>
      <c r="R10106" s="51"/>
      <c r="S10106" s="51"/>
    </row>
    <row r="10107" spans="9:19" x14ac:dyDescent="0.25">
      <c r="I10107" s="1"/>
      <c r="J10107" s="71"/>
      <c r="M10107" s="46"/>
      <c r="R10107" s="51"/>
      <c r="S10107" s="51"/>
    </row>
    <row r="10108" spans="9:19" x14ac:dyDescent="0.25">
      <c r="I10108" s="1"/>
      <c r="J10108" s="71"/>
      <c r="M10108" s="46"/>
      <c r="R10108" s="51"/>
      <c r="S10108" s="51"/>
    </row>
    <row r="10109" spans="9:19" x14ac:dyDescent="0.25">
      <c r="I10109" s="1"/>
      <c r="J10109" s="71"/>
      <c r="M10109" s="46"/>
      <c r="R10109" s="51"/>
      <c r="S10109" s="51"/>
    </row>
    <row r="10110" spans="9:19" x14ac:dyDescent="0.25">
      <c r="I10110" s="1"/>
      <c r="J10110" s="71"/>
      <c r="M10110" s="46"/>
      <c r="R10110" s="51"/>
      <c r="S10110" s="51"/>
    </row>
    <row r="10111" spans="9:19" x14ac:dyDescent="0.25">
      <c r="I10111" s="1"/>
      <c r="J10111" s="71"/>
      <c r="M10111" s="46"/>
      <c r="R10111" s="51"/>
      <c r="S10111" s="51"/>
    </row>
    <row r="10112" spans="9:19" x14ac:dyDescent="0.25">
      <c r="I10112" s="1"/>
      <c r="J10112" s="71"/>
      <c r="M10112" s="46"/>
      <c r="R10112" s="51"/>
      <c r="S10112" s="51"/>
    </row>
    <row r="10113" spans="9:19" x14ac:dyDescent="0.25">
      <c r="I10113" s="1"/>
      <c r="J10113" s="71"/>
      <c r="M10113" s="46"/>
      <c r="R10113" s="51"/>
      <c r="S10113" s="51"/>
    </row>
    <row r="10114" spans="9:19" x14ac:dyDescent="0.25">
      <c r="I10114" s="1"/>
      <c r="J10114" s="71"/>
      <c r="M10114" s="46"/>
      <c r="R10114" s="51"/>
      <c r="S10114" s="51"/>
    </row>
    <row r="10115" spans="9:19" x14ac:dyDescent="0.25">
      <c r="I10115" s="1"/>
      <c r="J10115" s="71"/>
      <c r="M10115" s="46"/>
      <c r="R10115" s="51"/>
      <c r="S10115" s="51"/>
    </row>
    <row r="10116" spans="9:19" x14ac:dyDescent="0.25">
      <c r="I10116" s="1"/>
      <c r="J10116" s="71"/>
      <c r="M10116" s="46"/>
      <c r="R10116" s="51"/>
      <c r="S10116" s="51"/>
    </row>
    <row r="10117" spans="9:19" x14ac:dyDescent="0.25">
      <c r="I10117" s="1"/>
      <c r="J10117" s="71"/>
      <c r="M10117" s="46"/>
      <c r="R10117" s="51"/>
      <c r="S10117" s="51"/>
    </row>
    <row r="10118" spans="9:19" x14ac:dyDescent="0.25">
      <c r="I10118" s="1"/>
      <c r="J10118" s="71"/>
      <c r="M10118" s="46"/>
      <c r="R10118" s="51"/>
      <c r="S10118" s="51"/>
    </row>
    <row r="10119" spans="9:19" x14ac:dyDescent="0.25">
      <c r="I10119" s="1"/>
      <c r="J10119" s="71"/>
      <c r="M10119" s="46"/>
      <c r="R10119" s="51"/>
      <c r="S10119" s="51"/>
    </row>
    <row r="10120" spans="9:19" x14ac:dyDescent="0.25">
      <c r="I10120" s="1"/>
      <c r="J10120" s="71"/>
      <c r="M10120" s="46"/>
      <c r="R10120" s="51"/>
      <c r="S10120" s="51"/>
    </row>
    <row r="10121" spans="9:19" x14ac:dyDescent="0.25">
      <c r="I10121" s="1"/>
      <c r="J10121" s="71"/>
      <c r="M10121" s="46"/>
      <c r="R10121" s="51"/>
      <c r="S10121" s="51"/>
    </row>
    <row r="10122" spans="9:19" x14ac:dyDescent="0.25">
      <c r="I10122" s="1"/>
      <c r="J10122" s="71"/>
      <c r="M10122" s="46"/>
      <c r="R10122" s="51"/>
      <c r="S10122" s="51"/>
    </row>
    <row r="10123" spans="9:19" x14ac:dyDescent="0.25">
      <c r="I10123" s="1"/>
      <c r="J10123" s="71"/>
      <c r="M10123" s="46"/>
      <c r="R10123" s="51"/>
      <c r="S10123" s="51"/>
    </row>
    <row r="10124" spans="9:19" x14ac:dyDescent="0.25">
      <c r="I10124" s="1"/>
      <c r="J10124" s="71"/>
      <c r="M10124" s="46"/>
      <c r="R10124" s="51"/>
      <c r="S10124" s="51"/>
    </row>
    <row r="10125" spans="9:19" x14ac:dyDescent="0.25">
      <c r="I10125" s="1"/>
      <c r="J10125" s="71"/>
      <c r="M10125" s="46"/>
      <c r="R10125" s="51"/>
      <c r="S10125" s="51"/>
    </row>
    <row r="10126" spans="9:19" x14ac:dyDescent="0.25">
      <c r="I10126" s="1"/>
      <c r="J10126" s="71"/>
      <c r="M10126" s="46"/>
      <c r="R10126" s="51"/>
      <c r="S10126" s="51"/>
    </row>
    <row r="10127" spans="9:19" x14ac:dyDescent="0.25">
      <c r="I10127" s="1"/>
      <c r="J10127" s="71"/>
      <c r="M10127" s="46"/>
      <c r="R10127" s="51"/>
      <c r="S10127" s="51"/>
    </row>
    <row r="10128" spans="9:19" x14ac:dyDescent="0.25">
      <c r="I10128" s="1"/>
      <c r="J10128" s="71"/>
      <c r="M10128" s="46"/>
      <c r="R10128" s="51"/>
      <c r="S10128" s="51"/>
    </row>
    <row r="10129" spans="9:19" x14ac:dyDescent="0.25">
      <c r="I10129" s="1"/>
      <c r="J10129" s="71"/>
      <c r="M10129" s="46"/>
      <c r="R10129" s="51"/>
      <c r="S10129" s="51"/>
    </row>
    <row r="10130" spans="9:19" x14ac:dyDescent="0.25">
      <c r="I10130" s="1"/>
      <c r="J10130" s="71"/>
      <c r="M10130" s="46"/>
      <c r="R10130" s="51"/>
      <c r="S10130" s="51"/>
    </row>
    <row r="10131" spans="9:19" x14ac:dyDescent="0.25">
      <c r="I10131" s="1"/>
      <c r="J10131" s="71"/>
      <c r="M10131" s="46"/>
      <c r="R10131" s="51"/>
      <c r="S10131" s="51"/>
    </row>
    <row r="10132" spans="9:19" x14ac:dyDescent="0.25">
      <c r="I10132" s="1"/>
      <c r="J10132" s="71"/>
      <c r="M10132" s="46"/>
      <c r="R10132" s="51"/>
      <c r="S10132" s="51"/>
    </row>
    <row r="10133" spans="9:19" x14ac:dyDescent="0.25">
      <c r="I10133" s="1"/>
      <c r="J10133" s="71"/>
      <c r="M10133" s="46"/>
      <c r="R10133" s="51"/>
      <c r="S10133" s="51"/>
    </row>
    <row r="10134" spans="9:19" x14ac:dyDescent="0.25">
      <c r="I10134" s="1"/>
      <c r="J10134" s="71"/>
      <c r="M10134" s="46"/>
      <c r="R10134" s="51"/>
      <c r="S10134" s="51"/>
    </row>
    <row r="10135" spans="9:19" x14ac:dyDescent="0.25">
      <c r="I10135" s="1"/>
      <c r="J10135" s="71"/>
      <c r="M10135" s="46"/>
      <c r="R10135" s="51"/>
      <c r="S10135" s="51"/>
    </row>
    <row r="10136" spans="9:19" x14ac:dyDescent="0.25">
      <c r="I10136" s="1"/>
      <c r="J10136" s="71"/>
      <c r="M10136" s="46"/>
      <c r="R10136" s="51"/>
      <c r="S10136" s="51"/>
    </row>
    <row r="10137" spans="9:19" x14ac:dyDescent="0.25">
      <c r="I10137" s="1"/>
      <c r="J10137" s="71"/>
      <c r="M10137" s="46"/>
      <c r="R10137" s="51"/>
      <c r="S10137" s="51"/>
    </row>
    <row r="10138" spans="9:19" x14ac:dyDescent="0.25">
      <c r="I10138" s="1"/>
      <c r="J10138" s="71"/>
      <c r="M10138" s="46"/>
      <c r="R10138" s="51"/>
      <c r="S10138" s="51"/>
    </row>
    <row r="10139" spans="9:19" x14ac:dyDescent="0.25">
      <c r="I10139" s="1"/>
      <c r="J10139" s="71"/>
      <c r="M10139" s="46"/>
      <c r="R10139" s="51"/>
      <c r="S10139" s="51"/>
    </row>
    <row r="10140" spans="9:19" x14ac:dyDescent="0.25">
      <c r="I10140" s="1"/>
      <c r="J10140" s="71"/>
      <c r="M10140" s="46"/>
      <c r="R10140" s="51"/>
      <c r="S10140" s="51"/>
    </row>
    <row r="10141" spans="9:19" x14ac:dyDescent="0.25">
      <c r="I10141" s="1"/>
      <c r="J10141" s="71"/>
      <c r="M10141" s="46"/>
      <c r="R10141" s="51"/>
      <c r="S10141" s="51"/>
    </row>
    <row r="10142" spans="9:19" x14ac:dyDescent="0.25">
      <c r="I10142" s="1"/>
      <c r="J10142" s="71"/>
      <c r="M10142" s="46"/>
      <c r="R10142" s="51"/>
      <c r="S10142" s="51"/>
    </row>
    <row r="10143" spans="9:19" x14ac:dyDescent="0.25">
      <c r="I10143" s="1"/>
      <c r="J10143" s="71"/>
      <c r="M10143" s="46"/>
      <c r="R10143" s="51"/>
      <c r="S10143" s="51"/>
    </row>
    <row r="10144" spans="9:19" x14ac:dyDescent="0.25">
      <c r="I10144" s="1"/>
      <c r="J10144" s="71"/>
      <c r="M10144" s="46"/>
      <c r="R10144" s="51"/>
      <c r="S10144" s="51"/>
    </row>
    <row r="10145" spans="9:19" x14ac:dyDescent="0.25">
      <c r="I10145" s="1"/>
      <c r="J10145" s="71"/>
      <c r="M10145" s="46"/>
      <c r="R10145" s="51"/>
      <c r="S10145" s="51"/>
    </row>
    <row r="10146" spans="9:19" x14ac:dyDescent="0.25">
      <c r="I10146" s="1"/>
      <c r="J10146" s="71"/>
      <c r="M10146" s="46"/>
      <c r="R10146" s="51"/>
      <c r="S10146" s="51"/>
    </row>
    <row r="10147" spans="9:19" x14ac:dyDescent="0.25">
      <c r="I10147" s="1"/>
      <c r="J10147" s="71"/>
      <c r="M10147" s="46"/>
      <c r="R10147" s="51"/>
      <c r="S10147" s="51"/>
    </row>
    <row r="10148" spans="9:19" x14ac:dyDescent="0.25">
      <c r="I10148" s="1"/>
      <c r="J10148" s="71"/>
      <c r="M10148" s="46"/>
      <c r="R10148" s="51"/>
      <c r="S10148" s="51"/>
    </row>
    <row r="10149" spans="9:19" x14ac:dyDescent="0.25">
      <c r="I10149" s="1"/>
      <c r="J10149" s="71"/>
      <c r="M10149" s="46"/>
      <c r="R10149" s="51"/>
      <c r="S10149" s="51"/>
    </row>
    <row r="10150" spans="9:19" x14ac:dyDescent="0.25">
      <c r="I10150" s="1"/>
      <c r="J10150" s="71"/>
      <c r="M10150" s="46"/>
      <c r="R10150" s="51"/>
      <c r="S10150" s="51"/>
    </row>
    <row r="10151" spans="9:19" x14ac:dyDescent="0.25">
      <c r="I10151" s="1"/>
      <c r="J10151" s="71"/>
      <c r="M10151" s="46"/>
      <c r="R10151" s="51"/>
      <c r="S10151" s="51"/>
    </row>
    <row r="10152" spans="9:19" x14ac:dyDescent="0.25">
      <c r="I10152" s="1"/>
      <c r="J10152" s="71"/>
      <c r="M10152" s="46"/>
      <c r="R10152" s="51"/>
      <c r="S10152" s="51"/>
    </row>
    <row r="10153" spans="9:19" x14ac:dyDescent="0.25">
      <c r="I10153" s="1"/>
      <c r="J10153" s="71"/>
      <c r="M10153" s="46"/>
      <c r="R10153" s="51"/>
      <c r="S10153" s="51"/>
    </row>
    <row r="10154" spans="9:19" x14ac:dyDescent="0.25">
      <c r="I10154" s="1"/>
      <c r="J10154" s="71"/>
      <c r="M10154" s="46"/>
      <c r="R10154" s="51"/>
      <c r="S10154" s="51"/>
    </row>
    <row r="10155" spans="9:19" x14ac:dyDescent="0.25">
      <c r="I10155" s="1"/>
      <c r="J10155" s="71"/>
      <c r="M10155" s="46"/>
      <c r="R10155" s="51"/>
      <c r="S10155" s="51"/>
    </row>
    <row r="10156" spans="9:19" x14ac:dyDescent="0.25">
      <c r="I10156" s="1"/>
      <c r="J10156" s="71"/>
      <c r="M10156" s="46"/>
      <c r="R10156" s="51"/>
      <c r="S10156" s="51"/>
    </row>
    <row r="10157" spans="9:19" x14ac:dyDescent="0.25">
      <c r="I10157" s="1"/>
      <c r="J10157" s="71"/>
      <c r="M10157" s="46"/>
      <c r="R10157" s="51"/>
      <c r="S10157" s="51"/>
    </row>
    <row r="10158" spans="9:19" x14ac:dyDescent="0.25">
      <c r="I10158" s="1"/>
      <c r="J10158" s="71"/>
      <c r="M10158" s="46"/>
      <c r="R10158" s="51"/>
      <c r="S10158" s="51"/>
    </row>
    <row r="10159" spans="9:19" x14ac:dyDescent="0.25">
      <c r="I10159" s="1"/>
      <c r="J10159" s="71"/>
      <c r="M10159" s="46"/>
      <c r="R10159" s="51"/>
      <c r="S10159" s="51"/>
    </row>
    <row r="10160" spans="9:19" x14ac:dyDescent="0.25">
      <c r="I10160" s="1"/>
      <c r="J10160" s="71"/>
      <c r="M10160" s="46"/>
      <c r="R10160" s="51"/>
      <c r="S10160" s="51"/>
    </row>
    <row r="10161" spans="9:19" x14ac:dyDescent="0.25">
      <c r="I10161" s="1"/>
      <c r="J10161" s="71"/>
      <c r="M10161" s="46"/>
      <c r="R10161" s="51"/>
      <c r="S10161" s="51"/>
    </row>
    <row r="10162" spans="9:19" x14ac:dyDescent="0.25">
      <c r="I10162" s="1"/>
      <c r="J10162" s="71"/>
      <c r="M10162" s="46"/>
      <c r="R10162" s="51"/>
      <c r="S10162" s="51"/>
    </row>
    <row r="10163" spans="9:19" x14ac:dyDescent="0.25">
      <c r="I10163" s="1"/>
      <c r="J10163" s="71"/>
      <c r="M10163" s="46"/>
      <c r="R10163" s="51"/>
      <c r="S10163" s="51"/>
    </row>
    <row r="10164" spans="9:19" x14ac:dyDescent="0.25">
      <c r="I10164" s="1"/>
      <c r="J10164" s="71"/>
      <c r="M10164" s="46"/>
      <c r="R10164" s="51"/>
      <c r="S10164" s="51"/>
    </row>
    <row r="10165" spans="9:19" x14ac:dyDescent="0.25">
      <c r="I10165" s="1"/>
      <c r="J10165" s="71"/>
      <c r="M10165" s="46"/>
      <c r="R10165" s="51"/>
      <c r="S10165" s="51"/>
    </row>
    <row r="10166" spans="9:19" x14ac:dyDescent="0.25">
      <c r="I10166" s="1"/>
      <c r="J10166" s="71"/>
      <c r="M10166" s="46"/>
      <c r="R10166" s="51"/>
      <c r="S10166" s="51"/>
    </row>
    <row r="10167" spans="9:19" x14ac:dyDescent="0.25">
      <c r="I10167" s="1"/>
      <c r="J10167" s="71"/>
      <c r="M10167" s="46"/>
      <c r="R10167" s="51"/>
      <c r="S10167" s="51"/>
    </row>
    <row r="10168" spans="9:19" x14ac:dyDescent="0.25">
      <c r="I10168" s="1"/>
      <c r="J10168" s="71"/>
      <c r="M10168" s="46"/>
      <c r="R10168" s="51"/>
      <c r="S10168" s="51"/>
    </row>
    <row r="10169" spans="9:19" x14ac:dyDescent="0.25">
      <c r="I10169" s="1"/>
      <c r="J10169" s="71"/>
      <c r="M10169" s="46"/>
      <c r="R10169" s="51"/>
      <c r="S10169" s="51"/>
    </row>
    <row r="10170" spans="9:19" x14ac:dyDescent="0.25">
      <c r="I10170" s="1"/>
      <c r="J10170" s="71"/>
      <c r="M10170" s="46"/>
      <c r="R10170" s="51"/>
      <c r="S10170" s="51"/>
    </row>
    <row r="10171" spans="9:19" x14ac:dyDescent="0.25">
      <c r="I10171" s="1"/>
      <c r="J10171" s="71"/>
      <c r="M10171" s="46"/>
      <c r="R10171" s="51"/>
      <c r="S10171" s="51"/>
    </row>
    <row r="10172" spans="9:19" x14ac:dyDescent="0.25">
      <c r="I10172" s="1"/>
      <c r="J10172" s="71"/>
      <c r="M10172" s="46"/>
      <c r="R10172" s="51"/>
      <c r="S10172" s="51"/>
    </row>
    <row r="10173" spans="9:19" x14ac:dyDescent="0.25">
      <c r="I10173" s="1"/>
      <c r="J10173" s="71"/>
      <c r="M10173" s="46"/>
      <c r="R10173" s="51"/>
      <c r="S10173" s="51"/>
    </row>
    <row r="10174" spans="9:19" x14ac:dyDescent="0.25">
      <c r="I10174" s="1"/>
      <c r="J10174" s="71"/>
      <c r="M10174" s="46"/>
      <c r="R10174" s="51"/>
      <c r="S10174" s="51"/>
    </row>
    <row r="10175" spans="9:19" x14ac:dyDescent="0.25">
      <c r="I10175" s="1"/>
      <c r="J10175" s="71"/>
      <c r="M10175" s="46"/>
      <c r="R10175" s="51"/>
      <c r="S10175" s="51"/>
    </row>
    <row r="10176" spans="9:19" x14ac:dyDescent="0.25">
      <c r="I10176" s="1"/>
      <c r="J10176" s="71"/>
      <c r="M10176" s="46"/>
      <c r="R10176" s="51"/>
      <c r="S10176" s="51"/>
    </row>
    <row r="10177" spans="9:19" x14ac:dyDescent="0.25">
      <c r="I10177" s="1"/>
      <c r="J10177" s="71"/>
      <c r="M10177" s="46"/>
      <c r="R10177" s="51"/>
      <c r="S10177" s="51"/>
    </row>
    <row r="10178" spans="9:19" x14ac:dyDescent="0.25">
      <c r="I10178" s="1"/>
      <c r="J10178" s="71"/>
      <c r="M10178" s="46"/>
      <c r="R10178" s="51"/>
      <c r="S10178" s="51"/>
    </row>
    <row r="10179" spans="9:19" x14ac:dyDescent="0.25">
      <c r="I10179" s="1"/>
      <c r="J10179" s="71"/>
      <c r="M10179" s="46"/>
      <c r="R10179" s="51"/>
      <c r="S10179" s="51"/>
    </row>
    <row r="10180" spans="9:19" x14ac:dyDescent="0.25">
      <c r="I10180" s="1"/>
      <c r="J10180" s="71"/>
      <c r="M10180" s="46"/>
      <c r="R10180" s="51"/>
      <c r="S10180" s="51"/>
    </row>
    <row r="10181" spans="9:19" x14ac:dyDescent="0.25">
      <c r="I10181" s="1"/>
      <c r="J10181" s="71"/>
      <c r="M10181" s="46"/>
      <c r="R10181" s="51"/>
      <c r="S10181" s="51"/>
    </row>
    <row r="10182" spans="9:19" x14ac:dyDescent="0.25">
      <c r="I10182" s="1"/>
      <c r="J10182" s="71"/>
      <c r="M10182" s="46"/>
      <c r="R10182" s="51"/>
      <c r="S10182" s="51"/>
    </row>
    <row r="10183" spans="9:19" x14ac:dyDescent="0.25">
      <c r="I10183" s="1"/>
      <c r="J10183" s="71"/>
      <c r="M10183" s="46"/>
      <c r="R10183" s="51"/>
      <c r="S10183" s="51"/>
    </row>
    <row r="10184" spans="9:19" x14ac:dyDescent="0.25">
      <c r="I10184" s="1"/>
      <c r="J10184" s="71"/>
      <c r="M10184" s="46"/>
      <c r="R10184" s="51"/>
      <c r="S10184" s="51"/>
    </row>
    <row r="10185" spans="9:19" x14ac:dyDescent="0.25">
      <c r="I10185" s="1"/>
      <c r="J10185" s="71"/>
      <c r="M10185" s="46"/>
      <c r="R10185" s="51"/>
      <c r="S10185" s="51"/>
    </row>
    <row r="10186" spans="9:19" x14ac:dyDescent="0.25">
      <c r="I10186" s="1"/>
      <c r="J10186" s="71"/>
      <c r="M10186" s="46"/>
      <c r="R10186" s="51"/>
      <c r="S10186" s="51"/>
    </row>
    <row r="10187" spans="9:19" x14ac:dyDescent="0.25">
      <c r="I10187" s="1"/>
      <c r="J10187" s="71"/>
      <c r="M10187" s="46"/>
      <c r="R10187" s="51"/>
      <c r="S10187" s="51"/>
    </row>
    <row r="10188" spans="9:19" x14ac:dyDescent="0.25">
      <c r="I10188" s="1"/>
      <c r="J10188" s="71"/>
      <c r="M10188" s="46"/>
      <c r="R10188" s="51"/>
      <c r="S10188" s="51"/>
    </row>
    <row r="10189" spans="9:19" x14ac:dyDescent="0.25">
      <c r="I10189" s="1"/>
      <c r="J10189" s="71"/>
      <c r="M10189" s="46"/>
      <c r="R10189" s="51"/>
      <c r="S10189" s="51"/>
    </row>
    <row r="10190" spans="9:19" x14ac:dyDescent="0.25">
      <c r="I10190" s="1"/>
      <c r="J10190" s="71"/>
      <c r="M10190" s="46"/>
      <c r="R10190" s="51"/>
      <c r="S10190" s="51"/>
    </row>
    <row r="10191" spans="9:19" x14ac:dyDescent="0.25">
      <c r="I10191" s="1"/>
      <c r="J10191" s="71"/>
      <c r="M10191" s="46"/>
      <c r="R10191" s="51"/>
      <c r="S10191" s="51"/>
    </row>
    <row r="10192" spans="9:19" x14ac:dyDescent="0.25">
      <c r="I10192" s="1"/>
      <c r="J10192" s="71"/>
      <c r="M10192" s="46"/>
      <c r="R10192" s="51"/>
      <c r="S10192" s="51"/>
    </row>
    <row r="10193" spans="9:19" x14ac:dyDescent="0.25">
      <c r="I10193" s="1"/>
      <c r="J10193" s="71"/>
      <c r="M10193" s="46"/>
      <c r="R10193" s="51"/>
      <c r="S10193" s="51"/>
    </row>
    <row r="10194" spans="9:19" x14ac:dyDescent="0.25">
      <c r="I10194" s="1"/>
      <c r="J10194" s="71"/>
      <c r="M10194" s="46"/>
      <c r="R10194" s="51"/>
      <c r="S10194" s="51"/>
    </row>
    <row r="10195" spans="9:19" x14ac:dyDescent="0.25">
      <c r="I10195" s="1"/>
      <c r="J10195" s="71"/>
      <c r="M10195" s="46"/>
      <c r="R10195" s="51"/>
      <c r="S10195" s="51"/>
    </row>
    <row r="10196" spans="9:19" x14ac:dyDescent="0.25">
      <c r="I10196" s="1"/>
      <c r="J10196" s="71"/>
      <c r="M10196" s="46"/>
      <c r="R10196" s="51"/>
      <c r="S10196" s="51"/>
    </row>
    <row r="10197" spans="9:19" x14ac:dyDescent="0.25">
      <c r="I10197" s="1"/>
      <c r="J10197" s="71"/>
      <c r="M10197" s="46"/>
      <c r="R10197" s="51"/>
      <c r="S10197" s="51"/>
    </row>
    <row r="10198" spans="9:19" x14ac:dyDescent="0.25">
      <c r="I10198" s="1"/>
      <c r="J10198" s="71"/>
      <c r="M10198" s="46"/>
      <c r="R10198" s="51"/>
      <c r="S10198" s="51"/>
    </row>
    <row r="10199" spans="9:19" x14ac:dyDescent="0.25">
      <c r="I10199" s="1"/>
      <c r="J10199" s="71"/>
      <c r="M10199" s="46"/>
      <c r="R10199" s="51"/>
      <c r="S10199" s="51"/>
    </row>
    <row r="10200" spans="9:19" x14ac:dyDescent="0.25">
      <c r="I10200" s="1"/>
      <c r="J10200" s="71"/>
      <c r="M10200" s="46"/>
      <c r="R10200" s="51"/>
      <c r="S10200" s="51"/>
    </row>
    <row r="10201" spans="9:19" x14ac:dyDescent="0.25">
      <c r="I10201" s="1"/>
      <c r="J10201" s="71"/>
      <c r="M10201" s="46"/>
      <c r="R10201" s="51"/>
      <c r="S10201" s="51"/>
    </row>
    <row r="10202" spans="9:19" x14ac:dyDescent="0.25">
      <c r="I10202" s="1"/>
      <c r="J10202" s="71"/>
      <c r="M10202" s="46"/>
      <c r="R10202" s="51"/>
      <c r="S10202" s="51"/>
    </row>
    <row r="10203" spans="9:19" x14ac:dyDescent="0.25">
      <c r="I10203" s="1"/>
      <c r="J10203" s="71"/>
      <c r="M10203" s="46"/>
      <c r="R10203" s="51"/>
      <c r="S10203" s="51"/>
    </row>
    <row r="10204" spans="9:19" x14ac:dyDescent="0.25">
      <c r="I10204" s="1"/>
      <c r="J10204" s="71"/>
      <c r="M10204" s="46"/>
      <c r="R10204" s="51"/>
      <c r="S10204" s="51"/>
    </row>
    <row r="10205" spans="9:19" x14ac:dyDescent="0.25">
      <c r="I10205" s="1"/>
      <c r="J10205" s="71"/>
      <c r="M10205" s="46"/>
      <c r="R10205" s="51"/>
      <c r="S10205" s="51"/>
    </row>
    <row r="10206" spans="9:19" x14ac:dyDescent="0.25">
      <c r="I10206" s="1"/>
      <c r="J10206" s="71"/>
      <c r="M10206" s="46"/>
      <c r="R10206" s="51"/>
      <c r="S10206" s="51"/>
    </row>
    <row r="10207" spans="9:19" x14ac:dyDescent="0.25">
      <c r="I10207" s="1"/>
      <c r="J10207" s="71"/>
      <c r="M10207" s="46"/>
      <c r="R10207" s="51"/>
      <c r="S10207" s="51"/>
    </row>
    <row r="10208" spans="9:19" x14ac:dyDescent="0.25">
      <c r="I10208" s="1"/>
      <c r="J10208" s="71"/>
      <c r="M10208" s="46"/>
      <c r="R10208" s="51"/>
      <c r="S10208" s="51"/>
    </row>
    <row r="10209" spans="9:19" x14ac:dyDescent="0.25">
      <c r="I10209" s="1"/>
      <c r="J10209" s="71"/>
      <c r="M10209" s="46"/>
      <c r="R10209" s="51"/>
      <c r="S10209" s="51"/>
    </row>
    <row r="10210" spans="9:19" x14ac:dyDescent="0.25">
      <c r="I10210" s="1"/>
      <c r="J10210" s="71"/>
      <c r="M10210" s="46"/>
      <c r="R10210" s="51"/>
      <c r="S10210" s="51"/>
    </row>
    <row r="10211" spans="9:19" x14ac:dyDescent="0.25">
      <c r="I10211" s="1"/>
      <c r="J10211" s="71"/>
      <c r="M10211" s="46"/>
      <c r="R10211" s="51"/>
      <c r="S10211" s="51"/>
    </row>
    <row r="10212" spans="9:19" x14ac:dyDescent="0.25">
      <c r="I10212" s="1"/>
      <c r="J10212" s="71"/>
      <c r="M10212" s="46"/>
      <c r="R10212" s="51"/>
      <c r="S10212" s="51"/>
    </row>
    <row r="10213" spans="9:19" x14ac:dyDescent="0.25">
      <c r="I10213" s="1"/>
      <c r="J10213" s="71"/>
      <c r="M10213" s="46"/>
      <c r="R10213" s="51"/>
      <c r="S10213" s="51"/>
    </row>
    <row r="10214" spans="9:19" x14ac:dyDescent="0.25">
      <c r="I10214" s="1"/>
      <c r="J10214" s="71"/>
      <c r="M10214" s="46"/>
      <c r="R10214" s="51"/>
      <c r="S10214" s="51"/>
    </row>
    <row r="10215" spans="9:19" x14ac:dyDescent="0.25">
      <c r="I10215" s="1"/>
      <c r="J10215" s="71"/>
      <c r="M10215" s="46"/>
      <c r="R10215" s="51"/>
      <c r="S10215" s="51"/>
    </row>
    <row r="10216" spans="9:19" x14ac:dyDescent="0.25">
      <c r="I10216" s="1"/>
      <c r="J10216" s="71"/>
      <c r="M10216" s="46"/>
      <c r="R10216" s="51"/>
      <c r="S10216" s="51"/>
    </row>
    <row r="10217" spans="9:19" x14ac:dyDescent="0.25">
      <c r="I10217" s="1"/>
      <c r="J10217" s="71"/>
      <c r="M10217" s="46"/>
      <c r="R10217" s="51"/>
      <c r="S10217" s="51"/>
    </row>
    <row r="10218" spans="9:19" x14ac:dyDescent="0.25">
      <c r="I10218" s="1"/>
      <c r="J10218" s="71"/>
      <c r="M10218" s="46"/>
      <c r="R10218" s="51"/>
      <c r="S10218" s="51"/>
    </row>
    <row r="10219" spans="9:19" x14ac:dyDescent="0.25">
      <c r="I10219" s="1"/>
      <c r="J10219" s="71"/>
      <c r="M10219" s="46"/>
      <c r="R10219" s="51"/>
      <c r="S10219" s="51"/>
    </row>
    <row r="10220" spans="9:19" x14ac:dyDescent="0.25">
      <c r="I10220" s="1"/>
      <c r="J10220" s="71"/>
      <c r="M10220" s="46"/>
      <c r="R10220" s="51"/>
      <c r="S10220" s="51"/>
    </row>
    <row r="10221" spans="9:19" x14ac:dyDescent="0.25">
      <c r="I10221" s="1"/>
      <c r="J10221" s="71"/>
      <c r="M10221" s="46"/>
      <c r="R10221" s="51"/>
      <c r="S10221" s="51"/>
    </row>
    <row r="10222" spans="9:19" x14ac:dyDescent="0.25">
      <c r="I10222" s="1"/>
      <c r="J10222" s="71"/>
      <c r="M10222" s="46"/>
      <c r="R10222" s="51"/>
      <c r="S10222" s="51"/>
    </row>
    <row r="10223" spans="9:19" x14ac:dyDescent="0.25">
      <c r="I10223" s="1"/>
      <c r="J10223" s="71"/>
      <c r="M10223" s="46"/>
      <c r="R10223" s="51"/>
      <c r="S10223" s="51"/>
    </row>
    <row r="10224" spans="9:19" x14ac:dyDescent="0.25">
      <c r="I10224" s="1"/>
      <c r="J10224" s="71"/>
      <c r="M10224" s="46"/>
      <c r="R10224" s="51"/>
      <c r="S10224" s="51"/>
    </row>
    <row r="10225" spans="9:19" x14ac:dyDescent="0.25">
      <c r="I10225" s="1"/>
      <c r="J10225" s="71"/>
      <c r="M10225" s="46"/>
      <c r="R10225" s="51"/>
      <c r="S10225" s="51"/>
    </row>
    <row r="10226" spans="9:19" x14ac:dyDescent="0.25">
      <c r="I10226" s="1"/>
      <c r="J10226" s="71"/>
      <c r="M10226" s="46"/>
      <c r="R10226" s="51"/>
      <c r="S10226" s="51"/>
    </row>
    <row r="10227" spans="9:19" x14ac:dyDescent="0.25">
      <c r="I10227" s="1"/>
      <c r="J10227" s="71"/>
      <c r="M10227" s="46"/>
      <c r="R10227" s="51"/>
      <c r="S10227" s="51"/>
    </row>
    <row r="10228" spans="9:19" x14ac:dyDescent="0.25">
      <c r="I10228" s="1"/>
      <c r="J10228" s="71"/>
      <c r="M10228" s="46"/>
      <c r="R10228" s="51"/>
      <c r="S10228" s="51"/>
    </row>
    <row r="10229" spans="9:19" x14ac:dyDescent="0.25">
      <c r="I10229" s="1"/>
      <c r="J10229" s="71"/>
      <c r="M10229" s="46"/>
      <c r="R10229" s="51"/>
      <c r="S10229" s="51"/>
    </row>
    <row r="10230" spans="9:19" x14ac:dyDescent="0.25">
      <c r="I10230" s="1"/>
      <c r="J10230" s="71"/>
      <c r="M10230" s="46"/>
      <c r="R10230" s="51"/>
      <c r="S10230" s="51"/>
    </row>
    <row r="10231" spans="9:19" x14ac:dyDescent="0.25">
      <c r="I10231" s="1"/>
      <c r="J10231" s="71"/>
      <c r="M10231" s="46"/>
      <c r="R10231" s="51"/>
      <c r="S10231" s="51"/>
    </row>
    <row r="10232" spans="9:19" x14ac:dyDescent="0.25">
      <c r="I10232" s="1"/>
      <c r="J10232" s="71"/>
      <c r="M10232" s="46"/>
      <c r="R10232" s="51"/>
      <c r="S10232" s="51"/>
    </row>
    <row r="10233" spans="9:19" x14ac:dyDescent="0.25">
      <c r="I10233" s="1"/>
      <c r="J10233" s="71"/>
      <c r="M10233" s="46"/>
      <c r="R10233" s="51"/>
      <c r="S10233" s="51"/>
    </row>
    <row r="10234" spans="9:19" x14ac:dyDescent="0.25">
      <c r="I10234" s="1"/>
      <c r="J10234" s="71"/>
      <c r="M10234" s="46"/>
      <c r="R10234" s="51"/>
      <c r="S10234" s="51"/>
    </row>
    <row r="10235" spans="9:19" x14ac:dyDescent="0.25">
      <c r="I10235" s="1"/>
      <c r="J10235" s="71"/>
      <c r="M10235" s="46"/>
      <c r="R10235" s="51"/>
      <c r="S10235" s="51"/>
    </row>
    <row r="10236" spans="9:19" x14ac:dyDescent="0.25">
      <c r="I10236" s="1"/>
      <c r="J10236" s="71"/>
      <c r="M10236" s="46"/>
      <c r="R10236" s="51"/>
      <c r="S10236" s="51"/>
    </row>
    <row r="10237" spans="9:19" x14ac:dyDescent="0.25">
      <c r="I10237" s="1"/>
      <c r="J10237" s="71"/>
      <c r="M10237" s="46"/>
      <c r="R10237" s="51"/>
      <c r="S10237" s="51"/>
    </row>
    <row r="10238" spans="9:19" x14ac:dyDescent="0.25">
      <c r="I10238" s="1"/>
      <c r="J10238" s="71"/>
      <c r="M10238" s="46"/>
      <c r="R10238" s="51"/>
      <c r="S10238" s="51"/>
    </row>
    <row r="10239" spans="9:19" x14ac:dyDescent="0.25">
      <c r="I10239" s="1"/>
      <c r="J10239" s="71"/>
      <c r="M10239" s="46"/>
      <c r="R10239" s="51"/>
      <c r="S10239" s="51"/>
    </row>
    <row r="10240" spans="9:19" x14ac:dyDescent="0.25">
      <c r="I10240" s="1"/>
      <c r="J10240" s="71"/>
      <c r="M10240" s="46"/>
      <c r="R10240" s="51"/>
      <c r="S10240" s="51"/>
    </row>
    <row r="10241" spans="9:19" x14ac:dyDescent="0.25">
      <c r="I10241" s="1"/>
      <c r="J10241" s="71"/>
      <c r="M10241" s="46"/>
      <c r="R10241" s="51"/>
      <c r="S10241" s="51"/>
    </row>
    <row r="10242" spans="9:19" x14ac:dyDescent="0.25">
      <c r="I10242" s="1"/>
      <c r="J10242" s="71"/>
      <c r="M10242" s="46"/>
      <c r="R10242" s="51"/>
      <c r="S10242" s="51"/>
    </row>
    <row r="10243" spans="9:19" x14ac:dyDescent="0.25">
      <c r="I10243" s="1"/>
      <c r="J10243" s="71"/>
      <c r="M10243" s="46"/>
      <c r="R10243" s="51"/>
      <c r="S10243" s="51"/>
    </row>
    <row r="10244" spans="9:19" x14ac:dyDescent="0.25">
      <c r="I10244" s="1"/>
      <c r="J10244" s="71"/>
      <c r="M10244" s="46"/>
      <c r="R10244" s="51"/>
      <c r="S10244" s="51"/>
    </row>
    <row r="10245" spans="9:19" x14ac:dyDescent="0.25">
      <c r="I10245" s="1"/>
      <c r="J10245" s="71"/>
      <c r="M10245" s="46"/>
      <c r="R10245" s="51"/>
      <c r="S10245" s="51"/>
    </row>
    <row r="10246" spans="9:19" x14ac:dyDescent="0.25">
      <c r="I10246" s="1"/>
      <c r="J10246" s="71"/>
      <c r="M10246" s="46"/>
      <c r="R10246" s="51"/>
      <c r="S10246" s="51"/>
    </row>
    <row r="10247" spans="9:19" x14ac:dyDescent="0.25">
      <c r="I10247" s="1"/>
      <c r="J10247" s="71"/>
      <c r="M10247" s="46"/>
      <c r="R10247" s="51"/>
      <c r="S10247" s="51"/>
    </row>
    <row r="10248" spans="9:19" x14ac:dyDescent="0.25">
      <c r="I10248" s="1"/>
      <c r="J10248" s="71"/>
      <c r="M10248" s="46"/>
      <c r="R10248" s="51"/>
      <c r="S10248" s="51"/>
    </row>
    <row r="10249" spans="9:19" x14ac:dyDescent="0.25">
      <c r="I10249" s="1"/>
      <c r="J10249" s="71"/>
      <c r="M10249" s="46"/>
      <c r="R10249" s="51"/>
      <c r="S10249" s="51"/>
    </row>
    <row r="10250" spans="9:19" x14ac:dyDescent="0.25">
      <c r="I10250" s="1"/>
      <c r="J10250" s="71"/>
      <c r="M10250" s="46"/>
      <c r="R10250" s="51"/>
      <c r="S10250" s="51"/>
    </row>
    <row r="10251" spans="9:19" x14ac:dyDescent="0.25">
      <c r="I10251" s="1"/>
      <c r="J10251" s="71"/>
      <c r="M10251" s="46"/>
      <c r="R10251" s="51"/>
      <c r="S10251" s="51"/>
    </row>
    <row r="10252" spans="9:19" x14ac:dyDescent="0.25">
      <c r="I10252" s="1"/>
      <c r="J10252" s="71"/>
      <c r="M10252" s="46"/>
      <c r="R10252" s="51"/>
      <c r="S10252" s="51"/>
    </row>
    <row r="10253" spans="9:19" x14ac:dyDescent="0.25">
      <c r="I10253" s="1"/>
      <c r="J10253" s="71"/>
      <c r="M10253" s="46"/>
      <c r="R10253" s="51"/>
      <c r="S10253" s="51"/>
    </row>
    <row r="10254" spans="9:19" x14ac:dyDescent="0.25">
      <c r="I10254" s="1"/>
      <c r="J10254" s="71"/>
      <c r="M10254" s="46"/>
      <c r="R10254" s="51"/>
      <c r="S10254" s="51"/>
    </row>
    <row r="10255" spans="9:19" x14ac:dyDescent="0.25">
      <c r="I10255" s="1"/>
      <c r="J10255" s="71"/>
      <c r="M10255" s="46"/>
      <c r="R10255" s="51"/>
      <c r="S10255" s="51"/>
    </row>
    <row r="10256" spans="9:19" x14ac:dyDescent="0.25">
      <c r="I10256" s="1"/>
      <c r="J10256" s="71"/>
      <c r="M10256" s="46"/>
      <c r="R10256" s="51"/>
      <c r="S10256" s="51"/>
    </row>
    <row r="10257" spans="9:19" x14ac:dyDescent="0.25">
      <c r="I10257" s="1"/>
      <c r="J10257" s="71"/>
      <c r="M10257" s="46"/>
      <c r="R10257" s="51"/>
      <c r="S10257" s="51"/>
    </row>
    <row r="10258" spans="9:19" x14ac:dyDescent="0.25">
      <c r="I10258" s="1"/>
      <c r="J10258" s="71"/>
      <c r="M10258" s="46"/>
      <c r="R10258" s="51"/>
      <c r="S10258" s="51"/>
    </row>
    <row r="10259" spans="9:19" x14ac:dyDescent="0.25">
      <c r="I10259" s="1"/>
      <c r="J10259" s="71"/>
      <c r="M10259" s="46"/>
      <c r="R10259" s="51"/>
      <c r="S10259" s="51"/>
    </row>
    <row r="10260" spans="9:19" x14ac:dyDescent="0.25">
      <c r="I10260" s="1"/>
      <c r="J10260" s="71"/>
      <c r="M10260" s="46"/>
      <c r="R10260" s="51"/>
      <c r="S10260" s="51"/>
    </row>
    <row r="10261" spans="9:19" x14ac:dyDescent="0.25">
      <c r="I10261" s="1"/>
      <c r="J10261" s="71"/>
      <c r="M10261" s="46"/>
      <c r="R10261" s="51"/>
      <c r="S10261" s="51"/>
    </row>
    <row r="10262" spans="9:19" x14ac:dyDescent="0.25">
      <c r="I10262" s="1"/>
      <c r="J10262" s="71"/>
      <c r="M10262" s="46"/>
      <c r="R10262" s="51"/>
      <c r="S10262" s="51"/>
    </row>
    <row r="10263" spans="9:19" x14ac:dyDescent="0.25">
      <c r="I10263" s="1"/>
      <c r="J10263" s="71"/>
      <c r="M10263" s="46"/>
      <c r="R10263" s="51"/>
      <c r="S10263" s="51"/>
    </row>
    <row r="10264" spans="9:19" x14ac:dyDescent="0.25">
      <c r="I10264" s="1"/>
      <c r="J10264" s="71"/>
      <c r="M10264" s="46"/>
      <c r="R10264" s="51"/>
      <c r="S10264" s="51"/>
    </row>
    <row r="10265" spans="9:19" x14ac:dyDescent="0.25">
      <c r="I10265" s="1"/>
      <c r="J10265" s="71"/>
      <c r="M10265" s="46"/>
      <c r="R10265" s="51"/>
      <c r="S10265" s="51"/>
    </row>
    <row r="10266" spans="9:19" x14ac:dyDescent="0.25">
      <c r="I10266" s="1"/>
      <c r="J10266" s="71"/>
      <c r="M10266" s="46"/>
      <c r="R10266" s="51"/>
      <c r="S10266" s="51"/>
    </row>
    <row r="10267" spans="9:19" x14ac:dyDescent="0.25">
      <c r="I10267" s="1"/>
      <c r="J10267" s="71"/>
      <c r="M10267" s="46"/>
      <c r="R10267" s="51"/>
      <c r="S10267" s="51"/>
    </row>
    <row r="10268" spans="9:19" x14ac:dyDescent="0.25">
      <c r="I10268" s="1"/>
      <c r="J10268" s="71"/>
      <c r="M10268" s="46"/>
      <c r="R10268" s="51"/>
      <c r="S10268" s="51"/>
    </row>
    <row r="10269" spans="9:19" x14ac:dyDescent="0.25">
      <c r="I10269" s="1"/>
      <c r="J10269" s="71"/>
      <c r="M10269" s="46"/>
      <c r="R10269" s="51"/>
      <c r="S10269" s="51"/>
    </row>
    <row r="10270" spans="9:19" x14ac:dyDescent="0.25">
      <c r="I10270" s="1"/>
      <c r="J10270" s="71"/>
      <c r="M10270" s="46"/>
      <c r="R10270" s="51"/>
      <c r="S10270" s="51"/>
    </row>
    <row r="10271" spans="9:19" x14ac:dyDescent="0.25">
      <c r="I10271" s="1"/>
      <c r="J10271" s="71"/>
      <c r="M10271" s="46"/>
      <c r="R10271" s="51"/>
      <c r="S10271" s="51"/>
    </row>
    <row r="10272" spans="9:19" x14ac:dyDescent="0.25">
      <c r="I10272" s="1"/>
      <c r="J10272" s="71"/>
      <c r="M10272" s="46"/>
      <c r="R10272" s="51"/>
      <c r="S10272" s="51"/>
    </row>
    <row r="10273" spans="9:19" x14ac:dyDescent="0.25">
      <c r="I10273" s="1"/>
      <c r="J10273" s="71"/>
      <c r="M10273" s="46"/>
      <c r="R10273" s="51"/>
      <c r="S10273" s="51"/>
    </row>
    <row r="10274" spans="9:19" x14ac:dyDescent="0.25">
      <c r="I10274" s="1"/>
      <c r="J10274" s="71"/>
      <c r="M10274" s="46"/>
      <c r="R10274" s="51"/>
      <c r="S10274" s="51"/>
    </row>
    <row r="10275" spans="9:19" x14ac:dyDescent="0.25">
      <c r="I10275" s="1"/>
      <c r="J10275" s="71"/>
      <c r="M10275" s="46"/>
      <c r="R10275" s="51"/>
      <c r="S10275" s="51"/>
    </row>
    <row r="10276" spans="9:19" x14ac:dyDescent="0.25">
      <c r="I10276" s="1"/>
      <c r="J10276" s="71"/>
      <c r="M10276" s="46"/>
      <c r="R10276" s="51"/>
      <c r="S10276" s="51"/>
    </row>
    <row r="10277" spans="9:19" x14ac:dyDescent="0.25">
      <c r="I10277" s="1"/>
      <c r="J10277" s="71"/>
      <c r="M10277" s="46"/>
      <c r="R10277" s="51"/>
      <c r="S10277" s="51"/>
    </row>
    <row r="10278" spans="9:19" x14ac:dyDescent="0.25">
      <c r="I10278" s="1"/>
      <c r="J10278" s="71"/>
      <c r="M10278" s="46"/>
      <c r="R10278" s="51"/>
      <c r="S10278" s="51"/>
    </row>
    <row r="10279" spans="9:19" x14ac:dyDescent="0.25">
      <c r="I10279" s="1"/>
      <c r="J10279" s="71"/>
      <c r="M10279" s="46"/>
      <c r="R10279" s="51"/>
      <c r="S10279" s="51"/>
    </row>
    <row r="10280" spans="9:19" x14ac:dyDescent="0.25">
      <c r="I10280" s="1"/>
      <c r="J10280" s="71"/>
      <c r="M10280" s="46"/>
      <c r="R10280" s="51"/>
      <c r="S10280" s="51"/>
    </row>
    <row r="10281" spans="9:19" x14ac:dyDescent="0.25">
      <c r="I10281" s="1"/>
      <c r="J10281" s="71"/>
      <c r="M10281" s="46"/>
      <c r="R10281" s="51"/>
      <c r="S10281" s="51"/>
    </row>
    <row r="10282" spans="9:19" x14ac:dyDescent="0.25">
      <c r="I10282" s="1"/>
      <c r="J10282" s="71"/>
      <c r="M10282" s="46"/>
      <c r="R10282" s="51"/>
      <c r="S10282" s="51"/>
    </row>
    <row r="10283" spans="9:19" x14ac:dyDescent="0.25">
      <c r="I10283" s="1"/>
      <c r="J10283" s="71"/>
      <c r="M10283" s="46"/>
      <c r="R10283" s="51"/>
      <c r="S10283" s="51"/>
    </row>
    <row r="10284" spans="9:19" x14ac:dyDescent="0.25">
      <c r="I10284" s="1"/>
      <c r="J10284" s="71"/>
      <c r="M10284" s="46"/>
      <c r="R10284" s="51"/>
      <c r="S10284" s="51"/>
    </row>
    <row r="10285" spans="9:19" x14ac:dyDescent="0.25">
      <c r="I10285" s="1"/>
      <c r="J10285" s="71"/>
      <c r="M10285" s="46"/>
      <c r="R10285" s="51"/>
      <c r="S10285" s="51"/>
    </row>
    <row r="10286" spans="9:19" x14ac:dyDescent="0.25">
      <c r="I10286" s="1"/>
      <c r="J10286" s="71"/>
      <c r="M10286" s="46"/>
      <c r="R10286" s="51"/>
      <c r="S10286" s="51"/>
    </row>
    <row r="10287" spans="9:19" x14ac:dyDescent="0.25">
      <c r="I10287" s="1"/>
      <c r="J10287" s="71"/>
      <c r="M10287" s="46"/>
      <c r="R10287" s="51"/>
      <c r="S10287" s="51"/>
    </row>
    <row r="10288" spans="9:19" x14ac:dyDescent="0.25">
      <c r="I10288" s="1"/>
      <c r="J10288" s="71"/>
      <c r="M10288" s="46"/>
      <c r="R10288" s="51"/>
      <c r="S10288" s="51"/>
    </row>
    <row r="10289" spans="9:19" x14ac:dyDescent="0.25">
      <c r="I10289" s="1"/>
      <c r="J10289" s="71"/>
      <c r="M10289" s="46"/>
      <c r="R10289" s="51"/>
      <c r="S10289" s="51"/>
    </row>
    <row r="10290" spans="9:19" x14ac:dyDescent="0.25">
      <c r="I10290" s="1"/>
      <c r="J10290" s="71"/>
      <c r="M10290" s="46"/>
      <c r="R10290" s="51"/>
      <c r="S10290" s="51"/>
    </row>
    <row r="10291" spans="9:19" x14ac:dyDescent="0.25">
      <c r="I10291" s="1"/>
      <c r="J10291" s="71"/>
      <c r="M10291" s="46"/>
      <c r="R10291" s="51"/>
      <c r="S10291" s="51"/>
    </row>
    <row r="10292" spans="9:19" x14ac:dyDescent="0.25">
      <c r="I10292" s="1"/>
      <c r="J10292" s="71"/>
      <c r="M10292" s="46"/>
      <c r="R10292" s="51"/>
      <c r="S10292" s="51"/>
    </row>
    <row r="10293" spans="9:19" x14ac:dyDescent="0.25">
      <c r="I10293" s="1"/>
      <c r="J10293" s="71"/>
      <c r="M10293" s="46"/>
      <c r="R10293" s="51"/>
      <c r="S10293" s="51"/>
    </row>
    <row r="10294" spans="9:19" x14ac:dyDescent="0.25">
      <c r="I10294" s="1"/>
      <c r="J10294" s="71"/>
      <c r="M10294" s="46"/>
      <c r="R10294" s="51"/>
      <c r="S10294" s="51"/>
    </row>
    <row r="10295" spans="9:19" x14ac:dyDescent="0.25">
      <c r="I10295" s="1"/>
      <c r="J10295" s="71"/>
      <c r="M10295" s="46"/>
      <c r="R10295" s="51"/>
      <c r="S10295" s="51"/>
    </row>
    <row r="10296" spans="9:19" x14ac:dyDescent="0.25">
      <c r="I10296" s="1"/>
      <c r="J10296" s="71"/>
      <c r="M10296" s="46"/>
      <c r="R10296" s="51"/>
      <c r="S10296" s="51"/>
    </row>
    <row r="10297" spans="9:19" x14ac:dyDescent="0.25">
      <c r="I10297" s="1"/>
      <c r="J10297" s="71"/>
      <c r="M10297" s="46"/>
      <c r="R10297" s="51"/>
      <c r="S10297" s="51"/>
    </row>
    <row r="10298" spans="9:19" x14ac:dyDescent="0.25">
      <c r="I10298" s="1"/>
      <c r="J10298" s="71"/>
      <c r="M10298" s="46"/>
      <c r="R10298" s="51"/>
      <c r="S10298" s="51"/>
    </row>
    <row r="10299" spans="9:19" x14ac:dyDescent="0.25">
      <c r="I10299" s="1"/>
      <c r="J10299" s="71"/>
      <c r="M10299" s="46"/>
      <c r="R10299" s="51"/>
      <c r="S10299" s="51"/>
    </row>
    <row r="10300" spans="9:19" x14ac:dyDescent="0.25">
      <c r="I10300" s="1"/>
      <c r="J10300" s="71"/>
      <c r="M10300" s="46"/>
      <c r="R10300" s="51"/>
      <c r="S10300" s="51"/>
    </row>
    <row r="10301" spans="9:19" x14ac:dyDescent="0.25">
      <c r="I10301" s="1"/>
      <c r="J10301" s="71"/>
      <c r="M10301" s="46"/>
      <c r="R10301" s="51"/>
      <c r="S10301" s="51"/>
    </row>
    <row r="10302" spans="9:19" x14ac:dyDescent="0.25">
      <c r="I10302" s="1"/>
      <c r="J10302" s="71"/>
      <c r="M10302" s="46"/>
      <c r="R10302" s="51"/>
      <c r="S10302" s="51"/>
    </row>
    <row r="10303" spans="9:19" x14ac:dyDescent="0.25">
      <c r="I10303" s="1"/>
      <c r="J10303" s="71"/>
      <c r="M10303" s="46"/>
      <c r="R10303" s="51"/>
      <c r="S10303" s="51"/>
    </row>
    <row r="10304" spans="9:19" x14ac:dyDescent="0.25">
      <c r="I10304" s="1"/>
      <c r="J10304" s="71"/>
      <c r="M10304" s="46"/>
      <c r="R10304" s="51"/>
      <c r="S10304" s="51"/>
    </row>
    <row r="10305" spans="9:19" x14ac:dyDescent="0.25">
      <c r="I10305" s="1"/>
      <c r="J10305" s="71"/>
      <c r="M10305" s="46"/>
      <c r="R10305" s="51"/>
      <c r="S10305" s="51"/>
    </row>
    <row r="10306" spans="9:19" x14ac:dyDescent="0.25">
      <c r="I10306" s="1"/>
      <c r="J10306" s="71"/>
      <c r="M10306" s="46"/>
      <c r="R10306" s="51"/>
      <c r="S10306" s="51"/>
    </row>
    <row r="10307" spans="9:19" x14ac:dyDescent="0.25">
      <c r="I10307" s="1"/>
      <c r="J10307" s="71"/>
      <c r="M10307" s="46"/>
      <c r="R10307" s="51"/>
      <c r="S10307" s="51"/>
    </row>
    <row r="10308" spans="9:19" x14ac:dyDescent="0.25">
      <c r="I10308" s="1"/>
      <c r="J10308" s="71"/>
      <c r="M10308" s="46"/>
      <c r="R10308" s="51"/>
      <c r="S10308" s="51"/>
    </row>
    <row r="10309" spans="9:19" x14ac:dyDescent="0.25">
      <c r="I10309" s="1"/>
      <c r="J10309" s="71"/>
      <c r="M10309" s="46"/>
      <c r="R10309" s="51"/>
      <c r="S10309" s="51"/>
    </row>
    <row r="10310" spans="9:19" x14ac:dyDescent="0.25">
      <c r="I10310" s="1"/>
      <c r="J10310" s="71"/>
      <c r="M10310" s="46"/>
      <c r="R10310" s="51"/>
      <c r="S10310" s="51"/>
    </row>
    <row r="10311" spans="9:19" x14ac:dyDescent="0.25">
      <c r="I10311" s="1"/>
      <c r="J10311" s="71"/>
      <c r="M10311" s="46"/>
      <c r="R10311" s="51"/>
      <c r="S10311" s="51"/>
    </row>
    <row r="10312" spans="9:19" x14ac:dyDescent="0.25">
      <c r="I10312" s="1"/>
      <c r="J10312" s="71"/>
      <c r="M10312" s="46"/>
      <c r="R10312" s="51"/>
      <c r="S10312" s="51"/>
    </row>
    <row r="10313" spans="9:19" x14ac:dyDescent="0.25">
      <c r="I10313" s="1"/>
      <c r="J10313" s="71"/>
      <c r="M10313" s="46"/>
      <c r="R10313" s="51"/>
      <c r="S10313" s="51"/>
    </row>
    <row r="10314" spans="9:19" x14ac:dyDescent="0.25">
      <c r="I10314" s="1"/>
      <c r="J10314" s="71"/>
      <c r="M10314" s="46"/>
      <c r="R10314" s="51"/>
      <c r="S10314" s="51"/>
    </row>
    <row r="10315" spans="9:19" x14ac:dyDescent="0.25">
      <c r="I10315" s="1"/>
      <c r="J10315" s="71"/>
      <c r="M10315" s="46"/>
      <c r="R10315" s="51"/>
      <c r="S10315" s="51"/>
    </row>
    <row r="10316" spans="9:19" x14ac:dyDescent="0.25">
      <c r="I10316" s="1"/>
      <c r="J10316" s="71"/>
      <c r="M10316" s="46"/>
      <c r="R10316" s="51"/>
      <c r="S10316" s="51"/>
    </row>
    <row r="10317" spans="9:19" x14ac:dyDescent="0.25">
      <c r="I10317" s="1"/>
      <c r="J10317" s="71"/>
      <c r="M10317" s="46"/>
      <c r="R10317" s="51"/>
      <c r="S10317" s="51"/>
    </row>
    <row r="10318" spans="9:19" x14ac:dyDescent="0.25">
      <c r="I10318" s="1"/>
      <c r="J10318" s="71"/>
      <c r="M10318" s="46"/>
      <c r="R10318" s="51"/>
      <c r="S10318" s="51"/>
    </row>
    <row r="10319" spans="9:19" x14ac:dyDescent="0.25">
      <c r="I10319" s="1"/>
      <c r="J10319" s="71"/>
      <c r="M10319" s="46"/>
      <c r="R10319" s="51"/>
      <c r="S10319" s="51"/>
    </row>
    <row r="10320" spans="9:19" x14ac:dyDescent="0.25">
      <c r="I10320" s="1"/>
      <c r="J10320" s="71"/>
      <c r="M10320" s="46"/>
      <c r="R10320" s="51"/>
      <c r="S10320" s="51"/>
    </row>
    <row r="10321" spans="9:19" x14ac:dyDescent="0.25">
      <c r="I10321" s="1"/>
      <c r="J10321" s="71"/>
      <c r="M10321" s="46"/>
      <c r="R10321" s="51"/>
      <c r="S10321" s="51"/>
    </row>
    <row r="10322" spans="9:19" x14ac:dyDescent="0.25">
      <c r="I10322" s="1"/>
      <c r="J10322" s="71"/>
      <c r="M10322" s="46"/>
      <c r="R10322" s="51"/>
      <c r="S10322" s="51"/>
    </row>
    <row r="10323" spans="9:19" x14ac:dyDescent="0.25">
      <c r="I10323" s="1"/>
      <c r="J10323" s="71"/>
      <c r="M10323" s="46"/>
      <c r="R10323" s="51"/>
      <c r="S10323" s="51"/>
    </row>
    <row r="10324" spans="9:19" x14ac:dyDescent="0.25">
      <c r="I10324" s="1"/>
      <c r="J10324" s="71"/>
      <c r="M10324" s="46"/>
      <c r="R10324" s="51"/>
      <c r="S10324" s="51"/>
    </row>
    <row r="10325" spans="9:19" x14ac:dyDescent="0.25">
      <c r="I10325" s="1"/>
      <c r="J10325" s="71"/>
      <c r="M10325" s="46"/>
      <c r="R10325" s="51"/>
      <c r="S10325" s="51"/>
    </row>
    <row r="10326" spans="9:19" x14ac:dyDescent="0.25">
      <c r="I10326" s="1"/>
      <c r="J10326" s="71"/>
      <c r="M10326" s="46"/>
      <c r="R10326" s="51"/>
      <c r="S10326" s="51"/>
    </row>
    <row r="10327" spans="9:19" x14ac:dyDescent="0.25">
      <c r="I10327" s="1"/>
      <c r="J10327" s="71"/>
      <c r="M10327" s="46"/>
      <c r="R10327" s="51"/>
      <c r="S10327" s="51"/>
    </row>
    <row r="10328" spans="9:19" x14ac:dyDescent="0.25">
      <c r="I10328" s="1"/>
      <c r="J10328" s="71"/>
      <c r="M10328" s="46"/>
      <c r="R10328" s="51"/>
      <c r="S10328" s="51"/>
    </row>
    <row r="10329" spans="9:19" x14ac:dyDescent="0.25">
      <c r="I10329" s="1"/>
      <c r="J10329" s="71"/>
      <c r="M10329" s="46"/>
      <c r="R10329" s="51"/>
      <c r="S10329" s="51"/>
    </row>
    <row r="10330" spans="9:19" x14ac:dyDescent="0.25">
      <c r="I10330" s="1"/>
      <c r="J10330" s="71"/>
      <c r="M10330" s="46"/>
      <c r="R10330" s="51"/>
      <c r="S10330" s="51"/>
    </row>
    <row r="10331" spans="9:19" x14ac:dyDescent="0.25">
      <c r="I10331" s="1"/>
      <c r="J10331" s="71"/>
      <c r="M10331" s="46"/>
      <c r="R10331" s="51"/>
      <c r="S10331" s="51"/>
    </row>
    <row r="10332" spans="9:19" x14ac:dyDescent="0.25">
      <c r="I10332" s="1"/>
      <c r="J10332" s="71"/>
      <c r="M10332" s="46"/>
      <c r="R10332" s="51"/>
      <c r="S10332" s="51"/>
    </row>
    <row r="10333" spans="9:19" x14ac:dyDescent="0.25">
      <c r="I10333" s="1"/>
      <c r="J10333" s="71"/>
      <c r="M10333" s="46"/>
      <c r="R10333" s="51"/>
      <c r="S10333" s="51"/>
    </row>
    <row r="10334" spans="9:19" x14ac:dyDescent="0.25">
      <c r="I10334" s="1"/>
      <c r="J10334" s="71"/>
      <c r="M10334" s="46"/>
      <c r="R10334" s="51"/>
      <c r="S10334" s="51"/>
    </row>
    <row r="10335" spans="9:19" x14ac:dyDescent="0.25">
      <c r="I10335" s="1"/>
      <c r="J10335" s="71"/>
      <c r="M10335" s="46"/>
      <c r="R10335" s="51"/>
      <c r="S10335" s="51"/>
    </row>
    <row r="10336" spans="9:19" x14ac:dyDescent="0.25">
      <c r="I10336" s="1"/>
      <c r="J10336" s="71"/>
      <c r="M10336" s="46"/>
      <c r="R10336" s="51"/>
      <c r="S10336" s="51"/>
    </row>
    <row r="10337" spans="9:19" x14ac:dyDescent="0.25">
      <c r="I10337" s="1"/>
      <c r="J10337" s="71"/>
      <c r="M10337" s="46"/>
      <c r="R10337" s="51"/>
      <c r="S10337" s="51"/>
    </row>
    <row r="10338" spans="9:19" x14ac:dyDescent="0.25">
      <c r="I10338" s="1"/>
      <c r="J10338" s="71"/>
      <c r="M10338" s="46"/>
      <c r="R10338" s="51"/>
      <c r="S10338" s="51"/>
    </row>
    <row r="10339" spans="9:19" x14ac:dyDescent="0.25">
      <c r="I10339" s="1"/>
      <c r="J10339" s="71"/>
      <c r="M10339" s="46"/>
      <c r="R10339" s="51"/>
      <c r="S10339" s="51"/>
    </row>
    <row r="10340" spans="9:19" x14ac:dyDescent="0.25">
      <c r="I10340" s="1"/>
      <c r="J10340" s="71"/>
      <c r="M10340" s="46"/>
      <c r="R10340" s="51"/>
      <c r="S10340" s="51"/>
    </row>
    <row r="10341" spans="9:19" x14ac:dyDescent="0.25">
      <c r="I10341" s="1"/>
      <c r="J10341" s="71"/>
      <c r="M10341" s="46"/>
      <c r="R10341" s="51"/>
      <c r="S10341" s="51"/>
    </row>
    <row r="10342" spans="9:19" x14ac:dyDescent="0.25">
      <c r="I10342" s="1"/>
      <c r="J10342" s="71"/>
      <c r="M10342" s="46"/>
      <c r="R10342" s="51"/>
      <c r="S10342" s="51"/>
    </row>
    <row r="10343" spans="9:19" x14ac:dyDescent="0.25">
      <c r="I10343" s="1"/>
      <c r="J10343" s="71"/>
      <c r="M10343" s="46"/>
      <c r="R10343" s="51"/>
      <c r="S10343" s="51"/>
    </row>
    <row r="10344" spans="9:19" x14ac:dyDescent="0.25">
      <c r="I10344" s="1"/>
      <c r="J10344" s="71"/>
      <c r="M10344" s="46"/>
      <c r="R10344" s="51"/>
      <c r="S10344" s="51"/>
    </row>
    <row r="10345" spans="9:19" x14ac:dyDescent="0.25">
      <c r="I10345" s="1"/>
      <c r="J10345" s="71"/>
      <c r="M10345" s="46"/>
      <c r="R10345" s="51"/>
      <c r="S10345" s="51"/>
    </row>
    <row r="10346" spans="9:19" x14ac:dyDescent="0.25">
      <c r="I10346" s="1"/>
      <c r="J10346" s="71"/>
      <c r="M10346" s="46"/>
      <c r="R10346" s="51"/>
      <c r="S10346" s="51"/>
    </row>
    <row r="10347" spans="9:19" x14ac:dyDescent="0.25">
      <c r="I10347" s="1"/>
      <c r="J10347" s="71"/>
      <c r="M10347" s="46"/>
      <c r="R10347" s="51"/>
      <c r="S10347" s="51"/>
    </row>
    <row r="10348" spans="9:19" x14ac:dyDescent="0.25">
      <c r="I10348" s="1"/>
      <c r="J10348" s="71"/>
      <c r="M10348" s="46"/>
      <c r="R10348" s="51"/>
      <c r="S10348" s="51"/>
    </row>
    <row r="10349" spans="9:19" x14ac:dyDescent="0.25">
      <c r="I10349" s="1"/>
      <c r="J10349" s="71"/>
      <c r="M10349" s="46"/>
      <c r="R10349" s="51"/>
      <c r="S10349" s="51"/>
    </row>
    <row r="10350" spans="9:19" x14ac:dyDescent="0.25">
      <c r="I10350" s="1"/>
      <c r="J10350" s="71"/>
      <c r="M10350" s="46"/>
      <c r="R10350" s="51"/>
      <c r="S10350" s="51"/>
    </row>
    <row r="10351" spans="9:19" x14ac:dyDescent="0.25">
      <c r="I10351" s="1"/>
      <c r="J10351" s="71"/>
      <c r="M10351" s="46"/>
      <c r="R10351" s="51"/>
      <c r="S10351" s="51"/>
    </row>
    <row r="10352" spans="9:19" x14ac:dyDescent="0.25">
      <c r="I10352" s="1"/>
      <c r="J10352" s="71"/>
      <c r="M10352" s="46"/>
      <c r="R10352" s="51"/>
      <c r="S10352" s="51"/>
    </row>
    <row r="10353" spans="9:19" x14ac:dyDescent="0.25">
      <c r="I10353" s="1"/>
      <c r="J10353" s="71"/>
      <c r="M10353" s="46"/>
      <c r="R10353" s="51"/>
      <c r="S10353" s="51"/>
    </row>
    <row r="10354" spans="9:19" x14ac:dyDescent="0.25">
      <c r="I10354" s="1"/>
      <c r="J10354" s="71"/>
      <c r="M10354" s="46"/>
      <c r="R10354" s="51"/>
      <c r="S10354" s="51"/>
    </row>
    <row r="10355" spans="9:19" x14ac:dyDescent="0.25">
      <c r="I10355" s="1"/>
      <c r="J10355" s="71"/>
      <c r="M10355" s="46"/>
      <c r="R10355" s="51"/>
      <c r="S10355" s="51"/>
    </row>
    <row r="10356" spans="9:19" x14ac:dyDescent="0.25">
      <c r="I10356" s="1"/>
      <c r="J10356" s="71"/>
      <c r="M10356" s="46"/>
      <c r="R10356" s="51"/>
      <c r="S10356" s="51"/>
    </row>
    <row r="10357" spans="9:19" x14ac:dyDescent="0.25">
      <c r="I10357" s="1"/>
      <c r="J10357" s="71"/>
      <c r="M10357" s="46"/>
      <c r="R10357" s="51"/>
      <c r="S10357" s="51"/>
    </row>
    <row r="10358" spans="9:19" x14ac:dyDescent="0.25">
      <c r="I10358" s="1"/>
      <c r="J10358" s="71"/>
      <c r="M10358" s="46"/>
      <c r="R10358" s="51"/>
      <c r="S10358" s="51"/>
    </row>
    <row r="10359" spans="9:19" x14ac:dyDescent="0.25">
      <c r="I10359" s="1"/>
      <c r="J10359" s="71"/>
      <c r="M10359" s="46"/>
      <c r="R10359" s="51"/>
      <c r="S10359" s="51"/>
    </row>
    <row r="10360" spans="9:19" x14ac:dyDescent="0.25">
      <c r="I10360" s="1"/>
      <c r="J10360" s="71"/>
      <c r="M10360" s="46"/>
      <c r="R10360" s="51"/>
      <c r="S10360" s="51"/>
    </row>
    <row r="10361" spans="9:19" x14ac:dyDescent="0.25">
      <c r="I10361" s="1"/>
      <c r="J10361" s="71"/>
      <c r="M10361" s="46"/>
      <c r="R10361" s="51"/>
      <c r="S10361" s="51"/>
    </row>
    <row r="10362" spans="9:19" x14ac:dyDescent="0.25">
      <c r="I10362" s="1"/>
      <c r="J10362" s="71"/>
      <c r="M10362" s="46"/>
      <c r="R10362" s="51"/>
      <c r="S10362" s="51"/>
    </row>
    <row r="10363" spans="9:19" x14ac:dyDescent="0.25">
      <c r="I10363" s="1"/>
      <c r="J10363" s="71"/>
      <c r="M10363" s="46"/>
      <c r="R10363" s="51"/>
      <c r="S10363" s="51"/>
    </row>
    <row r="10364" spans="9:19" x14ac:dyDescent="0.25">
      <c r="I10364" s="1"/>
      <c r="J10364" s="71"/>
      <c r="M10364" s="46"/>
      <c r="R10364" s="51"/>
      <c r="S10364" s="51"/>
    </row>
    <row r="10365" spans="9:19" x14ac:dyDescent="0.25">
      <c r="I10365" s="1"/>
      <c r="J10365" s="71"/>
      <c r="M10365" s="46"/>
      <c r="R10365" s="51"/>
      <c r="S10365" s="51"/>
    </row>
    <row r="10366" spans="9:19" x14ac:dyDescent="0.25">
      <c r="I10366" s="1"/>
      <c r="J10366" s="71"/>
      <c r="M10366" s="46"/>
      <c r="R10366" s="51"/>
      <c r="S10366" s="51"/>
    </row>
    <row r="10367" spans="9:19" x14ac:dyDescent="0.25">
      <c r="I10367" s="1"/>
      <c r="J10367" s="71"/>
      <c r="M10367" s="46"/>
      <c r="R10367" s="51"/>
      <c r="S10367" s="51"/>
    </row>
    <row r="10368" spans="9:19" x14ac:dyDescent="0.25">
      <c r="I10368" s="1"/>
      <c r="J10368" s="71"/>
      <c r="M10368" s="46"/>
      <c r="R10368" s="51"/>
      <c r="S10368" s="51"/>
    </row>
    <row r="10369" spans="9:19" x14ac:dyDescent="0.25">
      <c r="I10369" s="1"/>
      <c r="J10369" s="71"/>
      <c r="M10369" s="46"/>
      <c r="R10369" s="51"/>
      <c r="S10369" s="51"/>
    </row>
    <row r="10370" spans="9:19" x14ac:dyDescent="0.25">
      <c r="I10370" s="1"/>
      <c r="J10370" s="71"/>
      <c r="M10370" s="46"/>
      <c r="R10370" s="51"/>
      <c r="S10370" s="51"/>
    </row>
    <row r="10371" spans="9:19" x14ac:dyDescent="0.25">
      <c r="I10371" s="1"/>
      <c r="J10371" s="71"/>
      <c r="M10371" s="46"/>
      <c r="R10371" s="51"/>
      <c r="S10371" s="51"/>
    </row>
    <row r="10372" spans="9:19" x14ac:dyDescent="0.25">
      <c r="I10372" s="1"/>
      <c r="J10372" s="71"/>
      <c r="M10372" s="46"/>
      <c r="R10372" s="51"/>
      <c r="S10372" s="51"/>
    </row>
    <row r="10373" spans="9:19" x14ac:dyDescent="0.25">
      <c r="I10373" s="1"/>
      <c r="J10373" s="71"/>
      <c r="M10373" s="46"/>
      <c r="R10373" s="51"/>
      <c r="S10373" s="51"/>
    </row>
    <row r="10374" spans="9:19" x14ac:dyDescent="0.25">
      <c r="I10374" s="1"/>
      <c r="J10374" s="71"/>
      <c r="M10374" s="46"/>
      <c r="R10374" s="51"/>
      <c r="S10374" s="51"/>
    </row>
    <row r="10375" spans="9:19" x14ac:dyDescent="0.25">
      <c r="I10375" s="1"/>
      <c r="J10375" s="71"/>
      <c r="M10375" s="46"/>
      <c r="R10375" s="51"/>
      <c r="S10375" s="51"/>
    </row>
    <row r="10376" spans="9:19" x14ac:dyDescent="0.25">
      <c r="I10376" s="1"/>
      <c r="J10376" s="71"/>
      <c r="M10376" s="46"/>
      <c r="R10376" s="51"/>
      <c r="S10376" s="51"/>
    </row>
    <row r="10377" spans="9:19" x14ac:dyDescent="0.25">
      <c r="I10377" s="1"/>
      <c r="J10377" s="71"/>
      <c r="M10377" s="46"/>
      <c r="R10377" s="51"/>
      <c r="S10377" s="51"/>
    </row>
    <row r="10378" spans="9:19" x14ac:dyDescent="0.25">
      <c r="I10378" s="1"/>
      <c r="J10378" s="71"/>
      <c r="M10378" s="46"/>
      <c r="R10378" s="51"/>
      <c r="S10378" s="51"/>
    </row>
    <row r="10379" spans="9:19" x14ac:dyDescent="0.25">
      <c r="I10379" s="1"/>
      <c r="J10379" s="71"/>
      <c r="M10379" s="46"/>
      <c r="R10379" s="51"/>
      <c r="S10379" s="51"/>
    </row>
    <row r="10380" spans="9:19" x14ac:dyDescent="0.25">
      <c r="I10380" s="1"/>
      <c r="J10380" s="71"/>
      <c r="M10380" s="46"/>
      <c r="R10380" s="51"/>
      <c r="S10380" s="51"/>
    </row>
    <row r="10381" spans="9:19" x14ac:dyDescent="0.25">
      <c r="I10381" s="1"/>
      <c r="J10381" s="71"/>
      <c r="M10381" s="46"/>
      <c r="R10381" s="51"/>
      <c r="S10381" s="51"/>
    </row>
    <row r="10382" spans="9:19" x14ac:dyDescent="0.25">
      <c r="I10382" s="1"/>
      <c r="J10382" s="71"/>
      <c r="M10382" s="46"/>
      <c r="R10382" s="51"/>
      <c r="S10382" s="51"/>
    </row>
    <row r="10383" spans="9:19" x14ac:dyDescent="0.25">
      <c r="I10383" s="1"/>
      <c r="J10383" s="71"/>
      <c r="M10383" s="46"/>
      <c r="R10383" s="51"/>
      <c r="S10383" s="51"/>
    </row>
    <row r="10384" spans="9:19" x14ac:dyDescent="0.25">
      <c r="I10384" s="1"/>
      <c r="J10384" s="71"/>
      <c r="M10384" s="46"/>
      <c r="R10384" s="51"/>
      <c r="S10384" s="51"/>
    </row>
    <row r="10385" spans="9:19" x14ac:dyDescent="0.25">
      <c r="I10385" s="1"/>
      <c r="J10385" s="71"/>
      <c r="M10385" s="46"/>
      <c r="R10385" s="51"/>
      <c r="S10385" s="51"/>
    </row>
    <row r="10386" spans="9:19" x14ac:dyDescent="0.25">
      <c r="I10386" s="1"/>
      <c r="J10386" s="71"/>
      <c r="M10386" s="46"/>
      <c r="R10386" s="51"/>
      <c r="S10386" s="51"/>
    </row>
    <row r="10387" spans="9:19" x14ac:dyDescent="0.25">
      <c r="I10387" s="1"/>
      <c r="J10387" s="71"/>
      <c r="M10387" s="46"/>
      <c r="R10387" s="51"/>
      <c r="S10387" s="51"/>
    </row>
    <row r="10388" spans="9:19" x14ac:dyDescent="0.25">
      <c r="I10388" s="1"/>
      <c r="J10388" s="71"/>
      <c r="M10388" s="46"/>
      <c r="R10388" s="51"/>
      <c r="S10388" s="51"/>
    </row>
    <row r="10389" spans="9:19" x14ac:dyDescent="0.25">
      <c r="I10389" s="1"/>
      <c r="J10389" s="71"/>
      <c r="M10389" s="46"/>
      <c r="R10389" s="51"/>
      <c r="S10389" s="51"/>
    </row>
    <row r="10390" spans="9:19" x14ac:dyDescent="0.25">
      <c r="I10390" s="1"/>
      <c r="J10390" s="71"/>
      <c r="M10390" s="46"/>
      <c r="R10390" s="51"/>
      <c r="S10390" s="51"/>
    </row>
    <row r="10391" spans="9:19" x14ac:dyDescent="0.25">
      <c r="I10391" s="1"/>
      <c r="J10391" s="71"/>
      <c r="M10391" s="46"/>
      <c r="R10391" s="51"/>
      <c r="S10391" s="51"/>
    </row>
    <row r="10392" spans="9:19" x14ac:dyDescent="0.25">
      <c r="I10392" s="1"/>
      <c r="J10392" s="71"/>
      <c r="M10392" s="46"/>
      <c r="R10392" s="51"/>
      <c r="S10392" s="51"/>
    </row>
    <row r="10393" spans="9:19" x14ac:dyDescent="0.25">
      <c r="I10393" s="1"/>
      <c r="J10393" s="71"/>
      <c r="M10393" s="46"/>
      <c r="R10393" s="51"/>
      <c r="S10393" s="51"/>
    </row>
    <row r="10394" spans="9:19" x14ac:dyDescent="0.25">
      <c r="I10394" s="1"/>
      <c r="J10394" s="71"/>
      <c r="M10394" s="46"/>
      <c r="R10394" s="51"/>
      <c r="S10394" s="51"/>
    </row>
    <row r="10395" spans="9:19" x14ac:dyDescent="0.25">
      <c r="I10395" s="1"/>
      <c r="J10395" s="71"/>
      <c r="M10395" s="46"/>
      <c r="R10395" s="51"/>
      <c r="S10395" s="51"/>
    </row>
    <row r="10396" spans="9:19" x14ac:dyDescent="0.25">
      <c r="I10396" s="1"/>
      <c r="J10396" s="71"/>
      <c r="M10396" s="46"/>
      <c r="R10396" s="51"/>
      <c r="S10396" s="51"/>
    </row>
    <row r="10397" spans="9:19" x14ac:dyDescent="0.25">
      <c r="I10397" s="1"/>
      <c r="J10397" s="71"/>
      <c r="M10397" s="46"/>
      <c r="R10397" s="51"/>
      <c r="S10397" s="51"/>
    </row>
    <row r="10398" spans="9:19" x14ac:dyDescent="0.25">
      <c r="I10398" s="1"/>
      <c r="J10398" s="71"/>
      <c r="M10398" s="46"/>
      <c r="R10398" s="51"/>
      <c r="S10398" s="51"/>
    </row>
    <row r="10399" spans="9:19" x14ac:dyDescent="0.25">
      <c r="I10399" s="1"/>
      <c r="J10399" s="71"/>
      <c r="M10399" s="46"/>
      <c r="R10399" s="51"/>
      <c r="S10399" s="51"/>
    </row>
    <row r="10400" spans="9:19" x14ac:dyDescent="0.25">
      <c r="I10400" s="1"/>
      <c r="J10400" s="71"/>
      <c r="M10400" s="46"/>
      <c r="R10400" s="51"/>
      <c r="S10400" s="51"/>
    </row>
    <row r="10401" spans="9:19" x14ac:dyDescent="0.25">
      <c r="I10401" s="1"/>
      <c r="J10401" s="71"/>
      <c r="M10401" s="46"/>
      <c r="R10401" s="51"/>
      <c r="S10401" s="51"/>
    </row>
    <row r="10402" spans="9:19" x14ac:dyDescent="0.25">
      <c r="I10402" s="1"/>
      <c r="J10402" s="71"/>
      <c r="M10402" s="46"/>
      <c r="R10402" s="51"/>
      <c r="S10402" s="51"/>
    </row>
    <row r="10403" spans="9:19" x14ac:dyDescent="0.25">
      <c r="I10403" s="1"/>
      <c r="J10403" s="71"/>
      <c r="M10403" s="46"/>
      <c r="R10403" s="51"/>
      <c r="S10403" s="51"/>
    </row>
    <row r="10404" spans="9:19" x14ac:dyDescent="0.25">
      <c r="I10404" s="1"/>
      <c r="J10404" s="71"/>
      <c r="M10404" s="46"/>
      <c r="R10404" s="51"/>
      <c r="S10404" s="51"/>
    </row>
    <row r="10405" spans="9:19" x14ac:dyDescent="0.25">
      <c r="I10405" s="1"/>
      <c r="J10405" s="71"/>
      <c r="M10405" s="46"/>
      <c r="R10405" s="51"/>
      <c r="S10405" s="51"/>
    </row>
    <row r="10406" spans="9:19" x14ac:dyDescent="0.25">
      <c r="I10406" s="1"/>
      <c r="J10406" s="71"/>
      <c r="M10406" s="46"/>
      <c r="R10406" s="51"/>
      <c r="S10406" s="51"/>
    </row>
    <row r="10407" spans="9:19" x14ac:dyDescent="0.25">
      <c r="I10407" s="1"/>
      <c r="J10407" s="71"/>
      <c r="M10407" s="46"/>
      <c r="R10407" s="51"/>
      <c r="S10407" s="51"/>
    </row>
    <row r="10408" spans="9:19" x14ac:dyDescent="0.25">
      <c r="I10408" s="1"/>
      <c r="J10408" s="71"/>
      <c r="M10408" s="46"/>
      <c r="R10408" s="51"/>
      <c r="S10408" s="51"/>
    </row>
    <row r="10409" spans="9:19" x14ac:dyDescent="0.25">
      <c r="I10409" s="1"/>
      <c r="J10409" s="71"/>
      <c r="M10409" s="46"/>
      <c r="R10409" s="51"/>
      <c r="S10409" s="51"/>
    </row>
    <row r="10410" spans="9:19" x14ac:dyDescent="0.25">
      <c r="I10410" s="1"/>
      <c r="J10410" s="71"/>
      <c r="M10410" s="46"/>
      <c r="R10410" s="51"/>
      <c r="S10410" s="51"/>
    </row>
    <row r="10411" spans="9:19" x14ac:dyDescent="0.25">
      <c r="I10411" s="1"/>
      <c r="J10411" s="71"/>
      <c r="M10411" s="46"/>
      <c r="R10411" s="51"/>
      <c r="S10411" s="51"/>
    </row>
    <row r="10412" spans="9:19" x14ac:dyDescent="0.25">
      <c r="I10412" s="1"/>
      <c r="J10412" s="71"/>
      <c r="M10412" s="46"/>
      <c r="R10412" s="51"/>
      <c r="S10412" s="51"/>
    </row>
    <row r="10413" spans="9:19" x14ac:dyDescent="0.25">
      <c r="I10413" s="1"/>
      <c r="J10413" s="71"/>
      <c r="M10413" s="46"/>
      <c r="R10413" s="51"/>
      <c r="S10413" s="51"/>
    </row>
    <row r="10414" spans="9:19" x14ac:dyDescent="0.25">
      <c r="I10414" s="1"/>
      <c r="J10414" s="71"/>
      <c r="M10414" s="46"/>
      <c r="R10414" s="51"/>
      <c r="S10414" s="51"/>
    </row>
    <row r="10415" spans="9:19" x14ac:dyDescent="0.25">
      <c r="I10415" s="1"/>
      <c r="J10415" s="71"/>
      <c r="M10415" s="46"/>
      <c r="R10415" s="51"/>
      <c r="S10415" s="51"/>
    </row>
    <row r="10416" spans="9:19" x14ac:dyDescent="0.25">
      <c r="I10416" s="1"/>
      <c r="J10416" s="71"/>
      <c r="M10416" s="46"/>
      <c r="R10416" s="51"/>
      <c r="S10416" s="51"/>
    </row>
    <row r="10417" spans="9:19" x14ac:dyDescent="0.25">
      <c r="I10417" s="1"/>
      <c r="J10417" s="71"/>
      <c r="M10417" s="46"/>
      <c r="R10417" s="51"/>
      <c r="S10417" s="51"/>
    </row>
    <row r="10418" spans="9:19" x14ac:dyDescent="0.25">
      <c r="I10418" s="1"/>
      <c r="J10418" s="71"/>
      <c r="M10418" s="46"/>
      <c r="R10418" s="51"/>
      <c r="S10418" s="51"/>
    </row>
    <row r="10419" spans="9:19" x14ac:dyDescent="0.25">
      <c r="I10419" s="1"/>
      <c r="J10419" s="71"/>
      <c r="M10419" s="46"/>
      <c r="R10419" s="51"/>
      <c r="S10419" s="51"/>
    </row>
    <row r="10420" spans="9:19" x14ac:dyDescent="0.25">
      <c r="I10420" s="1"/>
      <c r="J10420" s="71"/>
      <c r="M10420" s="46"/>
      <c r="R10420" s="51"/>
      <c r="S10420" s="51"/>
    </row>
    <row r="10421" spans="9:19" x14ac:dyDescent="0.25">
      <c r="I10421" s="1"/>
      <c r="J10421" s="71"/>
      <c r="M10421" s="46"/>
      <c r="R10421" s="51"/>
      <c r="S10421" s="51"/>
    </row>
    <row r="10422" spans="9:19" x14ac:dyDescent="0.25">
      <c r="I10422" s="1"/>
      <c r="J10422" s="71"/>
      <c r="M10422" s="46"/>
      <c r="R10422" s="51"/>
      <c r="S10422" s="51"/>
    </row>
    <row r="10423" spans="9:19" x14ac:dyDescent="0.25">
      <c r="I10423" s="1"/>
      <c r="J10423" s="71"/>
      <c r="M10423" s="46"/>
      <c r="R10423" s="51"/>
      <c r="S10423" s="51"/>
    </row>
    <row r="10424" spans="9:19" x14ac:dyDescent="0.25">
      <c r="I10424" s="1"/>
      <c r="J10424" s="71"/>
      <c r="M10424" s="46"/>
      <c r="R10424" s="51"/>
      <c r="S10424" s="51"/>
    </row>
    <row r="10425" spans="9:19" x14ac:dyDescent="0.25">
      <c r="I10425" s="1"/>
      <c r="J10425" s="71"/>
      <c r="M10425" s="46"/>
      <c r="R10425" s="51"/>
      <c r="S10425" s="51"/>
    </row>
    <row r="10426" spans="9:19" x14ac:dyDescent="0.25">
      <c r="I10426" s="1"/>
      <c r="J10426" s="71"/>
      <c r="M10426" s="46"/>
      <c r="R10426" s="51"/>
      <c r="S10426" s="51"/>
    </row>
    <row r="10427" spans="9:19" x14ac:dyDescent="0.25">
      <c r="I10427" s="1"/>
      <c r="J10427" s="71"/>
      <c r="M10427" s="46"/>
      <c r="R10427" s="51"/>
      <c r="S10427" s="51"/>
    </row>
    <row r="10428" spans="9:19" x14ac:dyDescent="0.25">
      <c r="I10428" s="1"/>
      <c r="J10428" s="71"/>
      <c r="M10428" s="46"/>
      <c r="R10428" s="51"/>
      <c r="S10428" s="51"/>
    </row>
    <row r="10429" spans="9:19" x14ac:dyDescent="0.25">
      <c r="I10429" s="1"/>
      <c r="J10429" s="71"/>
      <c r="M10429" s="46"/>
      <c r="R10429" s="51"/>
      <c r="S10429" s="51"/>
    </row>
    <row r="10430" spans="9:19" x14ac:dyDescent="0.25">
      <c r="I10430" s="1"/>
      <c r="J10430" s="71"/>
      <c r="M10430" s="46"/>
      <c r="R10430" s="51"/>
      <c r="S10430" s="51"/>
    </row>
    <row r="10431" spans="9:19" x14ac:dyDescent="0.25">
      <c r="I10431" s="1"/>
      <c r="J10431" s="71"/>
      <c r="M10431" s="46"/>
      <c r="R10431" s="51"/>
      <c r="S10431" s="51"/>
    </row>
    <row r="10432" spans="9:19" x14ac:dyDescent="0.25">
      <c r="I10432" s="1"/>
      <c r="J10432" s="71"/>
      <c r="M10432" s="46"/>
      <c r="R10432" s="51"/>
      <c r="S10432" s="51"/>
    </row>
    <row r="10433" spans="9:19" x14ac:dyDescent="0.25">
      <c r="I10433" s="1"/>
      <c r="J10433" s="71"/>
      <c r="M10433" s="46"/>
      <c r="R10433" s="51"/>
      <c r="S10433" s="51"/>
    </row>
    <row r="10434" spans="9:19" x14ac:dyDescent="0.25">
      <c r="I10434" s="1"/>
      <c r="J10434" s="71"/>
      <c r="M10434" s="46"/>
      <c r="R10434" s="51"/>
      <c r="S10434" s="51"/>
    </row>
    <row r="10435" spans="9:19" x14ac:dyDescent="0.25">
      <c r="I10435" s="1"/>
      <c r="J10435" s="71"/>
      <c r="M10435" s="46"/>
      <c r="R10435" s="51"/>
      <c r="S10435" s="51"/>
    </row>
    <row r="10436" spans="9:19" x14ac:dyDescent="0.25">
      <c r="I10436" s="1"/>
      <c r="J10436" s="71"/>
      <c r="M10436" s="46"/>
      <c r="R10436" s="51"/>
      <c r="S10436" s="51"/>
    </row>
    <row r="10437" spans="9:19" x14ac:dyDescent="0.25">
      <c r="I10437" s="1"/>
      <c r="J10437" s="71"/>
      <c r="M10437" s="46"/>
      <c r="R10437" s="51"/>
      <c r="S10437" s="51"/>
    </row>
    <row r="10438" spans="9:19" x14ac:dyDescent="0.25">
      <c r="I10438" s="1"/>
      <c r="J10438" s="71"/>
      <c r="M10438" s="46"/>
      <c r="R10438" s="51"/>
      <c r="S10438" s="51"/>
    </row>
    <row r="10439" spans="9:19" x14ac:dyDescent="0.25">
      <c r="I10439" s="1"/>
      <c r="J10439" s="71"/>
      <c r="M10439" s="46"/>
      <c r="R10439" s="51"/>
      <c r="S10439" s="51"/>
    </row>
    <row r="10440" spans="9:19" x14ac:dyDescent="0.25">
      <c r="I10440" s="1"/>
      <c r="J10440" s="71"/>
      <c r="M10440" s="46"/>
      <c r="R10440" s="51"/>
      <c r="S10440" s="51"/>
    </row>
    <row r="10441" spans="9:19" x14ac:dyDescent="0.25">
      <c r="I10441" s="1"/>
      <c r="J10441" s="71"/>
      <c r="M10441" s="46"/>
      <c r="R10441" s="51"/>
      <c r="S10441" s="51"/>
    </row>
    <row r="10442" spans="9:19" x14ac:dyDescent="0.25">
      <c r="I10442" s="1"/>
      <c r="J10442" s="71"/>
      <c r="M10442" s="46"/>
      <c r="R10442" s="51"/>
      <c r="S10442" s="51"/>
    </row>
    <row r="10443" spans="9:19" x14ac:dyDescent="0.25">
      <c r="I10443" s="1"/>
      <c r="J10443" s="71"/>
      <c r="M10443" s="46"/>
      <c r="R10443" s="51"/>
      <c r="S10443" s="51"/>
    </row>
    <row r="10444" spans="9:19" x14ac:dyDescent="0.25">
      <c r="I10444" s="1"/>
      <c r="J10444" s="71"/>
      <c r="M10444" s="46"/>
      <c r="R10444" s="51"/>
      <c r="S10444" s="51"/>
    </row>
    <row r="10445" spans="9:19" x14ac:dyDescent="0.25">
      <c r="I10445" s="1"/>
      <c r="J10445" s="71"/>
      <c r="M10445" s="46"/>
      <c r="R10445" s="51"/>
      <c r="S10445" s="51"/>
    </row>
    <row r="10446" spans="9:19" x14ac:dyDescent="0.25">
      <c r="I10446" s="1"/>
      <c r="J10446" s="71"/>
      <c r="M10446" s="46"/>
      <c r="R10446" s="51"/>
      <c r="S10446" s="51"/>
    </row>
    <row r="10447" spans="9:19" x14ac:dyDescent="0.25">
      <c r="I10447" s="1"/>
      <c r="J10447" s="71"/>
      <c r="M10447" s="46"/>
      <c r="R10447" s="51"/>
      <c r="S10447" s="51"/>
    </row>
    <row r="10448" spans="9:19" x14ac:dyDescent="0.25">
      <c r="I10448" s="1"/>
      <c r="J10448" s="71"/>
      <c r="M10448" s="46"/>
      <c r="R10448" s="51"/>
      <c r="S10448" s="51"/>
    </row>
    <row r="10449" spans="9:19" x14ac:dyDescent="0.25">
      <c r="I10449" s="1"/>
      <c r="J10449" s="71"/>
      <c r="M10449" s="46"/>
      <c r="R10449" s="51"/>
      <c r="S10449" s="51"/>
    </row>
    <row r="10450" spans="9:19" x14ac:dyDescent="0.25">
      <c r="I10450" s="1"/>
      <c r="J10450" s="71"/>
      <c r="M10450" s="46"/>
      <c r="R10450" s="51"/>
      <c r="S10450" s="51"/>
    </row>
    <row r="10451" spans="9:19" x14ac:dyDescent="0.25">
      <c r="I10451" s="1"/>
      <c r="J10451" s="71"/>
      <c r="M10451" s="46"/>
      <c r="R10451" s="51"/>
      <c r="S10451" s="51"/>
    </row>
    <row r="10452" spans="9:19" x14ac:dyDescent="0.25">
      <c r="I10452" s="1"/>
      <c r="J10452" s="71"/>
      <c r="M10452" s="46"/>
      <c r="R10452" s="51"/>
      <c r="S10452" s="51"/>
    </row>
    <row r="10453" spans="9:19" x14ac:dyDescent="0.25">
      <c r="I10453" s="1"/>
      <c r="J10453" s="71"/>
      <c r="M10453" s="46"/>
      <c r="R10453" s="51"/>
      <c r="S10453" s="51"/>
    </row>
    <row r="10454" spans="9:19" x14ac:dyDescent="0.25">
      <c r="I10454" s="1"/>
      <c r="J10454" s="71"/>
      <c r="M10454" s="46"/>
      <c r="R10454" s="51"/>
      <c r="S10454" s="51"/>
    </row>
    <row r="10455" spans="9:19" x14ac:dyDescent="0.25">
      <c r="I10455" s="1"/>
      <c r="J10455" s="71"/>
      <c r="M10455" s="46"/>
      <c r="R10455" s="51"/>
      <c r="S10455" s="51"/>
    </row>
    <row r="10456" spans="9:19" x14ac:dyDescent="0.25">
      <c r="I10456" s="1"/>
      <c r="J10456" s="71"/>
      <c r="M10456" s="46"/>
      <c r="R10456" s="51"/>
      <c r="S10456" s="51"/>
    </row>
    <row r="10457" spans="9:19" x14ac:dyDescent="0.25">
      <c r="I10457" s="1"/>
      <c r="J10457" s="71"/>
      <c r="M10457" s="46"/>
      <c r="R10457" s="51"/>
      <c r="S10457" s="51"/>
    </row>
    <row r="10458" spans="9:19" x14ac:dyDescent="0.25">
      <c r="I10458" s="1"/>
      <c r="J10458" s="71"/>
      <c r="M10458" s="46"/>
      <c r="R10458" s="51"/>
      <c r="S10458" s="51"/>
    </row>
    <row r="10459" spans="9:19" x14ac:dyDescent="0.25">
      <c r="I10459" s="1"/>
      <c r="J10459" s="71"/>
      <c r="M10459" s="46"/>
      <c r="R10459" s="51"/>
      <c r="S10459" s="51"/>
    </row>
    <row r="10460" spans="9:19" x14ac:dyDescent="0.25">
      <c r="I10460" s="1"/>
      <c r="J10460" s="71"/>
      <c r="M10460" s="46"/>
      <c r="R10460" s="51"/>
      <c r="S10460" s="51"/>
    </row>
    <row r="10461" spans="9:19" x14ac:dyDescent="0.25">
      <c r="I10461" s="1"/>
      <c r="J10461" s="71"/>
      <c r="M10461" s="46"/>
      <c r="R10461" s="51"/>
      <c r="S10461" s="51"/>
    </row>
    <row r="10462" spans="9:19" x14ac:dyDescent="0.25">
      <c r="I10462" s="1"/>
      <c r="J10462" s="71"/>
      <c r="M10462" s="46"/>
      <c r="R10462" s="51"/>
      <c r="S10462" s="51"/>
    </row>
    <row r="10463" spans="9:19" x14ac:dyDescent="0.25">
      <c r="I10463" s="1"/>
      <c r="J10463" s="71"/>
      <c r="M10463" s="46"/>
      <c r="R10463" s="51"/>
      <c r="S10463" s="51"/>
    </row>
    <row r="10464" spans="9:19" x14ac:dyDescent="0.25">
      <c r="I10464" s="1"/>
      <c r="J10464" s="71"/>
      <c r="M10464" s="46"/>
      <c r="R10464" s="51"/>
      <c r="S10464" s="51"/>
    </row>
    <row r="10465" spans="9:19" x14ac:dyDescent="0.25">
      <c r="I10465" s="1"/>
      <c r="J10465" s="71"/>
      <c r="M10465" s="46"/>
      <c r="R10465" s="51"/>
      <c r="S10465" s="51"/>
    </row>
    <row r="10466" spans="9:19" x14ac:dyDescent="0.25">
      <c r="I10466" s="1"/>
      <c r="J10466" s="71"/>
      <c r="M10466" s="46"/>
      <c r="R10466" s="51"/>
      <c r="S10466" s="51"/>
    </row>
    <row r="10467" spans="9:19" x14ac:dyDescent="0.25">
      <c r="I10467" s="1"/>
      <c r="J10467" s="71"/>
      <c r="M10467" s="46"/>
      <c r="R10467" s="51"/>
      <c r="S10467" s="51"/>
    </row>
    <row r="10468" spans="9:19" x14ac:dyDescent="0.25">
      <c r="I10468" s="1"/>
      <c r="J10468" s="71"/>
      <c r="M10468" s="46"/>
      <c r="R10468" s="51"/>
      <c r="S10468" s="51"/>
    </row>
    <row r="10469" spans="9:19" x14ac:dyDescent="0.25">
      <c r="I10469" s="1"/>
      <c r="J10469" s="71"/>
      <c r="M10469" s="46"/>
      <c r="R10469" s="51"/>
      <c r="S10469" s="51"/>
    </row>
    <row r="10470" spans="9:19" x14ac:dyDescent="0.25">
      <c r="I10470" s="1"/>
      <c r="J10470" s="71"/>
      <c r="M10470" s="46"/>
      <c r="R10470" s="51"/>
      <c r="S10470" s="51"/>
    </row>
    <row r="10471" spans="9:19" x14ac:dyDescent="0.25">
      <c r="I10471" s="1"/>
      <c r="J10471" s="71"/>
      <c r="M10471" s="46"/>
      <c r="R10471" s="51"/>
      <c r="S10471" s="51"/>
    </row>
    <row r="10472" spans="9:19" x14ac:dyDescent="0.25">
      <c r="I10472" s="1"/>
      <c r="J10472" s="71"/>
      <c r="M10472" s="46"/>
      <c r="R10472" s="51"/>
      <c r="S10472" s="51"/>
    </row>
    <row r="10473" spans="9:19" x14ac:dyDescent="0.25">
      <c r="I10473" s="1"/>
      <c r="J10473" s="71"/>
      <c r="M10473" s="46"/>
      <c r="R10473" s="51"/>
      <c r="S10473" s="51"/>
    </row>
    <row r="10474" spans="9:19" x14ac:dyDescent="0.25">
      <c r="I10474" s="1"/>
      <c r="J10474" s="71"/>
      <c r="M10474" s="46"/>
      <c r="R10474" s="51"/>
      <c r="S10474" s="51"/>
    </row>
    <row r="10475" spans="9:19" x14ac:dyDescent="0.25">
      <c r="I10475" s="1"/>
      <c r="J10475" s="71"/>
      <c r="M10475" s="46"/>
      <c r="R10475" s="51"/>
      <c r="S10475" s="51"/>
    </row>
    <row r="10476" spans="9:19" x14ac:dyDescent="0.25">
      <c r="I10476" s="1"/>
      <c r="J10476" s="71"/>
      <c r="M10476" s="46"/>
      <c r="R10476" s="51"/>
      <c r="S10476" s="51"/>
    </row>
    <row r="10477" spans="9:19" x14ac:dyDescent="0.25">
      <c r="I10477" s="1"/>
      <c r="J10477" s="71"/>
      <c r="M10477" s="46"/>
      <c r="R10477" s="51"/>
      <c r="S10477" s="51"/>
    </row>
    <row r="10478" spans="9:19" x14ac:dyDescent="0.25">
      <c r="I10478" s="1"/>
      <c r="J10478" s="71"/>
      <c r="M10478" s="46"/>
      <c r="R10478" s="51"/>
      <c r="S10478" s="51"/>
    </row>
    <row r="10479" spans="9:19" x14ac:dyDescent="0.25">
      <c r="I10479" s="1"/>
      <c r="J10479" s="71"/>
      <c r="M10479" s="46"/>
      <c r="R10479" s="51"/>
      <c r="S10479" s="51"/>
    </row>
    <row r="10480" spans="9:19" x14ac:dyDescent="0.25">
      <c r="I10480" s="1"/>
      <c r="J10480" s="71"/>
      <c r="M10480" s="46"/>
      <c r="R10480" s="51"/>
      <c r="S10480" s="51"/>
    </row>
    <row r="10481" spans="9:19" x14ac:dyDescent="0.25">
      <c r="I10481" s="1"/>
      <c r="J10481" s="71"/>
      <c r="M10481" s="46"/>
      <c r="R10481" s="51"/>
      <c r="S10481" s="51"/>
    </row>
    <row r="10482" spans="9:19" x14ac:dyDescent="0.25">
      <c r="I10482" s="1"/>
      <c r="J10482" s="71"/>
      <c r="M10482" s="46"/>
      <c r="R10482" s="51"/>
      <c r="S10482" s="51"/>
    </row>
    <row r="10483" spans="9:19" x14ac:dyDescent="0.25">
      <c r="I10483" s="1"/>
      <c r="J10483" s="71"/>
      <c r="M10483" s="46"/>
      <c r="R10483" s="51"/>
      <c r="S10483" s="51"/>
    </row>
    <row r="10484" spans="9:19" x14ac:dyDescent="0.25">
      <c r="I10484" s="1"/>
      <c r="J10484" s="71"/>
      <c r="M10484" s="46"/>
      <c r="R10484" s="51"/>
      <c r="S10484" s="51"/>
    </row>
    <row r="10485" spans="9:19" x14ac:dyDescent="0.25">
      <c r="I10485" s="1"/>
      <c r="J10485" s="71"/>
      <c r="M10485" s="46"/>
      <c r="R10485" s="51"/>
      <c r="S10485" s="51"/>
    </row>
    <row r="10486" spans="9:19" x14ac:dyDescent="0.25">
      <c r="I10486" s="1"/>
      <c r="J10486" s="71"/>
      <c r="M10486" s="46"/>
      <c r="R10486" s="51"/>
      <c r="S10486" s="51"/>
    </row>
    <row r="10487" spans="9:19" x14ac:dyDescent="0.25">
      <c r="I10487" s="1"/>
      <c r="J10487" s="71"/>
      <c r="M10487" s="46"/>
      <c r="R10487" s="51"/>
      <c r="S10487" s="51"/>
    </row>
    <row r="10488" spans="9:19" x14ac:dyDescent="0.25">
      <c r="I10488" s="1"/>
      <c r="J10488" s="71"/>
      <c r="M10488" s="46"/>
      <c r="R10488" s="51"/>
      <c r="S10488" s="51"/>
    </row>
    <row r="10489" spans="9:19" x14ac:dyDescent="0.25">
      <c r="I10489" s="1"/>
      <c r="J10489" s="71"/>
      <c r="M10489" s="46"/>
      <c r="R10489" s="51"/>
      <c r="S10489" s="51"/>
    </row>
    <row r="10490" spans="9:19" x14ac:dyDescent="0.25">
      <c r="I10490" s="1"/>
      <c r="J10490" s="71"/>
      <c r="M10490" s="46"/>
      <c r="R10490" s="51"/>
      <c r="S10490" s="51"/>
    </row>
    <row r="10491" spans="9:19" x14ac:dyDescent="0.25">
      <c r="I10491" s="1"/>
      <c r="J10491" s="71"/>
      <c r="M10491" s="46"/>
      <c r="R10491" s="51"/>
      <c r="S10491" s="51"/>
    </row>
    <row r="10492" spans="9:19" x14ac:dyDescent="0.25">
      <c r="I10492" s="1"/>
      <c r="J10492" s="71"/>
      <c r="M10492" s="46"/>
      <c r="R10492" s="51"/>
      <c r="S10492" s="51"/>
    </row>
    <row r="10493" spans="9:19" x14ac:dyDescent="0.25">
      <c r="I10493" s="1"/>
      <c r="J10493" s="71"/>
      <c r="M10493" s="46"/>
      <c r="R10493" s="51"/>
      <c r="S10493" s="51"/>
    </row>
    <row r="10494" spans="9:19" x14ac:dyDescent="0.25">
      <c r="I10494" s="1"/>
      <c r="J10494" s="71"/>
      <c r="M10494" s="46"/>
      <c r="R10494" s="51"/>
      <c r="S10494" s="51"/>
    </row>
    <row r="10495" spans="9:19" x14ac:dyDescent="0.25">
      <c r="I10495" s="1"/>
      <c r="J10495" s="71"/>
      <c r="M10495" s="46"/>
      <c r="R10495" s="51"/>
      <c r="S10495" s="51"/>
    </row>
    <row r="10496" spans="9:19" x14ac:dyDescent="0.25">
      <c r="I10496" s="1"/>
      <c r="J10496" s="71"/>
      <c r="M10496" s="46"/>
      <c r="R10496" s="51"/>
      <c r="S10496" s="51"/>
    </row>
    <row r="10497" spans="9:19" x14ac:dyDescent="0.25">
      <c r="I10497" s="1"/>
      <c r="J10497" s="71"/>
      <c r="M10497" s="46"/>
      <c r="R10497" s="51"/>
      <c r="S10497" s="51"/>
    </row>
    <row r="10498" spans="9:19" x14ac:dyDescent="0.25">
      <c r="I10498" s="1"/>
      <c r="J10498" s="71"/>
      <c r="M10498" s="46"/>
      <c r="R10498" s="51"/>
      <c r="S10498" s="51"/>
    </row>
    <row r="10499" spans="9:19" x14ac:dyDescent="0.25">
      <c r="I10499" s="1"/>
      <c r="J10499" s="71"/>
      <c r="M10499" s="46"/>
      <c r="R10499" s="51"/>
      <c r="S10499" s="51"/>
    </row>
    <row r="10500" spans="9:19" x14ac:dyDescent="0.25">
      <c r="I10500" s="1"/>
      <c r="J10500" s="71"/>
      <c r="M10500" s="46"/>
      <c r="R10500" s="51"/>
      <c r="S10500" s="51"/>
    </row>
    <row r="10501" spans="9:19" x14ac:dyDescent="0.25">
      <c r="I10501" s="1"/>
      <c r="J10501" s="71"/>
      <c r="M10501" s="46"/>
      <c r="R10501" s="51"/>
      <c r="S10501" s="51"/>
    </row>
    <row r="10502" spans="9:19" x14ac:dyDescent="0.25">
      <c r="I10502" s="1"/>
      <c r="J10502" s="71"/>
      <c r="M10502" s="46"/>
      <c r="R10502" s="51"/>
      <c r="S10502" s="51"/>
    </row>
    <row r="10503" spans="9:19" x14ac:dyDescent="0.25">
      <c r="I10503" s="1"/>
      <c r="J10503" s="71"/>
      <c r="M10503" s="46"/>
      <c r="R10503" s="51"/>
      <c r="S10503" s="51"/>
    </row>
    <row r="10504" spans="9:19" x14ac:dyDescent="0.25">
      <c r="I10504" s="1"/>
      <c r="J10504" s="71"/>
      <c r="M10504" s="46"/>
      <c r="R10504" s="51"/>
      <c r="S10504" s="51"/>
    </row>
    <row r="10505" spans="9:19" x14ac:dyDescent="0.25">
      <c r="I10505" s="1"/>
      <c r="J10505" s="71"/>
      <c r="M10505" s="46"/>
      <c r="R10505" s="51"/>
      <c r="S10505" s="51"/>
    </row>
    <row r="10506" spans="9:19" x14ac:dyDescent="0.25">
      <c r="I10506" s="1"/>
      <c r="J10506" s="71"/>
      <c r="M10506" s="46"/>
      <c r="R10506" s="51"/>
      <c r="S10506" s="51"/>
    </row>
    <row r="10507" spans="9:19" x14ac:dyDescent="0.25">
      <c r="I10507" s="1"/>
      <c r="J10507" s="71"/>
      <c r="M10507" s="46"/>
      <c r="R10507" s="51"/>
      <c r="S10507" s="51"/>
    </row>
    <row r="10508" spans="9:19" x14ac:dyDescent="0.25">
      <c r="I10508" s="1"/>
      <c r="J10508" s="71"/>
      <c r="M10508" s="46"/>
      <c r="R10508" s="51"/>
      <c r="S10508" s="51"/>
    </row>
    <row r="10509" spans="9:19" x14ac:dyDescent="0.25">
      <c r="I10509" s="1"/>
      <c r="J10509" s="71"/>
      <c r="M10509" s="46"/>
      <c r="R10509" s="51"/>
      <c r="S10509" s="51"/>
    </row>
    <row r="10510" spans="9:19" x14ac:dyDescent="0.25">
      <c r="I10510" s="1"/>
      <c r="J10510" s="71"/>
      <c r="M10510" s="46"/>
      <c r="R10510" s="51"/>
      <c r="S10510" s="51"/>
    </row>
    <row r="10511" spans="9:19" x14ac:dyDescent="0.25">
      <c r="I10511" s="1"/>
      <c r="J10511" s="71"/>
      <c r="M10511" s="46"/>
      <c r="R10511" s="51"/>
      <c r="S10511" s="51"/>
    </row>
    <row r="10512" spans="9:19" x14ac:dyDescent="0.25">
      <c r="I10512" s="1"/>
      <c r="J10512" s="71"/>
      <c r="M10512" s="46"/>
      <c r="R10512" s="51"/>
      <c r="S10512" s="51"/>
    </row>
    <row r="10513" spans="9:19" x14ac:dyDescent="0.25">
      <c r="I10513" s="1"/>
      <c r="J10513" s="71"/>
      <c r="M10513" s="46"/>
      <c r="R10513" s="51"/>
      <c r="S10513" s="51"/>
    </row>
    <row r="10514" spans="9:19" x14ac:dyDescent="0.25">
      <c r="I10514" s="1"/>
      <c r="J10514" s="71"/>
      <c r="M10514" s="46"/>
      <c r="R10514" s="51"/>
      <c r="S10514" s="51"/>
    </row>
    <row r="10515" spans="9:19" x14ac:dyDescent="0.25">
      <c r="I10515" s="1"/>
      <c r="J10515" s="71"/>
      <c r="M10515" s="46"/>
      <c r="R10515" s="51"/>
      <c r="S10515" s="51"/>
    </row>
    <row r="10516" spans="9:19" x14ac:dyDescent="0.25">
      <c r="I10516" s="1"/>
      <c r="J10516" s="71"/>
      <c r="M10516" s="46"/>
      <c r="R10516" s="51"/>
      <c r="S10516" s="51"/>
    </row>
    <row r="10517" spans="9:19" x14ac:dyDescent="0.25">
      <c r="I10517" s="1"/>
      <c r="J10517" s="71"/>
      <c r="M10517" s="46"/>
      <c r="R10517" s="51"/>
      <c r="S10517" s="51"/>
    </row>
    <row r="10518" spans="9:19" x14ac:dyDescent="0.25">
      <c r="I10518" s="1"/>
      <c r="J10518" s="71"/>
      <c r="M10518" s="46"/>
      <c r="R10518" s="51"/>
      <c r="S10518" s="51"/>
    </row>
    <row r="10519" spans="9:19" x14ac:dyDescent="0.25">
      <c r="I10519" s="1"/>
      <c r="J10519" s="71"/>
      <c r="M10519" s="46"/>
      <c r="R10519" s="51"/>
      <c r="S10519" s="51"/>
    </row>
    <row r="10520" spans="9:19" x14ac:dyDescent="0.25">
      <c r="I10520" s="1"/>
      <c r="J10520" s="71"/>
      <c r="M10520" s="46"/>
      <c r="R10520" s="51"/>
      <c r="S10520" s="51"/>
    </row>
    <row r="10521" spans="9:19" x14ac:dyDescent="0.25">
      <c r="I10521" s="1"/>
      <c r="J10521" s="71"/>
      <c r="M10521" s="46"/>
      <c r="R10521" s="51"/>
      <c r="S10521" s="51"/>
    </row>
    <row r="10522" spans="9:19" x14ac:dyDescent="0.25">
      <c r="I10522" s="1"/>
      <c r="J10522" s="71"/>
      <c r="M10522" s="46"/>
      <c r="R10522" s="51"/>
      <c r="S10522" s="51"/>
    </row>
    <row r="10523" spans="9:19" x14ac:dyDescent="0.25">
      <c r="I10523" s="1"/>
      <c r="J10523" s="71"/>
      <c r="M10523" s="46"/>
      <c r="R10523" s="51"/>
      <c r="S10523" s="51"/>
    </row>
    <row r="10524" spans="9:19" x14ac:dyDescent="0.25">
      <c r="I10524" s="1"/>
      <c r="J10524" s="71"/>
      <c r="M10524" s="46"/>
      <c r="R10524" s="51"/>
      <c r="S10524" s="51"/>
    </row>
    <row r="10525" spans="9:19" x14ac:dyDescent="0.25">
      <c r="I10525" s="1"/>
      <c r="J10525" s="71"/>
      <c r="M10525" s="46"/>
      <c r="R10525" s="51"/>
      <c r="S10525" s="51"/>
    </row>
    <row r="10526" spans="9:19" x14ac:dyDescent="0.25">
      <c r="I10526" s="1"/>
      <c r="J10526" s="71"/>
      <c r="M10526" s="46"/>
      <c r="R10526" s="51"/>
      <c r="S10526" s="51"/>
    </row>
    <row r="10527" spans="9:19" x14ac:dyDescent="0.25">
      <c r="I10527" s="1"/>
      <c r="J10527" s="71"/>
      <c r="M10527" s="46"/>
      <c r="R10527" s="51"/>
      <c r="S10527" s="51"/>
    </row>
    <row r="10528" spans="9:19" x14ac:dyDescent="0.25">
      <c r="I10528" s="1"/>
      <c r="J10528" s="71"/>
      <c r="M10528" s="46"/>
      <c r="R10528" s="51"/>
      <c r="S10528" s="51"/>
    </row>
    <row r="10529" spans="9:19" x14ac:dyDescent="0.25">
      <c r="I10529" s="1"/>
      <c r="J10529" s="71"/>
      <c r="M10529" s="46"/>
      <c r="R10529" s="51"/>
      <c r="S10529" s="51"/>
    </row>
    <row r="10530" spans="9:19" x14ac:dyDescent="0.25">
      <c r="I10530" s="1"/>
      <c r="J10530" s="71"/>
      <c r="M10530" s="46"/>
      <c r="R10530" s="51"/>
      <c r="S10530" s="51"/>
    </row>
    <row r="10531" spans="9:19" x14ac:dyDescent="0.25">
      <c r="I10531" s="1"/>
      <c r="J10531" s="71"/>
      <c r="M10531" s="46"/>
      <c r="R10531" s="51"/>
      <c r="S10531" s="51"/>
    </row>
    <row r="10532" spans="9:19" x14ac:dyDescent="0.25">
      <c r="I10532" s="1"/>
      <c r="J10532" s="71"/>
      <c r="M10532" s="46"/>
      <c r="R10532" s="51"/>
      <c r="S10532" s="51"/>
    </row>
    <row r="10533" spans="9:19" x14ac:dyDescent="0.25">
      <c r="I10533" s="1"/>
      <c r="J10533" s="71"/>
      <c r="M10533" s="46"/>
      <c r="R10533" s="51"/>
      <c r="S10533" s="51"/>
    </row>
    <row r="10534" spans="9:19" x14ac:dyDescent="0.25">
      <c r="I10534" s="1"/>
      <c r="J10534" s="71"/>
      <c r="M10534" s="46"/>
      <c r="R10534" s="51"/>
      <c r="S10534" s="51"/>
    </row>
    <row r="10535" spans="9:19" x14ac:dyDescent="0.25">
      <c r="I10535" s="1"/>
      <c r="J10535" s="71"/>
      <c r="M10535" s="46"/>
      <c r="R10535" s="51"/>
      <c r="S10535" s="51"/>
    </row>
    <row r="10536" spans="9:19" x14ac:dyDescent="0.25">
      <c r="I10536" s="1"/>
      <c r="J10536" s="71"/>
      <c r="M10536" s="46"/>
      <c r="R10536" s="51"/>
      <c r="S10536" s="51"/>
    </row>
    <row r="10537" spans="9:19" x14ac:dyDescent="0.25">
      <c r="I10537" s="1"/>
      <c r="J10537" s="71"/>
      <c r="M10537" s="46"/>
      <c r="R10537" s="51"/>
      <c r="S10537" s="51"/>
    </row>
    <row r="10538" spans="9:19" x14ac:dyDescent="0.25">
      <c r="I10538" s="1"/>
      <c r="J10538" s="71"/>
      <c r="M10538" s="46"/>
      <c r="R10538" s="51"/>
      <c r="S10538" s="51"/>
    </row>
    <row r="10539" spans="9:19" x14ac:dyDescent="0.25">
      <c r="I10539" s="1"/>
      <c r="J10539" s="71"/>
      <c r="M10539" s="46"/>
      <c r="R10539" s="51"/>
      <c r="S10539" s="51"/>
    </row>
    <row r="10540" spans="9:19" x14ac:dyDescent="0.25">
      <c r="I10540" s="1"/>
      <c r="J10540" s="71"/>
      <c r="M10540" s="46"/>
      <c r="R10540" s="51"/>
      <c r="S10540" s="51"/>
    </row>
    <row r="10541" spans="9:19" x14ac:dyDescent="0.25">
      <c r="I10541" s="1"/>
      <c r="J10541" s="71"/>
      <c r="M10541" s="46"/>
      <c r="R10541" s="51"/>
      <c r="S10541" s="51"/>
    </row>
    <row r="10542" spans="9:19" x14ac:dyDescent="0.25">
      <c r="I10542" s="1"/>
      <c r="J10542" s="71"/>
      <c r="M10542" s="46"/>
      <c r="R10542" s="51"/>
      <c r="S10542" s="51"/>
    </row>
    <row r="10543" spans="9:19" x14ac:dyDescent="0.25">
      <c r="I10543" s="1"/>
      <c r="J10543" s="71"/>
      <c r="M10543" s="46"/>
      <c r="R10543" s="51"/>
      <c r="S10543" s="51"/>
    </row>
    <row r="10544" spans="9:19" x14ac:dyDescent="0.25">
      <c r="I10544" s="1"/>
      <c r="J10544" s="71"/>
      <c r="M10544" s="46"/>
      <c r="R10544" s="51"/>
      <c r="S10544" s="51"/>
    </row>
    <row r="10545" spans="9:19" x14ac:dyDescent="0.25">
      <c r="I10545" s="1"/>
      <c r="J10545" s="71"/>
      <c r="M10545" s="46"/>
      <c r="R10545" s="51"/>
      <c r="S10545" s="51"/>
    </row>
    <row r="10546" spans="9:19" x14ac:dyDescent="0.25">
      <c r="I10546" s="1"/>
      <c r="J10546" s="71"/>
      <c r="M10546" s="46"/>
      <c r="R10546" s="51"/>
      <c r="S10546" s="51"/>
    </row>
    <row r="10547" spans="9:19" x14ac:dyDescent="0.25">
      <c r="I10547" s="1"/>
      <c r="J10547" s="71"/>
      <c r="M10547" s="46"/>
      <c r="R10547" s="51"/>
      <c r="S10547" s="51"/>
    </row>
    <row r="10548" spans="9:19" x14ac:dyDescent="0.25">
      <c r="I10548" s="1"/>
      <c r="J10548" s="71"/>
      <c r="M10548" s="46"/>
      <c r="R10548" s="51"/>
      <c r="S10548" s="51"/>
    </row>
    <row r="10549" spans="9:19" x14ac:dyDescent="0.25">
      <c r="I10549" s="1"/>
      <c r="J10549" s="71"/>
      <c r="M10549" s="46"/>
      <c r="R10549" s="51"/>
      <c r="S10549" s="51"/>
    </row>
    <row r="10550" spans="9:19" x14ac:dyDescent="0.25">
      <c r="I10550" s="1"/>
      <c r="J10550" s="71"/>
      <c r="M10550" s="46"/>
      <c r="R10550" s="51"/>
      <c r="S10550" s="51"/>
    </row>
    <row r="10551" spans="9:19" x14ac:dyDescent="0.25">
      <c r="I10551" s="1"/>
      <c r="J10551" s="71"/>
      <c r="M10551" s="46"/>
      <c r="R10551" s="51"/>
      <c r="S10551" s="51"/>
    </row>
    <row r="10552" spans="9:19" x14ac:dyDescent="0.25">
      <c r="I10552" s="1"/>
      <c r="J10552" s="71"/>
      <c r="M10552" s="46"/>
      <c r="R10552" s="51"/>
      <c r="S10552" s="51"/>
    </row>
    <row r="10553" spans="9:19" x14ac:dyDescent="0.25">
      <c r="I10553" s="1"/>
      <c r="J10553" s="71"/>
      <c r="M10553" s="46"/>
      <c r="R10553" s="51"/>
      <c r="S10553" s="51"/>
    </row>
    <row r="10554" spans="9:19" x14ac:dyDescent="0.25">
      <c r="I10554" s="1"/>
      <c r="J10554" s="71"/>
      <c r="M10554" s="46"/>
      <c r="R10554" s="51"/>
      <c r="S10554" s="51"/>
    </row>
    <row r="10555" spans="9:19" x14ac:dyDescent="0.25">
      <c r="I10555" s="1"/>
      <c r="J10555" s="71"/>
      <c r="M10555" s="46"/>
      <c r="R10555" s="51"/>
      <c r="S10555" s="51"/>
    </row>
    <row r="10556" spans="9:19" x14ac:dyDescent="0.25">
      <c r="I10556" s="1"/>
      <c r="J10556" s="71"/>
      <c r="M10556" s="46"/>
      <c r="R10556" s="51"/>
      <c r="S10556" s="51"/>
    </row>
    <row r="10557" spans="9:19" x14ac:dyDescent="0.25">
      <c r="I10557" s="1"/>
      <c r="J10557" s="71"/>
      <c r="M10557" s="46"/>
      <c r="R10557" s="51"/>
      <c r="S10557" s="51"/>
    </row>
    <row r="10558" spans="9:19" x14ac:dyDescent="0.25">
      <c r="I10558" s="1"/>
      <c r="J10558" s="71"/>
      <c r="M10558" s="46"/>
      <c r="R10558" s="51"/>
      <c r="S10558" s="51"/>
    </row>
    <row r="10559" spans="9:19" x14ac:dyDescent="0.25">
      <c r="I10559" s="1"/>
      <c r="J10559" s="71"/>
      <c r="M10559" s="46"/>
      <c r="R10559" s="51"/>
      <c r="S10559" s="51"/>
    </row>
    <row r="10560" spans="9:19" x14ac:dyDescent="0.25">
      <c r="I10560" s="1"/>
      <c r="J10560" s="71"/>
      <c r="M10560" s="46"/>
      <c r="R10560" s="51"/>
      <c r="S10560" s="51"/>
    </row>
    <row r="10561" spans="9:19" x14ac:dyDescent="0.25">
      <c r="I10561" s="1"/>
      <c r="J10561" s="71"/>
      <c r="M10561" s="46"/>
      <c r="R10561" s="51"/>
      <c r="S10561" s="51"/>
    </row>
    <row r="10562" spans="9:19" x14ac:dyDescent="0.25">
      <c r="I10562" s="1"/>
      <c r="J10562" s="71"/>
      <c r="M10562" s="46"/>
      <c r="R10562" s="51"/>
      <c r="S10562" s="51"/>
    </row>
    <row r="10563" spans="9:19" x14ac:dyDescent="0.25">
      <c r="I10563" s="1"/>
      <c r="J10563" s="71"/>
      <c r="M10563" s="46"/>
      <c r="R10563" s="51"/>
      <c r="S10563" s="51"/>
    </row>
    <row r="10564" spans="9:19" x14ac:dyDescent="0.25">
      <c r="I10564" s="1"/>
      <c r="J10564" s="71"/>
      <c r="M10564" s="46"/>
      <c r="R10564" s="51"/>
      <c r="S10564" s="51"/>
    </row>
    <row r="10565" spans="9:19" x14ac:dyDescent="0.25">
      <c r="I10565" s="1"/>
      <c r="J10565" s="71"/>
      <c r="M10565" s="46"/>
      <c r="R10565" s="51"/>
      <c r="S10565" s="51"/>
    </row>
    <row r="10566" spans="9:19" x14ac:dyDescent="0.25">
      <c r="I10566" s="1"/>
      <c r="J10566" s="71"/>
      <c r="M10566" s="46"/>
      <c r="R10566" s="51"/>
      <c r="S10566" s="51"/>
    </row>
    <row r="10567" spans="9:19" x14ac:dyDescent="0.25">
      <c r="I10567" s="1"/>
      <c r="J10567" s="71"/>
      <c r="M10567" s="46"/>
      <c r="R10567" s="51"/>
      <c r="S10567" s="51"/>
    </row>
    <row r="10568" spans="9:19" x14ac:dyDescent="0.25">
      <c r="I10568" s="1"/>
      <c r="J10568" s="71"/>
      <c r="M10568" s="46"/>
      <c r="R10568" s="51"/>
      <c r="S10568" s="51"/>
    </row>
    <row r="10569" spans="9:19" x14ac:dyDescent="0.25">
      <c r="I10569" s="1"/>
      <c r="J10569" s="71"/>
      <c r="M10569" s="46"/>
      <c r="R10569" s="51"/>
      <c r="S10569" s="51"/>
    </row>
    <row r="10570" spans="9:19" x14ac:dyDescent="0.25">
      <c r="I10570" s="1"/>
      <c r="J10570" s="71"/>
      <c r="M10570" s="46"/>
      <c r="R10570" s="51"/>
      <c r="S10570" s="51"/>
    </row>
    <row r="10571" spans="9:19" x14ac:dyDescent="0.25">
      <c r="I10571" s="1"/>
      <c r="J10571" s="71"/>
      <c r="M10571" s="46"/>
      <c r="R10571" s="51"/>
      <c r="S10571" s="51"/>
    </row>
    <row r="10572" spans="9:19" x14ac:dyDescent="0.25">
      <c r="I10572" s="1"/>
      <c r="J10572" s="71"/>
      <c r="M10572" s="46"/>
      <c r="R10572" s="51"/>
      <c r="S10572" s="51"/>
    </row>
    <row r="10573" spans="9:19" x14ac:dyDescent="0.25">
      <c r="I10573" s="1"/>
      <c r="J10573" s="71"/>
      <c r="M10573" s="46"/>
      <c r="R10573" s="51"/>
      <c r="S10573" s="51"/>
    </row>
    <row r="10574" spans="9:19" x14ac:dyDescent="0.25">
      <c r="I10574" s="1"/>
      <c r="J10574" s="71"/>
      <c r="M10574" s="46"/>
      <c r="R10574" s="51"/>
      <c r="S10574" s="51"/>
    </row>
    <row r="10575" spans="9:19" x14ac:dyDescent="0.25">
      <c r="I10575" s="1"/>
      <c r="J10575" s="71"/>
      <c r="M10575" s="46"/>
      <c r="R10575" s="51"/>
      <c r="S10575" s="51"/>
    </row>
    <row r="10576" spans="9:19" x14ac:dyDescent="0.25">
      <c r="I10576" s="1"/>
      <c r="J10576" s="71"/>
      <c r="M10576" s="46"/>
      <c r="R10576" s="51"/>
      <c r="S10576" s="51"/>
    </row>
    <row r="10577" spans="9:19" x14ac:dyDescent="0.25">
      <c r="I10577" s="1"/>
      <c r="J10577" s="71"/>
      <c r="M10577" s="46"/>
      <c r="R10577" s="51"/>
      <c r="S10577" s="51"/>
    </row>
    <row r="10578" spans="9:19" x14ac:dyDescent="0.25">
      <c r="I10578" s="1"/>
      <c r="J10578" s="71"/>
      <c r="M10578" s="46"/>
      <c r="R10578" s="51"/>
      <c r="S10578" s="51"/>
    </row>
    <row r="10579" spans="9:19" x14ac:dyDescent="0.25">
      <c r="I10579" s="1"/>
      <c r="J10579" s="71"/>
      <c r="M10579" s="46"/>
      <c r="R10579" s="51"/>
      <c r="S10579" s="51"/>
    </row>
    <row r="10580" spans="9:19" x14ac:dyDescent="0.25">
      <c r="I10580" s="1"/>
      <c r="J10580" s="71"/>
      <c r="M10580" s="46"/>
      <c r="R10580" s="51"/>
      <c r="S10580" s="51"/>
    </row>
    <row r="10581" spans="9:19" x14ac:dyDescent="0.25">
      <c r="I10581" s="1"/>
      <c r="J10581" s="71"/>
      <c r="M10581" s="46"/>
      <c r="R10581" s="51"/>
      <c r="S10581" s="51"/>
    </row>
    <row r="10582" spans="9:19" x14ac:dyDescent="0.25">
      <c r="I10582" s="1"/>
      <c r="J10582" s="71"/>
      <c r="M10582" s="46"/>
      <c r="R10582" s="51"/>
      <c r="S10582" s="51"/>
    </row>
    <row r="10583" spans="9:19" x14ac:dyDescent="0.25">
      <c r="I10583" s="1"/>
      <c r="J10583" s="71"/>
      <c r="M10583" s="46"/>
      <c r="R10583" s="51"/>
      <c r="S10583" s="51"/>
    </row>
    <row r="10584" spans="9:19" x14ac:dyDescent="0.25">
      <c r="I10584" s="1"/>
      <c r="J10584" s="71"/>
      <c r="M10584" s="46"/>
      <c r="R10584" s="51"/>
      <c r="S10584" s="51"/>
    </row>
    <row r="10585" spans="9:19" x14ac:dyDescent="0.25">
      <c r="I10585" s="1"/>
      <c r="J10585" s="71"/>
      <c r="M10585" s="46"/>
      <c r="R10585" s="51"/>
      <c r="S10585" s="51"/>
    </row>
    <row r="10586" spans="9:19" x14ac:dyDescent="0.25">
      <c r="I10586" s="1"/>
      <c r="J10586" s="71"/>
      <c r="M10586" s="46"/>
      <c r="R10586" s="51"/>
      <c r="S10586" s="51"/>
    </row>
    <row r="10587" spans="9:19" x14ac:dyDescent="0.25">
      <c r="I10587" s="1"/>
      <c r="J10587" s="71"/>
      <c r="M10587" s="46"/>
      <c r="R10587" s="51"/>
      <c r="S10587" s="51"/>
    </row>
    <row r="10588" spans="9:19" x14ac:dyDescent="0.25">
      <c r="I10588" s="1"/>
      <c r="J10588" s="71"/>
      <c r="M10588" s="46"/>
      <c r="R10588" s="51"/>
      <c r="S10588" s="51"/>
    </row>
    <row r="10589" spans="9:19" x14ac:dyDescent="0.25">
      <c r="I10589" s="1"/>
      <c r="J10589" s="71"/>
      <c r="M10589" s="46"/>
      <c r="R10589" s="51"/>
      <c r="S10589" s="51"/>
    </row>
    <row r="10590" spans="9:19" x14ac:dyDescent="0.25">
      <c r="I10590" s="1"/>
      <c r="J10590" s="71"/>
      <c r="M10590" s="46"/>
      <c r="R10590" s="51"/>
      <c r="S10590" s="51"/>
    </row>
    <row r="10591" spans="9:19" x14ac:dyDescent="0.25">
      <c r="I10591" s="1"/>
      <c r="J10591" s="71"/>
      <c r="M10591" s="46"/>
      <c r="R10591" s="51"/>
      <c r="S10591" s="51"/>
    </row>
    <row r="10592" spans="9:19" x14ac:dyDescent="0.25">
      <c r="I10592" s="1"/>
      <c r="J10592" s="71"/>
      <c r="M10592" s="46"/>
      <c r="R10592" s="51"/>
      <c r="S10592" s="51"/>
    </row>
    <row r="10593" spans="9:19" x14ac:dyDescent="0.25">
      <c r="I10593" s="1"/>
      <c r="J10593" s="71"/>
      <c r="M10593" s="46"/>
      <c r="R10593" s="51"/>
      <c r="S10593" s="51"/>
    </row>
    <row r="10594" spans="9:19" x14ac:dyDescent="0.25">
      <c r="I10594" s="1"/>
      <c r="J10594" s="71"/>
      <c r="M10594" s="46"/>
      <c r="R10594" s="51"/>
      <c r="S10594" s="51"/>
    </row>
    <row r="10595" spans="9:19" x14ac:dyDescent="0.25">
      <c r="I10595" s="1"/>
      <c r="J10595" s="71"/>
      <c r="M10595" s="46"/>
      <c r="R10595" s="51"/>
      <c r="S10595" s="51"/>
    </row>
    <row r="10596" spans="9:19" x14ac:dyDescent="0.25">
      <c r="I10596" s="1"/>
      <c r="J10596" s="71"/>
      <c r="M10596" s="46"/>
      <c r="R10596" s="51"/>
      <c r="S10596" s="51"/>
    </row>
    <row r="10597" spans="9:19" x14ac:dyDescent="0.25">
      <c r="I10597" s="1"/>
      <c r="J10597" s="71"/>
      <c r="M10597" s="46"/>
      <c r="R10597" s="51"/>
      <c r="S10597" s="51"/>
    </row>
    <row r="10598" spans="9:19" x14ac:dyDescent="0.25">
      <c r="I10598" s="1"/>
      <c r="J10598" s="71"/>
      <c r="M10598" s="46"/>
      <c r="R10598" s="51"/>
      <c r="S10598" s="51"/>
    </row>
    <row r="10599" spans="9:19" x14ac:dyDescent="0.25">
      <c r="I10599" s="1"/>
      <c r="J10599" s="71"/>
      <c r="M10599" s="46"/>
      <c r="R10599" s="51"/>
      <c r="S10599" s="51"/>
    </row>
    <row r="10600" spans="9:19" x14ac:dyDescent="0.25">
      <c r="I10600" s="1"/>
      <c r="J10600" s="71"/>
      <c r="M10600" s="46"/>
      <c r="R10600" s="51"/>
      <c r="S10600" s="51"/>
    </row>
    <row r="10601" spans="9:19" x14ac:dyDescent="0.25">
      <c r="I10601" s="1"/>
      <c r="J10601" s="71"/>
      <c r="M10601" s="46"/>
      <c r="R10601" s="51"/>
      <c r="S10601" s="51"/>
    </row>
    <row r="10602" spans="9:19" x14ac:dyDescent="0.25">
      <c r="I10602" s="1"/>
      <c r="J10602" s="71"/>
      <c r="M10602" s="46"/>
      <c r="R10602" s="51"/>
      <c r="S10602" s="51"/>
    </row>
    <row r="10603" spans="9:19" x14ac:dyDescent="0.25">
      <c r="I10603" s="1"/>
      <c r="J10603" s="71"/>
      <c r="M10603" s="46"/>
      <c r="R10603" s="51"/>
      <c r="S10603" s="51"/>
    </row>
    <row r="10604" spans="9:19" x14ac:dyDescent="0.25">
      <c r="I10604" s="1"/>
      <c r="J10604" s="71"/>
      <c r="M10604" s="46"/>
      <c r="R10604" s="51"/>
      <c r="S10604" s="51"/>
    </row>
    <row r="10605" spans="9:19" x14ac:dyDescent="0.25">
      <c r="I10605" s="1"/>
      <c r="J10605" s="71"/>
      <c r="M10605" s="46"/>
      <c r="R10605" s="51"/>
      <c r="S10605" s="51"/>
    </row>
    <row r="10606" spans="9:19" x14ac:dyDescent="0.25">
      <c r="I10606" s="1"/>
      <c r="J10606" s="71"/>
      <c r="M10606" s="46"/>
      <c r="R10606" s="51"/>
      <c r="S10606" s="51"/>
    </row>
    <row r="10607" spans="9:19" x14ac:dyDescent="0.25">
      <c r="I10607" s="1"/>
      <c r="J10607" s="71"/>
      <c r="M10607" s="46"/>
      <c r="R10607" s="51"/>
      <c r="S10607" s="51"/>
    </row>
    <row r="10608" spans="9:19" x14ac:dyDescent="0.25">
      <c r="I10608" s="1"/>
      <c r="J10608" s="71"/>
      <c r="M10608" s="46"/>
      <c r="R10608" s="51"/>
      <c r="S10608" s="51"/>
    </row>
    <row r="10609" spans="9:19" x14ac:dyDescent="0.25">
      <c r="I10609" s="1"/>
      <c r="J10609" s="71"/>
      <c r="M10609" s="46"/>
      <c r="R10609" s="51"/>
      <c r="S10609" s="51"/>
    </row>
    <row r="10610" spans="9:19" x14ac:dyDescent="0.25">
      <c r="I10610" s="1"/>
      <c r="J10610" s="71"/>
      <c r="M10610" s="46"/>
      <c r="R10610" s="51"/>
      <c r="S10610" s="51"/>
    </row>
    <row r="10611" spans="9:19" x14ac:dyDescent="0.25">
      <c r="I10611" s="1"/>
      <c r="J10611" s="71"/>
      <c r="M10611" s="46"/>
      <c r="R10611" s="51"/>
      <c r="S10611" s="51"/>
    </row>
    <row r="10612" spans="9:19" x14ac:dyDescent="0.25">
      <c r="I10612" s="1"/>
      <c r="J10612" s="71"/>
      <c r="M10612" s="46"/>
      <c r="R10612" s="51"/>
      <c r="S10612" s="51"/>
    </row>
    <row r="10613" spans="9:19" x14ac:dyDescent="0.25">
      <c r="I10613" s="1"/>
      <c r="J10613" s="71"/>
      <c r="M10613" s="46"/>
      <c r="R10613" s="51"/>
      <c r="S10613" s="51"/>
    </row>
    <row r="10614" spans="9:19" x14ac:dyDescent="0.25">
      <c r="I10614" s="1"/>
      <c r="J10614" s="71"/>
      <c r="M10614" s="46"/>
      <c r="R10614" s="51"/>
      <c r="S10614" s="51"/>
    </row>
    <row r="10615" spans="9:19" x14ac:dyDescent="0.25">
      <c r="I10615" s="1"/>
      <c r="J10615" s="71"/>
      <c r="M10615" s="46"/>
      <c r="R10615" s="51"/>
      <c r="S10615" s="51"/>
    </row>
    <row r="10616" spans="9:19" x14ac:dyDescent="0.25">
      <c r="I10616" s="1"/>
      <c r="J10616" s="71"/>
      <c r="M10616" s="46"/>
      <c r="R10616" s="51"/>
      <c r="S10616" s="51"/>
    </row>
    <row r="10617" spans="9:19" x14ac:dyDescent="0.25">
      <c r="I10617" s="1"/>
      <c r="J10617" s="71"/>
      <c r="M10617" s="46"/>
      <c r="R10617" s="51"/>
      <c r="S10617" s="51"/>
    </row>
    <row r="10618" spans="9:19" x14ac:dyDescent="0.25">
      <c r="I10618" s="1"/>
      <c r="J10618" s="71"/>
      <c r="M10618" s="46"/>
      <c r="R10618" s="51"/>
      <c r="S10618" s="51"/>
    </row>
    <row r="10619" spans="9:19" x14ac:dyDescent="0.25">
      <c r="I10619" s="1"/>
      <c r="J10619" s="71"/>
      <c r="M10619" s="46"/>
      <c r="R10619" s="51"/>
      <c r="S10619" s="51"/>
    </row>
    <row r="10620" spans="9:19" x14ac:dyDescent="0.25">
      <c r="I10620" s="1"/>
      <c r="J10620" s="71"/>
      <c r="M10620" s="46"/>
      <c r="R10620" s="51"/>
      <c r="S10620" s="51"/>
    </row>
    <row r="10621" spans="9:19" x14ac:dyDescent="0.25">
      <c r="I10621" s="1"/>
      <c r="J10621" s="71"/>
      <c r="M10621" s="46"/>
      <c r="R10621" s="51"/>
      <c r="S10621" s="51"/>
    </row>
    <row r="10622" spans="9:19" x14ac:dyDescent="0.25">
      <c r="I10622" s="1"/>
      <c r="J10622" s="71"/>
      <c r="M10622" s="46"/>
      <c r="R10622" s="51"/>
      <c r="S10622" s="51"/>
    </row>
    <row r="10623" spans="9:19" x14ac:dyDescent="0.25">
      <c r="I10623" s="1"/>
      <c r="J10623" s="71"/>
      <c r="M10623" s="46"/>
      <c r="R10623" s="51"/>
      <c r="S10623" s="51"/>
    </row>
    <row r="10624" spans="9:19" x14ac:dyDescent="0.25">
      <c r="I10624" s="1"/>
      <c r="J10624" s="71"/>
      <c r="M10624" s="46"/>
      <c r="R10624" s="51"/>
      <c r="S10624" s="51"/>
    </row>
    <row r="10625" spans="9:19" x14ac:dyDescent="0.25">
      <c r="I10625" s="1"/>
      <c r="J10625" s="71"/>
      <c r="M10625" s="46"/>
      <c r="R10625" s="51"/>
      <c r="S10625" s="51"/>
    </row>
    <row r="10626" spans="9:19" x14ac:dyDescent="0.25">
      <c r="I10626" s="1"/>
      <c r="J10626" s="71"/>
      <c r="M10626" s="46"/>
      <c r="R10626" s="51"/>
      <c r="S10626" s="51"/>
    </row>
    <row r="10627" spans="9:19" x14ac:dyDescent="0.25">
      <c r="I10627" s="1"/>
      <c r="J10627" s="71"/>
      <c r="M10627" s="46"/>
      <c r="R10627" s="51"/>
      <c r="S10627" s="51"/>
    </row>
    <row r="10628" spans="9:19" x14ac:dyDescent="0.25">
      <c r="I10628" s="1"/>
      <c r="J10628" s="71"/>
      <c r="M10628" s="46"/>
      <c r="R10628" s="51"/>
      <c r="S10628" s="51"/>
    </row>
    <row r="10629" spans="9:19" x14ac:dyDescent="0.25">
      <c r="I10629" s="1"/>
      <c r="J10629" s="71"/>
      <c r="M10629" s="46"/>
      <c r="R10629" s="51"/>
      <c r="S10629" s="51"/>
    </row>
    <row r="10630" spans="9:19" x14ac:dyDescent="0.25">
      <c r="I10630" s="1"/>
      <c r="J10630" s="71"/>
      <c r="M10630" s="46"/>
      <c r="R10630" s="51"/>
      <c r="S10630" s="51"/>
    </row>
    <row r="10631" spans="9:19" x14ac:dyDescent="0.25">
      <c r="I10631" s="1"/>
      <c r="J10631" s="71"/>
      <c r="M10631" s="46"/>
      <c r="R10631" s="51"/>
      <c r="S10631" s="51"/>
    </row>
    <row r="10632" spans="9:19" x14ac:dyDescent="0.25">
      <c r="I10632" s="1"/>
      <c r="J10632" s="71"/>
      <c r="M10632" s="46"/>
      <c r="R10632" s="51"/>
      <c r="S10632" s="51"/>
    </row>
    <row r="10633" spans="9:19" x14ac:dyDescent="0.25">
      <c r="I10633" s="1"/>
      <c r="J10633" s="71"/>
      <c r="M10633" s="46"/>
      <c r="R10633" s="51"/>
      <c r="S10633" s="51"/>
    </row>
    <row r="10634" spans="9:19" x14ac:dyDescent="0.25">
      <c r="I10634" s="1"/>
      <c r="J10634" s="71"/>
      <c r="M10634" s="46"/>
      <c r="R10634" s="51"/>
      <c r="S10634" s="51"/>
    </row>
    <row r="10635" spans="9:19" x14ac:dyDescent="0.25">
      <c r="I10635" s="1"/>
      <c r="J10635" s="71"/>
      <c r="M10635" s="46"/>
      <c r="R10635" s="51"/>
      <c r="S10635" s="51"/>
    </row>
    <row r="10636" spans="9:19" x14ac:dyDescent="0.25">
      <c r="I10636" s="1"/>
      <c r="J10636" s="71"/>
      <c r="M10636" s="46"/>
      <c r="R10636" s="51"/>
      <c r="S10636" s="51"/>
    </row>
    <row r="10637" spans="9:19" x14ac:dyDescent="0.25">
      <c r="I10637" s="1"/>
      <c r="J10637" s="71"/>
      <c r="M10637" s="46"/>
      <c r="R10637" s="51"/>
      <c r="S10637" s="51"/>
    </row>
    <row r="10638" spans="9:19" x14ac:dyDescent="0.25">
      <c r="I10638" s="1"/>
      <c r="J10638" s="71"/>
      <c r="M10638" s="46"/>
      <c r="R10638" s="51"/>
      <c r="S10638" s="51"/>
    </row>
    <row r="10639" spans="9:19" x14ac:dyDescent="0.25">
      <c r="I10639" s="1"/>
      <c r="J10639" s="71"/>
      <c r="M10639" s="46"/>
      <c r="R10639" s="51"/>
      <c r="S10639" s="51"/>
    </row>
    <row r="10640" spans="9:19" x14ac:dyDescent="0.25">
      <c r="I10640" s="1"/>
      <c r="J10640" s="71"/>
      <c r="M10640" s="46"/>
      <c r="R10640" s="51"/>
      <c r="S10640" s="51"/>
    </row>
    <row r="10641" spans="9:19" x14ac:dyDescent="0.25">
      <c r="I10641" s="1"/>
      <c r="J10641" s="71"/>
      <c r="M10641" s="46"/>
      <c r="R10641" s="51"/>
      <c r="S10641" s="51"/>
    </row>
    <row r="10642" spans="9:19" x14ac:dyDescent="0.25">
      <c r="I10642" s="1"/>
      <c r="J10642" s="71"/>
      <c r="M10642" s="46"/>
      <c r="R10642" s="51"/>
      <c r="S10642" s="51"/>
    </row>
    <row r="10643" spans="9:19" x14ac:dyDescent="0.25">
      <c r="I10643" s="1"/>
      <c r="J10643" s="71"/>
      <c r="M10643" s="46"/>
      <c r="R10643" s="51"/>
      <c r="S10643" s="51"/>
    </row>
    <row r="10644" spans="9:19" x14ac:dyDescent="0.25">
      <c r="I10644" s="1"/>
      <c r="J10644" s="71"/>
      <c r="M10644" s="46"/>
      <c r="R10644" s="51"/>
      <c r="S10644" s="51"/>
    </row>
    <row r="10645" spans="9:19" x14ac:dyDescent="0.25">
      <c r="I10645" s="1"/>
      <c r="J10645" s="71"/>
      <c r="M10645" s="46"/>
      <c r="R10645" s="51"/>
      <c r="S10645" s="51"/>
    </row>
    <row r="10646" spans="9:19" x14ac:dyDescent="0.25">
      <c r="I10646" s="1"/>
      <c r="J10646" s="71"/>
      <c r="M10646" s="46"/>
      <c r="R10646" s="51"/>
      <c r="S10646" s="51"/>
    </row>
    <row r="10647" spans="9:19" x14ac:dyDescent="0.25">
      <c r="I10647" s="1"/>
      <c r="J10647" s="71"/>
      <c r="M10647" s="46"/>
      <c r="R10647" s="51"/>
      <c r="S10647" s="51"/>
    </row>
    <row r="10648" spans="9:19" x14ac:dyDescent="0.25">
      <c r="I10648" s="1"/>
      <c r="J10648" s="71"/>
      <c r="M10648" s="46"/>
      <c r="R10648" s="51"/>
      <c r="S10648" s="51"/>
    </row>
    <row r="10649" spans="9:19" x14ac:dyDescent="0.25">
      <c r="I10649" s="1"/>
      <c r="J10649" s="71"/>
      <c r="M10649" s="46"/>
      <c r="R10649" s="51"/>
      <c r="S10649" s="51"/>
    </row>
    <row r="10650" spans="9:19" x14ac:dyDescent="0.25">
      <c r="I10650" s="1"/>
      <c r="J10650" s="71"/>
      <c r="M10650" s="46"/>
      <c r="R10650" s="51"/>
      <c r="S10650" s="51"/>
    </row>
    <row r="10651" spans="9:19" x14ac:dyDescent="0.25">
      <c r="I10651" s="1"/>
      <c r="J10651" s="71"/>
      <c r="M10651" s="46"/>
      <c r="R10651" s="51"/>
      <c r="S10651" s="51"/>
    </row>
    <row r="10652" spans="9:19" x14ac:dyDescent="0.25">
      <c r="I10652" s="1"/>
      <c r="J10652" s="71"/>
      <c r="M10652" s="46"/>
      <c r="R10652" s="51"/>
      <c r="S10652" s="51"/>
    </row>
    <row r="10653" spans="9:19" x14ac:dyDescent="0.25">
      <c r="I10653" s="1"/>
      <c r="J10653" s="71"/>
      <c r="M10653" s="46"/>
      <c r="R10653" s="51"/>
      <c r="S10653" s="51"/>
    </row>
    <row r="10654" spans="9:19" x14ac:dyDescent="0.25">
      <c r="I10654" s="1"/>
      <c r="J10654" s="71"/>
      <c r="M10654" s="46"/>
      <c r="R10654" s="51"/>
      <c r="S10654" s="51"/>
    </row>
    <row r="10655" spans="9:19" x14ac:dyDescent="0.25">
      <c r="I10655" s="1"/>
      <c r="J10655" s="71"/>
      <c r="M10655" s="46"/>
      <c r="R10655" s="51"/>
      <c r="S10655" s="51"/>
    </row>
    <row r="10656" spans="9:19" x14ac:dyDescent="0.25">
      <c r="I10656" s="1"/>
      <c r="J10656" s="71"/>
      <c r="M10656" s="46"/>
      <c r="R10656" s="51"/>
      <c r="S10656" s="51"/>
    </row>
    <row r="10657" spans="9:19" x14ac:dyDescent="0.25">
      <c r="I10657" s="1"/>
      <c r="J10657" s="71"/>
      <c r="M10657" s="46"/>
      <c r="R10657" s="51"/>
      <c r="S10657" s="51"/>
    </row>
    <row r="10658" spans="9:19" x14ac:dyDescent="0.25">
      <c r="I10658" s="1"/>
      <c r="J10658" s="71"/>
      <c r="M10658" s="46"/>
      <c r="R10658" s="51"/>
      <c r="S10658" s="51"/>
    </row>
    <row r="10659" spans="9:19" x14ac:dyDescent="0.25">
      <c r="I10659" s="1"/>
      <c r="J10659" s="71"/>
      <c r="M10659" s="46"/>
      <c r="R10659" s="51"/>
      <c r="S10659" s="51"/>
    </row>
    <row r="10660" spans="9:19" x14ac:dyDescent="0.25">
      <c r="I10660" s="1"/>
      <c r="J10660" s="71"/>
      <c r="M10660" s="46"/>
      <c r="R10660" s="51"/>
      <c r="S10660" s="51"/>
    </row>
    <row r="10661" spans="9:19" x14ac:dyDescent="0.25">
      <c r="I10661" s="1"/>
      <c r="J10661" s="71"/>
      <c r="M10661" s="46"/>
      <c r="R10661" s="51"/>
      <c r="S10661" s="51"/>
    </row>
    <row r="10662" spans="9:19" x14ac:dyDescent="0.25">
      <c r="I10662" s="1"/>
      <c r="J10662" s="71"/>
      <c r="M10662" s="46"/>
      <c r="R10662" s="51"/>
      <c r="S10662" s="51"/>
    </row>
    <row r="10663" spans="9:19" x14ac:dyDescent="0.25">
      <c r="I10663" s="1"/>
      <c r="J10663" s="71"/>
      <c r="M10663" s="46"/>
      <c r="R10663" s="51"/>
      <c r="S10663" s="51"/>
    </row>
    <row r="10664" spans="9:19" x14ac:dyDescent="0.25">
      <c r="I10664" s="1"/>
      <c r="J10664" s="71"/>
      <c r="M10664" s="46"/>
      <c r="R10664" s="51"/>
      <c r="S10664" s="51"/>
    </row>
    <row r="10665" spans="9:19" x14ac:dyDescent="0.25">
      <c r="I10665" s="1"/>
      <c r="J10665" s="71"/>
      <c r="M10665" s="46"/>
      <c r="R10665" s="51"/>
      <c r="S10665" s="51"/>
    </row>
    <row r="10666" spans="9:19" x14ac:dyDescent="0.25">
      <c r="I10666" s="1"/>
      <c r="J10666" s="71"/>
      <c r="M10666" s="46"/>
      <c r="R10666" s="51"/>
      <c r="S10666" s="51"/>
    </row>
    <row r="10667" spans="9:19" x14ac:dyDescent="0.25">
      <c r="I10667" s="1"/>
      <c r="J10667" s="71"/>
      <c r="M10667" s="46"/>
      <c r="R10667" s="51"/>
      <c r="S10667" s="51"/>
    </row>
    <row r="10668" spans="9:19" x14ac:dyDescent="0.25">
      <c r="I10668" s="1"/>
      <c r="J10668" s="71"/>
      <c r="M10668" s="46"/>
      <c r="R10668" s="51"/>
      <c r="S10668" s="51"/>
    </row>
    <row r="10669" spans="9:19" x14ac:dyDescent="0.25">
      <c r="I10669" s="1"/>
      <c r="J10669" s="71"/>
      <c r="M10669" s="46"/>
      <c r="R10669" s="51"/>
      <c r="S10669" s="51"/>
    </row>
    <row r="10670" spans="9:19" x14ac:dyDescent="0.25">
      <c r="I10670" s="1"/>
      <c r="J10670" s="71"/>
      <c r="M10670" s="46"/>
      <c r="R10670" s="51"/>
      <c r="S10670" s="51"/>
    </row>
    <row r="10671" spans="9:19" x14ac:dyDescent="0.25">
      <c r="I10671" s="1"/>
      <c r="J10671" s="71"/>
      <c r="M10671" s="46"/>
      <c r="R10671" s="51"/>
      <c r="S10671" s="51"/>
    </row>
    <row r="10672" spans="9:19" x14ac:dyDescent="0.25">
      <c r="I10672" s="1"/>
      <c r="J10672" s="71"/>
      <c r="M10672" s="46"/>
      <c r="R10672" s="51"/>
      <c r="S10672" s="51"/>
    </row>
    <row r="10673" spans="9:19" x14ac:dyDescent="0.25">
      <c r="I10673" s="1"/>
      <c r="J10673" s="71"/>
      <c r="M10673" s="46"/>
      <c r="R10673" s="51"/>
      <c r="S10673" s="51"/>
    </row>
    <row r="10674" spans="9:19" x14ac:dyDescent="0.25">
      <c r="I10674" s="1"/>
      <c r="J10674" s="71"/>
      <c r="M10674" s="46"/>
      <c r="R10674" s="51"/>
      <c r="S10674" s="51"/>
    </row>
    <row r="10675" spans="9:19" x14ac:dyDescent="0.25">
      <c r="I10675" s="1"/>
      <c r="J10675" s="71"/>
      <c r="M10675" s="46"/>
      <c r="R10675" s="51"/>
      <c r="S10675" s="51"/>
    </row>
    <row r="10676" spans="9:19" x14ac:dyDescent="0.25">
      <c r="I10676" s="1"/>
      <c r="J10676" s="71"/>
      <c r="M10676" s="46"/>
      <c r="R10676" s="51"/>
      <c r="S10676" s="51"/>
    </row>
    <row r="10677" spans="9:19" x14ac:dyDescent="0.25">
      <c r="I10677" s="1"/>
      <c r="J10677" s="71"/>
      <c r="M10677" s="46"/>
      <c r="R10677" s="51"/>
      <c r="S10677" s="51"/>
    </row>
    <row r="10678" spans="9:19" x14ac:dyDescent="0.25">
      <c r="I10678" s="1"/>
      <c r="J10678" s="71"/>
      <c r="M10678" s="46"/>
      <c r="R10678" s="51"/>
      <c r="S10678" s="51"/>
    </row>
    <row r="10679" spans="9:19" x14ac:dyDescent="0.25">
      <c r="I10679" s="1"/>
      <c r="J10679" s="71"/>
      <c r="M10679" s="46"/>
      <c r="R10679" s="51"/>
      <c r="S10679" s="51"/>
    </row>
    <row r="10680" spans="9:19" x14ac:dyDescent="0.25">
      <c r="I10680" s="1"/>
      <c r="J10680" s="71"/>
      <c r="M10680" s="46"/>
      <c r="R10680" s="51"/>
      <c r="S10680" s="51"/>
    </row>
    <row r="10681" spans="9:19" x14ac:dyDescent="0.25">
      <c r="I10681" s="1"/>
      <c r="J10681" s="71"/>
      <c r="M10681" s="46"/>
      <c r="R10681" s="51"/>
      <c r="S10681" s="51"/>
    </row>
    <row r="10682" spans="9:19" x14ac:dyDescent="0.25">
      <c r="I10682" s="1"/>
      <c r="J10682" s="71"/>
      <c r="M10682" s="46"/>
      <c r="R10682" s="51"/>
      <c r="S10682" s="51"/>
    </row>
    <row r="10683" spans="9:19" x14ac:dyDescent="0.25">
      <c r="I10683" s="1"/>
      <c r="J10683" s="71"/>
      <c r="M10683" s="46"/>
      <c r="R10683" s="51"/>
      <c r="S10683" s="51"/>
    </row>
    <row r="10684" spans="9:19" x14ac:dyDescent="0.25">
      <c r="I10684" s="1"/>
      <c r="J10684" s="71"/>
      <c r="M10684" s="46"/>
      <c r="R10684" s="51"/>
      <c r="S10684" s="51"/>
    </row>
    <row r="10685" spans="9:19" x14ac:dyDescent="0.25">
      <c r="I10685" s="1"/>
      <c r="J10685" s="71"/>
      <c r="M10685" s="46"/>
      <c r="R10685" s="51"/>
      <c r="S10685" s="51"/>
    </row>
    <row r="10686" spans="9:19" x14ac:dyDescent="0.25">
      <c r="I10686" s="1"/>
      <c r="J10686" s="71"/>
      <c r="M10686" s="46"/>
      <c r="R10686" s="51"/>
      <c r="S10686" s="51"/>
    </row>
    <row r="10687" spans="9:19" x14ac:dyDescent="0.25">
      <c r="I10687" s="1"/>
      <c r="J10687" s="71"/>
      <c r="M10687" s="46"/>
      <c r="R10687" s="51"/>
      <c r="S10687" s="51"/>
    </row>
    <row r="10688" spans="9:19" x14ac:dyDescent="0.25">
      <c r="I10688" s="1"/>
      <c r="J10688" s="71"/>
      <c r="M10688" s="46"/>
      <c r="R10688" s="51"/>
      <c r="S10688" s="51"/>
    </row>
    <row r="10689" spans="9:19" x14ac:dyDescent="0.25">
      <c r="I10689" s="1"/>
      <c r="J10689" s="71"/>
      <c r="M10689" s="46"/>
      <c r="R10689" s="51"/>
      <c r="S10689" s="51"/>
    </row>
    <row r="10690" spans="9:19" x14ac:dyDescent="0.25">
      <c r="I10690" s="1"/>
      <c r="J10690" s="71"/>
      <c r="M10690" s="46"/>
      <c r="R10690" s="51"/>
      <c r="S10690" s="51"/>
    </row>
    <row r="10691" spans="9:19" x14ac:dyDescent="0.25">
      <c r="I10691" s="1"/>
      <c r="J10691" s="71"/>
      <c r="M10691" s="46"/>
      <c r="R10691" s="51"/>
      <c r="S10691" s="51"/>
    </row>
    <row r="10692" spans="9:19" x14ac:dyDescent="0.25">
      <c r="I10692" s="1"/>
      <c r="J10692" s="71"/>
      <c r="M10692" s="46"/>
      <c r="R10692" s="51"/>
      <c r="S10692" s="51"/>
    </row>
    <row r="10693" spans="9:19" x14ac:dyDescent="0.25">
      <c r="I10693" s="1"/>
      <c r="J10693" s="71"/>
      <c r="M10693" s="46"/>
      <c r="R10693" s="51"/>
      <c r="S10693" s="51"/>
    </row>
    <row r="10694" spans="9:19" x14ac:dyDescent="0.25">
      <c r="I10694" s="1"/>
      <c r="J10694" s="71"/>
      <c r="M10694" s="46"/>
      <c r="R10694" s="51"/>
      <c r="S10694" s="51"/>
    </row>
    <row r="10695" spans="9:19" x14ac:dyDescent="0.25">
      <c r="I10695" s="1"/>
      <c r="J10695" s="71"/>
      <c r="M10695" s="46"/>
      <c r="R10695" s="51"/>
      <c r="S10695" s="51"/>
    </row>
    <row r="10696" spans="9:19" x14ac:dyDescent="0.25">
      <c r="I10696" s="1"/>
      <c r="J10696" s="71"/>
      <c r="M10696" s="46"/>
      <c r="R10696" s="51"/>
      <c r="S10696" s="51"/>
    </row>
    <row r="10697" spans="9:19" x14ac:dyDescent="0.25">
      <c r="I10697" s="1"/>
      <c r="J10697" s="71"/>
      <c r="M10697" s="46"/>
      <c r="R10697" s="51"/>
      <c r="S10697" s="51"/>
    </row>
    <row r="10698" spans="9:19" x14ac:dyDescent="0.25">
      <c r="I10698" s="1"/>
      <c r="J10698" s="71"/>
      <c r="M10698" s="46"/>
      <c r="R10698" s="51"/>
      <c r="S10698" s="51"/>
    </row>
    <row r="10699" spans="9:19" x14ac:dyDescent="0.25">
      <c r="I10699" s="1"/>
      <c r="J10699" s="71"/>
      <c r="M10699" s="46"/>
      <c r="R10699" s="51"/>
      <c r="S10699" s="51"/>
    </row>
    <row r="10700" spans="9:19" x14ac:dyDescent="0.25">
      <c r="I10700" s="1"/>
      <c r="J10700" s="71"/>
      <c r="M10700" s="46"/>
      <c r="R10700" s="51"/>
      <c r="S10700" s="51"/>
    </row>
    <row r="10701" spans="9:19" x14ac:dyDescent="0.25">
      <c r="I10701" s="1"/>
      <c r="J10701" s="71"/>
      <c r="M10701" s="46"/>
      <c r="R10701" s="51"/>
      <c r="S10701" s="51"/>
    </row>
    <row r="10702" spans="9:19" x14ac:dyDescent="0.25">
      <c r="I10702" s="1"/>
      <c r="J10702" s="71"/>
      <c r="M10702" s="46"/>
      <c r="R10702" s="51"/>
      <c r="S10702" s="51"/>
    </row>
    <row r="10703" spans="9:19" x14ac:dyDescent="0.25">
      <c r="I10703" s="1"/>
      <c r="J10703" s="71"/>
      <c r="M10703" s="46"/>
      <c r="R10703" s="51"/>
      <c r="S10703" s="51"/>
    </row>
    <row r="10704" spans="9:19" x14ac:dyDescent="0.25">
      <c r="I10704" s="1"/>
      <c r="J10704" s="71"/>
      <c r="M10704" s="46"/>
      <c r="R10704" s="51"/>
      <c r="S10704" s="51"/>
    </row>
    <row r="10705" spans="9:19" x14ac:dyDescent="0.25">
      <c r="I10705" s="1"/>
      <c r="J10705" s="71"/>
      <c r="M10705" s="46"/>
      <c r="R10705" s="51"/>
      <c r="S10705" s="51"/>
    </row>
    <row r="10706" spans="9:19" x14ac:dyDescent="0.25">
      <c r="I10706" s="1"/>
      <c r="J10706" s="71"/>
      <c r="M10706" s="46"/>
      <c r="R10706" s="51"/>
      <c r="S10706" s="51"/>
    </row>
    <row r="10707" spans="9:19" x14ac:dyDescent="0.25">
      <c r="I10707" s="1"/>
      <c r="J10707" s="71"/>
      <c r="M10707" s="46"/>
      <c r="R10707" s="51"/>
      <c r="S10707" s="51"/>
    </row>
    <row r="10708" spans="9:19" x14ac:dyDescent="0.25">
      <c r="I10708" s="1"/>
      <c r="J10708" s="71"/>
      <c r="M10708" s="46"/>
      <c r="R10708" s="51"/>
      <c r="S10708" s="51"/>
    </row>
    <row r="10709" spans="9:19" x14ac:dyDescent="0.25">
      <c r="I10709" s="1"/>
      <c r="J10709" s="71"/>
      <c r="M10709" s="46"/>
      <c r="R10709" s="51"/>
      <c r="S10709" s="51"/>
    </row>
    <row r="10710" spans="9:19" x14ac:dyDescent="0.25">
      <c r="I10710" s="1"/>
      <c r="J10710" s="71"/>
      <c r="M10710" s="46"/>
      <c r="R10710" s="51"/>
      <c r="S10710" s="51"/>
    </row>
    <row r="10711" spans="9:19" x14ac:dyDescent="0.25">
      <c r="I10711" s="1"/>
      <c r="J10711" s="71"/>
      <c r="M10711" s="46"/>
      <c r="R10711" s="51"/>
      <c r="S10711" s="51"/>
    </row>
    <row r="10712" spans="9:19" x14ac:dyDescent="0.25">
      <c r="I10712" s="1"/>
      <c r="J10712" s="71"/>
      <c r="M10712" s="46"/>
      <c r="R10712" s="51"/>
      <c r="S10712" s="51"/>
    </row>
    <row r="10713" spans="9:19" x14ac:dyDescent="0.25">
      <c r="I10713" s="1"/>
      <c r="J10713" s="71"/>
      <c r="M10713" s="46"/>
      <c r="R10713" s="51"/>
      <c r="S10713" s="51"/>
    </row>
    <row r="10714" spans="9:19" x14ac:dyDescent="0.25">
      <c r="I10714" s="1"/>
      <c r="J10714" s="71"/>
      <c r="M10714" s="46"/>
      <c r="R10714" s="51"/>
      <c r="S10714" s="51"/>
    </row>
    <row r="10715" spans="9:19" x14ac:dyDescent="0.25">
      <c r="I10715" s="1"/>
      <c r="J10715" s="71"/>
      <c r="M10715" s="46"/>
      <c r="R10715" s="51"/>
      <c r="S10715" s="51"/>
    </row>
    <row r="10716" spans="9:19" x14ac:dyDescent="0.25">
      <c r="I10716" s="1"/>
      <c r="J10716" s="71"/>
      <c r="M10716" s="46"/>
      <c r="R10716" s="51"/>
      <c r="S10716" s="51"/>
    </row>
    <row r="10717" spans="9:19" x14ac:dyDescent="0.25">
      <c r="I10717" s="1"/>
      <c r="J10717" s="71"/>
      <c r="M10717" s="46"/>
      <c r="R10717" s="51"/>
      <c r="S10717" s="51"/>
    </row>
    <row r="10718" spans="9:19" x14ac:dyDescent="0.25">
      <c r="I10718" s="1"/>
      <c r="J10718" s="71"/>
      <c r="M10718" s="46"/>
      <c r="R10718" s="51"/>
      <c r="S10718" s="51"/>
    </row>
    <row r="10719" spans="9:19" x14ac:dyDescent="0.25">
      <c r="I10719" s="1"/>
      <c r="J10719" s="71"/>
      <c r="M10719" s="46"/>
      <c r="R10719" s="51"/>
      <c r="S10719" s="51"/>
    </row>
    <row r="10720" spans="9:19" x14ac:dyDescent="0.25">
      <c r="I10720" s="1"/>
      <c r="J10720" s="71"/>
      <c r="M10720" s="46"/>
      <c r="R10720" s="51"/>
      <c r="S10720" s="51"/>
    </row>
    <row r="10721" spans="9:19" x14ac:dyDescent="0.25">
      <c r="I10721" s="1"/>
      <c r="J10721" s="71"/>
      <c r="M10721" s="46"/>
      <c r="R10721" s="51"/>
      <c r="S10721" s="51"/>
    </row>
    <row r="10722" spans="9:19" x14ac:dyDescent="0.25">
      <c r="I10722" s="1"/>
      <c r="J10722" s="71"/>
      <c r="M10722" s="46"/>
      <c r="R10722" s="51"/>
      <c r="S10722" s="51"/>
    </row>
    <row r="10723" spans="9:19" x14ac:dyDescent="0.25">
      <c r="I10723" s="1"/>
      <c r="J10723" s="71"/>
      <c r="M10723" s="46"/>
      <c r="R10723" s="51"/>
      <c r="S10723" s="51"/>
    </row>
    <row r="10724" spans="9:19" x14ac:dyDescent="0.25">
      <c r="I10724" s="1"/>
      <c r="J10724" s="71"/>
      <c r="M10724" s="46"/>
      <c r="R10724" s="51"/>
      <c r="S10724" s="51"/>
    </row>
    <row r="10725" spans="9:19" x14ac:dyDescent="0.25">
      <c r="I10725" s="1"/>
      <c r="J10725" s="71"/>
      <c r="M10725" s="46"/>
      <c r="R10725" s="51"/>
      <c r="S10725" s="51"/>
    </row>
    <row r="10726" spans="9:19" x14ac:dyDescent="0.25">
      <c r="I10726" s="1"/>
      <c r="J10726" s="71"/>
      <c r="M10726" s="46"/>
      <c r="R10726" s="51"/>
      <c r="S10726" s="51"/>
    </row>
    <row r="10727" spans="9:19" x14ac:dyDescent="0.25">
      <c r="I10727" s="1"/>
      <c r="J10727" s="71"/>
      <c r="M10727" s="46"/>
      <c r="R10727" s="51"/>
      <c r="S10727" s="51"/>
    </row>
    <row r="10728" spans="9:19" x14ac:dyDescent="0.25">
      <c r="I10728" s="1"/>
      <c r="J10728" s="71"/>
      <c r="M10728" s="46"/>
      <c r="R10728" s="51"/>
      <c r="S10728" s="51"/>
    </row>
    <row r="10729" spans="9:19" x14ac:dyDescent="0.25">
      <c r="I10729" s="1"/>
      <c r="J10729" s="71"/>
      <c r="M10729" s="46"/>
      <c r="R10729" s="51"/>
      <c r="S10729" s="51"/>
    </row>
    <row r="10730" spans="9:19" x14ac:dyDescent="0.25">
      <c r="I10730" s="1"/>
      <c r="J10730" s="71"/>
      <c r="M10730" s="46"/>
      <c r="R10730" s="51"/>
      <c r="S10730" s="51"/>
    </row>
    <row r="10731" spans="9:19" x14ac:dyDescent="0.25">
      <c r="I10731" s="1"/>
      <c r="J10731" s="71"/>
      <c r="M10731" s="46"/>
      <c r="R10731" s="51"/>
      <c r="S10731" s="51"/>
    </row>
    <row r="10732" spans="9:19" x14ac:dyDescent="0.25">
      <c r="I10732" s="1"/>
      <c r="J10732" s="71"/>
      <c r="M10732" s="46"/>
      <c r="R10732" s="51"/>
      <c r="S10732" s="51"/>
    </row>
    <row r="10733" spans="9:19" x14ac:dyDescent="0.25">
      <c r="I10733" s="1"/>
      <c r="J10733" s="71"/>
      <c r="M10733" s="46"/>
      <c r="R10733" s="51"/>
      <c r="S10733" s="51"/>
    </row>
    <row r="10734" spans="9:19" x14ac:dyDescent="0.25">
      <c r="I10734" s="1"/>
      <c r="J10734" s="71"/>
      <c r="M10734" s="46"/>
      <c r="R10734" s="51"/>
      <c r="S10734" s="51"/>
    </row>
    <row r="10735" spans="9:19" x14ac:dyDescent="0.25">
      <c r="I10735" s="1"/>
      <c r="J10735" s="71"/>
      <c r="M10735" s="46"/>
      <c r="R10735" s="51"/>
      <c r="S10735" s="51"/>
    </row>
    <row r="10736" spans="9:19" x14ac:dyDescent="0.25">
      <c r="I10736" s="1"/>
      <c r="J10736" s="71"/>
      <c r="M10736" s="46"/>
      <c r="R10736" s="51"/>
      <c r="S10736" s="51"/>
    </row>
    <row r="10737" spans="9:19" x14ac:dyDescent="0.25">
      <c r="I10737" s="1"/>
      <c r="J10737" s="71"/>
      <c r="M10737" s="46"/>
      <c r="R10737" s="51"/>
      <c r="S10737" s="51"/>
    </row>
    <row r="10738" spans="9:19" x14ac:dyDescent="0.25">
      <c r="I10738" s="1"/>
      <c r="J10738" s="71"/>
      <c r="M10738" s="46"/>
      <c r="R10738" s="51"/>
      <c r="S10738" s="51"/>
    </row>
    <row r="10739" spans="9:19" x14ac:dyDescent="0.25">
      <c r="I10739" s="1"/>
      <c r="J10739" s="71"/>
      <c r="M10739" s="46"/>
      <c r="R10739" s="51"/>
      <c r="S10739" s="51"/>
    </row>
    <row r="10740" spans="9:19" x14ac:dyDescent="0.25">
      <c r="I10740" s="1"/>
      <c r="J10740" s="71"/>
      <c r="M10740" s="46"/>
      <c r="R10740" s="51"/>
      <c r="S10740" s="51"/>
    </row>
    <row r="10741" spans="9:19" x14ac:dyDescent="0.25">
      <c r="I10741" s="1"/>
      <c r="J10741" s="71"/>
      <c r="M10741" s="46"/>
      <c r="R10741" s="51"/>
      <c r="S10741" s="51"/>
    </row>
    <row r="10742" spans="9:19" x14ac:dyDescent="0.25">
      <c r="I10742" s="1"/>
      <c r="J10742" s="71"/>
      <c r="M10742" s="46"/>
      <c r="R10742" s="51"/>
      <c r="S10742" s="51"/>
    </row>
    <row r="10743" spans="9:19" x14ac:dyDescent="0.25">
      <c r="I10743" s="1"/>
      <c r="J10743" s="71"/>
      <c r="M10743" s="46"/>
      <c r="R10743" s="51"/>
      <c r="S10743" s="51"/>
    </row>
    <row r="10744" spans="9:19" x14ac:dyDescent="0.25">
      <c r="I10744" s="1"/>
      <c r="J10744" s="71"/>
      <c r="M10744" s="46"/>
      <c r="R10744" s="51"/>
      <c r="S10744" s="51"/>
    </row>
    <row r="10745" spans="9:19" x14ac:dyDescent="0.25">
      <c r="I10745" s="1"/>
      <c r="J10745" s="71"/>
      <c r="M10745" s="46"/>
      <c r="R10745" s="51"/>
      <c r="S10745" s="51"/>
    </row>
    <row r="10746" spans="9:19" x14ac:dyDescent="0.25">
      <c r="I10746" s="1"/>
      <c r="J10746" s="71"/>
      <c r="M10746" s="46"/>
      <c r="R10746" s="51"/>
      <c r="S10746" s="51"/>
    </row>
    <row r="10747" spans="9:19" x14ac:dyDescent="0.25">
      <c r="I10747" s="1"/>
      <c r="J10747" s="71"/>
      <c r="M10747" s="46"/>
      <c r="R10747" s="51"/>
      <c r="S10747" s="51"/>
    </row>
    <row r="10748" spans="9:19" x14ac:dyDescent="0.25">
      <c r="I10748" s="1"/>
      <c r="J10748" s="71"/>
      <c r="M10748" s="46"/>
      <c r="R10748" s="51"/>
      <c r="S10748" s="51"/>
    </row>
    <row r="10749" spans="9:19" x14ac:dyDescent="0.25">
      <c r="I10749" s="1"/>
      <c r="J10749" s="71"/>
      <c r="M10749" s="46"/>
      <c r="R10749" s="51"/>
      <c r="S10749" s="51"/>
    </row>
    <row r="10750" spans="9:19" x14ac:dyDescent="0.25">
      <c r="I10750" s="1"/>
      <c r="J10750" s="71"/>
      <c r="M10750" s="46"/>
      <c r="R10750" s="51"/>
      <c r="S10750" s="51"/>
    </row>
    <row r="10751" spans="9:19" x14ac:dyDescent="0.25">
      <c r="I10751" s="1"/>
      <c r="J10751" s="71"/>
      <c r="M10751" s="46"/>
      <c r="R10751" s="51"/>
      <c r="S10751" s="51"/>
    </row>
    <row r="10752" spans="9:19" x14ac:dyDescent="0.25">
      <c r="I10752" s="1"/>
      <c r="J10752" s="71"/>
      <c r="M10752" s="46"/>
      <c r="R10752" s="51"/>
      <c r="S10752" s="51"/>
    </row>
    <row r="10753" spans="9:19" x14ac:dyDescent="0.25">
      <c r="I10753" s="1"/>
      <c r="J10753" s="71"/>
      <c r="M10753" s="46"/>
      <c r="R10753" s="51"/>
      <c r="S10753" s="51"/>
    </row>
    <row r="10754" spans="9:19" x14ac:dyDescent="0.25">
      <c r="I10754" s="1"/>
      <c r="J10754" s="71"/>
      <c r="M10754" s="46"/>
      <c r="R10754" s="51"/>
      <c r="S10754" s="51"/>
    </row>
    <row r="10755" spans="9:19" x14ac:dyDescent="0.25">
      <c r="I10755" s="1"/>
      <c r="J10755" s="71"/>
      <c r="M10755" s="46"/>
      <c r="R10755" s="51"/>
      <c r="S10755" s="51"/>
    </row>
    <row r="10756" spans="9:19" x14ac:dyDescent="0.25">
      <c r="I10756" s="1"/>
      <c r="J10756" s="71"/>
      <c r="M10756" s="46"/>
      <c r="R10756" s="51"/>
      <c r="S10756" s="51"/>
    </row>
    <row r="10757" spans="9:19" x14ac:dyDescent="0.25">
      <c r="I10757" s="1"/>
      <c r="J10757" s="71"/>
      <c r="M10757" s="46"/>
      <c r="R10757" s="51"/>
      <c r="S10757" s="51"/>
    </row>
    <row r="10758" spans="9:19" x14ac:dyDescent="0.25">
      <c r="I10758" s="1"/>
      <c r="J10758" s="71"/>
      <c r="M10758" s="46"/>
      <c r="R10758" s="51"/>
      <c r="S10758" s="51"/>
    </row>
    <row r="10759" spans="9:19" x14ac:dyDescent="0.25">
      <c r="I10759" s="1"/>
      <c r="J10759" s="71"/>
      <c r="M10759" s="46"/>
      <c r="R10759" s="51"/>
      <c r="S10759" s="51"/>
    </row>
    <row r="10760" spans="9:19" x14ac:dyDescent="0.25">
      <c r="I10760" s="1"/>
      <c r="J10760" s="71"/>
      <c r="M10760" s="46"/>
      <c r="R10760" s="51"/>
      <c r="S10760" s="51"/>
    </row>
    <row r="10761" spans="9:19" x14ac:dyDescent="0.25">
      <c r="I10761" s="1"/>
      <c r="J10761" s="71"/>
      <c r="M10761" s="46"/>
      <c r="R10761" s="51"/>
      <c r="S10761" s="51"/>
    </row>
    <row r="10762" spans="9:19" x14ac:dyDescent="0.25">
      <c r="I10762" s="1"/>
      <c r="J10762" s="71"/>
      <c r="M10762" s="46"/>
      <c r="R10762" s="51"/>
      <c r="S10762" s="51"/>
    </row>
    <row r="10763" spans="9:19" x14ac:dyDescent="0.25">
      <c r="I10763" s="1"/>
      <c r="J10763" s="71"/>
      <c r="M10763" s="46"/>
      <c r="R10763" s="51"/>
      <c r="S10763" s="51"/>
    </row>
    <row r="10764" spans="9:19" x14ac:dyDescent="0.25">
      <c r="I10764" s="1"/>
      <c r="J10764" s="71"/>
      <c r="M10764" s="46"/>
      <c r="R10764" s="51"/>
      <c r="S10764" s="51"/>
    </row>
    <row r="10765" spans="9:19" x14ac:dyDescent="0.25">
      <c r="I10765" s="1"/>
      <c r="J10765" s="71"/>
      <c r="M10765" s="46"/>
      <c r="R10765" s="51"/>
      <c r="S10765" s="51"/>
    </row>
    <row r="10766" spans="9:19" x14ac:dyDescent="0.25">
      <c r="I10766" s="1"/>
      <c r="J10766" s="71"/>
      <c r="M10766" s="46"/>
      <c r="R10766" s="51"/>
      <c r="S10766" s="51"/>
    </row>
    <row r="10767" spans="9:19" x14ac:dyDescent="0.25">
      <c r="I10767" s="1"/>
      <c r="J10767" s="71"/>
      <c r="M10767" s="46"/>
      <c r="R10767" s="51"/>
      <c r="S10767" s="51"/>
    </row>
    <row r="10768" spans="9:19" x14ac:dyDescent="0.25">
      <c r="I10768" s="1"/>
      <c r="J10768" s="71"/>
      <c r="M10768" s="46"/>
      <c r="R10768" s="51"/>
      <c r="S10768" s="51"/>
    </row>
    <row r="10769" spans="9:19" x14ac:dyDescent="0.25">
      <c r="I10769" s="1"/>
      <c r="J10769" s="71"/>
      <c r="M10769" s="46"/>
      <c r="R10769" s="51"/>
      <c r="S10769" s="51"/>
    </row>
    <row r="10770" spans="9:19" x14ac:dyDescent="0.25">
      <c r="I10770" s="1"/>
      <c r="J10770" s="71"/>
      <c r="M10770" s="46"/>
      <c r="R10770" s="51"/>
      <c r="S10770" s="51"/>
    </row>
    <row r="10771" spans="9:19" x14ac:dyDescent="0.25">
      <c r="I10771" s="1"/>
      <c r="J10771" s="71"/>
      <c r="M10771" s="46"/>
      <c r="R10771" s="51"/>
      <c r="S10771" s="51"/>
    </row>
    <row r="10772" spans="9:19" x14ac:dyDescent="0.25">
      <c r="I10772" s="1"/>
      <c r="J10772" s="71"/>
      <c r="M10772" s="46"/>
      <c r="R10772" s="51"/>
      <c r="S10772" s="51"/>
    </row>
    <row r="10773" spans="9:19" x14ac:dyDescent="0.25">
      <c r="I10773" s="1"/>
      <c r="J10773" s="71"/>
      <c r="M10773" s="46"/>
      <c r="R10773" s="51"/>
      <c r="S10773" s="51"/>
    </row>
    <row r="10774" spans="9:19" x14ac:dyDescent="0.25">
      <c r="I10774" s="1"/>
      <c r="J10774" s="71"/>
      <c r="M10774" s="46"/>
      <c r="R10774" s="51"/>
      <c r="S10774" s="51"/>
    </row>
    <row r="10775" spans="9:19" x14ac:dyDescent="0.25">
      <c r="I10775" s="1"/>
      <c r="J10775" s="71"/>
      <c r="M10775" s="46"/>
      <c r="R10775" s="51"/>
      <c r="S10775" s="51"/>
    </row>
    <row r="10776" spans="9:19" x14ac:dyDescent="0.25">
      <c r="I10776" s="1"/>
      <c r="J10776" s="71"/>
      <c r="M10776" s="46"/>
      <c r="R10776" s="51"/>
      <c r="S10776" s="51"/>
    </row>
    <row r="10777" spans="9:19" x14ac:dyDescent="0.25">
      <c r="I10777" s="1"/>
      <c r="J10777" s="71"/>
      <c r="M10777" s="46"/>
      <c r="R10777" s="51"/>
      <c r="S10777" s="51"/>
    </row>
    <row r="10778" spans="9:19" x14ac:dyDescent="0.25">
      <c r="I10778" s="1"/>
      <c r="J10778" s="71"/>
      <c r="M10778" s="46"/>
      <c r="R10778" s="51"/>
      <c r="S10778" s="51"/>
    </row>
    <row r="10779" spans="9:19" x14ac:dyDescent="0.25">
      <c r="I10779" s="1"/>
      <c r="J10779" s="71"/>
      <c r="M10779" s="46"/>
      <c r="R10779" s="51"/>
      <c r="S10779" s="51"/>
    </row>
    <row r="10780" spans="9:19" x14ac:dyDescent="0.25">
      <c r="I10780" s="1"/>
      <c r="J10780" s="71"/>
      <c r="M10780" s="46"/>
      <c r="R10780" s="51"/>
      <c r="S10780" s="51"/>
    </row>
    <row r="10781" spans="9:19" x14ac:dyDescent="0.25">
      <c r="I10781" s="1"/>
      <c r="J10781" s="71"/>
      <c r="M10781" s="46"/>
      <c r="R10781" s="51"/>
      <c r="S10781" s="51"/>
    </row>
    <row r="10782" spans="9:19" x14ac:dyDescent="0.25">
      <c r="I10782" s="1"/>
      <c r="J10782" s="71"/>
      <c r="M10782" s="46"/>
      <c r="R10782" s="51"/>
      <c r="S10782" s="51"/>
    </row>
    <row r="10783" spans="9:19" x14ac:dyDescent="0.25">
      <c r="I10783" s="1"/>
      <c r="J10783" s="71"/>
      <c r="M10783" s="46"/>
      <c r="R10783" s="51"/>
      <c r="S10783" s="51"/>
    </row>
    <row r="10784" spans="9:19" x14ac:dyDescent="0.25">
      <c r="I10784" s="1"/>
      <c r="J10784" s="71"/>
      <c r="M10784" s="46"/>
      <c r="R10784" s="51"/>
      <c r="S10784" s="51"/>
    </row>
    <row r="10785" spans="9:19" x14ac:dyDescent="0.25">
      <c r="I10785" s="1"/>
      <c r="J10785" s="71"/>
      <c r="M10785" s="46"/>
      <c r="R10785" s="51"/>
      <c r="S10785" s="51"/>
    </row>
    <row r="10786" spans="9:19" x14ac:dyDescent="0.25">
      <c r="I10786" s="1"/>
      <c r="J10786" s="71"/>
      <c r="M10786" s="46"/>
      <c r="R10786" s="51"/>
      <c r="S10786" s="51"/>
    </row>
    <row r="10787" spans="9:19" x14ac:dyDescent="0.25">
      <c r="I10787" s="1"/>
      <c r="J10787" s="71"/>
      <c r="M10787" s="46"/>
      <c r="R10787" s="51"/>
      <c r="S10787" s="51"/>
    </row>
    <row r="10788" spans="9:19" x14ac:dyDescent="0.25">
      <c r="I10788" s="1"/>
      <c r="J10788" s="71"/>
      <c r="M10788" s="46"/>
      <c r="R10788" s="51"/>
      <c r="S10788" s="51"/>
    </row>
    <row r="10789" spans="9:19" x14ac:dyDescent="0.25">
      <c r="I10789" s="1"/>
      <c r="J10789" s="71"/>
      <c r="M10789" s="46"/>
      <c r="R10789" s="51"/>
      <c r="S10789" s="51"/>
    </row>
    <row r="10790" spans="9:19" x14ac:dyDescent="0.25">
      <c r="I10790" s="1"/>
      <c r="J10790" s="71"/>
      <c r="M10790" s="46"/>
      <c r="R10790" s="51"/>
      <c r="S10790" s="51"/>
    </row>
    <row r="10791" spans="9:19" x14ac:dyDescent="0.25">
      <c r="I10791" s="1"/>
      <c r="J10791" s="71"/>
      <c r="M10791" s="46"/>
      <c r="R10791" s="51"/>
      <c r="S10791" s="51"/>
    </row>
    <row r="10792" spans="9:19" x14ac:dyDescent="0.25">
      <c r="I10792" s="1"/>
      <c r="J10792" s="71"/>
      <c r="M10792" s="46"/>
      <c r="R10792" s="51"/>
      <c r="S10792" s="51"/>
    </row>
    <row r="10793" spans="9:19" x14ac:dyDescent="0.25">
      <c r="I10793" s="1"/>
      <c r="J10793" s="71"/>
      <c r="M10793" s="46"/>
      <c r="R10793" s="51"/>
      <c r="S10793" s="51"/>
    </row>
    <row r="10794" spans="9:19" x14ac:dyDescent="0.25">
      <c r="I10794" s="1"/>
      <c r="J10794" s="71"/>
      <c r="M10794" s="46"/>
      <c r="R10794" s="51"/>
      <c r="S10794" s="51"/>
    </row>
    <row r="10795" spans="9:19" x14ac:dyDescent="0.25">
      <c r="I10795" s="1"/>
      <c r="J10795" s="71"/>
      <c r="M10795" s="46"/>
      <c r="R10795" s="51"/>
      <c r="S10795" s="51"/>
    </row>
    <row r="10796" spans="9:19" x14ac:dyDescent="0.25">
      <c r="I10796" s="1"/>
      <c r="J10796" s="71"/>
      <c r="M10796" s="46"/>
      <c r="R10796" s="51"/>
      <c r="S10796" s="51"/>
    </row>
    <row r="10797" spans="9:19" x14ac:dyDescent="0.25">
      <c r="I10797" s="1"/>
      <c r="J10797" s="71"/>
      <c r="M10797" s="46"/>
      <c r="R10797" s="51"/>
      <c r="S10797" s="51"/>
    </row>
    <row r="10798" spans="9:19" x14ac:dyDescent="0.25">
      <c r="I10798" s="1"/>
      <c r="J10798" s="71"/>
      <c r="M10798" s="46"/>
      <c r="R10798" s="51"/>
      <c r="S10798" s="51"/>
    </row>
    <row r="10799" spans="9:19" x14ac:dyDescent="0.25">
      <c r="I10799" s="1"/>
      <c r="J10799" s="71"/>
      <c r="M10799" s="46"/>
      <c r="R10799" s="51"/>
      <c r="S10799" s="51"/>
    </row>
    <row r="10800" spans="9:19" x14ac:dyDescent="0.25">
      <c r="I10800" s="1"/>
      <c r="J10800" s="71"/>
      <c r="M10800" s="46"/>
      <c r="R10800" s="51"/>
      <c r="S10800" s="51"/>
    </row>
    <row r="10801" spans="9:19" x14ac:dyDescent="0.25">
      <c r="I10801" s="1"/>
      <c r="J10801" s="71"/>
      <c r="M10801" s="46"/>
      <c r="R10801" s="51"/>
      <c r="S10801" s="51"/>
    </row>
    <row r="10802" spans="9:19" x14ac:dyDescent="0.25">
      <c r="I10802" s="1"/>
      <c r="J10802" s="71"/>
      <c r="M10802" s="46"/>
      <c r="R10802" s="51"/>
      <c r="S10802" s="51"/>
    </row>
    <row r="10803" spans="9:19" x14ac:dyDescent="0.25">
      <c r="I10803" s="1"/>
      <c r="J10803" s="71"/>
      <c r="M10803" s="46"/>
      <c r="R10803" s="51"/>
      <c r="S10803" s="51"/>
    </row>
    <row r="10804" spans="9:19" x14ac:dyDescent="0.25">
      <c r="I10804" s="1"/>
      <c r="J10804" s="71"/>
      <c r="M10804" s="46"/>
      <c r="R10804" s="51"/>
      <c r="S10804" s="51"/>
    </row>
    <row r="10805" spans="9:19" x14ac:dyDescent="0.25">
      <c r="I10805" s="1"/>
      <c r="J10805" s="71"/>
      <c r="M10805" s="46"/>
      <c r="R10805" s="51"/>
      <c r="S10805" s="51"/>
    </row>
    <row r="10806" spans="9:19" x14ac:dyDescent="0.25">
      <c r="I10806" s="1"/>
      <c r="J10806" s="71"/>
      <c r="M10806" s="46"/>
      <c r="R10806" s="51"/>
      <c r="S10806" s="51"/>
    </row>
    <row r="10807" spans="9:19" x14ac:dyDescent="0.25">
      <c r="I10807" s="1"/>
      <c r="J10807" s="71"/>
      <c r="M10807" s="46"/>
      <c r="R10807" s="51"/>
      <c r="S10807" s="51"/>
    </row>
    <row r="10808" spans="9:19" x14ac:dyDescent="0.25">
      <c r="I10808" s="1"/>
      <c r="J10808" s="71"/>
      <c r="M10808" s="46"/>
      <c r="R10808" s="51"/>
      <c r="S10808" s="51"/>
    </row>
    <row r="10809" spans="9:19" x14ac:dyDescent="0.25">
      <c r="I10809" s="1"/>
      <c r="J10809" s="71"/>
      <c r="M10809" s="46"/>
      <c r="R10809" s="51"/>
      <c r="S10809" s="51"/>
    </row>
    <row r="10810" spans="9:19" x14ac:dyDescent="0.25">
      <c r="I10810" s="1"/>
      <c r="J10810" s="71"/>
      <c r="M10810" s="46"/>
      <c r="R10810" s="51"/>
      <c r="S10810" s="51"/>
    </row>
    <row r="10811" spans="9:19" x14ac:dyDescent="0.25">
      <c r="I10811" s="1"/>
      <c r="J10811" s="71"/>
      <c r="M10811" s="46"/>
      <c r="R10811" s="51"/>
      <c r="S10811" s="51"/>
    </row>
    <row r="10812" spans="9:19" x14ac:dyDescent="0.25">
      <c r="I10812" s="1"/>
      <c r="J10812" s="71"/>
      <c r="M10812" s="46"/>
      <c r="R10812" s="51"/>
      <c r="S10812" s="51"/>
    </row>
    <row r="10813" spans="9:19" x14ac:dyDescent="0.25">
      <c r="I10813" s="1"/>
      <c r="J10813" s="71"/>
      <c r="M10813" s="46"/>
      <c r="R10813" s="51"/>
      <c r="S10813" s="51"/>
    </row>
    <row r="10814" spans="9:19" x14ac:dyDescent="0.25">
      <c r="I10814" s="1"/>
      <c r="J10814" s="71"/>
      <c r="M10814" s="46"/>
      <c r="R10814" s="51"/>
      <c r="S10814" s="51"/>
    </row>
    <row r="10815" spans="9:19" x14ac:dyDescent="0.25">
      <c r="I10815" s="1"/>
      <c r="J10815" s="71"/>
      <c r="M10815" s="46"/>
      <c r="R10815" s="51"/>
      <c r="S10815" s="51"/>
    </row>
    <row r="10816" spans="9:19" x14ac:dyDescent="0.25">
      <c r="I10816" s="1"/>
      <c r="J10816" s="71"/>
      <c r="M10816" s="46"/>
      <c r="R10816" s="51"/>
      <c r="S10816" s="51"/>
    </row>
    <row r="10817" spans="9:19" x14ac:dyDescent="0.25">
      <c r="I10817" s="1"/>
      <c r="J10817" s="71"/>
      <c r="M10817" s="46"/>
      <c r="R10817" s="51"/>
      <c r="S10817" s="51"/>
    </row>
    <row r="10818" spans="9:19" x14ac:dyDescent="0.25">
      <c r="I10818" s="1"/>
      <c r="J10818" s="71"/>
      <c r="M10818" s="46"/>
      <c r="R10818" s="51"/>
      <c r="S10818" s="51"/>
    </row>
    <row r="10819" spans="9:19" x14ac:dyDescent="0.25">
      <c r="I10819" s="1"/>
      <c r="J10819" s="71"/>
      <c r="M10819" s="46"/>
      <c r="R10819" s="51"/>
      <c r="S10819" s="51"/>
    </row>
    <row r="10820" spans="9:19" x14ac:dyDescent="0.25">
      <c r="I10820" s="1"/>
      <c r="J10820" s="71"/>
      <c r="M10820" s="46"/>
      <c r="R10820" s="51"/>
      <c r="S10820" s="51"/>
    </row>
    <row r="10821" spans="9:19" x14ac:dyDescent="0.25">
      <c r="I10821" s="1"/>
      <c r="J10821" s="71"/>
      <c r="M10821" s="46"/>
      <c r="R10821" s="51"/>
      <c r="S10821" s="51"/>
    </row>
    <row r="10822" spans="9:19" x14ac:dyDescent="0.25">
      <c r="I10822" s="1"/>
      <c r="J10822" s="71"/>
      <c r="M10822" s="46"/>
      <c r="R10822" s="51"/>
      <c r="S10822" s="51"/>
    </row>
    <row r="10823" spans="9:19" x14ac:dyDescent="0.25">
      <c r="I10823" s="1"/>
      <c r="J10823" s="71"/>
      <c r="M10823" s="46"/>
      <c r="R10823" s="51"/>
      <c r="S10823" s="51"/>
    </row>
    <row r="10824" spans="9:19" x14ac:dyDescent="0.25">
      <c r="I10824" s="1"/>
      <c r="J10824" s="71"/>
      <c r="M10824" s="46"/>
      <c r="R10824" s="51"/>
      <c r="S10824" s="51"/>
    </row>
    <row r="10825" spans="9:19" x14ac:dyDescent="0.25">
      <c r="I10825" s="1"/>
      <c r="J10825" s="71"/>
      <c r="M10825" s="46"/>
      <c r="R10825" s="51"/>
      <c r="S10825" s="51"/>
    </row>
    <row r="10826" spans="9:19" x14ac:dyDescent="0.25">
      <c r="I10826" s="1"/>
      <c r="J10826" s="71"/>
      <c r="M10826" s="46"/>
      <c r="R10826" s="51"/>
      <c r="S10826" s="51"/>
    </row>
    <row r="10827" spans="9:19" x14ac:dyDescent="0.25">
      <c r="I10827" s="1"/>
      <c r="J10827" s="71"/>
      <c r="M10827" s="46"/>
      <c r="R10827" s="51"/>
      <c r="S10827" s="51"/>
    </row>
    <row r="10828" spans="9:19" x14ac:dyDescent="0.25">
      <c r="I10828" s="1"/>
      <c r="J10828" s="71"/>
      <c r="M10828" s="46"/>
      <c r="R10828" s="51"/>
      <c r="S10828" s="51"/>
    </row>
    <row r="10829" spans="9:19" x14ac:dyDescent="0.25">
      <c r="I10829" s="1"/>
      <c r="J10829" s="71"/>
      <c r="M10829" s="46"/>
      <c r="R10829" s="51"/>
      <c r="S10829" s="51"/>
    </row>
    <row r="10830" spans="9:19" x14ac:dyDescent="0.25">
      <c r="I10830" s="1"/>
      <c r="J10830" s="71"/>
      <c r="M10830" s="46"/>
      <c r="R10830" s="51"/>
      <c r="S10830" s="51"/>
    </row>
    <row r="10831" spans="9:19" x14ac:dyDescent="0.25">
      <c r="I10831" s="1"/>
      <c r="J10831" s="71"/>
      <c r="M10831" s="46"/>
      <c r="R10831" s="51"/>
      <c r="S10831" s="51"/>
    </row>
    <row r="10832" spans="9:19" x14ac:dyDescent="0.25">
      <c r="I10832" s="1"/>
      <c r="J10832" s="71"/>
      <c r="M10832" s="46"/>
      <c r="R10832" s="51"/>
      <c r="S10832" s="51"/>
    </row>
    <row r="10833" spans="9:19" x14ac:dyDescent="0.25">
      <c r="I10833" s="1"/>
      <c r="J10833" s="71"/>
      <c r="M10833" s="46"/>
      <c r="R10833" s="51"/>
      <c r="S10833" s="51"/>
    </row>
    <row r="10834" spans="9:19" x14ac:dyDescent="0.25">
      <c r="I10834" s="1"/>
      <c r="J10834" s="71"/>
      <c r="M10834" s="46"/>
      <c r="R10834" s="51"/>
      <c r="S10834" s="51"/>
    </row>
    <row r="10835" spans="9:19" x14ac:dyDescent="0.25">
      <c r="I10835" s="1"/>
      <c r="J10835" s="71"/>
      <c r="M10835" s="46"/>
      <c r="R10835" s="51"/>
      <c r="S10835" s="51"/>
    </row>
    <row r="10836" spans="9:19" x14ac:dyDescent="0.25">
      <c r="I10836" s="1"/>
      <c r="J10836" s="71"/>
      <c r="M10836" s="46"/>
      <c r="R10836" s="51"/>
      <c r="S10836" s="51"/>
    </row>
    <row r="10837" spans="9:19" x14ac:dyDescent="0.25">
      <c r="I10837" s="1"/>
      <c r="J10837" s="71"/>
      <c r="M10837" s="46"/>
      <c r="R10837" s="51"/>
      <c r="S10837" s="51"/>
    </row>
    <row r="10838" spans="9:19" x14ac:dyDescent="0.25">
      <c r="I10838" s="1"/>
      <c r="J10838" s="71"/>
      <c r="M10838" s="46"/>
      <c r="R10838" s="51"/>
      <c r="S10838" s="51"/>
    </row>
    <row r="10839" spans="9:19" x14ac:dyDescent="0.25">
      <c r="I10839" s="1"/>
      <c r="J10839" s="71"/>
      <c r="M10839" s="46"/>
      <c r="R10839" s="51"/>
      <c r="S10839" s="51"/>
    </row>
    <row r="10840" spans="9:19" x14ac:dyDescent="0.25">
      <c r="I10840" s="1"/>
      <c r="J10840" s="71"/>
      <c r="M10840" s="46"/>
      <c r="R10840" s="51"/>
      <c r="S10840" s="51"/>
    </row>
    <row r="10841" spans="9:19" x14ac:dyDescent="0.25">
      <c r="I10841" s="1"/>
      <c r="J10841" s="71"/>
      <c r="M10841" s="46"/>
      <c r="R10841" s="51"/>
      <c r="S10841" s="51"/>
    </row>
    <row r="10842" spans="9:19" x14ac:dyDescent="0.25">
      <c r="I10842" s="1"/>
      <c r="J10842" s="71"/>
      <c r="M10842" s="46"/>
      <c r="R10842" s="51"/>
      <c r="S10842" s="51"/>
    </row>
    <row r="10843" spans="9:19" x14ac:dyDescent="0.25">
      <c r="I10843" s="1"/>
      <c r="J10843" s="71"/>
      <c r="M10843" s="46"/>
      <c r="R10843" s="51"/>
      <c r="S10843" s="51"/>
    </row>
    <row r="10844" spans="9:19" x14ac:dyDescent="0.25">
      <c r="I10844" s="1"/>
      <c r="J10844" s="71"/>
      <c r="M10844" s="46"/>
      <c r="R10844" s="51"/>
      <c r="S10844" s="51"/>
    </row>
    <row r="10845" spans="9:19" x14ac:dyDescent="0.25">
      <c r="I10845" s="1"/>
      <c r="J10845" s="71"/>
      <c r="M10845" s="46"/>
      <c r="R10845" s="51"/>
      <c r="S10845" s="51"/>
    </row>
    <row r="10846" spans="9:19" x14ac:dyDescent="0.25">
      <c r="I10846" s="1"/>
      <c r="J10846" s="71"/>
      <c r="M10846" s="46"/>
      <c r="R10846" s="51"/>
      <c r="S10846" s="51"/>
    </row>
    <row r="10847" spans="9:19" x14ac:dyDescent="0.25">
      <c r="I10847" s="1"/>
      <c r="J10847" s="71"/>
      <c r="M10847" s="46"/>
      <c r="R10847" s="51"/>
      <c r="S10847" s="51"/>
    </row>
    <row r="10848" spans="9:19" x14ac:dyDescent="0.25">
      <c r="I10848" s="1"/>
      <c r="J10848" s="71"/>
      <c r="M10848" s="46"/>
      <c r="R10848" s="51"/>
      <c r="S10848" s="51"/>
    </row>
    <row r="10849" spans="9:19" x14ac:dyDescent="0.25">
      <c r="I10849" s="1"/>
      <c r="J10849" s="71"/>
      <c r="M10849" s="46"/>
      <c r="R10849" s="51"/>
      <c r="S10849" s="51"/>
    </row>
    <row r="10850" spans="9:19" x14ac:dyDescent="0.25">
      <c r="I10850" s="1"/>
      <c r="J10850" s="71"/>
      <c r="M10850" s="46"/>
      <c r="R10850" s="51"/>
      <c r="S10850" s="51"/>
    </row>
    <row r="10851" spans="9:19" x14ac:dyDescent="0.25">
      <c r="I10851" s="1"/>
      <c r="J10851" s="71"/>
      <c r="M10851" s="46"/>
      <c r="R10851" s="51"/>
      <c r="S10851" s="51"/>
    </row>
    <row r="10852" spans="9:19" x14ac:dyDescent="0.25">
      <c r="I10852" s="1"/>
      <c r="J10852" s="71"/>
      <c r="M10852" s="46"/>
      <c r="R10852" s="51"/>
      <c r="S10852" s="51"/>
    </row>
    <row r="10853" spans="9:19" x14ac:dyDescent="0.25">
      <c r="I10853" s="1"/>
      <c r="J10853" s="71"/>
      <c r="M10853" s="46"/>
      <c r="R10853" s="51"/>
      <c r="S10853" s="51"/>
    </row>
    <row r="10854" spans="9:19" x14ac:dyDescent="0.25">
      <c r="I10854" s="1"/>
      <c r="J10854" s="71"/>
      <c r="M10854" s="46"/>
      <c r="R10854" s="51"/>
      <c r="S10854" s="51"/>
    </row>
    <row r="10855" spans="9:19" x14ac:dyDescent="0.25">
      <c r="I10855" s="1"/>
      <c r="J10855" s="71"/>
      <c r="M10855" s="46"/>
      <c r="R10855" s="51"/>
      <c r="S10855" s="51"/>
    </row>
    <row r="10856" spans="9:19" x14ac:dyDescent="0.25">
      <c r="I10856" s="1"/>
      <c r="J10856" s="71"/>
      <c r="M10856" s="46"/>
      <c r="R10856" s="51"/>
      <c r="S10856" s="51"/>
    </row>
    <row r="10857" spans="9:19" x14ac:dyDescent="0.25">
      <c r="I10857" s="1"/>
      <c r="J10857" s="71"/>
      <c r="M10857" s="46"/>
      <c r="R10857" s="51"/>
      <c r="S10857" s="51"/>
    </row>
    <row r="10858" spans="9:19" x14ac:dyDescent="0.25">
      <c r="I10858" s="1"/>
      <c r="J10858" s="71"/>
      <c r="M10858" s="46"/>
      <c r="R10858" s="51"/>
      <c r="S10858" s="51"/>
    </row>
    <row r="10859" spans="9:19" x14ac:dyDescent="0.25">
      <c r="I10859" s="1"/>
      <c r="J10859" s="71"/>
      <c r="M10859" s="46"/>
      <c r="R10859" s="51"/>
      <c r="S10859" s="51"/>
    </row>
    <row r="10860" spans="9:19" x14ac:dyDescent="0.25">
      <c r="I10860" s="1"/>
      <c r="J10860" s="71"/>
      <c r="M10860" s="46"/>
      <c r="R10860" s="51"/>
      <c r="S10860" s="51"/>
    </row>
    <row r="10861" spans="9:19" x14ac:dyDescent="0.25">
      <c r="I10861" s="1"/>
      <c r="J10861" s="71"/>
      <c r="M10861" s="46"/>
      <c r="R10861" s="51"/>
      <c r="S10861" s="51"/>
    </row>
    <row r="10862" spans="9:19" x14ac:dyDescent="0.25">
      <c r="I10862" s="1"/>
      <c r="J10862" s="71"/>
      <c r="M10862" s="46"/>
      <c r="R10862" s="51"/>
      <c r="S10862" s="51"/>
    </row>
    <row r="10863" spans="9:19" x14ac:dyDescent="0.25">
      <c r="I10863" s="1"/>
      <c r="J10863" s="71"/>
      <c r="M10863" s="46"/>
      <c r="R10863" s="51"/>
      <c r="S10863" s="51"/>
    </row>
    <row r="10864" spans="9:19" x14ac:dyDescent="0.25">
      <c r="I10864" s="1"/>
      <c r="J10864" s="71"/>
      <c r="M10864" s="46"/>
      <c r="R10864" s="51"/>
      <c r="S10864" s="51"/>
    </row>
    <row r="10865" spans="9:19" x14ac:dyDescent="0.25">
      <c r="I10865" s="1"/>
      <c r="J10865" s="71"/>
      <c r="M10865" s="46"/>
      <c r="R10865" s="51"/>
      <c r="S10865" s="51"/>
    </row>
    <row r="10866" spans="9:19" x14ac:dyDescent="0.25">
      <c r="I10866" s="1"/>
      <c r="J10866" s="71"/>
      <c r="M10866" s="46"/>
      <c r="R10866" s="51"/>
      <c r="S10866" s="51"/>
    </row>
    <row r="10867" spans="9:19" x14ac:dyDescent="0.25">
      <c r="I10867" s="1"/>
      <c r="J10867" s="71"/>
      <c r="M10867" s="46"/>
      <c r="R10867" s="51"/>
      <c r="S10867" s="51"/>
    </row>
    <row r="10868" spans="9:19" x14ac:dyDescent="0.25">
      <c r="I10868" s="1"/>
      <c r="J10868" s="71"/>
      <c r="M10868" s="46"/>
      <c r="R10868" s="51"/>
      <c r="S10868" s="51"/>
    </row>
    <row r="10869" spans="9:19" x14ac:dyDescent="0.25">
      <c r="I10869" s="1"/>
      <c r="J10869" s="71"/>
      <c r="M10869" s="46"/>
      <c r="R10869" s="51"/>
      <c r="S10869" s="51"/>
    </row>
    <row r="10870" spans="9:19" x14ac:dyDescent="0.25">
      <c r="I10870" s="1"/>
      <c r="J10870" s="71"/>
      <c r="M10870" s="46"/>
      <c r="R10870" s="51"/>
      <c r="S10870" s="51"/>
    </row>
    <row r="10871" spans="9:19" x14ac:dyDescent="0.25">
      <c r="I10871" s="1"/>
      <c r="J10871" s="71"/>
      <c r="M10871" s="46"/>
      <c r="R10871" s="51"/>
      <c r="S10871" s="51"/>
    </row>
    <row r="10872" spans="9:19" x14ac:dyDescent="0.25">
      <c r="I10872" s="1"/>
      <c r="J10872" s="71"/>
      <c r="M10872" s="46"/>
      <c r="R10872" s="51"/>
      <c r="S10872" s="51"/>
    </row>
    <row r="10873" spans="9:19" x14ac:dyDescent="0.25">
      <c r="I10873" s="1"/>
      <c r="J10873" s="71"/>
      <c r="M10873" s="46"/>
      <c r="R10873" s="51"/>
      <c r="S10873" s="51"/>
    </row>
    <row r="10874" spans="9:19" x14ac:dyDescent="0.25">
      <c r="I10874" s="1"/>
      <c r="J10874" s="71"/>
      <c r="M10874" s="46"/>
      <c r="R10874" s="51"/>
      <c r="S10874" s="51"/>
    </row>
    <row r="10875" spans="9:19" x14ac:dyDescent="0.25">
      <c r="I10875" s="1"/>
      <c r="J10875" s="71"/>
      <c r="M10875" s="46"/>
      <c r="R10875" s="51"/>
      <c r="S10875" s="51"/>
    </row>
    <row r="10876" spans="9:19" x14ac:dyDescent="0.25">
      <c r="I10876" s="1"/>
      <c r="J10876" s="71"/>
      <c r="M10876" s="46"/>
      <c r="R10876" s="51"/>
      <c r="S10876" s="51"/>
    </row>
    <row r="10877" spans="9:19" x14ac:dyDescent="0.25">
      <c r="I10877" s="1"/>
      <c r="J10877" s="71"/>
      <c r="M10877" s="46"/>
      <c r="R10877" s="51"/>
      <c r="S10877" s="51"/>
    </row>
    <row r="10878" spans="9:19" x14ac:dyDescent="0.25">
      <c r="I10878" s="1"/>
      <c r="J10878" s="71"/>
      <c r="M10878" s="46"/>
      <c r="R10878" s="51"/>
      <c r="S10878" s="51"/>
    </row>
    <row r="10879" spans="9:19" x14ac:dyDescent="0.25">
      <c r="I10879" s="1"/>
      <c r="J10879" s="71"/>
      <c r="M10879" s="46"/>
      <c r="R10879" s="51"/>
      <c r="S10879" s="51"/>
    </row>
    <row r="10880" spans="9:19" x14ac:dyDescent="0.25">
      <c r="I10880" s="1"/>
      <c r="J10880" s="71"/>
      <c r="M10880" s="46"/>
      <c r="R10880" s="51"/>
      <c r="S10880" s="51"/>
    </row>
    <row r="10881" spans="9:19" x14ac:dyDescent="0.25">
      <c r="I10881" s="1"/>
      <c r="J10881" s="71"/>
      <c r="M10881" s="46"/>
      <c r="R10881" s="51"/>
      <c r="S10881" s="51"/>
    </row>
    <row r="10882" spans="9:19" x14ac:dyDescent="0.25">
      <c r="I10882" s="1"/>
      <c r="J10882" s="71"/>
      <c r="M10882" s="46"/>
      <c r="R10882" s="51"/>
      <c r="S10882" s="51"/>
    </row>
    <row r="10883" spans="9:19" x14ac:dyDescent="0.25">
      <c r="I10883" s="1"/>
      <c r="J10883" s="71"/>
      <c r="M10883" s="46"/>
      <c r="R10883" s="51"/>
      <c r="S10883" s="51"/>
    </row>
    <row r="10884" spans="9:19" x14ac:dyDescent="0.25">
      <c r="I10884" s="1"/>
      <c r="J10884" s="71"/>
      <c r="M10884" s="46"/>
      <c r="R10884" s="51"/>
      <c r="S10884" s="51"/>
    </row>
    <row r="10885" spans="9:19" x14ac:dyDescent="0.25">
      <c r="I10885" s="1"/>
      <c r="J10885" s="71"/>
      <c r="M10885" s="46"/>
      <c r="R10885" s="51"/>
      <c r="S10885" s="51"/>
    </row>
    <row r="10886" spans="9:19" x14ac:dyDescent="0.25">
      <c r="I10886" s="1"/>
      <c r="J10886" s="71"/>
      <c r="M10886" s="46"/>
      <c r="R10886" s="51"/>
      <c r="S10886" s="51"/>
    </row>
    <row r="10887" spans="9:19" x14ac:dyDescent="0.25">
      <c r="I10887" s="1"/>
      <c r="J10887" s="71"/>
      <c r="M10887" s="46"/>
      <c r="R10887" s="51"/>
      <c r="S10887" s="51"/>
    </row>
    <row r="10888" spans="9:19" x14ac:dyDescent="0.25">
      <c r="I10888" s="1"/>
      <c r="J10888" s="71"/>
      <c r="M10888" s="46"/>
      <c r="R10888" s="51"/>
      <c r="S10888" s="51"/>
    </row>
    <row r="10889" spans="9:19" x14ac:dyDescent="0.25">
      <c r="I10889" s="1"/>
      <c r="J10889" s="71"/>
      <c r="M10889" s="46"/>
      <c r="R10889" s="51"/>
      <c r="S10889" s="51"/>
    </row>
    <row r="10890" spans="9:19" x14ac:dyDescent="0.25">
      <c r="I10890" s="1"/>
      <c r="J10890" s="71"/>
      <c r="M10890" s="46"/>
      <c r="R10890" s="51"/>
      <c r="S10890" s="51"/>
    </row>
    <row r="10891" spans="9:19" x14ac:dyDescent="0.25">
      <c r="I10891" s="1"/>
      <c r="J10891" s="71"/>
      <c r="M10891" s="46"/>
      <c r="R10891" s="51"/>
      <c r="S10891" s="51"/>
    </row>
    <row r="10892" spans="9:19" x14ac:dyDescent="0.25">
      <c r="I10892" s="1"/>
      <c r="J10892" s="71"/>
      <c r="M10892" s="46"/>
      <c r="R10892" s="51"/>
      <c r="S10892" s="51"/>
    </row>
    <row r="10893" spans="9:19" x14ac:dyDescent="0.25">
      <c r="I10893" s="1"/>
      <c r="J10893" s="71"/>
      <c r="M10893" s="46"/>
      <c r="R10893" s="51"/>
      <c r="S10893" s="51"/>
    </row>
    <row r="10894" spans="9:19" x14ac:dyDescent="0.25">
      <c r="I10894" s="1"/>
      <c r="J10894" s="71"/>
      <c r="M10894" s="46"/>
      <c r="R10894" s="51"/>
      <c r="S10894" s="51"/>
    </row>
    <row r="10895" spans="9:19" x14ac:dyDescent="0.25">
      <c r="I10895" s="1"/>
      <c r="J10895" s="71"/>
      <c r="M10895" s="46"/>
      <c r="R10895" s="51"/>
      <c r="S10895" s="51"/>
    </row>
    <row r="10896" spans="9:19" x14ac:dyDescent="0.25">
      <c r="I10896" s="1"/>
      <c r="J10896" s="71"/>
      <c r="M10896" s="46"/>
      <c r="R10896" s="51"/>
      <c r="S10896" s="51"/>
    </row>
    <row r="10897" spans="9:19" x14ac:dyDescent="0.25">
      <c r="I10897" s="1"/>
      <c r="J10897" s="71"/>
      <c r="M10897" s="46"/>
      <c r="R10897" s="51"/>
      <c r="S10897" s="51"/>
    </row>
    <row r="10898" spans="9:19" x14ac:dyDescent="0.25">
      <c r="I10898" s="1"/>
      <c r="J10898" s="71"/>
      <c r="M10898" s="46"/>
      <c r="R10898" s="51"/>
      <c r="S10898" s="51"/>
    </row>
    <row r="10899" spans="9:19" x14ac:dyDescent="0.25">
      <c r="I10899" s="1"/>
      <c r="J10899" s="71"/>
      <c r="M10899" s="46"/>
      <c r="R10899" s="51"/>
      <c r="S10899" s="51"/>
    </row>
    <row r="10900" spans="9:19" x14ac:dyDescent="0.25">
      <c r="I10900" s="1"/>
      <c r="J10900" s="71"/>
      <c r="M10900" s="46"/>
      <c r="R10900" s="51"/>
      <c r="S10900" s="51"/>
    </row>
    <row r="10901" spans="9:19" x14ac:dyDescent="0.25">
      <c r="I10901" s="1"/>
      <c r="J10901" s="71"/>
      <c r="M10901" s="46"/>
      <c r="R10901" s="51"/>
      <c r="S10901" s="51"/>
    </row>
    <row r="10902" spans="9:19" x14ac:dyDescent="0.25">
      <c r="I10902" s="1"/>
      <c r="J10902" s="71"/>
      <c r="M10902" s="46"/>
      <c r="R10902" s="51"/>
      <c r="S10902" s="51"/>
    </row>
    <row r="10903" spans="9:19" x14ac:dyDescent="0.25">
      <c r="I10903" s="1"/>
      <c r="J10903" s="71"/>
      <c r="M10903" s="46"/>
      <c r="R10903" s="51"/>
      <c r="S10903" s="51"/>
    </row>
    <row r="10904" spans="9:19" x14ac:dyDescent="0.25">
      <c r="I10904" s="1"/>
      <c r="J10904" s="71"/>
      <c r="M10904" s="46"/>
      <c r="R10904" s="51"/>
      <c r="S10904" s="51"/>
    </row>
    <row r="10905" spans="9:19" x14ac:dyDescent="0.25">
      <c r="I10905" s="1"/>
      <c r="J10905" s="71"/>
      <c r="M10905" s="46"/>
      <c r="R10905" s="51"/>
      <c r="S10905" s="51"/>
    </row>
    <row r="10906" spans="9:19" x14ac:dyDescent="0.25">
      <c r="I10906" s="1"/>
      <c r="J10906" s="71"/>
      <c r="M10906" s="46"/>
      <c r="R10906" s="51"/>
      <c r="S10906" s="51"/>
    </row>
    <row r="10907" spans="9:19" x14ac:dyDescent="0.25">
      <c r="I10907" s="1"/>
      <c r="J10907" s="71"/>
      <c r="M10907" s="46"/>
      <c r="R10907" s="51"/>
      <c r="S10907" s="51"/>
    </row>
    <row r="10908" spans="9:19" x14ac:dyDescent="0.25">
      <c r="I10908" s="1"/>
      <c r="J10908" s="71"/>
      <c r="M10908" s="46"/>
      <c r="R10908" s="51"/>
      <c r="S10908" s="51"/>
    </row>
    <row r="10909" spans="9:19" x14ac:dyDescent="0.25">
      <c r="I10909" s="1"/>
      <c r="J10909" s="71"/>
      <c r="M10909" s="46"/>
      <c r="R10909" s="51"/>
      <c r="S10909" s="51"/>
    </row>
    <row r="10910" spans="9:19" x14ac:dyDescent="0.25">
      <c r="I10910" s="1"/>
      <c r="J10910" s="71"/>
      <c r="M10910" s="46"/>
      <c r="R10910" s="51"/>
      <c r="S10910" s="51"/>
    </row>
    <row r="10911" spans="9:19" x14ac:dyDescent="0.25">
      <c r="I10911" s="1"/>
      <c r="J10911" s="71"/>
      <c r="M10911" s="46"/>
      <c r="R10911" s="51"/>
      <c r="S10911" s="51"/>
    </row>
    <row r="10912" spans="9:19" x14ac:dyDescent="0.25">
      <c r="I10912" s="1"/>
      <c r="J10912" s="71"/>
      <c r="M10912" s="46"/>
      <c r="R10912" s="51"/>
      <c r="S10912" s="51"/>
    </row>
    <row r="10913" spans="9:19" x14ac:dyDescent="0.25">
      <c r="I10913" s="1"/>
      <c r="J10913" s="71"/>
      <c r="M10913" s="46"/>
      <c r="R10913" s="51"/>
      <c r="S10913" s="51"/>
    </row>
    <row r="10914" spans="9:19" x14ac:dyDescent="0.25">
      <c r="I10914" s="1"/>
      <c r="J10914" s="71"/>
      <c r="M10914" s="46"/>
      <c r="R10914" s="51"/>
      <c r="S10914" s="51"/>
    </row>
    <row r="10915" spans="9:19" x14ac:dyDescent="0.25">
      <c r="I10915" s="1"/>
      <c r="J10915" s="71"/>
      <c r="M10915" s="46"/>
      <c r="R10915" s="51"/>
      <c r="S10915" s="51"/>
    </row>
    <row r="10916" spans="9:19" x14ac:dyDescent="0.25">
      <c r="I10916" s="1"/>
      <c r="J10916" s="71"/>
      <c r="M10916" s="46"/>
      <c r="R10916" s="51"/>
      <c r="S10916" s="51"/>
    </row>
    <row r="10917" spans="9:19" x14ac:dyDescent="0.25">
      <c r="I10917" s="1"/>
      <c r="J10917" s="71"/>
      <c r="M10917" s="46"/>
      <c r="R10917" s="51"/>
      <c r="S10917" s="51"/>
    </row>
    <row r="10918" spans="9:19" x14ac:dyDescent="0.25">
      <c r="I10918" s="1"/>
      <c r="J10918" s="71"/>
      <c r="M10918" s="46"/>
      <c r="R10918" s="51"/>
      <c r="S10918" s="51"/>
    </row>
    <row r="10919" spans="9:19" x14ac:dyDescent="0.25">
      <c r="I10919" s="1"/>
      <c r="J10919" s="71"/>
      <c r="M10919" s="46"/>
      <c r="R10919" s="51"/>
      <c r="S10919" s="51"/>
    </row>
    <row r="10920" spans="9:19" x14ac:dyDescent="0.25">
      <c r="I10920" s="1"/>
      <c r="J10920" s="71"/>
      <c r="M10920" s="46"/>
      <c r="R10920" s="51"/>
      <c r="S10920" s="51"/>
    </row>
    <row r="10921" spans="9:19" x14ac:dyDescent="0.25">
      <c r="I10921" s="1"/>
      <c r="J10921" s="71"/>
      <c r="M10921" s="46"/>
      <c r="R10921" s="51"/>
      <c r="S10921" s="51"/>
    </row>
    <row r="10922" spans="9:19" x14ac:dyDescent="0.25">
      <c r="I10922" s="1"/>
      <c r="J10922" s="71"/>
      <c r="M10922" s="46"/>
      <c r="R10922" s="51"/>
      <c r="S10922" s="51"/>
    </row>
    <row r="10923" spans="9:19" x14ac:dyDescent="0.25">
      <c r="I10923" s="1"/>
      <c r="J10923" s="71"/>
      <c r="M10923" s="46"/>
      <c r="R10923" s="51"/>
      <c r="S10923" s="51"/>
    </row>
    <row r="10924" spans="9:19" x14ac:dyDescent="0.25">
      <c r="I10924" s="1"/>
      <c r="J10924" s="71"/>
      <c r="M10924" s="46"/>
      <c r="R10924" s="51"/>
      <c r="S10924" s="51"/>
    </row>
    <row r="10925" spans="9:19" x14ac:dyDescent="0.25">
      <c r="I10925" s="1"/>
      <c r="J10925" s="71"/>
      <c r="M10925" s="46"/>
      <c r="R10925" s="51"/>
      <c r="S10925" s="51"/>
    </row>
    <row r="10926" spans="9:19" x14ac:dyDescent="0.25">
      <c r="I10926" s="1"/>
      <c r="J10926" s="71"/>
      <c r="M10926" s="46"/>
      <c r="R10926" s="51"/>
      <c r="S10926" s="51"/>
    </row>
    <row r="10927" spans="9:19" x14ac:dyDescent="0.25">
      <c r="I10927" s="1"/>
      <c r="J10927" s="71"/>
      <c r="M10927" s="46"/>
      <c r="R10927" s="51"/>
      <c r="S10927" s="51"/>
    </row>
    <row r="10928" spans="9:19" x14ac:dyDescent="0.25">
      <c r="I10928" s="1"/>
      <c r="J10928" s="71"/>
      <c r="M10928" s="46"/>
      <c r="R10928" s="51"/>
      <c r="S10928" s="51"/>
    </row>
    <row r="10929" spans="9:19" x14ac:dyDescent="0.25">
      <c r="I10929" s="1"/>
      <c r="J10929" s="71"/>
      <c r="M10929" s="46"/>
      <c r="R10929" s="51"/>
      <c r="S10929" s="51"/>
    </row>
    <row r="10930" spans="9:19" x14ac:dyDescent="0.25">
      <c r="I10930" s="1"/>
      <c r="J10930" s="71"/>
      <c r="M10930" s="46"/>
      <c r="R10930" s="51"/>
      <c r="S10930" s="51"/>
    </row>
    <row r="10931" spans="9:19" x14ac:dyDescent="0.25">
      <c r="I10931" s="1"/>
      <c r="J10931" s="71"/>
      <c r="M10931" s="46"/>
      <c r="R10931" s="51"/>
      <c r="S10931" s="51"/>
    </row>
    <row r="10932" spans="9:19" x14ac:dyDescent="0.25">
      <c r="I10932" s="1"/>
      <c r="J10932" s="71"/>
      <c r="M10932" s="46"/>
      <c r="R10932" s="51"/>
      <c r="S10932" s="51"/>
    </row>
    <row r="10933" spans="9:19" x14ac:dyDescent="0.25">
      <c r="I10933" s="1"/>
      <c r="J10933" s="71"/>
      <c r="M10933" s="46"/>
      <c r="R10933" s="51"/>
      <c r="S10933" s="51"/>
    </row>
    <row r="10934" spans="9:19" x14ac:dyDescent="0.25">
      <c r="I10934" s="1"/>
      <c r="J10934" s="71"/>
      <c r="M10934" s="46"/>
      <c r="R10934" s="51"/>
      <c r="S10934" s="51"/>
    </row>
    <row r="10935" spans="9:19" x14ac:dyDescent="0.25">
      <c r="I10935" s="1"/>
      <c r="J10935" s="71"/>
      <c r="M10935" s="46"/>
      <c r="R10935" s="51"/>
      <c r="S10935" s="51"/>
    </row>
    <row r="10936" spans="9:19" x14ac:dyDescent="0.25">
      <c r="I10936" s="1"/>
      <c r="J10936" s="71"/>
      <c r="M10936" s="46"/>
      <c r="R10936" s="51"/>
      <c r="S10936" s="51"/>
    </row>
    <row r="10937" spans="9:19" x14ac:dyDescent="0.25">
      <c r="I10937" s="1"/>
      <c r="J10937" s="71"/>
      <c r="M10937" s="46"/>
      <c r="R10937" s="51"/>
      <c r="S10937" s="51"/>
    </row>
    <row r="10938" spans="9:19" x14ac:dyDescent="0.25">
      <c r="I10938" s="1"/>
      <c r="J10938" s="71"/>
      <c r="M10938" s="46"/>
      <c r="R10938" s="51"/>
      <c r="S10938" s="51"/>
    </row>
    <row r="10939" spans="9:19" x14ac:dyDescent="0.25">
      <c r="I10939" s="1"/>
      <c r="J10939" s="71"/>
      <c r="M10939" s="46"/>
      <c r="R10939" s="51"/>
      <c r="S10939" s="51"/>
    </row>
    <row r="10940" spans="9:19" x14ac:dyDescent="0.25">
      <c r="I10940" s="1"/>
      <c r="J10940" s="71"/>
      <c r="M10940" s="46"/>
      <c r="R10940" s="51"/>
      <c r="S10940" s="51"/>
    </row>
    <row r="10941" spans="9:19" x14ac:dyDescent="0.25">
      <c r="I10941" s="1"/>
      <c r="J10941" s="71"/>
      <c r="M10941" s="46"/>
      <c r="R10941" s="51"/>
      <c r="S10941" s="51"/>
    </row>
    <row r="10942" spans="9:19" x14ac:dyDescent="0.25">
      <c r="I10942" s="1"/>
      <c r="J10942" s="71"/>
      <c r="M10942" s="46"/>
      <c r="R10942" s="51"/>
      <c r="S10942" s="51"/>
    </row>
    <row r="10943" spans="9:19" x14ac:dyDescent="0.25">
      <c r="I10943" s="1"/>
      <c r="J10943" s="71"/>
      <c r="M10943" s="46"/>
      <c r="R10943" s="51"/>
      <c r="S10943" s="51"/>
    </row>
    <row r="10944" spans="9:19" x14ac:dyDescent="0.25">
      <c r="I10944" s="1"/>
      <c r="J10944" s="71"/>
      <c r="M10944" s="46"/>
      <c r="R10944" s="51"/>
      <c r="S10944" s="51"/>
    </row>
    <row r="10945" spans="9:19" x14ac:dyDescent="0.25">
      <c r="I10945" s="1"/>
      <c r="J10945" s="71"/>
      <c r="M10945" s="46"/>
      <c r="R10945" s="51"/>
      <c r="S10945" s="51"/>
    </row>
    <row r="10946" spans="9:19" x14ac:dyDescent="0.25">
      <c r="I10946" s="1"/>
      <c r="J10946" s="71"/>
      <c r="M10946" s="46"/>
      <c r="R10946" s="51"/>
      <c r="S10946" s="51"/>
    </row>
    <row r="10947" spans="9:19" x14ac:dyDescent="0.25">
      <c r="I10947" s="1"/>
      <c r="J10947" s="71"/>
      <c r="M10947" s="46"/>
      <c r="R10947" s="51"/>
      <c r="S10947" s="51"/>
    </row>
    <row r="10948" spans="9:19" x14ac:dyDescent="0.25">
      <c r="I10948" s="1"/>
      <c r="J10948" s="71"/>
      <c r="M10948" s="46"/>
      <c r="R10948" s="51"/>
      <c r="S10948" s="51"/>
    </row>
    <row r="10949" spans="9:19" x14ac:dyDescent="0.25">
      <c r="I10949" s="1"/>
      <c r="J10949" s="71"/>
      <c r="M10949" s="46"/>
      <c r="R10949" s="51"/>
      <c r="S10949" s="51"/>
    </row>
    <row r="10950" spans="9:19" x14ac:dyDescent="0.25">
      <c r="I10950" s="1"/>
      <c r="J10950" s="71"/>
      <c r="M10950" s="46"/>
      <c r="R10950" s="51"/>
      <c r="S10950" s="51"/>
    </row>
    <row r="10951" spans="9:19" x14ac:dyDescent="0.25">
      <c r="I10951" s="1"/>
      <c r="J10951" s="71"/>
      <c r="M10951" s="46"/>
      <c r="R10951" s="51"/>
      <c r="S10951" s="51"/>
    </row>
    <row r="10952" spans="9:19" x14ac:dyDescent="0.25">
      <c r="I10952" s="1"/>
      <c r="J10952" s="71"/>
      <c r="M10952" s="46"/>
      <c r="R10952" s="51"/>
      <c r="S10952" s="51"/>
    </row>
    <row r="10953" spans="9:19" x14ac:dyDescent="0.25">
      <c r="I10953" s="1"/>
      <c r="J10953" s="71"/>
      <c r="M10953" s="46"/>
      <c r="R10953" s="51"/>
      <c r="S10953" s="51"/>
    </row>
    <row r="10954" spans="9:19" x14ac:dyDescent="0.25">
      <c r="I10954" s="1"/>
      <c r="J10954" s="71"/>
      <c r="M10954" s="46"/>
      <c r="R10954" s="51"/>
      <c r="S10954" s="51"/>
    </row>
    <row r="10955" spans="9:19" x14ac:dyDescent="0.25">
      <c r="I10955" s="1"/>
      <c r="J10955" s="71"/>
      <c r="M10955" s="46"/>
      <c r="R10955" s="51"/>
      <c r="S10955" s="51"/>
    </row>
    <row r="10956" spans="9:19" x14ac:dyDescent="0.25">
      <c r="I10956" s="1"/>
      <c r="J10956" s="71"/>
      <c r="M10956" s="46"/>
      <c r="R10956" s="51"/>
      <c r="S10956" s="51"/>
    </row>
    <row r="10957" spans="9:19" x14ac:dyDescent="0.25">
      <c r="I10957" s="1"/>
      <c r="J10957" s="71"/>
      <c r="M10957" s="46"/>
      <c r="R10957" s="51"/>
      <c r="S10957" s="51"/>
    </row>
    <row r="10958" spans="9:19" x14ac:dyDescent="0.25">
      <c r="I10958" s="1"/>
      <c r="J10958" s="71"/>
      <c r="M10958" s="46"/>
      <c r="R10958" s="51"/>
      <c r="S10958" s="51"/>
    </row>
    <row r="10959" spans="9:19" x14ac:dyDescent="0.25">
      <c r="I10959" s="1"/>
      <c r="J10959" s="71"/>
      <c r="M10959" s="46"/>
      <c r="R10959" s="51"/>
      <c r="S10959" s="51"/>
    </row>
    <row r="10960" spans="9:19" x14ac:dyDescent="0.25">
      <c r="I10960" s="1"/>
      <c r="J10960" s="71"/>
      <c r="M10960" s="46"/>
      <c r="R10960" s="51"/>
      <c r="S10960" s="51"/>
    </row>
    <row r="10961" spans="9:19" x14ac:dyDescent="0.25">
      <c r="I10961" s="1"/>
      <c r="J10961" s="71"/>
      <c r="M10961" s="46"/>
      <c r="R10961" s="51"/>
      <c r="S10961" s="51"/>
    </row>
    <row r="10962" spans="9:19" x14ac:dyDescent="0.25">
      <c r="I10962" s="1"/>
      <c r="J10962" s="71"/>
      <c r="M10962" s="46"/>
      <c r="R10962" s="51"/>
      <c r="S10962" s="51"/>
    </row>
    <row r="10963" spans="9:19" x14ac:dyDescent="0.25">
      <c r="I10963" s="1"/>
      <c r="J10963" s="71"/>
      <c r="M10963" s="46"/>
      <c r="R10963" s="51"/>
      <c r="S10963" s="51"/>
    </row>
    <row r="10964" spans="9:19" x14ac:dyDescent="0.25">
      <c r="I10964" s="1"/>
      <c r="J10964" s="71"/>
      <c r="M10964" s="46"/>
      <c r="R10964" s="51"/>
      <c r="S10964" s="51"/>
    </row>
    <row r="10965" spans="9:19" x14ac:dyDescent="0.25">
      <c r="I10965" s="1"/>
      <c r="J10965" s="71"/>
      <c r="M10965" s="46"/>
      <c r="R10965" s="51"/>
      <c r="S10965" s="51"/>
    </row>
    <row r="10966" spans="9:19" x14ac:dyDescent="0.25">
      <c r="I10966" s="1"/>
      <c r="J10966" s="71"/>
      <c r="M10966" s="46"/>
      <c r="R10966" s="51"/>
      <c r="S10966" s="51"/>
    </row>
    <row r="10967" spans="9:19" x14ac:dyDescent="0.25">
      <c r="I10967" s="1"/>
      <c r="J10967" s="71"/>
      <c r="M10967" s="46"/>
      <c r="R10967" s="51"/>
      <c r="S10967" s="51"/>
    </row>
    <row r="10968" spans="9:19" x14ac:dyDescent="0.25">
      <c r="I10968" s="1"/>
      <c r="J10968" s="71"/>
      <c r="M10968" s="46"/>
      <c r="R10968" s="51"/>
      <c r="S10968" s="51"/>
    </row>
    <row r="10969" spans="9:19" x14ac:dyDescent="0.25">
      <c r="I10969" s="1"/>
      <c r="J10969" s="71"/>
      <c r="M10969" s="46"/>
      <c r="R10969" s="51"/>
      <c r="S10969" s="51"/>
    </row>
    <row r="10970" spans="9:19" x14ac:dyDescent="0.25">
      <c r="I10970" s="1"/>
      <c r="J10970" s="71"/>
      <c r="M10970" s="46"/>
      <c r="R10970" s="51"/>
      <c r="S10970" s="51"/>
    </row>
    <row r="10971" spans="9:19" x14ac:dyDescent="0.25">
      <c r="I10971" s="1"/>
      <c r="J10971" s="71"/>
      <c r="M10971" s="46"/>
      <c r="R10971" s="51"/>
      <c r="S10971" s="51"/>
    </row>
    <row r="10972" spans="9:19" x14ac:dyDescent="0.25">
      <c r="I10972" s="1"/>
      <c r="J10972" s="71"/>
      <c r="M10972" s="46"/>
      <c r="R10972" s="51"/>
      <c r="S10972" s="51"/>
    </row>
    <row r="10973" spans="9:19" x14ac:dyDescent="0.25">
      <c r="I10973" s="1"/>
      <c r="J10973" s="71"/>
      <c r="M10973" s="46"/>
      <c r="R10973" s="51"/>
      <c r="S10973" s="51"/>
    </row>
    <row r="10974" spans="9:19" x14ac:dyDescent="0.25">
      <c r="I10974" s="1"/>
      <c r="J10974" s="71"/>
      <c r="M10974" s="46"/>
      <c r="R10974" s="51"/>
      <c r="S10974" s="51"/>
    </row>
    <row r="10975" spans="9:19" x14ac:dyDescent="0.25">
      <c r="I10975" s="1"/>
      <c r="J10975" s="71"/>
      <c r="M10975" s="46"/>
      <c r="R10975" s="51"/>
      <c r="S10975" s="51"/>
    </row>
    <row r="10976" spans="9:19" x14ac:dyDescent="0.25">
      <c r="I10976" s="1"/>
      <c r="J10976" s="71"/>
      <c r="M10976" s="46"/>
      <c r="R10976" s="51"/>
      <c r="S10976" s="51"/>
    </row>
    <row r="10977" spans="9:19" x14ac:dyDescent="0.25">
      <c r="I10977" s="1"/>
      <c r="J10977" s="71"/>
      <c r="M10977" s="46"/>
      <c r="R10977" s="51"/>
      <c r="S10977" s="51"/>
    </row>
    <row r="10978" spans="9:19" x14ac:dyDescent="0.25">
      <c r="I10978" s="1"/>
      <c r="J10978" s="71"/>
      <c r="M10978" s="46"/>
      <c r="R10978" s="51"/>
      <c r="S10978" s="51"/>
    </row>
    <row r="10979" spans="9:19" x14ac:dyDescent="0.25">
      <c r="I10979" s="1"/>
      <c r="J10979" s="71"/>
      <c r="M10979" s="46"/>
      <c r="R10979" s="51"/>
      <c r="S10979" s="51"/>
    </row>
    <row r="10980" spans="9:19" x14ac:dyDescent="0.25">
      <c r="I10980" s="1"/>
      <c r="J10980" s="71"/>
      <c r="M10980" s="46"/>
      <c r="R10980" s="51"/>
      <c r="S10980" s="51"/>
    </row>
    <row r="10981" spans="9:19" x14ac:dyDescent="0.25">
      <c r="I10981" s="1"/>
      <c r="J10981" s="71"/>
      <c r="M10981" s="46"/>
      <c r="R10981" s="51"/>
      <c r="S10981" s="51"/>
    </row>
    <row r="10982" spans="9:19" x14ac:dyDescent="0.25">
      <c r="I10982" s="1"/>
      <c r="J10982" s="71"/>
      <c r="M10982" s="46"/>
      <c r="R10982" s="51"/>
      <c r="S10982" s="51"/>
    </row>
    <row r="10983" spans="9:19" x14ac:dyDescent="0.25">
      <c r="I10983" s="1"/>
      <c r="J10983" s="71"/>
      <c r="M10983" s="46"/>
      <c r="R10983" s="51"/>
      <c r="S10983" s="51"/>
    </row>
    <row r="10984" spans="9:19" x14ac:dyDescent="0.25">
      <c r="I10984" s="1"/>
      <c r="J10984" s="71"/>
      <c r="M10984" s="46"/>
      <c r="R10984" s="51"/>
      <c r="S10984" s="51"/>
    </row>
    <row r="10985" spans="9:19" x14ac:dyDescent="0.25">
      <c r="I10985" s="1"/>
      <c r="J10985" s="71"/>
      <c r="M10985" s="46"/>
      <c r="R10985" s="51"/>
      <c r="S10985" s="51"/>
    </row>
    <row r="10986" spans="9:19" x14ac:dyDescent="0.25">
      <c r="I10986" s="1"/>
      <c r="J10986" s="71"/>
      <c r="M10986" s="46"/>
      <c r="R10986" s="51"/>
      <c r="S10986" s="51"/>
    </row>
    <row r="10987" spans="9:19" x14ac:dyDescent="0.25">
      <c r="I10987" s="1"/>
      <c r="J10987" s="71"/>
      <c r="M10987" s="46"/>
      <c r="R10987" s="51"/>
      <c r="S10987" s="51"/>
    </row>
    <row r="10988" spans="9:19" x14ac:dyDescent="0.25">
      <c r="I10988" s="1"/>
      <c r="J10988" s="71"/>
      <c r="M10988" s="46"/>
      <c r="R10988" s="51"/>
      <c r="S10988" s="51"/>
    </row>
    <row r="10989" spans="9:19" x14ac:dyDescent="0.25">
      <c r="I10989" s="1"/>
      <c r="J10989" s="71"/>
      <c r="M10989" s="46"/>
      <c r="R10989" s="51"/>
      <c r="S10989" s="51"/>
    </row>
    <row r="10990" spans="9:19" x14ac:dyDescent="0.25">
      <c r="I10990" s="1"/>
      <c r="J10990" s="71"/>
      <c r="M10990" s="46"/>
      <c r="R10990" s="51"/>
      <c r="S10990" s="51"/>
    </row>
    <row r="10991" spans="9:19" x14ac:dyDescent="0.25">
      <c r="I10991" s="1"/>
      <c r="J10991" s="71"/>
      <c r="M10991" s="46"/>
      <c r="R10991" s="51"/>
      <c r="S10991" s="51"/>
    </row>
    <row r="10992" spans="9:19" x14ac:dyDescent="0.25">
      <c r="I10992" s="1"/>
      <c r="J10992" s="71"/>
      <c r="M10992" s="46"/>
      <c r="R10992" s="51"/>
      <c r="S10992" s="51"/>
    </row>
    <row r="10993" spans="9:19" x14ac:dyDescent="0.25">
      <c r="I10993" s="1"/>
      <c r="J10993" s="71"/>
      <c r="M10993" s="46"/>
      <c r="R10993" s="51"/>
      <c r="S10993" s="51"/>
    </row>
    <row r="10994" spans="9:19" x14ac:dyDescent="0.25">
      <c r="I10994" s="1"/>
      <c r="J10994" s="71"/>
      <c r="M10994" s="46"/>
      <c r="R10994" s="51"/>
      <c r="S10994" s="51"/>
    </row>
    <row r="10995" spans="9:19" x14ac:dyDescent="0.25">
      <c r="I10995" s="1"/>
      <c r="J10995" s="71"/>
      <c r="M10995" s="46"/>
      <c r="R10995" s="51"/>
      <c r="S10995" s="51"/>
    </row>
    <row r="10996" spans="9:19" x14ac:dyDescent="0.25">
      <c r="I10996" s="1"/>
      <c r="J10996" s="71"/>
      <c r="M10996" s="46"/>
      <c r="R10996" s="51"/>
      <c r="S10996" s="51"/>
    </row>
    <row r="10997" spans="9:19" x14ac:dyDescent="0.25">
      <c r="I10997" s="1"/>
      <c r="J10997" s="71"/>
      <c r="M10997" s="46"/>
      <c r="R10997" s="51"/>
      <c r="S10997" s="51"/>
    </row>
    <row r="10998" spans="9:19" x14ac:dyDescent="0.25">
      <c r="I10998" s="1"/>
      <c r="J10998" s="71"/>
      <c r="M10998" s="46"/>
      <c r="R10998" s="51"/>
      <c r="S10998" s="51"/>
    </row>
    <row r="10999" spans="9:19" x14ac:dyDescent="0.25">
      <c r="I10999" s="1"/>
      <c r="J10999" s="71"/>
      <c r="M10999" s="46"/>
      <c r="R10999" s="51"/>
      <c r="S10999" s="51"/>
    </row>
    <row r="11000" spans="9:19" x14ac:dyDescent="0.25">
      <c r="I11000" s="1"/>
      <c r="J11000" s="71"/>
      <c r="M11000" s="46"/>
      <c r="R11000" s="51"/>
      <c r="S11000" s="51"/>
    </row>
    <row r="11001" spans="9:19" x14ac:dyDescent="0.25">
      <c r="I11001" s="1"/>
      <c r="J11001" s="71"/>
      <c r="M11001" s="46"/>
      <c r="R11001" s="51"/>
      <c r="S11001" s="51"/>
    </row>
    <row r="11002" spans="9:19" x14ac:dyDescent="0.25">
      <c r="I11002" s="1"/>
      <c r="J11002" s="71"/>
      <c r="M11002" s="46"/>
      <c r="R11002" s="51"/>
      <c r="S11002" s="51"/>
    </row>
    <row r="11003" spans="9:19" x14ac:dyDescent="0.25">
      <c r="I11003" s="1"/>
      <c r="J11003" s="71"/>
      <c r="M11003" s="46"/>
      <c r="R11003" s="51"/>
      <c r="S11003" s="51"/>
    </row>
    <row r="11004" spans="9:19" x14ac:dyDescent="0.25">
      <c r="I11004" s="1"/>
      <c r="J11004" s="71"/>
      <c r="M11004" s="46"/>
      <c r="R11004" s="51"/>
      <c r="S11004" s="51"/>
    </row>
    <row r="11005" spans="9:19" x14ac:dyDescent="0.25">
      <c r="I11005" s="1"/>
      <c r="J11005" s="71"/>
      <c r="M11005" s="46"/>
      <c r="R11005" s="51"/>
      <c r="S11005" s="51"/>
    </row>
    <row r="11006" spans="9:19" x14ac:dyDescent="0.25">
      <c r="I11006" s="1"/>
      <c r="J11006" s="71"/>
      <c r="M11006" s="46"/>
      <c r="R11006" s="51"/>
      <c r="S11006" s="51"/>
    </row>
    <row r="11007" spans="9:19" x14ac:dyDescent="0.25">
      <c r="I11007" s="1"/>
      <c r="J11007" s="71"/>
      <c r="M11007" s="46"/>
      <c r="R11007" s="51"/>
      <c r="S11007" s="51"/>
    </row>
    <row r="11008" spans="9:19" x14ac:dyDescent="0.25">
      <c r="I11008" s="1"/>
      <c r="J11008" s="71"/>
      <c r="M11008" s="46"/>
      <c r="R11008" s="51"/>
      <c r="S11008" s="51"/>
    </row>
    <row r="11009" spans="9:19" x14ac:dyDescent="0.25">
      <c r="I11009" s="1"/>
      <c r="J11009" s="71"/>
      <c r="M11009" s="46"/>
      <c r="R11009" s="51"/>
      <c r="S11009" s="51"/>
    </row>
    <row r="11010" spans="9:19" x14ac:dyDescent="0.25">
      <c r="I11010" s="1"/>
      <c r="J11010" s="71"/>
      <c r="M11010" s="46"/>
      <c r="R11010" s="51"/>
      <c r="S11010" s="51"/>
    </row>
    <row r="11011" spans="9:19" x14ac:dyDescent="0.25">
      <c r="I11011" s="1"/>
      <c r="J11011" s="71"/>
      <c r="M11011" s="46"/>
      <c r="R11011" s="51"/>
      <c r="S11011" s="51"/>
    </row>
    <row r="11012" spans="9:19" x14ac:dyDescent="0.25">
      <c r="I11012" s="1"/>
      <c r="J11012" s="71"/>
      <c r="M11012" s="46"/>
      <c r="R11012" s="51"/>
      <c r="S11012" s="51"/>
    </row>
    <row r="11013" spans="9:19" x14ac:dyDescent="0.25">
      <c r="I11013" s="1"/>
      <c r="J11013" s="71"/>
      <c r="M11013" s="46"/>
      <c r="R11013" s="51"/>
      <c r="S11013" s="51"/>
    </row>
    <row r="11014" spans="9:19" x14ac:dyDescent="0.25">
      <c r="I11014" s="1"/>
      <c r="J11014" s="71"/>
      <c r="M11014" s="46"/>
      <c r="R11014" s="51"/>
      <c r="S11014" s="51"/>
    </row>
    <row r="11015" spans="9:19" x14ac:dyDescent="0.25">
      <c r="I11015" s="1"/>
      <c r="J11015" s="71"/>
      <c r="M11015" s="46"/>
      <c r="R11015" s="51"/>
      <c r="S11015" s="51"/>
    </row>
    <row r="11016" spans="9:19" x14ac:dyDescent="0.25">
      <c r="I11016" s="1"/>
      <c r="J11016" s="71"/>
      <c r="M11016" s="46"/>
      <c r="R11016" s="51"/>
      <c r="S11016" s="51"/>
    </row>
    <row r="11017" spans="9:19" x14ac:dyDescent="0.25">
      <c r="I11017" s="1"/>
      <c r="J11017" s="71"/>
      <c r="M11017" s="46"/>
      <c r="R11017" s="51"/>
      <c r="S11017" s="51"/>
    </row>
    <row r="11018" spans="9:19" x14ac:dyDescent="0.25">
      <c r="I11018" s="1"/>
      <c r="J11018" s="71"/>
      <c r="M11018" s="46"/>
      <c r="R11018" s="51"/>
      <c r="S11018" s="51"/>
    </row>
    <row r="11019" spans="9:19" x14ac:dyDescent="0.25">
      <c r="I11019" s="1"/>
      <c r="J11019" s="71"/>
      <c r="M11019" s="46"/>
      <c r="R11019" s="51"/>
      <c r="S11019" s="51"/>
    </row>
    <row r="11020" spans="9:19" x14ac:dyDescent="0.25">
      <c r="I11020" s="1"/>
      <c r="J11020" s="71"/>
      <c r="M11020" s="46"/>
      <c r="R11020" s="51"/>
      <c r="S11020" s="51"/>
    </row>
    <row r="11021" spans="9:19" x14ac:dyDescent="0.25">
      <c r="I11021" s="1"/>
      <c r="J11021" s="71"/>
      <c r="M11021" s="46"/>
      <c r="R11021" s="51"/>
      <c r="S11021" s="51"/>
    </row>
    <row r="11022" spans="9:19" x14ac:dyDescent="0.25">
      <c r="I11022" s="1"/>
      <c r="J11022" s="71"/>
      <c r="M11022" s="46"/>
      <c r="R11022" s="51"/>
      <c r="S11022" s="51"/>
    </row>
    <row r="11023" spans="9:19" x14ac:dyDescent="0.25">
      <c r="I11023" s="1"/>
      <c r="J11023" s="71"/>
      <c r="M11023" s="46"/>
      <c r="R11023" s="51"/>
      <c r="S11023" s="51"/>
    </row>
    <row r="11024" spans="9:19" x14ac:dyDescent="0.25">
      <c r="I11024" s="1"/>
      <c r="J11024" s="71"/>
      <c r="M11024" s="46"/>
      <c r="R11024" s="51"/>
      <c r="S11024" s="51"/>
    </row>
    <row r="11025" spans="9:19" x14ac:dyDescent="0.25">
      <c r="I11025" s="1"/>
      <c r="J11025" s="71"/>
      <c r="M11025" s="46"/>
      <c r="R11025" s="51"/>
      <c r="S11025" s="51"/>
    </row>
    <row r="11026" spans="9:19" x14ac:dyDescent="0.25">
      <c r="I11026" s="1"/>
      <c r="J11026" s="71"/>
      <c r="M11026" s="46"/>
      <c r="R11026" s="51"/>
      <c r="S11026" s="51"/>
    </row>
    <row r="11027" spans="9:19" x14ac:dyDescent="0.25">
      <c r="I11027" s="1"/>
      <c r="J11027" s="71"/>
      <c r="M11027" s="46"/>
      <c r="R11027" s="51"/>
      <c r="S11027" s="51"/>
    </row>
    <row r="11028" spans="9:19" x14ac:dyDescent="0.25">
      <c r="I11028" s="1"/>
      <c r="J11028" s="71"/>
      <c r="M11028" s="46"/>
      <c r="R11028" s="51"/>
      <c r="S11028" s="51"/>
    </row>
    <row r="11029" spans="9:19" x14ac:dyDescent="0.25">
      <c r="I11029" s="1"/>
      <c r="J11029" s="71"/>
      <c r="M11029" s="46"/>
      <c r="R11029" s="51"/>
      <c r="S11029" s="51"/>
    </row>
    <row r="11030" spans="9:19" x14ac:dyDescent="0.25">
      <c r="I11030" s="1"/>
      <c r="J11030" s="71"/>
      <c r="M11030" s="46"/>
      <c r="R11030" s="51"/>
      <c r="S11030" s="51"/>
    </row>
    <row r="11031" spans="9:19" x14ac:dyDescent="0.25">
      <c r="I11031" s="1"/>
      <c r="J11031" s="71"/>
      <c r="M11031" s="46"/>
      <c r="R11031" s="51"/>
      <c r="S11031" s="51"/>
    </row>
    <row r="11032" spans="9:19" x14ac:dyDescent="0.25">
      <c r="I11032" s="1"/>
      <c r="J11032" s="71"/>
      <c r="M11032" s="46"/>
      <c r="R11032" s="51"/>
      <c r="S11032" s="51"/>
    </row>
    <row r="11033" spans="9:19" x14ac:dyDescent="0.25">
      <c r="I11033" s="1"/>
      <c r="J11033" s="71"/>
      <c r="M11033" s="46"/>
      <c r="R11033" s="51"/>
      <c r="S11033" s="51"/>
    </row>
    <row r="11034" spans="9:19" x14ac:dyDescent="0.25">
      <c r="I11034" s="1"/>
      <c r="J11034" s="71"/>
      <c r="M11034" s="46"/>
      <c r="R11034" s="51"/>
      <c r="S11034" s="51"/>
    </row>
    <row r="11035" spans="9:19" x14ac:dyDescent="0.25">
      <c r="I11035" s="1"/>
      <c r="J11035" s="71"/>
      <c r="M11035" s="46"/>
      <c r="R11035" s="51"/>
      <c r="S11035" s="51"/>
    </row>
    <row r="11036" spans="9:19" x14ac:dyDescent="0.25">
      <c r="I11036" s="1"/>
      <c r="J11036" s="71"/>
      <c r="M11036" s="46"/>
      <c r="R11036" s="51"/>
      <c r="S11036" s="51"/>
    </row>
    <row r="11037" spans="9:19" x14ac:dyDescent="0.25">
      <c r="I11037" s="1"/>
      <c r="J11037" s="71"/>
      <c r="M11037" s="46"/>
      <c r="R11037" s="51"/>
      <c r="S11037" s="51"/>
    </row>
    <row r="11038" spans="9:19" x14ac:dyDescent="0.25">
      <c r="I11038" s="1"/>
      <c r="J11038" s="71"/>
      <c r="M11038" s="46"/>
      <c r="R11038" s="51"/>
      <c r="S11038" s="51"/>
    </row>
    <row r="11039" spans="9:19" x14ac:dyDescent="0.25">
      <c r="I11039" s="1"/>
      <c r="J11039" s="71"/>
      <c r="M11039" s="46"/>
      <c r="R11039" s="51"/>
      <c r="S11039" s="51"/>
    </row>
    <row r="11040" spans="9:19" x14ac:dyDescent="0.25">
      <c r="I11040" s="1"/>
      <c r="J11040" s="71"/>
      <c r="M11040" s="46"/>
      <c r="R11040" s="51"/>
      <c r="S11040" s="51"/>
    </row>
    <row r="11041" spans="9:19" x14ac:dyDescent="0.25">
      <c r="I11041" s="1"/>
      <c r="J11041" s="71"/>
      <c r="M11041" s="46"/>
      <c r="R11041" s="51"/>
      <c r="S11041" s="51"/>
    </row>
    <row r="11042" spans="9:19" x14ac:dyDescent="0.25">
      <c r="I11042" s="1"/>
      <c r="J11042" s="71"/>
      <c r="M11042" s="46"/>
      <c r="R11042" s="51"/>
      <c r="S11042" s="51"/>
    </row>
    <row r="11043" spans="9:19" x14ac:dyDescent="0.25">
      <c r="I11043" s="1"/>
      <c r="J11043" s="71"/>
      <c r="M11043" s="46"/>
      <c r="R11043" s="51"/>
      <c r="S11043" s="51"/>
    </row>
    <row r="11044" spans="9:19" x14ac:dyDescent="0.25">
      <c r="I11044" s="1"/>
      <c r="J11044" s="71"/>
      <c r="M11044" s="46"/>
      <c r="R11044" s="51"/>
      <c r="S11044" s="51"/>
    </row>
    <row r="11045" spans="9:19" x14ac:dyDescent="0.25">
      <c r="I11045" s="1"/>
      <c r="J11045" s="71"/>
      <c r="M11045" s="46"/>
      <c r="R11045" s="51"/>
      <c r="S11045" s="51"/>
    </row>
    <row r="11046" spans="9:19" x14ac:dyDescent="0.25">
      <c r="I11046" s="1"/>
      <c r="J11046" s="71"/>
      <c r="M11046" s="46"/>
      <c r="R11046" s="51"/>
      <c r="S11046" s="51"/>
    </row>
    <row r="11047" spans="9:19" x14ac:dyDescent="0.25">
      <c r="I11047" s="1"/>
      <c r="J11047" s="71"/>
      <c r="M11047" s="46"/>
      <c r="R11047" s="51"/>
      <c r="S11047" s="51"/>
    </row>
    <row r="11048" spans="9:19" x14ac:dyDescent="0.25">
      <c r="I11048" s="1"/>
      <c r="J11048" s="71"/>
      <c r="M11048" s="46"/>
      <c r="R11048" s="51"/>
      <c r="S11048" s="51"/>
    </row>
    <row r="11049" spans="9:19" x14ac:dyDescent="0.25">
      <c r="I11049" s="1"/>
      <c r="J11049" s="71"/>
      <c r="M11049" s="46"/>
      <c r="R11049" s="51"/>
      <c r="S11049" s="51"/>
    </row>
    <row r="11050" spans="9:19" x14ac:dyDescent="0.25">
      <c r="I11050" s="1"/>
      <c r="J11050" s="71"/>
      <c r="M11050" s="46"/>
      <c r="R11050" s="51"/>
      <c r="S11050" s="51"/>
    </row>
    <row r="11051" spans="9:19" x14ac:dyDescent="0.25">
      <c r="I11051" s="1"/>
      <c r="J11051" s="71"/>
      <c r="M11051" s="46"/>
      <c r="R11051" s="51"/>
      <c r="S11051" s="51"/>
    </row>
    <row r="11052" spans="9:19" x14ac:dyDescent="0.25">
      <c r="I11052" s="1"/>
      <c r="J11052" s="71"/>
      <c r="M11052" s="46"/>
      <c r="R11052" s="51"/>
      <c r="S11052" s="51"/>
    </row>
    <row r="11053" spans="9:19" x14ac:dyDescent="0.25">
      <c r="I11053" s="1"/>
      <c r="J11053" s="71"/>
      <c r="M11053" s="46"/>
      <c r="R11053" s="51"/>
      <c r="S11053" s="51"/>
    </row>
    <row r="11054" spans="9:19" x14ac:dyDescent="0.25">
      <c r="I11054" s="1"/>
      <c r="J11054" s="71"/>
      <c r="M11054" s="46"/>
      <c r="R11054" s="51"/>
      <c r="S11054" s="51"/>
    </row>
    <row r="11055" spans="9:19" x14ac:dyDescent="0.25">
      <c r="I11055" s="1"/>
      <c r="J11055" s="71"/>
      <c r="M11055" s="46"/>
      <c r="R11055" s="51"/>
      <c r="S11055" s="51"/>
    </row>
    <row r="11056" spans="9:19" x14ac:dyDescent="0.25">
      <c r="I11056" s="1"/>
      <c r="J11056" s="71"/>
      <c r="M11056" s="46"/>
      <c r="R11056" s="51"/>
      <c r="S11056" s="51"/>
    </row>
    <row r="11057" spans="9:19" x14ac:dyDescent="0.25">
      <c r="I11057" s="1"/>
      <c r="J11057" s="71"/>
      <c r="M11057" s="46"/>
      <c r="R11057" s="51"/>
      <c r="S11057" s="51"/>
    </row>
    <row r="11058" spans="9:19" x14ac:dyDescent="0.25">
      <c r="I11058" s="1"/>
      <c r="J11058" s="71"/>
      <c r="M11058" s="46"/>
      <c r="R11058" s="51"/>
      <c r="S11058" s="51"/>
    </row>
    <row r="11059" spans="9:19" x14ac:dyDescent="0.25">
      <c r="I11059" s="1"/>
      <c r="J11059" s="71"/>
      <c r="M11059" s="46"/>
      <c r="R11059" s="51"/>
      <c r="S11059" s="51"/>
    </row>
    <row r="11060" spans="9:19" x14ac:dyDescent="0.25">
      <c r="I11060" s="1"/>
      <c r="J11060" s="71"/>
      <c r="M11060" s="46"/>
      <c r="R11060" s="51"/>
      <c r="S11060" s="51"/>
    </row>
    <row r="11061" spans="9:19" x14ac:dyDescent="0.25">
      <c r="I11061" s="1"/>
      <c r="J11061" s="71"/>
      <c r="M11061" s="46"/>
      <c r="R11061" s="51"/>
      <c r="S11061" s="51"/>
    </row>
    <row r="11062" spans="9:19" x14ac:dyDescent="0.25">
      <c r="I11062" s="1"/>
      <c r="J11062" s="71"/>
      <c r="M11062" s="46"/>
      <c r="R11062" s="51"/>
      <c r="S11062" s="51"/>
    </row>
    <row r="11063" spans="9:19" x14ac:dyDescent="0.25">
      <c r="I11063" s="1"/>
      <c r="J11063" s="71"/>
      <c r="M11063" s="46"/>
      <c r="R11063" s="51"/>
      <c r="S11063" s="51"/>
    </row>
    <row r="11064" spans="9:19" x14ac:dyDescent="0.25">
      <c r="I11064" s="1"/>
      <c r="J11064" s="71"/>
      <c r="M11064" s="46"/>
      <c r="R11064" s="51"/>
      <c r="S11064" s="51"/>
    </row>
    <row r="11065" spans="9:19" x14ac:dyDescent="0.25">
      <c r="I11065" s="1"/>
      <c r="J11065" s="71"/>
      <c r="M11065" s="46"/>
      <c r="R11065" s="51"/>
      <c r="S11065" s="51"/>
    </row>
    <row r="11066" spans="9:19" x14ac:dyDescent="0.25">
      <c r="I11066" s="1"/>
      <c r="J11066" s="71"/>
      <c r="M11066" s="46"/>
      <c r="R11066" s="51"/>
      <c r="S11066" s="51"/>
    </row>
    <row r="11067" spans="9:19" x14ac:dyDescent="0.25">
      <c r="I11067" s="1"/>
      <c r="J11067" s="71"/>
      <c r="M11067" s="46"/>
      <c r="R11067" s="51"/>
      <c r="S11067" s="51"/>
    </row>
    <row r="11068" spans="9:19" x14ac:dyDescent="0.25">
      <c r="I11068" s="1"/>
      <c r="J11068" s="71"/>
      <c r="M11068" s="46"/>
      <c r="R11068" s="51"/>
      <c r="S11068" s="51"/>
    </row>
    <row r="11069" spans="9:19" x14ac:dyDescent="0.25">
      <c r="I11069" s="1"/>
      <c r="J11069" s="71"/>
      <c r="M11069" s="46"/>
      <c r="R11069" s="51"/>
      <c r="S11069" s="51"/>
    </row>
    <row r="11070" spans="9:19" x14ac:dyDescent="0.25">
      <c r="I11070" s="1"/>
      <c r="J11070" s="71"/>
      <c r="M11070" s="46"/>
      <c r="R11070" s="51"/>
      <c r="S11070" s="51"/>
    </row>
    <row r="11071" spans="9:19" x14ac:dyDescent="0.25">
      <c r="I11071" s="1"/>
      <c r="J11071" s="71"/>
      <c r="M11071" s="46"/>
      <c r="R11071" s="51"/>
      <c r="S11071" s="51"/>
    </row>
    <row r="11072" spans="9:19" x14ac:dyDescent="0.25">
      <c r="I11072" s="1"/>
      <c r="J11072" s="71"/>
      <c r="M11072" s="46"/>
      <c r="R11072" s="51"/>
      <c r="S11072" s="51"/>
    </row>
    <row r="11073" spans="9:19" x14ac:dyDescent="0.25">
      <c r="I11073" s="1"/>
      <c r="J11073" s="71"/>
      <c r="M11073" s="46"/>
      <c r="R11073" s="51"/>
      <c r="S11073" s="51"/>
    </row>
    <row r="11074" spans="9:19" x14ac:dyDescent="0.25">
      <c r="I11074" s="1"/>
      <c r="J11074" s="71"/>
      <c r="M11074" s="46"/>
      <c r="R11074" s="51"/>
      <c r="S11074" s="51"/>
    </row>
    <row r="11075" spans="9:19" x14ac:dyDescent="0.25">
      <c r="I11075" s="1"/>
      <c r="J11075" s="71"/>
      <c r="M11075" s="46"/>
      <c r="R11075" s="51"/>
      <c r="S11075" s="51"/>
    </row>
    <row r="11076" spans="9:19" x14ac:dyDescent="0.25">
      <c r="I11076" s="1"/>
      <c r="J11076" s="71"/>
      <c r="M11076" s="46"/>
      <c r="R11076" s="51"/>
      <c r="S11076" s="51"/>
    </row>
    <row r="11077" spans="9:19" x14ac:dyDescent="0.25">
      <c r="I11077" s="1"/>
      <c r="J11077" s="71"/>
      <c r="M11077" s="46"/>
      <c r="R11077" s="51"/>
      <c r="S11077" s="51"/>
    </row>
    <row r="11078" spans="9:19" x14ac:dyDescent="0.25">
      <c r="I11078" s="1"/>
      <c r="J11078" s="71"/>
      <c r="M11078" s="46"/>
      <c r="R11078" s="51"/>
      <c r="S11078" s="51"/>
    </row>
    <row r="11079" spans="9:19" x14ac:dyDescent="0.25">
      <c r="I11079" s="1"/>
      <c r="J11079" s="71"/>
      <c r="M11079" s="46"/>
      <c r="R11079" s="51"/>
      <c r="S11079" s="51"/>
    </row>
    <row r="11080" spans="9:19" x14ac:dyDescent="0.25">
      <c r="I11080" s="1"/>
      <c r="J11080" s="71"/>
      <c r="M11080" s="46"/>
      <c r="R11080" s="51"/>
      <c r="S11080" s="51"/>
    </row>
    <row r="11081" spans="9:19" x14ac:dyDescent="0.25">
      <c r="I11081" s="1"/>
      <c r="J11081" s="71"/>
      <c r="M11081" s="46"/>
      <c r="R11081" s="51"/>
      <c r="S11081" s="51"/>
    </row>
    <row r="11082" spans="9:19" x14ac:dyDescent="0.25">
      <c r="I11082" s="1"/>
      <c r="J11082" s="71"/>
      <c r="M11082" s="46"/>
      <c r="R11082" s="51"/>
      <c r="S11082" s="51"/>
    </row>
    <row r="11083" spans="9:19" x14ac:dyDescent="0.25">
      <c r="I11083" s="1"/>
      <c r="J11083" s="71"/>
      <c r="M11083" s="46"/>
      <c r="R11083" s="51"/>
      <c r="S11083" s="51"/>
    </row>
    <row r="11084" spans="9:19" x14ac:dyDescent="0.25">
      <c r="I11084" s="1"/>
      <c r="J11084" s="71"/>
      <c r="M11084" s="46"/>
      <c r="R11084" s="51"/>
      <c r="S11084" s="51"/>
    </row>
    <row r="11085" spans="9:19" x14ac:dyDescent="0.25">
      <c r="I11085" s="1"/>
      <c r="J11085" s="71"/>
      <c r="M11085" s="46"/>
      <c r="R11085" s="51"/>
      <c r="S11085" s="51"/>
    </row>
    <row r="11086" spans="9:19" x14ac:dyDescent="0.25">
      <c r="I11086" s="1"/>
      <c r="J11086" s="71"/>
      <c r="M11086" s="46"/>
      <c r="R11086" s="51"/>
      <c r="S11086" s="51"/>
    </row>
    <row r="11087" spans="9:19" x14ac:dyDescent="0.25">
      <c r="I11087" s="1"/>
      <c r="J11087" s="71"/>
      <c r="M11087" s="46"/>
      <c r="R11087" s="51"/>
      <c r="S11087" s="51"/>
    </row>
    <row r="11088" spans="9:19" x14ac:dyDescent="0.25">
      <c r="I11088" s="1"/>
      <c r="J11088" s="71"/>
      <c r="M11088" s="46"/>
      <c r="R11088" s="51"/>
      <c r="S11088" s="51"/>
    </row>
    <row r="11089" spans="9:19" x14ac:dyDescent="0.25">
      <c r="I11089" s="1"/>
      <c r="J11089" s="71"/>
      <c r="M11089" s="46"/>
      <c r="R11089" s="51"/>
      <c r="S11089" s="51"/>
    </row>
    <row r="11090" spans="9:19" x14ac:dyDescent="0.25">
      <c r="I11090" s="1"/>
      <c r="J11090" s="71"/>
      <c r="M11090" s="46"/>
      <c r="R11090" s="51"/>
      <c r="S11090" s="51"/>
    </row>
    <row r="11091" spans="9:19" x14ac:dyDescent="0.25">
      <c r="I11091" s="1"/>
      <c r="J11091" s="71"/>
      <c r="M11091" s="46"/>
      <c r="R11091" s="51"/>
      <c r="S11091" s="51"/>
    </row>
    <row r="11092" spans="9:19" x14ac:dyDescent="0.25">
      <c r="I11092" s="1"/>
      <c r="J11092" s="71"/>
      <c r="M11092" s="46"/>
      <c r="R11092" s="51"/>
      <c r="S11092" s="51"/>
    </row>
    <row r="11093" spans="9:19" x14ac:dyDescent="0.25">
      <c r="I11093" s="1"/>
      <c r="J11093" s="71"/>
      <c r="M11093" s="46"/>
      <c r="R11093" s="51"/>
      <c r="S11093" s="51"/>
    </row>
    <row r="11094" spans="9:19" x14ac:dyDescent="0.25">
      <c r="I11094" s="1"/>
      <c r="J11094" s="71"/>
      <c r="M11094" s="46"/>
      <c r="R11094" s="51"/>
      <c r="S11094" s="51"/>
    </row>
    <row r="11095" spans="9:19" x14ac:dyDescent="0.25">
      <c r="I11095" s="1"/>
      <c r="J11095" s="71"/>
      <c r="M11095" s="46"/>
      <c r="R11095" s="51"/>
      <c r="S11095" s="51"/>
    </row>
    <row r="11096" spans="9:19" x14ac:dyDescent="0.25">
      <c r="I11096" s="1"/>
      <c r="J11096" s="71"/>
      <c r="M11096" s="46"/>
      <c r="R11096" s="51"/>
      <c r="S11096" s="51"/>
    </row>
    <row r="11097" spans="9:19" x14ac:dyDescent="0.25">
      <c r="I11097" s="1"/>
      <c r="J11097" s="71"/>
      <c r="M11097" s="46"/>
      <c r="R11097" s="51"/>
      <c r="S11097" s="51"/>
    </row>
    <row r="11098" spans="9:19" x14ac:dyDescent="0.25">
      <c r="I11098" s="1"/>
      <c r="J11098" s="71"/>
      <c r="M11098" s="46"/>
      <c r="R11098" s="51"/>
      <c r="S11098" s="51"/>
    </row>
    <row r="11099" spans="9:19" x14ac:dyDescent="0.25">
      <c r="I11099" s="1"/>
      <c r="J11099" s="71"/>
      <c r="M11099" s="46"/>
      <c r="R11099" s="51"/>
      <c r="S11099" s="51"/>
    </row>
    <row r="11100" spans="9:19" x14ac:dyDescent="0.25">
      <c r="I11100" s="1"/>
      <c r="J11100" s="71"/>
      <c r="M11100" s="46"/>
      <c r="R11100" s="51"/>
      <c r="S11100" s="51"/>
    </row>
    <row r="11101" spans="9:19" x14ac:dyDescent="0.25">
      <c r="I11101" s="1"/>
      <c r="J11101" s="71"/>
      <c r="M11101" s="46"/>
      <c r="R11101" s="51"/>
      <c r="S11101" s="51"/>
    </row>
    <row r="11102" spans="9:19" x14ac:dyDescent="0.25">
      <c r="I11102" s="1"/>
      <c r="J11102" s="71"/>
      <c r="M11102" s="46"/>
      <c r="R11102" s="51"/>
      <c r="S11102" s="51"/>
    </row>
    <row r="11103" spans="9:19" x14ac:dyDescent="0.25">
      <c r="I11103" s="1"/>
      <c r="J11103" s="71"/>
      <c r="M11103" s="46"/>
      <c r="R11103" s="51"/>
      <c r="S11103" s="51"/>
    </row>
    <row r="11104" spans="9:19" x14ac:dyDescent="0.25">
      <c r="I11104" s="1"/>
      <c r="J11104" s="71"/>
      <c r="M11104" s="46"/>
      <c r="R11104" s="51"/>
      <c r="S11104" s="51"/>
    </row>
    <row r="11105" spans="9:19" x14ac:dyDescent="0.25">
      <c r="I11105" s="1"/>
      <c r="J11105" s="71"/>
      <c r="M11105" s="46"/>
      <c r="R11105" s="51"/>
      <c r="S11105" s="51"/>
    </row>
    <row r="11106" spans="9:19" x14ac:dyDescent="0.25">
      <c r="I11106" s="1"/>
      <c r="J11106" s="71"/>
      <c r="M11106" s="46"/>
      <c r="R11106" s="51"/>
      <c r="S11106" s="51"/>
    </row>
    <row r="11107" spans="9:19" x14ac:dyDescent="0.25">
      <c r="I11107" s="1"/>
      <c r="J11107" s="71"/>
      <c r="M11107" s="46"/>
      <c r="R11107" s="51"/>
      <c r="S11107" s="51"/>
    </row>
    <row r="11108" spans="9:19" x14ac:dyDescent="0.25">
      <c r="I11108" s="1"/>
      <c r="J11108" s="71"/>
      <c r="M11108" s="46"/>
      <c r="R11108" s="51"/>
      <c r="S11108" s="51"/>
    </row>
    <row r="11109" spans="9:19" x14ac:dyDescent="0.25">
      <c r="I11109" s="1"/>
      <c r="J11109" s="71"/>
      <c r="M11109" s="46"/>
      <c r="R11109" s="51"/>
      <c r="S11109" s="51"/>
    </row>
    <row r="11110" spans="9:19" x14ac:dyDescent="0.25">
      <c r="I11110" s="1"/>
      <c r="J11110" s="71"/>
      <c r="M11110" s="46"/>
      <c r="R11110" s="51"/>
      <c r="S11110" s="51"/>
    </row>
    <row r="11111" spans="9:19" x14ac:dyDescent="0.25">
      <c r="I11111" s="1"/>
      <c r="J11111" s="71"/>
      <c r="M11111" s="46"/>
      <c r="R11111" s="51"/>
      <c r="S11111" s="51"/>
    </row>
    <row r="11112" spans="9:19" x14ac:dyDescent="0.25">
      <c r="I11112" s="1"/>
      <c r="J11112" s="71"/>
      <c r="M11112" s="46"/>
      <c r="R11112" s="51"/>
      <c r="S11112" s="51"/>
    </row>
    <row r="11113" spans="9:19" x14ac:dyDescent="0.25">
      <c r="I11113" s="1"/>
      <c r="J11113" s="71"/>
      <c r="M11113" s="46"/>
      <c r="R11113" s="51"/>
      <c r="S11113" s="51"/>
    </row>
    <row r="11114" spans="9:19" x14ac:dyDescent="0.25">
      <c r="I11114" s="1"/>
      <c r="J11114" s="71"/>
      <c r="M11114" s="46"/>
      <c r="R11114" s="51"/>
      <c r="S11114" s="51"/>
    </row>
    <row r="11115" spans="9:19" x14ac:dyDescent="0.25">
      <c r="I11115" s="1"/>
      <c r="J11115" s="71"/>
      <c r="M11115" s="46"/>
      <c r="R11115" s="51"/>
      <c r="S11115" s="51"/>
    </row>
    <row r="11116" spans="9:19" x14ac:dyDescent="0.25">
      <c r="I11116" s="1"/>
      <c r="J11116" s="71"/>
      <c r="M11116" s="46"/>
      <c r="R11116" s="51"/>
      <c r="S11116" s="51"/>
    </row>
    <row r="11117" spans="9:19" x14ac:dyDescent="0.25">
      <c r="I11117" s="1"/>
      <c r="J11117" s="71"/>
      <c r="M11117" s="46"/>
      <c r="R11117" s="51"/>
      <c r="S11117" s="51"/>
    </row>
    <row r="11118" spans="9:19" x14ac:dyDescent="0.25">
      <c r="I11118" s="1"/>
      <c r="J11118" s="71"/>
      <c r="M11118" s="46"/>
      <c r="R11118" s="51"/>
      <c r="S11118" s="51"/>
    </row>
    <row r="11119" spans="9:19" x14ac:dyDescent="0.25">
      <c r="I11119" s="1"/>
      <c r="J11119" s="71"/>
      <c r="M11119" s="46"/>
      <c r="R11119" s="51"/>
      <c r="S11119" s="51"/>
    </row>
    <row r="11120" spans="9:19" x14ac:dyDescent="0.25">
      <c r="I11120" s="1"/>
      <c r="J11120" s="71"/>
      <c r="M11120" s="46"/>
      <c r="R11120" s="51"/>
      <c r="S11120" s="51"/>
    </row>
    <row r="11121" spans="9:19" x14ac:dyDescent="0.25">
      <c r="I11121" s="1"/>
      <c r="J11121" s="71"/>
      <c r="M11121" s="46"/>
      <c r="R11121" s="51"/>
      <c r="S11121" s="51"/>
    </row>
    <row r="11122" spans="9:19" x14ac:dyDescent="0.25">
      <c r="I11122" s="1"/>
      <c r="J11122" s="71"/>
      <c r="M11122" s="46"/>
      <c r="R11122" s="51"/>
      <c r="S11122" s="51"/>
    </row>
    <row r="11123" spans="9:19" x14ac:dyDescent="0.25">
      <c r="I11123" s="1"/>
      <c r="J11123" s="71"/>
      <c r="M11123" s="46"/>
      <c r="R11123" s="51"/>
      <c r="S11123" s="51"/>
    </row>
    <row r="11124" spans="9:19" x14ac:dyDescent="0.25">
      <c r="I11124" s="1"/>
      <c r="J11124" s="71"/>
      <c r="M11124" s="46"/>
      <c r="R11124" s="51"/>
      <c r="S11124" s="51"/>
    </row>
    <row r="11125" spans="9:19" x14ac:dyDescent="0.25">
      <c r="I11125" s="1"/>
      <c r="J11125" s="71"/>
      <c r="M11125" s="46"/>
      <c r="R11125" s="51"/>
      <c r="S11125" s="51"/>
    </row>
    <row r="11126" spans="9:19" x14ac:dyDescent="0.25">
      <c r="I11126" s="1"/>
      <c r="J11126" s="71"/>
      <c r="M11126" s="46"/>
      <c r="R11126" s="51"/>
      <c r="S11126" s="51"/>
    </row>
    <row r="11127" spans="9:19" x14ac:dyDescent="0.25">
      <c r="I11127" s="1"/>
      <c r="J11127" s="71"/>
      <c r="M11127" s="46"/>
      <c r="R11127" s="51"/>
      <c r="S11127" s="51"/>
    </row>
    <row r="11128" spans="9:19" x14ac:dyDescent="0.25">
      <c r="I11128" s="1"/>
      <c r="J11128" s="71"/>
      <c r="M11128" s="46"/>
      <c r="R11128" s="51"/>
      <c r="S11128" s="51"/>
    </row>
    <row r="11129" spans="9:19" x14ac:dyDescent="0.25">
      <c r="I11129" s="1"/>
      <c r="J11129" s="71"/>
      <c r="M11129" s="46"/>
      <c r="R11129" s="51"/>
      <c r="S11129" s="51"/>
    </row>
    <row r="11130" spans="9:19" x14ac:dyDescent="0.25">
      <c r="I11130" s="1"/>
      <c r="J11130" s="71"/>
      <c r="M11130" s="46"/>
      <c r="R11130" s="51"/>
      <c r="S11130" s="51"/>
    </row>
    <row r="11131" spans="9:19" x14ac:dyDescent="0.25">
      <c r="I11131" s="1"/>
      <c r="J11131" s="71"/>
      <c r="M11131" s="46"/>
      <c r="R11131" s="51"/>
      <c r="S11131" s="51"/>
    </row>
    <row r="11132" spans="9:19" x14ac:dyDescent="0.25">
      <c r="I11132" s="1"/>
      <c r="J11132" s="71"/>
      <c r="M11132" s="46"/>
      <c r="R11132" s="51"/>
      <c r="S11132" s="51"/>
    </row>
    <row r="11133" spans="9:19" x14ac:dyDescent="0.25">
      <c r="I11133" s="1"/>
      <c r="J11133" s="71"/>
      <c r="M11133" s="46"/>
      <c r="R11133" s="51"/>
      <c r="S11133" s="51"/>
    </row>
    <row r="11134" spans="9:19" x14ac:dyDescent="0.25">
      <c r="I11134" s="1"/>
      <c r="J11134" s="71"/>
      <c r="M11134" s="46"/>
      <c r="R11134" s="51"/>
      <c r="S11134" s="51"/>
    </row>
    <row r="11135" spans="9:19" x14ac:dyDescent="0.25">
      <c r="I11135" s="1"/>
      <c r="J11135" s="71"/>
      <c r="M11135" s="46"/>
      <c r="R11135" s="51"/>
      <c r="S11135" s="51"/>
    </row>
    <row r="11136" spans="9:19" x14ac:dyDescent="0.25">
      <c r="I11136" s="1"/>
      <c r="J11136" s="71"/>
      <c r="M11136" s="46"/>
      <c r="R11136" s="51"/>
      <c r="S11136" s="51"/>
    </row>
    <row r="11137" spans="9:19" x14ac:dyDescent="0.25">
      <c r="I11137" s="1"/>
      <c r="J11137" s="71"/>
      <c r="M11137" s="46"/>
      <c r="R11137" s="51"/>
      <c r="S11137" s="51"/>
    </row>
    <row r="11138" spans="9:19" x14ac:dyDescent="0.25">
      <c r="I11138" s="1"/>
      <c r="J11138" s="71"/>
      <c r="M11138" s="46"/>
      <c r="R11138" s="51"/>
      <c r="S11138" s="51"/>
    </row>
    <row r="11139" spans="9:19" x14ac:dyDescent="0.25">
      <c r="I11139" s="1"/>
      <c r="J11139" s="71"/>
      <c r="M11139" s="46"/>
      <c r="R11139" s="51"/>
      <c r="S11139" s="51"/>
    </row>
    <row r="11140" spans="9:19" x14ac:dyDescent="0.25">
      <c r="I11140" s="1"/>
      <c r="J11140" s="71"/>
      <c r="M11140" s="46"/>
      <c r="R11140" s="51"/>
      <c r="S11140" s="51"/>
    </row>
    <row r="11141" spans="9:19" x14ac:dyDescent="0.25">
      <c r="I11141" s="1"/>
      <c r="J11141" s="71"/>
      <c r="M11141" s="46"/>
      <c r="R11141" s="51"/>
      <c r="S11141" s="51"/>
    </row>
    <row r="11142" spans="9:19" x14ac:dyDescent="0.25">
      <c r="I11142" s="1"/>
      <c r="J11142" s="71"/>
      <c r="M11142" s="46"/>
      <c r="R11142" s="51"/>
      <c r="S11142" s="51"/>
    </row>
    <row r="11143" spans="9:19" x14ac:dyDescent="0.25">
      <c r="I11143" s="1"/>
      <c r="J11143" s="71"/>
      <c r="M11143" s="46"/>
      <c r="R11143" s="51"/>
      <c r="S11143" s="51"/>
    </row>
    <row r="11144" spans="9:19" x14ac:dyDescent="0.25">
      <c r="I11144" s="1"/>
      <c r="J11144" s="71"/>
      <c r="M11144" s="46"/>
      <c r="R11144" s="51"/>
      <c r="S11144" s="51"/>
    </row>
    <row r="11145" spans="9:19" x14ac:dyDescent="0.25">
      <c r="I11145" s="1"/>
      <c r="J11145" s="71"/>
      <c r="M11145" s="46"/>
      <c r="R11145" s="51"/>
      <c r="S11145" s="51"/>
    </row>
    <row r="11146" spans="9:19" x14ac:dyDescent="0.25">
      <c r="I11146" s="1"/>
      <c r="J11146" s="71"/>
      <c r="M11146" s="46"/>
      <c r="R11146" s="51"/>
      <c r="S11146" s="51"/>
    </row>
    <row r="11147" spans="9:19" x14ac:dyDescent="0.25">
      <c r="I11147" s="1"/>
      <c r="J11147" s="71"/>
      <c r="M11147" s="46"/>
      <c r="R11147" s="51"/>
      <c r="S11147" s="51"/>
    </row>
    <row r="11148" spans="9:19" x14ac:dyDescent="0.25">
      <c r="I11148" s="1"/>
      <c r="J11148" s="71"/>
      <c r="M11148" s="46"/>
      <c r="R11148" s="51"/>
      <c r="S11148" s="51"/>
    </row>
    <row r="11149" spans="9:19" x14ac:dyDescent="0.25">
      <c r="I11149" s="1"/>
      <c r="J11149" s="71"/>
      <c r="M11149" s="46"/>
      <c r="R11149" s="51"/>
      <c r="S11149" s="51"/>
    </row>
    <row r="11150" spans="9:19" x14ac:dyDescent="0.25">
      <c r="I11150" s="1"/>
      <c r="J11150" s="71"/>
      <c r="M11150" s="46"/>
      <c r="R11150" s="51"/>
      <c r="S11150" s="51"/>
    </row>
    <row r="11151" spans="9:19" x14ac:dyDescent="0.25">
      <c r="I11151" s="1"/>
      <c r="J11151" s="71"/>
      <c r="M11151" s="46"/>
      <c r="R11151" s="51"/>
      <c r="S11151" s="51"/>
    </row>
    <row r="11152" spans="9:19" x14ac:dyDescent="0.25">
      <c r="I11152" s="1"/>
      <c r="J11152" s="71"/>
      <c r="M11152" s="46"/>
      <c r="R11152" s="51"/>
      <c r="S11152" s="51"/>
    </row>
    <row r="11153" spans="9:19" x14ac:dyDescent="0.25">
      <c r="I11153" s="1"/>
      <c r="J11153" s="71"/>
      <c r="M11153" s="46"/>
      <c r="R11153" s="51"/>
      <c r="S11153" s="51"/>
    </row>
    <row r="11154" spans="9:19" x14ac:dyDescent="0.25">
      <c r="I11154" s="1"/>
      <c r="J11154" s="71"/>
      <c r="M11154" s="46"/>
      <c r="R11154" s="51"/>
      <c r="S11154" s="51"/>
    </row>
    <row r="11155" spans="9:19" x14ac:dyDescent="0.25">
      <c r="I11155" s="1"/>
      <c r="J11155" s="71"/>
      <c r="M11155" s="46"/>
      <c r="R11155" s="51"/>
      <c r="S11155" s="51"/>
    </row>
    <row r="11156" spans="9:19" x14ac:dyDescent="0.25">
      <c r="I11156" s="1"/>
      <c r="J11156" s="71"/>
      <c r="M11156" s="46"/>
      <c r="R11156" s="51"/>
      <c r="S11156" s="51"/>
    </row>
    <row r="11157" spans="9:19" x14ac:dyDescent="0.25">
      <c r="I11157" s="1"/>
      <c r="J11157" s="71"/>
      <c r="M11157" s="46"/>
      <c r="R11157" s="51"/>
      <c r="S11157" s="51"/>
    </row>
    <row r="11158" spans="9:19" x14ac:dyDescent="0.25">
      <c r="I11158" s="1"/>
      <c r="J11158" s="71"/>
      <c r="M11158" s="46"/>
      <c r="R11158" s="51"/>
      <c r="S11158" s="51"/>
    </row>
    <row r="11159" spans="9:19" x14ac:dyDescent="0.25">
      <c r="I11159" s="1"/>
      <c r="J11159" s="71"/>
      <c r="M11159" s="46"/>
      <c r="R11159" s="51"/>
      <c r="S11159" s="51"/>
    </row>
    <row r="11160" spans="9:19" x14ac:dyDescent="0.25">
      <c r="I11160" s="1"/>
      <c r="J11160" s="71"/>
      <c r="M11160" s="46"/>
      <c r="R11160" s="51"/>
      <c r="S11160" s="51"/>
    </row>
    <row r="11161" spans="9:19" x14ac:dyDescent="0.25">
      <c r="I11161" s="1"/>
      <c r="J11161" s="71"/>
      <c r="M11161" s="46"/>
      <c r="R11161" s="51"/>
      <c r="S11161" s="51"/>
    </row>
    <row r="11162" spans="9:19" x14ac:dyDescent="0.25">
      <c r="I11162" s="1"/>
      <c r="J11162" s="71"/>
      <c r="M11162" s="46"/>
      <c r="R11162" s="51"/>
      <c r="S11162" s="51"/>
    </row>
    <row r="11163" spans="9:19" x14ac:dyDescent="0.25">
      <c r="I11163" s="1"/>
      <c r="J11163" s="71"/>
      <c r="M11163" s="46"/>
      <c r="R11163" s="51"/>
      <c r="S11163" s="51"/>
    </row>
    <row r="11164" spans="9:19" x14ac:dyDescent="0.25">
      <c r="I11164" s="1"/>
      <c r="J11164" s="71"/>
      <c r="M11164" s="46"/>
      <c r="R11164" s="51"/>
      <c r="S11164" s="51"/>
    </row>
    <row r="11165" spans="9:19" x14ac:dyDescent="0.25">
      <c r="I11165" s="1"/>
      <c r="J11165" s="71"/>
      <c r="M11165" s="46"/>
      <c r="R11165" s="51"/>
      <c r="S11165" s="51"/>
    </row>
    <row r="11166" spans="9:19" x14ac:dyDescent="0.25">
      <c r="I11166" s="1"/>
      <c r="J11166" s="71"/>
      <c r="M11166" s="46"/>
      <c r="R11166" s="51"/>
      <c r="S11166" s="51"/>
    </row>
    <row r="11167" spans="9:19" x14ac:dyDescent="0.25">
      <c r="I11167" s="1"/>
      <c r="J11167" s="71"/>
      <c r="M11167" s="46"/>
      <c r="R11167" s="51"/>
      <c r="S11167" s="51"/>
    </row>
    <row r="11168" spans="9:19" x14ac:dyDescent="0.25">
      <c r="I11168" s="1"/>
      <c r="J11168" s="71"/>
      <c r="M11168" s="46"/>
      <c r="R11168" s="51"/>
      <c r="S11168" s="51"/>
    </row>
    <row r="11169" spans="9:19" x14ac:dyDescent="0.25">
      <c r="I11169" s="1"/>
      <c r="J11169" s="71"/>
      <c r="M11169" s="46"/>
      <c r="R11169" s="51"/>
      <c r="S11169" s="51"/>
    </row>
    <row r="11170" spans="9:19" x14ac:dyDescent="0.25">
      <c r="I11170" s="1"/>
      <c r="J11170" s="71"/>
      <c r="M11170" s="46"/>
      <c r="R11170" s="51"/>
      <c r="S11170" s="51"/>
    </row>
    <row r="11171" spans="9:19" x14ac:dyDescent="0.25">
      <c r="I11171" s="1"/>
      <c r="J11171" s="71"/>
      <c r="M11171" s="46"/>
      <c r="R11171" s="51"/>
      <c r="S11171" s="51"/>
    </row>
    <row r="11172" spans="9:19" x14ac:dyDescent="0.25">
      <c r="I11172" s="1"/>
      <c r="J11172" s="71"/>
      <c r="M11172" s="46"/>
      <c r="R11172" s="51"/>
      <c r="S11172" s="51"/>
    </row>
    <row r="11173" spans="9:19" x14ac:dyDescent="0.25">
      <c r="I11173" s="1"/>
      <c r="J11173" s="71"/>
      <c r="M11173" s="46"/>
      <c r="R11173" s="51"/>
      <c r="S11173" s="51"/>
    </row>
    <row r="11174" spans="9:19" x14ac:dyDescent="0.25">
      <c r="I11174" s="1"/>
      <c r="J11174" s="71"/>
      <c r="M11174" s="46"/>
      <c r="R11174" s="51"/>
      <c r="S11174" s="51"/>
    </row>
    <row r="11175" spans="9:19" x14ac:dyDescent="0.25">
      <c r="I11175" s="1"/>
      <c r="J11175" s="71"/>
      <c r="M11175" s="46"/>
      <c r="R11175" s="51"/>
      <c r="S11175" s="51"/>
    </row>
    <row r="11176" spans="9:19" x14ac:dyDescent="0.25">
      <c r="I11176" s="1"/>
      <c r="J11176" s="71"/>
      <c r="M11176" s="46"/>
      <c r="R11176" s="51"/>
      <c r="S11176" s="51"/>
    </row>
    <row r="11177" spans="9:19" x14ac:dyDescent="0.25">
      <c r="I11177" s="1"/>
      <c r="J11177" s="71"/>
      <c r="M11177" s="46"/>
      <c r="R11177" s="51"/>
      <c r="S11177" s="51"/>
    </row>
    <row r="11178" spans="9:19" x14ac:dyDescent="0.25">
      <c r="I11178" s="1"/>
      <c r="J11178" s="71"/>
      <c r="M11178" s="46"/>
      <c r="R11178" s="51"/>
      <c r="S11178" s="51"/>
    </row>
    <row r="11179" spans="9:19" x14ac:dyDescent="0.25">
      <c r="I11179" s="1"/>
      <c r="J11179" s="71"/>
      <c r="M11179" s="46"/>
      <c r="R11179" s="51"/>
      <c r="S11179" s="51"/>
    </row>
    <row r="11180" spans="9:19" x14ac:dyDescent="0.25">
      <c r="I11180" s="1"/>
      <c r="J11180" s="71"/>
      <c r="M11180" s="46"/>
      <c r="R11180" s="51"/>
      <c r="S11180" s="51"/>
    </row>
    <row r="11181" spans="9:19" x14ac:dyDescent="0.25">
      <c r="I11181" s="1"/>
      <c r="J11181" s="71"/>
      <c r="M11181" s="46"/>
      <c r="R11181" s="51"/>
      <c r="S11181" s="51"/>
    </row>
    <row r="11182" spans="9:19" x14ac:dyDescent="0.25">
      <c r="I11182" s="1"/>
      <c r="J11182" s="71"/>
      <c r="M11182" s="46"/>
      <c r="R11182" s="51"/>
      <c r="S11182" s="51"/>
    </row>
    <row r="11183" spans="9:19" x14ac:dyDescent="0.25">
      <c r="I11183" s="1"/>
      <c r="J11183" s="71"/>
      <c r="M11183" s="46"/>
      <c r="R11183" s="51"/>
      <c r="S11183" s="51"/>
    </row>
    <row r="11184" spans="9:19" x14ac:dyDescent="0.25">
      <c r="I11184" s="1"/>
      <c r="J11184" s="71"/>
      <c r="M11184" s="46"/>
      <c r="R11184" s="51"/>
      <c r="S11184" s="51"/>
    </row>
    <row r="11185" spans="9:19" x14ac:dyDescent="0.25">
      <c r="I11185" s="1"/>
      <c r="J11185" s="71"/>
      <c r="M11185" s="46"/>
      <c r="R11185" s="51"/>
      <c r="S11185" s="51"/>
    </row>
    <row r="11186" spans="9:19" x14ac:dyDescent="0.25">
      <c r="I11186" s="1"/>
      <c r="J11186" s="71"/>
      <c r="M11186" s="46"/>
      <c r="R11186" s="51"/>
      <c r="S11186" s="51"/>
    </row>
    <row r="11187" spans="9:19" x14ac:dyDescent="0.25">
      <c r="I11187" s="1"/>
      <c r="J11187" s="71"/>
      <c r="M11187" s="46"/>
      <c r="R11187" s="51"/>
      <c r="S11187" s="51"/>
    </row>
    <row r="11188" spans="9:19" x14ac:dyDescent="0.25">
      <c r="I11188" s="1"/>
      <c r="J11188" s="71"/>
      <c r="M11188" s="46"/>
      <c r="R11188" s="51"/>
      <c r="S11188" s="51"/>
    </row>
    <row r="11189" spans="9:19" x14ac:dyDescent="0.25">
      <c r="I11189" s="1"/>
      <c r="J11189" s="71"/>
      <c r="M11189" s="46"/>
      <c r="R11189" s="51"/>
      <c r="S11189" s="51"/>
    </row>
    <row r="11190" spans="9:19" x14ac:dyDescent="0.25">
      <c r="I11190" s="1"/>
      <c r="J11190" s="71"/>
      <c r="M11190" s="46"/>
      <c r="R11190" s="51"/>
      <c r="S11190" s="51"/>
    </row>
    <row r="11191" spans="9:19" x14ac:dyDescent="0.25">
      <c r="I11191" s="1"/>
      <c r="J11191" s="71"/>
      <c r="M11191" s="46"/>
      <c r="R11191" s="51"/>
      <c r="S11191" s="51"/>
    </row>
    <row r="11192" spans="9:19" x14ac:dyDescent="0.25">
      <c r="I11192" s="1"/>
      <c r="J11192" s="71"/>
      <c r="M11192" s="46"/>
      <c r="R11192" s="51"/>
      <c r="S11192" s="51"/>
    </row>
    <row r="11193" spans="9:19" x14ac:dyDescent="0.25">
      <c r="I11193" s="1"/>
      <c r="J11193" s="71"/>
      <c r="M11193" s="46"/>
      <c r="R11193" s="51"/>
      <c r="S11193" s="51"/>
    </row>
    <row r="11194" spans="9:19" x14ac:dyDescent="0.25">
      <c r="I11194" s="1"/>
      <c r="J11194" s="71"/>
      <c r="M11194" s="46"/>
      <c r="R11194" s="51"/>
      <c r="S11194" s="51"/>
    </row>
    <row r="11195" spans="9:19" x14ac:dyDescent="0.25">
      <c r="I11195" s="1"/>
      <c r="J11195" s="71"/>
      <c r="M11195" s="46"/>
      <c r="R11195" s="51"/>
      <c r="S11195" s="51"/>
    </row>
    <row r="11196" spans="9:19" x14ac:dyDescent="0.25">
      <c r="I11196" s="1"/>
      <c r="J11196" s="71"/>
      <c r="M11196" s="46"/>
      <c r="R11196" s="51"/>
      <c r="S11196" s="51"/>
    </row>
    <row r="11197" spans="9:19" x14ac:dyDescent="0.25">
      <c r="I11197" s="1"/>
      <c r="J11197" s="71"/>
      <c r="M11197" s="46"/>
      <c r="R11197" s="51"/>
      <c r="S11197" s="51"/>
    </row>
    <row r="11198" spans="9:19" x14ac:dyDescent="0.25">
      <c r="I11198" s="1"/>
      <c r="J11198" s="71"/>
      <c r="M11198" s="46"/>
      <c r="R11198" s="51"/>
      <c r="S11198" s="51"/>
    </row>
    <row r="11199" spans="9:19" x14ac:dyDescent="0.25">
      <c r="I11199" s="1"/>
      <c r="J11199" s="71"/>
      <c r="M11199" s="46"/>
      <c r="R11199" s="51"/>
      <c r="S11199" s="51"/>
    </row>
    <row r="11200" spans="9:19" x14ac:dyDescent="0.25">
      <c r="I11200" s="1"/>
      <c r="J11200" s="71"/>
      <c r="M11200" s="46"/>
      <c r="R11200" s="51"/>
      <c r="S11200" s="51"/>
    </row>
    <row r="11201" spans="9:19" x14ac:dyDescent="0.25">
      <c r="I11201" s="1"/>
      <c r="J11201" s="71"/>
      <c r="M11201" s="46"/>
      <c r="R11201" s="51"/>
      <c r="S11201" s="51"/>
    </row>
    <row r="11202" spans="9:19" x14ac:dyDescent="0.25">
      <c r="I11202" s="1"/>
      <c r="J11202" s="71"/>
      <c r="M11202" s="46"/>
      <c r="R11202" s="51"/>
      <c r="S11202" s="51"/>
    </row>
    <row r="11203" spans="9:19" x14ac:dyDescent="0.25">
      <c r="I11203" s="1"/>
      <c r="J11203" s="71"/>
      <c r="M11203" s="46"/>
      <c r="R11203" s="51"/>
      <c r="S11203" s="51"/>
    </row>
    <row r="11204" spans="9:19" x14ac:dyDescent="0.25">
      <c r="I11204" s="1"/>
      <c r="J11204" s="71"/>
      <c r="M11204" s="46"/>
      <c r="R11204" s="51"/>
      <c r="S11204" s="51"/>
    </row>
    <row r="11205" spans="9:19" x14ac:dyDescent="0.25">
      <c r="I11205" s="1"/>
      <c r="J11205" s="71"/>
      <c r="M11205" s="46"/>
      <c r="R11205" s="51"/>
      <c r="S11205" s="51"/>
    </row>
    <row r="11206" spans="9:19" x14ac:dyDescent="0.25">
      <c r="I11206" s="1"/>
      <c r="J11206" s="71"/>
      <c r="M11206" s="46"/>
      <c r="R11206" s="51"/>
      <c r="S11206" s="51"/>
    </row>
    <row r="11207" spans="9:19" x14ac:dyDescent="0.25">
      <c r="I11207" s="1"/>
      <c r="J11207" s="71"/>
      <c r="M11207" s="46"/>
      <c r="R11207" s="51"/>
      <c r="S11207" s="51"/>
    </row>
    <row r="11208" spans="9:19" x14ac:dyDescent="0.25">
      <c r="I11208" s="1"/>
      <c r="J11208" s="71"/>
      <c r="M11208" s="46"/>
      <c r="R11208" s="51"/>
      <c r="S11208" s="51"/>
    </row>
    <row r="11209" spans="9:19" x14ac:dyDescent="0.25">
      <c r="I11209" s="1"/>
      <c r="J11209" s="71"/>
      <c r="M11209" s="46"/>
      <c r="R11209" s="51"/>
      <c r="S11209" s="51"/>
    </row>
    <row r="11210" spans="9:19" x14ac:dyDescent="0.25">
      <c r="I11210" s="1"/>
      <c r="J11210" s="71"/>
      <c r="M11210" s="46"/>
      <c r="R11210" s="51"/>
      <c r="S11210" s="51"/>
    </row>
    <row r="11211" spans="9:19" x14ac:dyDescent="0.25">
      <c r="I11211" s="1"/>
      <c r="J11211" s="71"/>
      <c r="M11211" s="46"/>
      <c r="R11211" s="51"/>
      <c r="S11211" s="51"/>
    </row>
    <row r="11212" spans="9:19" x14ac:dyDescent="0.25">
      <c r="I11212" s="1"/>
      <c r="J11212" s="71"/>
      <c r="M11212" s="46"/>
      <c r="R11212" s="51"/>
      <c r="S11212" s="51"/>
    </row>
    <row r="11213" spans="9:19" x14ac:dyDescent="0.25">
      <c r="I11213" s="1"/>
      <c r="J11213" s="71"/>
      <c r="M11213" s="46"/>
      <c r="R11213" s="51"/>
      <c r="S11213" s="51"/>
    </row>
    <row r="11214" spans="9:19" x14ac:dyDescent="0.25">
      <c r="I11214" s="1"/>
      <c r="J11214" s="71"/>
      <c r="M11214" s="46"/>
      <c r="R11214" s="51"/>
      <c r="S11214" s="51"/>
    </row>
    <row r="11215" spans="9:19" x14ac:dyDescent="0.25">
      <c r="I11215" s="1"/>
      <c r="J11215" s="71"/>
      <c r="M11215" s="46"/>
      <c r="R11215" s="51"/>
      <c r="S11215" s="51"/>
    </row>
    <row r="11216" spans="9:19" x14ac:dyDescent="0.25">
      <c r="I11216" s="1"/>
      <c r="J11216" s="71"/>
      <c r="M11216" s="46"/>
      <c r="R11216" s="51"/>
      <c r="S11216" s="51"/>
    </row>
    <row r="11217" spans="9:19" x14ac:dyDescent="0.25">
      <c r="I11217" s="1"/>
      <c r="J11217" s="71"/>
      <c r="M11217" s="46"/>
      <c r="R11217" s="51"/>
      <c r="S11217" s="51"/>
    </row>
    <row r="11218" spans="9:19" x14ac:dyDescent="0.25">
      <c r="I11218" s="1"/>
      <c r="J11218" s="71"/>
      <c r="M11218" s="46"/>
      <c r="R11218" s="51"/>
      <c r="S11218" s="51"/>
    </row>
    <row r="11219" spans="9:19" x14ac:dyDescent="0.25">
      <c r="I11219" s="1"/>
      <c r="J11219" s="71"/>
      <c r="M11219" s="46"/>
      <c r="R11219" s="51"/>
      <c r="S11219" s="51"/>
    </row>
    <row r="11220" spans="9:19" x14ac:dyDescent="0.25">
      <c r="I11220" s="1"/>
      <c r="J11220" s="71"/>
      <c r="M11220" s="46"/>
      <c r="R11220" s="51"/>
      <c r="S11220" s="51"/>
    </row>
    <row r="11221" spans="9:19" x14ac:dyDescent="0.25">
      <c r="I11221" s="1"/>
      <c r="J11221" s="71"/>
      <c r="M11221" s="46"/>
      <c r="R11221" s="51"/>
      <c r="S11221" s="51"/>
    </row>
    <row r="11222" spans="9:19" x14ac:dyDescent="0.25">
      <c r="I11222" s="1"/>
      <c r="J11222" s="71"/>
      <c r="M11222" s="46"/>
      <c r="R11222" s="51"/>
      <c r="S11222" s="51"/>
    </row>
    <row r="11223" spans="9:19" x14ac:dyDescent="0.25">
      <c r="I11223" s="1"/>
      <c r="J11223" s="71"/>
      <c r="M11223" s="46"/>
      <c r="R11223" s="51"/>
      <c r="S11223" s="51"/>
    </row>
    <row r="11224" spans="9:19" x14ac:dyDescent="0.25">
      <c r="I11224" s="1"/>
      <c r="J11224" s="71"/>
      <c r="M11224" s="46"/>
      <c r="R11224" s="51"/>
      <c r="S11224" s="51"/>
    </row>
    <row r="11225" spans="9:19" x14ac:dyDescent="0.25">
      <c r="I11225" s="1"/>
      <c r="J11225" s="71"/>
      <c r="M11225" s="46"/>
      <c r="R11225" s="51"/>
      <c r="S11225" s="51"/>
    </row>
    <row r="11226" spans="9:19" x14ac:dyDescent="0.25">
      <c r="I11226" s="1"/>
      <c r="J11226" s="71"/>
      <c r="M11226" s="46"/>
      <c r="R11226" s="51"/>
      <c r="S11226" s="51"/>
    </row>
    <row r="11227" spans="9:19" x14ac:dyDescent="0.25">
      <c r="I11227" s="1"/>
      <c r="J11227" s="71"/>
      <c r="M11227" s="46"/>
      <c r="R11227" s="51"/>
      <c r="S11227" s="51"/>
    </row>
    <row r="11228" spans="9:19" x14ac:dyDescent="0.25">
      <c r="I11228" s="1"/>
      <c r="J11228" s="71"/>
      <c r="M11228" s="46"/>
      <c r="R11228" s="51"/>
      <c r="S11228" s="51"/>
    </row>
    <row r="11229" spans="9:19" x14ac:dyDescent="0.25">
      <c r="I11229" s="1"/>
      <c r="J11229" s="71"/>
      <c r="M11229" s="46"/>
      <c r="R11229" s="51"/>
      <c r="S11229" s="51"/>
    </row>
    <row r="11230" spans="9:19" x14ac:dyDescent="0.25">
      <c r="I11230" s="1"/>
      <c r="J11230" s="71"/>
      <c r="M11230" s="46"/>
      <c r="R11230" s="51"/>
      <c r="S11230" s="51"/>
    </row>
    <row r="11231" spans="9:19" x14ac:dyDescent="0.25">
      <c r="I11231" s="1"/>
      <c r="J11231" s="71"/>
      <c r="M11231" s="46"/>
      <c r="R11231" s="51"/>
      <c r="S11231" s="51"/>
    </row>
    <row r="11232" spans="9:19" x14ac:dyDescent="0.25">
      <c r="I11232" s="1"/>
      <c r="J11232" s="71"/>
      <c r="M11232" s="46"/>
      <c r="R11232" s="51"/>
      <c r="S11232" s="51"/>
    </row>
    <row r="11233" spans="9:19" x14ac:dyDescent="0.25">
      <c r="I11233" s="1"/>
      <c r="J11233" s="71"/>
      <c r="M11233" s="46"/>
      <c r="R11233" s="51"/>
      <c r="S11233" s="51"/>
    </row>
    <row r="11234" spans="9:19" x14ac:dyDescent="0.25">
      <c r="I11234" s="1"/>
      <c r="J11234" s="71"/>
      <c r="M11234" s="46"/>
      <c r="R11234" s="51"/>
      <c r="S11234" s="51"/>
    </row>
    <row r="11235" spans="9:19" x14ac:dyDescent="0.25">
      <c r="I11235" s="1"/>
      <c r="J11235" s="71"/>
      <c r="M11235" s="46"/>
      <c r="R11235" s="51"/>
      <c r="S11235" s="51"/>
    </row>
    <row r="11236" spans="9:19" x14ac:dyDescent="0.25">
      <c r="I11236" s="1"/>
      <c r="J11236" s="71"/>
      <c r="M11236" s="46"/>
      <c r="R11236" s="51"/>
      <c r="S11236" s="51"/>
    </row>
    <row r="11237" spans="9:19" x14ac:dyDescent="0.25">
      <c r="I11237" s="1"/>
      <c r="J11237" s="71"/>
      <c r="M11237" s="46"/>
      <c r="R11237" s="51"/>
      <c r="S11237" s="51"/>
    </row>
    <row r="11238" spans="9:19" x14ac:dyDescent="0.25">
      <c r="I11238" s="1"/>
      <c r="J11238" s="71"/>
      <c r="M11238" s="46"/>
      <c r="R11238" s="51"/>
      <c r="S11238" s="51"/>
    </row>
    <row r="11239" spans="9:19" x14ac:dyDescent="0.25">
      <c r="I11239" s="1"/>
      <c r="J11239" s="71"/>
      <c r="M11239" s="46"/>
      <c r="R11239" s="51"/>
      <c r="S11239" s="51"/>
    </row>
    <row r="11240" spans="9:19" x14ac:dyDescent="0.25">
      <c r="I11240" s="1"/>
      <c r="J11240" s="71"/>
      <c r="M11240" s="46"/>
      <c r="R11240" s="51"/>
      <c r="S11240" s="51"/>
    </row>
    <row r="11241" spans="9:19" x14ac:dyDescent="0.25">
      <c r="I11241" s="1"/>
      <c r="J11241" s="71"/>
      <c r="M11241" s="46"/>
      <c r="R11241" s="51"/>
      <c r="S11241" s="51"/>
    </row>
    <row r="11242" spans="9:19" x14ac:dyDescent="0.25">
      <c r="I11242" s="1"/>
      <c r="J11242" s="71"/>
      <c r="M11242" s="46"/>
      <c r="R11242" s="51"/>
      <c r="S11242" s="51"/>
    </row>
    <row r="11243" spans="9:19" x14ac:dyDescent="0.25">
      <c r="I11243" s="1"/>
      <c r="J11243" s="71"/>
      <c r="M11243" s="46"/>
      <c r="R11243" s="51"/>
      <c r="S11243" s="51"/>
    </row>
    <row r="11244" spans="9:19" x14ac:dyDescent="0.25">
      <c r="I11244" s="1"/>
      <c r="J11244" s="71"/>
      <c r="M11244" s="46"/>
      <c r="R11244" s="51"/>
      <c r="S11244" s="51"/>
    </row>
    <row r="11245" spans="9:19" x14ac:dyDescent="0.25">
      <c r="I11245" s="1"/>
      <c r="J11245" s="71"/>
      <c r="M11245" s="46"/>
      <c r="R11245" s="51"/>
      <c r="S11245" s="51"/>
    </row>
    <row r="11246" spans="9:19" x14ac:dyDescent="0.25">
      <c r="I11246" s="1"/>
      <c r="J11246" s="71"/>
      <c r="M11246" s="46"/>
      <c r="R11246" s="51"/>
      <c r="S11246" s="51"/>
    </row>
    <row r="11247" spans="9:19" x14ac:dyDescent="0.25">
      <c r="I11247" s="1"/>
      <c r="J11247" s="71"/>
      <c r="M11247" s="46"/>
      <c r="R11247" s="51"/>
      <c r="S11247" s="51"/>
    </row>
    <row r="11248" spans="9:19" x14ac:dyDescent="0.25">
      <c r="I11248" s="1"/>
      <c r="J11248" s="71"/>
      <c r="M11248" s="46"/>
      <c r="R11248" s="51"/>
      <c r="S11248" s="51"/>
    </row>
    <row r="11249" spans="9:19" x14ac:dyDescent="0.25">
      <c r="I11249" s="1"/>
      <c r="J11249" s="71"/>
      <c r="M11249" s="46"/>
      <c r="R11249" s="51"/>
      <c r="S11249" s="51"/>
    </row>
    <row r="11250" spans="9:19" x14ac:dyDescent="0.25">
      <c r="I11250" s="1"/>
      <c r="J11250" s="71"/>
      <c r="M11250" s="46"/>
      <c r="R11250" s="51"/>
      <c r="S11250" s="51"/>
    </row>
    <row r="11251" spans="9:19" x14ac:dyDescent="0.25">
      <c r="I11251" s="1"/>
      <c r="J11251" s="71"/>
      <c r="M11251" s="46"/>
      <c r="R11251" s="51"/>
      <c r="S11251" s="51"/>
    </row>
    <row r="11252" spans="9:19" x14ac:dyDescent="0.25">
      <c r="I11252" s="1"/>
      <c r="J11252" s="71"/>
      <c r="M11252" s="46"/>
      <c r="R11252" s="51"/>
      <c r="S11252" s="51"/>
    </row>
    <row r="11253" spans="9:19" x14ac:dyDescent="0.25">
      <c r="I11253" s="1"/>
      <c r="J11253" s="71"/>
      <c r="M11253" s="46"/>
      <c r="R11253" s="51"/>
      <c r="S11253" s="51"/>
    </row>
    <row r="11254" spans="9:19" x14ac:dyDescent="0.25">
      <c r="I11254" s="1"/>
      <c r="J11254" s="71"/>
      <c r="M11254" s="46"/>
      <c r="R11254" s="51"/>
      <c r="S11254" s="51"/>
    </row>
    <row r="11255" spans="9:19" x14ac:dyDescent="0.25">
      <c r="I11255" s="1"/>
      <c r="J11255" s="71"/>
      <c r="M11255" s="46"/>
      <c r="R11255" s="51"/>
      <c r="S11255" s="51"/>
    </row>
    <row r="11256" spans="9:19" x14ac:dyDescent="0.25">
      <c r="I11256" s="1"/>
      <c r="J11256" s="71"/>
      <c r="M11256" s="46"/>
      <c r="R11256" s="51"/>
      <c r="S11256" s="51"/>
    </row>
    <row r="11257" spans="9:19" x14ac:dyDescent="0.25">
      <c r="I11257" s="1"/>
      <c r="J11257" s="71"/>
      <c r="M11257" s="46"/>
      <c r="R11257" s="51"/>
      <c r="S11257" s="51"/>
    </row>
    <row r="11258" spans="9:19" x14ac:dyDescent="0.25">
      <c r="I11258" s="1"/>
      <c r="J11258" s="71"/>
      <c r="M11258" s="46"/>
      <c r="R11258" s="51"/>
      <c r="S11258" s="51"/>
    </row>
    <row r="11259" spans="9:19" x14ac:dyDescent="0.25">
      <c r="I11259" s="1"/>
      <c r="J11259" s="71"/>
      <c r="M11259" s="46"/>
      <c r="R11259" s="51"/>
      <c r="S11259" s="51"/>
    </row>
    <row r="11260" spans="9:19" x14ac:dyDescent="0.25">
      <c r="I11260" s="1"/>
      <c r="J11260" s="71"/>
      <c r="M11260" s="46"/>
      <c r="R11260" s="51"/>
      <c r="S11260" s="51"/>
    </row>
    <row r="11261" spans="9:19" x14ac:dyDescent="0.25">
      <c r="I11261" s="1"/>
      <c r="J11261" s="71"/>
      <c r="M11261" s="46"/>
      <c r="R11261" s="51"/>
      <c r="S11261" s="51"/>
    </row>
    <row r="11262" spans="9:19" x14ac:dyDescent="0.25">
      <c r="I11262" s="1"/>
      <c r="J11262" s="71"/>
      <c r="M11262" s="46"/>
      <c r="R11262" s="51"/>
      <c r="S11262" s="51"/>
    </row>
    <row r="11263" spans="9:19" x14ac:dyDescent="0.25">
      <c r="I11263" s="1"/>
      <c r="J11263" s="71"/>
      <c r="M11263" s="46"/>
      <c r="R11263" s="51"/>
      <c r="S11263" s="51"/>
    </row>
    <row r="11264" spans="9:19" x14ac:dyDescent="0.25">
      <c r="I11264" s="1"/>
      <c r="J11264" s="71"/>
      <c r="M11264" s="46"/>
      <c r="R11264" s="51"/>
      <c r="S11264" s="51"/>
    </row>
    <row r="11265" spans="9:19" x14ac:dyDescent="0.25">
      <c r="I11265" s="1"/>
      <c r="J11265" s="71"/>
      <c r="M11265" s="46"/>
      <c r="R11265" s="51"/>
      <c r="S11265" s="51"/>
    </row>
    <row r="11266" spans="9:19" x14ac:dyDescent="0.25">
      <c r="I11266" s="1"/>
      <c r="J11266" s="71"/>
      <c r="M11266" s="46"/>
      <c r="R11266" s="51"/>
      <c r="S11266" s="51"/>
    </row>
    <row r="11267" spans="9:19" x14ac:dyDescent="0.25">
      <c r="I11267" s="1"/>
      <c r="J11267" s="71"/>
      <c r="M11267" s="46"/>
      <c r="R11267" s="51"/>
      <c r="S11267" s="51"/>
    </row>
    <row r="11268" spans="9:19" x14ac:dyDescent="0.25">
      <c r="I11268" s="1"/>
      <c r="J11268" s="71"/>
      <c r="M11268" s="46"/>
      <c r="R11268" s="51"/>
      <c r="S11268" s="51"/>
    </row>
    <row r="11269" spans="9:19" x14ac:dyDescent="0.25">
      <c r="I11269" s="1"/>
      <c r="J11269" s="71"/>
      <c r="M11269" s="46"/>
      <c r="R11269" s="51"/>
      <c r="S11269" s="51"/>
    </row>
    <row r="11270" spans="9:19" x14ac:dyDescent="0.25">
      <c r="I11270" s="1"/>
      <c r="J11270" s="71"/>
      <c r="M11270" s="46"/>
      <c r="R11270" s="51"/>
      <c r="S11270" s="51"/>
    </row>
    <row r="11271" spans="9:19" x14ac:dyDescent="0.25">
      <c r="I11271" s="1"/>
      <c r="J11271" s="71"/>
      <c r="M11271" s="46"/>
      <c r="R11271" s="51"/>
      <c r="S11271" s="51"/>
    </row>
    <row r="11272" spans="9:19" x14ac:dyDescent="0.25">
      <c r="I11272" s="1"/>
      <c r="J11272" s="71"/>
      <c r="M11272" s="46"/>
      <c r="R11272" s="51"/>
      <c r="S11272" s="51"/>
    </row>
    <row r="11273" spans="9:19" x14ac:dyDescent="0.25">
      <c r="I11273" s="1"/>
      <c r="J11273" s="71"/>
      <c r="M11273" s="46"/>
      <c r="R11273" s="51"/>
      <c r="S11273" s="51"/>
    </row>
    <row r="11274" spans="9:19" x14ac:dyDescent="0.25">
      <c r="I11274" s="1"/>
      <c r="J11274" s="71"/>
      <c r="M11274" s="46"/>
      <c r="R11274" s="51"/>
      <c r="S11274" s="51"/>
    </row>
    <row r="11275" spans="9:19" x14ac:dyDescent="0.25">
      <c r="I11275" s="1"/>
      <c r="J11275" s="71"/>
      <c r="M11275" s="46"/>
      <c r="R11275" s="51"/>
      <c r="S11275" s="51"/>
    </row>
    <row r="11276" spans="9:19" x14ac:dyDescent="0.25">
      <c r="I11276" s="1"/>
      <c r="J11276" s="71"/>
      <c r="M11276" s="46"/>
      <c r="R11276" s="51"/>
      <c r="S11276" s="51"/>
    </row>
    <row r="11277" spans="9:19" x14ac:dyDescent="0.25">
      <c r="I11277" s="1"/>
      <c r="J11277" s="71"/>
      <c r="M11277" s="46"/>
      <c r="R11277" s="51"/>
      <c r="S11277" s="51"/>
    </row>
    <row r="11278" spans="9:19" x14ac:dyDescent="0.25">
      <c r="I11278" s="1"/>
      <c r="J11278" s="71"/>
      <c r="M11278" s="46"/>
      <c r="R11278" s="51"/>
      <c r="S11278" s="51"/>
    </row>
    <row r="11279" spans="9:19" x14ac:dyDescent="0.25">
      <c r="I11279" s="1"/>
      <c r="J11279" s="71"/>
      <c r="M11279" s="46"/>
      <c r="R11279" s="51"/>
      <c r="S11279" s="51"/>
    </row>
    <row r="11280" spans="9:19" x14ac:dyDescent="0.25">
      <c r="I11280" s="1"/>
      <c r="J11280" s="71"/>
      <c r="M11280" s="46"/>
      <c r="R11280" s="51"/>
      <c r="S11280" s="51"/>
    </row>
    <row r="11281" spans="9:19" x14ac:dyDescent="0.25">
      <c r="I11281" s="1"/>
      <c r="J11281" s="71"/>
      <c r="M11281" s="46"/>
      <c r="R11281" s="51"/>
      <c r="S11281" s="51"/>
    </row>
    <row r="11282" spans="9:19" x14ac:dyDescent="0.25">
      <c r="I11282" s="1"/>
      <c r="J11282" s="71"/>
      <c r="M11282" s="46"/>
      <c r="R11282" s="51"/>
      <c r="S11282" s="51"/>
    </row>
    <row r="11283" spans="9:19" x14ac:dyDescent="0.25">
      <c r="I11283" s="1"/>
      <c r="J11283" s="71"/>
      <c r="M11283" s="46"/>
      <c r="R11283" s="51"/>
      <c r="S11283" s="51"/>
    </row>
    <row r="11284" spans="9:19" x14ac:dyDescent="0.25">
      <c r="I11284" s="1"/>
      <c r="J11284" s="71"/>
      <c r="M11284" s="46"/>
      <c r="R11284" s="51"/>
      <c r="S11284" s="51"/>
    </row>
    <row r="11285" spans="9:19" x14ac:dyDescent="0.25">
      <c r="I11285" s="1"/>
      <c r="J11285" s="71"/>
      <c r="M11285" s="46"/>
      <c r="R11285" s="51"/>
      <c r="S11285" s="51"/>
    </row>
    <row r="11286" spans="9:19" x14ac:dyDescent="0.25">
      <c r="I11286" s="1"/>
      <c r="J11286" s="71"/>
      <c r="M11286" s="46"/>
      <c r="R11286" s="51"/>
      <c r="S11286" s="51"/>
    </row>
    <row r="11287" spans="9:19" x14ac:dyDescent="0.25">
      <c r="I11287" s="1"/>
      <c r="J11287" s="71"/>
      <c r="M11287" s="46"/>
      <c r="R11287" s="51"/>
      <c r="S11287" s="51"/>
    </row>
    <row r="11288" spans="9:19" x14ac:dyDescent="0.25">
      <c r="I11288" s="1"/>
      <c r="J11288" s="71"/>
      <c r="M11288" s="46"/>
      <c r="R11288" s="51"/>
      <c r="S11288" s="51"/>
    </row>
    <row r="11289" spans="9:19" x14ac:dyDescent="0.25">
      <c r="I11289" s="1"/>
      <c r="J11289" s="71"/>
      <c r="M11289" s="46"/>
      <c r="R11289" s="51"/>
      <c r="S11289" s="51"/>
    </row>
    <row r="11290" spans="9:19" x14ac:dyDescent="0.25">
      <c r="I11290" s="1"/>
      <c r="J11290" s="71"/>
      <c r="M11290" s="46"/>
      <c r="R11290" s="51"/>
      <c r="S11290" s="51"/>
    </row>
    <row r="11291" spans="9:19" x14ac:dyDescent="0.25">
      <c r="I11291" s="1"/>
      <c r="J11291" s="71"/>
      <c r="M11291" s="46"/>
      <c r="R11291" s="51"/>
      <c r="S11291" s="51"/>
    </row>
    <row r="11292" spans="9:19" x14ac:dyDescent="0.25">
      <c r="I11292" s="1"/>
      <c r="J11292" s="71"/>
      <c r="M11292" s="46"/>
      <c r="R11292" s="51"/>
      <c r="S11292" s="51"/>
    </row>
    <row r="11293" spans="9:19" x14ac:dyDescent="0.25">
      <c r="I11293" s="1"/>
      <c r="J11293" s="71"/>
      <c r="M11293" s="46"/>
      <c r="R11293" s="51"/>
      <c r="S11293" s="51"/>
    </row>
    <row r="11294" spans="9:19" x14ac:dyDescent="0.25">
      <c r="I11294" s="1"/>
      <c r="J11294" s="71"/>
      <c r="M11294" s="46"/>
      <c r="R11294" s="51"/>
      <c r="S11294" s="51"/>
    </row>
    <row r="11295" spans="9:19" x14ac:dyDescent="0.25">
      <c r="I11295" s="1"/>
      <c r="J11295" s="71"/>
      <c r="M11295" s="46"/>
      <c r="R11295" s="51"/>
      <c r="S11295" s="51"/>
    </row>
    <row r="11296" spans="9:19" x14ac:dyDescent="0.25">
      <c r="I11296" s="1"/>
      <c r="J11296" s="71"/>
      <c r="M11296" s="46"/>
      <c r="R11296" s="51"/>
      <c r="S11296" s="51"/>
    </row>
    <row r="11297" spans="9:19" x14ac:dyDescent="0.25">
      <c r="I11297" s="1"/>
      <c r="J11297" s="71"/>
      <c r="M11297" s="46"/>
      <c r="R11297" s="51"/>
      <c r="S11297" s="51"/>
    </row>
    <row r="11298" spans="9:19" x14ac:dyDescent="0.25">
      <c r="I11298" s="1"/>
      <c r="J11298" s="71"/>
      <c r="M11298" s="46"/>
      <c r="R11298" s="51"/>
      <c r="S11298" s="51"/>
    </row>
    <row r="11299" spans="9:19" x14ac:dyDescent="0.25">
      <c r="I11299" s="1"/>
      <c r="J11299" s="71"/>
      <c r="M11299" s="46"/>
      <c r="R11299" s="51"/>
      <c r="S11299" s="51"/>
    </row>
    <row r="11300" spans="9:19" x14ac:dyDescent="0.25">
      <c r="I11300" s="1"/>
      <c r="J11300" s="71"/>
      <c r="M11300" s="46"/>
      <c r="R11300" s="51"/>
      <c r="S11300" s="51"/>
    </row>
    <row r="11301" spans="9:19" x14ac:dyDescent="0.25">
      <c r="I11301" s="1"/>
      <c r="J11301" s="71"/>
      <c r="M11301" s="46"/>
      <c r="R11301" s="51"/>
      <c r="S11301" s="51"/>
    </row>
    <row r="11302" spans="9:19" x14ac:dyDescent="0.25">
      <c r="I11302" s="1"/>
      <c r="J11302" s="71"/>
      <c r="M11302" s="46"/>
      <c r="R11302" s="51"/>
      <c r="S11302" s="51"/>
    </row>
    <row r="11303" spans="9:19" x14ac:dyDescent="0.25">
      <c r="I11303" s="1"/>
      <c r="J11303" s="71"/>
      <c r="M11303" s="46"/>
      <c r="R11303" s="51"/>
      <c r="S11303" s="51"/>
    </row>
    <row r="11304" spans="9:19" x14ac:dyDescent="0.25">
      <c r="I11304" s="1"/>
      <c r="J11304" s="71"/>
      <c r="M11304" s="46"/>
      <c r="R11304" s="51"/>
      <c r="S11304" s="51"/>
    </row>
    <row r="11305" spans="9:19" x14ac:dyDescent="0.25">
      <c r="I11305" s="1"/>
      <c r="J11305" s="71"/>
      <c r="M11305" s="46"/>
      <c r="R11305" s="51"/>
      <c r="S11305" s="51"/>
    </row>
    <row r="11306" spans="9:19" x14ac:dyDescent="0.25">
      <c r="I11306" s="1"/>
      <c r="J11306" s="71"/>
      <c r="M11306" s="46"/>
      <c r="R11306" s="51"/>
      <c r="S11306" s="51"/>
    </row>
    <row r="11307" spans="9:19" x14ac:dyDescent="0.25">
      <c r="I11307" s="1"/>
      <c r="J11307" s="71"/>
      <c r="M11307" s="46"/>
      <c r="R11307" s="51"/>
      <c r="S11307" s="51"/>
    </row>
    <row r="11308" spans="9:19" x14ac:dyDescent="0.25">
      <c r="I11308" s="1"/>
      <c r="J11308" s="71"/>
      <c r="M11308" s="46"/>
      <c r="R11308" s="51"/>
      <c r="S11308" s="51"/>
    </row>
    <row r="11309" spans="9:19" x14ac:dyDescent="0.25">
      <c r="I11309" s="1"/>
      <c r="J11309" s="71"/>
      <c r="M11309" s="46"/>
      <c r="R11309" s="51"/>
      <c r="S11309" s="51"/>
    </row>
    <row r="11310" spans="9:19" x14ac:dyDescent="0.25">
      <c r="I11310" s="1"/>
      <c r="J11310" s="71"/>
      <c r="M11310" s="46"/>
      <c r="R11310" s="51"/>
      <c r="S11310" s="51"/>
    </row>
    <row r="11311" spans="9:19" x14ac:dyDescent="0.25">
      <c r="I11311" s="1"/>
      <c r="J11311" s="71"/>
      <c r="M11311" s="46"/>
      <c r="R11311" s="51"/>
      <c r="S11311" s="51"/>
    </row>
    <row r="11312" spans="9:19" x14ac:dyDescent="0.25">
      <c r="I11312" s="1"/>
      <c r="J11312" s="71"/>
      <c r="M11312" s="46"/>
      <c r="R11312" s="51"/>
      <c r="S11312" s="51"/>
    </row>
    <row r="11313" spans="9:19" x14ac:dyDescent="0.25">
      <c r="I11313" s="1"/>
      <c r="J11313" s="71"/>
      <c r="M11313" s="46"/>
      <c r="R11313" s="51"/>
      <c r="S11313" s="51"/>
    </row>
    <row r="11314" spans="9:19" x14ac:dyDescent="0.25">
      <c r="I11314" s="1"/>
      <c r="J11314" s="71"/>
      <c r="M11314" s="46"/>
      <c r="R11314" s="51"/>
      <c r="S11314" s="51"/>
    </row>
    <row r="11315" spans="9:19" x14ac:dyDescent="0.25">
      <c r="I11315" s="1"/>
      <c r="J11315" s="71"/>
      <c r="M11315" s="46"/>
      <c r="R11315" s="51"/>
      <c r="S11315" s="51"/>
    </row>
    <row r="11316" spans="9:19" x14ac:dyDescent="0.25">
      <c r="I11316" s="1"/>
      <c r="J11316" s="71"/>
      <c r="M11316" s="46"/>
      <c r="R11316" s="51"/>
      <c r="S11316" s="51"/>
    </row>
    <row r="11317" spans="9:19" x14ac:dyDescent="0.25">
      <c r="I11317" s="1"/>
      <c r="J11317" s="71"/>
      <c r="M11317" s="46"/>
      <c r="R11317" s="51"/>
      <c r="S11317" s="51"/>
    </row>
    <row r="11318" spans="9:19" x14ac:dyDescent="0.25">
      <c r="I11318" s="1"/>
      <c r="J11318" s="71"/>
      <c r="M11318" s="46"/>
      <c r="R11318" s="51"/>
      <c r="S11318" s="51"/>
    </row>
    <row r="11319" spans="9:19" x14ac:dyDescent="0.25">
      <c r="I11319" s="1"/>
      <c r="J11319" s="71"/>
      <c r="M11319" s="46"/>
      <c r="R11319" s="51"/>
      <c r="S11319" s="51"/>
    </row>
    <row r="11320" spans="9:19" x14ac:dyDescent="0.25">
      <c r="I11320" s="1"/>
      <c r="J11320" s="71"/>
      <c r="M11320" s="46"/>
      <c r="R11320" s="51"/>
      <c r="S11320" s="51"/>
    </row>
    <row r="11321" spans="9:19" x14ac:dyDescent="0.25">
      <c r="I11321" s="1"/>
      <c r="J11321" s="71"/>
      <c r="M11321" s="46"/>
      <c r="R11321" s="51"/>
      <c r="S11321" s="51"/>
    </row>
    <row r="11322" spans="9:19" x14ac:dyDescent="0.25">
      <c r="I11322" s="1"/>
      <c r="J11322" s="71"/>
      <c r="M11322" s="46"/>
      <c r="R11322" s="51"/>
      <c r="S11322" s="51"/>
    </row>
    <row r="11323" spans="9:19" x14ac:dyDescent="0.25">
      <c r="I11323" s="1"/>
      <c r="J11323" s="71"/>
      <c r="M11323" s="46"/>
      <c r="R11323" s="51"/>
      <c r="S11323" s="51"/>
    </row>
    <row r="11324" spans="9:19" x14ac:dyDescent="0.25">
      <c r="I11324" s="1"/>
      <c r="J11324" s="71"/>
      <c r="M11324" s="46"/>
      <c r="R11324" s="51"/>
      <c r="S11324" s="51"/>
    </row>
    <row r="11325" spans="9:19" x14ac:dyDescent="0.25">
      <c r="I11325" s="1"/>
      <c r="J11325" s="71"/>
      <c r="M11325" s="46"/>
      <c r="R11325" s="51"/>
      <c r="S11325" s="51"/>
    </row>
    <row r="11326" spans="9:19" x14ac:dyDescent="0.25">
      <c r="I11326" s="1"/>
      <c r="J11326" s="71"/>
      <c r="M11326" s="46"/>
      <c r="R11326" s="51"/>
      <c r="S11326" s="51"/>
    </row>
    <row r="11327" spans="9:19" x14ac:dyDescent="0.25">
      <c r="I11327" s="1"/>
      <c r="J11327" s="71"/>
      <c r="M11327" s="46"/>
      <c r="R11327" s="51"/>
      <c r="S11327" s="51"/>
    </row>
    <row r="11328" spans="9:19" x14ac:dyDescent="0.25">
      <c r="I11328" s="1"/>
      <c r="J11328" s="71"/>
      <c r="M11328" s="46"/>
      <c r="R11328" s="51"/>
      <c r="S11328" s="51"/>
    </row>
    <row r="11329" spans="9:19" x14ac:dyDescent="0.25">
      <c r="I11329" s="1"/>
      <c r="J11329" s="71"/>
      <c r="M11329" s="46"/>
      <c r="R11329" s="51"/>
      <c r="S11329" s="51"/>
    </row>
    <row r="11330" spans="9:19" x14ac:dyDescent="0.25">
      <c r="I11330" s="1"/>
      <c r="J11330" s="71"/>
      <c r="M11330" s="46"/>
      <c r="R11330" s="51"/>
      <c r="S11330" s="51"/>
    </row>
    <row r="11331" spans="9:19" x14ac:dyDescent="0.25">
      <c r="I11331" s="1"/>
      <c r="J11331" s="71"/>
      <c r="M11331" s="46"/>
      <c r="R11331" s="51"/>
      <c r="S11331" s="51"/>
    </row>
    <row r="11332" spans="9:19" x14ac:dyDescent="0.25">
      <c r="I11332" s="1"/>
      <c r="J11332" s="71"/>
      <c r="M11332" s="46"/>
      <c r="R11332" s="51"/>
      <c r="S11332" s="51"/>
    </row>
    <row r="11333" spans="9:19" x14ac:dyDescent="0.25">
      <c r="I11333" s="1"/>
      <c r="J11333" s="71"/>
      <c r="M11333" s="46"/>
      <c r="R11333" s="51"/>
      <c r="S11333" s="51"/>
    </row>
    <row r="11334" spans="9:19" x14ac:dyDescent="0.25">
      <c r="I11334" s="1"/>
      <c r="J11334" s="71"/>
      <c r="M11334" s="46"/>
      <c r="R11334" s="51"/>
      <c r="S11334" s="51"/>
    </row>
    <row r="11335" spans="9:19" x14ac:dyDescent="0.25">
      <c r="I11335" s="1"/>
      <c r="J11335" s="71"/>
      <c r="M11335" s="46"/>
      <c r="R11335" s="51"/>
      <c r="S11335" s="51"/>
    </row>
    <row r="11336" spans="9:19" x14ac:dyDescent="0.25">
      <c r="I11336" s="1"/>
      <c r="J11336" s="71"/>
      <c r="M11336" s="46"/>
      <c r="R11336" s="51"/>
      <c r="S11336" s="51"/>
    </row>
    <row r="11337" spans="9:19" x14ac:dyDescent="0.25">
      <c r="I11337" s="1"/>
      <c r="J11337" s="71"/>
      <c r="M11337" s="46"/>
      <c r="R11337" s="51"/>
      <c r="S11337" s="51"/>
    </row>
    <row r="11338" spans="9:19" x14ac:dyDescent="0.25">
      <c r="I11338" s="1"/>
      <c r="J11338" s="71"/>
      <c r="M11338" s="46"/>
      <c r="R11338" s="51"/>
      <c r="S11338" s="51"/>
    </row>
    <row r="11339" spans="9:19" x14ac:dyDescent="0.25">
      <c r="I11339" s="1"/>
      <c r="J11339" s="71"/>
      <c r="M11339" s="46"/>
      <c r="R11339" s="51"/>
      <c r="S11339" s="51"/>
    </row>
    <row r="11340" spans="9:19" x14ac:dyDescent="0.25">
      <c r="I11340" s="1"/>
      <c r="J11340" s="71"/>
      <c r="M11340" s="46"/>
      <c r="R11340" s="51"/>
      <c r="S11340" s="51"/>
    </row>
    <row r="11341" spans="9:19" x14ac:dyDescent="0.25">
      <c r="I11341" s="1"/>
      <c r="J11341" s="71"/>
      <c r="M11341" s="46"/>
      <c r="R11341" s="51"/>
      <c r="S11341" s="51"/>
    </row>
    <row r="11342" spans="9:19" x14ac:dyDescent="0.25">
      <c r="I11342" s="1"/>
      <c r="J11342" s="71"/>
      <c r="M11342" s="46"/>
      <c r="R11342" s="51"/>
      <c r="S11342" s="51"/>
    </row>
    <row r="11343" spans="9:19" x14ac:dyDescent="0.25">
      <c r="I11343" s="1"/>
      <c r="J11343" s="71"/>
      <c r="M11343" s="46"/>
      <c r="R11343" s="51"/>
      <c r="S11343" s="51"/>
    </row>
    <row r="11344" spans="9:19" x14ac:dyDescent="0.25">
      <c r="I11344" s="1"/>
      <c r="J11344" s="71"/>
      <c r="M11344" s="46"/>
      <c r="R11344" s="51"/>
      <c r="S11344" s="51"/>
    </row>
    <row r="11345" spans="9:19" x14ac:dyDescent="0.25">
      <c r="I11345" s="1"/>
      <c r="J11345" s="71"/>
      <c r="M11345" s="46"/>
      <c r="R11345" s="51"/>
      <c r="S11345" s="51"/>
    </row>
    <row r="11346" spans="9:19" x14ac:dyDescent="0.25">
      <c r="I11346" s="1"/>
      <c r="J11346" s="71"/>
      <c r="M11346" s="46"/>
      <c r="R11346" s="51"/>
      <c r="S11346" s="51"/>
    </row>
    <row r="11347" spans="9:19" x14ac:dyDescent="0.25">
      <c r="I11347" s="1"/>
      <c r="J11347" s="71"/>
      <c r="M11347" s="46"/>
      <c r="R11347" s="51"/>
      <c r="S11347" s="51"/>
    </row>
    <row r="11348" spans="9:19" x14ac:dyDescent="0.25">
      <c r="I11348" s="1"/>
      <c r="J11348" s="71"/>
      <c r="M11348" s="46"/>
      <c r="R11348" s="51"/>
      <c r="S11348" s="51"/>
    </row>
    <row r="11349" spans="9:19" x14ac:dyDescent="0.25">
      <c r="I11349" s="1"/>
      <c r="J11349" s="71"/>
      <c r="M11349" s="46"/>
      <c r="R11349" s="51"/>
      <c r="S11349" s="51"/>
    </row>
    <row r="11350" spans="9:19" x14ac:dyDescent="0.25">
      <c r="I11350" s="1"/>
      <c r="J11350" s="71"/>
      <c r="M11350" s="46"/>
      <c r="R11350" s="51"/>
      <c r="S11350" s="51"/>
    </row>
    <row r="11351" spans="9:19" x14ac:dyDescent="0.25">
      <c r="I11351" s="1"/>
      <c r="J11351" s="71"/>
      <c r="M11351" s="46"/>
      <c r="R11351" s="51"/>
      <c r="S11351" s="51"/>
    </row>
    <row r="11352" spans="9:19" x14ac:dyDescent="0.25">
      <c r="I11352" s="1"/>
      <c r="J11352" s="71"/>
      <c r="M11352" s="46"/>
      <c r="R11352" s="51"/>
      <c r="S11352" s="51"/>
    </row>
    <row r="11353" spans="9:19" x14ac:dyDescent="0.25">
      <c r="I11353" s="1"/>
      <c r="J11353" s="71"/>
      <c r="M11353" s="46"/>
      <c r="R11353" s="51"/>
      <c r="S11353" s="51"/>
    </row>
    <row r="11354" spans="9:19" x14ac:dyDescent="0.25">
      <c r="I11354" s="1"/>
      <c r="J11354" s="71"/>
      <c r="M11354" s="46"/>
      <c r="R11354" s="51"/>
      <c r="S11354" s="51"/>
    </row>
    <row r="11355" spans="9:19" x14ac:dyDescent="0.25">
      <c r="I11355" s="1"/>
      <c r="J11355" s="71"/>
      <c r="M11355" s="46"/>
      <c r="R11355" s="51"/>
      <c r="S11355" s="51"/>
    </row>
    <row r="11356" spans="9:19" x14ac:dyDescent="0.25">
      <c r="I11356" s="1"/>
      <c r="J11356" s="71"/>
      <c r="M11356" s="46"/>
      <c r="R11356" s="51"/>
      <c r="S11356" s="51"/>
    </row>
    <row r="11357" spans="9:19" x14ac:dyDescent="0.25">
      <c r="I11357" s="1"/>
      <c r="J11357" s="71"/>
      <c r="M11357" s="46"/>
      <c r="R11357" s="51"/>
      <c r="S11357" s="51"/>
    </row>
    <row r="11358" spans="9:19" x14ac:dyDescent="0.25">
      <c r="I11358" s="1"/>
      <c r="J11358" s="71"/>
      <c r="M11358" s="46"/>
      <c r="R11358" s="51"/>
      <c r="S11358" s="51"/>
    </row>
    <row r="11359" spans="9:19" x14ac:dyDescent="0.25">
      <c r="I11359" s="1"/>
      <c r="J11359" s="71"/>
      <c r="M11359" s="46"/>
      <c r="R11359" s="51"/>
      <c r="S11359" s="51"/>
    </row>
    <row r="11360" spans="9:19" x14ac:dyDescent="0.25">
      <c r="I11360" s="1"/>
      <c r="J11360" s="71"/>
      <c r="M11360" s="46"/>
      <c r="R11360" s="51"/>
      <c r="S11360" s="51"/>
    </row>
    <row r="11361" spans="9:19" x14ac:dyDescent="0.25">
      <c r="I11361" s="1"/>
      <c r="J11361" s="71"/>
      <c r="M11361" s="46"/>
      <c r="R11361" s="51"/>
      <c r="S11361" s="51"/>
    </row>
    <row r="11362" spans="9:19" x14ac:dyDescent="0.25">
      <c r="I11362" s="1"/>
      <c r="J11362" s="71"/>
      <c r="M11362" s="46"/>
      <c r="R11362" s="51"/>
      <c r="S11362" s="51"/>
    </row>
    <row r="11363" spans="9:19" x14ac:dyDescent="0.25">
      <c r="I11363" s="1"/>
      <c r="J11363" s="71"/>
      <c r="M11363" s="46"/>
      <c r="R11363" s="51"/>
      <c r="S11363" s="51"/>
    </row>
    <row r="11364" spans="9:19" x14ac:dyDescent="0.25">
      <c r="I11364" s="1"/>
      <c r="J11364" s="71"/>
      <c r="M11364" s="46"/>
      <c r="R11364" s="51"/>
      <c r="S11364" s="51"/>
    </row>
    <row r="11365" spans="9:19" x14ac:dyDescent="0.25">
      <c r="I11365" s="1"/>
      <c r="J11365" s="71"/>
      <c r="M11365" s="46"/>
      <c r="R11365" s="51"/>
      <c r="S11365" s="51"/>
    </row>
    <row r="11366" spans="9:19" x14ac:dyDescent="0.25">
      <c r="I11366" s="1"/>
      <c r="J11366" s="71"/>
      <c r="M11366" s="46"/>
      <c r="R11366" s="51"/>
      <c r="S11366" s="51"/>
    </row>
    <row r="11367" spans="9:19" x14ac:dyDescent="0.25">
      <c r="I11367" s="1"/>
      <c r="J11367" s="71"/>
      <c r="M11367" s="46"/>
      <c r="R11367" s="51"/>
      <c r="S11367" s="51"/>
    </row>
    <row r="11368" spans="9:19" x14ac:dyDescent="0.25">
      <c r="I11368" s="1"/>
      <c r="J11368" s="71"/>
      <c r="M11368" s="46"/>
      <c r="R11368" s="51"/>
      <c r="S11368" s="51"/>
    </row>
    <row r="11369" spans="9:19" x14ac:dyDescent="0.25">
      <c r="I11369" s="1"/>
      <c r="J11369" s="71"/>
      <c r="M11369" s="46"/>
      <c r="R11369" s="51"/>
      <c r="S11369" s="51"/>
    </row>
    <row r="11370" spans="9:19" x14ac:dyDescent="0.25">
      <c r="I11370" s="1"/>
      <c r="J11370" s="71"/>
      <c r="M11370" s="46"/>
      <c r="R11370" s="51"/>
      <c r="S11370" s="51"/>
    </row>
    <row r="11371" spans="9:19" x14ac:dyDescent="0.25">
      <c r="I11371" s="1"/>
      <c r="J11371" s="71"/>
      <c r="M11371" s="46"/>
      <c r="R11371" s="51"/>
      <c r="S11371" s="51"/>
    </row>
    <row r="11372" spans="9:19" x14ac:dyDescent="0.25">
      <c r="I11372" s="1"/>
      <c r="J11372" s="71"/>
      <c r="M11372" s="46"/>
      <c r="R11372" s="51"/>
      <c r="S11372" s="51"/>
    </row>
    <row r="11373" spans="9:19" x14ac:dyDescent="0.25">
      <c r="I11373" s="1"/>
      <c r="J11373" s="71"/>
      <c r="M11373" s="46"/>
      <c r="R11373" s="51"/>
      <c r="S11373" s="51"/>
    </row>
    <row r="11374" spans="9:19" x14ac:dyDescent="0.25">
      <c r="I11374" s="1"/>
      <c r="J11374" s="71"/>
      <c r="M11374" s="46"/>
      <c r="R11374" s="51"/>
      <c r="S11374" s="51"/>
    </row>
    <row r="11375" spans="9:19" x14ac:dyDescent="0.25">
      <c r="I11375" s="1"/>
      <c r="J11375" s="71"/>
      <c r="M11375" s="46"/>
      <c r="R11375" s="51"/>
      <c r="S11375" s="51"/>
    </row>
    <row r="11376" spans="9:19" x14ac:dyDescent="0.25">
      <c r="I11376" s="1"/>
      <c r="J11376" s="71"/>
      <c r="M11376" s="46"/>
      <c r="R11376" s="51"/>
      <c r="S11376" s="51"/>
    </row>
    <row r="11377" spans="9:19" x14ac:dyDescent="0.25">
      <c r="I11377" s="1"/>
      <c r="J11377" s="71"/>
      <c r="M11377" s="46"/>
      <c r="R11377" s="51"/>
      <c r="S11377" s="51"/>
    </row>
    <row r="11378" spans="9:19" x14ac:dyDescent="0.25">
      <c r="I11378" s="1"/>
      <c r="J11378" s="71"/>
      <c r="M11378" s="46"/>
      <c r="R11378" s="51"/>
      <c r="S11378" s="51"/>
    </row>
    <row r="11379" spans="9:19" x14ac:dyDescent="0.25">
      <c r="I11379" s="1"/>
      <c r="J11379" s="71"/>
      <c r="M11379" s="46"/>
      <c r="R11379" s="51"/>
      <c r="S11379" s="51"/>
    </row>
    <row r="11380" spans="9:19" x14ac:dyDescent="0.25">
      <c r="I11380" s="1"/>
      <c r="J11380" s="71"/>
      <c r="M11380" s="46"/>
      <c r="R11380" s="51"/>
      <c r="S11380" s="51"/>
    </row>
    <row r="11381" spans="9:19" x14ac:dyDescent="0.25">
      <c r="I11381" s="1"/>
      <c r="J11381" s="71"/>
      <c r="M11381" s="46"/>
      <c r="R11381" s="51"/>
      <c r="S11381" s="51"/>
    </row>
    <row r="11382" spans="9:19" x14ac:dyDescent="0.25">
      <c r="I11382" s="1"/>
      <c r="J11382" s="71"/>
      <c r="M11382" s="46"/>
      <c r="R11382" s="51"/>
      <c r="S11382" s="51"/>
    </row>
    <row r="11383" spans="9:19" x14ac:dyDescent="0.25">
      <c r="I11383" s="1"/>
      <c r="J11383" s="71"/>
      <c r="M11383" s="46"/>
      <c r="R11383" s="51"/>
      <c r="S11383" s="51"/>
    </row>
    <row r="11384" spans="9:19" x14ac:dyDescent="0.25">
      <c r="I11384" s="1"/>
      <c r="J11384" s="71"/>
      <c r="M11384" s="46"/>
      <c r="R11384" s="51"/>
      <c r="S11384" s="51"/>
    </row>
    <row r="11385" spans="9:19" x14ac:dyDescent="0.25">
      <c r="I11385" s="1"/>
      <c r="J11385" s="71"/>
      <c r="M11385" s="46"/>
      <c r="R11385" s="51"/>
      <c r="S11385" s="51"/>
    </row>
    <row r="11386" spans="9:19" x14ac:dyDescent="0.25">
      <c r="I11386" s="1"/>
      <c r="J11386" s="71"/>
      <c r="M11386" s="46"/>
      <c r="R11386" s="51"/>
      <c r="S11386" s="51"/>
    </row>
    <row r="11387" spans="9:19" x14ac:dyDescent="0.25">
      <c r="I11387" s="1"/>
      <c r="J11387" s="71"/>
      <c r="M11387" s="46"/>
      <c r="R11387" s="51"/>
      <c r="S11387" s="51"/>
    </row>
    <row r="11388" spans="9:19" x14ac:dyDescent="0.25">
      <c r="I11388" s="1"/>
      <c r="J11388" s="71"/>
      <c r="M11388" s="46"/>
      <c r="R11388" s="51"/>
      <c r="S11388" s="51"/>
    </row>
    <row r="11389" spans="9:19" x14ac:dyDescent="0.25">
      <c r="I11389" s="1"/>
      <c r="J11389" s="71"/>
      <c r="M11389" s="46"/>
      <c r="R11389" s="51"/>
      <c r="S11389" s="51"/>
    </row>
    <row r="11390" spans="9:19" x14ac:dyDescent="0.25">
      <c r="I11390" s="1"/>
      <c r="J11390" s="71"/>
      <c r="M11390" s="46"/>
      <c r="R11390" s="51"/>
      <c r="S11390" s="51"/>
    </row>
    <row r="11391" spans="9:19" x14ac:dyDescent="0.25">
      <c r="I11391" s="1"/>
      <c r="J11391" s="71"/>
      <c r="M11391" s="46"/>
      <c r="R11391" s="51"/>
      <c r="S11391" s="51"/>
    </row>
    <row r="11392" spans="9:19" x14ac:dyDescent="0.25">
      <c r="I11392" s="1"/>
      <c r="J11392" s="71"/>
      <c r="M11392" s="46"/>
      <c r="R11392" s="51"/>
      <c r="S11392" s="51"/>
    </row>
    <row r="11393" spans="9:19" x14ac:dyDescent="0.25">
      <c r="I11393" s="1"/>
      <c r="J11393" s="71"/>
      <c r="M11393" s="46"/>
      <c r="R11393" s="51"/>
      <c r="S11393" s="51"/>
    </row>
    <row r="11394" spans="9:19" x14ac:dyDescent="0.25">
      <c r="I11394" s="1"/>
      <c r="J11394" s="71"/>
      <c r="M11394" s="46"/>
      <c r="R11394" s="51"/>
      <c r="S11394" s="51"/>
    </row>
    <row r="11395" spans="9:19" x14ac:dyDescent="0.25">
      <c r="I11395" s="1"/>
      <c r="J11395" s="71"/>
      <c r="M11395" s="46"/>
      <c r="R11395" s="51"/>
      <c r="S11395" s="51"/>
    </row>
    <row r="11396" spans="9:19" x14ac:dyDescent="0.25">
      <c r="I11396" s="1"/>
      <c r="J11396" s="71"/>
      <c r="M11396" s="46"/>
      <c r="R11396" s="51"/>
      <c r="S11396" s="51"/>
    </row>
    <row r="11397" spans="9:19" x14ac:dyDescent="0.25">
      <c r="I11397" s="1"/>
      <c r="J11397" s="71"/>
      <c r="M11397" s="46"/>
      <c r="R11397" s="51"/>
      <c r="S11397" s="51"/>
    </row>
    <row r="11398" spans="9:19" x14ac:dyDescent="0.25">
      <c r="I11398" s="1"/>
      <c r="J11398" s="71"/>
      <c r="M11398" s="46"/>
      <c r="R11398" s="51"/>
      <c r="S11398" s="51"/>
    </row>
    <row r="11399" spans="9:19" x14ac:dyDescent="0.25">
      <c r="I11399" s="1"/>
      <c r="J11399" s="71"/>
      <c r="M11399" s="46"/>
      <c r="R11399" s="51"/>
      <c r="S11399" s="51"/>
    </row>
    <row r="11400" spans="9:19" x14ac:dyDescent="0.25">
      <c r="I11400" s="1"/>
      <c r="J11400" s="71"/>
      <c r="M11400" s="46"/>
      <c r="R11400" s="51"/>
      <c r="S11400" s="51"/>
    </row>
    <row r="11401" spans="9:19" x14ac:dyDescent="0.25">
      <c r="I11401" s="1"/>
      <c r="J11401" s="71"/>
      <c r="M11401" s="46"/>
      <c r="R11401" s="51"/>
      <c r="S11401" s="51"/>
    </row>
    <row r="11402" spans="9:19" x14ac:dyDescent="0.25">
      <c r="I11402" s="1"/>
      <c r="J11402" s="71"/>
      <c r="M11402" s="46"/>
      <c r="R11402" s="51"/>
      <c r="S11402" s="51"/>
    </row>
    <row r="11403" spans="9:19" x14ac:dyDescent="0.25">
      <c r="I11403" s="1"/>
      <c r="J11403" s="71"/>
      <c r="M11403" s="46"/>
      <c r="R11403" s="51"/>
      <c r="S11403" s="51"/>
    </row>
    <row r="11404" spans="9:19" x14ac:dyDescent="0.25">
      <c r="I11404" s="1"/>
      <c r="J11404" s="71"/>
      <c r="M11404" s="46"/>
      <c r="R11404" s="51"/>
      <c r="S11404" s="51"/>
    </row>
    <row r="11405" spans="9:19" x14ac:dyDescent="0.25">
      <c r="I11405" s="1"/>
      <c r="J11405" s="71"/>
      <c r="M11405" s="46"/>
      <c r="R11405" s="51"/>
      <c r="S11405" s="51"/>
    </row>
    <row r="11406" spans="9:19" x14ac:dyDescent="0.25">
      <c r="I11406" s="1"/>
      <c r="J11406" s="71"/>
      <c r="M11406" s="46"/>
      <c r="R11406" s="51"/>
      <c r="S11406" s="51"/>
    </row>
    <row r="11407" spans="9:19" x14ac:dyDescent="0.25">
      <c r="I11407" s="1"/>
      <c r="J11407" s="71"/>
      <c r="M11407" s="46"/>
      <c r="R11407" s="51"/>
      <c r="S11407" s="51"/>
    </row>
    <row r="11408" spans="9:19" x14ac:dyDescent="0.25">
      <c r="I11408" s="1"/>
      <c r="J11408" s="71"/>
      <c r="M11408" s="46"/>
      <c r="R11408" s="51"/>
      <c r="S11408" s="51"/>
    </row>
    <row r="11409" spans="9:19" x14ac:dyDescent="0.25">
      <c r="I11409" s="1"/>
      <c r="J11409" s="71"/>
      <c r="M11409" s="46"/>
      <c r="R11409" s="51"/>
      <c r="S11409" s="51"/>
    </row>
    <row r="11410" spans="9:19" x14ac:dyDescent="0.25">
      <c r="I11410" s="1"/>
      <c r="J11410" s="71"/>
      <c r="M11410" s="46"/>
      <c r="R11410" s="51"/>
      <c r="S11410" s="51"/>
    </row>
    <row r="11411" spans="9:19" x14ac:dyDescent="0.25">
      <c r="I11411" s="1"/>
      <c r="J11411" s="71"/>
      <c r="M11411" s="46"/>
      <c r="R11411" s="51"/>
      <c r="S11411" s="51"/>
    </row>
    <row r="11412" spans="9:19" x14ac:dyDescent="0.25">
      <c r="I11412" s="1"/>
      <c r="J11412" s="71"/>
      <c r="M11412" s="46"/>
      <c r="R11412" s="51"/>
      <c r="S11412" s="51"/>
    </row>
    <row r="11413" spans="9:19" x14ac:dyDescent="0.25">
      <c r="I11413" s="1"/>
      <c r="J11413" s="71"/>
      <c r="M11413" s="46"/>
      <c r="R11413" s="51"/>
      <c r="S11413" s="51"/>
    </row>
    <row r="11414" spans="9:19" x14ac:dyDescent="0.25">
      <c r="I11414" s="1"/>
      <c r="J11414" s="71"/>
      <c r="M11414" s="46"/>
      <c r="R11414" s="51"/>
      <c r="S11414" s="51"/>
    </row>
    <row r="11415" spans="9:19" x14ac:dyDescent="0.25">
      <c r="I11415" s="1"/>
      <c r="J11415" s="71"/>
      <c r="M11415" s="46"/>
      <c r="R11415" s="51"/>
      <c r="S11415" s="51"/>
    </row>
    <row r="11416" spans="9:19" x14ac:dyDescent="0.25">
      <c r="I11416" s="1"/>
      <c r="J11416" s="71"/>
      <c r="M11416" s="46"/>
      <c r="R11416" s="51"/>
      <c r="S11416" s="51"/>
    </row>
    <row r="11417" spans="9:19" x14ac:dyDescent="0.25">
      <c r="I11417" s="1"/>
      <c r="J11417" s="71"/>
      <c r="M11417" s="46"/>
      <c r="R11417" s="51"/>
      <c r="S11417" s="51"/>
    </row>
    <row r="11418" spans="9:19" x14ac:dyDescent="0.25">
      <c r="I11418" s="1"/>
      <c r="J11418" s="71"/>
      <c r="M11418" s="46"/>
      <c r="R11418" s="51"/>
      <c r="S11418" s="51"/>
    </row>
    <row r="11419" spans="9:19" x14ac:dyDescent="0.25">
      <c r="I11419" s="1"/>
      <c r="J11419" s="71"/>
      <c r="M11419" s="46"/>
      <c r="R11419" s="51"/>
      <c r="S11419" s="51"/>
    </row>
    <row r="11420" spans="9:19" x14ac:dyDescent="0.25">
      <c r="I11420" s="1"/>
      <c r="J11420" s="71"/>
      <c r="M11420" s="46"/>
      <c r="R11420" s="51"/>
      <c r="S11420" s="51"/>
    </row>
    <row r="11421" spans="9:19" x14ac:dyDescent="0.25">
      <c r="I11421" s="1"/>
      <c r="J11421" s="71"/>
      <c r="M11421" s="46"/>
      <c r="R11421" s="51"/>
      <c r="S11421" s="51"/>
    </row>
    <row r="11422" spans="9:19" x14ac:dyDescent="0.25">
      <c r="I11422" s="1"/>
      <c r="J11422" s="71"/>
      <c r="M11422" s="46"/>
      <c r="R11422" s="51"/>
      <c r="S11422" s="51"/>
    </row>
    <row r="11423" spans="9:19" x14ac:dyDescent="0.25">
      <c r="I11423" s="1"/>
      <c r="J11423" s="71"/>
      <c r="M11423" s="46"/>
      <c r="R11423" s="51"/>
      <c r="S11423" s="51"/>
    </row>
    <row r="11424" spans="9:19" x14ac:dyDescent="0.25">
      <c r="I11424" s="1"/>
      <c r="J11424" s="71"/>
      <c r="M11424" s="46"/>
      <c r="R11424" s="51"/>
      <c r="S11424" s="51"/>
    </row>
    <row r="11425" spans="9:19" x14ac:dyDescent="0.25">
      <c r="I11425" s="1"/>
      <c r="J11425" s="71"/>
      <c r="M11425" s="46"/>
      <c r="R11425" s="51"/>
      <c r="S11425" s="51"/>
    </row>
    <row r="11426" spans="9:19" x14ac:dyDescent="0.25">
      <c r="I11426" s="1"/>
      <c r="J11426" s="71"/>
      <c r="M11426" s="46"/>
      <c r="R11426" s="51"/>
      <c r="S11426" s="51"/>
    </row>
    <row r="11427" spans="9:19" x14ac:dyDescent="0.25">
      <c r="I11427" s="1"/>
      <c r="J11427" s="71"/>
      <c r="M11427" s="46"/>
      <c r="R11427" s="51"/>
      <c r="S11427" s="51"/>
    </row>
    <row r="11428" spans="9:19" x14ac:dyDescent="0.25">
      <c r="I11428" s="1"/>
      <c r="J11428" s="71"/>
      <c r="M11428" s="46"/>
      <c r="R11428" s="51"/>
      <c r="S11428" s="51"/>
    </row>
    <row r="11429" spans="9:19" x14ac:dyDescent="0.25">
      <c r="I11429" s="1"/>
      <c r="J11429" s="71"/>
      <c r="M11429" s="46"/>
      <c r="R11429" s="51"/>
      <c r="S11429" s="51"/>
    </row>
    <row r="11430" spans="9:19" x14ac:dyDescent="0.25">
      <c r="I11430" s="1"/>
      <c r="J11430" s="71"/>
      <c r="M11430" s="46"/>
      <c r="R11430" s="51"/>
      <c r="S11430" s="51"/>
    </row>
    <row r="11431" spans="9:19" x14ac:dyDescent="0.25">
      <c r="I11431" s="1"/>
      <c r="J11431" s="71"/>
      <c r="M11431" s="46"/>
      <c r="R11431" s="51"/>
      <c r="S11431" s="51"/>
    </row>
    <row r="11432" spans="9:19" x14ac:dyDescent="0.25">
      <c r="I11432" s="1"/>
      <c r="J11432" s="71"/>
      <c r="M11432" s="46"/>
      <c r="R11432" s="51"/>
      <c r="S11432" s="51"/>
    </row>
    <row r="11433" spans="9:19" x14ac:dyDescent="0.25">
      <c r="I11433" s="1"/>
      <c r="J11433" s="71"/>
      <c r="M11433" s="46"/>
      <c r="R11433" s="51"/>
      <c r="S11433" s="51"/>
    </row>
    <row r="11434" spans="9:19" x14ac:dyDescent="0.25">
      <c r="I11434" s="1"/>
      <c r="J11434" s="71"/>
      <c r="M11434" s="46"/>
      <c r="R11434" s="51"/>
      <c r="S11434" s="51"/>
    </row>
    <row r="11435" spans="9:19" x14ac:dyDescent="0.25">
      <c r="I11435" s="1"/>
      <c r="J11435" s="71"/>
      <c r="M11435" s="46"/>
      <c r="R11435" s="51"/>
      <c r="S11435" s="51"/>
    </row>
    <row r="11436" spans="9:19" x14ac:dyDescent="0.25">
      <c r="I11436" s="1"/>
      <c r="J11436" s="71"/>
      <c r="M11436" s="46"/>
      <c r="R11436" s="51"/>
      <c r="S11436" s="51"/>
    </row>
    <row r="11437" spans="9:19" x14ac:dyDescent="0.25">
      <c r="I11437" s="1"/>
      <c r="J11437" s="71"/>
      <c r="M11437" s="46"/>
      <c r="R11437" s="51"/>
      <c r="S11437" s="51"/>
    </row>
    <row r="11438" spans="9:19" x14ac:dyDescent="0.25">
      <c r="I11438" s="1"/>
      <c r="J11438" s="71"/>
      <c r="M11438" s="46"/>
      <c r="R11438" s="51"/>
      <c r="S11438" s="51"/>
    </row>
    <row r="11439" spans="9:19" x14ac:dyDescent="0.25">
      <c r="I11439" s="1"/>
      <c r="J11439" s="71"/>
      <c r="M11439" s="46"/>
      <c r="R11439" s="51"/>
      <c r="S11439" s="51"/>
    </row>
    <row r="11440" spans="9:19" x14ac:dyDescent="0.25">
      <c r="I11440" s="1"/>
      <c r="J11440" s="71"/>
      <c r="M11440" s="46"/>
      <c r="R11440" s="51"/>
      <c r="S11440" s="51"/>
    </row>
    <row r="11441" spans="9:19" x14ac:dyDescent="0.25">
      <c r="I11441" s="1"/>
      <c r="J11441" s="71"/>
      <c r="M11441" s="46"/>
      <c r="R11441" s="51"/>
      <c r="S11441" s="51"/>
    </row>
    <row r="11442" spans="9:19" x14ac:dyDescent="0.25">
      <c r="I11442" s="1"/>
      <c r="J11442" s="71"/>
      <c r="M11442" s="46"/>
      <c r="R11442" s="51"/>
      <c r="S11442" s="51"/>
    </row>
    <row r="11443" spans="9:19" x14ac:dyDescent="0.25">
      <c r="I11443" s="1"/>
      <c r="J11443" s="71"/>
      <c r="M11443" s="46"/>
      <c r="R11443" s="51"/>
      <c r="S11443" s="51"/>
    </row>
    <row r="11444" spans="9:19" x14ac:dyDescent="0.25">
      <c r="I11444" s="1"/>
      <c r="J11444" s="71"/>
      <c r="M11444" s="46"/>
      <c r="R11444" s="51"/>
      <c r="S11444" s="51"/>
    </row>
    <row r="11445" spans="9:19" x14ac:dyDescent="0.25">
      <c r="I11445" s="1"/>
      <c r="J11445" s="71"/>
      <c r="M11445" s="46"/>
      <c r="R11445" s="51"/>
      <c r="S11445" s="51"/>
    </row>
    <row r="11446" spans="9:19" x14ac:dyDescent="0.25">
      <c r="I11446" s="1"/>
      <c r="J11446" s="71"/>
      <c r="M11446" s="46"/>
      <c r="R11446" s="51"/>
      <c r="S11446" s="51"/>
    </row>
    <row r="11447" spans="9:19" x14ac:dyDescent="0.25">
      <c r="I11447" s="1"/>
      <c r="J11447" s="71"/>
      <c r="M11447" s="46"/>
      <c r="R11447" s="51"/>
      <c r="S11447" s="51"/>
    </row>
    <row r="11448" spans="9:19" x14ac:dyDescent="0.25">
      <c r="I11448" s="1"/>
      <c r="J11448" s="71"/>
      <c r="M11448" s="46"/>
      <c r="R11448" s="51"/>
      <c r="S11448" s="51"/>
    </row>
    <row r="11449" spans="9:19" x14ac:dyDescent="0.25">
      <c r="I11449" s="1"/>
      <c r="J11449" s="71"/>
      <c r="M11449" s="46"/>
      <c r="R11449" s="51"/>
      <c r="S11449" s="51"/>
    </row>
    <row r="11450" spans="9:19" x14ac:dyDescent="0.25">
      <c r="I11450" s="1"/>
      <c r="J11450" s="71"/>
      <c r="M11450" s="46"/>
      <c r="R11450" s="51"/>
      <c r="S11450" s="51"/>
    </row>
    <row r="11451" spans="9:19" x14ac:dyDescent="0.25">
      <c r="I11451" s="1"/>
      <c r="J11451" s="71"/>
      <c r="M11451" s="46"/>
      <c r="R11451" s="51"/>
      <c r="S11451" s="51"/>
    </row>
    <row r="11452" spans="9:19" x14ac:dyDescent="0.25">
      <c r="I11452" s="1"/>
      <c r="J11452" s="71"/>
      <c r="M11452" s="46"/>
      <c r="R11452" s="51"/>
      <c r="S11452" s="51"/>
    </row>
    <row r="11453" spans="9:19" x14ac:dyDescent="0.25">
      <c r="I11453" s="1"/>
      <c r="J11453" s="71"/>
      <c r="M11453" s="46"/>
      <c r="R11453" s="51"/>
      <c r="S11453" s="51"/>
    </row>
    <row r="11454" spans="9:19" x14ac:dyDescent="0.25">
      <c r="I11454" s="1"/>
      <c r="J11454" s="71"/>
      <c r="M11454" s="46"/>
      <c r="R11454" s="51"/>
      <c r="S11454" s="51"/>
    </row>
    <row r="11455" spans="9:19" x14ac:dyDescent="0.25">
      <c r="I11455" s="1"/>
      <c r="J11455" s="71"/>
      <c r="M11455" s="46"/>
      <c r="R11455" s="51"/>
      <c r="S11455" s="51"/>
    </row>
    <row r="11456" spans="9:19" x14ac:dyDescent="0.25">
      <c r="I11456" s="1"/>
      <c r="J11456" s="71"/>
      <c r="M11456" s="46"/>
      <c r="R11456" s="51"/>
      <c r="S11456" s="51"/>
    </row>
    <row r="11457" spans="9:19" x14ac:dyDescent="0.25">
      <c r="I11457" s="1"/>
      <c r="J11457" s="71"/>
      <c r="M11457" s="46"/>
      <c r="R11457" s="51"/>
      <c r="S11457" s="51"/>
    </row>
    <row r="11458" spans="9:19" x14ac:dyDescent="0.25">
      <c r="I11458" s="1"/>
      <c r="J11458" s="71"/>
      <c r="M11458" s="46"/>
      <c r="R11458" s="51"/>
      <c r="S11458" s="51"/>
    </row>
    <row r="11459" spans="9:19" x14ac:dyDescent="0.25">
      <c r="I11459" s="1"/>
      <c r="J11459" s="71"/>
      <c r="M11459" s="46"/>
      <c r="R11459" s="51"/>
      <c r="S11459" s="51"/>
    </row>
    <row r="11460" spans="9:19" x14ac:dyDescent="0.25">
      <c r="I11460" s="1"/>
      <c r="J11460" s="71"/>
      <c r="M11460" s="46"/>
      <c r="R11460" s="51"/>
      <c r="S11460" s="51"/>
    </row>
    <row r="11461" spans="9:19" x14ac:dyDescent="0.25">
      <c r="I11461" s="1"/>
      <c r="J11461" s="71"/>
      <c r="M11461" s="46"/>
      <c r="R11461" s="51"/>
      <c r="S11461" s="51"/>
    </row>
    <row r="11462" spans="9:19" x14ac:dyDescent="0.25">
      <c r="I11462" s="1"/>
      <c r="J11462" s="71"/>
      <c r="M11462" s="46"/>
      <c r="R11462" s="51"/>
      <c r="S11462" s="51"/>
    </row>
    <row r="11463" spans="9:19" x14ac:dyDescent="0.25">
      <c r="I11463" s="1"/>
      <c r="J11463" s="71"/>
      <c r="M11463" s="46"/>
      <c r="R11463" s="51"/>
      <c r="S11463" s="51"/>
    </row>
    <row r="11464" spans="9:19" x14ac:dyDescent="0.25">
      <c r="I11464" s="1"/>
      <c r="J11464" s="71"/>
      <c r="M11464" s="46"/>
      <c r="R11464" s="51"/>
      <c r="S11464" s="51"/>
    </row>
    <row r="11465" spans="9:19" x14ac:dyDescent="0.25">
      <c r="I11465" s="1"/>
      <c r="J11465" s="71"/>
      <c r="M11465" s="46"/>
      <c r="R11465" s="51"/>
      <c r="S11465" s="51"/>
    </row>
    <row r="11466" spans="9:19" x14ac:dyDescent="0.25">
      <c r="I11466" s="1"/>
      <c r="J11466" s="71"/>
      <c r="M11466" s="46"/>
      <c r="R11466" s="51"/>
      <c r="S11466" s="51"/>
    </row>
    <row r="11467" spans="9:19" x14ac:dyDescent="0.25">
      <c r="I11467" s="1"/>
      <c r="J11467" s="71"/>
      <c r="M11467" s="46"/>
      <c r="R11467" s="51"/>
      <c r="S11467" s="51"/>
    </row>
    <row r="11468" spans="9:19" x14ac:dyDescent="0.25">
      <c r="I11468" s="1"/>
      <c r="J11468" s="71"/>
      <c r="M11468" s="46"/>
      <c r="R11468" s="51"/>
      <c r="S11468" s="51"/>
    </row>
    <row r="11469" spans="9:19" x14ac:dyDescent="0.25">
      <c r="I11469" s="1"/>
      <c r="J11469" s="71"/>
      <c r="M11469" s="46"/>
      <c r="R11469" s="51"/>
      <c r="S11469" s="51"/>
    </row>
    <row r="11470" spans="9:19" x14ac:dyDescent="0.25">
      <c r="I11470" s="1"/>
      <c r="J11470" s="71"/>
      <c r="M11470" s="46"/>
      <c r="R11470" s="51"/>
      <c r="S11470" s="51"/>
    </row>
    <row r="11471" spans="9:19" x14ac:dyDescent="0.25">
      <c r="I11471" s="1"/>
      <c r="J11471" s="71"/>
      <c r="M11471" s="46"/>
      <c r="R11471" s="51"/>
      <c r="S11471" s="51"/>
    </row>
    <row r="11472" spans="9:19" x14ac:dyDescent="0.25">
      <c r="I11472" s="1"/>
      <c r="J11472" s="71"/>
      <c r="M11472" s="46"/>
      <c r="R11472" s="51"/>
      <c r="S11472" s="51"/>
    </row>
    <row r="11473" spans="9:19" x14ac:dyDescent="0.25">
      <c r="I11473" s="1"/>
      <c r="J11473" s="71"/>
      <c r="M11473" s="46"/>
      <c r="R11473" s="51"/>
      <c r="S11473" s="51"/>
    </row>
    <row r="11474" spans="9:19" x14ac:dyDescent="0.25">
      <c r="I11474" s="1"/>
      <c r="J11474" s="71"/>
      <c r="M11474" s="46"/>
      <c r="R11474" s="51"/>
      <c r="S11474" s="51"/>
    </row>
    <row r="11475" spans="9:19" x14ac:dyDescent="0.25">
      <c r="I11475" s="1"/>
      <c r="J11475" s="71"/>
      <c r="M11475" s="46"/>
      <c r="R11475" s="51"/>
      <c r="S11475" s="51"/>
    </row>
    <row r="11476" spans="9:19" x14ac:dyDescent="0.25">
      <c r="I11476" s="1"/>
      <c r="J11476" s="71"/>
      <c r="M11476" s="46"/>
      <c r="R11476" s="51"/>
      <c r="S11476" s="51"/>
    </row>
    <row r="11477" spans="9:19" x14ac:dyDescent="0.25">
      <c r="I11477" s="1"/>
      <c r="J11477" s="71"/>
      <c r="M11477" s="46"/>
      <c r="R11477" s="51"/>
      <c r="S11477" s="51"/>
    </row>
    <row r="11478" spans="9:19" x14ac:dyDescent="0.25">
      <c r="I11478" s="1"/>
      <c r="J11478" s="71"/>
      <c r="M11478" s="46"/>
      <c r="R11478" s="51"/>
      <c r="S11478" s="51"/>
    </row>
    <row r="11479" spans="9:19" x14ac:dyDescent="0.25">
      <c r="I11479" s="1"/>
      <c r="J11479" s="71"/>
      <c r="M11479" s="46"/>
      <c r="R11479" s="51"/>
      <c r="S11479" s="51"/>
    </row>
    <row r="11480" spans="9:19" x14ac:dyDescent="0.25">
      <c r="I11480" s="1"/>
      <c r="J11480" s="71"/>
      <c r="M11480" s="46"/>
      <c r="R11480" s="51"/>
      <c r="S11480" s="51"/>
    </row>
    <row r="11481" spans="9:19" x14ac:dyDescent="0.25">
      <c r="I11481" s="1"/>
      <c r="J11481" s="71"/>
      <c r="M11481" s="46"/>
      <c r="R11481" s="51"/>
      <c r="S11481" s="51"/>
    </row>
    <row r="11482" spans="9:19" x14ac:dyDescent="0.25">
      <c r="I11482" s="1"/>
      <c r="J11482" s="71"/>
      <c r="M11482" s="46"/>
      <c r="R11482" s="51"/>
      <c r="S11482" s="51"/>
    </row>
    <row r="11483" spans="9:19" x14ac:dyDescent="0.25">
      <c r="I11483" s="1"/>
      <c r="J11483" s="71"/>
      <c r="M11483" s="46"/>
      <c r="R11483" s="51"/>
      <c r="S11483" s="51"/>
    </row>
    <row r="11484" spans="9:19" x14ac:dyDescent="0.25">
      <c r="I11484" s="1"/>
      <c r="J11484" s="71"/>
      <c r="M11484" s="46"/>
      <c r="R11484" s="51"/>
      <c r="S11484" s="51"/>
    </row>
    <row r="11485" spans="9:19" x14ac:dyDescent="0.25">
      <c r="I11485" s="1"/>
      <c r="J11485" s="71"/>
      <c r="M11485" s="46"/>
      <c r="R11485" s="51"/>
      <c r="S11485" s="51"/>
    </row>
    <row r="11486" spans="9:19" x14ac:dyDescent="0.25">
      <c r="I11486" s="1"/>
      <c r="J11486" s="71"/>
      <c r="M11486" s="46"/>
      <c r="R11486" s="51"/>
      <c r="S11486" s="51"/>
    </row>
    <row r="11487" spans="9:19" x14ac:dyDescent="0.25">
      <c r="I11487" s="1"/>
      <c r="J11487" s="71"/>
      <c r="M11487" s="46"/>
      <c r="R11487" s="51"/>
      <c r="S11487" s="51"/>
    </row>
    <row r="11488" spans="9:19" x14ac:dyDescent="0.25">
      <c r="I11488" s="1"/>
      <c r="J11488" s="71"/>
      <c r="M11488" s="46"/>
      <c r="R11488" s="51"/>
      <c r="S11488" s="51"/>
    </row>
    <row r="11489" spans="9:19" x14ac:dyDescent="0.25">
      <c r="I11489" s="1"/>
      <c r="J11489" s="71"/>
      <c r="M11489" s="46"/>
      <c r="R11489" s="51"/>
      <c r="S11489" s="51"/>
    </row>
    <row r="11490" spans="9:19" x14ac:dyDescent="0.25">
      <c r="I11490" s="1"/>
      <c r="J11490" s="71"/>
      <c r="M11490" s="46"/>
      <c r="R11490" s="51"/>
      <c r="S11490" s="51"/>
    </row>
    <row r="11491" spans="9:19" x14ac:dyDescent="0.25">
      <c r="I11491" s="1"/>
      <c r="J11491" s="71"/>
      <c r="M11491" s="46"/>
      <c r="R11491" s="51"/>
      <c r="S11491" s="51"/>
    </row>
    <row r="11492" spans="9:19" x14ac:dyDescent="0.25">
      <c r="I11492" s="1"/>
      <c r="J11492" s="71"/>
      <c r="M11492" s="46"/>
      <c r="R11492" s="51"/>
      <c r="S11492" s="51"/>
    </row>
    <row r="11493" spans="9:19" x14ac:dyDescent="0.25">
      <c r="I11493" s="1"/>
      <c r="J11493" s="71"/>
      <c r="M11493" s="46"/>
      <c r="R11493" s="51"/>
      <c r="S11493" s="51"/>
    </row>
    <row r="11494" spans="9:19" x14ac:dyDescent="0.25">
      <c r="I11494" s="1"/>
      <c r="J11494" s="71"/>
      <c r="M11494" s="46"/>
      <c r="R11494" s="51"/>
      <c r="S11494" s="51"/>
    </row>
    <row r="11495" spans="9:19" x14ac:dyDescent="0.25">
      <c r="I11495" s="1"/>
      <c r="J11495" s="71"/>
      <c r="M11495" s="46"/>
      <c r="R11495" s="51"/>
      <c r="S11495" s="51"/>
    </row>
    <row r="11496" spans="9:19" x14ac:dyDescent="0.25">
      <c r="I11496" s="1"/>
      <c r="J11496" s="71"/>
      <c r="M11496" s="46"/>
      <c r="R11496" s="51"/>
      <c r="S11496" s="51"/>
    </row>
    <row r="11497" spans="9:19" x14ac:dyDescent="0.25">
      <c r="I11497" s="1"/>
      <c r="J11497" s="71"/>
      <c r="M11497" s="46"/>
      <c r="R11497" s="51"/>
      <c r="S11497" s="51"/>
    </row>
    <row r="11498" spans="9:19" x14ac:dyDescent="0.25">
      <c r="I11498" s="1"/>
      <c r="J11498" s="71"/>
      <c r="M11498" s="46"/>
      <c r="R11498" s="51"/>
      <c r="S11498" s="51"/>
    </row>
    <row r="11499" spans="9:19" x14ac:dyDescent="0.25">
      <c r="I11499" s="1"/>
      <c r="J11499" s="71"/>
      <c r="M11499" s="46"/>
      <c r="R11499" s="51"/>
      <c r="S11499" s="51"/>
    </row>
    <row r="11500" spans="9:19" x14ac:dyDescent="0.25">
      <c r="I11500" s="1"/>
      <c r="J11500" s="71"/>
      <c r="M11500" s="46"/>
      <c r="R11500" s="51"/>
      <c r="S11500" s="51"/>
    </row>
    <row r="11501" spans="9:19" x14ac:dyDescent="0.25">
      <c r="I11501" s="1"/>
      <c r="J11501" s="71"/>
      <c r="M11501" s="46"/>
      <c r="R11501" s="51"/>
      <c r="S11501" s="51"/>
    </row>
    <row r="11502" spans="9:19" x14ac:dyDescent="0.25">
      <c r="I11502" s="1"/>
      <c r="J11502" s="71"/>
      <c r="M11502" s="46"/>
      <c r="R11502" s="51"/>
      <c r="S11502" s="51"/>
    </row>
    <row r="11503" spans="9:19" x14ac:dyDescent="0.25">
      <c r="I11503" s="1"/>
      <c r="J11503" s="71"/>
      <c r="M11503" s="46"/>
      <c r="R11503" s="51"/>
      <c r="S11503" s="51"/>
    </row>
    <row r="11504" spans="9:19" x14ac:dyDescent="0.25">
      <c r="I11504" s="1"/>
      <c r="J11504" s="71"/>
      <c r="M11504" s="46"/>
      <c r="R11504" s="51"/>
      <c r="S11504" s="51"/>
    </row>
    <row r="11505" spans="9:19" x14ac:dyDescent="0.25">
      <c r="I11505" s="1"/>
      <c r="J11505" s="71"/>
      <c r="M11505" s="46"/>
      <c r="R11505" s="51"/>
      <c r="S11505" s="51"/>
    </row>
    <row r="11506" spans="9:19" x14ac:dyDescent="0.25">
      <c r="I11506" s="1"/>
      <c r="J11506" s="71"/>
      <c r="M11506" s="46"/>
      <c r="R11506" s="51"/>
      <c r="S11506" s="51"/>
    </row>
    <row r="11507" spans="9:19" x14ac:dyDescent="0.25">
      <c r="I11507" s="1"/>
      <c r="J11507" s="71"/>
      <c r="M11507" s="46"/>
      <c r="R11507" s="51"/>
      <c r="S11507" s="51"/>
    </row>
    <row r="11508" spans="9:19" x14ac:dyDescent="0.25">
      <c r="I11508" s="1"/>
      <c r="J11508" s="71"/>
      <c r="M11508" s="46"/>
      <c r="R11508" s="51"/>
      <c r="S11508" s="51"/>
    </row>
    <row r="11509" spans="9:19" x14ac:dyDescent="0.25">
      <c r="I11509" s="1"/>
      <c r="J11509" s="71"/>
      <c r="M11509" s="46"/>
      <c r="R11509" s="51"/>
      <c r="S11509" s="51"/>
    </row>
    <row r="11510" spans="9:19" x14ac:dyDescent="0.25">
      <c r="I11510" s="1"/>
      <c r="J11510" s="71"/>
      <c r="M11510" s="46"/>
      <c r="R11510" s="51"/>
      <c r="S11510" s="51"/>
    </row>
    <row r="11511" spans="9:19" x14ac:dyDescent="0.25">
      <c r="I11511" s="1"/>
      <c r="J11511" s="71"/>
      <c r="M11511" s="46"/>
      <c r="R11511" s="51"/>
      <c r="S11511" s="51"/>
    </row>
    <row r="11512" spans="9:19" x14ac:dyDescent="0.25">
      <c r="I11512" s="1"/>
      <c r="J11512" s="71"/>
      <c r="M11512" s="46"/>
      <c r="R11512" s="51"/>
      <c r="S11512" s="51"/>
    </row>
    <row r="11513" spans="9:19" x14ac:dyDescent="0.25">
      <c r="I11513" s="1"/>
      <c r="J11513" s="71"/>
      <c r="M11513" s="46"/>
      <c r="R11513" s="51"/>
      <c r="S11513" s="51"/>
    </row>
    <row r="11514" spans="9:19" x14ac:dyDescent="0.25">
      <c r="I11514" s="1"/>
      <c r="J11514" s="71"/>
      <c r="M11514" s="46"/>
      <c r="R11514" s="51"/>
      <c r="S11514" s="51"/>
    </row>
    <row r="11515" spans="9:19" x14ac:dyDescent="0.25">
      <c r="I11515" s="1"/>
      <c r="J11515" s="71"/>
      <c r="M11515" s="46"/>
      <c r="R11515" s="51"/>
      <c r="S11515" s="51"/>
    </row>
    <row r="11516" spans="9:19" x14ac:dyDescent="0.25">
      <c r="I11516" s="1"/>
      <c r="J11516" s="71"/>
      <c r="M11516" s="46"/>
      <c r="R11516" s="51"/>
      <c r="S11516" s="51"/>
    </row>
    <row r="11517" spans="9:19" x14ac:dyDescent="0.25">
      <c r="I11517" s="1"/>
      <c r="J11517" s="71"/>
      <c r="M11517" s="46"/>
      <c r="R11517" s="51"/>
      <c r="S11517" s="51"/>
    </row>
    <row r="11518" spans="9:19" x14ac:dyDescent="0.25">
      <c r="I11518" s="1"/>
      <c r="J11518" s="71"/>
      <c r="M11518" s="46"/>
      <c r="R11518" s="51"/>
      <c r="S11518" s="51"/>
    </row>
    <row r="11519" spans="9:19" x14ac:dyDescent="0.25">
      <c r="I11519" s="1"/>
      <c r="J11519" s="71"/>
      <c r="M11519" s="46"/>
      <c r="R11519" s="51"/>
      <c r="S11519" s="51"/>
    </row>
    <row r="11520" spans="9:19" x14ac:dyDescent="0.25">
      <c r="I11520" s="1"/>
      <c r="J11520" s="71"/>
      <c r="M11520" s="46"/>
      <c r="R11520" s="51"/>
      <c r="S11520" s="51"/>
    </row>
    <row r="11521" spans="9:19" x14ac:dyDescent="0.25">
      <c r="I11521" s="1"/>
      <c r="J11521" s="71"/>
      <c r="M11521" s="46"/>
      <c r="R11521" s="51"/>
      <c r="S11521" s="51"/>
    </row>
    <row r="11522" spans="9:19" x14ac:dyDescent="0.25">
      <c r="I11522" s="1"/>
      <c r="J11522" s="71"/>
      <c r="M11522" s="46"/>
      <c r="R11522" s="51"/>
      <c r="S11522" s="51"/>
    </row>
    <row r="11523" spans="9:19" x14ac:dyDescent="0.25">
      <c r="I11523" s="1"/>
      <c r="J11523" s="71"/>
      <c r="M11523" s="46"/>
      <c r="R11523" s="51"/>
      <c r="S11523" s="51"/>
    </row>
    <row r="11524" spans="9:19" x14ac:dyDescent="0.25">
      <c r="I11524" s="1"/>
      <c r="J11524" s="71"/>
      <c r="M11524" s="46"/>
      <c r="R11524" s="51"/>
      <c r="S11524" s="51"/>
    </row>
    <row r="11525" spans="9:19" x14ac:dyDescent="0.25">
      <c r="I11525" s="1"/>
      <c r="J11525" s="71"/>
      <c r="M11525" s="46"/>
      <c r="R11525" s="51"/>
      <c r="S11525" s="51"/>
    </row>
    <row r="11526" spans="9:19" x14ac:dyDescent="0.25">
      <c r="I11526" s="1"/>
      <c r="J11526" s="71"/>
      <c r="M11526" s="46"/>
      <c r="R11526" s="51"/>
      <c r="S11526" s="51"/>
    </row>
    <row r="11527" spans="9:19" x14ac:dyDescent="0.25">
      <c r="I11527" s="1"/>
      <c r="J11527" s="71"/>
      <c r="M11527" s="46"/>
      <c r="R11527" s="51"/>
      <c r="S11527" s="51"/>
    </row>
    <row r="11528" spans="9:19" x14ac:dyDescent="0.25">
      <c r="I11528" s="1"/>
      <c r="J11528" s="71"/>
      <c r="M11528" s="46"/>
      <c r="R11528" s="51"/>
      <c r="S11528" s="51"/>
    </row>
    <row r="11529" spans="9:19" x14ac:dyDescent="0.25">
      <c r="I11529" s="1"/>
      <c r="J11529" s="71"/>
      <c r="M11529" s="46"/>
      <c r="R11529" s="51"/>
      <c r="S11529" s="51"/>
    </row>
    <row r="11530" spans="9:19" x14ac:dyDescent="0.25">
      <c r="I11530" s="1"/>
      <c r="J11530" s="71"/>
      <c r="M11530" s="46"/>
      <c r="R11530" s="51"/>
      <c r="S11530" s="51"/>
    </row>
    <row r="11531" spans="9:19" x14ac:dyDescent="0.25">
      <c r="I11531" s="1"/>
      <c r="J11531" s="71"/>
      <c r="M11531" s="46"/>
      <c r="R11531" s="51"/>
      <c r="S11531" s="51"/>
    </row>
    <row r="11532" spans="9:19" x14ac:dyDescent="0.25">
      <c r="I11532" s="1"/>
      <c r="J11532" s="71"/>
      <c r="M11532" s="46"/>
      <c r="R11532" s="51"/>
      <c r="S11532" s="51"/>
    </row>
    <row r="11533" spans="9:19" x14ac:dyDescent="0.25">
      <c r="I11533" s="1"/>
      <c r="J11533" s="71"/>
      <c r="M11533" s="46"/>
      <c r="R11533" s="51"/>
      <c r="S11533" s="51"/>
    </row>
    <row r="11534" spans="9:19" x14ac:dyDescent="0.25">
      <c r="I11534" s="1"/>
      <c r="J11534" s="71"/>
      <c r="M11534" s="46"/>
      <c r="R11534" s="51"/>
      <c r="S11534" s="51"/>
    </row>
    <row r="11535" spans="9:19" x14ac:dyDescent="0.25">
      <c r="I11535" s="1"/>
      <c r="J11535" s="71"/>
      <c r="M11535" s="46"/>
      <c r="R11535" s="51"/>
      <c r="S11535" s="51"/>
    </row>
    <row r="11536" spans="9:19" x14ac:dyDescent="0.25">
      <c r="I11536" s="1"/>
      <c r="J11536" s="71"/>
      <c r="M11536" s="46"/>
      <c r="R11536" s="51"/>
      <c r="S11536" s="51"/>
    </row>
    <row r="11537" spans="9:19" x14ac:dyDescent="0.25">
      <c r="I11537" s="1"/>
      <c r="J11537" s="71"/>
      <c r="M11537" s="46"/>
      <c r="R11537" s="51"/>
      <c r="S11537" s="51"/>
    </row>
    <row r="11538" spans="9:19" x14ac:dyDescent="0.25">
      <c r="I11538" s="1"/>
      <c r="J11538" s="71"/>
      <c r="M11538" s="46"/>
      <c r="R11538" s="51"/>
      <c r="S11538" s="51"/>
    </row>
    <row r="11539" spans="9:19" x14ac:dyDescent="0.25">
      <c r="I11539" s="1"/>
      <c r="J11539" s="71"/>
      <c r="M11539" s="46"/>
      <c r="R11539" s="51"/>
      <c r="S11539" s="51"/>
    </row>
    <row r="11540" spans="9:19" x14ac:dyDescent="0.25">
      <c r="I11540" s="1"/>
      <c r="J11540" s="71"/>
      <c r="M11540" s="46"/>
      <c r="R11540" s="51"/>
      <c r="S11540" s="51"/>
    </row>
    <row r="11541" spans="9:19" x14ac:dyDescent="0.25">
      <c r="I11541" s="1"/>
      <c r="J11541" s="71"/>
      <c r="M11541" s="46"/>
      <c r="R11541" s="51"/>
      <c r="S11541" s="51"/>
    </row>
    <row r="11542" spans="9:19" x14ac:dyDescent="0.25">
      <c r="I11542" s="1"/>
      <c r="J11542" s="71"/>
      <c r="M11542" s="46"/>
      <c r="R11542" s="51"/>
      <c r="S11542" s="51"/>
    </row>
    <row r="11543" spans="9:19" x14ac:dyDescent="0.25">
      <c r="I11543" s="1"/>
      <c r="J11543" s="71"/>
      <c r="M11543" s="46"/>
      <c r="R11543" s="51"/>
      <c r="S11543" s="51"/>
    </row>
    <row r="11544" spans="9:19" x14ac:dyDescent="0.25">
      <c r="I11544" s="1"/>
      <c r="J11544" s="71"/>
      <c r="M11544" s="46"/>
      <c r="R11544" s="51"/>
      <c r="S11544" s="51"/>
    </row>
    <row r="11545" spans="9:19" x14ac:dyDescent="0.25">
      <c r="I11545" s="1"/>
      <c r="J11545" s="71"/>
      <c r="M11545" s="46"/>
      <c r="R11545" s="51"/>
      <c r="S11545" s="51"/>
    </row>
    <row r="11546" spans="9:19" x14ac:dyDescent="0.25">
      <c r="I11546" s="1"/>
      <c r="J11546" s="71"/>
      <c r="M11546" s="46"/>
      <c r="R11546" s="51"/>
      <c r="S11546" s="51"/>
    </row>
    <row r="11547" spans="9:19" x14ac:dyDescent="0.25">
      <c r="I11547" s="1"/>
      <c r="J11547" s="71"/>
      <c r="M11547" s="46"/>
      <c r="R11547" s="51"/>
      <c r="S11547" s="51"/>
    </row>
    <row r="11548" spans="9:19" x14ac:dyDescent="0.25">
      <c r="I11548" s="1"/>
      <c r="J11548" s="71"/>
      <c r="M11548" s="46"/>
      <c r="R11548" s="51"/>
      <c r="S11548" s="51"/>
    </row>
    <row r="11549" spans="9:19" x14ac:dyDescent="0.25">
      <c r="I11549" s="1"/>
      <c r="J11549" s="71"/>
      <c r="M11549" s="46"/>
      <c r="R11549" s="51"/>
      <c r="S11549" s="51"/>
    </row>
    <row r="11550" spans="9:19" x14ac:dyDescent="0.25">
      <c r="I11550" s="1"/>
      <c r="J11550" s="71"/>
      <c r="M11550" s="46"/>
      <c r="R11550" s="51"/>
      <c r="S11550" s="51"/>
    </row>
    <row r="11551" spans="9:19" x14ac:dyDescent="0.25">
      <c r="I11551" s="1"/>
      <c r="J11551" s="71"/>
      <c r="M11551" s="46"/>
      <c r="R11551" s="51"/>
      <c r="S11551" s="51"/>
    </row>
    <row r="11552" spans="9:19" x14ac:dyDescent="0.25">
      <c r="I11552" s="1"/>
      <c r="J11552" s="71"/>
      <c r="M11552" s="46"/>
      <c r="R11552" s="51"/>
      <c r="S11552" s="51"/>
    </row>
    <row r="11553" spans="9:19" x14ac:dyDescent="0.25">
      <c r="I11553" s="1"/>
      <c r="J11553" s="71"/>
      <c r="M11553" s="46"/>
      <c r="R11553" s="51"/>
      <c r="S11553" s="51"/>
    </row>
    <row r="11554" spans="9:19" x14ac:dyDescent="0.25">
      <c r="I11554" s="1"/>
      <c r="J11554" s="71"/>
      <c r="M11554" s="46"/>
      <c r="R11554" s="51"/>
      <c r="S11554" s="51"/>
    </row>
    <row r="11555" spans="9:19" x14ac:dyDescent="0.25">
      <c r="I11555" s="1"/>
      <c r="J11555" s="71"/>
      <c r="M11555" s="46"/>
      <c r="R11555" s="51"/>
      <c r="S11555" s="51"/>
    </row>
    <row r="11556" spans="9:19" x14ac:dyDescent="0.25">
      <c r="I11556" s="1"/>
      <c r="J11556" s="71"/>
      <c r="M11556" s="46"/>
      <c r="R11556" s="51"/>
      <c r="S11556" s="51"/>
    </row>
    <row r="11557" spans="9:19" x14ac:dyDescent="0.25">
      <c r="I11557" s="1"/>
      <c r="J11557" s="71"/>
      <c r="M11557" s="46"/>
      <c r="R11557" s="51"/>
      <c r="S11557" s="51"/>
    </row>
    <row r="11558" spans="9:19" x14ac:dyDescent="0.25">
      <c r="I11558" s="1"/>
      <c r="J11558" s="71"/>
      <c r="M11558" s="46"/>
      <c r="R11558" s="51"/>
      <c r="S11558" s="51"/>
    </row>
    <row r="11559" spans="9:19" x14ac:dyDescent="0.25">
      <c r="I11559" s="1"/>
      <c r="J11559" s="71"/>
      <c r="M11559" s="46"/>
      <c r="R11559" s="51"/>
      <c r="S11559" s="51"/>
    </row>
    <row r="11560" spans="9:19" x14ac:dyDescent="0.25">
      <c r="I11560" s="1"/>
      <c r="J11560" s="71"/>
      <c r="M11560" s="46"/>
      <c r="R11560" s="51"/>
      <c r="S11560" s="51"/>
    </row>
    <row r="11561" spans="9:19" x14ac:dyDescent="0.25">
      <c r="I11561" s="1"/>
      <c r="J11561" s="71"/>
      <c r="M11561" s="46"/>
      <c r="R11561" s="51"/>
      <c r="S11561" s="51"/>
    </row>
    <row r="11562" spans="9:19" x14ac:dyDescent="0.25">
      <c r="I11562" s="1"/>
      <c r="J11562" s="71"/>
      <c r="M11562" s="46"/>
      <c r="R11562" s="51"/>
      <c r="S11562" s="51"/>
    </row>
    <row r="11563" spans="9:19" x14ac:dyDescent="0.25">
      <c r="I11563" s="1"/>
      <c r="J11563" s="71"/>
      <c r="M11563" s="46"/>
      <c r="R11563" s="51"/>
      <c r="S11563" s="51"/>
    </row>
    <row r="11564" spans="9:19" x14ac:dyDescent="0.25">
      <c r="I11564" s="1"/>
      <c r="J11564" s="71"/>
      <c r="M11564" s="46"/>
      <c r="R11564" s="51"/>
      <c r="S11564" s="51"/>
    </row>
    <row r="11565" spans="9:19" x14ac:dyDescent="0.25">
      <c r="I11565" s="1"/>
      <c r="J11565" s="71"/>
      <c r="M11565" s="46"/>
      <c r="R11565" s="51"/>
      <c r="S11565" s="51"/>
    </row>
    <row r="11566" spans="9:19" x14ac:dyDescent="0.25">
      <c r="I11566" s="1"/>
      <c r="J11566" s="71"/>
      <c r="M11566" s="46"/>
      <c r="R11566" s="51"/>
      <c r="S11566" s="51"/>
    </row>
    <row r="11567" spans="9:19" x14ac:dyDescent="0.25">
      <c r="I11567" s="1"/>
      <c r="J11567" s="71"/>
      <c r="M11567" s="46"/>
      <c r="R11567" s="51"/>
      <c r="S11567" s="51"/>
    </row>
    <row r="11568" spans="9:19" x14ac:dyDescent="0.25">
      <c r="I11568" s="1"/>
      <c r="J11568" s="71"/>
      <c r="M11568" s="46"/>
      <c r="R11568" s="51"/>
      <c r="S11568" s="51"/>
    </row>
    <row r="11569" spans="9:19" x14ac:dyDescent="0.25">
      <c r="I11569" s="1"/>
      <c r="J11569" s="71"/>
      <c r="M11569" s="46"/>
      <c r="R11569" s="51"/>
      <c r="S11569" s="51"/>
    </row>
    <row r="11570" spans="9:19" x14ac:dyDescent="0.25">
      <c r="I11570" s="1"/>
      <c r="J11570" s="71"/>
      <c r="M11570" s="46"/>
      <c r="R11570" s="51"/>
      <c r="S11570" s="51"/>
    </row>
    <row r="11571" spans="9:19" x14ac:dyDescent="0.25">
      <c r="I11571" s="1"/>
      <c r="J11571" s="71"/>
      <c r="M11571" s="46"/>
      <c r="R11571" s="51"/>
      <c r="S11571" s="51"/>
    </row>
    <row r="11572" spans="9:19" x14ac:dyDescent="0.25">
      <c r="I11572" s="1"/>
      <c r="J11572" s="71"/>
      <c r="M11572" s="46"/>
      <c r="R11572" s="51"/>
      <c r="S11572" s="51"/>
    </row>
    <row r="11573" spans="9:19" x14ac:dyDescent="0.25">
      <c r="I11573" s="1"/>
      <c r="J11573" s="71"/>
      <c r="M11573" s="46"/>
      <c r="R11573" s="51"/>
      <c r="S11573" s="51"/>
    </row>
    <row r="11574" spans="9:19" x14ac:dyDescent="0.25">
      <c r="I11574" s="1"/>
      <c r="J11574" s="71"/>
      <c r="M11574" s="46"/>
      <c r="R11574" s="51"/>
      <c r="S11574" s="51"/>
    </row>
    <row r="11575" spans="9:19" x14ac:dyDescent="0.25">
      <c r="I11575" s="1"/>
      <c r="J11575" s="71"/>
      <c r="M11575" s="46"/>
      <c r="R11575" s="51"/>
      <c r="S11575" s="51"/>
    </row>
    <row r="11576" spans="9:19" x14ac:dyDescent="0.25">
      <c r="I11576" s="1"/>
      <c r="J11576" s="71"/>
      <c r="M11576" s="46"/>
      <c r="R11576" s="51"/>
      <c r="S11576" s="51"/>
    </row>
    <row r="11577" spans="9:19" x14ac:dyDescent="0.25">
      <c r="I11577" s="1"/>
      <c r="J11577" s="71"/>
      <c r="M11577" s="46"/>
      <c r="R11577" s="51"/>
      <c r="S11577" s="51"/>
    </row>
    <row r="11578" spans="9:19" x14ac:dyDescent="0.25">
      <c r="I11578" s="1"/>
      <c r="J11578" s="71"/>
      <c r="M11578" s="46"/>
      <c r="R11578" s="51"/>
      <c r="S11578" s="51"/>
    </row>
    <row r="11579" spans="9:19" x14ac:dyDescent="0.25">
      <c r="I11579" s="1"/>
      <c r="J11579" s="71"/>
      <c r="M11579" s="46"/>
      <c r="R11579" s="51"/>
      <c r="S11579" s="51"/>
    </row>
    <row r="11580" spans="9:19" x14ac:dyDescent="0.25">
      <c r="I11580" s="1"/>
      <c r="J11580" s="71"/>
      <c r="M11580" s="46"/>
      <c r="R11580" s="51"/>
      <c r="S11580" s="51"/>
    </row>
    <row r="11581" spans="9:19" x14ac:dyDescent="0.25">
      <c r="I11581" s="1"/>
      <c r="J11581" s="71"/>
      <c r="M11581" s="46"/>
      <c r="R11581" s="51"/>
      <c r="S11581" s="51"/>
    </row>
    <row r="11582" spans="9:19" x14ac:dyDescent="0.25">
      <c r="I11582" s="1"/>
      <c r="J11582" s="71"/>
      <c r="M11582" s="46"/>
      <c r="R11582" s="51"/>
      <c r="S11582" s="51"/>
    </row>
    <row r="11583" spans="9:19" x14ac:dyDescent="0.25">
      <c r="I11583" s="1"/>
      <c r="J11583" s="71"/>
      <c r="M11583" s="46"/>
      <c r="R11583" s="51"/>
      <c r="S11583" s="51"/>
    </row>
    <row r="11584" spans="9:19" x14ac:dyDescent="0.25">
      <c r="I11584" s="1"/>
      <c r="J11584" s="71"/>
      <c r="M11584" s="46"/>
      <c r="R11584" s="51"/>
      <c r="S11584" s="51"/>
    </row>
    <row r="11585" spans="9:19" x14ac:dyDescent="0.25">
      <c r="I11585" s="1"/>
      <c r="J11585" s="71"/>
      <c r="M11585" s="46"/>
      <c r="R11585" s="51"/>
      <c r="S11585" s="51"/>
    </row>
    <row r="11586" spans="9:19" x14ac:dyDescent="0.25">
      <c r="I11586" s="1"/>
      <c r="J11586" s="71"/>
      <c r="M11586" s="46"/>
      <c r="R11586" s="51"/>
      <c r="S11586" s="51"/>
    </row>
    <row r="11587" spans="9:19" x14ac:dyDescent="0.25">
      <c r="I11587" s="1"/>
      <c r="J11587" s="71"/>
      <c r="M11587" s="46"/>
      <c r="R11587" s="51"/>
      <c r="S11587" s="51"/>
    </row>
    <row r="11588" spans="9:19" x14ac:dyDescent="0.25">
      <c r="I11588" s="1"/>
      <c r="J11588" s="71"/>
      <c r="M11588" s="46"/>
      <c r="R11588" s="51"/>
      <c r="S11588" s="51"/>
    </row>
    <row r="11589" spans="9:19" x14ac:dyDescent="0.25">
      <c r="I11589" s="1"/>
      <c r="J11589" s="71"/>
      <c r="M11589" s="46"/>
      <c r="R11589" s="51"/>
      <c r="S11589" s="51"/>
    </row>
    <row r="11590" spans="9:19" x14ac:dyDescent="0.25">
      <c r="I11590" s="1"/>
      <c r="J11590" s="71"/>
      <c r="M11590" s="46"/>
      <c r="R11590" s="51"/>
      <c r="S11590" s="51"/>
    </row>
    <row r="11591" spans="9:19" x14ac:dyDescent="0.25">
      <c r="I11591" s="1"/>
      <c r="J11591" s="71"/>
      <c r="M11591" s="46"/>
      <c r="R11591" s="51"/>
      <c r="S11591" s="51"/>
    </row>
    <row r="11592" spans="9:19" x14ac:dyDescent="0.25">
      <c r="I11592" s="1"/>
      <c r="J11592" s="71"/>
      <c r="M11592" s="46"/>
      <c r="R11592" s="51"/>
      <c r="S11592" s="51"/>
    </row>
    <row r="11593" spans="9:19" x14ac:dyDescent="0.25">
      <c r="I11593" s="1"/>
      <c r="J11593" s="71"/>
      <c r="M11593" s="46"/>
      <c r="R11593" s="51"/>
      <c r="S11593" s="51"/>
    </row>
    <row r="11594" spans="9:19" x14ac:dyDescent="0.25">
      <c r="I11594" s="1"/>
      <c r="J11594" s="71"/>
      <c r="M11594" s="46"/>
      <c r="R11594" s="51"/>
      <c r="S11594" s="51"/>
    </row>
    <row r="11595" spans="9:19" x14ac:dyDescent="0.25">
      <c r="I11595" s="1"/>
      <c r="J11595" s="71"/>
      <c r="M11595" s="46"/>
      <c r="R11595" s="51"/>
      <c r="S11595" s="51"/>
    </row>
    <row r="11596" spans="9:19" x14ac:dyDescent="0.25">
      <c r="I11596" s="1"/>
      <c r="J11596" s="71"/>
      <c r="M11596" s="46"/>
      <c r="R11596" s="51"/>
      <c r="S11596" s="51"/>
    </row>
    <row r="11597" spans="9:19" x14ac:dyDescent="0.25">
      <c r="I11597" s="1"/>
      <c r="J11597" s="71"/>
      <c r="M11597" s="46"/>
      <c r="R11597" s="51"/>
      <c r="S11597" s="51"/>
    </row>
    <row r="11598" spans="9:19" x14ac:dyDescent="0.25">
      <c r="I11598" s="1"/>
      <c r="J11598" s="71"/>
      <c r="M11598" s="46"/>
      <c r="R11598" s="51"/>
      <c r="S11598" s="51"/>
    </row>
    <row r="11599" spans="9:19" x14ac:dyDescent="0.25">
      <c r="I11599" s="1"/>
      <c r="J11599" s="71"/>
      <c r="M11599" s="46"/>
      <c r="R11599" s="51"/>
      <c r="S11599" s="51"/>
    </row>
    <row r="11600" spans="9:19" x14ac:dyDescent="0.25">
      <c r="I11600" s="1"/>
      <c r="J11600" s="71"/>
      <c r="M11600" s="46"/>
      <c r="R11600" s="51"/>
      <c r="S11600" s="51"/>
    </row>
    <row r="11601" spans="9:19" x14ac:dyDescent="0.25">
      <c r="I11601" s="1"/>
      <c r="J11601" s="71"/>
      <c r="M11601" s="46"/>
      <c r="R11601" s="51"/>
      <c r="S11601" s="51"/>
    </row>
    <row r="11602" spans="9:19" x14ac:dyDescent="0.25">
      <c r="I11602" s="1"/>
      <c r="J11602" s="71"/>
      <c r="M11602" s="46"/>
      <c r="R11602" s="51"/>
      <c r="S11602" s="51"/>
    </row>
    <row r="11603" spans="9:19" x14ac:dyDescent="0.25">
      <c r="I11603" s="1"/>
      <c r="J11603" s="71"/>
      <c r="M11603" s="46"/>
      <c r="R11603" s="51"/>
      <c r="S11603" s="51"/>
    </row>
    <row r="11604" spans="9:19" x14ac:dyDescent="0.25">
      <c r="I11604" s="1"/>
      <c r="J11604" s="71"/>
      <c r="M11604" s="46"/>
      <c r="R11604" s="51"/>
      <c r="S11604" s="51"/>
    </row>
    <row r="11605" spans="9:19" x14ac:dyDescent="0.25">
      <c r="I11605" s="1"/>
      <c r="J11605" s="71"/>
      <c r="M11605" s="46"/>
      <c r="R11605" s="51"/>
      <c r="S11605" s="51"/>
    </row>
    <row r="11606" spans="9:19" x14ac:dyDescent="0.25">
      <c r="I11606" s="1"/>
      <c r="J11606" s="71"/>
      <c r="M11606" s="46"/>
      <c r="R11606" s="51"/>
      <c r="S11606" s="51"/>
    </row>
    <row r="11607" spans="9:19" x14ac:dyDescent="0.25">
      <c r="I11607" s="1"/>
      <c r="J11607" s="71"/>
      <c r="M11607" s="46"/>
      <c r="R11607" s="51"/>
      <c r="S11607" s="51"/>
    </row>
    <row r="11608" spans="9:19" x14ac:dyDescent="0.25">
      <c r="I11608" s="1"/>
      <c r="J11608" s="71"/>
      <c r="M11608" s="46"/>
      <c r="R11608" s="51"/>
      <c r="S11608" s="51"/>
    </row>
    <row r="11609" spans="9:19" x14ac:dyDescent="0.25">
      <c r="I11609" s="1"/>
      <c r="J11609" s="71"/>
      <c r="M11609" s="46"/>
      <c r="R11609" s="51"/>
      <c r="S11609" s="51"/>
    </row>
    <row r="11610" spans="9:19" x14ac:dyDescent="0.25">
      <c r="I11610" s="1"/>
      <c r="J11610" s="71"/>
      <c r="M11610" s="46"/>
      <c r="R11610" s="51"/>
      <c r="S11610" s="51"/>
    </row>
    <row r="11611" spans="9:19" x14ac:dyDescent="0.25">
      <c r="I11611" s="1"/>
      <c r="J11611" s="71"/>
      <c r="M11611" s="46"/>
      <c r="R11611" s="51"/>
      <c r="S11611" s="51"/>
    </row>
    <row r="11612" spans="9:19" x14ac:dyDescent="0.25">
      <c r="I11612" s="1"/>
      <c r="J11612" s="71"/>
      <c r="M11612" s="46"/>
      <c r="R11612" s="51"/>
      <c r="S11612" s="51"/>
    </row>
    <row r="11613" spans="9:19" x14ac:dyDescent="0.25">
      <c r="I11613" s="1"/>
      <c r="J11613" s="71"/>
      <c r="M11613" s="46"/>
      <c r="R11613" s="51"/>
      <c r="S11613" s="51"/>
    </row>
    <row r="11614" spans="9:19" x14ac:dyDescent="0.25">
      <c r="I11614" s="1"/>
      <c r="J11614" s="71"/>
      <c r="M11614" s="46"/>
      <c r="R11614" s="51"/>
      <c r="S11614" s="51"/>
    </row>
    <row r="11615" spans="9:19" x14ac:dyDescent="0.25">
      <c r="I11615" s="1"/>
      <c r="J11615" s="71"/>
      <c r="M11615" s="46"/>
      <c r="R11615" s="51"/>
      <c r="S11615" s="51"/>
    </row>
    <row r="11616" spans="9:19" x14ac:dyDescent="0.25">
      <c r="I11616" s="1"/>
      <c r="J11616" s="71"/>
      <c r="M11616" s="46"/>
      <c r="R11616" s="51"/>
      <c r="S11616" s="51"/>
    </row>
    <row r="11617" spans="9:19" x14ac:dyDescent="0.25">
      <c r="I11617" s="1"/>
      <c r="J11617" s="71"/>
      <c r="M11617" s="46"/>
      <c r="R11617" s="51"/>
      <c r="S11617" s="51"/>
    </row>
    <row r="11618" spans="9:19" x14ac:dyDescent="0.25">
      <c r="I11618" s="1"/>
      <c r="J11618" s="71"/>
      <c r="M11618" s="46"/>
      <c r="R11618" s="51"/>
      <c r="S11618" s="51"/>
    </row>
    <row r="11619" spans="9:19" x14ac:dyDescent="0.25">
      <c r="I11619" s="1"/>
      <c r="J11619" s="71"/>
      <c r="M11619" s="46"/>
      <c r="R11619" s="51"/>
      <c r="S11619" s="51"/>
    </row>
    <row r="11620" spans="9:19" x14ac:dyDescent="0.25">
      <c r="I11620" s="1"/>
      <c r="J11620" s="71"/>
      <c r="M11620" s="46"/>
      <c r="R11620" s="51"/>
      <c r="S11620" s="51"/>
    </row>
    <row r="11621" spans="9:19" x14ac:dyDescent="0.25">
      <c r="I11621" s="1"/>
      <c r="J11621" s="71"/>
      <c r="M11621" s="46"/>
      <c r="R11621" s="51"/>
      <c r="S11621" s="51"/>
    </row>
    <row r="11622" spans="9:19" x14ac:dyDescent="0.25">
      <c r="I11622" s="1"/>
      <c r="J11622" s="71"/>
      <c r="M11622" s="46"/>
      <c r="R11622" s="51"/>
      <c r="S11622" s="51"/>
    </row>
    <row r="11623" spans="9:19" x14ac:dyDescent="0.25">
      <c r="I11623" s="1"/>
      <c r="J11623" s="71"/>
      <c r="M11623" s="46"/>
      <c r="R11623" s="51"/>
      <c r="S11623" s="51"/>
    </row>
    <row r="11624" spans="9:19" x14ac:dyDescent="0.25">
      <c r="I11624" s="1"/>
      <c r="J11624" s="71"/>
      <c r="M11624" s="46"/>
      <c r="R11624" s="51"/>
      <c r="S11624" s="51"/>
    </row>
    <row r="11625" spans="9:19" x14ac:dyDescent="0.25">
      <c r="I11625" s="1"/>
      <c r="J11625" s="71"/>
      <c r="M11625" s="46"/>
      <c r="R11625" s="51"/>
      <c r="S11625" s="51"/>
    </row>
    <row r="11626" spans="9:19" x14ac:dyDescent="0.25">
      <c r="I11626" s="1"/>
      <c r="J11626" s="71"/>
      <c r="M11626" s="46"/>
      <c r="R11626" s="51"/>
      <c r="S11626" s="51"/>
    </row>
    <row r="11627" spans="9:19" x14ac:dyDescent="0.25">
      <c r="I11627" s="1"/>
      <c r="J11627" s="71"/>
      <c r="M11627" s="46"/>
      <c r="R11627" s="51"/>
      <c r="S11627" s="51"/>
    </row>
    <row r="11628" spans="9:19" x14ac:dyDescent="0.25">
      <c r="I11628" s="1"/>
      <c r="J11628" s="71"/>
      <c r="M11628" s="46"/>
      <c r="R11628" s="51"/>
      <c r="S11628" s="51"/>
    </row>
    <row r="11629" spans="9:19" x14ac:dyDescent="0.25">
      <c r="I11629" s="1"/>
      <c r="J11629" s="71"/>
      <c r="M11629" s="46"/>
      <c r="R11629" s="51"/>
      <c r="S11629" s="51"/>
    </row>
    <row r="11630" spans="9:19" x14ac:dyDescent="0.25">
      <c r="I11630" s="1"/>
      <c r="J11630" s="71"/>
      <c r="M11630" s="46"/>
      <c r="R11630" s="51"/>
      <c r="S11630" s="51"/>
    </row>
    <row r="11631" spans="9:19" x14ac:dyDescent="0.25">
      <c r="I11631" s="1"/>
      <c r="J11631" s="71"/>
      <c r="M11631" s="46"/>
      <c r="R11631" s="51"/>
      <c r="S11631" s="51"/>
    </row>
    <row r="11632" spans="9:19" x14ac:dyDescent="0.25">
      <c r="I11632" s="1"/>
      <c r="J11632" s="71"/>
      <c r="M11632" s="46"/>
      <c r="R11632" s="51"/>
      <c r="S11632" s="51"/>
    </row>
    <row r="11633" spans="9:19" x14ac:dyDescent="0.25">
      <c r="I11633" s="1"/>
      <c r="J11633" s="71"/>
      <c r="M11633" s="46"/>
      <c r="R11633" s="51"/>
      <c r="S11633" s="51"/>
    </row>
    <row r="11634" spans="9:19" x14ac:dyDescent="0.25">
      <c r="I11634" s="1"/>
      <c r="J11634" s="71"/>
      <c r="M11634" s="46"/>
      <c r="R11634" s="51"/>
      <c r="S11634" s="51"/>
    </row>
    <row r="11635" spans="9:19" x14ac:dyDescent="0.25">
      <c r="I11635" s="1"/>
      <c r="J11635" s="71"/>
      <c r="M11635" s="46"/>
      <c r="R11635" s="51"/>
      <c r="S11635" s="51"/>
    </row>
    <row r="11636" spans="9:19" x14ac:dyDescent="0.25">
      <c r="I11636" s="1"/>
      <c r="J11636" s="71"/>
      <c r="M11636" s="46"/>
      <c r="R11636" s="51"/>
      <c r="S11636" s="51"/>
    </row>
    <row r="11637" spans="9:19" x14ac:dyDescent="0.25">
      <c r="I11637" s="1"/>
      <c r="J11637" s="71"/>
      <c r="M11637" s="46"/>
      <c r="R11637" s="51"/>
      <c r="S11637" s="51"/>
    </row>
    <row r="11638" spans="9:19" x14ac:dyDescent="0.25">
      <c r="I11638" s="1"/>
      <c r="J11638" s="71"/>
      <c r="M11638" s="46"/>
      <c r="R11638" s="51"/>
      <c r="S11638" s="51"/>
    </row>
    <row r="11639" spans="9:19" x14ac:dyDescent="0.25">
      <c r="I11639" s="1"/>
      <c r="J11639" s="71"/>
      <c r="M11639" s="46"/>
      <c r="R11639" s="51"/>
      <c r="S11639" s="51"/>
    </row>
    <row r="11640" spans="9:19" x14ac:dyDescent="0.25">
      <c r="I11640" s="1"/>
      <c r="J11640" s="71"/>
      <c r="M11640" s="46"/>
      <c r="R11640" s="51"/>
      <c r="S11640" s="51"/>
    </row>
    <row r="11641" spans="9:19" x14ac:dyDescent="0.25">
      <c r="I11641" s="1"/>
      <c r="J11641" s="71"/>
      <c r="M11641" s="46"/>
      <c r="R11641" s="51"/>
      <c r="S11641" s="51"/>
    </row>
    <row r="11642" spans="9:19" x14ac:dyDescent="0.25">
      <c r="I11642" s="1"/>
      <c r="J11642" s="71"/>
      <c r="M11642" s="46"/>
      <c r="R11642" s="51"/>
      <c r="S11642" s="51"/>
    </row>
    <row r="11643" spans="9:19" x14ac:dyDescent="0.25">
      <c r="I11643" s="1"/>
      <c r="J11643" s="71"/>
      <c r="M11643" s="46"/>
      <c r="R11643" s="51"/>
      <c r="S11643" s="51"/>
    </row>
    <row r="11644" spans="9:19" x14ac:dyDescent="0.25">
      <c r="I11644" s="1"/>
      <c r="J11644" s="71"/>
      <c r="M11644" s="46"/>
      <c r="R11644" s="51"/>
      <c r="S11644" s="51"/>
    </row>
    <row r="11645" spans="9:19" x14ac:dyDescent="0.25">
      <c r="I11645" s="1"/>
      <c r="J11645" s="71"/>
      <c r="M11645" s="46"/>
      <c r="R11645" s="51"/>
      <c r="S11645" s="51"/>
    </row>
    <row r="11646" spans="9:19" x14ac:dyDescent="0.25">
      <c r="I11646" s="1"/>
      <c r="J11646" s="71"/>
      <c r="M11646" s="46"/>
      <c r="R11646" s="51"/>
      <c r="S11646" s="51"/>
    </row>
    <row r="11647" spans="9:19" x14ac:dyDescent="0.25">
      <c r="I11647" s="1"/>
      <c r="J11647" s="71"/>
      <c r="M11647" s="46"/>
      <c r="R11647" s="51"/>
      <c r="S11647" s="51"/>
    </row>
    <row r="11648" spans="9:19" x14ac:dyDescent="0.25">
      <c r="I11648" s="1"/>
      <c r="J11648" s="71"/>
      <c r="M11648" s="46"/>
      <c r="R11648" s="51"/>
      <c r="S11648" s="51"/>
    </row>
    <row r="11649" spans="9:19" x14ac:dyDescent="0.25">
      <c r="I11649" s="1"/>
      <c r="J11649" s="71"/>
      <c r="M11649" s="46"/>
      <c r="R11649" s="51"/>
      <c r="S11649" s="51"/>
    </row>
    <row r="11650" spans="9:19" x14ac:dyDescent="0.25">
      <c r="I11650" s="1"/>
      <c r="J11650" s="71"/>
      <c r="M11650" s="46"/>
      <c r="R11650" s="51"/>
      <c r="S11650" s="51"/>
    </row>
    <row r="11651" spans="9:19" x14ac:dyDescent="0.25">
      <c r="I11651" s="1"/>
      <c r="J11651" s="71"/>
      <c r="M11651" s="46"/>
      <c r="R11651" s="51"/>
      <c r="S11651" s="51"/>
    </row>
    <row r="11652" spans="9:19" x14ac:dyDescent="0.25">
      <c r="I11652" s="1"/>
      <c r="J11652" s="71"/>
      <c r="M11652" s="46"/>
      <c r="R11652" s="51"/>
      <c r="S11652" s="51"/>
    </row>
    <row r="11653" spans="9:19" x14ac:dyDescent="0.25">
      <c r="I11653" s="1"/>
      <c r="J11653" s="71"/>
      <c r="M11653" s="46"/>
      <c r="R11653" s="51"/>
      <c r="S11653" s="51"/>
    </row>
    <row r="11654" spans="9:19" x14ac:dyDescent="0.25">
      <c r="I11654" s="1"/>
      <c r="J11654" s="71"/>
      <c r="M11654" s="46"/>
      <c r="R11654" s="51"/>
      <c r="S11654" s="51"/>
    </row>
    <row r="11655" spans="9:19" x14ac:dyDescent="0.25">
      <c r="I11655" s="1"/>
      <c r="J11655" s="71"/>
      <c r="M11655" s="46"/>
      <c r="R11655" s="51"/>
      <c r="S11655" s="51"/>
    </row>
    <row r="11656" spans="9:19" x14ac:dyDescent="0.25">
      <c r="I11656" s="1"/>
      <c r="J11656" s="71"/>
      <c r="M11656" s="46"/>
      <c r="R11656" s="51"/>
      <c r="S11656" s="51"/>
    </row>
    <row r="11657" spans="9:19" x14ac:dyDescent="0.25">
      <c r="I11657" s="1"/>
      <c r="J11657" s="71"/>
      <c r="M11657" s="46"/>
      <c r="R11657" s="51"/>
      <c r="S11657" s="51"/>
    </row>
    <row r="11658" spans="9:19" x14ac:dyDescent="0.25">
      <c r="I11658" s="1"/>
      <c r="J11658" s="71"/>
      <c r="M11658" s="46"/>
      <c r="R11658" s="51"/>
      <c r="S11658" s="51"/>
    </row>
    <row r="11659" spans="9:19" x14ac:dyDescent="0.25">
      <c r="I11659" s="1"/>
      <c r="J11659" s="71"/>
      <c r="M11659" s="46"/>
      <c r="R11659" s="51"/>
      <c r="S11659" s="51"/>
    </row>
    <row r="11660" spans="9:19" x14ac:dyDescent="0.25">
      <c r="I11660" s="1"/>
      <c r="J11660" s="71"/>
      <c r="M11660" s="46"/>
      <c r="R11660" s="51"/>
      <c r="S11660" s="51"/>
    </row>
    <row r="11661" spans="9:19" x14ac:dyDescent="0.25">
      <c r="I11661" s="1"/>
      <c r="J11661" s="71"/>
      <c r="M11661" s="46"/>
      <c r="R11661" s="51"/>
      <c r="S11661" s="51"/>
    </row>
    <row r="11662" spans="9:19" x14ac:dyDescent="0.25">
      <c r="I11662" s="1"/>
      <c r="J11662" s="71"/>
      <c r="M11662" s="46"/>
      <c r="R11662" s="51"/>
      <c r="S11662" s="51"/>
    </row>
    <row r="11663" spans="9:19" x14ac:dyDescent="0.25">
      <c r="I11663" s="1"/>
      <c r="J11663" s="71"/>
      <c r="M11663" s="46"/>
      <c r="R11663" s="51"/>
      <c r="S11663" s="51"/>
    </row>
    <row r="11664" spans="9:19" x14ac:dyDescent="0.25">
      <c r="I11664" s="1"/>
      <c r="J11664" s="71"/>
      <c r="M11664" s="46"/>
      <c r="R11664" s="51"/>
      <c r="S11664" s="51"/>
    </row>
    <row r="11665" spans="9:19" x14ac:dyDescent="0.25">
      <c r="I11665" s="1"/>
      <c r="J11665" s="71"/>
      <c r="M11665" s="46"/>
      <c r="R11665" s="51"/>
      <c r="S11665" s="51"/>
    </row>
    <row r="11666" spans="9:19" x14ac:dyDescent="0.25">
      <c r="I11666" s="1"/>
      <c r="J11666" s="71"/>
      <c r="M11666" s="46"/>
      <c r="R11666" s="51"/>
      <c r="S11666" s="51"/>
    </row>
    <row r="11667" spans="9:19" x14ac:dyDescent="0.25">
      <c r="I11667" s="1"/>
      <c r="J11667" s="71"/>
      <c r="M11667" s="46"/>
      <c r="R11667" s="51"/>
      <c r="S11667" s="51"/>
    </row>
    <row r="11668" spans="9:19" x14ac:dyDescent="0.25">
      <c r="I11668" s="1"/>
      <c r="J11668" s="71"/>
      <c r="M11668" s="46"/>
      <c r="R11668" s="51"/>
      <c r="S11668" s="51"/>
    </row>
    <row r="11669" spans="9:19" x14ac:dyDescent="0.25">
      <c r="I11669" s="1"/>
      <c r="J11669" s="71"/>
      <c r="M11669" s="46"/>
      <c r="R11669" s="51"/>
      <c r="S11669" s="51"/>
    </row>
    <row r="11670" spans="9:19" x14ac:dyDescent="0.25">
      <c r="I11670" s="1"/>
      <c r="J11670" s="71"/>
      <c r="M11670" s="46"/>
      <c r="R11670" s="51"/>
      <c r="S11670" s="51"/>
    </row>
    <row r="11671" spans="9:19" x14ac:dyDescent="0.25">
      <c r="I11671" s="1"/>
      <c r="J11671" s="71"/>
      <c r="M11671" s="46"/>
      <c r="R11671" s="51"/>
      <c r="S11671" s="51"/>
    </row>
    <row r="11672" spans="9:19" x14ac:dyDescent="0.25">
      <c r="I11672" s="1"/>
      <c r="J11672" s="71"/>
      <c r="M11672" s="46"/>
      <c r="R11672" s="51"/>
      <c r="S11672" s="51"/>
    </row>
    <row r="11673" spans="9:19" x14ac:dyDescent="0.25">
      <c r="I11673" s="1"/>
      <c r="J11673" s="71"/>
      <c r="M11673" s="46"/>
      <c r="R11673" s="51"/>
      <c r="S11673" s="51"/>
    </row>
    <row r="11674" spans="9:19" x14ac:dyDescent="0.25">
      <c r="I11674" s="1"/>
      <c r="J11674" s="71"/>
      <c r="M11674" s="46"/>
      <c r="R11674" s="51"/>
      <c r="S11674" s="51"/>
    </row>
    <row r="11675" spans="9:19" x14ac:dyDescent="0.25">
      <c r="I11675" s="1"/>
      <c r="J11675" s="71"/>
      <c r="M11675" s="46"/>
      <c r="R11675" s="51"/>
      <c r="S11675" s="51"/>
    </row>
    <row r="11676" spans="9:19" x14ac:dyDescent="0.25">
      <c r="I11676" s="1"/>
      <c r="J11676" s="71"/>
      <c r="M11676" s="46"/>
      <c r="R11676" s="51"/>
      <c r="S11676" s="51"/>
    </row>
    <row r="11677" spans="9:19" x14ac:dyDescent="0.25">
      <c r="I11677" s="1"/>
      <c r="J11677" s="71"/>
      <c r="M11677" s="46"/>
      <c r="R11677" s="51"/>
      <c r="S11677" s="51"/>
    </row>
    <row r="11678" spans="9:19" x14ac:dyDescent="0.25">
      <c r="I11678" s="1"/>
      <c r="J11678" s="71"/>
      <c r="M11678" s="46"/>
      <c r="R11678" s="51"/>
      <c r="S11678" s="51"/>
    </row>
    <row r="11679" spans="9:19" x14ac:dyDescent="0.25">
      <c r="I11679" s="1"/>
      <c r="J11679" s="71"/>
      <c r="M11679" s="46"/>
      <c r="R11679" s="51"/>
      <c r="S11679" s="51"/>
    </row>
    <row r="11680" spans="9:19" x14ac:dyDescent="0.25">
      <c r="I11680" s="1"/>
      <c r="J11680" s="71"/>
      <c r="M11680" s="46"/>
      <c r="R11680" s="51"/>
      <c r="S11680" s="51"/>
    </row>
    <row r="11681" spans="9:19" x14ac:dyDescent="0.25">
      <c r="I11681" s="1"/>
      <c r="J11681" s="71"/>
      <c r="M11681" s="46"/>
      <c r="R11681" s="51"/>
      <c r="S11681" s="51"/>
    </row>
    <row r="11682" spans="9:19" x14ac:dyDescent="0.25">
      <c r="I11682" s="1"/>
      <c r="J11682" s="71"/>
      <c r="M11682" s="46"/>
      <c r="R11682" s="51"/>
      <c r="S11682" s="51"/>
    </row>
    <row r="11683" spans="9:19" x14ac:dyDescent="0.25">
      <c r="I11683" s="1"/>
      <c r="J11683" s="71"/>
      <c r="M11683" s="46"/>
      <c r="R11683" s="51"/>
      <c r="S11683" s="51"/>
    </row>
    <row r="11684" spans="9:19" x14ac:dyDescent="0.25">
      <c r="I11684" s="1"/>
      <c r="J11684" s="71"/>
      <c r="M11684" s="46"/>
      <c r="R11684" s="51"/>
      <c r="S11684" s="51"/>
    </row>
    <row r="11685" spans="9:19" x14ac:dyDescent="0.25">
      <c r="I11685" s="1"/>
      <c r="J11685" s="71"/>
      <c r="M11685" s="46"/>
      <c r="R11685" s="51"/>
      <c r="S11685" s="51"/>
    </row>
    <row r="11686" spans="9:19" x14ac:dyDescent="0.25">
      <c r="I11686" s="1"/>
      <c r="J11686" s="71"/>
      <c r="M11686" s="46"/>
      <c r="R11686" s="51"/>
      <c r="S11686" s="51"/>
    </row>
    <row r="11687" spans="9:19" x14ac:dyDescent="0.25">
      <c r="I11687" s="1"/>
      <c r="J11687" s="71"/>
      <c r="M11687" s="46"/>
      <c r="R11687" s="51"/>
      <c r="S11687" s="51"/>
    </row>
    <row r="11688" spans="9:19" x14ac:dyDescent="0.25">
      <c r="I11688" s="1"/>
      <c r="J11688" s="71"/>
      <c r="M11688" s="46"/>
      <c r="R11688" s="51"/>
      <c r="S11688" s="51"/>
    </row>
    <row r="11689" spans="9:19" x14ac:dyDescent="0.25">
      <c r="I11689" s="1"/>
      <c r="J11689" s="71"/>
      <c r="M11689" s="46"/>
      <c r="R11689" s="51"/>
      <c r="S11689" s="51"/>
    </row>
    <row r="11690" spans="9:19" x14ac:dyDescent="0.25">
      <c r="I11690" s="1"/>
      <c r="J11690" s="71"/>
      <c r="M11690" s="46"/>
      <c r="R11690" s="51"/>
      <c r="S11690" s="51"/>
    </row>
    <row r="11691" spans="9:19" x14ac:dyDescent="0.25">
      <c r="I11691" s="1"/>
      <c r="J11691" s="71"/>
      <c r="M11691" s="46"/>
      <c r="R11691" s="51"/>
      <c r="S11691" s="51"/>
    </row>
    <row r="11692" spans="9:19" x14ac:dyDescent="0.25">
      <c r="I11692" s="1"/>
      <c r="J11692" s="71"/>
      <c r="M11692" s="46"/>
      <c r="R11692" s="51"/>
      <c r="S11692" s="51"/>
    </row>
    <row r="11693" spans="9:19" x14ac:dyDescent="0.25">
      <c r="I11693" s="1"/>
      <c r="J11693" s="71"/>
      <c r="M11693" s="46"/>
      <c r="R11693" s="51"/>
      <c r="S11693" s="51"/>
    </row>
    <row r="11694" spans="9:19" x14ac:dyDescent="0.25">
      <c r="I11694" s="1"/>
      <c r="J11694" s="71"/>
      <c r="M11694" s="46"/>
      <c r="R11694" s="51"/>
      <c r="S11694" s="51"/>
    </row>
    <row r="11695" spans="9:19" x14ac:dyDescent="0.25">
      <c r="I11695" s="1"/>
      <c r="J11695" s="71"/>
      <c r="M11695" s="46"/>
      <c r="R11695" s="51"/>
      <c r="S11695" s="51"/>
    </row>
    <row r="11696" spans="9:19" x14ac:dyDescent="0.25">
      <c r="I11696" s="1"/>
      <c r="J11696" s="71"/>
      <c r="M11696" s="46"/>
      <c r="R11696" s="51"/>
      <c r="S11696" s="51"/>
    </row>
    <row r="11697" spans="9:19" x14ac:dyDescent="0.25">
      <c r="I11697" s="1"/>
      <c r="J11697" s="71"/>
      <c r="M11697" s="46"/>
      <c r="R11697" s="51"/>
      <c r="S11697" s="51"/>
    </row>
    <row r="11698" spans="9:19" x14ac:dyDescent="0.25">
      <c r="I11698" s="1"/>
      <c r="J11698" s="71"/>
      <c r="M11698" s="46"/>
      <c r="R11698" s="51"/>
      <c r="S11698" s="51"/>
    </row>
    <row r="11699" spans="9:19" x14ac:dyDescent="0.25">
      <c r="I11699" s="1"/>
      <c r="J11699" s="71"/>
      <c r="M11699" s="46"/>
      <c r="R11699" s="51"/>
      <c r="S11699" s="51"/>
    </row>
    <row r="11700" spans="9:19" x14ac:dyDescent="0.25">
      <c r="I11700" s="1"/>
      <c r="J11700" s="71"/>
      <c r="M11700" s="46"/>
      <c r="R11700" s="51"/>
      <c r="S11700" s="51"/>
    </row>
    <row r="11701" spans="9:19" x14ac:dyDescent="0.25">
      <c r="I11701" s="1"/>
      <c r="J11701" s="71"/>
      <c r="M11701" s="46"/>
      <c r="R11701" s="51"/>
      <c r="S11701" s="51"/>
    </row>
    <row r="11702" spans="9:19" x14ac:dyDescent="0.25">
      <c r="I11702" s="1"/>
      <c r="J11702" s="71"/>
      <c r="M11702" s="46"/>
      <c r="R11702" s="51"/>
      <c r="S11702" s="51"/>
    </row>
    <row r="11703" spans="9:19" x14ac:dyDescent="0.25">
      <c r="I11703" s="1"/>
      <c r="J11703" s="71"/>
      <c r="M11703" s="46"/>
      <c r="R11703" s="51"/>
      <c r="S11703" s="51"/>
    </row>
    <row r="11704" spans="9:19" x14ac:dyDescent="0.25">
      <c r="I11704" s="1"/>
      <c r="J11704" s="71"/>
      <c r="M11704" s="46"/>
      <c r="R11704" s="51"/>
      <c r="S11704" s="51"/>
    </row>
    <row r="11705" spans="9:19" x14ac:dyDescent="0.25">
      <c r="I11705" s="1"/>
      <c r="J11705" s="71"/>
      <c r="M11705" s="46"/>
      <c r="R11705" s="51"/>
      <c r="S11705" s="51"/>
    </row>
    <row r="11706" spans="9:19" x14ac:dyDescent="0.25">
      <c r="I11706" s="1"/>
      <c r="J11706" s="71"/>
      <c r="M11706" s="46"/>
      <c r="R11706" s="51"/>
      <c r="S11706" s="51"/>
    </row>
    <row r="11707" spans="9:19" x14ac:dyDescent="0.25">
      <c r="I11707" s="1"/>
      <c r="J11707" s="71"/>
      <c r="M11707" s="46"/>
      <c r="R11707" s="51"/>
      <c r="S11707" s="51"/>
    </row>
    <row r="11708" spans="9:19" x14ac:dyDescent="0.25">
      <c r="I11708" s="1"/>
      <c r="J11708" s="71"/>
      <c r="M11708" s="46"/>
      <c r="R11708" s="51"/>
      <c r="S11708" s="51"/>
    </row>
    <row r="11709" spans="9:19" x14ac:dyDescent="0.25">
      <c r="I11709" s="1"/>
      <c r="J11709" s="71"/>
      <c r="M11709" s="46"/>
      <c r="R11709" s="51"/>
      <c r="S11709" s="51"/>
    </row>
    <row r="11710" spans="9:19" x14ac:dyDescent="0.25">
      <c r="I11710" s="1"/>
      <c r="J11710" s="71"/>
      <c r="M11710" s="46"/>
      <c r="R11710" s="51"/>
      <c r="S11710" s="51"/>
    </row>
    <row r="11711" spans="9:19" x14ac:dyDescent="0.25">
      <c r="I11711" s="1"/>
      <c r="J11711" s="71"/>
      <c r="M11711" s="46"/>
      <c r="R11711" s="51"/>
      <c r="S11711" s="51"/>
    </row>
    <row r="11712" spans="9:19" x14ac:dyDescent="0.25">
      <c r="I11712" s="1"/>
      <c r="J11712" s="71"/>
      <c r="M11712" s="46"/>
      <c r="R11712" s="51"/>
      <c r="S11712" s="51"/>
    </row>
    <row r="11713" spans="9:19" x14ac:dyDescent="0.25">
      <c r="I11713" s="1"/>
      <c r="J11713" s="71"/>
      <c r="M11713" s="46"/>
      <c r="R11713" s="51"/>
      <c r="S11713" s="51"/>
    </row>
    <row r="11714" spans="9:19" x14ac:dyDescent="0.25">
      <c r="I11714" s="1"/>
      <c r="J11714" s="71"/>
      <c r="M11714" s="46"/>
      <c r="R11714" s="51"/>
      <c r="S11714" s="51"/>
    </row>
    <row r="11715" spans="9:19" x14ac:dyDescent="0.25">
      <c r="I11715" s="1"/>
      <c r="J11715" s="71"/>
      <c r="M11715" s="46"/>
      <c r="R11715" s="51"/>
      <c r="S11715" s="51"/>
    </row>
    <row r="11716" spans="9:19" x14ac:dyDescent="0.25">
      <c r="I11716" s="1"/>
      <c r="J11716" s="71"/>
      <c r="M11716" s="46"/>
      <c r="R11716" s="51"/>
      <c r="S11716" s="51"/>
    </row>
    <row r="11717" spans="9:19" x14ac:dyDescent="0.25">
      <c r="I11717" s="1"/>
      <c r="J11717" s="71"/>
      <c r="M11717" s="46"/>
      <c r="R11717" s="51"/>
      <c r="S11717" s="51"/>
    </row>
    <row r="11718" spans="9:19" x14ac:dyDescent="0.25">
      <c r="I11718" s="1"/>
      <c r="J11718" s="71"/>
      <c r="M11718" s="46"/>
      <c r="R11718" s="51"/>
      <c r="S11718" s="51"/>
    </row>
    <row r="11719" spans="9:19" x14ac:dyDescent="0.25">
      <c r="I11719" s="1"/>
      <c r="J11719" s="71"/>
      <c r="M11719" s="46"/>
      <c r="R11719" s="51"/>
      <c r="S11719" s="51"/>
    </row>
    <row r="11720" spans="9:19" x14ac:dyDescent="0.25">
      <c r="I11720" s="1"/>
      <c r="J11720" s="71"/>
      <c r="M11720" s="46"/>
      <c r="R11720" s="51"/>
      <c r="S11720" s="51"/>
    </row>
    <row r="11721" spans="9:19" x14ac:dyDescent="0.25">
      <c r="I11721" s="1"/>
      <c r="J11721" s="71"/>
      <c r="M11721" s="46"/>
      <c r="R11721" s="51"/>
      <c r="S11721" s="51"/>
    </row>
    <row r="11722" spans="9:19" x14ac:dyDescent="0.25">
      <c r="I11722" s="1"/>
      <c r="J11722" s="71"/>
      <c r="M11722" s="46"/>
      <c r="R11722" s="51"/>
      <c r="S11722" s="51"/>
    </row>
    <row r="11723" spans="9:19" x14ac:dyDescent="0.25">
      <c r="I11723" s="1"/>
      <c r="J11723" s="71"/>
      <c r="M11723" s="46"/>
      <c r="R11723" s="51"/>
      <c r="S11723" s="51"/>
    </row>
    <row r="11724" spans="9:19" x14ac:dyDescent="0.25">
      <c r="I11724" s="1"/>
      <c r="J11724" s="71"/>
      <c r="M11724" s="46"/>
      <c r="R11724" s="51"/>
      <c r="S11724" s="51"/>
    </row>
    <row r="11725" spans="9:19" x14ac:dyDescent="0.25">
      <c r="I11725" s="1"/>
      <c r="J11725" s="71"/>
      <c r="M11725" s="46"/>
      <c r="R11725" s="51"/>
      <c r="S11725" s="51"/>
    </row>
    <row r="11726" spans="9:19" x14ac:dyDescent="0.25">
      <c r="I11726" s="1"/>
      <c r="J11726" s="71"/>
      <c r="M11726" s="46"/>
      <c r="R11726" s="51"/>
      <c r="S11726" s="51"/>
    </row>
    <row r="11727" spans="9:19" x14ac:dyDescent="0.25">
      <c r="I11727" s="1"/>
      <c r="J11727" s="71"/>
      <c r="M11727" s="46"/>
      <c r="R11727" s="51"/>
      <c r="S11727" s="51"/>
    </row>
    <row r="11728" spans="9:19" x14ac:dyDescent="0.25">
      <c r="I11728" s="1"/>
      <c r="J11728" s="71"/>
      <c r="M11728" s="46"/>
      <c r="R11728" s="51"/>
      <c r="S11728" s="51"/>
    </row>
    <row r="11729" spans="9:19" x14ac:dyDescent="0.25">
      <c r="I11729" s="1"/>
      <c r="J11729" s="71"/>
      <c r="M11729" s="46"/>
      <c r="R11729" s="51"/>
      <c r="S11729" s="51"/>
    </row>
    <row r="11730" spans="9:19" x14ac:dyDescent="0.25">
      <c r="I11730" s="1"/>
      <c r="J11730" s="71"/>
      <c r="M11730" s="46"/>
      <c r="R11730" s="51"/>
      <c r="S11730" s="51"/>
    </row>
    <row r="11731" spans="9:19" x14ac:dyDescent="0.25">
      <c r="I11731" s="1"/>
      <c r="J11731" s="71"/>
      <c r="M11731" s="46"/>
      <c r="R11731" s="51"/>
      <c r="S11731" s="51"/>
    </row>
    <row r="11732" spans="9:19" x14ac:dyDescent="0.25">
      <c r="I11732" s="1"/>
      <c r="J11732" s="71"/>
      <c r="M11732" s="46"/>
      <c r="R11732" s="51"/>
      <c r="S11732" s="51"/>
    </row>
    <row r="11733" spans="9:19" x14ac:dyDescent="0.25">
      <c r="I11733" s="1"/>
      <c r="J11733" s="71"/>
      <c r="M11733" s="46"/>
      <c r="R11733" s="51"/>
      <c r="S11733" s="51"/>
    </row>
    <row r="11734" spans="9:19" x14ac:dyDescent="0.25">
      <c r="I11734" s="1"/>
      <c r="J11734" s="71"/>
      <c r="M11734" s="46"/>
      <c r="R11734" s="51"/>
      <c r="S11734" s="51"/>
    </row>
    <row r="11735" spans="9:19" x14ac:dyDescent="0.25">
      <c r="I11735" s="1"/>
      <c r="J11735" s="71"/>
      <c r="M11735" s="46"/>
      <c r="R11735" s="51"/>
      <c r="S11735" s="51"/>
    </row>
    <row r="11736" spans="9:19" x14ac:dyDescent="0.25">
      <c r="I11736" s="1"/>
      <c r="J11736" s="71"/>
      <c r="M11736" s="46"/>
      <c r="R11736" s="51"/>
      <c r="S11736" s="51"/>
    </row>
    <row r="11737" spans="9:19" x14ac:dyDescent="0.25">
      <c r="I11737" s="1"/>
      <c r="J11737" s="71"/>
      <c r="M11737" s="46"/>
      <c r="R11737" s="51"/>
      <c r="S11737" s="51"/>
    </row>
    <row r="11738" spans="9:19" x14ac:dyDescent="0.25">
      <c r="I11738" s="1"/>
      <c r="J11738" s="71"/>
      <c r="M11738" s="46"/>
      <c r="R11738" s="51"/>
      <c r="S11738" s="51"/>
    </row>
    <row r="11739" spans="9:19" x14ac:dyDescent="0.25">
      <c r="I11739" s="1"/>
      <c r="J11739" s="71"/>
      <c r="M11739" s="46"/>
      <c r="R11739" s="51"/>
      <c r="S11739" s="51"/>
    </row>
    <row r="11740" spans="9:19" x14ac:dyDescent="0.25">
      <c r="I11740" s="1"/>
      <c r="J11740" s="71"/>
      <c r="M11740" s="46"/>
      <c r="R11740" s="51"/>
      <c r="S11740" s="51"/>
    </row>
    <row r="11741" spans="9:19" x14ac:dyDescent="0.25">
      <c r="I11741" s="1"/>
      <c r="J11741" s="71"/>
      <c r="M11741" s="46"/>
      <c r="R11741" s="51"/>
      <c r="S11741" s="51"/>
    </row>
    <row r="11742" spans="9:19" x14ac:dyDescent="0.25">
      <c r="I11742" s="1"/>
      <c r="J11742" s="71"/>
      <c r="M11742" s="46"/>
      <c r="R11742" s="51"/>
      <c r="S11742" s="51"/>
    </row>
    <row r="11743" spans="9:19" x14ac:dyDescent="0.25">
      <c r="I11743" s="1"/>
      <c r="J11743" s="71"/>
      <c r="M11743" s="46"/>
      <c r="R11743" s="51"/>
      <c r="S11743" s="51"/>
    </row>
    <row r="11744" spans="9:19" x14ac:dyDescent="0.25">
      <c r="I11744" s="1"/>
      <c r="J11744" s="71"/>
      <c r="M11744" s="46"/>
      <c r="R11744" s="51"/>
      <c r="S11744" s="51"/>
    </row>
    <row r="11745" spans="9:19" x14ac:dyDescent="0.25">
      <c r="I11745" s="1"/>
      <c r="J11745" s="71"/>
      <c r="M11745" s="46"/>
      <c r="R11745" s="51"/>
      <c r="S11745" s="51"/>
    </row>
    <row r="11746" spans="9:19" x14ac:dyDescent="0.25">
      <c r="I11746" s="1"/>
      <c r="J11746" s="71"/>
      <c r="M11746" s="46"/>
      <c r="R11746" s="51"/>
      <c r="S11746" s="51"/>
    </row>
    <row r="11747" spans="9:19" x14ac:dyDescent="0.25">
      <c r="I11747" s="1"/>
      <c r="J11747" s="71"/>
      <c r="M11747" s="46"/>
      <c r="R11747" s="51"/>
      <c r="S11747" s="51"/>
    </row>
    <row r="11748" spans="9:19" x14ac:dyDescent="0.25">
      <c r="I11748" s="1"/>
      <c r="J11748" s="71"/>
      <c r="M11748" s="46"/>
      <c r="R11748" s="51"/>
      <c r="S11748" s="51"/>
    </row>
    <row r="11749" spans="9:19" x14ac:dyDescent="0.25">
      <c r="I11749" s="1"/>
      <c r="J11749" s="71"/>
      <c r="M11749" s="46"/>
      <c r="R11749" s="51"/>
      <c r="S11749" s="51"/>
    </row>
    <row r="11750" spans="9:19" x14ac:dyDescent="0.25">
      <c r="I11750" s="1"/>
      <c r="J11750" s="71"/>
      <c r="M11750" s="46"/>
      <c r="R11750" s="51"/>
      <c r="S11750" s="51"/>
    </row>
    <row r="11751" spans="9:19" x14ac:dyDescent="0.25">
      <c r="I11751" s="1"/>
      <c r="J11751" s="71"/>
      <c r="M11751" s="46"/>
      <c r="R11751" s="51"/>
      <c r="S11751" s="51"/>
    </row>
    <row r="11752" spans="9:19" x14ac:dyDescent="0.25">
      <c r="I11752" s="1"/>
      <c r="J11752" s="71"/>
      <c r="M11752" s="46"/>
      <c r="R11752" s="51"/>
      <c r="S11752" s="51"/>
    </row>
    <row r="11753" spans="9:19" x14ac:dyDescent="0.25">
      <c r="I11753" s="1"/>
      <c r="J11753" s="71"/>
      <c r="M11753" s="46"/>
      <c r="R11753" s="51"/>
      <c r="S11753" s="51"/>
    </row>
    <row r="11754" spans="9:19" x14ac:dyDescent="0.25">
      <c r="I11754" s="1"/>
      <c r="J11754" s="71"/>
      <c r="M11754" s="46"/>
      <c r="R11754" s="51"/>
      <c r="S11754" s="51"/>
    </row>
    <row r="11755" spans="9:19" x14ac:dyDescent="0.25">
      <c r="I11755" s="1"/>
      <c r="J11755" s="71"/>
      <c r="M11755" s="46"/>
      <c r="R11755" s="51"/>
      <c r="S11755" s="51"/>
    </row>
    <row r="11756" spans="9:19" x14ac:dyDescent="0.25">
      <c r="I11756" s="1"/>
      <c r="J11756" s="71"/>
      <c r="M11756" s="46"/>
      <c r="R11756" s="51"/>
      <c r="S11756" s="51"/>
    </row>
    <row r="11757" spans="9:19" x14ac:dyDescent="0.25">
      <c r="I11757" s="1"/>
      <c r="J11757" s="71"/>
      <c r="M11757" s="46"/>
      <c r="R11757" s="51"/>
      <c r="S11757" s="51"/>
    </row>
    <row r="11758" spans="9:19" x14ac:dyDescent="0.25">
      <c r="I11758" s="1"/>
      <c r="J11758" s="71"/>
      <c r="M11758" s="46"/>
      <c r="R11758" s="51"/>
      <c r="S11758" s="51"/>
    </row>
    <row r="11759" spans="9:19" x14ac:dyDescent="0.25">
      <c r="I11759" s="1"/>
      <c r="J11759" s="71"/>
      <c r="M11759" s="46"/>
      <c r="R11759" s="51"/>
      <c r="S11759" s="51"/>
    </row>
    <row r="11760" spans="9:19" x14ac:dyDescent="0.25">
      <c r="I11760" s="1"/>
      <c r="J11760" s="71"/>
      <c r="M11760" s="46"/>
      <c r="R11760" s="51"/>
      <c r="S11760" s="51"/>
    </row>
    <row r="11761" spans="9:19" x14ac:dyDescent="0.25">
      <c r="I11761" s="1"/>
      <c r="J11761" s="71"/>
      <c r="M11761" s="46"/>
      <c r="R11761" s="51"/>
      <c r="S11761" s="51"/>
    </row>
    <row r="11762" spans="9:19" x14ac:dyDescent="0.25">
      <c r="I11762" s="1"/>
      <c r="J11762" s="71"/>
      <c r="M11762" s="46"/>
      <c r="R11762" s="51"/>
      <c r="S11762" s="51"/>
    </row>
    <row r="11763" spans="9:19" x14ac:dyDescent="0.25">
      <c r="I11763" s="1"/>
      <c r="J11763" s="71"/>
      <c r="M11763" s="46"/>
      <c r="R11763" s="51"/>
      <c r="S11763" s="51"/>
    </row>
    <row r="11764" spans="9:19" x14ac:dyDescent="0.25">
      <c r="I11764" s="1"/>
      <c r="J11764" s="71"/>
      <c r="M11764" s="46"/>
      <c r="R11764" s="51"/>
      <c r="S11764" s="51"/>
    </row>
    <row r="11765" spans="9:19" x14ac:dyDescent="0.25">
      <c r="I11765" s="1"/>
      <c r="J11765" s="71"/>
      <c r="M11765" s="46"/>
      <c r="R11765" s="51"/>
      <c r="S11765" s="51"/>
    </row>
    <row r="11766" spans="9:19" x14ac:dyDescent="0.25">
      <c r="I11766" s="1"/>
      <c r="J11766" s="71"/>
      <c r="M11766" s="46"/>
      <c r="R11766" s="51"/>
      <c r="S11766" s="51"/>
    </row>
    <row r="11767" spans="9:19" x14ac:dyDescent="0.25">
      <c r="I11767" s="1"/>
      <c r="J11767" s="71"/>
      <c r="M11767" s="46"/>
      <c r="R11767" s="51"/>
      <c r="S11767" s="51"/>
    </row>
    <row r="11768" spans="9:19" x14ac:dyDescent="0.25">
      <c r="I11768" s="1"/>
      <c r="J11768" s="71"/>
      <c r="M11768" s="46"/>
      <c r="R11768" s="51"/>
      <c r="S11768" s="51"/>
    </row>
    <row r="11769" spans="9:19" x14ac:dyDescent="0.25">
      <c r="I11769" s="1"/>
      <c r="J11769" s="71"/>
      <c r="M11769" s="46"/>
      <c r="R11769" s="51"/>
      <c r="S11769" s="51"/>
    </row>
    <row r="11770" spans="9:19" x14ac:dyDescent="0.25">
      <c r="I11770" s="1"/>
      <c r="J11770" s="71"/>
      <c r="M11770" s="46"/>
      <c r="R11770" s="51"/>
      <c r="S11770" s="51"/>
    </row>
    <row r="11771" spans="9:19" x14ac:dyDescent="0.25">
      <c r="I11771" s="1"/>
      <c r="J11771" s="71"/>
      <c r="M11771" s="46"/>
      <c r="R11771" s="51"/>
      <c r="S11771" s="51"/>
    </row>
    <row r="11772" spans="9:19" x14ac:dyDescent="0.25">
      <c r="I11772" s="1"/>
      <c r="J11772" s="71"/>
      <c r="M11772" s="46"/>
      <c r="R11772" s="51"/>
      <c r="S11772" s="51"/>
    </row>
    <row r="11773" spans="9:19" x14ac:dyDescent="0.25">
      <c r="I11773" s="1"/>
      <c r="J11773" s="71"/>
      <c r="M11773" s="46"/>
      <c r="R11773" s="51"/>
      <c r="S11773" s="51"/>
    </row>
    <row r="11774" spans="9:19" x14ac:dyDescent="0.25">
      <c r="I11774" s="1"/>
      <c r="J11774" s="71"/>
      <c r="M11774" s="46"/>
      <c r="R11774" s="51"/>
      <c r="S11774" s="51"/>
    </row>
    <row r="11775" spans="9:19" x14ac:dyDescent="0.25">
      <c r="I11775" s="1"/>
      <c r="J11775" s="71"/>
      <c r="M11775" s="46"/>
      <c r="R11775" s="51"/>
      <c r="S11775" s="51"/>
    </row>
    <row r="11776" spans="9:19" x14ac:dyDescent="0.25">
      <c r="I11776" s="1"/>
      <c r="J11776" s="71"/>
      <c r="M11776" s="46"/>
      <c r="R11776" s="51"/>
      <c r="S11776" s="51"/>
    </row>
    <row r="11777" spans="9:19" x14ac:dyDescent="0.25">
      <c r="I11777" s="1"/>
      <c r="J11777" s="71"/>
      <c r="M11777" s="46"/>
      <c r="R11777" s="51"/>
      <c r="S11777" s="51"/>
    </row>
    <row r="11778" spans="9:19" x14ac:dyDescent="0.25">
      <c r="I11778" s="1"/>
      <c r="J11778" s="71"/>
      <c r="M11778" s="46"/>
      <c r="R11778" s="51"/>
      <c r="S11778" s="51"/>
    </row>
    <row r="11779" spans="9:19" x14ac:dyDescent="0.25">
      <c r="I11779" s="1"/>
      <c r="J11779" s="71"/>
      <c r="M11779" s="46"/>
      <c r="R11779" s="51"/>
      <c r="S11779" s="51"/>
    </row>
    <row r="11780" spans="9:19" x14ac:dyDescent="0.25">
      <c r="I11780" s="1"/>
      <c r="J11780" s="71"/>
      <c r="M11780" s="46"/>
      <c r="R11780" s="51"/>
      <c r="S11780" s="51"/>
    </row>
    <row r="11781" spans="9:19" x14ac:dyDescent="0.25">
      <c r="I11781" s="1"/>
      <c r="J11781" s="71"/>
      <c r="M11781" s="46"/>
      <c r="R11781" s="51"/>
      <c r="S11781" s="51"/>
    </row>
    <row r="11782" spans="9:19" x14ac:dyDescent="0.25">
      <c r="I11782" s="1"/>
      <c r="J11782" s="71"/>
      <c r="M11782" s="46"/>
      <c r="R11782" s="51"/>
      <c r="S11782" s="51"/>
    </row>
    <row r="11783" spans="9:19" x14ac:dyDescent="0.25">
      <c r="I11783" s="1"/>
      <c r="J11783" s="71"/>
      <c r="M11783" s="46"/>
      <c r="R11783" s="51"/>
      <c r="S11783" s="51"/>
    </row>
    <row r="11784" spans="9:19" x14ac:dyDescent="0.25">
      <c r="I11784" s="1"/>
      <c r="J11784" s="71"/>
      <c r="M11784" s="46"/>
      <c r="R11784" s="51"/>
      <c r="S11784" s="51"/>
    </row>
    <row r="11785" spans="9:19" x14ac:dyDescent="0.25">
      <c r="I11785" s="1"/>
      <c r="J11785" s="71"/>
      <c r="M11785" s="46"/>
      <c r="R11785" s="51"/>
      <c r="S11785" s="51"/>
    </row>
    <row r="11786" spans="9:19" x14ac:dyDescent="0.25">
      <c r="I11786" s="1"/>
      <c r="J11786" s="71"/>
      <c r="M11786" s="46"/>
      <c r="R11786" s="51"/>
      <c r="S11786" s="51"/>
    </row>
    <row r="11787" spans="9:19" x14ac:dyDescent="0.25">
      <c r="I11787" s="1"/>
      <c r="J11787" s="71"/>
      <c r="M11787" s="46"/>
      <c r="R11787" s="51"/>
      <c r="S11787" s="51"/>
    </row>
    <row r="11788" spans="9:19" x14ac:dyDescent="0.25">
      <c r="I11788" s="1"/>
      <c r="J11788" s="71"/>
      <c r="M11788" s="46"/>
      <c r="R11788" s="51"/>
      <c r="S11788" s="51"/>
    </row>
    <row r="11789" spans="9:19" x14ac:dyDescent="0.25">
      <c r="I11789" s="1"/>
      <c r="J11789" s="71"/>
      <c r="M11789" s="46"/>
      <c r="R11789" s="51"/>
      <c r="S11789" s="51"/>
    </row>
    <row r="11790" spans="9:19" x14ac:dyDescent="0.25">
      <c r="I11790" s="1"/>
      <c r="J11790" s="71"/>
      <c r="M11790" s="46"/>
      <c r="R11790" s="51"/>
      <c r="S11790" s="51"/>
    </row>
    <row r="11791" spans="9:19" x14ac:dyDescent="0.25">
      <c r="I11791" s="1"/>
      <c r="J11791" s="71"/>
      <c r="M11791" s="46"/>
      <c r="R11791" s="51"/>
      <c r="S11791" s="51"/>
    </row>
    <row r="11792" spans="9:19" x14ac:dyDescent="0.25">
      <c r="I11792" s="1"/>
      <c r="J11792" s="71"/>
      <c r="M11792" s="46"/>
      <c r="R11792" s="51"/>
      <c r="S11792" s="51"/>
    </row>
    <row r="11793" spans="9:19" x14ac:dyDescent="0.25">
      <c r="I11793" s="1"/>
      <c r="J11793" s="71"/>
      <c r="M11793" s="46"/>
      <c r="R11793" s="51"/>
      <c r="S11793" s="51"/>
    </row>
    <row r="11794" spans="9:19" x14ac:dyDescent="0.25">
      <c r="I11794" s="1"/>
      <c r="J11794" s="71"/>
      <c r="M11794" s="46"/>
      <c r="R11794" s="51"/>
      <c r="S11794" s="51"/>
    </row>
    <row r="11795" spans="9:19" x14ac:dyDescent="0.25">
      <c r="I11795" s="1"/>
      <c r="J11795" s="71"/>
      <c r="M11795" s="46"/>
      <c r="R11795" s="51"/>
      <c r="S11795" s="51"/>
    </row>
    <row r="11796" spans="9:19" x14ac:dyDescent="0.25">
      <c r="I11796" s="1"/>
      <c r="J11796" s="71"/>
      <c r="M11796" s="46"/>
      <c r="R11796" s="51"/>
      <c r="S11796" s="51"/>
    </row>
    <row r="11797" spans="9:19" x14ac:dyDescent="0.25">
      <c r="I11797" s="1"/>
      <c r="J11797" s="71"/>
      <c r="M11797" s="46"/>
      <c r="R11797" s="51"/>
      <c r="S11797" s="51"/>
    </row>
    <row r="11798" spans="9:19" x14ac:dyDescent="0.25">
      <c r="I11798" s="1"/>
      <c r="J11798" s="71"/>
      <c r="M11798" s="46"/>
      <c r="R11798" s="51"/>
      <c r="S11798" s="51"/>
    </row>
    <row r="11799" spans="9:19" x14ac:dyDescent="0.25">
      <c r="I11799" s="1"/>
      <c r="J11799" s="71"/>
      <c r="M11799" s="46"/>
      <c r="R11799" s="51"/>
      <c r="S11799" s="51"/>
    </row>
    <row r="11800" spans="9:19" x14ac:dyDescent="0.25">
      <c r="I11800" s="1"/>
      <c r="J11800" s="71"/>
      <c r="M11800" s="46"/>
      <c r="R11800" s="51"/>
      <c r="S11800" s="51"/>
    </row>
    <row r="11801" spans="9:19" x14ac:dyDescent="0.25">
      <c r="I11801" s="1"/>
      <c r="J11801" s="71"/>
      <c r="M11801" s="46"/>
      <c r="R11801" s="51"/>
      <c r="S11801" s="51"/>
    </row>
    <row r="11802" spans="9:19" x14ac:dyDescent="0.25">
      <c r="I11802" s="1"/>
      <c r="J11802" s="71"/>
      <c r="M11802" s="46"/>
      <c r="R11802" s="51"/>
      <c r="S11802" s="51"/>
    </row>
    <row r="11803" spans="9:19" x14ac:dyDescent="0.25">
      <c r="I11803" s="1"/>
      <c r="J11803" s="71"/>
      <c r="M11803" s="46"/>
      <c r="R11803" s="51"/>
      <c r="S11803" s="51"/>
    </row>
    <row r="11804" spans="9:19" x14ac:dyDescent="0.25">
      <c r="I11804" s="1"/>
      <c r="J11804" s="71"/>
      <c r="M11804" s="46"/>
      <c r="R11804" s="51"/>
      <c r="S11804" s="51"/>
    </row>
    <row r="11805" spans="9:19" x14ac:dyDescent="0.25">
      <c r="I11805" s="1"/>
      <c r="J11805" s="71"/>
      <c r="M11805" s="46"/>
      <c r="R11805" s="51"/>
      <c r="S11805" s="51"/>
    </row>
    <row r="11806" spans="9:19" x14ac:dyDescent="0.25">
      <c r="I11806" s="1"/>
      <c r="J11806" s="71"/>
      <c r="M11806" s="46"/>
      <c r="R11806" s="51"/>
      <c r="S11806" s="51"/>
    </row>
    <row r="11807" spans="9:19" x14ac:dyDescent="0.25">
      <c r="I11807" s="1"/>
      <c r="J11807" s="71"/>
      <c r="M11807" s="46"/>
      <c r="R11807" s="51"/>
      <c r="S11807" s="51"/>
    </row>
    <row r="11808" spans="9:19" x14ac:dyDescent="0.25">
      <c r="I11808" s="1"/>
      <c r="J11808" s="71"/>
      <c r="M11808" s="46"/>
      <c r="R11808" s="51"/>
      <c r="S11808" s="51"/>
    </row>
    <row r="11809" spans="9:19" x14ac:dyDescent="0.25">
      <c r="I11809" s="1"/>
      <c r="J11809" s="71"/>
      <c r="M11809" s="46"/>
      <c r="R11809" s="51"/>
      <c r="S11809" s="51"/>
    </row>
    <row r="11810" spans="9:19" x14ac:dyDescent="0.25">
      <c r="I11810" s="1"/>
      <c r="J11810" s="71"/>
      <c r="M11810" s="46"/>
      <c r="R11810" s="51"/>
      <c r="S11810" s="51"/>
    </row>
    <row r="11811" spans="9:19" x14ac:dyDescent="0.25">
      <c r="I11811" s="1"/>
      <c r="J11811" s="71"/>
      <c r="M11811" s="46"/>
      <c r="R11811" s="51"/>
      <c r="S11811" s="51"/>
    </row>
    <row r="11812" spans="9:19" x14ac:dyDescent="0.25">
      <c r="I11812" s="1"/>
      <c r="J11812" s="71"/>
      <c r="M11812" s="46"/>
      <c r="R11812" s="51"/>
      <c r="S11812" s="51"/>
    </row>
    <row r="11813" spans="9:19" x14ac:dyDescent="0.25">
      <c r="I11813" s="1"/>
      <c r="J11813" s="71"/>
      <c r="M11813" s="46"/>
      <c r="R11813" s="51"/>
      <c r="S11813" s="51"/>
    </row>
    <row r="11814" spans="9:19" x14ac:dyDescent="0.25">
      <c r="I11814" s="1"/>
      <c r="J11814" s="71"/>
      <c r="M11814" s="46"/>
      <c r="R11814" s="51"/>
      <c r="S11814" s="51"/>
    </row>
    <row r="11815" spans="9:19" x14ac:dyDescent="0.25">
      <c r="I11815" s="1"/>
      <c r="J11815" s="71"/>
      <c r="M11815" s="46"/>
      <c r="R11815" s="51"/>
      <c r="S11815" s="51"/>
    </row>
    <row r="11816" spans="9:19" x14ac:dyDescent="0.25">
      <c r="I11816" s="1"/>
      <c r="J11816" s="71"/>
      <c r="M11816" s="46"/>
      <c r="R11816" s="51"/>
      <c r="S11816" s="51"/>
    </row>
    <row r="11817" spans="9:19" x14ac:dyDescent="0.25">
      <c r="I11817" s="1"/>
      <c r="J11817" s="71"/>
      <c r="M11817" s="46"/>
      <c r="R11817" s="51"/>
      <c r="S11817" s="51"/>
    </row>
    <row r="11818" spans="9:19" x14ac:dyDescent="0.25">
      <c r="I11818" s="1"/>
      <c r="J11818" s="71"/>
      <c r="M11818" s="46"/>
      <c r="R11818" s="51"/>
      <c r="S11818" s="51"/>
    </row>
    <row r="11819" spans="9:19" x14ac:dyDescent="0.25">
      <c r="I11819" s="1"/>
      <c r="J11819" s="71"/>
      <c r="M11819" s="46"/>
      <c r="R11819" s="51"/>
      <c r="S11819" s="51"/>
    </row>
    <row r="11820" spans="9:19" x14ac:dyDescent="0.25">
      <c r="I11820" s="1"/>
      <c r="J11820" s="71"/>
      <c r="M11820" s="46"/>
      <c r="R11820" s="51"/>
      <c r="S11820" s="51"/>
    </row>
    <row r="11821" spans="9:19" x14ac:dyDescent="0.25">
      <c r="I11821" s="1"/>
      <c r="J11821" s="71"/>
      <c r="M11821" s="46"/>
      <c r="R11821" s="51"/>
      <c r="S11821" s="51"/>
    </row>
    <row r="11822" spans="9:19" x14ac:dyDescent="0.25">
      <c r="I11822" s="1"/>
      <c r="J11822" s="71"/>
      <c r="M11822" s="46"/>
      <c r="R11822" s="51"/>
      <c r="S11822" s="51"/>
    </row>
    <row r="11823" spans="9:19" x14ac:dyDescent="0.25">
      <c r="I11823" s="1"/>
      <c r="J11823" s="71"/>
      <c r="M11823" s="46"/>
      <c r="R11823" s="51"/>
      <c r="S11823" s="51"/>
    </row>
    <row r="11824" spans="9:19" x14ac:dyDescent="0.25">
      <c r="I11824" s="1"/>
      <c r="J11824" s="71"/>
      <c r="M11824" s="46"/>
      <c r="R11824" s="51"/>
      <c r="S11824" s="51"/>
    </row>
    <row r="11825" spans="9:19" x14ac:dyDescent="0.25">
      <c r="I11825" s="1"/>
      <c r="J11825" s="71"/>
      <c r="M11825" s="46"/>
      <c r="R11825" s="51"/>
      <c r="S11825" s="51"/>
    </row>
    <row r="11826" spans="9:19" x14ac:dyDescent="0.25">
      <c r="I11826" s="1"/>
      <c r="J11826" s="71"/>
      <c r="M11826" s="46"/>
      <c r="R11826" s="51"/>
      <c r="S11826" s="51"/>
    </row>
    <row r="11827" spans="9:19" x14ac:dyDescent="0.25">
      <c r="I11827" s="1"/>
      <c r="J11827" s="71"/>
      <c r="M11827" s="46"/>
      <c r="R11827" s="51"/>
      <c r="S11827" s="51"/>
    </row>
    <row r="11828" spans="9:19" x14ac:dyDescent="0.25">
      <c r="I11828" s="1"/>
      <c r="J11828" s="71"/>
      <c r="M11828" s="46"/>
      <c r="R11828" s="51"/>
      <c r="S11828" s="51"/>
    </row>
    <row r="11829" spans="9:19" x14ac:dyDescent="0.25">
      <c r="I11829" s="1"/>
      <c r="J11829" s="71"/>
      <c r="M11829" s="46"/>
      <c r="R11829" s="51"/>
      <c r="S11829" s="51"/>
    </row>
    <row r="11830" spans="9:19" x14ac:dyDescent="0.25">
      <c r="I11830" s="1"/>
      <c r="J11830" s="71"/>
      <c r="M11830" s="46"/>
      <c r="R11830" s="51"/>
      <c r="S11830" s="51"/>
    </row>
    <row r="11831" spans="9:19" x14ac:dyDescent="0.25">
      <c r="I11831" s="1"/>
      <c r="J11831" s="71"/>
      <c r="M11831" s="46"/>
      <c r="R11831" s="51"/>
      <c r="S11831" s="51"/>
    </row>
    <row r="11832" spans="9:19" x14ac:dyDescent="0.25">
      <c r="I11832" s="1"/>
      <c r="J11832" s="71"/>
      <c r="M11832" s="46"/>
      <c r="R11832" s="51"/>
      <c r="S11832" s="51"/>
    </row>
    <row r="11833" spans="9:19" x14ac:dyDescent="0.25">
      <c r="I11833" s="1"/>
      <c r="J11833" s="71"/>
      <c r="M11833" s="46"/>
      <c r="R11833" s="51"/>
      <c r="S11833" s="51"/>
    </row>
    <row r="11834" spans="9:19" x14ac:dyDescent="0.25">
      <c r="I11834" s="1"/>
      <c r="J11834" s="71"/>
      <c r="M11834" s="46"/>
      <c r="R11834" s="51"/>
      <c r="S11834" s="51"/>
    </row>
    <row r="11835" spans="9:19" x14ac:dyDescent="0.25">
      <c r="I11835" s="1"/>
      <c r="J11835" s="71"/>
      <c r="M11835" s="46"/>
      <c r="R11835" s="51"/>
      <c r="S11835" s="51"/>
    </row>
    <row r="11836" spans="9:19" x14ac:dyDescent="0.25">
      <c r="I11836" s="1"/>
      <c r="J11836" s="71"/>
      <c r="M11836" s="46"/>
      <c r="R11836" s="51"/>
      <c r="S11836" s="51"/>
    </row>
    <row r="11837" spans="9:19" x14ac:dyDescent="0.25">
      <c r="I11837" s="1"/>
      <c r="J11837" s="71"/>
      <c r="M11837" s="46"/>
      <c r="R11837" s="51"/>
      <c r="S11837" s="51"/>
    </row>
    <row r="11838" spans="9:19" x14ac:dyDescent="0.25">
      <c r="I11838" s="1"/>
      <c r="J11838" s="71"/>
      <c r="M11838" s="46"/>
      <c r="R11838" s="51"/>
      <c r="S11838" s="51"/>
    </row>
    <row r="11839" spans="9:19" x14ac:dyDescent="0.25">
      <c r="I11839" s="1"/>
      <c r="J11839" s="71"/>
      <c r="M11839" s="46"/>
      <c r="R11839" s="51"/>
      <c r="S11839" s="51"/>
    </row>
    <row r="11840" spans="9:19" x14ac:dyDescent="0.25">
      <c r="I11840" s="1"/>
      <c r="J11840" s="71"/>
      <c r="M11840" s="46"/>
      <c r="R11840" s="51"/>
      <c r="S11840" s="51"/>
    </row>
    <row r="11841" spans="9:19" x14ac:dyDescent="0.25">
      <c r="I11841" s="1"/>
      <c r="J11841" s="71"/>
      <c r="M11841" s="46"/>
      <c r="R11841" s="51"/>
      <c r="S11841" s="51"/>
    </row>
    <row r="11842" spans="9:19" x14ac:dyDescent="0.25">
      <c r="I11842" s="1"/>
      <c r="J11842" s="71"/>
      <c r="M11842" s="46"/>
      <c r="R11842" s="51"/>
      <c r="S11842" s="51"/>
    </row>
    <row r="11843" spans="9:19" x14ac:dyDescent="0.25">
      <c r="I11843" s="1"/>
      <c r="J11843" s="71"/>
      <c r="M11843" s="46"/>
      <c r="R11843" s="51"/>
      <c r="S11843" s="51"/>
    </row>
    <row r="11844" spans="9:19" x14ac:dyDescent="0.25">
      <c r="I11844" s="1"/>
      <c r="J11844" s="71"/>
      <c r="M11844" s="46"/>
      <c r="R11844" s="51"/>
      <c r="S11844" s="51"/>
    </row>
    <row r="11845" spans="9:19" x14ac:dyDescent="0.25">
      <c r="I11845" s="1"/>
      <c r="J11845" s="71"/>
      <c r="M11845" s="46"/>
      <c r="R11845" s="51"/>
      <c r="S11845" s="51"/>
    </row>
    <row r="11846" spans="9:19" x14ac:dyDescent="0.25">
      <c r="I11846" s="1"/>
      <c r="J11846" s="71"/>
      <c r="M11846" s="46"/>
      <c r="R11846" s="51"/>
      <c r="S11846" s="51"/>
    </row>
    <row r="11847" spans="9:19" x14ac:dyDescent="0.25">
      <c r="I11847" s="1"/>
      <c r="J11847" s="71"/>
      <c r="M11847" s="46"/>
      <c r="R11847" s="51"/>
      <c r="S11847" s="51"/>
    </row>
    <row r="11848" spans="9:19" x14ac:dyDescent="0.25">
      <c r="I11848" s="1"/>
      <c r="J11848" s="71"/>
      <c r="M11848" s="46"/>
      <c r="R11848" s="51"/>
      <c r="S11848" s="51"/>
    </row>
    <row r="11849" spans="9:19" x14ac:dyDescent="0.25">
      <c r="I11849" s="1"/>
      <c r="J11849" s="71"/>
      <c r="M11849" s="46"/>
      <c r="R11849" s="51"/>
      <c r="S11849" s="51"/>
    </row>
    <row r="11850" spans="9:19" x14ac:dyDescent="0.25">
      <c r="I11850" s="1"/>
      <c r="J11850" s="71"/>
      <c r="M11850" s="46"/>
      <c r="R11850" s="51"/>
      <c r="S11850" s="51"/>
    </row>
    <row r="11851" spans="9:19" x14ac:dyDescent="0.25">
      <c r="I11851" s="1"/>
      <c r="J11851" s="71"/>
      <c r="M11851" s="46"/>
      <c r="R11851" s="51"/>
      <c r="S11851" s="51"/>
    </row>
    <row r="11852" spans="9:19" x14ac:dyDescent="0.25">
      <c r="I11852" s="1"/>
      <c r="J11852" s="71"/>
      <c r="M11852" s="46"/>
      <c r="R11852" s="51"/>
      <c r="S11852" s="51"/>
    </row>
    <row r="11853" spans="9:19" x14ac:dyDescent="0.25">
      <c r="I11853" s="1"/>
      <c r="J11853" s="71"/>
      <c r="M11853" s="46"/>
      <c r="R11853" s="51"/>
      <c r="S11853" s="51"/>
    </row>
    <row r="11854" spans="9:19" x14ac:dyDescent="0.25">
      <c r="I11854" s="1"/>
      <c r="J11854" s="71"/>
      <c r="M11854" s="46"/>
      <c r="R11854" s="51"/>
      <c r="S11854" s="51"/>
    </row>
    <row r="11855" spans="9:19" x14ac:dyDescent="0.25">
      <c r="I11855" s="1"/>
      <c r="J11855" s="71"/>
      <c r="M11855" s="46"/>
      <c r="R11855" s="51"/>
      <c r="S11855" s="51"/>
    </row>
    <row r="11856" spans="9:19" x14ac:dyDescent="0.25">
      <c r="I11856" s="1"/>
      <c r="J11856" s="71"/>
      <c r="M11856" s="46"/>
      <c r="R11856" s="51"/>
      <c r="S11856" s="51"/>
    </row>
    <row r="11857" spans="9:19" x14ac:dyDescent="0.25">
      <c r="I11857" s="1"/>
      <c r="J11857" s="71"/>
      <c r="M11857" s="46"/>
      <c r="R11857" s="51"/>
      <c r="S11857" s="51"/>
    </row>
    <row r="11858" spans="9:19" x14ac:dyDescent="0.25">
      <c r="I11858" s="1"/>
      <c r="J11858" s="71"/>
      <c r="M11858" s="46"/>
      <c r="R11858" s="51"/>
      <c r="S11858" s="51"/>
    </row>
    <row r="11859" spans="9:19" x14ac:dyDescent="0.25">
      <c r="I11859" s="1"/>
      <c r="J11859" s="71"/>
      <c r="M11859" s="46"/>
      <c r="R11859" s="51"/>
      <c r="S11859" s="51"/>
    </row>
    <row r="11860" spans="9:19" x14ac:dyDescent="0.25">
      <c r="I11860" s="1"/>
      <c r="J11860" s="71"/>
      <c r="M11860" s="46"/>
      <c r="R11860" s="51"/>
      <c r="S11860" s="51"/>
    </row>
    <row r="11861" spans="9:19" x14ac:dyDescent="0.25">
      <c r="I11861" s="1"/>
      <c r="J11861" s="71"/>
      <c r="M11861" s="46"/>
      <c r="R11861" s="51"/>
      <c r="S11861" s="51"/>
    </row>
    <row r="11862" spans="9:19" x14ac:dyDescent="0.25">
      <c r="I11862" s="1"/>
      <c r="J11862" s="71"/>
      <c r="M11862" s="46"/>
      <c r="R11862" s="51"/>
      <c r="S11862" s="51"/>
    </row>
    <row r="11863" spans="9:19" x14ac:dyDescent="0.25">
      <c r="I11863" s="1"/>
      <c r="J11863" s="71"/>
      <c r="M11863" s="46"/>
      <c r="R11863" s="51"/>
      <c r="S11863" s="51"/>
    </row>
    <row r="11864" spans="9:19" x14ac:dyDescent="0.25">
      <c r="I11864" s="1"/>
      <c r="J11864" s="71"/>
      <c r="M11864" s="46"/>
      <c r="R11864" s="51"/>
      <c r="S11864" s="51"/>
    </row>
    <row r="11865" spans="9:19" x14ac:dyDescent="0.25">
      <c r="I11865" s="1"/>
      <c r="J11865" s="71"/>
      <c r="M11865" s="46"/>
      <c r="R11865" s="51"/>
      <c r="S11865" s="51"/>
    </row>
    <row r="11866" spans="9:19" x14ac:dyDescent="0.25">
      <c r="I11866" s="1"/>
      <c r="J11866" s="71"/>
      <c r="M11866" s="46"/>
      <c r="R11866" s="51"/>
      <c r="S11866" s="51"/>
    </row>
    <row r="11867" spans="9:19" x14ac:dyDescent="0.25">
      <c r="I11867" s="1"/>
      <c r="J11867" s="71"/>
      <c r="M11867" s="46"/>
      <c r="R11867" s="51"/>
      <c r="S11867" s="51"/>
    </row>
    <row r="11868" spans="9:19" x14ac:dyDescent="0.25">
      <c r="I11868" s="1"/>
      <c r="J11868" s="71"/>
      <c r="M11868" s="46"/>
      <c r="R11868" s="51"/>
      <c r="S11868" s="51"/>
    </row>
    <row r="11869" spans="9:19" x14ac:dyDescent="0.25">
      <c r="I11869" s="1"/>
      <c r="J11869" s="71"/>
      <c r="M11869" s="46"/>
      <c r="R11869" s="51"/>
      <c r="S11869" s="51"/>
    </row>
    <row r="11870" spans="9:19" x14ac:dyDescent="0.25">
      <c r="I11870" s="1"/>
      <c r="J11870" s="71"/>
      <c r="M11870" s="46"/>
      <c r="R11870" s="51"/>
      <c r="S11870" s="51"/>
    </row>
    <row r="11871" spans="9:19" x14ac:dyDescent="0.25">
      <c r="I11871" s="1"/>
      <c r="J11871" s="71"/>
      <c r="M11871" s="46"/>
      <c r="R11871" s="51"/>
      <c r="S11871" s="51"/>
    </row>
    <row r="11872" spans="9:19" x14ac:dyDescent="0.25">
      <c r="I11872" s="1"/>
      <c r="J11872" s="71"/>
      <c r="M11872" s="46"/>
      <c r="R11872" s="51"/>
      <c r="S11872" s="51"/>
    </row>
    <row r="11873" spans="9:19" x14ac:dyDescent="0.25">
      <c r="I11873" s="1"/>
      <c r="J11873" s="71"/>
      <c r="M11873" s="46"/>
      <c r="R11873" s="51"/>
      <c r="S11873" s="51"/>
    </row>
    <row r="11874" spans="9:19" x14ac:dyDescent="0.25">
      <c r="I11874" s="1"/>
      <c r="J11874" s="71"/>
      <c r="M11874" s="46"/>
      <c r="R11874" s="51"/>
      <c r="S11874" s="51"/>
    </row>
    <row r="11875" spans="9:19" x14ac:dyDescent="0.25">
      <c r="I11875" s="1"/>
      <c r="J11875" s="71"/>
      <c r="M11875" s="46"/>
      <c r="R11875" s="51"/>
      <c r="S11875" s="51"/>
    </row>
    <row r="11876" spans="9:19" x14ac:dyDescent="0.25">
      <c r="I11876" s="1"/>
      <c r="J11876" s="71"/>
      <c r="M11876" s="46"/>
      <c r="R11876" s="51"/>
      <c r="S11876" s="51"/>
    </row>
    <row r="11877" spans="9:19" x14ac:dyDescent="0.25">
      <c r="I11877" s="1"/>
      <c r="J11877" s="71"/>
      <c r="M11877" s="46"/>
      <c r="R11877" s="51"/>
      <c r="S11877" s="51"/>
    </row>
    <row r="11878" spans="9:19" x14ac:dyDescent="0.25">
      <c r="I11878" s="1"/>
      <c r="J11878" s="71"/>
      <c r="M11878" s="46"/>
      <c r="R11878" s="51"/>
      <c r="S11878" s="51"/>
    </row>
    <row r="11879" spans="9:19" x14ac:dyDescent="0.25">
      <c r="I11879" s="1"/>
      <c r="J11879" s="71"/>
      <c r="M11879" s="46"/>
      <c r="R11879" s="51"/>
      <c r="S11879" s="51"/>
    </row>
    <row r="11880" spans="9:19" x14ac:dyDescent="0.25">
      <c r="I11880" s="1"/>
      <c r="J11880" s="71"/>
      <c r="M11880" s="46"/>
      <c r="R11880" s="51"/>
      <c r="S11880" s="51"/>
    </row>
    <row r="11881" spans="9:19" x14ac:dyDescent="0.25">
      <c r="I11881" s="1"/>
      <c r="J11881" s="71"/>
      <c r="M11881" s="46"/>
      <c r="R11881" s="51"/>
      <c r="S11881" s="51"/>
    </row>
    <row r="11882" spans="9:19" x14ac:dyDescent="0.25">
      <c r="I11882" s="1"/>
      <c r="J11882" s="71"/>
      <c r="M11882" s="46"/>
      <c r="R11882" s="51"/>
      <c r="S11882" s="51"/>
    </row>
    <row r="11883" spans="9:19" x14ac:dyDescent="0.25">
      <c r="I11883" s="1"/>
      <c r="J11883" s="71"/>
      <c r="M11883" s="46"/>
      <c r="R11883" s="51"/>
      <c r="S11883" s="51"/>
    </row>
    <row r="11884" spans="9:19" x14ac:dyDescent="0.25">
      <c r="I11884" s="1"/>
      <c r="J11884" s="71"/>
      <c r="M11884" s="46"/>
      <c r="R11884" s="51"/>
      <c r="S11884" s="51"/>
    </row>
    <row r="11885" spans="9:19" x14ac:dyDescent="0.25">
      <c r="I11885" s="1"/>
      <c r="J11885" s="71"/>
      <c r="M11885" s="46"/>
      <c r="R11885" s="51"/>
      <c r="S11885" s="51"/>
    </row>
    <row r="11886" spans="9:19" x14ac:dyDescent="0.25">
      <c r="I11886" s="1"/>
      <c r="J11886" s="71"/>
      <c r="M11886" s="46"/>
      <c r="R11886" s="51"/>
      <c r="S11886" s="51"/>
    </row>
    <row r="11887" spans="9:19" x14ac:dyDescent="0.25">
      <c r="I11887" s="1"/>
      <c r="J11887" s="71"/>
      <c r="M11887" s="46"/>
      <c r="R11887" s="51"/>
      <c r="S11887" s="51"/>
    </row>
    <row r="11888" spans="9:19" x14ac:dyDescent="0.25">
      <c r="I11888" s="1"/>
      <c r="J11888" s="71"/>
      <c r="M11888" s="46"/>
      <c r="R11888" s="51"/>
      <c r="S11888" s="51"/>
    </row>
    <row r="11889" spans="9:19" x14ac:dyDescent="0.25">
      <c r="I11889" s="1"/>
      <c r="J11889" s="71"/>
      <c r="M11889" s="46"/>
      <c r="R11889" s="51"/>
      <c r="S11889" s="51"/>
    </row>
    <row r="11890" spans="9:19" x14ac:dyDescent="0.25">
      <c r="I11890" s="1"/>
      <c r="J11890" s="71"/>
      <c r="M11890" s="46"/>
      <c r="R11890" s="51"/>
      <c r="S11890" s="51"/>
    </row>
    <row r="11891" spans="9:19" x14ac:dyDescent="0.25">
      <c r="I11891" s="1"/>
      <c r="J11891" s="71"/>
      <c r="M11891" s="46"/>
      <c r="R11891" s="51"/>
      <c r="S11891" s="51"/>
    </row>
    <row r="11892" spans="9:19" x14ac:dyDescent="0.25">
      <c r="I11892" s="1"/>
      <c r="J11892" s="71"/>
      <c r="M11892" s="46"/>
      <c r="R11892" s="51"/>
      <c r="S11892" s="51"/>
    </row>
    <row r="11893" spans="9:19" x14ac:dyDescent="0.25">
      <c r="I11893" s="1"/>
      <c r="J11893" s="71"/>
      <c r="M11893" s="46"/>
      <c r="R11893" s="51"/>
      <c r="S11893" s="51"/>
    </row>
    <row r="11894" spans="9:19" x14ac:dyDescent="0.25">
      <c r="I11894" s="1"/>
      <c r="J11894" s="71"/>
      <c r="M11894" s="46"/>
      <c r="R11894" s="51"/>
      <c r="S11894" s="51"/>
    </row>
    <row r="11895" spans="9:19" x14ac:dyDescent="0.25">
      <c r="I11895" s="1"/>
      <c r="J11895" s="71"/>
      <c r="M11895" s="46"/>
      <c r="R11895" s="51"/>
      <c r="S11895" s="51"/>
    </row>
    <row r="11896" spans="9:19" x14ac:dyDescent="0.25">
      <c r="I11896" s="1"/>
      <c r="J11896" s="71"/>
      <c r="M11896" s="46"/>
      <c r="R11896" s="51"/>
      <c r="S11896" s="51"/>
    </row>
    <row r="11897" spans="9:19" x14ac:dyDescent="0.25">
      <c r="I11897" s="1"/>
      <c r="J11897" s="71"/>
      <c r="M11897" s="46"/>
      <c r="R11897" s="51"/>
      <c r="S11897" s="51"/>
    </row>
    <row r="11898" spans="9:19" x14ac:dyDescent="0.25">
      <c r="I11898" s="1"/>
      <c r="J11898" s="71"/>
      <c r="M11898" s="46"/>
      <c r="R11898" s="51"/>
      <c r="S11898" s="51"/>
    </row>
    <row r="11899" spans="9:19" x14ac:dyDescent="0.25">
      <c r="I11899" s="1"/>
      <c r="J11899" s="71"/>
      <c r="M11899" s="46"/>
      <c r="R11899" s="51"/>
      <c r="S11899" s="51"/>
    </row>
    <row r="11900" spans="9:19" x14ac:dyDescent="0.25">
      <c r="I11900" s="1"/>
      <c r="J11900" s="71"/>
      <c r="M11900" s="46"/>
      <c r="R11900" s="51"/>
      <c r="S11900" s="51"/>
    </row>
    <row r="11901" spans="9:19" x14ac:dyDescent="0.25">
      <c r="I11901" s="1"/>
      <c r="J11901" s="71"/>
      <c r="M11901" s="46"/>
      <c r="R11901" s="51"/>
      <c r="S11901" s="51"/>
    </row>
    <row r="11902" spans="9:19" x14ac:dyDescent="0.25">
      <c r="I11902" s="1"/>
      <c r="J11902" s="71"/>
      <c r="M11902" s="46"/>
      <c r="R11902" s="51"/>
      <c r="S11902" s="51"/>
    </row>
    <row r="11903" spans="9:19" x14ac:dyDescent="0.25">
      <c r="I11903" s="1"/>
      <c r="J11903" s="71"/>
      <c r="M11903" s="46"/>
      <c r="R11903" s="51"/>
      <c r="S11903" s="51"/>
    </row>
    <row r="11904" spans="9:19" x14ac:dyDescent="0.25">
      <c r="I11904" s="1"/>
      <c r="J11904" s="71"/>
      <c r="M11904" s="46"/>
      <c r="R11904" s="51"/>
      <c r="S11904" s="51"/>
    </row>
    <row r="11905" spans="9:19" x14ac:dyDescent="0.25">
      <c r="I11905" s="1"/>
      <c r="J11905" s="71"/>
      <c r="M11905" s="46"/>
      <c r="R11905" s="51"/>
      <c r="S11905" s="51"/>
    </row>
    <row r="11906" spans="9:19" x14ac:dyDescent="0.25">
      <c r="I11906" s="1"/>
      <c r="J11906" s="71"/>
      <c r="M11906" s="46"/>
      <c r="R11906" s="51"/>
      <c r="S11906" s="51"/>
    </row>
    <row r="11907" spans="9:19" x14ac:dyDescent="0.25">
      <c r="I11907" s="1"/>
      <c r="J11907" s="71"/>
      <c r="M11907" s="46"/>
      <c r="R11907" s="51"/>
      <c r="S11907" s="51"/>
    </row>
    <row r="11908" spans="9:19" x14ac:dyDescent="0.25">
      <c r="I11908" s="1"/>
      <c r="J11908" s="71"/>
      <c r="M11908" s="46"/>
      <c r="R11908" s="51"/>
      <c r="S11908" s="51"/>
    </row>
    <row r="11909" spans="9:19" x14ac:dyDescent="0.25">
      <c r="I11909" s="1"/>
      <c r="J11909" s="71"/>
      <c r="M11909" s="46"/>
      <c r="R11909" s="51"/>
      <c r="S11909" s="51"/>
    </row>
    <row r="11910" spans="9:19" x14ac:dyDescent="0.25">
      <c r="I11910" s="1"/>
      <c r="J11910" s="71"/>
      <c r="M11910" s="46"/>
      <c r="R11910" s="51"/>
      <c r="S11910" s="51"/>
    </row>
    <row r="11911" spans="9:19" x14ac:dyDescent="0.25">
      <c r="I11911" s="1"/>
      <c r="J11911" s="71"/>
      <c r="M11911" s="46"/>
      <c r="R11911" s="51"/>
      <c r="S11911" s="51"/>
    </row>
    <row r="11912" spans="9:19" x14ac:dyDescent="0.25">
      <c r="I11912" s="1"/>
      <c r="J11912" s="71"/>
      <c r="M11912" s="46"/>
      <c r="R11912" s="51"/>
      <c r="S11912" s="51"/>
    </row>
    <row r="11913" spans="9:19" x14ac:dyDescent="0.25">
      <c r="I11913" s="1"/>
      <c r="J11913" s="71"/>
      <c r="M11913" s="46"/>
      <c r="R11913" s="51"/>
      <c r="S11913" s="51"/>
    </row>
    <row r="11914" spans="9:19" x14ac:dyDescent="0.25">
      <c r="I11914" s="1"/>
      <c r="J11914" s="71"/>
      <c r="M11914" s="46"/>
      <c r="R11914" s="51"/>
      <c r="S11914" s="51"/>
    </row>
    <row r="11915" spans="9:19" x14ac:dyDescent="0.25">
      <c r="I11915" s="1"/>
      <c r="J11915" s="71"/>
      <c r="M11915" s="46"/>
      <c r="R11915" s="51"/>
      <c r="S11915" s="51"/>
    </row>
    <row r="11916" spans="9:19" x14ac:dyDescent="0.25">
      <c r="I11916" s="1"/>
      <c r="J11916" s="71"/>
      <c r="M11916" s="46"/>
      <c r="R11916" s="51"/>
      <c r="S11916" s="51"/>
    </row>
    <row r="11917" spans="9:19" x14ac:dyDescent="0.25">
      <c r="I11917" s="1"/>
      <c r="J11917" s="71"/>
      <c r="M11917" s="46"/>
      <c r="R11917" s="51"/>
      <c r="S11917" s="51"/>
    </row>
    <row r="11918" spans="9:19" x14ac:dyDescent="0.25">
      <c r="I11918" s="1"/>
      <c r="J11918" s="71"/>
      <c r="M11918" s="46"/>
      <c r="R11918" s="51"/>
      <c r="S11918" s="51"/>
    </row>
    <row r="11919" spans="9:19" x14ac:dyDescent="0.25">
      <c r="I11919" s="1"/>
      <c r="J11919" s="71"/>
      <c r="M11919" s="46"/>
      <c r="R11919" s="51"/>
      <c r="S11919" s="51"/>
    </row>
    <row r="11920" spans="9:19" x14ac:dyDescent="0.25">
      <c r="I11920" s="1"/>
      <c r="J11920" s="71"/>
      <c r="M11920" s="46"/>
      <c r="R11920" s="51"/>
      <c r="S11920" s="51"/>
    </row>
    <row r="11921" spans="9:19" x14ac:dyDescent="0.25">
      <c r="I11921" s="1"/>
      <c r="J11921" s="71"/>
      <c r="M11921" s="46"/>
      <c r="R11921" s="51"/>
      <c r="S11921" s="51"/>
    </row>
    <row r="11922" spans="9:19" x14ac:dyDescent="0.25">
      <c r="I11922" s="1"/>
      <c r="J11922" s="71"/>
      <c r="M11922" s="46"/>
      <c r="R11922" s="51"/>
      <c r="S11922" s="51"/>
    </row>
    <row r="11923" spans="9:19" x14ac:dyDescent="0.25">
      <c r="I11923" s="1"/>
      <c r="J11923" s="71"/>
      <c r="M11923" s="46"/>
      <c r="R11923" s="51"/>
      <c r="S11923" s="51"/>
    </row>
    <row r="11924" spans="9:19" x14ac:dyDescent="0.25">
      <c r="I11924" s="1"/>
      <c r="J11924" s="71"/>
      <c r="M11924" s="46"/>
      <c r="R11924" s="51"/>
      <c r="S11924" s="51"/>
    </row>
    <row r="11925" spans="9:19" x14ac:dyDescent="0.25">
      <c r="I11925" s="1"/>
      <c r="J11925" s="71"/>
      <c r="M11925" s="46"/>
      <c r="R11925" s="51"/>
      <c r="S11925" s="51"/>
    </row>
    <row r="11926" spans="9:19" x14ac:dyDescent="0.25">
      <c r="I11926" s="1"/>
      <c r="J11926" s="71"/>
      <c r="M11926" s="46"/>
      <c r="R11926" s="51"/>
      <c r="S11926" s="51"/>
    </row>
    <row r="11927" spans="9:19" x14ac:dyDescent="0.25">
      <c r="I11927" s="1"/>
      <c r="J11927" s="71"/>
      <c r="M11927" s="46"/>
      <c r="R11927" s="51"/>
      <c r="S11927" s="51"/>
    </row>
    <row r="11928" spans="9:19" x14ac:dyDescent="0.25">
      <c r="I11928" s="1"/>
      <c r="J11928" s="71"/>
      <c r="M11928" s="46"/>
      <c r="R11928" s="51"/>
      <c r="S11928" s="51"/>
    </row>
    <row r="11929" spans="9:19" x14ac:dyDescent="0.25">
      <c r="I11929" s="1"/>
      <c r="J11929" s="71"/>
      <c r="M11929" s="46"/>
      <c r="R11929" s="51"/>
      <c r="S11929" s="51"/>
    </row>
    <row r="11930" spans="9:19" x14ac:dyDescent="0.25">
      <c r="I11930" s="1"/>
      <c r="J11930" s="71"/>
      <c r="M11930" s="46"/>
      <c r="R11930" s="51"/>
      <c r="S11930" s="51"/>
    </row>
    <row r="11931" spans="9:19" x14ac:dyDescent="0.25">
      <c r="I11931" s="1"/>
      <c r="J11931" s="71"/>
      <c r="M11931" s="46"/>
      <c r="R11931" s="51"/>
      <c r="S11931" s="51"/>
    </row>
    <row r="11932" spans="9:19" x14ac:dyDescent="0.25">
      <c r="I11932" s="1"/>
      <c r="J11932" s="71"/>
      <c r="M11932" s="46"/>
      <c r="R11932" s="51"/>
      <c r="S11932" s="51"/>
    </row>
    <row r="11933" spans="9:19" x14ac:dyDescent="0.25">
      <c r="I11933" s="1"/>
      <c r="J11933" s="71"/>
      <c r="M11933" s="46"/>
      <c r="R11933" s="51"/>
      <c r="S11933" s="51"/>
    </row>
    <row r="11934" spans="9:19" x14ac:dyDescent="0.25">
      <c r="I11934" s="1"/>
      <c r="J11934" s="71"/>
      <c r="M11934" s="46"/>
      <c r="R11934" s="51"/>
      <c r="S11934" s="51"/>
    </row>
    <row r="11935" spans="9:19" x14ac:dyDescent="0.25">
      <c r="I11935" s="1"/>
      <c r="J11935" s="71"/>
      <c r="M11935" s="46"/>
      <c r="R11935" s="51"/>
      <c r="S11935" s="51"/>
    </row>
    <row r="11936" spans="9:19" x14ac:dyDescent="0.25">
      <c r="I11936" s="1"/>
      <c r="J11936" s="71"/>
      <c r="M11936" s="46"/>
      <c r="R11936" s="51"/>
      <c r="S11936" s="51"/>
    </row>
    <row r="11937" spans="9:19" x14ac:dyDescent="0.25">
      <c r="I11937" s="1"/>
      <c r="J11937" s="71"/>
      <c r="M11937" s="46"/>
      <c r="R11937" s="51"/>
      <c r="S11937" s="51"/>
    </row>
    <row r="11938" spans="9:19" x14ac:dyDescent="0.25">
      <c r="I11938" s="1"/>
      <c r="J11938" s="71"/>
      <c r="M11938" s="46"/>
      <c r="R11938" s="51"/>
      <c r="S11938" s="51"/>
    </row>
    <row r="11939" spans="9:19" x14ac:dyDescent="0.25">
      <c r="I11939" s="1"/>
      <c r="J11939" s="71"/>
      <c r="M11939" s="46"/>
      <c r="R11939" s="51"/>
      <c r="S11939" s="51"/>
    </row>
    <row r="11940" spans="9:19" x14ac:dyDescent="0.25">
      <c r="I11940" s="1"/>
      <c r="J11940" s="71"/>
      <c r="M11940" s="46"/>
      <c r="R11940" s="51"/>
      <c r="S11940" s="51"/>
    </row>
    <row r="11941" spans="9:19" x14ac:dyDescent="0.25">
      <c r="I11941" s="1"/>
      <c r="J11941" s="71"/>
      <c r="M11941" s="46"/>
      <c r="R11941" s="51"/>
      <c r="S11941" s="51"/>
    </row>
    <row r="11942" spans="9:19" x14ac:dyDescent="0.25">
      <c r="I11942" s="1"/>
      <c r="J11942" s="71"/>
      <c r="M11942" s="46"/>
      <c r="R11942" s="51"/>
      <c r="S11942" s="51"/>
    </row>
    <row r="11943" spans="9:19" x14ac:dyDescent="0.25">
      <c r="I11943" s="1"/>
      <c r="J11943" s="71"/>
      <c r="M11943" s="46"/>
      <c r="R11943" s="51"/>
      <c r="S11943" s="51"/>
    </row>
    <row r="11944" spans="9:19" x14ac:dyDescent="0.25">
      <c r="I11944" s="1"/>
      <c r="J11944" s="71"/>
      <c r="M11944" s="46"/>
      <c r="R11944" s="51"/>
      <c r="S11944" s="51"/>
    </row>
    <row r="11945" spans="9:19" x14ac:dyDescent="0.25">
      <c r="I11945" s="1"/>
      <c r="J11945" s="71"/>
      <c r="M11945" s="46"/>
      <c r="R11945" s="51"/>
      <c r="S11945" s="51"/>
    </row>
    <row r="11946" spans="9:19" x14ac:dyDescent="0.25">
      <c r="I11946" s="1"/>
      <c r="J11946" s="71"/>
      <c r="M11946" s="46"/>
      <c r="R11946" s="51"/>
      <c r="S11946" s="51"/>
    </row>
    <row r="11947" spans="9:19" x14ac:dyDescent="0.25">
      <c r="I11947" s="1"/>
      <c r="J11947" s="71"/>
      <c r="M11947" s="46"/>
      <c r="R11947" s="51"/>
      <c r="S11947" s="51"/>
    </row>
    <row r="11948" spans="9:19" x14ac:dyDescent="0.25">
      <c r="I11948" s="1"/>
      <c r="J11948" s="71"/>
      <c r="M11948" s="46"/>
      <c r="R11948" s="51"/>
      <c r="S11948" s="51"/>
    </row>
    <row r="11949" spans="9:19" x14ac:dyDescent="0.25">
      <c r="I11949" s="1"/>
      <c r="J11949" s="71"/>
      <c r="M11949" s="46"/>
      <c r="R11949" s="51"/>
      <c r="S11949" s="51"/>
    </row>
    <row r="11950" spans="9:19" x14ac:dyDescent="0.25">
      <c r="I11950" s="1"/>
      <c r="J11950" s="71"/>
      <c r="M11950" s="46"/>
      <c r="R11950" s="51"/>
      <c r="S11950" s="51"/>
    </row>
    <row r="11951" spans="9:19" x14ac:dyDescent="0.25">
      <c r="I11951" s="1"/>
      <c r="J11951" s="71"/>
      <c r="M11951" s="46"/>
      <c r="R11951" s="51"/>
      <c r="S11951" s="51"/>
    </row>
    <row r="11952" spans="9:19" x14ac:dyDescent="0.25">
      <c r="I11952" s="1"/>
      <c r="J11952" s="71"/>
      <c r="M11952" s="46"/>
      <c r="R11952" s="51"/>
      <c r="S11952" s="51"/>
    </row>
    <row r="11953" spans="9:19" x14ac:dyDescent="0.25">
      <c r="I11953" s="1"/>
      <c r="J11953" s="71"/>
      <c r="M11953" s="46"/>
      <c r="R11953" s="51"/>
      <c r="S11953" s="51"/>
    </row>
    <row r="11954" spans="9:19" x14ac:dyDescent="0.25">
      <c r="I11954" s="1"/>
      <c r="J11954" s="71"/>
      <c r="M11954" s="46"/>
      <c r="R11954" s="51"/>
      <c r="S11954" s="51"/>
    </row>
    <row r="11955" spans="9:19" x14ac:dyDescent="0.25">
      <c r="I11955" s="1"/>
      <c r="J11955" s="71"/>
      <c r="M11955" s="46"/>
      <c r="R11955" s="51"/>
      <c r="S11955" s="51"/>
    </row>
    <row r="11956" spans="9:19" x14ac:dyDescent="0.25">
      <c r="I11956" s="1"/>
      <c r="J11956" s="71"/>
      <c r="M11956" s="46"/>
      <c r="R11956" s="51"/>
      <c r="S11956" s="51"/>
    </row>
    <row r="11957" spans="9:19" x14ac:dyDescent="0.25">
      <c r="I11957" s="1"/>
      <c r="J11957" s="71"/>
      <c r="M11957" s="46"/>
      <c r="R11957" s="51"/>
      <c r="S11957" s="51"/>
    </row>
    <row r="11958" spans="9:19" x14ac:dyDescent="0.25">
      <c r="I11958" s="1"/>
      <c r="J11958" s="71"/>
      <c r="M11958" s="46"/>
      <c r="R11958" s="51"/>
      <c r="S11958" s="51"/>
    </row>
    <row r="11959" spans="9:19" x14ac:dyDescent="0.25">
      <c r="I11959" s="1"/>
      <c r="J11959" s="71"/>
      <c r="M11959" s="46"/>
      <c r="R11959" s="51"/>
      <c r="S11959" s="51"/>
    </row>
    <row r="11960" spans="9:19" x14ac:dyDescent="0.25">
      <c r="I11960" s="1"/>
      <c r="J11960" s="71"/>
      <c r="M11960" s="46"/>
      <c r="R11960" s="51"/>
      <c r="S11960" s="51"/>
    </row>
    <row r="11961" spans="9:19" x14ac:dyDescent="0.25">
      <c r="I11961" s="1"/>
      <c r="J11961" s="71"/>
      <c r="M11961" s="46"/>
      <c r="R11961" s="51"/>
      <c r="S11961" s="51"/>
    </row>
    <row r="11962" spans="9:19" x14ac:dyDescent="0.25">
      <c r="I11962" s="1"/>
      <c r="J11962" s="71"/>
      <c r="M11962" s="46"/>
      <c r="R11962" s="51"/>
      <c r="S11962" s="51"/>
    </row>
    <row r="11963" spans="9:19" x14ac:dyDescent="0.25">
      <c r="I11963" s="1"/>
      <c r="J11963" s="71"/>
      <c r="M11963" s="46"/>
      <c r="R11963" s="51"/>
      <c r="S11963" s="51"/>
    </row>
    <row r="11964" spans="9:19" x14ac:dyDescent="0.25">
      <c r="I11964" s="1"/>
      <c r="J11964" s="71"/>
      <c r="M11964" s="46"/>
      <c r="R11964" s="51"/>
      <c r="S11964" s="51"/>
    </row>
    <row r="11965" spans="9:19" x14ac:dyDescent="0.25">
      <c r="I11965" s="1"/>
      <c r="J11965" s="71"/>
      <c r="M11965" s="46"/>
      <c r="R11965" s="51"/>
      <c r="S11965" s="51"/>
    </row>
    <row r="11966" spans="9:19" x14ac:dyDescent="0.25">
      <c r="I11966" s="1"/>
      <c r="J11966" s="71"/>
      <c r="M11966" s="46"/>
      <c r="R11966" s="51"/>
      <c r="S11966" s="51"/>
    </row>
    <row r="11967" spans="9:19" x14ac:dyDescent="0.25">
      <c r="I11967" s="1"/>
      <c r="J11967" s="71"/>
      <c r="M11967" s="46"/>
      <c r="R11967" s="51"/>
      <c r="S11967" s="51"/>
    </row>
    <row r="11968" spans="9:19" x14ac:dyDescent="0.25">
      <c r="I11968" s="1"/>
      <c r="J11968" s="71"/>
      <c r="M11968" s="46"/>
      <c r="R11968" s="51"/>
      <c r="S11968" s="51"/>
    </row>
    <row r="11969" spans="9:19" x14ac:dyDescent="0.25">
      <c r="I11969" s="1"/>
      <c r="J11969" s="71"/>
      <c r="M11969" s="46"/>
      <c r="R11969" s="51"/>
      <c r="S11969" s="51"/>
    </row>
    <row r="11970" spans="9:19" x14ac:dyDescent="0.25">
      <c r="I11970" s="1"/>
      <c r="J11970" s="71"/>
      <c r="M11970" s="46"/>
      <c r="R11970" s="51"/>
      <c r="S11970" s="51"/>
    </row>
    <row r="11971" spans="9:19" x14ac:dyDescent="0.25">
      <c r="I11971" s="1"/>
      <c r="J11971" s="71"/>
      <c r="M11971" s="46"/>
      <c r="R11971" s="51"/>
      <c r="S11971" s="51"/>
    </row>
    <row r="11972" spans="9:19" x14ac:dyDescent="0.25">
      <c r="I11972" s="1"/>
      <c r="J11972" s="71"/>
      <c r="M11972" s="46"/>
      <c r="R11972" s="51"/>
      <c r="S11972" s="51"/>
    </row>
    <row r="11973" spans="9:19" x14ac:dyDescent="0.25">
      <c r="I11973" s="1"/>
      <c r="J11973" s="71"/>
      <c r="M11973" s="46"/>
      <c r="R11973" s="51"/>
      <c r="S11973" s="51"/>
    </row>
    <row r="11974" spans="9:19" x14ac:dyDescent="0.25">
      <c r="I11974" s="1"/>
      <c r="J11974" s="71"/>
      <c r="M11974" s="46"/>
      <c r="R11974" s="51"/>
      <c r="S11974" s="51"/>
    </row>
    <row r="11975" spans="9:19" x14ac:dyDescent="0.25">
      <c r="I11975" s="1"/>
      <c r="J11975" s="71"/>
      <c r="M11975" s="46"/>
      <c r="R11975" s="51"/>
      <c r="S11975" s="51"/>
    </row>
    <row r="11976" spans="9:19" x14ac:dyDescent="0.25">
      <c r="I11976" s="1"/>
      <c r="J11976" s="71"/>
      <c r="M11976" s="46"/>
      <c r="R11976" s="51"/>
      <c r="S11976" s="51"/>
    </row>
    <row r="11977" spans="9:19" x14ac:dyDescent="0.25">
      <c r="I11977" s="1"/>
      <c r="J11977" s="71"/>
      <c r="M11977" s="46"/>
      <c r="R11977" s="51"/>
      <c r="S11977" s="51"/>
    </row>
    <row r="11978" spans="9:19" x14ac:dyDescent="0.25">
      <c r="I11978" s="1"/>
      <c r="J11978" s="71"/>
      <c r="M11978" s="46"/>
      <c r="R11978" s="51"/>
      <c r="S11978" s="51"/>
    </row>
    <row r="11979" spans="9:19" x14ac:dyDescent="0.25">
      <c r="I11979" s="1"/>
      <c r="J11979" s="71"/>
      <c r="M11979" s="46"/>
      <c r="R11979" s="51"/>
      <c r="S11979" s="51"/>
    </row>
    <row r="11980" spans="9:19" x14ac:dyDescent="0.25">
      <c r="I11980" s="1"/>
      <c r="J11980" s="71"/>
      <c r="M11980" s="46"/>
      <c r="R11980" s="51"/>
      <c r="S11980" s="51"/>
    </row>
    <row r="11981" spans="9:19" x14ac:dyDescent="0.25">
      <c r="I11981" s="1"/>
      <c r="J11981" s="71"/>
      <c r="M11981" s="46"/>
      <c r="R11981" s="51"/>
      <c r="S11981" s="51"/>
    </row>
    <row r="11982" spans="9:19" x14ac:dyDescent="0.25">
      <c r="I11982" s="1"/>
      <c r="J11982" s="71"/>
      <c r="M11982" s="46"/>
      <c r="R11982" s="51"/>
      <c r="S11982" s="51"/>
    </row>
    <row r="11983" spans="9:19" x14ac:dyDescent="0.25">
      <c r="I11983" s="1"/>
      <c r="J11983" s="71"/>
      <c r="M11983" s="46"/>
      <c r="R11983" s="51"/>
      <c r="S11983" s="51"/>
    </row>
    <row r="11984" spans="9:19" x14ac:dyDescent="0.25">
      <c r="I11984" s="1"/>
      <c r="J11984" s="71"/>
      <c r="M11984" s="46"/>
      <c r="R11984" s="51"/>
      <c r="S11984" s="51"/>
    </row>
    <row r="11985" spans="9:19" x14ac:dyDescent="0.25">
      <c r="I11985" s="1"/>
      <c r="J11985" s="71"/>
      <c r="M11985" s="46"/>
      <c r="R11985" s="51"/>
      <c r="S11985" s="51"/>
    </row>
    <row r="11986" spans="9:19" x14ac:dyDescent="0.25">
      <c r="I11986" s="1"/>
      <c r="J11986" s="71"/>
      <c r="M11986" s="46"/>
      <c r="R11986" s="51"/>
      <c r="S11986" s="51"/>
    </row>
    <row r="11987" spans="9:19" x14ac:dyDescent="0.25">
      <c r="I11987" s="1"/>
      <c r="J11987" s="71"/>
      <c r="M11987" s="46"/>
      <c r="R11987" s="51"/>
      <c r="S11987" s="51"/>
    </row>
    <row r="11988" spans="9:19" x14ac:dyDescent="0.25">
      <c r="I11988" s="1"/>
      <c r="J11988" s="71"/>
      <c r="M11988" s="46"/>
      <c r="R11988" s="51"/>
      <c r="S11988" s="51"/>
    </row>
    <row r="11989" spans="9:19" x14ac:dyDescent="0.25">
      <c r="I11989" s="1"/>
      <c r="J11989" s="71"/>
      <c r="M11989" s="46"/>
      <c r="R11989" s="51"/>
      <c r="S11989" s="51"/>
    </row>
    <row r="11990" spans="9:19" x14ac:dyDescent="0.25">
      <c r="I11990" s="1"/>
      <c r="J11990" s="71"/>
      <c r="M11990" s="46"/>
      <c r="R11990" s="51"/>
      <c r="S11990" s="51"/>
    </row>
    <row r="11991" spans="9:19" x14ac:dyDescent="0.25">
      <c r="I11991" s="1"/>
      <c r="J11991" s="71"/>
      <c r="M11991" s="46"/>
      <c r="R11991" s="51"/>
      <c r="S11991" s="51"/>
    </row>
    <row r="11992" spans="9:19" x14ac:dyDescent="0.25">
      <c r="I11992" s="1"/>
      <c r="J11992" s="71"/>
      <c r="M11992" s="46"/>
      <c r="R11992" s="51"/>
      <c r="S11992" s="51"/>
    </row>
    <row r="11993" spans="9:19" x14ac:dyDescent="0.25">
      <c r="I11993" s="1"/>
      <c r="J11993" s="71"/>
      <c r="M11993" s="46"/>
      <c r="R11993" s="51"/>
      <c r="S11993" s="51"/>
    </row>
    <row r="11994" spans="9:19" x14ac:dyDescent="0.25">
      <c r="I11994" s="1"/>
      <c r="J11994" s="71"/>
      <c r="M11994" s="46"/>
      <c r="R11994" s="51"/>
      <c r="S11994" s="51"/>
    </row>
    <row r="11995" spans="9:19" x14ac:dyDescent="0.25">
      <c r="I11995" s="1"/>
      <c r="J11995" s="71"/>
      <c r="M11995" s="46"/>
      <c r="R11995" s="51"/>
      <c r="S11995" s="51"/>
    </row>
    <row r="11996" spans="9:19" x14ac:dyDescent="0.25">
      <c r="I11996" s="1"/>
      <c r="J11996" s="71"/>
      <c r="M11996" s="46"/>
      <c r="R11996" s="51"/>
      <c r="S11996" s="51"/>
    </row>
    <row r="11997" spans="9:19" x14ac:dyDescent="0.25">
      <c r="I11997" s="1"/>
      <c r="J11997" s="71"/>
      <c r="M11997" s="46"/>
      <c r="R11997" s="51"/>
      <c r="S11997" s="51"/>
    </row>
    <row r="11998" spans="9:19" x14ac:dyDescent="0.25">
      <c r="I11998" s="1"/>
      <c r="J11998" s="71"/>
      <c r="M11998" s="46"/>
      <c r="R11998" s="51"/>
      <c r="S11998" s="51"/>
    </row>
    <row r="11999" spans="9:19" x14ac:dyDescent="0.25">
      <c r="I11999" s="1"/>
      <c r="J11999" s="71"/>
      <c r="M11999" s="46"/>
      <c r="R11999" s="51"/>
      <c r="S11999" s="51"/>
    </row>
    <row r="12000" spans="9:19" x14ac:dyDescent="0.25">
      <c r="I12000" s="1"/>
      <c r="J12000" s="71"/>
      <c r="M12000" s="46"/>
      <c r="R12000" s="51"/>
      <c r="S12000" s="51"/>
    </row>
    <row r="12001" spans="9:19" x14ac:dyDescent="0.25">
      <c r="I12001" s="1"/>
      <c r="J12001" s="71"/>
      <c r="M12001" s="46"/>
      <c r="R12001" s="51"/>
      <c r="S12001" s="51"/>
    </row>
    <row r="12002" spans="9:19" x14ac:dyDescent="0.25">
      <c r="I12002" s="1"/>
      <c r="J12002" s="71"/>
      <c r="M12002" s="46"/>
      <c r="R12002" s="51"/>
      <c r="S12002" s="51"/>
    </row>
    <row r="12003" spans="9:19" x14ac:dyDescent="0.25">
      <c r="I12003" s="1"/>
      <c r="J12003" s="71"/>
      <c r="M12003" s="46"/>
      <c r="R12003" s="51"/>
      <c r="S12003" s="51"/>
    </row>
    <row r="12004" spans="9:19" x14ac:dyDescent="0.25">
      <c r="I12004" s="1"/>
      <c r="J12004" s="71"/>
      <c r="M12004" s="46"/>
      <c r="R12004" s="51"/>
      <c r="S12004" s="51"/>
    </row>
    <row r="12005" spans="9:19" x14ac:dyDescent="0.25">
      <c r="I12005" s="1"/>
      <c r="J12005" s="71"/>
      <c r="M12005" s="46"/>
      <c r="R12005" s="51"/>
      <c r="S12005" s="51"/>
    </row>
    <row r="12006" spans="9:19" x14ac:dyDescent="0.25">
      <c r="I12006" s="1"/>
      <c r="J12006" s="71"/>
      <c r="M12006" s="46"/>
      <c r="R12006" s="51"/>
      <c r="S12006" s="51"/>
    </row>
    <row r="12007" spans="9:19" x14ac:dyDescent="0.25">
      <c r="I12007" s="1"/>
      <c r="J12007" s="71"/>
      <c r="M12007" s="46"/>
      <c r="R12007" s="51"/>
      <c r="S12007" s="51"/>
    </row>
    <row r="12008" spans="9:19" x14ac:dyDescent="0.25">
      <c r="I12008" s="1"/>
      <c r="J12008" s="71"/>
      <c r="M12008" s="46"/>
      <c r="R12008" s="51"/>
      <c r="S12008" s="51"/>
    </row>
    <row r="12009" spans="9:19" x14ac:dyDescent="0.25">
      <c r="I12009" s="1"/>
      <c r="J12009" s="71"/>
      <c r="M12009" s="46"/>
      <c r="R12009" s="51"/>
      <c r="S12009" s="51"/>
    </row>
    <row r="12010" spans="9:19" x14ac:dyDescent="0.25">
      <c r="I12010" s="1"/>
      <c r="J12010" s="71"/>
      <c r="M12010" s="46"/>
      <c r="R12010" s="51"/>
      <c r="S12010" s="51"/>
    </row>
    <row r="12011" spans="9:19" x14ac:dyDescent="0.25">
      <c r="I12011" s="1"/>
      <c r="J12011" s="71"/>
      <c r="M12011" s="46"/>
      <c r="R12011" s="51"/>
      <c r="S12011" s="51"/>
    </row>
    <row r="12012" spans="9:19" x14ac:dyDescent="0.25">
      <c r="I12012" s="1"/>
      <c r="J12012" s="71"/>
      <c r="M12012" s="46"/>
      <c r="R12012" s="51"/>
      <c r="S12012" s="51"/>
    </row>
    <row r="12013" spans="9:19" x14ac:dyDescent="0.25">
      <c r="I12013" s="1"/>
      <c r="J12013" s="71"/>
      <c r="M12013" s="46"/>
      <c r="R12013" s="51"/>
      <c r="S12013" s="51"/>
    </row>
    <row r="12014" spans="9:19" x14ac:dyDescent="0.25">
      <c r="I12014" s="1"/>
      <c r="J12014" s="71"/>
      <c r="M12014" s="46"/>
      <c r="R12014" s="51"/>
      <c r="S12014" s="51"/>
    </row>
    <row r="12015" spans="9:19" x14ac:dyDescent="0.25">
      <c r="I12015" s="1"/>
      <c r="J12015" s="71"/>
      <c r="M12015" s="46"/>
      <c r="R12015" s="51"/>
      <c r="S12015" s="51"/>
    </row>
    <row r="12016" spans="9:19" x14ac:dyDescent="0.25">
      <c r="I12016" s="1"/>
      <c r="J12016" s="71"/>
      <c r="M12016" s="46"/>
      <c r="R12016" s="51"/>
      <c r="S12016" s="51"/>
    </row>
    <row r="12017" spans="9:19" x14ac:dyDescent="0.25">
      <c r="I12017" s="1"/>
      <c r="J12017" s="71"/>
      <c r="M12017" s="46"/>
      <c r="R12017" s="51"/>
      <c r="S12017" s="51"/>
    </row>
    <row r="12018" spans="9:19" x14ac:dyDescent="0.25">
      <c r="I12018" s="1"/>
      <c r="J12018" s="71"/>
      <c r="M12018" s="46"/>
      <c r="R12018" s="51"/>
      <c r="S12018" s="51"/>
    </row>
    <row r="12019" spans="9:19" x14ac:dyDescent="0.25">
      <c r="I12019" s="1"/>
      <c r="J12019" s="71"/>
      <c r="M12019" s="46"/>
      <c r="R12019" s="51"/>
      <c r="S12019" s="51"/>
    </row>
    <row r="12020" spans="9:19" x14ac:dyDescent="0.25">
      <c r="I12020" s="1"/>
      <c r="J12020" s="71"/>
      <c r="M12020" s="46"/>
      <c r="R12020" s="51"/>
      <c r="S12020" s="51"/>
    </row>
    <row r="12021" spans="9:19" x14ac:dyDescent="0.25">
      <c r="I12021" s="1"/>
      <c r="J12021" s="71"/>
      <c r="M12021" s="46"/>
      <c r="R12021" s="51"/>
      <c r="S12021" s="51"/>
    </row>
    <row r="12022" spans="9:19" x14ac:dyDescent="0.25">
      <c r="I12022" s="1"/>
      <c r="J12022" s="71"/>
      <c r="M12022" s="46"/>
      <c r="R12022" s="51"/>
      <c r="S12022" s="51"/>
    </row>
    <row r="12023" spans="9:19" x14ac:dyDescent="0.25">
      <c r="I12023" s="1"/>
      <c r="J12023" s="71"/>
      <c r="M12023" s="46"/>
      <c r="R12023" s="51"/>
      <c r="S12023" s="51"/>
    </row>
    <row r="12024" spans="9:19" x14ac:dyDescent="0.25">
      <c r="I12024" s="1"/>
      <c r="J12024" s="71"/>
      <c r="M12024" s="46"/>
      <c r="R12024" s="51"/>
      <c r="S12024" s="51"/>
    </row>
    <row r="12025" spans="9:19" x14ac:dyDescent="0.25">
      <c r="I12025" s="1"/>
      <c r="J12025" s="71"/>
      <c r="M12025" s="46"/>
      <c r="R12025" s="51"/>
      <c r="S12025" s="51"/>
    </row>
    <row r="12026" spans="9:19" x14ac:dyDescent="0.25">
      <c r="I12026" s="1"/>
      <c r="J12026" s="71"/>
      <c r="M12026" s="46"/>
      <c r="R12026" s="51"/>
      <c r="S12026" s="51"/>
    </row>
    <row r="12027" spans="9:19" x14ac:dyDescent="0.25">
      <c r="I12027" s="1"/>
      <c r="J12027" s="71"/>
      <c r="M12027" s="46"/>
      <c r="R12027" s="51"/>
      <c r="S12027" s="51"/>
    </row>
    <row r="12028" spans="9:19" x14ac:dyDescent="0.25">
      <c r="I12028" s="1"/>
      <c r="J12028" s="71"/>
      <c r="M12028" s="46"/>
      <c r="R12028" s="51"/>
      <c r="S12028" s="51"/>
    </row>
    <row r="12029" spans="9:19" x14ac:dyDescent="0.25">
      <c r="I12029" s="1"/>
      <c r="J12029" s="71"/>
      <c r="M12029" s="46"/>
      <c r="R12029" s="51"/>
      <c r="S12029" s="51"/>
    </row>
    <row r="12030" spans="9:19" x14ac:dyDescent="0.25">
      <c r="I12030" s="1"/>
      <c r="J12030" s="71"/>
      <c r="M12030" s="46"/>
      <c r="R12030" s="51"/>
      <c r="S12030" s="51"/>
    </row>
    <row r="12031" spans="9:19" x14ac:dyDescent="0.25">
      <c r="I12031" s="1"/>
      <c r="J12031" s="71"/>
      <c r="M12031" s="46"/>
      <c r="R12031" s="51"/>
      <c r="S12031" s="51"/>
    </row>
    <row r="12032" spans="9:19" x14ac:dyDescent="0.25">
      <c r="I12032" s="1"/>
      <c r="J12032" s="71"/>
      <c r="M12032" s="46"/>
      <c r="R12032" s="51"/>
      <c r="S12032" s="51"/>
    </row>
    <row r="12033" spans="9:19" x14ac:dyDescent="0.25">
      <c r="I12033" s="1"/>
      <c r="J12033" s="71"/>
      <c r="M12033" s="46"/>
      <c r="R12033" s="51"/>
      <c r="S12033" s="51"/>
    </row>
    <row r="12034" spans="9:19" x14ac:dyDescent="0.25">
      <c r="I12034" s="1"/>
      <c r="J12034" s="71"/>
      <c r="M12034" s="46"/>
      <c r="R12034" s="51"/>
      <c r="S12034" s="51"/>
    </row>
    <row r="12035" spans="9:19" x14ac:dyDescent="0.25">
      <c r="I12035" s="1"/>
      <c r="J12035" s="71"/>
      <c r="M12035" s="46"/>
      <c r="R12035" s="51"/>
      <c r="S12035" s="51"/>
    </row>
    <row r="12036" spans="9:19" x14ac:dyDescent="0.25">
      <c r="I12036" s="1"/>
      <c r="J12036" s="71"/>
      <c r="M12036" s="46"/>
      <c r="R12036" s="51"/>
      <c r="S12036" s="51"/>
    </row>
    <row r="12037" spans="9:19" x14ac:dyDescent="0.25">
      <c r="I12037" s="1"/>
      <c r="J12037" s="71"/>
      <c r="M12037" s="46"/>
      <c r="R12037" s="51"/>
      <c r="S12037" s="51"/>
    </row>
    <row r="12038" spans="9:19" x14ac:dyDescent="0.25">
      <c r="I12038" s="1"/>
      <c r="J12038" s="71"/>
      <c r="M12038" s="46"/>
      <c r="R12038" s="51"/>
      <c r="S12038" s="51"/>
    </row>
    <row r="12039" spans="9:19" x14ac:dyDescent="0.25">
      <c r="I12039" s="1"/>
      <c r="J12039" s="71"/>
      <c r="M12039" s="46"/>
      <c r="R12039" s="51"/>
      <c r="S12039" s="51"/>
    </row>
    <row r="12040" spans="9:19" x14ac:dyDescent="0.25">
      <c r="I12040" s="1"/>
      <c r="J12040" s="71"/>
      <c r="M12040" s="46"/>
      <c r="R12040" s="51"/>
      <c r="S12040" s="51"/>
    </row>
    <row r="12041" spans="9:19" x14ac:dyDescent="0.25">
      <c r="I12041" s="1"/>
      <c r="J12041" s="71"/>
      <c r="M12041" s="46"/>
      <c r="R12041" s="51"/>
      <c r="S12041" s="51"/>
    </row>
    <row r="12042" spans="9:19" x14ac:dyDescent="0.25">
      <c r="I12042" s="1"/>
      <c r="J12042" s="71"/>
      <c r="M12042" s="46"/>
      <c r="R12042" s="51"/>
      <c r="S12042" s="51"/>
    </row>
    <row r="12043" spans="9:19" x14ac:dyDescent="0.25">
      <c r="I12043" s="1"/>
      <c r="J12043" s="71"/>
      <c r="M12043" s="46"/>
      <c r="R12043" s="51"/>
      <c r="S12043" s="51"/>
    </row>
    <row r="12044" spans="9:19" x14ac:dyDescent="0.25">
      <c r="I12044" s="1"/>
      <c r="J12044" s="71"/>
      <c r="M12044" s="46"/>
      <c r="R12044" s="51"/>
      <c r="S12044" s="51"/>
    </row>
    <row r="12045" spans="9:19" x14ac:dyDescent="0.25">
      <c r="I12045" s="1"/>
      <c r="J12045" s="71"/>
      <c r="M12045" s="46"/>
      <c r="R12045" s="51"/>
      <c r="S12045" s="51"/>
    </row>
    <row r="12046" spans="9:19" x14ac:dyDescent="0.25">
      <c r="I12046" s="1"/>
      <c r="J12046" s="71"/>
      <c r="M12046" s="46"/>
      <c r="R12046" s="51"/>
      <c r="S12046" s="51"/>
    </row>
    <row r="12047" spans="9:19" x14ac:dyDescent="0.25">
      <c r="I12047" s="1"/>
      <c r="J12047" s="71"/>
      <c r="M12047" s="46"/>
      <c r="R12047" s="51"/>
      <c r="S12047" s="51"/>
    </row>
    <row r="12048" spans="9:19" x14ac:dyDescent="0.25">
      <c r="I12048" s="1"/>
      <c r="J12048" s="71"/>
      <c r="M12048" s="46"/>
      <c r="R12048" s="51"/>
      <c r="S12048" s="51"/>
    </row>
    <row r="12049" spans="9:19" x14ac:dyDescent="0.25">
      <c r="I12049" s="1"/>
      <c r="J12049" s="71"/>
      <c r="M12049" s="46"/>
      <c r="R12049" s="51"/>
      <c r="S12049" s="51"/>
    </row>
    <row r="12050" spans="9:19" x14ac:dyDescent="0.25">
      <c r="I12050" s="1"/>
      <c r="J12050" s="71"/>
      <c r="M12050" s="46"/>
      <c r="R12050" s="51"/>
      <c r="S12050" s="51"/>
    </row>
    <row r="12051" spans="9:19" x14ac:dyDescent="0.25">
      <c r="I12051" s="1"/>
      <c r="J12051" s="71"/>
      <c r="M12051" s="46"/>
      <c r="R12051" s="51"/>
      <c r="S12051" s="51"/>
    </row>
    <row r="12052" spans="9:19" x14ac:dyDescent="0.25">
      <c r="I12052" s="1"/>
      <c r="J12052" s="71"/>
      <c r="M12052" s="46"/>
      <c r="R12052" s="51"/>
      <c r="S12052" s="51"/>
    </row>
    <row r="12053" spans="9:19" x14ac:dyDescent="0.25">
      <c r="I12053" s="1"/>
      <c r="J12053" s="71"/>
      <c r="M12053" s="46"/>
      <c r="R12053" s="51"/>
      <c r="S12053" s="51"/>
    </row>
    <row r="12054" spans="9:19" x14ac:dyDescent="0.25">
      <c r="I12054" s="1"/>
      <c r="J12054" s="71"/>
      <c r="M12054" s="46"/>
      <c r="R12054" s="51"/>
      <c r="S12054" s="51"/>
    </row>
    <row r="12055" spans="9:19" x14ac:dyDescent="0.25">
      <c r="I12055" s="1"/>
      <c r="J12055" s="71"/>
      <c r="M12055" s="46"/>
      <c r="R12055" s="51"/>
      <c r="S12055" s="51"/>
    </row>
    <row r="12056" spans="9:19" x14ac:dyDescent="0.25">
      <c r="I12056" s="1"/>
      <c r="J12056" s="71"/>
      <c r="M12056" s="46"/>
      <c r="R12056" s="51"/>
      <c r="S12056" s="51"/>
    </row>
    <row r="12057" spans="9:19" x14ac:dyDescent="0.25">
      <c r="I12057" s="1"/>
      <c r="J12057" s="71"/>
      <c r="M12057" s="46"/>
      <c r="R12057" s="51"/>
      <c r="S12057" s="51"/>
    </row>
    <row r="12058" spans="9:19" x14ac:dyDescent="0.25">
      <c r="I12058" s="1"/>
      <c r="J12058" s="71"/>
      <c r="M12058" s="46"/>
      <c r="R12058" s="51"/>
      <c r="S12058" s="51"/>
    </row>
    <row r="12059" spans="9:19" x14ac:dyDescent="0.25">
      <c r="I12059" s="1"/>
      <c r="J12059" s="71"/>
      <c r="M12059" s="46"/>
      <c r="R12059" s="51"/>
      <c r="S12059" s="51"/>
    </row>
    <row r="12060" spans="9:19" x14ac:dyDescent="0.25">
      <c r="I12060" s="1"/>
      <c r="J12060" s="71"/>
      <c r="M12060" s="46"/>
      <c r="R12060" s="51"/>
      <c r="S12060" s="51"/>
    </row>
    <row r="12061" spans="9:19" x14ac:dyDescent="0.25">
      <c r="I12061" s="1"/>
      <c r="J12061" s="71"/>
      <c r="M12061" s="46"/>
      <c r="R12061" s="51"/>
      <c r="S12061" s="51"/>
    </row>
    <row r="12062" spans="9:19" x14ac:dyDescent="0.25">
      <c r="I12062" s="1"/>
      <c r="J12062" s="71"/>
      <c r="M12062" s="46"/>
      <c r="R12062" s="51"/>
      <c r="S12062" s="51"/>
    </row>
    <row r="12063" spans="9:19" x14ac:dyDescent="0.25">
      <c r="I12063" s="1"/>
      <c r="J12063" s="71"/>
      <c r="M12063" s="46"/>
      <c r="R12063" s="51"/>
      <c r="S12063" s="51"/>
    </row>
    <row r="12064" spans="9:19" x14ac:dyDescent="0.25">
      <c r="I12064" s="1"/>
      <c r="J12064" s="71"/>
      <c r="M12064" s="46"/>
      <c r="R12064" s="51"/>
      <c r="S12064" s="51"/>
    </row>
    <row r="12065" spans="9:19" x14ac:dyDescent="0.25">
      <c r="I12065" s="1"/>
      <c r="J12065" s="71"/>
      <c r="M12065" s="46"/>
      <c r="R12065" s="51"/>
      <c r="S12065" s="51"/>
    </row>
    <row r="12066" spans="9:19" x14ac:dyDescent="0.25">
      <c r="I12066" s="1"/>
      <c r="J12066" s="71"/>
      <c r="M12066" s="46"/>
      <c r="R12066" s="51"/>
      <c r="S12066" s="51"/>
    </row>
    <row r="12067" spans="9:19" x14ac:dyDescent="0.25">
      <c r="I12067" s="1"/>
      <c r="J12067" s="71"/>
      <c r="M12067" s="46"/>
      <c r="R12067" s="51"/>
      <c r="S12067" s="51"/>
    </row>
    <row r="12068" spans="9:19" x14ac:dyDescent="0.25">
      <c r="I12068" s="1"/>
      <c r="J12068" s="71"/>
      <c r="M12068" s="46"/>
      <c r="R12068" s="51"/>
      <c r="S12068" s="51"/>
    </row>
    <row r="12069" spans="9:19" x14ac:dyDescent="0.25">
      <c r="I12069" s="1"/>
      <c r="J12069" s="71"/>
      <c r="M12069" s="46"/>
      <c r="R12069" s="51"/>
      <c r="S12069" s="51"/>
    </row>
    <row r="12070" spans="9:19" x14ac:dyDescent="0.25">
      <c r="I12070" s="1"/>
      <c r="J12070" s="71"/>
      <c r="M12070" s="46"/>
      <c r="R12070" s="51"/>
      <c r="S12070" s="51"/>
    </row>
    <row r="12071" spans="9:19" x14ac:dyDescent="0.25">
      <c r="I12071" s="1"/>
      <c r="J12071" s="71"/>
      <c r="M12071" s="46"/>
      <c r="R12071" s="51"/>
      <c r="S12071" s="51"/>
    </row>
    <row r="12072" spans="9:19" x14ac:dyDescent="0.25">
      <c r="I12072" s="1"/>
      <c r="J12072" s="71"/>
      <c r="M12072" s="46"/>
      <c r="R12072" s="51"/>
      <c r="S12072" s="51"/>
    </row>
    <row r="12073" spans="9:19" x14ac:dyDescent="0.25">
      <c r="I12073" s="1"/>
      <c r="J12073" s="71"/>
      <c r="M12073" s="46"/>
      <c r="R12073" s="51"/>
      <c r="S12073" s="51"/>
    </row>
    <row r="12074" spans="9:19" x14ac:dyDescent="0.25">
      <c r="I12074" s="1"/>
      <c r="J12074" s="71"/>
      <c r="M12074" s="46"/>
      <c r="R12074" s="51"/>
      <c r="S12074" s="51"/>
    </row>
    <row r="12075" spans="9:19" x14ac:dyDescent="0.25">
      <c r="I12075" s="1"/>
      <c r="J12075" s="71"/>
      <c r="M12075" s="46"/>
      <c r="R12075" s="51"/>
      <c r="S12075" s="51"/>
    </row>
    <row r="12076" spans="9:19" x14ac:dyDescent="0.25">
      <c r="I12076" s="1"/>
      <c r="J12076" s="71"/>
      <c r="M12076" s="46"/>
      <c r="R12076" s="51"/>
      <c r="S12076" s="51"/>
    </row>
    <row r="12077" spans="9:19" x14ac:dyDescent="0.25">
      <c r="I12077" s="1"/>
      <c r="J12077" s="71"/>
      <c r="M12077" s="46"/>
      <c r="R12077" s="51"/>
      <c r="S12077" s="51"/>
    </row>
    <row r="12078" spans="9:19" x14ac:dyDescent="0.25">
      <c r="I12078" s="1"/>
      <c r="J12078" s="71"/>
      <c r="M12078" s="46"/>
      <c r="R12078" s="51"/>
      <c r="S12078" s="51"/>
    </row>
    <row r="12079" spans="9:19" x14ac:dyDescent="0.25">
      <c r="I12079" s="1"/>
      <c r="J12079" s="71"/>
      <c r="M12079" s="46"/>
      <c r="R12079" s="51"/>
      <c r="S12079" s="51"/>
    </row>
    <row r="12080" spans="9:19" x14ac:dyDescent="0.25">
      <c r="I12080" s="1"/>
      <c r="J12080" s="71"/>
      <c r="M12080" s="46"/>
      <c r="R12080" s="51"/>
      <c r="S12080" s="51"/>
    </row>
    <row r="12081" spans="9:19" x14ac:dyDescent="0.25">
      <c r="I12081" s="1"/>
      <c r="J12081" s="71"/>
      <c r="M12081" s="46"/>
      <c r="R12081" s="51"/>
      <c r="S12081" s="51"/>
    </row>
    <row r="12082" spans="9:19" x14ac:dyDescent="0.25">
      <c r="I12082" s="1"/>
      <c r="J12082" s="71"/>
      <c r="M12082" s="46"/>
      <c r="R12082" s="51"/>
      <c r="S12082" s="51"/>
    </row>
    <row r="12083" spans="9:19" x14ac:dyDescent="0.25">
      <c r="I12083" s="1"/>
      <c r="J12083" s="71"/>
      <c r="M12083" s="46"/>
      <c r="R12083" s="51"/>
      <c r="S12083" s="51"/>
    </row>
    <row r="12084" spans="9:19" x14ac:dyDescent="0.25">
      <c r="I12084" s="1"/>
      <c r="J12084" s="71"/>
      <c r="M12084" s="46"/>
      <c r="R12084" s="51"/>
      <c r="S12084" s="51"/>
    </row>
    <row r="12085" spans="9:19" x14ac:dyDescent="0.25">
      <c r="I12085" s="1"/>
      <c r="J12085" s="71"/>
      <c r="M12085" s="46"/>
      <c r="R12085" s="51"/>
      <c r="S12085" s="51"/>
    </row>
    <row r="12086" spans="9:19" x14ac:dyDescent="0.25">
      <c r="I12086" s="1"/>
      <c r="J12086" s="71"/>
      <c r="M12086" s="46"/>
      <c r="R12086" s="51"/>
      <c r="S12086" s="51"/>
    </row>
    <row r="12087" spans="9:19" x14ac:dyDescent="0.25">
      <c r="I12087" s="1"/>
      <c r="J12087" s="71"/>
      <c r="M12087" s="46"/>
      <c r="R12087" s="51"/>
      <c r="S12087" s="51"/>
    </row>
    <row r="12088" spans="9:19" x14ac:dyDescent="0.25">
      <c r="I12088" s="1"/>
      <c r="J12088" s="71"/>
      <c r="M12088" s="46"/>
      <c r="R12088" s="51"/>
      <c r="S12088" s="51"/>
    </row>
    <row r="12089" spans="9:19" x14ac:dyDescent="0.25">
      <c r="I12089" s="1"/>
      <c r="J12089" s="71"/>
      <c r="M12089" s="46"/>
      <c r="R12089" s="51"/>
      <c r="S12089" s="51"/>
    </row>
    <row r="12090" spans="9:19" x14ac:dyDescent="0.25">
      <c r="I12090" s="1"/>
      <c r="J12090" s="71"/>
      <c r="M12090" s="46"/>
      <c r="R12090" s="51"/>
      <c r="S12090" s="51"/>
    </row>
    <row r="12091" spans="9:19" x14ac:dyDescent="0.25">
      <c r="I12091" s="1"/>
      <c r="J12091" s="71"/>
      <c r="M12091" s="46"/>
      <c r="R12091" s="51"/>
      <c r="S12091" s="51"/>
    </row>
    <row r="12092" spans="9:19" x14ac:dyDescent="0.25">
      <c r="I12092" s="1"/>
      <c r="J12092" s="71"/>
      <c r="M12092" s="46"/>
      <c r="R12092" s="51"/>
      <c r="S12092" s="51"/>
    </row>
    <row r="12093" spans="9:19" x14ac:dyDescent="0.25">
      <c r="I12093" s="1"/>
      <c r="J12093" s="71"/>
      <c r="M12093" s="46"/>
      <c r="R12093" s="51"/>
      <c r="S12093" s="51"/>
    </row>
    <row r="12094" spans="9:19" x14ac:dyDescent="0.25">
      <c r="I12094" s="1"/>
      <c r="J12094" s="71"/>
      <c r="M12094" s="46"/>
      <c r="R12094" s="51"/>
      <c r="S12094" s="51"/>
    </row>
    <row r="12095" spans="9:19" x14ac:dyDescent="0.25">
      <c r="I12095" s="1"/>
      <c r="J12095" s="71"/>
      <c r="M12095" s="46"/>
      <c r="R12095" s="51"/>
      <c r="S12095" s="51"/>
    </row>
    <row r="12096" spans="9:19" x14ac:dyDescent="0.25">
      <c r="I12096" s="1"/>
      <c r="J12096" s="71"/>
      <c r="M12096" s="46"/>
      <c r="R12096" s="51"/>
      <c r="S12096" s="51"/>
    </row>
    <row r="12097" spans="9:19" x14ac:dyDescent="0.25">
      <c r="I12097" s="1"/>
      <c r="J12097" s="71"/>
      <c r="M12097" s="46"/>
      <c r="R12097" s="51"/>
      <c r="S12097" s="51"/>
    </row>
    <row r="12098" spans="9:19" x14ac:dyDescent="0.25">
      <c r="I12098" s="1"/>
      <c r="J12098" s="71"/>
      <c r="M12098" s="46"/>
      <c r="R12098" s="51"/>
      <c r="S12098" s="51"/>
    </row>
    <row r="12099" spans="9:19" x14ac:dyDescent="0.25">
      <c r="I12099" s="1"/>
      <c r="J12099" s="71"/>
      <c r="M12099" s="46"/>
      <c r="R12099" s="51"/>
      <c r="S12099" s="51"/>
    </row>
    <row r="12100" spans="9:19" x14ac:dyDescent="0.25">
      <c r="I12100" s="1"/>
      <c r="J12100" s="71"/>
      <c r="M12100" s="46"/>
      <c r="R12100" s="51"/>
      <c r="S12100" s="51"/>
    </row>
    <row r="12101" spans="9:19" x14ac:dyDescent="0.25">
      <c r="I12101" s="1"/>
      <c r="J12101" s="71"/>
      <c r="M12101" s="46"/>
      <c r="R12101" s="51"/>
      <c r="S12101" s="51"/>
    </row>
    <row r="12102" spans="9:19" x14ac:dyDescent="0.25">
      <c r="I12102" s="1"/>
      <c r="J12102" s="71"/>
      <c r="M12102" s="46"/>
      <c r="R12102" s="51"/>
      <c r="S12102" s="51"/>
    </row>
    <row r="12103" spans="9:19" x14ac:dyDescent="0.25">
      <c r="I12103" s="1"/>
      <c r="J12103" s="71"/>
      <c r="M12103" s="46"/>
      <c r="R12103" s="51"/>
      <c r="S12103" s="51"/>
    </row>
    <row r="12104" spans="9:19" x14ac:dyDescent="0.25">
      <c r="I12104" s="1"/>
      <c r="J12104" s="71"/>
      <c r="M12104" s="46"/>
      <c r="R12104" s="51"/>
      <c r="S12104" s="51"/>
    </row>
    <row r="12105" spans="9:19" x14ac:dyDescent="0.25">
      <c r="I12105" s="1"/>
      <c r="J12105" s="71"/>
      <c r="M12105" s="46"/>
      <c r="R12105" s="51"/>
      <c r="S12105" s="51"/>
    </row>
    <row r="12106" spans="9:19" x14ac:dyDescent="0.25">
      <c r="I12106" s="1"/>
      <c r="J12106" s="71"/>
      <c r="M12106" s="46"/>
      <c r="R12106" s="51"/>
      <c r="S12106" s="51"/>
    </row>
    <row r="12107" spans="9:19" x14ac:dyDescent="0.25">
      <c r="I12107" s="1"/>
      <c r="J12107" s="71"/>
      <c r="M12107" s="46"/>
      <c r="R12107" s="51"/>
      <c r="S12107" s="51"/>
    </row>
    <row r="12108" spans="9:19" x14ac:dyDescent="0.25">
      <c r="I12108" s="1"/>
      <c r="J12108" s="71"/>
      <c r="M12108" s="46"/>
      <c r="R12108" s="51"/>
      <c r="S12108" s="51"/>
    </row>
    <row r="12109" spans="9:19" x14ac:dyDescent="0.25">
      <c r="I12109" s="1"/>
      <c r="J12109" s="71"/>
      <c r="M12109" s="46"/>
      <c r="R12109" s="51"/>
      <c r="S12109" s="51"/>
    </row>
    <row r="12110" spans="9:19" x14ac:dyDescent="0.25">
      <c r="I12110" s="1"/>
      <c r="J12110" s="71"/>
      <c r="M12110" s="46"/>
      <c r="R12110" s="51"/>
      <c r="S12110" s="51"/>
    </row>
    <row r="12111" spans="9:19" x14ac:dyDescent="0.25">
      <c r="I12111" s="1"/>
      <c r="J12111" s="71"/>
      <c r="M12111" s="46"/>
      <c r="R12111" s="51"/>
      <c r="S12111" s="51"/>
    </row>
    <row r="12112" spans="9:19" x14ac:dyDescent="0.25">
      <c r="I12112" s="1"/>
      <c r="J12112" s="71"/>
      <c r="M12112" s="46"/>
      <c r="R12112" s="51"/>
      <c r="S12112" s="51"/>
    </row>
    <row r="12113" spans="9:19" x14ac:dyDescent="0.25">
      <c r="I12113" s="1"/>
      <c r="J12113" s="71"/>
      <c r="M12113" s="46"/>
      <c r="R12113" s="51"/>
      <c r="S12113" s="51"/>
    </row>
    <row r="12114" spans="9:19" x14ac:dyDescent="0.25">
      <c r="I12114" s="1"/>
      <c r="J12114" s="71"/>
      <c r="M12114" s="46"/>
      <c r="R12114" s="51"/>
      <c r="S12114" s="51"/>
    </row>
    <row r="12115" spans="9:19" x14ac:dyDescent="0.25">
      <c r="I12115" s="1"/>
      <c r="J12115" s="71"/>
      <c r="M12115" s="46"/>
      <c r="R12115" s="51"/>
      <c r="S12115" s="51"/>
    </row>
    <row r="12116" spans="9:19" x14ac:dyDescent="0.25">
      <c r="I12116" s="1"/>
      <c r="J12116" s="71"/>
      <c r="M12116" s="46"/>
      <c r="R12116" s="51"/>
      <c r="S12116" s="51"/>
    </row>
    <row r="12117" spans="9:19" x14ac:dyDescent="0.25">
      <c r="I12117" s="1"/>
      <c r="J12117" s="71"/>
      <c r="M12117" s="46"/>
      <c r="R12117" s="51"/>
      <c r="S12117" s="51"/>
    </row>
    <row r="12118" spans="9:19" x14ac:dyDescent="0.25">
      <c r="I12118" s="1"/>
      <c r="J12118" s="71"/>
      <c r="M12118" s="46"/>
      <c r="R12118" s="51"/>
      <c r="S12118" s="51"/>
    </row>
    <row r="12119" spans="9:19" x14ac:dyDescent="0.25">
      <c r="I12119" s="1"/>
      <c r="J12119" s="71"/>
      <c r="M12119" s="46"/>
      <c r="R12119" s="51"/>
      <c r="S12119" s="51"/>
    </row>
    <row r="12120" spans="9:19" x14ac:dyDescent="0.25">
      <c r="I12120" s="1"/>
      <c r="J12120" s="71"/>
      <c r="M12120" s="46"/>
      <c r="R12120" s="51"/>
      <c r="S12120" s="51"/>
    </row>
    <row r="12121" spans="9:19" x14ac:dyDescent="0.25">
      <c r="I12121" s="1"/>
      <c r="J12121" s="71"/>
      <c r="M12121" s="46"/>
      <c r="R12121" s="51"/>
      <c r="S12121" s="51"/>
    </row>
    <row r="12122" spans="9:19" x14ac:dyDescent="0.25">
      <c r="I12122" s="1"/>
      <c r="J12122" s="71"/>
      <c r="M12122" s="46"/>
      <c r="R12122" s="51"/>
      <c r="S12122" s="51"/>
    </row>
    <row r="12123" spans="9:19" x14ac:dyDescent="0.25">
      <c r="I12123" s="1"/>
      <c r="J12123" s="71"/>
      <c r="M12123" s="46"/>
      <c r="R12123" s="51"/>
      <c r="S12123" s="51"/>
    </row>
    <row r="12124" spans="9:19" x14ac:dyDescent="0.25">
      <c r="I12124" s="1"/>
      <c r="J12124" s="71"/>
      <c r="M12124" s="46"/>
      <c r="R12124" s="51"/>
      <c r="S12124" s="51"/>
    </row>
    <row r="12125" spans="9:19" x14ac:dyDescent="0.25">
      <c r="I12125" s="1"/>
      <c r="J12125" s="71"/>
      <c r="M12125" s="46"/>
      <c r="R12125" s="51"/>
      <c r="S12125" s="51"/>
    </row>
    <row r="12126" spans="9:19" x14ac:dyDescent="0.25">
      <c r="I12126" s="1"/>
      <c r="J12126" s="71"/>
      <c r="M12126" s="46"/>
      <c r="R12126" s="51"/>
      <c r="S12126" s="51"/>
    </row>
    <row r="12127" spans="9:19" x14ac:dyDescent="0.25">
      <c r="I12127" s="1"/>
      <c r="J12127" s="71"/>
      <c r="M12127" s="46"/>
      <c r="R12127" s="51"/>
      <c r="S12127" s="51"/>
    </row>
    <row r="12128" spans="9:19" x14ac:dyDescent="0.25">
      <c r="I12128" s="1"/>
      <c r="J12128" s="71"/>
      <c r="M12128" s="46"/>
      <c r="R12128" s="51"/>
      <c r="S12128" s="51"/>
    </row>
    <row r="12129" spans="9:19" x14ac:dyDescent="0.25">
      <c r="I12129" s="1"/>
      <c r="J12129" s="71"/>
      <c r="M12129" s="46"/>
      <c r="R12129" s="51"/>
      <c r="S12129" s="51"/>
    </row>
    <row r="12130" spans="9:19" x14ac:dyDescent="0.25">
      <c r="I12130" s="1"/>
      <c r="J12130" s="71"/>
      <c r="M12130" s="46"/>
      <c r="R12130" s="51"/>
      <c r="S12130" s="51"/>
    </row>
    <row r="12131" spans="9:19" x14ac:dyDescent="0.25">
      <c r="I12131" s="1"/>
      <c r="J12131" s="71"/>
      <c r="M12131" s="46"/>
      <c r="R12131" s="51"/>
      <c r="S12131" s="51"/>
    </row>
    <row r="12132" spans="9:19" x14ac:dyDescent="0.25">
      <c r="I12132" s="1"/>
      <c r="J12132" s="71"/>
      <c r="M12132" s="46"/>
      <c r="R12132" s="51"/>
      <c r="S12132" s="51"/>
    </row>
    <row r="12133" spans="9:19" x14ac:dyDescent="0.25">
      <c r="I12133" s="1"/>
      <c r="J12133" s="71"/>
      <c r="M12133" s="46"/>
      <c r="R12133" s="51"/>
      <c r="S12133" s="51"/>
    </row>
    <row r="12134" spans="9:19" x14ac:dyDescent="0.25">
      <c r="I12134" s="1"/>
      <c r="J12134" s="71"/>
      <c r="M12134" s="46"/>
      <c r="R12134" s="51"/>
      <c r="S12134" s="51"/>
    </row>
    <row r="12135" spans="9:19" x14ac:dyDescent="0.25">
      <c r="I12135" s="1"/>
      <c r="J12135" s="71"/>
      <c r="M12135" s="46"/>
      <c r="R12135" s="51"/>
      <c r="S12135" s="51"/>
    </row>
    <row r="12136" spans="9:19" x14ac:dyDescent="0.25">
      <c r="I12136" s="1"/>
      <c r="J12136" s="71"/>
      <c r="M12136" s="46"/>
      <c r="R12136" s="51"/>
      <c r="S12136" s="51"/>
    </row>
    <row r="12137" spans="9:19" x14ac:dyDescent="0.25">
      <c r="I12137" s="1"/>
      <c r="J12137" s="71"/>
      <c r="M12137" s="46"/>
      <c r="R12137" s="51"/>
      <c r="S12137" s="51"/>
    </row>
    <row r="12138" spans="9:19" x14ac:dyDescent="0.25">
      <c r="I12138" s="1"/>
      <c r="J12138" s="71"/>
      <c r="M12138" s="46"/>
      <c r="R12138" s="51"/>
      <c r="S12138" s="51"/>
    </row>
    <row r="12139" spans="9:19" x14ac:dyDescent="0.25">
      <c r="I12139" s="1"/>
      <c r="J12139" s="71"/>
      <c r="M12139" s="46"/>
      <c r="R12139" s="51"/>
      <c r="S12139" s="51"/>
    </row>
    <row r="12140" spans="9:19" x14ac:dyDescent="0.25">
      <c r="I12140" s="1"/>
      <c r="J12140" s="71"/>
      <c r="M12140" s="46"/>
      <c r="R12140" s="51"/>
      <c r="S12140" s="51"/>
    </row>
    <row r="12141" spans="9:19" x14ac:dyDescent="0.25">
      <c r="I12141" s="1"/>
      <c r="J12141" s="71"/>
      <c r="M12141" s="46"/>
      <c r="R12141" s="51"/>
      <c r="S12141" s="51"/>
    </row>
    <row r="12142" spans="9:19" x14ac:dyDescent="0.25">
      <c r="I12142" s="1"/>
      <c r="J12142" s="71"/>
      <c r="M12142" s="46"/>
      <c r="R12142" s="51"/>
      <c r="S12142" s="51"/>
    </row>
    <row r="12143" spans="9:19" x14ac:dyDescent="0.25">
      <c r="I12143" s="1"/>
      <c r="J12143" s="71"/>
      <c r="M12143" s="46"/>
      <c r="R12143" s="51"/>
      <c r="S12143" s="51"/>
    </row>
    <row r="12144" spans="9:19" x14ac:dyDescent="0.25">
      <c r="I12144" s="1"/>
      <c r="J12144" s="71"/>
      <c r="M12144" s="46"/>
      <c r="R12144" s="51"/>
      <c r="S12144" s="51"/>
    </row>
    <row r="12145" spans="9:19" x14ac:dyDescent="0.25">
      <c r="I12145" s="1"/>
      <c r="J12145" s="71"/>
      <c r="M12145" s="46"/>
      <c r="R12145" s="51"/>
      <c r="S12145" s="51"/>
    </row>
    <row r="12146" spans="9:19" x14ac:dyDescent="0.25">
      <c r="I12146" s="1"/>
      <c r="J12146" s="71"/>
      <c r="M12146" s="46"/>
      <c r="R12146" s="51"/>
      <c r="S12146" s="51"/>
    </row>
    <row r="12147" spans="9:19" x14ac:dyDescent="0.25">
      <c r="I12147" s="1"/>
      <c r="J12147" s="71"/>
      <c r="M12147" s="46"/>
      <c r="R12147" s="51"/>
      <c r="S12147" s="51"/>
    </row>
    <row r="12148" spans="9:19" x14ac:dyDescent="0.25">
      <c r="I12148" s="1"/>
      <c r="J12148" s="71"/>
      <c r="M12148" s="46"/>
      <c r="R12148" s="51"/>
      <c r="S12148" s="51"/>
    </row>
    <row r="12149" spans="9:19" x14ac:dyDescent="0.25">
      <c r="I12149" s="1"/>
      <c r="J12149" s="71"/>
      <c r="M12149" s="46"/>
      <c r="R12149" s="51"/>
      <c r="S12149" s="51"/>
    </row>
    <row r="12150" spans="9:19" x14ac:dyDescent="0.25">
      <c r="I12150" s="1"/>
      <c r="J12150" s="71"/>
      <c r="M12150" s="46"/>
      <c r="R12150" s="51"/>
      <c r="S12150" s="51"/>
    </row>
    <row r="12151" spans="9:19" x14ac:dyDescent="0.25">
      <c r="I12151" s="1"/>
      <c r="J12151" s="71"/>
      <c r="M12151" s="46"/>
      <c r="R12151" s="51"/>
      <c r="S12151" s="51"/>
    </row>
    <row r="12152" spans="9:19" x14ac:dyDescent="0.25">
      <c r="I12152" s="1"/>
      <c r="J12152" s="71"/>
      <c r="M12152" s="46"/>
      <c r="R12152" s="51"/>
      <c r="S12152" s="51"/>
    </row>
    <row r="12153" spans="9:19" x14ac:dyDescent="0.25">
      <c r="I12153" s="1"/>
      <c r="J12153" s="71"/>
      <c r="M12153" s="46"/>
      <c r="R12153" s="51"/>
      <c r="S12153" s="51"/>
    </row>
    <row r="12154" spans="9:19" x14ac:dyDescent="0.25">
      <c r="I12154" s="1"/>
      <c r="J12154" s="71"/>
      <c r="M12154" s="46"/>
      <c r="R12154" s="51"/>
      <c r="S12154" s="51"/>
    </row>
    <row r="12155" spans="9:19" x14ac:dyDescent="0.25">
      <c r="I12155" s="1"/>
      <c r="J12155" s="71"/>
      <c r="M12155" s="46"/>
      <c r="R12155" s="51"/>
      <c r="S12155" s="51"/>
    </row>
    <row r="12156" spans="9:19" x14ac:dyDescent="0.25">
      <c r="I12156" s="1"/>
      <c r="J12156" s="71"/>
      <c r="M12156" s="46"/>
      <c r="R12156" s="51"/>
      <c r="S12156" s="51"/>
    </row>
    <row r="12157" spans="9:19" x14ac:dyDescent="0.25">
      <c r="I12157" s="1"/>
      <c r="J12157" s="71"/>
      <c r="M12157" s="46"/>
      <c r="R12157" s="51"/>
      <c r="S12157" s="51"/>
    </row>
    <row r="12158" spans="9:19" x14ac:dyDescent="0.25">
      <c r="I12158" s="1"/>
      <c r="J12158" s="71"/>
      <c r="M12158" s="46"/>
      <c r="R12158" s="51"/>
      <c r="S12158" s="51"/>
    </row>
    <row r="12159" spans="9:19" x14ac:dyDescent="0.25">
      <c r="I12159" s="1"/>
      <c r="J12159" s="71"/>
      <c r="M12159" s="46"/>
      <c r="R12159" s="51"/>
      <c r="S12159" s="51"/>
    </row>
    <row r="12160" spans="9:19" x14ac:dyDescent="0.25">
      <c r="I12160" s="1"/>
      <c r="J12160" s="71"/>
      <c r="M12160" s="46"/>
      <c r="R12160" s="51"/>
      <c r="S12160" s="51"/>
    </row>
    <row r="12161" spans="9:19" x14ac:dyDescent="0.25">
      <c r="I12161" s="1"/>
      <c r="J12161" s="71"/>
      <c r="M12161" s="46"/>
      <c r="R12161" s="51"/>
      <c r="S12161" s="51"/>
    </row>
    <row r="12162" spans="9:19" x14ac:dyDescent="0.25">
      <c r="I12162" s="1"/>
      <c r="J12162" s="71"/>
      <c r="M12162" s="46"/>
      <c r="R12162" s="51"/>
      <c r="S12162" s="51"/>
    </row>
    <row r="12163" spans="9:19" x14ac:dyDescent="0.25">
      <c r="I12163" s="1"/>
      <c r="J12163" s="71"/>
      <c r="M12163" s="46"/>
      <c r="R12163" s="51"/>
      <c r="S12163" s="51"/>
    </row>
    <row r="12164" spans="9:19" x14ac:dyDescent="0.25">
      <c r="I12164" s="1"/>
      <c r="J12164" s="71"/>
      <c r="M12164" s="46"/>
      <c r="R12164" s="51"/>
      <c r="S12164" s="51"/>
    </row>
    <row r="12165" spans="9:19" x14ac:dyDescent="0.25">
      <c r="I12165" s="1"/>
      <c r="J12165" s="71"/>
      <c r="M12165" s="46"/>
      <c r="R12165" s="51"/>
      <c r="S12165" s="51"/>
    </row>
    <row r="12166" spans="9:19" x14ac:dyDescent="0.25">
      <c r="I12166" s="1"/>
      <c r="J12166" s="71"/>
      <c r="M12166" s="46"/>
      <c r="R12166" s="51"/>
      <c r="S12166" s="51"/>
    </row>
    <row r="12167" spans="9:19" x14ac:dyDescent="0.25">
      <c r="I12167" s="1"/>
      <c r="J12167" s="71"/>
      <c r="M12167" s="46"/>
      <c r="R12167" s="51"/>
      <c r="S12167" s="51"/>
    </row>
    <row r="12168" spans="9:19" x14ac:dyDescent="0.25">
      <c r="I12168" s="1"/>
      <c r="J12168" s="71"/>
      <c r="M12168" s="46"/>
      <c r="R12168" s="51"/>
      <c r="S12168" s="51"/>
    </row>
    <row r="12169" spans="9:19" x14ac:dyDescent="0.25">
      <c r="I12169" s="1"/>
      <c r="J12169" s="71"/>
      <c r="M12169" s="46"/>
      <c r="R12169" s="51"/>
      <c r="S12169" s="51"/>
    </row>
    <row r="12170" spans="9:19" x14ac:dyDescent="0.25">
      <c r="I12170" s="1"/>
      <c r="J12170" s="71"/>
      <c r="M12170" s="46"/>
      <c r="R12170" s="51"/>
      <c r="S12170" s="51"/>
    </row>
    <row r="12171" spans="9:19" x14ac:dyDescent="0.25">
      <c r="I12171" s="1"/>
      <c r="J12171" s="71"/>
      <c r="M12171" s="46"/>
      <c r="R12171" s="51"/>
      <c r="S12171" s="51"/>
    </row>
    <row r="12172" spans="9:19" x14ac:dyDescent="0.25">
      <c r="I12172" s="1"/>
      <c r="J12172" s="71"/>
      <c r="M12172" s="46"/>
      <c r="R12172" s="51"/>
      <c r="S12172" s="51"/>
    </row>
    <row r="12173" spans="9:19" x14ac:dyDescent="0.25">
      <c r="I12173" s="1"/>
      <c r="J12173" s="71"/>
      <c r="M12173" s="46"/>
      <c r="R12173" s="51"/>
      <c r="S12173" s="51"/>
    </row>
    <row r="12174" spans="9:19" x14ac:dyDescent="0.25">
      <c r="I12174" s="1"/>
      <c r="J12174" s="71"/>
      <c r="M12174" s="46"/>
      <c r="R12174" s="51"/>
      <c r="S12174" s="51"/>
    </row>
    <row r="12175" spans="9:19" x14ac:dyDescent="0.25">
      <c r="I12175" s="1"/>
      <c r="J12175" s="71"/>
      <c r="M12175" s="46"/>
      <c r="R12175" s="51"/>
      <c r="S12175" s="51"/>
    </row>
    <row r="12176" spans="9:19" x14ac:dyDescent="0.25">
      <c r="I12176" s="1"/>
      <c r="J12176" s="71"/>
      <c r="M12176" s="46"/>
      <c r="R12176" s="51"/>
      <c r="S12176" s="51"/>
    </row>
    <row r="12177" spans="9:19" x14ac:dyDescent="0.25">
      <c r="I12177" s="1"/>
      <c r="J12177" s="71"/>
      <c r="M12177" s="46"/>
      <c r="R12177" s="51"/>
      <c r="S12177" s="51"/>
    </row>
    <row r="12178" spans="9:19" x14ac:dyDescent="0.25">
      <c r="I12178" s="1"/>
      <c r="J12178" s="71"/>
      <c r="M12178" s="46"/>
      <c r="R12178" s="51"/>
      <c r="S12178" s="51"/>
    </row>
    <row r="12179" spans="9:19" x14ac:dyDescent="0.25">
      <c r="I12179" s="1"/>
      <c r="J12179" s="71"/>
      <c r="M12179" s="46"/>
      <c r="R12179" s="51"/>
      <c r="S12179" s="51"/>
    </row>
    <row r="12180" spans="9:19" x14ac:dyDescent="0.25">
      <c r="I12180" s="1"/>
      <c r="J12180" s="71"/>
      <c r="M12180" s="46"/>
      <c r="R12180" s="51"/>
      <c r="S12180" s="51"/>
    </row>
    <row r="12181" spans="9:19" x14ac:dyDescent="0.25">
      <c r="I12181" s="1"/>
      <c r="J12181" s="71"/>
      <c r="M12181" s="46"/>
      <c r="R12181" s="51"/>
      <c r="S12181" s="51"/>
    </row>
    <row r="12182" spans="9:19" x14ac:dyDescent="0.25">
      <c r="I12182" s="1"/>
      <c r="J12182" s="71"/>
      <c r="M12182" s="46"/>
      <c r="R12182" s="51"/>
      <c r="S12182" s="51"/>
    </row>
    <row r="12183" spans="9:19" x14ac:dyDescent="0.25">
      <c r="I12183" s="1"/>
      <c r="J12183" s="71"/>
      <c r="M12183" s="46"/>
      <c r="R12183" s="51"/>
      <c r="S12183" s="51"/>
    </row>
    <row r="12184" spans="9:19" x14ac:dyDescent="0.25">
      <c r="I12184" s="1"/>
      <c r="J12184" s="71"/>
      <c r="M12184" s="46"/>
      <c r="R12184" s="51"/>
      <c r="S12184" s="51"/>
    </row>
    <row r="12185" spans="9:19" x14ac:dyDescent="0.25">
      <c r="I12185" s="1"/>
      <c r="J12185" s="71"/>
      <c r="M12185" s="46"/>
      <c r="R12185" s="51"/>
      <c r="S12185" s="51"/>
    </row>
    <row r="12186" spans="9:19" x14ac:dyDescent="0.25">
      <c r="I12186" s="1"/>
      <c r="J12186" s="71"/>
      <c r="M12186" s="46"/>
      <c r="R12186" s="51"/>
      <c r="S12186" s="51"/>
    </row>
    <row r="12187" spans="9:19" x14ac:dyDescent="0.25">
      <c r="I12187" s="1"/>
      <c r="J12187" s="71"/>
      <c r="M12187" s="46"/>
      <c r="R12187" s="51"/>
      <c r="S12187" s="51"/>
    </row>
    <row r="12188" spans="9:19" x14ac:dyDescent="0.25">
      <c r="I12188" s="1"/>
      <c r="J12188" s="71"/>
      <c r="M12188" s="46"/>
      <c r="R12188" s="51"/>
      <c r="S12188" s="51"/>
    </row>
    <row r="12189" spans="9:19" x14ac:dyDescent="0.25">
      <c r="I12189" s="1"/>
      <c r="J12189" s="71"/>
      <c r="M12189" s="46"/>
      <c r="R12189" s="51"/>
      <c r="S12189" s="51"/>
    </row>
    <row r="12190" spans="9:19" x14ac:dyDescent="0.25">
      <c r="I12190" s="1"/>
      <c r="J12190" s="71"/>
      <c r="M12190" s="46"/>
      <c r="R12190" s="51"/>
      <c r="S12190" s="51"/>
    </row>
    <row r="12191" spans="9:19" x14ac:dyDescent="0.25">
      <c r="I12191" s="1"/>
      <c r="J12191" s="71"/>
      <c r="M12191" s="46"/>
      <c r="R12191" s="51"/>
      <c r="S12191" s="51"/>
    </row>
    <row r="12192" spans="9:19" x14ac:dyDescent="0.25">
      <c r="I12192" s="1"/>
      <c r="J12192" s="71"/>
      <c r="M12192" s="46"/>
      <c r="R12192" s="51"/>
      <c r="S12192" s="51"/>
    </row>
    <row r="12193" spans="9:19" x14ac:dyDescent="0.25">
      <c r="I12193" s="1"/>
      <c r="J12193" s="71"/>
      <c r="M12193" s="46"/>
      <c r="R12193" s="51"/>
      <c r="S12193" s="51"/>
    </row>
    <row r="12194" spans="9:19" x14ac:dyDescent="0.25">
      <c r="I12194" s="1"/>
      <c r="J12194" s="71"/>
      <c r="M12194" s="46"/>
      <c r="R12194" s="51"/>
      <c r="S12194" s="51"/>
    </row>
    <row r="12195" spans="9:19" x14ac:dyDescent="0.25">
      <c r="I12195" s="1"/>
      <c r="J12195" s="71"/>
      <c r="M12195" s="46"/>
      <c r="R12195" s="51"/>
      <c r="S12195" s="51"/>
    </row>
    <row r="12196" spans="9:19" x14ac:dyDescent="0.25">
      <c r="I12196" s="1"/>
      <c r="J12196" s="71"/>
      <c r="M12196" s="46"/>
      <c r="R12196" s="51"/>
      <c r="S12196" s="51"/>
    </row>
    <row r="12197" spans="9:19" x14ac:dyDescent="0.25">
      <c r="I12197" s="1"/>
      <c r="J12197" s="71"/>
      <c r="M12197" s="46"/>
      <c r="R12197" s="51"/>
      <c r="S12197" s="51"/>
    </row>
    <row r="12198" spans="9:19" x14ac:dyDescent="0.25">
      <c r="I12198" s="1"/>
      <c r="J12198" s="71"/>
      <c r="M12198" s="46"/>
      <c r="R12198" s="51"/>
      <c r="S12198" s="51"/>
    </row>
    <row r="12199" spans="9:19" x14ac:dyDescent="0.25">
      <c r="I12199" s="1"/>
      <c r="J12199" s="71"/>
      <c r="M12199" s="46"/>
      <c r="R12199" s="51"/>
      <c r="S12199" s="51"/>
    </row>
    <row r="12200" spans="9:19" x14ac:dyDescent="0.25">
      <c r="I12200" s="1"/>
      <c r="J12200" s="71"/>
      <c r="M12200" s="46"/>
      <c r="R12200" s="51"/>
      <c r="S12200" s="51"/>
    </row>
    <row r="12201" spans="9:19" x14ac:dyDescent="0.25">
      <c r="I12201" s="1"/>
      <c r="J12201" s="71"/>
      <c r="M12201" s="46"/>
      <c r="R12201" s="51"/>
      <c r="S12201" s="51"/>
    </row>
    <row r="12202" spans="9:19" x14ac:dyDescent="0.25">
      <c r="I12202" s="1"/>
      <c r="J12202" s="71"/>
      <c r="M12202" s="46"/>
      <c r="R12202" s="51"/>
      <c r="S12202" s="51"/>
    </row>
    <row r="12203" spans="9:19" x14ac:dyDescent="0.25">
      <c r="I12203" s="1"/>
      <c r="J12203" s="71"/>
      <c r="M12203" s="46"/>
      <c r="R12203" s="51"/>
      <c r="S12203" s="51"/>
    </row>
    <row r="12204" spans="9:19" x14ac:dyDescent="0.25">
      <c r="I12204" s="1"/>
      <c r="J12204" s="71"/>
      <c r="M12204" s="46"/>
      <c r="R12204" s="51"/>
      <c r="S12204" s="51"/>
    </row>
    <row r="12205" spans="9:19" x14ac:dyDescent="0.25">
      <c r="I12205" s="1"/>
      <c r="J12205" s="71"/>
      <c r="M12205" s="46"/>
      <c r="R12205" s="51"/>
      <c r="S12205" s="51"/>
    </row>
    <row r="12206" spans="9:19" x14ac:dyDescent="0.25">
      <c r="I12206" s="1"/>
      <c r="J12206" s="71"/>
      <c r="M12206" s="46"/>
      <c r="R12206" s="51"/>
      <c r="S12206" s="51"/>
    </row>
    <row r="12207" spans="9:19" x14ac:dyDescent="0.25">
      <c r="I12207" s="1"/>
      <c r="J12207" s="71"/>
      <c r="M12207" s="46"/>
      <c r="R12207" s="51"/>
      <c r="S12207" s="51"/>
    </row>
    <row r="12208" spans="9:19" x14ac:dyDescent="0.25">
      <c r="I12208" s="1"/>
      <c r="J12208" s="71"/>
      <c r="M12208" s="46"/>
      <c r="R12208" s="51"/>
      <c r="S12208" s="51"/>
    </row>
    <row r="12209" spans="9:19" x14ac:dyDescent="0.25">
      <c r="I12209" s="1"/>
      <c r="J12209" s="71"/>
      <c r="M12209" s="46"/>
      <c r="R12209" s="51"/>
      <c r="S12209" s="51"/>
    </row>
    <row r="12210" spans="9:19" x14ac:dyDescent="0.25">
      <c r="I12210" s="1"/>
      <c r="J12210" s="71"/>
      <c r="M12210" s="46"/>
      <c r="R12210" s="51"/>
      <c r="S12210" s="51"/>
    </row>
    <row r="12211" spans="9:19" x14ac:dyDescent="0.25">
      <c r="I12211" s="1"/>
      <c r="J12211" s="71"/>
      <c r="M12211" s="46"/>
      <c r="R12211" s="51"/>
      <c r="S12211" s="51"/>
    </row>
    <row r="12212" spans="9:19" x14ac:dyDescent="0.25">
      <c r="I12212" s="1"/>
      <c r="J12212" s="71"/>
      <c r="M12212" s="46"/>
      <c r="R12212" s="51"/>
      <c r="S12212" s="51"/>
    </row>
    <row r="12213" spans="9:19" x14ac:dyDescent="0.25">
      <c r="I12213" s="1"/>
      <c r="J12213" s="71"/>
      <c r="M12213" s="46"/>
      <c r="R12213" s="51"/>
      <c r="S12213" s="51"/>
    </row>
    <row r="12214" spans="9:19" x14ac:dyDescent="0.25">
      <c r="I12214" s="1"/>
      <c r="J12214" s="71"/>
      <c r="M12214" s="46"/>
      <c r="R12214" s="51"/>
      <c r="S12214" s="51"/>
    </row>
    <row r="12215" spans="9:19" x14ac:dyDescent="0.25">
      <c r="I12215" s="1"/>
      <c r="J12215" s="71"/>
      <c r="M12215" s="46"/>
      <c r="R12215" s="51"/>
      <c r="S12215" s="51"/>
    </row>
    <row r="12216" spans="9:19" x14ac:dyDescent="0.25">
      <c r="I12216" s="1"/>
      <c r="J12216" s="71"/>
      <c r="M12216" s="46"/>
      <c r="R12216" s="51"/>
      <c r="S12216" s="51"/>
    </row>
    <row r="12217" spans="9:19" x14ac:dyDescent="0.25">
      <c r="I12217" s="1"/>
      <c r="J12217" s="71"/>
      <c r="M12217" s="46"/>
      <c r="R12217" s="51"/>
      <c r="S12217" s="51"/>
    </row>
    <row r="12218" spans="9:19" x14ac:dyDescent="0.25">
      <c r="I12218" s="1"/>
      <c r="J12218" s="71"/>
      <c r="M12218" s="46"/>
      <c r="R12218" s="51"/>
      <c r="S12218" s="51"/>
    </row>
    <row r="12219" spans="9:19" x14ac:dyDescent="0.25">
      <c r="I12219" s="1"/>
      <c r="J12219" s="71"/>
      <c r="M12219" s="46"/>
      <c r="R12219" s="51"/>
      <c r="S12219" s="51"/>
    </row>
    <row r="12220" spans="9:19" x14ac:dyDescent="0.25">
      <c r="I12220" s="1"/>
      <c r="J12220" s="71"/>
      <c r="M12220" s="46"/>
      <c r="R12220" s="51"/>
      <c r="S12220" s="51"/>
    </row>
    <row r="12221" spans="9:19" x14ac:dyDescent="0.25">
      <c r="I12221" s="1"/>
      <c r="J12221" s="71"/>
      <c r="M12221" s="46"/>
      <c r="R12221" s="51"/>
      <c r="S12221" s="51"/>
    </row>
    <row r="12222" spans="9:19" x14ac:dyDescent="0.25">
      <c r="I12222" s="1"/>
      <c r="J12222" s="71"/>
      <c r="M12222" s="46"/>
      <c r="R12222" s="51"/>
      <c r="S12222" s="51"/>
    </row>
    <row r="12223" spans="9:19" x14ac:dyDescent="0.25">
      <c r="I12223" s="1"/>
      <c r="J12223" s="71"/>
      <c r="M12223" s="46"/>
      <c r="R12223" s="51"/>
      <c r="S12223" s="51"/>
    </row>
    <row r="12224" spans="9:19" x14ac:dyDescent="0.25">
      <c r="I12224" s="1"/>
      <c r="J12224" s="71"/>
      <c r="M12224" s="46"/>
      <c r="R12224" s="51"/>
      <c r="S12224" s="51"/>
    </row>
    <row r="12225" spans="9:19" x14ac:dyDescent="0.25">
      <c r="I12225" s="1"/>
      <c r="J12225" s="71"/>
      <c r="M12225" s="46"/>
      <c r="R12225" s="51"/>
      <c r="S12225" s="51"/>
    </row>
    <row r="12226" spans="9:19" x14ac:dyDescent="0.25">
      <c r="I12226" s="1"/>
      <c r="J12226" s="71"/>
      <c r="M12226" s="46"/>
      <c r="R12226" s="51"/>
      <c r="S12226" s="51"/>
    </row>
    <row r="12227" spans="9:19" x14ac:dyDescent="0.25">
      <c r="I12227" s="1"/>
      <c r="J12227" s="71"/>
      <c r="M12227" s="46"/>
      <c r="R12227" s="51"/>
      <c r="S12227" s="51"/>
    </row>
    <row r="12228" spans="9:19" x14ac:dyDescent="0.25">
      <c r="I12228" s="1"/>
      <c r="J12228" s="71"/>
      <c r="M12228" s="46"/>
      <c r="R12228" s="51"/>
      <c r="S12228" s="51"/>
    </row>
    <row r="12229" spans="9:19" x14ac:dyDescent="0.25">
      <c r="I12229" s="1"/>
      <c r="J12229" s="71"/>
      <c r="M12229" s="46"/>
      <c r="R12229" s="51"/>
      <c r="S12229" s="51"/>
    </row>
    <row r="12230" spans="9:19" x14ac:dyDescent="0.25">
      <c r="I12230" s="1"/>
      <c r="J12230" s="71"/>
      <c r="M12230" s="46"/>
      <c r="R12230" s="51"/>
      <c r="S12230" s="51"/>
    </row>
    <row r="12231" spans="9:19" x14ac:dyDescent="0.25">
      <c r="I12231" s="1"/>
      <c r="J12231" s="71"/>
      <c r="M12231" s="46"/>
      <c r="R12231" s="51"/>
      <c r="S12231" s="51"/>
    </row>
    <row r="12232" spans="9:19" x14ac:dyDescent="0.25">
      <c r="I12232" s="1"/>
      <c r="J12232" s="71"/>
      <c r="M12232" s="46"/>
      <c r="R12232" s="51"/>
      <c r="S12232" s="51"/>
    </row>
    <row r="12233" spans="9:19" x14ac:dyDescent="0.25">
      <c r="I12233" s="1"/>
      <c r="J12233" s="71"/>
      <c r="M12233" s="46"/>
      <c r="R12233" s="51"/>
      <c r="S12233" s="51"/>
    </row>
    <row r="12234" spans="9:19" x14ac:dyDescent="0.25">
      <c r="I12234" s="1"/>
      <c r="J12234" s="71"/>
      <c r="M12234" s="46"/>
      <c r="R12234" s="51"/>
      <c r="S12234" s="51"/>
    </row>
    <row r="12235" spans="9:19" x14ac:dyDescent="0.25">
      <c r="I12235" s="1"/>
      <c r="J12235" s="71"/>
      <c r="M12235" s="46"/>
      <c r="R12235" s="51"/>
      <c r="S12235" s="51"/>
    </row>
    <row r="12236" spans="9:19" x14ac:dyDescent="0.25">
      <c r="I12236" s="1"/>
      <c r="J12236" s="71"/>
      <c r="M12236" s="46"/>
      <c r="R12236" s="51"/>
      <c r="S12236" s="51"/>
    </row>
    <row r="12237" spans="9:19" x14ac:dyDescent="0.25">
      <c r="I12237" s="1"/>
      <c r="J12237" s="71"/>
      <c r="M12237" s="46"/>
      <c r="R12237" s="51"/>
      <c r="S12237" s="51"/>
    </row>
    <row r="12238" spans="9:19" x14ac:dyDescent="0.25">
      <c r="I12238" s="1"/>
      <c r="J12238" s="71"/>
      <c r="M12238" s="46"/>
      <c r="R12238" s="51"/>
      <c r="S12238" s="51"/>
    </row>
    <row r="12239" spans="9:19" x14ac:dyDescent="0.25">
      <c r="I12239" s="1"/>
      <c r="J12239" s="71"/>
      <c r="M12239" s="46"/>
      <c r="R12239" s="51"/>
      <c r="S12239" s="51"/>
    </row>
    <row r="12240" spans="9:19" x14ac:dyDescent="0.25">
      <c r="I12240" s="1"/>
      <c r="J12240" s="71"/>
      <c r="M12240" s="46"/>
      <c r="R12240" s="51"/>
      <c r="S12240" s="51"/>
    </row>
    <row r="12241" spans="9:19" x14ac:dyDescent="0.25">
      <c r="I12241" s="1"/>
      <c r="J12241" s="71"/>
      <c r="M12241" s="46"/>
      <c r="R12241" s="51"/>
      <c r="S12241" s="51"/>
    </row>
    <row r="12242" spans="9:19" x14ac:dyDescent="0.25">
      <c r="I12242" s="1"/>
      <c r="J12242" s="71"/>
      <c r="M12242" s="46"/>
      <c r="R12242" s="51"/>
      <c r="S12242" s="51"/>
    </row>
    <row r="12243" spans="9:19" x14ac:dyDescent="0.25">
      <c r="I12243" s="1"/>
      <c r="J12243" s="71"/>
      <c r="M12243" s="46"/>
      <c r="R12243" s="51"/>
      <c r="S12243" s="51"/>
    </row>
    <row r="12244" spans="9:19" x14ac:dyDescent="0.25">
      <c r="I12244" s="1"/>
      <c r="J12244" s="71"/>
      <c r="M12244" s="46"/>
      <c r="R12244" s="51"/>
      <c r="S12244" s="51"/>
    </row>
    <row r="12245" spans="9:19" x14ac:dyDescent="0.25">
      <c r="I12245" s="1"/>
      <c r="J12245" s="71"/>
      <c r="M12245" s="46"/>
      <c r="R12245" s="51"/>
      <c r="S12245" s="51"/>
    </row>
    <row r="12246" spans="9:19" x14ac:dyDescent="0.25">
      <c r="I12246" s="1"/>
      <c r="J12246" s="71"/>
      <c r="M12246" s="46"/>
      <c r="R12246" s="51"/>
      <c r="S12246" s="51"/>
    </row>
    <row r="12247" spans="9:19" x14ac:dyDescent="0.25">
      <c r="I12247" s="1"/>
      <c r="J12247" s="71"/>
      <c r="M12247" s="46"/>
      <c r="R12247" s="51"/>
      <c r="S12247" s="51"/>
    </row>
    <row r="12248" spans="9:19" x14ac:dyDescent="0.25">
      <c r="I12248" s="1"/>
      <c r="J12248" s="71"/>
      <c r="M12248" s="46"/>
      <c r="R12248" s="51"/>
      <c r="S12248" s="51"/>
    </row>
    <row r="12249" spans="9:19" x14ac:dyDescent="0.25">
      <c r="I12249" s="1"/>
      <c r="J12249" s="71"/>
      <c r="M12249" s="46"/>
      <c r="R12249" s="51"/>
      <c r="S12249" s="51"/>
    </row>
    <row r="12250" spans="9:19" x14ac:dyDescent="0.25">
      <c r="I12250" s="1"/>
      <c r="J12250" s="71"/>
      <c r="M12250" s="46"/>
      <c r="R12250" s="51"/>
      <c r="S12250" s="51"/>
    </row>
    <row r="12251" spans="9:19" x14ac:dyDescent="0.25">
      <c r="I12251" s="1"/>
      <c r="J12251" s="71"/>
      <c r="M12251" s="46"/>
      <c r="R12251" s="51"/>
      <c r="S12251" s="51"/>
    </row>
    <row r="12252" spans="9:19" x14ac:dyDescent="0.25">
      <c r="I12252" s="1"/>
      <c r="J12252" s="71"/>
      <c r="M12252" s="46"/>
      <c r="R12252" s="51"/>
      <c r="S12252" s="51"/>
    </row>
    <row r="12253" spans="9:19" x14ac:dyDescent="0.25">
      <c r="I12253" s="1"/>
      <c r="J12253" s="71"/>
      <c r="M12253" s="46"/>
      <c r="R12253" s="51"/>
      <c r="S12253" s="51"/>
    </row>
    <row r="12254" spans="9:19" x14ac:dyDescent="0.25">
      <c r="I12254" s="1"/>
      <c r="J12254" s="71"/>
      <c r="M12254" s="46"/>
      <c r="R12254" s="51"/>
      <c r="S12254" s="51"/>
    </row>
    <row r="12255" spans="9:19" x14ac:dyDescent="0.25">
      <c r="I12255" s="1"/>
      <c r="J12255" s="71"/>
      <c r="M12255" s="46"/>
      <c r="R12255" s="51"/>
      <c r="S12255" s="51"/>
    </row>
    <row r="12256" spans="9:19" x14ac:dyDescent="0.25">
      <c r="I12256" s="1"/>
      <c r="J12256" s="71"/>
      <c r="M12256" s="46"/>
      <c r="R12256" s="51"/>
      <c r="S12256" s="51"/>
    </row>
    <row r="12257" spans="9:19" x14ac:dyDescent="0.25">
      <c r="I12257" s="1"/>
      <c r="J12257" s="71"/>
      <c r="M12257" s="46"/>
      <c r="R12257" s="51"/>
      <c r="S12257" s="51"/>
    </row>
    <row r="12258" spans="9:19" x14ac:dyDescent="0.25">
      <c r="I12258" s="1"/>
      <c r="J12258" s="71"/>
      <c r="M12258" s="46"/>
      <c r="R12258" s="51"/>
      <c r="S12258" s="51"/>
    </row>
    <row r="12259" spans="9:19" x14ac:dyDescent="0.25">
      <c r="I12259" s="1"/>
      <c r="J12259" s="71"/>
      <c r="M12259" s="46"/>
      <c r="R12259" s="51"/>
      <c r="S12259" s="51"/>
    </row>
    <row r="12260" spans="9:19" x14ac:dyDescent="0.25">
      <c r="I12260" s="1"/>
      <c r="J12260" s="71"/>
      <c r="M12260" s="46"/>
      <c r="R12260" s="51"/>
      <c r="S12260" s="51"/>
    </row>
    <row r="12261" spans="9:19" x14ac:dyDescent="0.25">
      <c r="I12261" s="1"/>
      <c r="J12261" s="71"/>
      <c r="M12261" s="46"/>
      <c r="R12261" s="51"/>
      <c r="S12261" s="51"/>
    </row>
    <row r="12262" spans="9:19" x14ac:dyDescent="0.25">
      <c r="I12262" s="1"/>
      <c r="J12262" s="71"/>
      <c r="M12262" s="46"/>
      <c r="R12262" s="51"/>
      <c r="S12262" s="51"/>
    </row>
    <row r="12263" spans="9:19" x14ac:dyDescent="0.25">
      <c r="I12263" s="1"/>
      <c r="J12263" s="71"/>
      <c r="M12263" s="46"/>
      <c r="R12263" s="51"/>
      <c r="S12263" s="51"/>
    </row>
    <row r="12264" spans="9:19" x14ac:dyDescent="0.25">
      <c r="I12264" s="1"/>
      <c r="J12264" s="71"/>
      <c r="M12264" s="46"/>
      <c r="R12264" s="51"/>
      <c r="S12264" s="51"/>
    </row>
    <row r="12265" spans="9:19" x14ac:dyDescent="0.25">
      <c r="I12265" s="1"/>
      <c r="J12265" s="71"/>
      <c r="M12265" s="46"/>
      <c r="R12265" s="51"/>
      <c r="S12265" s="51"/>
    </row>
    <row r="12266" spans="9:19" x14ac:dyDescent="0.25">
      <c r="I12266" s="1"/>
      <c r="J12266" s="71"/>
      <c r="M12266" s="46"/>
      <c r="R12266" s="51"/>
      <c r="S12266" s="51"/>
    </row>
    <row r="12267" spans="9:19" x14ac:dyDescent="0.25">
      <c r="I12267" s="1"/>
      <c r="J12267" s="71"/>
      <c r="M12267" s="46"/>
      <c r="R12267" s="51"/>
      <c r="S12267" s="51"/>
    </row>
    <row r="12268" spans="9:19" x14ac:dyDescent="0.25">
      <c r="I12268" s="1"/>
      <c r="J12268" s="71"/>
      <c r="M12268" s="46"/>
      <c r="R12268" s="51"/>
      <c r="S12268" s="51"/>
    </row>
    <row r="12269" spans="9:19" x14ac:dyDescent="0.25">
      <c r="I12269" s="1"/>
      <c r="J12269" s="71"/>
      <c r="M12269" s="46"/>
      <c r="R12269" s="51"/>
      <c r="S12269" s="51"/>
    </row>
    <row r="12270" spans="9:19" x14ac:dyDescent="0.25">
      <c r="I12270" s="1"/>
      <c r="J12270" s="71"/>
      <c r="M12270" s="46"/>
      <c r="R12270" s="51"/>
      <c r="S12270" s="51"/>
    </row>
    <row r="12271" spans="9:19" x14ac:dyDescent="0.25">
      <c r="I12271" s="1"/>
      <c r="J12271" s="71"/>
      <c r="M12271" s="46"/>
      <c r="R12271" s="51"/>
      <c r="S12271" s="51"/>
    </row>
    <row r="12272" spans="9:19" x14ac:dyDescent="0.25">
      <c r="I12272" s="1"/>
      <c r="J12272" s="71"/>
      <c r="M12272" s="46"/>
      <c r="R12272" s="51"/>
      <c r="S12272" s="51"/>
    </row>
    <row r="12273" spans="9:19" x14ac:dyDescent="0.25">
      <c r="I12273" s="1"/>
      <c r="J12273" s="71"/>
      <c r="M12273" s="46"/>
      <c r="R12273" s="51"/>
      <c r="S12273" s="51"/>
    </row>
    <row r="12274" spans="9:19" x14ac:dyDescent="0.25">
      <c r="I12274" s="1"/>
      <c r="J12274" s="71"/>
      <c r="M12274" s="46"/>
      <c r="R12274" s="51"/>
      <c r="S12274" s="51"/>
    </row>
    <row r="12275" spans="9:19" x14ac:dyDescent="0.25">
      <c r="I12275" s="1"/>
      <c r="J12275" s="71"/>
      <c r="M12275" s="46"/>
      <c r="R12275" s="51"/>
      <c r="S12275" s="51"/>
    </row>
    <row r="12276" spans="9:19" x14ac:dyDescent="0.25">
      <c r="I12276" s="1"/>
      <c r="J12276" s="71"/>
      <c r="M12276" s="46"/>
      <c r="R12276" s="51"/>
      <c r="S12276" s="51"/>
    </row>
    <row r="12277" spans="9:19" x14ac:dyDescent="0.25">
      <c r="I12277" s="1"/>
      <c r="J12277" s="71"/>
      <c r="M12277" s="46"/>
      <c r="R12277" s="51"/>
      <c r="S12277" s="51"/>
    </row>
    <row r="12278" spans="9:19" x14ac:dyDescent="0.25">
      <c r="I12278" s="1"/>
      <c r="J12278" s="71"/>
      <c r="M12278" s="46"/>
      <c r="R12278" s="51"/>
      <c r="S12278" s="51"/>
    </row>
    <row r="12279" spans="9:19" x14ac:dyDescent="0.25">
      <c r="I12279" s="1"/>
      <c r="J12279" s="71"/>
      <c r="M12279" s="46"/>
      <c r="R12279" s="51"/>
      <c r="S12279" s="51"/>
    </row>
    <row r="12280" spans="9:19" x14ac:dyDescent="0.25">
      <c r="I12280" s="1"/>
      <c r="J12280" s="71"/>
      <c r="M12280" s="46"/>
      <c r="R12280" s="51"/>
      <c r="S12280" s="51"/>
    </row>
    <row r="12281" spans="9:19" x14ac:dyDescent="0.25">
      <c r="I12281" s="1"/>
      <c r="J12281" s="71"/>
      <c r="M12281" s="46"/>
      <c r="R12281" s="51"/>
      <c r="S12281" s="51"/>
    </row>
    <row r="12282" spans="9:19" x14ac:dyDescent="0.25">
      <c r="I12282" s="1"/>
      <c r="J12282" s="71"/>
      <c r="M12282" s="46"/>
      <c r="R12282" s="51"/>
      <c r="S12282" s="51"/>
    </row>
    <row r="12283" spans="9:19" x14ac:dyDescent="0.25">
      <c r="I12283" s="1"/>
      <c r="J12283" s="71"/>
      <c r="M12283" s="46"/>
      <c r="R12283" s="51"/>
      <c r="S12283" s="51"/>
    </row>
    <row r="12284" spans="9:19" x14ac:dyDescent="0.25">
      <c r="I12284" s="1"/>
      <c r="J12284" s="71"/>
      <c r="M12284" s="46"/>
      <c r="R12284" s="51"/>
      <c r="S12284" s="51"/>
    </row>
    <row r="12285" spans="9:19" x14ac:dyDescent="0.25">
      <c r="I12285" s="1"/>
      <c r="J12285" s="71"/>
      <c r="M12285" s="46"/>
      <c r="R12285" s="51"/>
      <c r="S12285" s="51"/>
    </row>
    <row r="12286" spans="9:19" x14ac:dyDescent="0.25">
      <c r="I12286" s="1"/>
      <c r="J12286" s="71"/>
      <c r="M12286" s="46"/>
      <c r="R12286" s="51"/>
      <c r="S12286" s="51"/>
    </row>
    <row r="12287" spans="9:19" x14ac:dyDescent="0.25">
      <c r="I12287" s="1"/>
      <c r="J12287" s="71"/>
      <c r="M12287" s="46"/>
      <c r="R12287" s="51"/>
      <c r="S12287" s="51"/>
    </row>
    <row r="12288" spans="9:19" x14ac:dyDescent="0.25">
      <c r="I12288" s="1"/>
      <c r="J12288" s="71"/>
      <c r="M12288" s="46"/>
      <c r="R12288" s="51"/>
      <c r="S12288" s="51"/>
    </row>
    <row r="12289" spans="9:19" x14ac:dyDescent="0.25">
      <c r="I12289" s="1"/>
      <c r="J12289" s="71"/>
      <c r="M12289" s="46"/>
      <c r="R12289" s="51"/>
      <c r="S12289" s="51"/>
    </row>
    <row r="12290" spans="9:19" x14ac:dyDescent="0.25">
      <c r="I12290" s="1"/>
      <c r="J12290" s="71"/>
      <c r="M12290" s="46"/>
      <c r="R12290" s="51"/>
      <c r="S12290" s="51"/>
    </row>
    <row r="12291" spans="9:19" x14ac:dyDescent="0.25">
      <c r="I12291" s="1"/>
      <c r="J12291" s="71"/>
      <c r="M12291" s="46"/>
      <c r="R12291" s="51"/>
      <c r="S12291" s="51"/>
    </row>
    <row r="12292" spans="9:19" x14ac:dyDescent="0.25">
      <c r="I12292" s="1"/>
      <c r="J12292" s="71"/>
      <c r="M12292" s="46"/>
      <c r="R12292" s="51"/>
      <c r="S12292" s="51"/>
    </row>
    <row r="12293" spans="9:19" x14ac:dyDescent="0.25">
      <c r="I12293" s="1"/>
      <c r="J12293" s="71"/>
      <c r="M12293" s="46"/>
      <c r="R12293" s="51"/>
      <c r="S12293" s="51"/>
    </row>
    <row r="12294" spans="9:19" x14ac:dyDescent="0.25">
      <c r="I12294" s="1"/>
      <c r="J12294" s="71"/>
      <c r="M12294" s="46"/>
      <c r="R12294" s="51"/>
      <c r="S12294" s="51"/>
    </row>
    <row r="12295" spans="9:19" x14ac:dyDescent="0.25">
      <c r="I12295" s="1"/>
      <c r="J12295" s="71"/>
      <c r="M12295" s="46"/>
      <c r="R12295" s="51"/>
      <c r="S12295" s="51"/>
    </row>
    <row r="12296" spans="9:19" x14ac:dyDescent="0.25">
      <c r="I12296" s="1"/>
      <c r="J12296" s="71"/>
      <c r="M12296" s="46"/>
      <c r="R12296" s="51"/>
      <c r="S12296" s="51"/>
    </row>
    <row r="12297" spans="9:19" x14ac:dyDescent="0.25">
      <c r="I12297" s="1"/>
      <c r="J12297" s="71"/>
      <c r="M12297" s="46"/>
      <c r="R12297" s="51"/>
      <c r="S12297" s="51"/>
    </row>
    <row r="12298" spans="9:19" x14ac:dyDescent="0.25">
      <c r="I12298" s="1"/>
      <c r="J12298" s="71"/>
      <c r="M12298" s="46"/>
      <c r="R12298" s="51"/>
      <c r="S12298" s="51"/>
    </row>
    <row r="12299" spans="9:19" x14ac:dyDescent="0.25">
      <c r="I12299" s="1"/>
      <c r="J12299" s="71"/>
      <c r="M12299" s="46"/>
      <c r="R12299" s="51"/>
      <c r="S12299" s="51"/>
    </row>
    <row r="12300" spans="9:19" x14ac:dyDescent="0.25">
      <c r="I12300" s="1"/>
      <c r="J12300" s="71"/>
      <c r="M12300" s="46"/>
      <c r="R12300" s="51"/>
      <c r="S12300" s="51"/>
    </row>
    <row r="12301" spans="9:19" x14ac:dyDescent="0.25">
      <c r="I12301" s="1"/>
      <c r="J12301" s="71"/>
      <c r="M12301" s="46"/>
      <c r="R12301" s="51"/>
      <c r="S12301" s="51"/>
    </row>
    <row r="12302" spans="9:19" x14ac:dyDescent="0.25">
      <c r="I12302" s="1"/>
      <c r="J12302" s="71"/>
      <c r="M12302" s="46"/>
      <c r="R12302" s="51"/>
      <c r="S12302" s="51"/>
    </row>
    <row r="12303" spans="9:19" x14ac:dyDescent="0.25">
      <c r="I12303" s="1"/>
      <c r="J12303" s="71"/>
      <c r="M12303" s="46"/>
      <c r="R12303" s="51"/>
      <c r="S12303" s="51"/>
    </row>
    <row r="12304" spans="9:19" x14ac:dyDescent="0.25">
      <c r="I12304" s="1"/>
      <c r="J12304" s="71"/>
      <c r="M12304" s="46"/>
      <c r="R12304" s="51"/>
      <c r="S12304" s="51"/>
    </row>
    <row r="12305" spans="9:19" x14ac:dyDescent="0.25">
      <c r="I12305" s="1"/>
      <c r="J12305" s="71"/>
      <c r="M12305" s="46"/>
      <c r="R12305" s="51"/>
      <c r="S12305" s="51"/>
    </row>
    <row r="12306" spans="9:19" x14ac:dyDescent="0.25">
      <c r="I12306" s="1"/>
      <c r="J12306" s="71"/>
      <c r="M12306" s="46"/>
      <c r="R12306" s="51"/>
      <c r="S12306" s="51"/>
    </row>
    <row r="12307" spans="9:19" x14ac:dyDescent="0.25">
      <c r="I12307" s="1"/>
      <c r="J12307" s="71"/>
      <c r="M12307" s="46"/>
      <c r="R12307" s="51"/>
      <c r="S12307" s="51"/>
    </row>
    <row r="12308" spans="9:19" x14ac:dyDescent="0.25">
      <c r="I12308" s="1"/>
      <c r="J12308" s="71"/>
      <c r="M12308" s="46"/>
      <c r="R12308" s="51"/>
      <c r="S12308" s="51"/>
    </row>
    <row r="12309" spans="9:19" x14ac:dyDescent="0.25">
      <c r="I12309" s="1"/>
      <c r="J12309" s="71"/>
      <c r="M12309" s="46"/>
      <c r="R12309" s="51"/>
      <c r="S12309" s="51"/>
    </row>
    <row r="12310" spans="9:19" x14ac:dyDescent="0.25">
      <c r="I12310" s="1"/>
      <c r="J12310" s="71"/>
      <c r="M12310" s="46"/>
      <c r="R12310" s="51"/>
      <c r="S12310" s="51"/>
    </row>
    <row r="12311" spans="9:19" x14ac:dyDescent="0.25">
      <c r="I12311" s="1"/>
      <c r="J12311" s="71"/>
      <c r="M12311" s="46"/>
      <c r="R12311" s="51"/>
      <c r="S12311" s="51"/>
    </row>
    <row r="12312" spans="9:19" x14ac:dyDescent="0.25">
      <c r="I12312" s="1"/>
      <c r="J12312" s="71"/>
      <c r="M12312" s="46"/>
      <c r="R12312" s="51"/>
      <c r="S12312" s="51"/>
    </row>
    <row r="12313" spans="9:19" x14ac:dyDescent="0.25">
      <c r="I12313" s="1"/>
      <c r="J12313" s="71"/>
      <c r="M12313" s="46"/>
      <c r="R12313" s="51"/>
      <c r="S12313" s="51"/>
    </row>
    <row r="12314" spans="9:19" x14ac:dyDescent="0.25">
      <c r="I12314" s="1"/>
      <c r="J12314" s="71"/>
      <c r="M12314" s="46"/>
      <c r="R12314" s="51"/>
      <c r="S12314" s="51"/>
    </row>
    <row r="12315" spans="9:19" x14ac:dyDescent="0.25">
      <c r="I12315" s="1"/>
      <c r="J12315" s="71"/>
      <c r="M12315" s="46"/>
      <c r="R12315" s="51"/>
      <c r="S12315" s="51"/>
    </row>
    <row r="12316" spans="9:19" x14ac:dyDescent="0.25">
      <c r="I12316" s="1"/>
      <c r="J12316" s="71"/>
      <c r="M12316" s="46"/>
      <c r="R12316" s="51"/>
      <c r="S12316" s="51"/>
    </row>
    <row r="12317" spans="9:19" x14ac:dyDescent="0.25">
      <c r="I12317" s="1"/>
      <c r="J12317" s="71"/>
      <c r="M12317" s="46"/>
      <c r="R12317" s="51"/>
      <c r="S12317" s="51"/>
    </row>
    <row r="12318" spans="9:19" x14ac:dyDescent="0.25">
      <c r="I12318" s="1"/>
      <c r="J12318" s="71"/>
      <c r="M12318" s="46"/>
      <c r="R12318" s="51"/>
      <c r="S12318" s="51"/>
    </row>
    <row r="12319" spans="9:19" x14ac:dyDescent="0.25">
      <c r="I12319" s="1"/>
      <c r="J12319" s="71"/>
      <c r="M12319" s="46"/>
      <c r="R12319" s="51"/>
      <c r="S12319" s="51"/>
    </row>
    <row r="12320" spans="9:19" x14ac:dyDescent="0.25">
      <c r="I12320" s="1"/>
      <c r="J12320" s="71"/>
      <c r="M12320" s="46"/>
      <c r="R12320" s="51"/>
      <c r="S12320" s="51"/>
    </row>
    <row r="12321" spans="9:19" x14ac:dyDescent="0.25">
      <c r="I12321" s="1"/>
      <c r="J12321" s="71"/>
      <c r="M12321" s="46"/>
      <c r="R12321" s="51"/>
      <c r="S12321" s="51"/>
    </row>
    <row r="12322" spans="9:19" x14ac:dyDescent="0.25">
      <c r="I12322" s="1"/>
      <c r="J12322" s="71"/>
      <c r="M12322" s="46"/>
      <c r="R12322" s="51"/>
      <c r="S12322" s="51"/>
    </row>
    <row r="12323" spans="9:19" x14ac:dyDescent="0.25">
      <c r="I12323" s="1"/>
      <c r="J12323" s="71"/>
      <c r="M12323" s="46"/>
      <c r="R12323" s="51"/>
      <c r="S12323" s="51"/>
    </row>
    <row r="12324" spans="9:19" x14ac:dyDescent="0.25">
      <c r="I12324" s="1"/>
      <c r="J12324" s="71"/>
      <c r="M12324" s="46"/>
      <c r="R12324" s="51"/>
      <c r="S12324" s="51"/>
    </row>
    <row r="12325" spans="9:19" x14ac:dyDescent="0.25">
      <c r="I12325" s="1"/>
      <c r="J12325" s="71"/>
      <c r="M12325" s="46"/>
      <c r="R12325" s="51"/>
      <c r="S12325" s="51"/>
    </row>
    <row r="12326" spans="9:19" x14ac:dyDescent="0.25">
      <c r="I12326" s="1"/>
      <c r="J12326" s="71"/>
      <c r="M12326" s="46"/>
      <c r="R12326" s="51"/>
      <c r="S12326" s="51"/>
    </row>
    <row r="12327" spans="9:19" x14ac:dyDescent="0.25">
      <c r="I12327" s="1"/>
      <c r="J12327" s="71"/>
      <c r="M12327" s="46"/>
      <c r="R12327" s="51"/>
      <c r="S12327" s="51"/>
    </row>
    <row r="12328" spans="9:19" x14ac:dyDescent="0.25">
      <c r="I12328" s="1"/>
      <c r="J12328" s="71"/>
      <c r="M12328" s="46"/>
      <c r="R12328" s="51"/>
      <c r="S12328" s="51"/>
    </row>
    <row r="12329" spans="9:19" x14ac:dyDescent="0.25">
      <c r="I12329" s="1"/>
      <c r="J12329" s="71"/>
      <c r="M12329" s="46"/>
      <c r="R12329" s="51"/>
      <c r="S12329" s="51"/>
    </row>
    <row r="12330" spans="9:19" x14ac:dyDescent="0.25">
      <c r="I12330" s="1"/>
      <c r="J12330" s="71"/>
      <c r="M12330" s="46"/>
      <c r="R12330" s="51"/>
      <c r="S12330" s="51"/>
    </row>
    <row r="12331" spans="9:19" x14ac:dyDescent="0.25">
      <c r="I12331" s="1"/>
      <c r="J12331" s="71"/>
      <c r="M12331" s="46"/>
      <c r="R12331" s="51"/>
      <c r="S12331" s="51"/>
    </row>
    <row r="12332" spans="9:19" x14ac:dyDescent="0.25">
      <c r="I12332" s="1"/>
      <c r="J12332" s="71"/>
      <c r="M12332" s="46"/>
      <c r="R12332" s="51"/>
      <c r="S12332" s="51"/>
    </row>
    <row r="12333" spans="9:19" x14ac:dyDescent="0.25">
      <c r="I12333" s="1"/>
      <c r="J12333" s="71"/>
      <c r="M12333" s="46"/>
      <c r="R12333" s="51"/>
      <c r="S12333" s="51"/>
    </row>
    <row r="12334" spans="9:19" x14ac:dyDescent="0.25">
      <c r="I12334" s="1"/>
      <c r="J12334" s="71"/>
      <c r="M12334" s="46"/>
      <c r="R12334" s="51"/>
      <c r="S12334" s="51"/>
    </row>
    <row r="12335" spans="9:19" x14ac:dyDescent="0.25">
      <c r="I12335" s="1"/>
      <c r="J12335" s="71"/>
      <c r="M12335" s="46"/>
      <c r="R12335" s="51"/>
      <c r="S12335" s="51"/>
    </row>
    <row r="12336" spans="9:19" x14ac:dyDescent="0.25">
      <c r="I12336" s="1"/>
      <c r="J12336" s="71"/>
      <c r="M12336" s="46"/>
      <c r="R12336" s="51"/>
      <c r="S12336" s="51"/>
    </row>
    <row r="12337" spans="9:19" x14ac:dyDescent="0.25">
      <c r="I12337" s="1"/>
      <c r="J12337" s="71"/>
      <c r="M12337" s="46"/>
      <c r="R12337" s="51"/>
      <c r="S12337" s="51"/>
    </row>
    <row r="12338" spans="9:19" x14ac:dyDescent="0.25">
      <c r="I12338" s="1"/>
      <c r="J12338" s="71"/>
      <c r="M12338" s="46"/>
      <c r="R12338" s="51"/>
      <c r="S12338" s="51"/>
    </row>
    <row r="12339" spans="9:19" x14ac:dyDescent="0.25">
      <c r="I12339" s="1"/>
      <c r="J12339" s="71"/>
      <c r="M12339" s="46"/>
      <c r="R12339" s="51"/>
      <c r="S12339" s="51"/>
    </row>
    <row r="12340" spans="9:19" x14ac:dyDescent="0.25">
      <c r="I12340" s="1"/>
      <c r="J12340" s="71"/>
      <c r="M12340" s="46"/>
      <c r="R12340" s="51"/>
      <c r="S12340" s="51"/>
    </row>
    <row r="12341" spans="9:19" x14ac:dyDescent="0.25">
      <c r="I12341" s="1"/>
      <c r="J12341" s="71"/>
      <c r="M12341" s="46"/>
      <c r="R12341" s="51"/>
      <c r="S12341" s="51"/>
    </row>
    <row r="12342" spans="9:19" x14ac:dyDescent="0.25">
      <c r="I12342" s="1"/>
      <c r="J12342" s="71"/>
      <c r="M12342" s="46"/>
      <c r="R12342" s="51"/>
      <c r="S12342" s="51"/>
    </row>
    <row r="12343" spans="9:19" x14ac:dyDescent="0.25">
      <c r="I12343" s="1"/>
      <c r="J12343" s="71"/>
      <c r="M12343" s="46"/>
      <c r="R12343" s="51"/>
      <c r="S12343" s="51"/>
    </row>
    <row r="12344" spans="9:19" x14ac:dyDescent="0.25">
      <c r="I12344" s="1"/>
      <c r="J12344" s="71"/>
      <c r="M12344" s="46"/>
      <c r="R12344" s="51"/>
      <c r="S12344" s="51"/>
    </row>
    <row r="12345" spans="9:19" x14ac:dyDescent="0.25">
      <c r="I12345" s="1"/>
      <c r="J12345" s="71"/>
      <c r="M12345" s="46"/>
      <c r="R12345" s="51"/>
      <c r="S12345" s="51"/>
    </row>
    <row r="12346" spans="9:19" x14ac:dyDescent="0.25">
      <c r="I12346" s="1"/>
      <c r="J12346" s="71"/>
      <c r="M12346" s="46"/>
      <c r="R12346" s="51"/>
      <c r="S12346" s="51"/>
    </row>
    <row r="12347" spans="9:19" x14ac:dyDescent="0.25">
      <c r="I12347" s="1"/>
      <c r="J12347" s="71"/>
      <c r="M12347" s="46"/>
      <c r="R12347" s="51"/>
      <c r="S12347" s="51"/>
    </row>
    <row r="12348" spans="9:19" x14ac:dyDescent="0.25">
      <c r="I12348" s="1"/>
      <c r="J12348" s="71"/>
      <c r="M12348" s="46"/>
      <c r="R12348" s="51"/>
      <c r="S12348" s="51"/>
    </row>
    <row r="12349" spans="9:19" x14ac:dyDescent="0.25">
      <c r="I12349" s="1"/>
      <c r="J12349" s="71"/>
      <c r="M12349" s="46"/>
      <c r="R12349" s="51"/>
      <c r="S12349" s="51"/>
    </row>
    <row r="12350" spans="9:19" x14ac:dyDescent="0.25">
      <c r="I12350" s="1"/>
      <c r="J12350" s="71"/>
      <c r="M12350" s="46"/>
      <c r="R12350" s="51"/>
      <c r="S12350" s="51"/>
    </row>
    <row r="12351" spans="9:19" x14ac:dyDescent="0.25">
      <c r="I12351" s="1"/>
      <c r="J12351" s="71"/>
      <c r="M12351" s="46"/>
      <c r="R12351" s="51"/>
      <c r="S12351" s="51"/>
    </row>
    <row r="12352" spans="9:19" x14ac:dyDescent="0.25">
      <c r="I12352" s="1"/>
      <c r="J12352" s="71"/>
      <c r="M12352" s="46"/>
      <c r="R12352" s="51"/>
      <c r="S12352" s="51"/>
    </row>
    <row r="12353" spans="9:19" x14ac:dyDescent="0.25">
      <c r="I12353" s="1"/>
      <c r="J12353" s="71"/>
      <c r="M12353" s="46"/>
      <c r="R12353" s="51"/>
      <c r="S12353" s="51"/>
    </row>
    <row r="12354" spans="9:19" x14ac:dyDescent="0.25">
      <c r="I12354" s="1"/>
      <c r="J12354" s="71"/>
      <c r="M12354" s="46"/>
      <c r="R12354" s="51"/>
      <c r="S12354" s="51"/>
    </row>
    <row r="12355" spans="9:19" x14ac:dyDescent="0.25">
      <c r="I12355" s="1"/>
      <c r="J12355" s="71"/>
      <c r="M12355" s="46"/>
      <c r="R12355" s="51"/>
      <c r="S12355" s="51"/>
    </row>
    <row r="12356" spans="9:19" x14ac:dyDescent="0.25">
      <c r="I12356" s="1"/>
      <c r="J12356" s="71"/>
      <c r="M12356" s="46"/>
      <c r="R12356" s="51"/>
      <c r="S12356" s="51"/>
    </row>
    <row r="12357" spans="9:19" x14ac:dyDescent="0.25">
      <c r="I12357" s="1"/>
      <c r="J12357" s="71"/>
      <c r="M12357" s="46"/>
      <c r="R12357" s="51"/>
      <c r="S12357" s="51"/>
    </row>
    <row r="12358" spans="9:19" x14ac:dyDescent="0.25">
      <c r="I12358" s="1"/>
      <c r="J12358" s="71"/>
      <c r="M12358" s="46"/>
      <c r="R12358" s="51"/>
      <c r="S12358" s="51"/>
    </row>
    <row r="12359" spans="9:19" x14ac:dyDescent="0.25">
      <c r="I12359" s="1"/>
      <c r="J12359" s="71"/>
      <c r="M12359" s="46"/>
      <c r="R12359" s="51"/>
      <c r="S12359" s="51"/>
    </row>
    <row r="12360" spans="9:19" x14ac:dyDescent="0.25">
      <c r="I12360" s="1"/>
      <c r="J12360" s="71"/>
      <c r="M12360" s="46"/>
      <c r="R12360" s="51"/>
      <c r="S12360" s="51"/>
    </row>
    <row r="12361" spans="9:19" x14ac:dyDescent="0.25">
      <c r="I12361" s="1"/>
      <c r="J12361" s="71"/>
      <c r="M12361" s="46"/>
      <c r="R12361" s="51"/>
      <c r="S12361" s="51"/>
    </row>
    <row r="12362" spans="9:19" x14ac:dyDescent="0.25">
      <c r="I12362" s="1"/>
      <c r="J12362" s="71"/>
      <c r="M12362" s="46"/>
      <c r="R12362" s="51"/>
      <c r="S12362" s="51"/>
    </row>
    <row r="12363" spans="9:19" x14ac:dyDescent="0.25">
      <c r="I12363" s="1"/>
      <c r="J12363" s="71"/>
      <c r="M12363" s="46"/>
      <c r="R12363" s="51"/>
      <c r="S12363" s="51"/>
    </row>
    <row r="12364" spans="9:19" x14ac:dyDescent="0.25">
      <c r="I12364" s="1"/>
      <c r="J12364" s="71"/>
      <c r="M12364" s="46"/>
      <c r="R12364" s="51"/>
      <c r="S12364" s="51"/>
    </row>
    <row r="12365" spans="9:19" x14ac:dyDescent="0.25">
      <c r="I12365" s="1"/>
      <c r="J12365" s="71"/>
      <c r="M12365" s="46"/>
      <c r="R12365" s="51"/>
      <c r="S12365" s="51"/>
    </row>
    <row r="12366" spans="9:19" x14ac:dyDescent="0.25">
      <c r="I12366" s="1"/>
      <c r="J12366" s="71"/>
      <c r="M12366" s="46"/>
      <c r="R12366" s="51"/>
      <c r="S12366" s="51"/>
    </row>
    <row r="12367" spans="9:19" x14ac:dyDescent="0.25">
      <c r="I12367" s="1"/>
      <c r="J12367" s="71"/>
      <c r="M12367" s="46"/>
      <c r="R12367" s="51"/>
      <c r="S12367" s="51"/>
    </row>
    <row r="12368" spans="9:19" x14ac:dyDescent="0.25">
      <c r="I12368" s="1"/>
      <c r="J12368" s="71"/>
      <c r="M12368" s="46"/>
      <c r="R12368" s="51"/>
      <c r="S12368" s="51"/>
    </row>
    <row r="12369" spans="9:19" x14ac:dyDescent="0.25">
      <c r="I12369" s="1"/>
      <c r="J12369" s="71"/>
      <c r="M12369" s="46"/>
      <c r="R12369" s="51"/>
      <c r="S12369" s="51"/>
    </row>
    <row r="12370" spans="9:19" x14ac:dyDescent="0.25">
      <c r="I12370" s="1"/>
      <c r="J12370" s="71"/>
      <c r="M12370" s="46"/>
      <c r="R12370" s="51"/>
      <c r="S12370" s="51"/>
    </row>
    <row r="12371" spans="9:19" x14ac:dyDescent="0.25">
      <c r="I12371" s="1"/>
      <c r="J12371" s="71"/>
      <c r="M12371" s="46"/>
      <c r="R12371" s="51"/>
      <c r="S12371" s="51"/>
    </row>
    <row r="12372" spans="9:19" x14ac:dyDescent="0.25">
      <c r="I12372" s="1"/>
      <c r="J12372" s="71"/>
      <c r="M12372" s="46"/>
      <c r="R12372" s="51"/>
      <c r="S12372" s="51"/>
    </row>
    <row r="12373" spans="9:19" x14ac:dyDescent="0.25">
      <c r="I12373" s="1"/>
      <c r="J12373" s="71"/>
      <c r="M12373" s="46"/>
      <c r="R12373" s="51"/>
      <c r="S12373" s="51"/>
    </row>
    <row r="12374" spans="9:19" x14ac:dyDescent="0.25">
      <c r="I12374" s="1"/>
      <c r="J12374" s="71"/>
      <c r="M12374" s="46"/>
      <c r="R12374" s="51"/>
      <c r="S12374" s="51"/>
    </row>
    <row r="12375" spans="9:19" x14ac:dyDescent="0.25">
      <c r="I12375" s="1"/>
      <c r="J12375" s="71"/>
      <c r="M12375" s="46"/>
      <c r="R12375" s="51"/>
      <c r="S12375" s="51"/>
    </row>
    <row r="12376" spans="9:19" x14ac:dyDescent="0.25">
      <c r="I12376" s="1"/>
      <c r="J12376" s="71"/>
      <c r="M12376" s="46"/>
      <c r="R12376" s="51"/>
      <c r="S12376" s="51"/>
    </row>
    <row r="12377" spans="9:19" x14ac:dyDescent="0.25">
      <c r="I12377" s="1"/>
      <c r="J12377" s="71"/>
      <c r="M12377" s="46"/>
      <c r="R12377" s="51"/>
      <c r="S12377" s="51"/>
    </row>
    <row r="12378" spans="9:19" x14ac:dyDescent="0.25">
      <c r="I12378" s="1"/>
      <c r="J12378" s="71"/>
      <c r="M12378" s="46"/>
      <c r="R12378" s="51"/>
      <c r="S12378" s="51"/>
    </row>
    <row r="12379" spans="9:19" x14ac:dyDescent="0.25">
      <c r="I12379" s="1"/>
      <c r="J12379" s="71"/>
      <c r="M12379" s="46"/>
      <c r="R12379" s="51"/>
      <c r="S12379" s="51"/>
    </row>
    <row r="12380" spans="9:19" x14ac:dyDescent="0.25">
      <c r="I12380" s="1"/>
      <c r="J12380" s="71"/>
      <c r="M12380" s="46"/>
      <c r="R12380" s="51"/>
      <c r="S12380" s="51"/>
    </row>
    <row r="12381" spans="9:19" x14ac:dyDescent="0.25">
      <c r="I12381" s="1"/>
      <c r="J12381" s="71"/>
      <c r="M12381" s="46"/>
      <c r="R12381" s="51"/>
      <c r="S12381" s="51"/>
    </row>
    <row r="12382" spans="9:19" x14ac:dyDescent="0.25">
      <c r="I12382" s="1"/>
      <c r="J12382" s="71"/>
      <c r="M12382" s="46"/>
      <c r="R12382" s="51"/>
      <c r="S12382" s="51"/>
    </row>
    <row r="12383" spans="9:19" x14ac:dyDescent="0.25">
      <c r="I12383" s="1"/>
      <c r="J12383" s="71"/>
      <c r="M12383" s="46"/>
      <c r="R12383" s="51"/>
      <c r="S12383" s="51"/>
    </row>
    <row r="12384" spans="9:19" x14ac:dyDescent="0.25">
      <c r="I12384" s="1"/>
      <c r="J12384" s="71"/>
      <c r="M12384" s="46"/>
      <c r="R12384" s="51"/>
      <c r="S12384" s="51"/>
    </row>
    <row r="12385" spans="9:19" x14ac:dyDescent="0.25">
      <c r="I12385" s="1"/>
      <c r="J12385" s="71"/>
      <c r="M12385" s="46"/>
      <c r="R12385" s="51"/>
      <c r="S12385" s="51"/>
    </row>
    <row r="12386" spans="9:19" x14ac:dyDescent="0.25">
      <c r="I12386" s="1"/>
      <c r="J12386" s="71"/>
      <c r="M12386" s="46"/>
      <c r="R12386" s="51"/>
      <c r="S12386" s="51"/>
    </row>
    <row r="12387" spans="9:19" x14ac:dyDescent="0.25">
      <c r="I12387" s="1"/>
      <c r="J12387" s="71"/>
      <c r="M12387" s="46"/>
      <c r="R12387" s="51"/>
      <c r="S12387" s="51"/>
    </row>
    <row r="12388" spans="9:19" x14ac:dyDescent="0.25">
      <c r="I12388" s="1"/>
      <c r="J12388" s="71"/>
      <c r="M12388" s="46"/>
      <c r="R12388" s="51"/>
      <c r="S12388" s="51"/>
    </row>
    <row r="12389" spans="9:19" x14ac:dyDescent="0.25">
      <c r="I12389" s="1"/>
      <c r="J12389" s="71"/>
      <c r="M12389" s="46"/>
      <c r="R12389" s="51"/>
      <c r="S12389" s="51"/>
    </row>
    <row r="12390" spans="9:19" x14ac:dyDescent="0.25">
      <c r="I12390" s="1"/>
      <c r="J12390" s="71"/>
      <c r="M12390" s="46"/>
      <c r="R12390" s="51"/>
      <c r="S12390" s="51"/>
    </row>
    <row r="12391" spans="9:19" x14ac:dyDescent="0.25">
      <c r="I12391" s="1"/>
      <c r="J12391" s="71"/>
      <c r="M12391" s="46"/>
      <c r="R12391" s="51"/>
      <c r="S12391" s="51"/>
    </row>
    <row r="12392" spans="9:19" x14ac:dyDescent="0.25">
      <c r="I12392" s="1"/>
      <c r="J12392" s="71"/>
      <c r="M12392" s="46"/>
      <c r="R12392" s="51"/>
      <c r="S12392" s="51"/>
    </row>
    <row r="12393" spans="9:19" x14ac:dyDescent="0.25">
      <c r="I12393" s="1"/>
      <c r="J12393" s="71"/>
      <c r="M12393" s="46"/>
      <c r="R12393" s="51"/>
      <c r="S12393" s="51"/>
    </row>
    <row r="12394" spans="9:19" x14ac:dyDescent="0.25">
      <c r="I12394" s="1"/>
      <c r="J12394" s="71"/>
      <c r="M12394" s="46"/>
      <c r="R12394" s="51"/>
      <c r="S12394" s="51"/>
    </row>
    <row r="12395" spans="9:19" x14ac:dyDescent="0.25">
      <c r="I12395" s="1"/>
      <c r="J12395" s="71"/>
      <c r="M12395" s="46"/>
      <c r="R12395" s="51"/>
      <c r="S12395" s="51"/>
    </row>
    <row r="12396" spans="9:19" x14ac:dyDescent="0.25">
      <c r="I12396" s="1"/>
      <c r="J12396" s="71"/>
      <c r="M12396" s="46"/>
      <c r="R12396" s="51"/>
      <c r="S12396" s="51"/>
    </row>
    <row r="12397" spans="9:19" x14ac:dyDescent="0.25">
      <c r="I12397" s="1"/>
      <c r="J12397" s="71"/>
      <c r="M12397" s="46"/>
      <c r="R12397" s="51"/>
      <c r="S12397" s="51"/>
    </row>
    <row r="12398" spans="9:19" x14ac:dyDescent="0.25">
      <c r="I12398" s="1"/>
      <c r="J12398" s="71"/>
      <c r="M12398" s="46"/>
      <c r="R12398" s="51"/>
      <c r="S12398" s="51"/>
    </row>
    <row r="12399" spans="9:19" x14ac:dyDescent="0.25">
      <c r="I12399" s="1"/>
      <c r="J12399" s="71"/>
      <c r="M12399" s="46"/>
      <c r="R12399" s="51"/>
      <c r="S12399" s="51"/>
    </row>
    <row r="12400" spans="9:19" x14ac:dyDescent="0.25">
      <c r="I12400" s="1"/>
      <c r="J12400" s="71"/>
      <c r="M12400" s="46"/>
      <c r="R12400" s="51"/>
      <c r="S12400" s="51"/>
    </row>
    <row r="12401" spans="9:19" x14ac:dyDescent="0.25">
      <c r="I12401" s="1"/>
      <c r="J12401" s="71"/>
      <c r="M12401" s="46"/>
      <c r="R12401" s="51"/>
      <c r="S12401" s="51"/>
    </row>
    <row r="12402" spans="9:19" x14ac:dyDescent="0.25">
      <c r="I12402" s="1"/>
      <c r="J12402" s="71"/>
      <c r="M12402" s="46"/>
      <c r="R12402" s="51"/>
      <c r="S12402" s="51"/>
    </row>
    <row r="12403" spans="9:19" x14ac:dyDescent="0.25">
      <c r="I12403" s="1"/>
      <c r="J12403" s="71"/>
      <c r="M12403" s="46"/>
      <c r="R12403" s="51"/>
      <c r="S12403" s="51"/>
    </row>
    <row r="12404" spans="9:19" x14ac:dyDescent="0.25">
      <c r="I12404" s="1"/>
      <c r="J12404" s="71"/>
      <c r="M12404" s="46"/>
      <c r="R12404" s="51"/>
      <c r="S12404" s="51"/>
    </row>
    <row r="12405" spans="9:19" x14ac:dyDescent="0.25">
      <c r="I12405" s="1"/>
      <c r="J12405" s="71"/>
      <c r="M12405" s="46"/>
      <c r="R12405" s="51"/>
      <c r="S12405" s="51"/>
    </row>
    <row r="12406" spans="9:19" x14ac:dyDescent="0.25">
      <c r="I12406" s="1"/>
      <c r="J12406" s="71"/>
      <c r="M12406" s="46"/>
      <c r="R12406" s="51"/>
      <c r="S12406" s="51"/>
    </row>
    <row r="12407" spans="9:19" x14ac:dyDescent="0.25">
      <c r="I12407" s="1"/>
      <c r="J12407" s="71"/>
      <c r="M12407" s="46"/>
      <c r="R12407" s="51"/>
      <c r="S12407" s="51"/>
    </row>
    <row r="12408" spans="9:19" x14ac:dyDescent="0.25">
      <c r="I12408" s="1"/>
      <c r="J12408" s="71"/>
      <c r="M12408" s="46"/>
      <c r="R12408" s="51"/>
      <c r="S12408" s="51"/>
    </row>
    <row r="12409" spans="9:19" x14ac:dyDescent="0.25">
      <c r="I12409" s="1"/>
      <c r="J12409" s="71"/>
      <c r="M12409" s="46"/>
      <c r="R12409" s="51"/>
      <c r="S12409" s="51"/>
    </row>
    <row r="12410" spans="9:19" x14ac:dyDescent="0.25">
      <c r="I12410" s="1"/>
      <c r="J12410" s="71"/>
      <c r="M12410" s="46"/>
      <c r="R12410" s="51"/>
      <c r="S12410" s="51"/>
    </row>
    <row r="12411" spans="9:19" x14ac:dyDescent="0.25">
      <c r="I12411" s="1"/>
      <c r="J12411" s="71"/>
      <c r="M12411" s="46"/>
      <c r="R12411" s="51"/>
      <c r="S12411" s="51"/>
    </row>
    <row r="12412" spans="9:19" x14ac:dyDescent="0.25">
      <c r="I12412" s="1"/>
      <c r="J12412" s="71"/>
      <c r="M12412" s="46"/>
      <c r="R12412" s="51"/>
      <c r="S12412" s="51"/>
    </row>
    <row r="12413" spans="9:19" x14ac:dyDescent="0.25">
      <c r="I12413" s="1"/>
      <c r="J12413" s="71"/>
      <c r="M12413" s="46"/>
      <c r="R12413" s="51"/>
      <c r="S12413" s="51"/>
    </row>
    <row r="12414" spans="9:19" x14ac:dyDescent="0.25">
      <c r="I12414" s="1"/>
      <c r="J12414" s="71"/>
      <c r="M12414" s="46"/>
      <c r="R12414" s="51"/>
      <c r="S12414" s="51"/>
    </row>
    <row r="12415" spans="9:19" x14ac:dyDescent="0.25">
      <c r="I12415" s="1"/>
      <c r="J12415" s="71"/>
      <c r="M12415" s="46"/>
      <c r="R12415" s="51"/>
      <c r="S12415" s="51"/>
    </row>
    <row r="12416" spans="9:19" x14ac:dyDescent="0.25">
      <c r="I12416" s="1"/>
      <c r="J12416" s="71"/>
      <c r="M12416" s="46"/>
      <c r="R12416" s="51"/>
      <c r="S12416" s="51"/>
    </row>
    <row r="12417" spans="9:19" x14ac:dyDescent="0.25">
      <c r="I12417" s="1"/>
      <c r="J12417" s="71"/>
      <c r="M12417" s="46"/>
      <c r="R12417" s="51"/>
      <c r="S12417" s="51"/>
    </row>
    <row r="12418" spans="9:19" x14ac:dyDescent="0.25">
      <c r="I12418" s="1"/>
      <c r="J12418" s="71"/>
      <c r="M12418" s="46"/>
      <c r="R12418" s="51"/>
      <c r="S12418" s="51"/>
    </row>
    <row r="12419" spans="9:19" x14ac:dyDescent="0.25">
      <c r="I12419" s="1"/>
      <c r="J12419" s="71"/>
      <c r="M12419" s="46"/>
      <c r="R12419" s="51"/>
      <c r="S12419" s="51"/>
    </row>
    <row r="12420" spans="9:19" x14ac:dyDescent="0.25">
      <c r="I12420" s="1"/>
      <c r="J12420" s="71"/>
      <c r="M12420" s="46"/>
      <c r="R12420" s="51"/>
      <c r="S12420" s="51"/>
    </row>
    <row r="12421" spans="9:19" x14ac:dyDescent="0.25">
      <c r="I12421" s="1"/>
      <c r="J12421" s="71"/>
      <c r="M12421" s="46"/>
      <c r="R12421" s="51"/>
      <c r="S12421" s="51"/>
    </row>
    <row r="12422" spans="9:19" x14ac:dyDescent="0.25">
      <c r="I12422" s="1"/>
      <c r="J12422" s="71"/>
      <c r="M12422" s="46"/>
      <c r="R12422" s="51"/>
      <c r="S12422" s="51"/>
    </row>
    <row r="12423" spans="9:19" x14ac:dyDescent="0.25">
      <c r="I12423" s="1"/>
      <c r="J12423" s="71"/>
      <c r="M12423" s="46"/>
      <c r="R12423" s="51"/>
      <c r="S12423" s="51"/>
    </row>
    <row r="12424" spans="9:19" x14ac:dyDescent="0.25">
      <c r="I12424" s="1"/>
      <c r="J12424" s="71"/>
      <c r="M12424" s="46"/>
      <c r="R12424" s="51"/>
      <c r="S12424" s="51"/>
    </row>
    <row r="12425" spans="9:19" x14ac:dyDescent="0.25">
      <c r="I12425" s="1"/>
      <c r="J12425" s="71"/>
      <c r="M12425" s="46"/>
      <c r="R12425" s="51"/>
      <c r="S12425" s="51"/>
    </row>
    <row r="12426" spans="9:19" x14ac:dyDescent="0.25">
      <c r="I12426" s="1"/>
      <c r="J12426" s="71"/>
      <c r="M12426" s="46"/>
      <c r="R12426" s="51"/>
      <c r="S12426" s="51"/>
    </row>
    <row r="12427" spans="9:19" x14ac:dyDescent="0.25">
      <c r="I12427" s="1"/>
      <c r="J12427" s="71"/>
      <c r="M12427" s="46"/>
      <c r="R12427" s="51"/>
      <c r="S12427" s="51"/>
    </row>
    <row r="12428" spans="9:19" x14ac:dyDescent="0.25">
      <c r="I12428" s="1"/>
      <c r="J12428" s="71"/>
      <c r="M12428" s="46"/>
      <c r="R12428" s="51"/>
      <c r="S12428" s="51"/>
    </row>
    <row r="12429" spans="9:19" x14ac:dyDescent="0.25">
      <c r="I12429" s="1"/>
      <c r="J12429" s="71"/>
      <c r="M12429" s="46"/>
      <c r="R12429" s="51"/>
      <c r="S12429" s="51"/>
    </row>
    <row r="12430" spans="9:19" x14ac:dyDescent="0.25">
      <c r="I12430" s="1"/>
      <c r="J12430" s="71"/>
      <c r="M12430" s="46"/>
      <c r="R12430" s="51"/>
      <c r="S12430" s="51"/>
    </row>
    <row r="12431" spans="9:19" x14ac:dyDescent="0.25">
      <c r="I12431" s="1"/>
      <c r="J12431" s="71"/>
      <c r="M12431" s="46"/>
      <c r="R12431" s="51"/>
      <c r="S12431" s="51"/>
    </row>
    <row r="12432" spans="9:19" x14ac:dyDescent="0.25">
      <c r="I12432" s="1"/>
      <c r="J12432" s="71"/>
      <c r="M12432" s="46"/>
      <c r="R12432" s="51"/>
      <c r="S12432" s="51"/>
    </row>
    <row r="12433" spans="9:19" x14ac:dyDescent="0.25">
      <c r="I12433" s="1"/>
      <c r="J12433" s="71"/>
      <c r="M12433" s="46"/>
      <c r="R12433" s="51"/>
      <c r="S12433" s="51"/>
    </row>
    <row r="12434" spans="9:19" x14ac:dyDescent="0.25">
      <c r="I12434" s="1"/>
      <c r="J12434" s="71"/>
      <c r="M12434" s="46"/>
      <c r="R12434" s="51"/>
      <c r="S12434" s="51"/>
    </row>
    <row r="12435" spans="9:19" x14ac:dyDescent="0.25">
      <c r="I12435" s="1"/>
      <c r="J12435" s="71"/>
      <c r="M12435" s="46"/>
      <c r="R12435" s="51"/>
      <c r="S12435" s="51"/>
    </row>
    <row r="12436" spans="9:19" x14ac:dyDescent="0.25">
      <c r="I12436" s="1"/>
      <c r="J12436" s="71"/>
      <c r="M12436" s="46"/>
      <c r="R12436" s="51"/>
      <c r="S12436" s="51"/>
    </row>
    <row r="12437" spans="9:19" x14ac:dyDescent="0.25">
      <c r="I12437" s="1"/>
      <c r="J12437" s="71"/>
      <c r="M12437" s="46"/>
      <c r="R12437" s="51"/>
      <c r="S12437" s="51"/>
    </row>
    <row r="12438" spans="9:19" x14ac:dyDescent="0.25">
      <c r="I12438" s="1"/>
      <c r="J12438" s="71"/>
      <c r="M12438" s="46"/>
      <c r="R12438" s="51"/>
      <c r="S12438" s="51"/>
    </row>
    <row r="12439" spans="9:19" x14ac:dyDescent="0.25">
      <c r="I12439" s="1"/>
      <c r="J12439" s="71"/>
      <c r="M12439" s="46"/>
      <c r="R12439" s="51"/>
      <c r="S12439" s="51"/>
    </row>
    <row r="12440" spans="9:19" x14ac:dyDescent="0.25">
      <c r="I12440" s="1"/>
      <c r="J12440" s="71"/>
      <c r="M12440" s="46"/>
      <c r="R12440" s="51"/>
      <c r="S12440" s="51"/>
    </row>
    <row r="12441" spans="9:19" x14ac:dyDescent="0.25">
      <c r="I12441" s="1"/>
      <c r="J12441" s="71"/>
      <c r="M12441" s="46"/>
      <c r="R12441" s="51"/>
      <c r="S12441" s="51"/>
    </row>
    <row r="12442" spans="9:19" x14ac:dyDescent="0.25">
      <c r="I12442" s="1"/>
      <c r="J12442" s="71"/>
      <c r="M12442" s="46"/>
      <c r="R12442" s="51"/>
      <c r="S12442" s="51"/>
    </row>
    <row r="12443" spans="9:19" x14ac:dyDescent="0.25">
      <c r="I12443" s="1"/>
      <c r="J12443" s="71"/>
      <c r="M12443" s="46"/>
      <c r="R12443" s="51"/>
      <c r="S12443" s="51"/>
    </row>
    <row r="12444" spans="9:19" x14ac:dyDescent="0.25">
      <c r="I12444" s="1"/>
      <c r="J12444" s="71"/>
      <c r="M12444" s="46"/>
      <c r="R12444" s="51"/>
      <c r="S12444" s="51"/>
    </row>
    <row r="12445" spans="9:19" x14ac:dyDescent="0.25">
      <c r="I12445" s="1"/>
      <c r="J12445" s="71"/>
      <c r="M12445" s="46"/>
      <c r="R12445" s="51"/>
      <c r="S12445" s="51"/>
    </row>
    <row r="12446" spans="9:19" x14ac:dyDescent="0.25">
      <c r="I12446" s="1"/>
      <c r="J12446" s="71"/>
      <c r="M12446" s="46"/>
      <c r="R12446" s="51"/>
      <c r="S12446" s="51"/>
    </row>
    <row r="12447" spans="9:19" x14ac:dyDescent="0.25">
      <c r="I12447" s="1"/>
      <c r="J12447" s="71"/>
      <c r="M12447" s="46"/>
      <c r="R12447" s="51"/>
      <c r="S12447" s="51"/>
    </row>
    <row r="12448" spans="9:19" x14ac:dyDescent="0.25">
      <c r="I12448" s="1"/>
      <c r="J12448" s="71"/>
      <c r="M12448" s="46"/>
      <c r="R12448" s="51"/>
      <c r="S12448" s="51"/>
    </row>
    <row r="12449" spans="9:19" x14ac:dyDescent="0.25">
      <c r="I12449" s="1"/>
      <c r="J12449" s="71"/>
      <c r="M12449" s="46"/>
      <c r="R12449" s="51"/>
      <c r="S12449" s="51"/>
    </row>
    <row r="12450" spans="9:19" x14ac:dyDescent="0.25">
      <c r="I12450" s="1"/>
      <c r="J12450" s="71"/>
      <c r="M12450" s="46"/>
      <c r="R12450" s="51"/>
      <c r="S12450" s="51"/>
    </row>
    <row r="12451" spans="9:19" x14ac:dyDescent="0.25">
      <c r="I12451" s="1"/>
      <c r="J12451" s="71"/>
      <c r="M12451" s="46"/>
      <c r="R12451" s="51"/>
      <c r="S12451" s="51"/>
    </row>
    <row r="12452" spans="9:19" x14ac:dyDescent="0.25">
      <c r="I12452" s="1"/>
      <c r="J12452" s="71"/>
      <c r="M12452" s="46"/>
      <c r="R12452" s="51"/>
      <c r="S12452" s="51"/>
    </row>
    <row r="12453" spans="9:19" x14ac:dyDescent="0.25">
      <c r="I12453" s="1"/>
      <c r="J12453" s="71"/>
      <c r="M12453" s="46"/>
      <c r="R12453" s="51"/>
      <c r="S12453" s="51"/>
    </row>
    <row r="12454" spans="9:19" x14ac:dyDescent="0.25">
      <c r="I12454" s="1"/>
      <c r="J12454" s="71"/>
      <c r="M12454" s="46"/>
      <c r="R12454" s="51"/>
      <c r="S12454" s="51"/>
    </row>
    <row r="12455" spans="9:19" x14ac:dyDescent="0.25">
      <c r="I12455" s="1"/>
      <c r="J12455" s="71"/>
      <c r="M12455" s="46"/>
      <c r="R12455" s="51"/>
      <c r="S12455" s="51"/>
    </row>
    <row r="12456" spans="9:19" x14ac:dyDescent="0.25">
      <c r="I12456" s="1"/>
      <c r="J12456" s="71"/>
      <c r="M12456" s="46"/>
      <c r="R12456" s="51"/>
      <c r="S12456" s="51"/>
    </row>
    <row r="12457" spans="9:19" x14ac:dyDescent="0.25">
      <c r="I12457" s="1"/>
      <c r="J12457" s="71"/>
      <c r="M12457" s="46"/>
      <c r="R12457" s="51"/>
      <c r="S12457" s="51"/>
    </row>
    <row r="12458" spans="9:19" x14ac:dyDescent="0.25">
      <c r="I12458" s="1"/>
      <c r="J12458" s="71"/>
      <c r="M12458" s="46"/>
      <c r="R12458" s="51"/>
      <c r="S12458" s="51"/>
    </row>
    <row r="12459" spans="9:19" x14ac:dyDescent="0.25">
      <c r="I12459" s="1"/>
      <c r="J12459" s="71"/>
      <c r="M12459" s="46"/>
      <c r="R12459" s="51"/>
      <c r="S12459" s="51"/>
    </row>
    <row r="12460" spans="9:19" x14ac:dyDescent="0.25">
      <c r="I12460" s="1"/>
      <c r="J12460" s="71"/>
      <c r="M12460" s="46"/>
      <c r="R12460" s="51"/>
      <c r="S12460" s="51"/>
    </row>
    <row r="12461" spans="9:19" x14ac:dyDescent="0.25">
      <c r="I12461" s="1"/>
      <c r="J12461" s="71"/>
      <c r="M12461" s="46"/>
      <c r="R12461" s="51"/>
      <c r="S12461" s="51"/>
    </row>
    <row r="12462" spans="9:19" x14ac:dyDescent="0.25">
      <c r="I12462" s="1"/>
      <c r="J12462" s="71"/>
      <c r="M12462" s="46"/>
      <c r="R12462" s="51"/>
      <c r="S12462" s="51"/>
    </row>
    <row r="12463" spans="9:19" x14ac:dyDescent="0.25">
      <c r="I12463" s="1"/>
      <c r="J12463" s="71"/>
      <c r="M12463" s="46"/>
      <c r="R12463" s="51"/>
      <c r="S12463" s="51"/>
    </row>
    <row r="12464" spans="9:19" x14ac:dyDescent="0.25">
      <c r="I12464" s="1"/>
      <c r="J12464" s="71"/>
      <c r="M12464" s="46"/>
      <c r="R12464" s="51"/>
      <c r="S12464" s="51"/>
    </row>
    <row r="12465" spans="9:19" x14ac:dyDescent="0.25">
      <c r="I12465" s="1"/>
      <c r="J12465" s="71"/>
      <c r="M12465" s="46"/>
      <c r="R12465" s="51"/>
      <c r="S12465" s="51"/>
    </row>
    <row r="12466" spans="9:19" x14ac:dyDescent="0.25">
      <c r="I12466" s="1"/>
      <c r="J12466" s="71"/>
      <c r="M12466" s="46"/>
      <c r="R12466" s="51"/>
      <c r="S12466" s="51"/>
    </row>
    <row r="12467" spans="9:19" x14ac:dyDescent="0.25">
      <c r="I12467" s="1"/>
      <c r="J12467" s="71"/>
      <c r="M12467" s="46"/>
      <c r="R12467" s="51"/>
      <c r="S12467" s="51"/>
    </row>
    <row r="12468" spans="9:19" x14ac:dyDescent="0.25">
      <c r="I12468" s="1"/>
      <c r="J12468" s="71"/>
      <c r="M12468" s="46"/>
      <c r="R12468" s="51"/>
      <c r="S12468" s="51"/>
    </row>
    <row r="12469" spans="9:19" x14ac:dyDescent="0.25">
      <c r="I12469" s="1"/>
      <c r="J12469" s="71"/>
      <c r="M12469" s="46"/>
      <c r="R12469" s="51"/>
      <c r="S12469" s="51"/>
    </row>
    <row r="12470" spans="9:19" x14ac:dyDescent="0.25">
      <c r="I12470" s="1"/>
      <c r="J12470" s="71"/>
      <c r="M12470" s="46"/>
      <c r="R12470" s="51"/>
      <c r="S12470" s="51"/>
    </row>
    <row r="12471" spans="9:19" x14ac:dyDescent="0.25">
      <c r="I12471" s="1"/>
      <c r="J12471" s="71"/>
      <c r="M12471" s="46"/>
      <c r="R12471" s="51"/>
      <c r="S12471" s="51"/>
    </row>
    <row r="12472" spans="9:19" x14ac:dyDescent="0.25">
      <c r="I12472" s="1"/>
      <c r="J12472" s="71"/>
      <c r="M12472" s="46"/>
      <c r="R12472" s="51"/>
      <c r="S12472" s="51"/>
    </row>
    <row r="12473" spans="9:19" x14ac:dyDescent="0.25">
      <c r="I12473" s="1"/>
      <c r="J12473" s="71"/>
      <c r="M12473" s="46"/>
      <c r="R12473" s="51"/>
      <c r="S12473" s="51"/>
    </row>
    <row r="12474" spans="9:19" x14ac:dyDescent="0.25">
      <c r="I12474" s="1"/>
      <c r="J12474" s="71"/>
      <c r="M12474" s="46"/>
      <c r="R12474" s="51"/>
      <c r="S12474" s="51"/>
    </row>
    <row r="12475" spans="9:19" x14ac:dyDescent="0.25">
      <c r="I12475" s="1"/>
      <c r="J12475" s="71"/>
      <c r="M12475" s="46"/>
      <c r="R12475" s="51"/>
      <c r="S12475" s="51"/>
    </row>
    <row r="12476" spans="9:19" x14ac:dyDescent="0.25">
      <c r="I12476" s="1"/>
      <c r="J12476" s="71"/>
      <c r="M12476" s="46"/>
      <c r="R12476" s="51"/>
      <c r="S12476" s="51"/>
    </row>
    <row r="12477" spans="9:19" x14ac:dyDescent="0.25">
      <c r="I12477" s="1"/>
      <c r="J12477" s="71"/>
      <c r="M12477" s="46"/>
      <c r="R12477" s="51"/>
      <c r="S12477" s="51"/>
    </row>
    <row r="12478" spans="9:19" x14ac:dyDescent="0.25">
      <c r="I12478" s="1"/>
      <c r="J12478" s="71"/>
      <c r="M12478" s="46"/>
      <c r="R12478" s="51"/>
      <c r="S12478" s="51"/>
    </row>
    <row r="12479" spans="9:19" x14ac:dyDescent="0.25">
      <c r="I12479" s="1"/>
      <c r="J12479" s="71"/>
      <c r="M12479" s="46"/>
      <c r="R12479" s="51"/>
      <c r="S12479" s="51"/>
    </row>
    <row r="12480" spans="9:19" x14ac:dyDescent="0.25">
      <c r="I12480" s="1"/>
      <c r="J12480" s="71"/>
      <c r="M12480" s="46"/>
      <c r="R12480" s="51"/>
      <c r="S12480" s="51"/>
    </row>
    <row r="12481" spans="9:19" x14ac:dyDescent="0.25">
      <c r="I12481" s="1"/>
      <c r="J12481" s="71"/>
      <c r="M12481" s="46"/>
      <c r="R12481" s="51"/>
      <c r="S12481" s="51"/>
    </row>
    <row r="12482" spans="9:19" x14ac:dyDescent="0.25">
      <c r="I12482" s="1"/>
      <c r="J12482" s="71"/>
      <c r="M12482" s="46"/>
      <c r="R12482" s="51"/>
      <c r="S12482" s="51"/>
    </row>
    <row r="12483" spans="9:19" x14ac:dyDescent="0.25">
      <c r="I12483" s="1"/>
      <c r="J12483" s="71"/>
      <c r="M12483" s="46"/>
      <c r="R12483" s="51"/>
      <c r="S12483" s="51"/>
    </row>
    <row r="12484" spans="9:19" x14ac:dyDescent="0.25">
      <c r="I12484" s="1"/>
      <c r="J12484" s="71"/>
      <c r="M12484" s="46"/>
      <c r="R12484" s="51"/>
      <c r="S12484" s="51"/>
    </row>
    <row r="12485" spans="9:19" x14ac:dyDescent="0.25">
      <c r="I12485" s="1"/>
      <c r="J12485" s="71"/>
      <c r="M12485" s="46"/>
      <c r="R12485" s="51"/>
      <c r="S12485" s="51"/>
    </row>
    <row r="12486" spans="9:19" x14ac:dyDescent="0.25">
      <c r="I12486" s="1"/>
      <c r="J12486" s="71"/>
      <c r="M12486" s="46"/>
      <c r="R12486" s="51"/>
      <c r="S12486" s="51"/>
    </row>
    <row r="12487" spans="9:19" x14ac:dyDescent="0.25">
      <c r="I12487" s="1"/>
      <c r="J12487" s="71"/>
      <c r="M12487" s="46"/>
      <c r="R12487" s="51"/>
      <c r="S12487" s="51"/>
    </row>
    <row r="12488" spans="9:19" x14ac:dyDescent="0.25">
      <c r="I12488" s="1"/>
      <c r="J12488" s="71"/>
      <c r="M12488" s="46"/>
      <c r="R12488" s="51"/>
      <c r="S12488" s="51"/>
    </row>
    <row r="12489" spans="9:19" x14ac:dyDescent="0.25">
      <c r="I12489" s="1"/>
      <c r="J12489" s="71"/>
      <c r="M12489" s="46"/>
      <c r="R12489" s="51"/>
      <c r="S12489" s="51"/>
    </row>
    <row r="12490" spans="9:19" x14ac:dyDescent="0.25">
      <c r="I12490" s="1"/>
      <c r="J12490" s="71"/>
      <c r="M12490" s="46"/>
      <c r="R12490" s="51"/>
      <c r="S12490" s="51"/>
    </row>
    <row r="12491" spans="9:19" x14ac:dyDescent="0.25">
      <c r="I12491" s="1"/>
      <c r="J12491" s="71"/>
      <c r="M12491" s="46"/>
      <c r="R12491" s="51"/>
      <c r="S12491" s="51"/>
    </row>
    <row r="12492" spans="9:19" x14ac:dyDescent="0.25">
      <c r="I12492" s="1"/>
      <c r="J12492" s="71"/>
      <c r="M12492" s="46"/>
      <c r="R12492" s="51"/>
      <c r="S12492" s="51"/>
    </row>
    <row r="12493" spans="9:19" x14ac:dyDescent="0.25">
      <c r="I12493" s="1"/>
      <c r="J12493" s="71"/>
      <c r="M12493" s="46"/>
      <c r="R12493" s="51"/>
      <c r="S12493" s="51"/>
    </row>
    <row r="12494" spans="9:19" x14ac:dyDescent="0.25">
      <c r="I12494" s="1"/>
      <c r="J12494" s="71"/>
      <c r="M12494" s="46"/>
      <c r="R12494" s="51"/>
      <c r="S12494" s="51"/>
    </row>
    <row r="12495" spans="9:19" x14ac:dyDescent="0.25">
      <c r="I12495" s="1"/>
      <c r="J12495" s="71"/>
      <c r="M12495" s="46"/>
      <c r="R12495" s="51"/>
      <c r="S12495" s="51"/>
    </row>
    <row r="12496" spans="9:19" x14ac:dyDescent="0.25">
      <c r="I12496" s="1"/>
      <c r="J12496" s="71"/>
      <c r="M12496" s="46"/>
      <c r="R12496" s="51"/>
      <c r="S12496" s="51"/>
    </row>
    <row r="12497" spans="9:19" x14ac:dyDescent="0.25">
      <c r="I12497" s="1"/>
      <c r="J12497" s="71"/>
      <c r="M12497" s="46"/>
      <c r="R12497" s="51"/>
      <c r="S12497" s="51"/>
    </row>
    <row r="12498" spans="9:19" x14ac:dyDescent="0.25">
      <c r="I12498" s="1"/>
      <c r="J12498" s="71"/>
      <c r="M12498" s="46"/>
      <c r="R12498" s="51"/>
      <c r="S12498" s="51"/>
    </row>
    <row r="12499" spans="9:19" x14ac:dyDescent="0.25">
      <c r="I12499" s="1"/>
      <c r="J12499" s="71"/>
      <c r="M12499" s="46"/>
      <c r="R12499" s="51"/>
      <c r="S12499" s="51"/>
    </row>
    <row r="12500" spans="9:19" x14ac:dyDescent="0.25">
      <c r="I12500" s="1"/>
      <c r="J12500" s="71"/>
      <c r="M12500" s="46"/>
      <c r="R12500" s="51"/>
      <c r="S12500" s="51"/>
    </row>
    <row r="12501" spans="9:19" x14ac:dyDescent="0.25">
      <c r="I12501" s="1"/>
      <c r="J12501" s="71"/>
      <c r="M12501" s="46"/>
      <c r="R12501" s="51"/>
      <c r="S12501" s="51"/>
    </row>
    <row r="12502" spans="9:19" x14ac:dyDescent="0.25">
      <c r="I12502" s="1"/>
      <c r="J12502" s="71"/>
      <c r="M12502" s="46"/>
      <c r="R12502" s="51"/>
      <c r="S12502" s="51"/>
    </row>
    <row r="12503" spans="9:19" x14ac:dyDescent="0.25">
      <c r="I12503" s="1"/>
      <c r="J12503" s="71"/>
      <c r="M12503" s="46"/>
      <c r="R12503" s="51"/>
      <c r="S12503" s="51"/>
    </row>
    <row r="12504" spans="9:19" x14ac:dyDescent="0.25">
      <c r="I12504" s="1"/>
      <c r="J12504" s="71"/>
      <c r="M12504" s="46"/>
      <c r="R12504" s="51"/>
      <c r="S12504" s="51"/>
    </row>
    <row r="12505" spans="9:19" x14ac:dyDescent="0.25">
      <c r="I12505" s="1"/>
      <c r="J12505" s="71"/>
      <c r="M12505" s="46"/>
      <c r="R12505" s="51"/>
      <c r="S12505" s="51"/>
    </row>
    <row r="12506" spans="9:19" x14ac:dyDescent="0.25">
      <c r="I12506" s="1"/>
      <c r="J12506" s="71"/>
      <c r="M12506" s="46"/>
      <c r="R12506" s="51"/>
      <c r="S12506" s="51"/>
    </row>
    <row r="12507" spans="9:19" x14ac:dyDescent="0.25">
      <c r="I12507" s="1"/>
      <c r="J12507" s="71"/>
      <c r="M12507" s="46"/>
      <c r="R12507" s="51"/>
      <c r="S12507" s="51"/>
    </row>
    <row r="12508" spans="9:19" x14ac:dyDescent="0.25">
      <c r="I12508" s="1"/>
      <c r="J12508" s="71"/>
      <c r="M12508" s="46"/>
      <c r="R12508" s="51"/>
      <c r="S12508" s="51"/>
    </row>
    <row r="12509" spans="9:19" x14ac:dyDescent="0.25">
      <c r="I12509" s="1"/>
      <c r="J12509" s="71"/>
      <c r="M12509" s="46"/>
      <c r="R12509" s="51"/>
      <c r="S12509" s="51"/>
    </row>
    <row r="12510" spans="9:19" x14ac:dyDescent="0.25">
      <c r="I12510" s="1"/>
      <c r="J12510" s="71"/>
      <c r="M12510" s="46"/>
      <c r="R12510" s="51"/>
      <c r="S12510" s="51"/>
    </row>
    <row r="12511" spans="9:19" x14ac:dyDescent="0.25">
      <c r="I12511" s="1"/>
      <c r="J12511" s="71"/>
      <c r="M12511" s="46"/>
      <c r="R12511" s="51"/>
      <c r="S12511" s="51"/>
    </row>
    <row r="12512" spans="9:19" x14ac:dyDescent="0.25">
      <c r="I12512" s="1"/>
      <c r="J12512" s="71"/>
      <c r="M12512" s="46"/>
      <c r="R12512" s="51"/>
      <c r="S12512" s="51"/>
    </row>
    <row r="12513" spans="9:19" x14ac:dyDescent="0.25">
      <c r="I12513" s="1"/>
      <c r="J12513" s="71"/>
      <c r="M12513" s="46"/>
      <c r="R12513" s="51"/>
      <c r="S12513" s="51"/>
    </row>
    <row r="12514" spans="9:19" x14ac:dyDescent="0.25">
      <c r="I12514" s="1"/>
      <c r="J12514" s="71"/>
      <c r="M12514" s="46"/>
      <c r="R12514" s="51"/>
      <c r="S12514" s="51"/>
    </row>
    <row r="12515" spans="9:19" x14ac:dyDescent="0.25">
      <c r="I12515" s="1"/>
      <c r="J12515" s="71"/>
      <c r="M12515" s="46"/>
      <c r="R12515" s="51"/>
      <c r="S12515" s="51"/>
    </row>
    <row r="12516" spans="9:19" x14ac:dyDescent="0.25">
      <c r="I12516" s="1"/>
      <c r="J12516" s="71"/>
      <c r="M12516" s="46"/>
      <c r="R12516" s="51"/>
      <c r="S12516" s="51"/>
    </row>
    <row r="12517" spans="9:19" x14ac:dyDescent="0.25">
      <c r="I12517" s="1"/>
      <c r="J12517" s="71"/>
      <c r="M12517" s="46"/>
      <c r="R12517" s="51"/>
      <c r="S12517" s="51"/>
    </row>
    <row r="12518" spans="9:19" x14ac:dyDescent="0.25">
      <c r="I12518" s="1"/>
      <c r="J12518" s="71"/>
      <c r="M12518" s="46"/>
      <c r="R12518" s="51"/>
      <c r="S12518" s="51"/>
    </row>
    <row r="12519" spans="9:19" x14ac:dyDescent="0.25">
      <c r="I12519" s="1"/>
      <c r="J12519" s="71"/>
      <c r="M12519" s="46"/>
      <c r="R12519" s="51"/>
      <c r="S12519" s="51"/>
    </row>
    <row r="12520" spans="9:19" x14ac:dyDescent="0.25">
      <c r="I12520" s="1"/>
      <c r="J12520" s="71"/>
      <c r="M12520" s="46"/>
      <c r="R12520" s="51"/>
      <c r="S12520" s="51"/>
    </row>
    <row r="12521" spans="9:19" x14ac:dyDescent="0.25">
      <c r="I12521" s="1"/>
      <c r="J12521" s="71"/>
      <c r="M12521" s="46"/>
      <c r="R12521" s="51"/>
      <c r="S12521" s="51"/>
    </row>
    <row r="12522" spans="9:19" x14ac:dyDescent="0.25">
      <c r="I12522" s="1"/>
      <c r="J12522" s="71"/>
      <c r="M12522" s="46"/>
      <c r="R12522" s="51"/>
      <c r="S12522" s="51"/>
    </row>
    <row r="12523" spans="9:19" x14ac:dyDescent="0.25">
      <c r="I12523" s="1"/>
      <c r="J12523" s="71"/>
      <c r="M12523" s="46"/>
      <c r="R12523" s="51"/>
      <c r="S12523" s="51"/>
    </row>
    <row r="12524" spans="9:19" x14ac:dyDescent="0.25">
      <c r="I12524" s="1"/>
      <c r="J12524" s="71"/>
      <c r="M12524" s="46"/>
      <c r="R12524" s="51"/>
      <c r="S12524" s="51"/>
    </row>
    <row r="12525" spans="9:19" x14ac:dyDescent="0.25">
      <c r="I12525" s="1"/>
      <c r="J12525" s="71"/>
      <c r="M12525" s="46"/>
      <c r="R12525" s="51"/>
      <c r="S12525" s="51"/>
    </row>
    <row r="12526" spans="9:19" x14ac:dyDescent="0.25">
      <c r="I12526" s="1"/>
      <c r="J12526" s="71"/>
      <c r="M12526" s="46"/>
      <c r="R12526" s="51"/>
      <c r="S12526" s="51"/>
    </row>
    <row r="12527" spans="9:19" x14ac:dyDescent="0.25">
      <c r="I12527" s="1"/>
      <c r="J12527" s="71"/>
      <c r="M12527" s="46"/>
      <c r="R12527" s="51"/>
      <c r="S12527" s="51"/>
    </row>
    <row r="12528" spans="9:19" x14ac:dyDescent="0.25">
      <c r="I12528" s="1"/>
      <c r="J12528" s="71"/>
      <c r="M12528" s="46"/>
      <c r="R12528" s="51"/>
      <c r="S12528" s="51"/>
    </row>
    <row r="12529" spans="9:19" x14ac:dyDescent="0.25">
      <c r="I12529" s="1"/>
      <c r="J12529" s="71"/>
      <c r="M12529" s="46"/>
      <c r="R12529" s="51"/>
      <c r="S12529" s="51"/>
    </row>
    <row r="12530" spans="9:19" x14ac:dyDescent="0.25">
      <c r="I12530" s="1"/>
      <c r="J12530" s="71"/>
      <c r="M12530" s="46"/>
      <c r="R12530" s="51"/>
      <c r="S12530" s="51"/>
    </row>
    <row r="12531" spans="9:19" x14ac:dyDescent="0.25">
      <c r="I12531" s="1"/>
      <c r="J12531" s="71"/>
      <c r="M12531" s="46"/>
      <c r="R12531" s="51"/>
      <c r="S12531" s="51"/>
    </row>
    <row r="12532" spans="9:19" x14ac:dyDescent="0.25">
      <c r="I12532" s="1"/>
      <c r="J12532" s="71"/>
      <c r="M12532" s="46"/>
      <c r="R12532" s="51"/>
      <c r="S12532" s="51"/>
    </row>
    <row r="12533" spans="9:19" x14ac:dyDescent="0.25">
      <c r="I12533" s="1"/>
      <c r="J12533" s="71"/>
      <c r="M12533" s="46"/>
      <c r="R12533" s="51"/>
      <c r="S12533" s="51"/>
    </row>
    <row r="12534" spans="9:19" x14ac:dyDescent="0.25">
      <c r="I12534" s="1"/>
      <c r="J12534" s="71"/>
      <c r="M12534" s="46"/>
      <c r="R12534" s="51"/>
      <c r="S12534" s="51"/>
    </row>
    <row r="12535" spans="9:19" x14ac:dyDescent="0.25">
      <c r="I12535" s="1"/>
      <c r="J12535" s="71"/>
      <c r="M12535" s="46"/>
      <c r="R12535" s="51"/>
      <c r="S12535" s="51"/>
    </row>
    <row r="12536" spans="9:19" x14ac:dyDescent="0.25">
      <c r="I12536" s="1"/>
      <c r="J12536" s="71"/>
      <c r="M12536" s="46"/>
      <c r="R12536" s="51"/>
      <c r="S12536" s="51"/>
    </row>
    <row r="12537" spans="9:19" x14ac:dyDescent="0.25">
      <c r="I12537" s="1"/>
      <c r="J12537" s="71"/>
      <c r="M12537" s="46"/>
      <c r="R12537" s="51"/>
      <c r="S12537" s="51"/>
    </row>
    <row r="12538" spans="9:19" x14ac:dyDescent="0.25">
      <c r="I12538" s="1"/>
      <c r="J12538" s="71"/>
      <c r="M12538" s="46"/>
      <c r="R12538" s="51"/>
      <c r="S12538" s="51"/>
    </row>
    <row r="12539" spans="9:19" x14ac:dyDescent="0.25">
      <c r="I12539" s="1"/>
      <c r="J12539" s="71"/>
      <c r="M12539" s="46"/>
      <c r="R12539" s="51"/>
      <c r="S12539" s="51"/>
    </row>
    <row r="12540" spans="9:19" x14ac:dyDescent="0.25">
      <c r="I12540" s="1"/>
      <c r="J12540" s="71"/>
      <c r="M12540" s="46"/>
      <c r="R12540" s="51"/>
      <c r="S12540" s="51"/>
    </row>
    <row r="12541" spans="9:19" x14ac:dyDescent="0.25">
      <c r="I12541" s="1"/>
      <c r="J12541" s="71"/>
      <c r="M12541" s="46"/>
      <c r="R12541" s="51"/>
      <c r="S12541" s="51"/>
    </row>
    <row r="12542" spans="9:19" x14ac:dyDescent="0.25">
      <c r="I12542" s="1"/>
      <c r="J12542" s="71"/>
      <c r="M12542" s="46"/>
      <c r="R12542" s="51"/>
      <c r="S12542" s="51"/>
    </row>
    <row r="12543" spans="9:19" x14ac:dyDescent="0.25">
      <c r="I12543" s="1"/>
      <c r="J12543" s="71"/>
      <c r="M12543" s="46"/>
      <c r="R12543" s="51"/>
      <c r="S12543" s="51"/>
    </row>
    <row r="12544" spans="9:19" x14ac:dyDescent="0.25">
      <c r="I12544" s="1"/>
      <c r="J12544" s="71"/>
      <c r="M12544" s="46"/>
      <c r="R12544" s="51"/>
      <c r="S12544" s="51"/>
    </row>
    <row r="12545" spans="9:19" x14ac:dyDescent="0.25">
      <c r="I12545" s="1"/>
      <c r="J12545" s="71"/>
      <c r="M12545" s="46"/>
      <c r="R12545" s="51"/>
      <c r="S12545" s="51"/>
    </row>
    <row r="12546" spans="9:19" x14ac:dyDescent="0.25">
      <c r="I12546" s="1"/>
      <c r="J12546" s="71"/>
      <c r="M12546" s="46"/>
      <c r="R12546" s="51"/>
      <c r="S12546" s="51"/>
    </row>
    <row r="12547" spans="9:19" x14ac:dyDescent="0.25">
      <c r="I12547" s="1"/>
      <c r="J12547" s="71"/>
      <c r="M12547" s="46"/>
      <c r="R12547" s="51"/>
      <c r="S12547" s="51"/>
    </row>
    <row r="12548" spans="9:19" x14ac:dyDescent="0.25">
      <c r="I12548" s="1"/>
      <c r="J12548" s="71"/>
      <c r="M12548" s="46"/>
      <c r="R12548" s="51"/>
      <c r="S12548" s="51"/>
    </row>
    <row r="12549" spans="9:19" x14ac:dyDescent="0.25">
      <c r="I12549" s="1"/>
      <c r="J12549" s="71"/>
      <c r="M12549" s="46"/>
      <c r="R12549" s="51"/>
      <c r="S12549" s="51"/>
    </row>
    <row r="12550" spans="9:19" x14ac:dyDescent="0.25">
      <c r="I12550" s="1"/>
      <c r="J12550" s="71"/>
      <c r="M12550" s="46"/>
      <c r="R12550" s="51"/>
      <c r="S12550" s="51"/>
    </row>
    <row r="12551" spans="9:19" x14ac:dyDescent="0.25">
      <c r="I12551" s="1"/>
      <c r="J12551" s="71"/>
      <c r="M12551" s="46"/>
      <c r="R12551" s="51"/>
      <c r="S12551" s="51"/>
    </row>
    <row r="12552" spans="9:19" x14ac:dyDescent="0.25">
      <c r="I12552" s="1"/>
      <c r="J12552" s="71"/>
      <c r="M12552" s="46"/>
      <c r="R12552" s="51"/>
      <c r="S12552" s="51"/>
    </row>
    <row r="12553" spans="9:19" x14ac:dyDescent="0.25">
      <c r="I12553" s="1"/>
      <c r="J12553" s="71"/>
      <c r="M12553" s="46"/>
      <c r="R12553" s="51"/>
      <c r="S12553" s="51"/>
    </row>
    <row r="12554" spans="9:19" x14ac:dyDescent="0.25">
      <c r="I12554" s="1"/>
      <c r="J12554" s="71"/>
      <c r="M12554" s="46"/>
      <c r="R12554" s="51"/>
      <c r="S12554" s="51"/>
    </row>
    <row r="12555" spans="9:19" x14ac:dyDescent="0.25">
      <c r="I12555" s="1"/>
      <c r="J12555" s="71"/>
      <c r="M12555" s="46"/>
      <c r="R12555" s="51"/>
      <c r="S12555" s="51"/>
    </row>
    <row r="12556" spans="9:19" x14ac:dyDescent="0.25">
      <c r="I12556" s="1"/>
      <c r="J12556" s="71"/>
      <c r="M12556" s="46"/>
      <c r="R12556" s="51"/>
      <c r="S12556" s="51"/>
    </row>
    <row r="12557" spans="9:19" x14ac:dyDescent="0.25">
      <c r="I12557" s="1"/>
      <c r="J12557" s="71"/>
      <c r="M12557" s="46"/>
      <c r="R12557" s="51"/>
      <c r="S12557" s="51"/>
    </row>
    <row r="12558" spans="9:19" x14ac:dyDescent="0.25">
      <c r="I12558" s="1"/>
      <c r="J12558" s="71"/>
      <c r="M12558" s="46"/>
      <c r="R12558" s="51"/>
      <c r="S12558" s="51"/>
    </row>
    <row r="12559" spans="9:19" x14ac:dyDescent="0.25">
      <c r="I12559" s="1"/>
      <c r="J12559" s="71"/>
      <c r="M12559" s="46"/>
      <c r="R12559" s="51"/>
      <c r="S12559" s="51"/>
    </row>
    <row r="12560" spans="9:19" x14ac:dyDescent="0.25">
      <c r="I12560" s="1"/>
      <c r="J12560" s="71"/>
      <c r="M12560" s="46"/>
      <c r="R12560" s="51"/>
      <c r="S12560" s="51"/>
    </row>
    <row r="12561" spans="9:19" x14ac:dyDescent="0.25">
      <c r="I12561" s="1"/>
      <c r="J12561" s="71"/>
      <c r="M12561" s="46"/>
      <c r="R12561" s="51"/>
      <c r="S12561" s="51"/>
    </row>
    <row r="12562" spans="9:19" x14ac:dyDescent="0.25">
      <c r="I12562" s="1"/>
      <c r="J12562" s="71"/>
      <c r="M12562" s="46"/>
      <c r="R12562" s="51"/>
      <c r="S12562" s="51"/>
    </row>
    <row r="12563" spans="9:19" x14ac:dyDescent="0.25">
      <c r="I12563" s="1"/>
      <c r="J12563" s="71"/>
      <c r="M12563" s="46"/>
      <c r="R12563" s="51"/>
      <c r="S12563" s="51"/>
    </row>
    <row r="12564" spans="9:19" x14ac:dyDescent="0.25">
      <c r="I12564" s="1"/>
      <c r="J12564" s="71"/>
      <c r="M12564" s="46"/>
      <c r="R12564" s="51"/>
      <c r="S12564" s="51"/>
    </row>
    <row r="12565" spans="9:19" x14ac:dyDescent="0.25">
      <c r="I12565" s="1"/>
      <c r="J12565" s="71"/>
      <c r="M12565" s="46"/>
      <c r="R12565" s="51"/>
      <c r="S12565" s="51"/>
    </row>
    <row r="12566" spans="9:19" x14ac:dyDescent="0.25">
      <c r="I12566" s="1"/>
      <c r="J12566" s="71"/>
      <c r="M12566" s="46"/>
      <c r="R12566" s="51"/>
      <c r="S12566" s="51"/>
    </row>
    <row r="12567" spans="9:19" x14ac:dyDescent="0.25">
      <c r="I12567" s="1"/>
      <c r="J12567" s="71"/>
      <c r="M12567" s="46"/>
      <c r="R12567" s="51"/>
      <c r="S12567" s="51"/>
    </row>
    <row r="12568" spans="9:19" x14ac:dyDescent="0.25">
      <c r="I12568" s="1"/>
      <c r="J12568" s="71"/>
      <c r="M12568" s="46"/>
      <c r="R12568" s="51"/>
      <c r="S12568" s="51"/>
    </row>
    <row r="12569" spans="9:19" x14ac:dyDescent="0.25">
      <c r="I12569" s="1"/>
      <c r="J12569" s="71"/>
      <c r="M12569" s="46"/>
      <c r="R12569" s="51"/>
      <c r="S12569" s="51"/>
    </row>
    <row r="12570" spans="9:19" x14ac:dyDescent="0.25">
      <c r="I12570" s="1"/>
      <c r="J12570" s="71"/>
      <c r="M12570" s="46"/>
      <c r="R12570" s="51"/>
      <c r="S12570" s="51"/>
    </row>
    <row r="12571" spans="9:19" x14ac:dyDescent="0.25">
      <c r="I12571" s="1"/>
      <c r="J12571" s="71"/>
      <c r="M12571" s="46"/>
      <c r="R12571" s="51"/>
      <c r="S12571" s="51"/>
    </row>
    <row r="12572" spans="9:19" x14ac:dyDescent="0.25">
      <c r="I12572" s="1"/>
      <c r="J12572" s="71"/>
      <c r="M12572" s="46"/>
      <c r="R12572" s="51"/>
      <c r="S12572" s="51"/>
    </row>
    <row r="12573" spans="9:19" x14ac:dyDescent="0.25">
      <c r="I12573" s="1"/>
      <c r="J12573" s="71"/>
      <c r="M12573" s="46"/>
      <c r="R12573" s="51"/>
      <c r="S12573" s="51"/>
    </row>
    <row r="12574" spans="9:19" x14ac:dyDescent="0.25">
      <c r="I12574" s="1"/>
      <c r="J12574" s="71"/>
      <c r="M12574" s="46"/>
      <c r="R12574" s="51"/>
      <c r="S12574" s="51"/>
    </row>
    <row r="12575" spans="9:19" x14ac:dyDescent="0.25">
      <c r="I12575" s="1"/>
      <c r="J12575" s="71"/>
      <c r="M12575" s="46"/>
      <c r="R12575" s="51"/>
      <c r="S12575" s="51"/>
    </row>
    <row r="12576" spans="9:19" x14ac:dyDescent="0.25">
      <c r="I12576" s="1"/>
      <c r="J12576" s="71"/>
      <c r="M12576" s="46"/>
      <c r="R12576" s="51"/>
      <c r="S12576" s="51"/>
    </row>
    <row r="12577" spans="9:19" x14ac:dyDescent="0.25">
      <c r="I12577" s="1"/>
      <c r="J12577" s="71"/>
      <c r="M12577" s="46"/>
      <c r="R12577" s="51"/>
      <c r="S12577" s="51"/>
    </row>
    <row r="12578" spans="9:19" x14ac:dyDescent="0.25">
      <c r="I12578" s="1"/>
      <c r="J12578" s="71"/>
      <c r="M12578" s="46"/>
      <c r="R12578" s="51"/>
      <c r="S12578" s="51"/>
    </row>
    <row r="12579" spans="9:19" x14ac:dyDescent="0.25">
      <c r="I12579" s="1"/>
      <c r="J12579" s="71"/>
      <c r="M12579" s="46"/>
      <c r="R12579" s="51"/>
      <c r="S12579" s="51"/>
    </row>
    <row r="12580" spans="9:19" x14ac:dyDescent="0.25">
      <c r="I12580" s="1"/>
      <c r="J12580" s="71"/>
      <c r="M12580" s="46"/>
      <c r="R12580" s="51"/>
      <c r="S12580" s="51"/>
    </row>
    <row r="12581" spans="9:19" x14ac:dyDescent="0.25">
      <c r="I12581" s="1"/>
      <c r="J12581" s="71"/>
      <c r="M12581" s="46"/>
      <c r="R12581" s="51"/>
      <c r="S12581" s="51"/>
    </row>
    <row r="12582" spans="9:19" x14ac:dyDescent="0.25">
      <c r="I12582" s="1"/>
      <c r="J12582" s="71"/>
      <c r="M12582" s="46"/>
      <c r="R12582" s="51"/>
      <c r="S12582" s="51"/>
    </row>
    <row r="12583" spans="9:19" x14ac:dyDescent="0.25">
      <c r="I12583" s="1"/>
      <c r="J12583" s="71"/>
      <c r="M12583" s="46"/>
      <c r="R12583" s="51"/>
      <c r="S12583" s="51"/>
    </row>
    <row r="12584" spans="9:19" x14ac:dyDescent="0.25">
      <c r="I12584" s="1"/>
      <c r="J12584" s="71"/>
      <c r="M12584" s="46"/>
      <c r="R12584" s="51"/>
      <c r="S12584" s="51"/>
    </row>
    <row r="12585" spans="9:19" x14ac:dyDescent="0.25">
      <c r="I12585" s="1"/>
      <c r="J12585" s="71"/>
      <c r="M12585" s="46"/>
      <c r="R12585" s="51"/>
      <c r="S12585" s="51"/>
    </row>
    <row r="12586" spans="9:19" x14ac:dyDescent="0.25">
      <c r="I12586" s="1"/>
      <c r="J12586" s="71"/>
      <c r="M12586" s="46"/>
      <c r="R12586" s="51"/>
      <c r="S12586" s="51"/>
    </row>
    <row r="12587" spans="9:19" x14ac:dyDescent="0.25">
      <c r="I12587" s="1"/>
      <c r="J12587" s="71"/>
      <c r="M12587" s="46"/>
      <c r="R12587" s="51"/>
      <c r="S12587" s="51"/>
    </row>
    <row r="12588" spans="9:19" x14ac:dyDescent="0.25">
      <c r="I12588" s="1"/>
      <c r="J12588" s="71"/>
      <c r="M12588" s="46"/>
      <c r="R12588" s="51"/>
      <c r="S12588" s="51"/>
    </row>
    <row r="12589" spans="9:19" x14ac:dyDescent="0.25">
      <c r="I12589" s="1"/>
      <c r="J12589" s="71"/>
      <c r="M12589" s="46"/>
      <c r="R12589" s="51"/>
      <c r="S12589" s="51"/>
    </row>
    <row r="12590" spans="9:19" x14ac:dyDescent="0.25">
      <c r="I12590" s="1"/>
      <c r="J12590" s="71"/>
      <c r="M12590" s="46"/>
      <c r="R12590" s="51"/>
      <c r="S12590" s="51"/>
    </row>
    <row r="12591" spans="9:19" x14ac:dyDescent="0.25">
      <c r="I12591" s="1"/>
      <c r="J12591" s="71"/>
      <c r="M12591" s="46"/>
      <c r="R12591" s="51"/>
      <c r="S12591" s="51"/>
    </row>
    <row r="12592" spans="9:19" x14ac:dyDescent="0.25">
      <c r="I12592" s="1"/>
      <c r="J12592" s="71"/>
      <c r="M12592" s="46"/>
      <c r="R12592" s="51"/>
      <c r="S12592" s="51"/>
    </row>
    <row r="12593" spans="9:19" x14ac:dyDescent="0.25">
      <c r="I12593" s="1"/>
      <c r="J12593" s="71"/>
      <c r="M12593" s="46"/>
      <c r="R12593" s="51"/>
      <c r="S12593" s="51"/>
    </row>
    <row r="12594" spans="9:19" x14ac:dyDescent="0.25">
      <c r="I12594" s="1"/>
      <c r="J12594" s="71"/>
      <c r="M12594" s="46"/>
      <c r="R12594" s="51"/>
      <c r="S12594" s="51"/>
    </row>
    <row r="12595" spans="9:19" x14ac:dyDescent="0.25">
      <c r="I12595" s="1"/>
      <c r="J12595" s="71"/>
      <c r="M12595" s="46"/>
      <c r="R12595" s="51"/>
      <c r="S12595" s="51"/>
    </row>
    <row r="12596" spans="9:19" x14ac:dyDescent="0.25">
      <c r="I12596" s="1"/>
      <c r="J12596" s="71"/>
      <c r="M12596" s="46"/>
      <c r="R12596" s="51"/>
      <c r="S12596" s="51"/>
    </row>
    <row r="12597" spans="9:19" x14ac:dyDescent="0.25">
      <c r="I12597" s="1"/>
      <c r="J12597" s="71"/>
      <c r="M12597" s="46"/>
      <c r="R12597" s="51"/>
      <c r="S12597" s="51"/>
    </row>
    <row r="12598" spans="9:19" x14ac:dyDescent="0.25">
      <c r="I12598" s="1"/>
      <c r="J12598" s="71"/>
      <c r="M12598" s="46"/>
      <c r="R12598" s="51"/>
      <c r="S12598" s="51"/>
    </row>
    <row r="12599" spans="9:19" x14ac:dyDescent="0.25">
      <c r="I12599" s="1"/>
      <c r="J12599" s="71"/>
      <c r="M12599" s="46"/>
      <c r="R12599" s="51"/>
      <c r="S12599" s="51"/>
    </row>
    <row r="12600" spans="9:19" x14ac:dyDescent="0.25">
      <c r="I12600" s="1"/>
      <c r="J12600" s="71"/>
      <c r="M12600" s="46"/>
      <c r="R12600" s="51"/>
      <c r="S12600" s="51"/>
    </row>
    <row r="12601" spans="9:19" x14ac:dyDescent="0.25">
      <c r="I12601" s="1"/>
      <c r="J12601" s="71"/>
      <c r="M12601" s="46"/>
      <c r="R12601" s="51"/>
      <c r="S12601" s="51"/>
    </row>
    <row r="12602" spans="9:19" x14ac:dyDescent="0.25">
      <c r="I12602" s="1"/>
      <c r="J12602" s="71"/>
      <c r="M12602" s="46"/>
      <c r="R12602" s="51"/>
      <c r="S12602" s="51"/>
    </row>
    <row r="12603" spans="9:19" x14ac:dyDescent="0.25">
      <c r="I12603" s="1"/>
      <c r="J12603" s="71"/>
      <c r="M12603" s="46"/>
      <c r="R12603" s="51"/>
      <c r="S12603" s="51"/>
    </row>
    <row r="12604" spans="9:19" x14ac:dyDescent="0.25">
      <c r="I12604" s="1"/>
      <c r="J12604" s="71"/>
      <c r="M12604" s="46"/>
      <c r="R12604" s="51"/>
      <c r="S12604" s="51"/>
    </row>
    <row r="12605" spans="9:19" x14ac:dyDescent="0.25">
      <c r="I12605" s="1"/>
      <c r="J12605" s="71"/>
      <c r="M12605" s="46"/>
      <c r="R12605" s="51"/>
      <c r="S12605" s="51"/>
    </row>
    <row r="12606" spans="9:19" x14ac:dyDescent="0.25">
      <c r="I12606" s="1"/>
      <c r="J12606" s="71"/>
      <c r="M12606" s="46"/>
      <c r="R12606" s="51"/>
      <c r="S12606" s="51"/>
    </row>
    <row r="12607" spans="9:19" x14ac:dyDescent="0.25">
      <c r="I12607" s="1"/>
      <c r="J12607" s="71"/>
      <c r="M12607" s="46"/>
      <c r="R12607" s="51"/>
      <c r="S12607" s="51"/>
    </row>
    <row r="12608" spans="9:19" x14ac:dyDescent="0.25">
      <c r="I12608" s="1"/>
      <c r="J12608" s="71"/>
      <c r="M12608" s="46"/>
      <c r="R12608" s="51"/>
      <c r="S12608" s="51"/>
    </row>
    <row r="12609" spans="9:19" x14ac:dyDescent="0.25">
      <c r="I12609" s="1"/>
      <c r="J12609" s="71"/>
      <c r="M12609" s="46"/>
      <c r="R12609" s="51"/>
      <c r="S12609" s="51"/>
    </row>
    <row r="12610" spans="9:19" x14ac:dyDescent="0.25">
      <c r="I12610" s="1"/>
      <c r="J12610" s="71"/>
      <c r="M12610" s="46"/>
      <c r="R12610" s="51"/>
      <c r="S12610" s="51"/>
    </row>
    <row r="12611" spans="9:19" x14ac:dyDescent="0.25">
      <c r="I12611" s="1"/>
      <c r="J12611" s="71"/>
      <c r="M12611" s="46"/>
      <c r="R12611" s="51"/>
      <c r="S12611" s="51"/>
    </row>
    <row r="12612" spans="9:19" x14ac:dyDescent="0.25">
      <c r="I12612" s="1"/>
      <c r="J12612" s="71"/>
      <c r="M12612" s="46"/>
      <c r="R12612" s="51"/>
      <c r="S12612" s="51"/>
    </row>
    <row r="12613" spans="9:19" x14ac:dyDescent="0.25">
      <c r="I12613" s="1"/>
      <c r="J12613" s="71"/>
      <c r="M12613" s="46"/>
      <c r="R12613" s="51"/>
      <c r="S12613" s="51"/>
    </row>
    <row r="12614" spans="9:19" x14ac:dyDescent="0.25">
      <c r="I12614" s="1"/>
      <c r="J12614" s="71"/>
      <c r="M12614" s="46"/>
      <c r="R12614" s="51"/>
      <c r="S12614" s="51"/>
    </row>
    <row r="12615" spans="9:19" x14ac:dyDescent="0.25">
      <c r="I12615" s="1"/>
      <c r="J12615" s="71"/>
      <c r="M12615" s="46"/>
      <c r="R12615" s="51"/>
      <c r="S12615" s="51"/>
    </row>
    <row r="12616" spans="9:19" x14ac:dyDescent="0.25">
      <c r="I12616" s="1"/>
      <c r="J12616" s="71"/>
      <c r="M12616" s="46"/>
      <c r="R12616" s="51"/>
      <c r="S12616" s="51"/>
    </row>
    <row r="12617" spans="9:19" x14ac:dyDescent="0.25">
      <c r="I12617" s="1"/>
      <c r="J12617" s="71"/>
      <c r="M12617" s="46"/>
      <c r="R12617" s="51"/>
      <c r="S12617" s="51"/>
    </row>
    <row r="12618" spans="9:19" x14ac:dyDescent="0.25">
      <c r="I12618" s="1"/>
      <c r="J12618" s="71"/>
      <c r="M12618" s="46"/>
      <c r="R12618" s="51"/>
      <c r="S12618" s="51"/>
    </row>
    <row r="12619" spans="9:19" x14ac:dyDescent="0.25">
      <c r="I12619" s="1"/>
      <c r="J12619" s="71"/>
      <c r="M12619" s="46"/>
      <c r="R12619" s="51"/>
      <c r="S12619" s="51"/>
    </row>
    <row r="12620" spans="9:19" x14ac:dyDescent="0.25">
      <c r="I12620" s="1"/>
      <c r="J12620" s="71"/>
      <c r="M12620" s="46"/>
      <c r="R12620" s="51"/>
      <c r="S12620" s="51"/>
    </row>
    <row r="12621" spans="9:19" x14ac:dyDescent="0.25">
      <c r="I12621" s="1"/>
      <c r="J12621" s="71"/>
      <c r="M12621" s="46"/>
      <c r="R12621" s="51"/>
      <c r="S12621" s="51"/>
    </row>
    <row r="12622" spans="9:19" x14ac:dyDescent="0.25">
      <c r="I12622" s="1"/>
      <c r="J12622" s="71"/>
      <c r="M12622" s="46"/>
      <c r="R12622" s="51"/>
      <c r="S12622" s="51"/>
    </row>
    <row r="12623" spans="9:19" x14ac:dyDescent="0.25">
      <c r="I12623" s="1"/>
      <c r="J12623" s="71"/>
      <c r="M12623" s="46"/>
      <c r="R12623" s="51"/>
      <c r="S12623" s="51"/>
    </row>
    <row r="12624" spans="9:19" x14ac:dyDescent="0.25">
      <c r="I12624" s="1"/>
      <c r="J12624" s="71"/>
      <c r="M12624" s="46"/>
      <c r="R12624" s="51"/>
      <c r="S12624" s="51"/>
    </row>
    <row r="12625" spans="9:19" x14ac:dyDescent="0.25">
      <c r="I12625" s="1"/>
      <c r="J12625" s="71"/>
      <c r="M12625" s="46"/>
      <c r="R12625" s="51"/>
      <c r="S12625" s="51"/>
    </row>
    <row r="12626" spans="9:19" x14ac:dyDescent="0.25">
      <c r="I12626" s="1"/>
      <c r="J12626" s="71"/>
      <c r="M12626" s="46"/>
      <c r="R12626" s="51"/>
      <c r="S12626" s="51"/>
    </row>
    <row r="12627" spans="9:19" x14ac:dyDescent="0.25">
      <c r="I12627" s="1"/>
      <c r="J12627" s="71"/>
      <c r="M12627" s="46"/>
      <c r="R12627" s="51"/>
      <c r="S12627" s="51"/>
    </row>
    <row r="12628" spans="9:19" x14ac:dyDescent="0.25">
      <c r="I12628" s="1"/>
      <c r="J12628" s="71"/>
      <c r="M12628" s="46"/>
      <c r="R12628" s="51"/>
      <c r="S12628" s="51"/>
    </row>
    <row r="12629" spans="9:19" x14ac:dyDescent="0.25">
      <c r="I12629" s="1"/>
      <c r="J12629" s="71"/>
      <c r="M12629" s="46"/>
      <c r="R12629" s="51"/>
      <c r="S12629" s="51"/>
    </row>
    <row r="12630" spans="9:19" x14ac:dyDescent="0.25">
      <c r="I12630" s="1"/>
      <c r="J12630" s="71"/>
      <c r="M12630" s="46"/>
      <c r="R12630" s="51"/>
      <c r="S12630" s="51"/>
    </row>
    <row r="12631" spans="9:19" x14ac:dyDescent="0.25">
      <c r="I12631" s="1"/>
      <c r="J12631" s="71"/>
      <c r="M12631" s="46"/>
      <c r="R12631" s="51"/>
      <c r="S12631" s="51"/>
    </row>
    <row r="12632" spans="9:19" x14ac:dyDescent="0.25">
      <c r="I12632" s="1"/>
      <c r="J12632" s="71"/>
      <c r="M12632" s="46"/>
      <c r="R12632" s="51"/>
      <c r="S12632" s="51"/>
    </row>
    <row r="12633" spans="9:19" x14ac:dyDescent="0.25">
      <c r="I12633" s="1"/>
      <c r="J12633" s="71"/>
      <c r="M12633" s="46"/>
      <c r="R12633" s="51"/>
      <c r="S12633" s="51"/>
    </row>
    <row r="12634" spans="9:19" x14ac:dyDescent="0.25">
      <c r="I12634" s="1"/>
      <c r="J12634" s="71"/>
      <c r="M12634" s="46"/>
      <c r="R12634" s="51"/>
      <c r="S12634" s="51"/>
    </row>
    <row r="12635" spans="9:19" x14ac:dyDescent="0.25">
      <c r="I12635" s="1"/>
      <c r="J12635" s="71"/>
      <c r="M12635" s="46"/>
      <c r="R12635" s="51"/>
      <c r="S12635" s="51"/>
    </row>
    <row r="12636" spans="9:19" x14ac:dyDescent="0.25">
      <c r="I12636" s="1"/>
      <c r="J12636" s="71"/>
      <c r="M12636" s="46"/>
      <c r="R12636" s="51"/>
      <c r="S12636" s="51"/>
    </row>
    <row r="12637" spans="9:19" x14ac:dyDescent="0.25">
      <c r="I12637" s="1"/>
      <c r="J12637" s="71"/>
      <c r="M12637" s="46"/>
      <c r="R12637" s="51"/>
      <c r="S12637" s="51"/>
    </row>
    <row r="12638" spans="9:19" x14ac:dyDescent="0.25">
      <c r="I12638" s="1"/>
      <c r="J12638" s="71"/>
      <c r="M12638" s="46"/>
      <c r="R12638" s="51"/>
      <c r="S12638" s="51"/>
    </row>
    <row r="12639" spans="9:19" x14ac:dyDescent="0.25">
      <c r="I12639" s="1"/>
      <c r="J12639" s="71"/>
      <c r="M12639" s="46"/>
      <c r="R12639" s="51"/>
      <c r="S12639" s="51"/>
    </row>
    <row r="12640" spans="9:19" x14ac:dyDescent="0.25">
      <c r="I12640" s="1"/>
      <c r="J12640" s="71"/>
      <c r="M12640" s="46"/>
      <c r="R12640" s="51"/>
      <c r="S12640" s="51"/>
    </row>
    <row r="12641" spans="9:19" x14ac:dyDescent="0.25">
      <c r="I12641" s="1"/>
      <c r="J12641" s="71"/>
      <c r="M12641" s="46"/>
      <c r="R12641" s="51"/>
      <c r="S12641" s="51"/>
    </row>
    <row r="12642" spans="9:19" x14ac:dyDescent="0.25">
      <c r="I12642" s="1"/>
      <c r="J12642" s="71"/>
      <c r="M12642" s="46"/>
      <c r="R12642" s="51"/>
      <c r="S12642" s="51"/>
    </row>
    <row r="12643" spans="9:19" x14ac:dyDescent="0.25">
      <c r="I12643" s="1"/>
      <c r="J12643" s="71"/>
      <c r="M12643" s="46"/>
      <c r="R12643" s="51"/>
      <c r="S12643" s="51"/>
    </row>
    <row r="12644" spans="9:19" x14ac:dyDescent="0.25">
      <c r="I12644" s="1"/>
      <c r="J12644" s="71"/>
      <c r="M12644" s="46"/>
      <c r="R12644" s="51"/>
      <c r="S12644" s="51"/>
    </row>
    <row r="12645" spans="9:19" x14ac:dyDescent="0.25">
      <c r="I12645" s="1"/>
      <c r="J12645" s="71"/>
      <c r="M12645" s="46"/>
      <c r="R12645" s="51"/>
      <c r="S12645" s="51"/>
    </row>
    <row r="12646" spans="9:19" x14ac:dyDescent="0.25">
      <c r="I12646" s="1"/>
      <c r="J12646" s="71"/>
      <c r="M12646" s="46"/>
      <c r="R12646" s="51"/>
      <c r="S12646" s="51"/>
    </row>
    <row r="12647" spans="9:19" x14ac:dyDescent="0.25">
      <c r="I12647" s="1"/>
      <c r="J12647" s="71"/>
      <c r="M12647" s="46"/>
      <c r="R12647" s="51"/>
      <c r="S12647" s="51"/>
    </row>
    <row r="12648" spans="9:19" x14ac:dyDescent="0.25">
      <c r="I12648" s="1"/>
      <c r="J12648" s="71"/>
      <c r="M12648" s="46"/>
      <c r="R12648" s="51"/>
      <c r="S12648" s="51"/>
    </row>
    <row r="12649" spans="9:19" x14ac:dyDescent="0.25">
      <c r="I12649" s="1"/>
      <c r="J12649" s="71"/>
      <c r="M12649" s="46"/>
      <c r="R12649" s="51"/>
      <c r="S12649" s="51"/>
    </row>
    <row r="12650" spans="9:19" x14ac:dyDescent="0.25">
      <c r="I12650" s="1"/>
      <c r="J12650" s="71"/>
      <c r="M12650" s="46"/>
      <c r="R12650" s="51"/>
      <c r="S12650" s="51"/>
    </row>
    <row r="12651" spans="9:19" x14ac:dyDescent="0.25">
      <c r="I12651" s="1"/>
      <c r="J12651" s="71"/>
      <c r="M12651" s="46"/>
      <c r="R12651" s="51"/>
      <c r="S12651" s="51"/>
    </row>
    <row r="12652" spans="9:19" x14ac:dyDescent="0.25">
      <c r="I12652" s="1"/>
      <c r="J12652" s="71"/>
      <c r="M12652" s="46"/>
      <c r="R12652" s="51"/>
      <c r="S12652" s="51"/>
    </row>
    <row r="12653" spans="9:19" x14ac:dyDescent="0.25">
      <c r="I12653" s="1"/>
      <c r="J12653" s="71"/>
      <c r="M12653" s="46"/>
      <c r="R12653" s="51"/>
      <c r="S12653" s="51"/>
    </row>
    <row r="12654" spans="9:19" x14ac:dyDescent="0.25">
      <c r="I12654" s="1"/>
      <c r="J12654" s="71"/>
      <c r="M12654" s="46"/>
      <c r="R12654" s="51"/>
      <c r="S12654" s="51"/>
    </row>
    <row r="12655" spans="9:19" x14ac:dyDescent="0.25">
      <c r="I12655" s="1"/>
      <c r="J12655" s="71"/>
      <c r="M12655" s="46"/>
      <c r="R12655" s="51"/>
      <c r="S12655" s="51"/>
    </row>
    <row r="12656" spans="9:19" x14ac:dyDescent="0.25">
      <c r="I12656" s="1"/>
      <c r="J12656" s="71"/>
      <c r="M12656" s="46"/>
      <c r="R12656" s="51"/>
      <c r="S12656" s="51"/>
    </row>
    <row r="12657" spans="9:19" x14ac:dyDescent="0.25">
      <c r="I12657" s="1"/>
      <c r="J12657" s="71"/>
      <c r="M12657" s="46"/>
      <c r="R12657" s="51"/>
      <c r="S12657" s="51"/>
    </row>
    <row r="12658" spans="9:19" x14ac:dyDescent="0.25">
      <c r="I12658" s="1"/>
      <c r="J12658" s="71"/>
      <c r="M12658" s="46"/>
      <c r="R12658" s="51"/>
      <c r="S12658" s="51"/>
    </row>
    <row r="12659" spans="9:19" x14ac:dyDescent="0.25">
      <c r="I12659" s="1"/>
      <c r="J12659" s="71"/>
      <c r="M12659" s="46"/>
      <c r="R12659" s="51"/>
      <c r="S12659" s="51"/>
    </row>
    <row r="12660" spans="9:19" x14ac:dyDescent="0.25">
      <c r="I12660" s="1"/>
      <c r="J12660" s="71"/>
      <c r="M12660" s="46"/>
      <c r="R12660" s="51"/>
      <c r="S12660" s="51"/>
    </row>
    <row r="12661" spans="9:19" x14ac:dyDescent="0.25">
      <c r="I12661" s="1"/>
      <c r="J12661" s="71"/>
      <c r="M12661" s="46"/>
      <c r="R12661" s="51"/>
      <c r="S12661" s="51"/>
    </row>
    <row r="12662" spans="9:19" x14ac:dyDescent="0.25">
      <c r="I12662" s="1"/>
      <c r="J12662" s="71"/>
      <c r="M12662" s="46"/>
      <c r="R12662" s="51"/>
      <c r="S12662" s="51"/>
    </row>
    <row r="12663" spans="9:19" x14ac:dyDescent="0.25">
      <c r="I12663" s="1"/>
      <c r="J12663" s="71"/>
      <c r="M12663" s="46"/>
      <c r="R12663" s="51"/>
      <c r="S12663" s="51"/>
    </row>
    <row r="12664" spans="9:19" x14ac:dyDescent="0.25">
      <c r="I12664" s="1"/>
      <c r="J12664" s="71"/>
      <c r="M12664" s="46"/>
      <c r="R12664" s="51"/>
      <c r="S12664" s="51"/>
    </row>
    <row r="12665" spans="9:19" x14ac:dyDescent="0.25">
      <c r="I12665" s="1"/>
      <c r="J12665" s="71"/>
      <c r="M12665" s="46"/>
      <c r="R12665" s="51"/>
      <c r="S12665" s="51"/>
    </row>
    <row r="12666" spans="9:19" x14ac:dyDescent="0.25">
      <c r="I12666" s="1"/>
      <c r="J12666" s="71"/>
      <c r="M12666" s="46"/>
      <c r="R12666" s="51"/>
      <c r="S12666" s="51"/>
    </row>
    <row r="12667" spans="9:19" x14ac:dyDescent="0.25">
      <c r="I12667" s="1"/>
      <c r="J12667" s="71"/>
      <c r="M12667" s="46"/>
      <c r="R12667" s="51"/>
      <c r="S12667" s="51"/>
    </row>
    <row r="12668" spans="9:19" x14ac:dyDescent="0.25">
      <c r="I12668" s="1"/>
      <c r="J12668" s="71"/>
      <c r="M12668" s="46"/>
      <c r="R12668" s="51"/>
      <c r="S12668" s="51"/>
    </row>
    <row r="12669" spans="9:19" x14ac:dyDescent="0.25">
      <c r="I12669" s="1"/>
      <c r="J12669" s="71"/>
      <c r="M12669" s="46"/>
      <c r="R12669" s="51"/>
      <c r="S12669" s="51"/>
    </row>
    <row r="12670" spans="9:19" x14ac:dyDescent="0.25">
      <c r="I12670" s="1"/>
      <c r="J12670" s="71"/>
      <c r="M12670" s="46"/>
      <c r="R12670" s="51"/>
      <c r="S12670" s="51"/>
    </row>
    <row r="12671" spans="9:19" x14ac:dyDescent="0.25">
      <c r="I12671" s="1"/>
      <c r="J12671" s="71"/>
      <c r="M12671" s="46"/>
      <c r="R12671" s="51"/>
      <c r="S12671" s="51"/>
    </row>
    <row r="12672" spans="9:19" x14ac:dyDescent="0.25">
      <c r="I12672" s="1"/>
      <c r="J12672" s="71"/>
      <c r="M12672" s="46"/>
      <c r="R12672" s="51"/>
      <c r="S12672" s="51"/>
    </row>
    <row r="12673" spans="9:19" x14ac:dyDescent="0.25">
      <c r="I12673" s="1"/>
      <c r="J12673" s="71"/>
      <c r="M12673" s="46"/>
      <c r="R12673" s="51"/>
      <c r="S12673" s="51"/>
    </row>
    <row r="12674" spans="9:19" x14ac:dyDescent="0.25">
      <c r="I12674" s="1"/>
      <c r="J12674" s="71"/>
      <c r="M12674" s="46"/>
      <c r="R12674" s="51"/>
      <c r="S12674" s="51"/>
    </row>
    <row r="12675" spans="9:19" x14ac:dyDescent="0.25">
      <c r="I12675" s="1"/>
      <c r="J12675" s="71"/>
      <c r="M12675" s="46"/>
      <c r="R12675" s="51"/>
      <c r="S12675" s="51"/>
    </row>
    <row r="12676" spans="9:19" x14ac:dyDescent="0.25">
      <c r="I12676" s="1"/>
      <c r="J12676" s="71"/>
      <c r="M12676" s="46"/>
      <c r="R12676" s="51"/>
      <c r="S12676" s="51"/>
    </row>
    <row r="12677" spans="9:19" x14ac:dyDescent="0.25">
      <c r="I12677" s="1"/>
      <c r="J12677" s="71"/>
      <c r="M12677" s="46"/>
      <c r="R12677" s="51"/>
      <c r="S12677" s="51"/>
    </row>
    <row r="12678" spans="9:19" x14ac:dyDescent="0.25">
      <c r="I12678" s="1"/>
      <c r="J12678" s="71"/>
      <c r="M12678" s="46"/>
      <c r="R12678" s="51"/>
      <c r="S12678" s="51"/>
    </row>
    <row r="12679" spans="9:19" x14ac:dyDescent="0.25">
      <c r="I12679" s="1"/>
      <c r="J12679" s="71"/>
      <c r="M12679" s="46"/>
      <c r="R12679" s="51"/>
      <c r="S12679" s="51"/>
    </row>
    <row r="12680" spans="9:19" x14ac:dyDescent="0.25">
      <c r="I12680" s="1"/>
      <c r="J12680" s="71"/>
      <c r="M12680" s="46"/>
      <c r="R12680" s="51"/>
      <c r="S12680" s="51"/>
    </row>
    <row r="12681" spans="9:19" x14ac:dyDescent="0.25">
      <c r="I12681" s="1"/>
      <c r="J12681" s="71"/>
      <c r="M12681" s="46"/>
      <c r="R12681" s="51"/>
      <c r="S12681" s="51"/>
    </row>
    <row r="12682" spans="9:19" x14ac:dyDescent="0.25">
      <c r="I12682" s="1"/>
      <c r="J12682" s="71"/>
      <c r="M12682" s="46"/>
      <c r="R12682" s="51"/>
      <c r="S12682" s="51"/>
    </row>
    <row r="12683" spans="9:19" x14ac:dyDescent="0.25">
      <c r="I12683" s="1"/>
      <c r="J12683" s="71"/>
      <c r="M12683" s="46"/>
      <c r="R12683" s="51"/>
      <c r="S12683" s="51"/>
    </row>
    <row r="12684" spans="9:19" x14ac:dyDescent="0.25">
      <c r="I12684" s="1"/>
      <c r="J12684" s="71"/>
      <c r="M12684" s="46"/>
      <c r="R12684" s="51"/>
      <c r="S12684" s="51"/>
    </row>
    <row r="12685" spans="9:19" x14ac:dyDescent="0.25">
      <c r="I12685" s="1"/>
      <c r="J12685" s="71"/>
      <c r="M12685" s="46"/>
      <c r="R12685" s="51"/>
      <c r="S12685" s="51"/>
    </row>
    <row r="12686" spans="9:19" x14ac:dyDescent="0.25">
      <c r="I12686" s="1"/>
      <c r="J12686" s="71"/>
      <c r="M12686" s="46"/>
      <c r="R12686" s="51"/>
      <c r="S12686" s="51"/>
    </row>
    <row r="12687" spans="9:19" x14ac:dyDescent="0.25">
      <c r="I12687" s="1"/>
      <c r="J12687" s="71"/>
      <c r="M12687" s="46"/>
      <c r="R12687" s="51"/>
      <c r="S12687" s="51"/>
    </row>
    <row r="12688" spans="9:19" x14ac:dyDescent="0.25">
      <c r="I12688" s="1"/>
      <c r="J12688" s="71"/>
      <c r="M12688" s="46"/>
      <c r="R12688" s="51"/>
      <c r="S12688" s="51"/>
    </row>
    <row r="12689" spans="9:19" x14ac:dyDescent="0.25">
      <c r="I12689" s="1"/>
      <c r="J12689" s="71"/>
      <c r="M12689" s="46"/>
      <c r="R12689" s="51"/>
      <c r="S12689" s="51"/>
    </row>
    <row r="12690" spans="9:19" x14ac:dyDescent="0.25">
      <c r="I12690" s="1"/>
      <c r="J12690" s="71"/>
      <c r="M12690" s="46"/>
      <c r="R12690" s="51"/>
      <c r="S12690" s="51"/>
    </row>
    <row r="12691" spans="9:19" x14ac:dyDescent="0.25">
      <c r="I12691" s="1"/>
      <c r="J12691" s="71"/>
      <c r="M12691" s="46"/>
      <c r="R12691" s="51"/>
      <c r="S12691" s="51"/>
    </row>
    <row r="12692" spans="9:19" x14ac:dyDescent="0.25">
      <c r="I12692" s="1"/>
      <c r="J12692" s="71"/>
      <c r="M12692" s="46"/>
      <c r="R12692" s="51"/>
      <c r="S12692" s="51"/>
    </row>
    <row r="12693" spans="9:19" x14ac:dyDescent="0.25">
      <c r="I12693" s="1"/>
      <c r="J12693" s="71"/>
      <c r="M12693" s="46"/>
      <c r="R12693" s="51"/>
      <c r="S12693" s="51"/>
    </row>
    <row r="12694" spans="9:19" x14ac:dyDescent="0.25">
      <c r="I12694" s="1"/>
      <c r="J12694" s="71"/>
      <c r="M12694" s="46"/>
      <c r="R12694" s="51"/>
      <c r="S12694" s="51"/>
    </row>
    <row r="12695" spans="9:19" x14ac:dyDescent="0.25">
      <c r="I12695" s="1"/>
      <c r="J12695" s="71"/>
      <c r="M12695" s="46"/>
      <c r="R12695" s="51"/>
      <c r="S12695" s="51"/>
    </row>
    <row r="12696" spans="9:19" x14ac:dyDescent="0.25">
      <c r="I12696" s="1"/>
      <c r="J12696" s="71"/>
      <c r="M12696" s="46"/>
      <c r="R12696" s="51"/>
      <c r="S12696" s="51"/>
    </row>
    <row r="12697" spans="9:19" x14ac:dyDescent="0.25">
      <c r="I12697" s="1"/>
      <c r="J12697" s="71"/>
      <c r="M12697" s="46"/>
      <c r="R12697" s="51"/>
      <c r="S12697" s="51"/>
    </row>
    <row r="12698" spans="9:19" x14ac:dyDescent="0.25">
      <c r="I12698" s="1"/>
      <c r="J12698" s="71"/>
      <c r="M12698" s="46"/>
      <c r="R12698" s="51"/>
      <c r="S12698" s="51"/>
    </row>
    <row r="12699" spans="9:19" x14ac:dyDescent="0.25">
      <c r="I12699" s="1"/>
      <c r="J12699" s="71"/>
      <c r="M12699" s="46"/>
      <c r="R12699" s="51"/>
      <c r="S12699" s="51"/>
    </row>
    <row r="12700" spans="9:19" x14ac:dyDescent="0.25">
      <c r="I12700" s="1"/>
      <c r="J12700" s="71"/>
      <c r="M12700" s="46"/>
      <c r="R12700" s="51"/>
      <c r="S12700" s="51"/>
    </row>
    <row r="12701" spans="9:19" x14ac:dyDescent="0.25">
      <c r="I12701" s="1"/>
      <c r="J12701" s="71"/>
      <c r="M12701" s="46"/>
      <c r="R12701" s="51"/>
      <c r="S12701" s="51"/>
    </row>
    <row r="12702" spans="9:19" x14ac:dyDescent="0.25">
      <c r="I12702" s="1"/>
      <c r="J12702" s="71"/>
      <c r="M12702" s="46"/>
      <c r="R12702" s="51"/>
      <c r="S12702" s="51"/>
    </row>
    <row r="12703" spans="9:19" x14ac:dyDescent="0.25">
      <c r="I12703" s="1"/>
      <c r="J12703" s="71"/>
      <c r="M12703" s="46"/>
      <c r="R12703" s="51"/>
      <c r="S12703" s="51"/>
    </row>
    <row r="12704" spans="9:19" x14ac:dyDescent="0.25">
      <c r="I12704" s="1"/>
      <c r="J12704" s="71"/>
      <c r="M12704" s="46"/>
      <c r="R12704" s="51"/>
      <c r="S12704" s="51"/>
    </row>
    <row r="12705" spans="9:19" x14ac:dyDescent="0.25">
      <c r="I12705" s="1"/>
      <c r="J12705" s="71"/>
      <c r="M12705" s="46"/>
      <c r="R12705" s="51"/>
      <c r="S12705" s="51"/>
    </row>
    <row r="12706" spans="9:19" x14ac:dyDescent="0.25">
      <c r="I12706" s="1"/>
      <c r="J12706" s="71"/>
      <c r="M12706" s="46"/>
      <c r="R12706" s="51"/>
      <c r="S12706" s="51"/>
    </row>
    <row r="12707" spans="9:19" x14ac:dyDescent="0.25">
      <c r="I12707" s="1"/>
      <c r="J12707" s="71"/>
      <c r="M12707" s="46"/>
      <c r="R12707" s="51"/>
      <c r="S12707" s="51"/>
    </row>
    <row r="12708" spans="9:19" x14ac:dyDescent="0.25">
      <c r="I12708" s="1"/>
      <c r="J12708" s="71"/>
      <c r="M12708" s="46"/>
      <c r="R12708" s="51"/>
      <c r="S12708" s="51"/>
    </row>
    <row r="12709" spans="9:19" x14ac:dyDescent="0.25">
      <c r="I12709" s="1"/>
      <c r="J12709" s="71"/>
      <c r="M12709" s="46"/>
      <c r="R12709" s="51"/>
      <c r="S12709" s="51"/>
    </row>
    <row r="12710" spans="9:19" x14ac:dyDescent="0.25">
      <c r="I12710" s="1"/>
      <c r="J12710" s="71"/>
      <c r="M12710" s="46"/>
      <c r="R12710" s="51"/>
      <c r="S12710" s="51"/>
    </row>
    <row r="12711" spans="9:19" x14ac:dyDescent="0.25">
      <c r="I12711" s="1"/>
      <c r="J12711" s="71"/>
      <c r="M12711" s="46"/>
      <c r="R12711" s="51"/>
      <c r="S12711" s="51"/>
    </row>
    <row r="12712" spans="9:19" x14ac:dyDescent="0.25">
      <c r="I12712" s="1"/>
      <c r="J12712" s="71"/>
      <c r="M12712" s="46"/>
      <c r="R12712" s="51"/>
      <c r="S12712" s="51"/>
    </row>
    <row r="12713" spans="9:19" x14ac:dyDescent="0.25">
      <c r="I12713" s="1"/>
      <c r="J12713" s="71"/>
      <c r="M12713" s="46"/>
      <c r="R12713" s="51"/>
      <c r="S12713" s="51"/>
    </row>
    <row r="12714" spans="9:19" x14ac:dyDescent="0.25">
      <c r="I12714" s="1"/>
      <c r="J12714" s="71"/>
      <c r="M12714" s="46"/>
      <c r="R12714" s="51"/>
      <c r="S12714" s="51"/>
    </row>
    <row r="12715" spans="9:19" x14ac:dyDescent="0.25">
      <c r="I12715" s="1"/>
      <c r="J12715" s="71"/>
      <c r="M12715" s="46"/>
      <c r="R12715" s="51"/>
      <c r="S12715" s="51"/>
    </row>
    <row r="12716" spans="9:19" x14ac:dyDescent="0.25">
      <c r="I12716" s="1"/>
      <c r="J12716" s="71"/>
      <c r="M12716" s="46"/>
      <c r="R12716" s="51"/>
      <c r="S12716" s="51"/>
    </row>
    <row r="12717" spans="9:19" x14ac:dyDescent="0.25">
      <c r="I12717" s="1"/>
      <c r="J12717" s="71"/>
      <c r="M12717" s="46"/>
      <c r="R12717" s="51"/>
      <c r="S12717" s="51"/>
    </row>
    <row r="12718" spans="9:19" x14ac:dyDescent="0.25">
      <c r="I12718" s="1"/>
      <c r="J12718" s="71"/>
      <c r="M12718" s="46"/>
      <c r="R12718" s="51"/>
      <c r="S12718" s="51"/>
    </row>
    <row r="12719" spans="9:19" x14ac:dyDescent="0.25">
      <c r="I12719" s="1"/>
      <c r="J12719" s="71"/>
      <c r="M12719" s="46"/>
      <c r="R12719" s="51"/>
      <c r="S12719" s="51"/>
    </row>
    <row r="12720" spans="9:19" x14ac:dyDescent="0.25">
      <c r="I12720" s="1"/>
      <c r="J12720" s="71"/>
      <c r="M12720" s="46"/>
      <c r="R12720" s="51"/>
      <c r="S12720" s="51"/>
    </row>
    <row r="12721" spans="9:19" x14ac:dyDescent="0.25">
      <c r="I12721" s="1"/>
      <c r="J12721" s="71"/>
      <c r="M12721" s="46"/>
      <c r="R12721" s="51"/>
      <c r="S12721" s="51"/>
    </row>
    <row r="12722" spans="9:19" x14ac:dyDescent="0.25">
      <c r="I12722" s="1"/>
      <c r="J12722" s="71"/>
      <c r="M12722" s="46"/>
      <c r="R12722" s="51"/>
      <c r="S12722" s="51"/>
    </row>
    <row r="12723" spans="9:19" x14ac:dyDescent="0.25">
      <c r="I12723" s="1"/>
      <c r="J12723" s="71"/>
      <c r="M12723" s="46"/>
      <c r="R12723" s="51"/>
      <c r="S12723" s="51"/>
    </row>
    <row r="12724" spans="9:19" x14ac:dyDescent="0.25">
      <c r="I12724" s="1"/>
      <c r="J12724" s="71"/>
      <c r="M12724" s="46"/>
      <c r="R12724" s="51"/>
      <c r="S12724" s="51"/>
    </row>
    <row r="12725" spans="9:19" x14ac:dyDescent="0.25">
      <c r="I12725" s="1"/>
      <c r="J12725" s="71"/>
      <c r="M12725" s="46"/>
      <c r="R12725" s="51"/>
      <c r="S12725" s="51"/>
    </row>
    <row r="12726" spans="9:19" x14ac:dyDescent="0.25">
      <c r="I12726" s="1"/>
      <c r="J12726" s="71"/>
      <c r="M12726" s="46"/>
      <c r="R12726" s="51"/>
      <c r="S12726" s="51"/>
    </row>
    <row r="12727" spans="9:19" x14ac:dyDescent="0.25">
      <c r="I12727" s="1"/>
      <c r="J12727" s="71"/>
      <c r="M12727" s="46"/>
      <c r="R12727" s="51"/>
      <c r="S12727" s="51"/>
    </row>
    <row r="12728" spans="9:19" x14ac:dyDescent="0.25">
      <c r="I12728" s="1"/>
      <c r="J12728" s="71"/>
      <c r="M12728" s="46"/>
      <c r="R12728" s="51"/>
      <c r="S12728" s="51"/>
    </row>
    <row r="12729" spans="9:19" x14ac:dyDescent="0.25">
      <c r="I12729" s="1"/>
      <c r="J12729" s="71"/>
      <c r="M12729" s="46"/>
      <c r="R12729" s="51"/>
      <c r="S12729" s="51"/>
    </row>
    <row r="12730" spans="9:19" x14ac:dyDescent="0.25">
      <c r="I12730" s="1"/>
      <c r="J12730" s="71"/>
      <c r="M12730" s="46"/>
      <c r="R12730" s="51"/>
      <c r="S12730" s="51"/>
    </row>
    <row r="12731" spans="9:19" x14ac:dyDescent="0.25">
      <c r="I12731" s="1"/>
      <c r="J12731" s="71"/>
      <c r="M12731" s="46"/>
      <c r="R12731" s="51"/>
      <c r="S12731" s="51"/>
    </row>
    <row r="12732" spans="9:19" x14ac:dyDescent="0.25">
      <c r="I12732" s="1"/>
      <c r="J12732" s="71"/>
      <c r="M12732" s="46"/>
      <c r="R12732" s="51"/>
      <c r="S12732" s="51"/>
    </row>
    <row r="12733" spans="9:19" x14ac:dyDescent="0.25">
      <c r="I12733" s="1"/>
      <c r="J12733" s="71"/>
      <c r="M12733" s="46"/>
      <c r="R12733" s="51"/>
      <c r="S12733" s="51"/>
    </row>
    <row r="12734" spans="9:19" x14ac:dyDescent="0.25">
      <c r="I12734" s="1"/>
      <c r="J12734" s="71"/>
      <c r="M12734" s="46"/>
      <c r="R12734" s="51"/>
      <c r="S12734" s="51"/>
    </row>
    <row r="12735" spans="9:19" x14ac:dyDescent="0.25">
      <c r="I12735" s="1"/>
      <c r="J12735" s="71"/>
      <c r="M12735" s="46"/>
      <c r="R12735" s="51"/>
      <c r="S12735" s="51"/>
    </row>
    <row r="12736" spans="9:19" x14ac:dyDescent="0.25">
      <c r="I12736" s="1"/>
      <c r="J12736" s="71"/>
      <c r="M12736" s="46"/>
      <c r="R12736" s="51"/>
      <c r="S12736" s="51"/>
    </row>
    <row r="12737" spans="9:19" x14ac:dyDescent="0.25">
      <c r="I12737" s="1"/>
      <c r="J12737" s="71"/>
      <c r="M12737" s="46"/>
      <c r="R12737" s="51"/>
      <c r="S12737" s="51"/>
    </row>
    <row r="12738" spans="9:19" x14ac:dyDescent="0.25">
      <c r="I12738" s="1"/>
      <c r="J12738" s="71"/>
      <c r="M12738" s="46"/>
      <c r="R12738" s="51"/>
      <c r="S12738" s="51"/>
    </row>
    <row r="12739" spans="9:19" x14ac:dyDescent="0.25">
      <c r="I12739" s="1"/>
      <c r="J12739" s="71"/>
      <c r="M12739" s="46"/>
      <c r="R12739" s="51"/>
      <c r="S12739" s="51"/>
    </row>
    <row r="12740" spans="9:19" x14ac:dyDescent="0.25">
      <c r="I12740" s="1"/>
      <c r="J12740" s="71"/>
      <c r="M12740" s="46"/>
      <c r="R12740" s="51"/>
      <c r="S12740" s="51"/>
    </row>
    <row r="12741" spans="9:19" x14ac:dyDescent="0.25">
      <c r="I12741" s="1"/>
      <c r="J12741" s="71"/>
      <c r="M12741" s="46"/>
      <c r="R12741" s="51"/>
      <c r="S12741" s="51"/>
    </row>
    <row r="12742" spans="9:19" x14ac:dyDescent="0.25">
      <c r="I12742" s="1"/>
      <c r="J12742" s="71"/>
      <c r="M12742" s="46"/>
      <c r="R12742" s="51"/>
      <c r="S12742" s="51"/>
    </row>
    <row r="12743" spans="9:19" x14ac:dyDescent="0.25">
      <c r="I12743" s="1"/>
      <c r="J12743" s="71"/>
      <c r="M12743" s="46"/>
      <c r="R12743" s="51"/>
      <c r="S12743" s="51"/>
    </row>
    <row r="12744" spans="9:19" x14ac:dyDescent="0.25">
      <c r="I12744" s="1"/>
      <c r="J12744" s="71"/>
      <c r="M12744" s="46"/>
      <c r="R12744" s="51"/>
      <c r="S12744" s="51"/>
    </row>
    <row r="12745" spans="9:19" x14ac:dyDescent="0.25">
      <c r="I12745" s="1"/>
      <c r="J12745" s="71"/>
      <c r="M12745" s="46"/>
      <c r="R12745" s="51"/>
      <c r="S12745" s="51"/>
    </row>
    <row r="12746" spans="9:19" x14ac:dyDescent="0.25">
      <c r="I12746" s="1"/>
      <c r="J12746" s="71"/>
      <c r="M12746" s="46"/>
      <c r="R12746" s="51"/>
      <c r="S12746" s="51"/>
    </row>
    <row r="12747" spans="9:19" x14ac:dyDescent="0.25">
      <c r="I12747" s="1"/>
      <c r="J12747" s="71"/>
      <c r="M12747" s="46"/>
      <c r="R12747" s="51"/>
      <c r="S12747" s="51"/>
    </row>
    <row r="12748" spans="9:19" x14ac:dyDescent="0.25">
      <c r="I12748" s="1"/>
      <c r="J12748" s="71"/>
      <c r="M12748" s="46"/>
      <c r="R12748" s="51"/>
      <c r="S12748" s="51"/>
    </row>
    <row r="12749" spans="9:19" x14ac:dyDescent="0.25">
      <c r="I12749" s="1"/>
      <c r="J12749" s="71"/>
      <c r="M12749" s="46"/>
      <c r="R12749" s="51"/>
      <c r="S12749" s="51"/>
    </row>
    <row r="12750" spans="9:19" x14ac:dyDescent="0.25">
      <c r="I12750" s="1"/>
      <c r="J12750" s="71"/>
      <c r="M12750" s="46"/>
      <c r="R12750" s="51"/>
      <c r="S12750" s="51"/>
    </row>
    <row r="12751" spans="9:19" x14ac:dyDescent="0.25">
      <c r="I12751" s="1"/>
      <c r="J12751" s="71"/>
      <c r="M12751" s="46"/>
      <c r="R12751" s="51"/>
      <c r="S12751" s="51"/>
    </row>
    <row r="12752" spans="9:19" x14ac:dyDescent="0.25">
      <c r="I12752" s="1"/>
      <c r="J12752" s="71"/>
      <c r="M12752" s="46"/>
      <c r="R12752" s="51"/>
      <c r="S12752" s="51"/>
    </row>
    <row r="12753" spans="9:19" x14ac:dyDescent="0.25">
      <c r="I12753" s="1"/>
      <c r="J12753" s="71"/>
      <c r="M12753" s="46"/>
      <c r="R12753" s="51"/>
      <c r="S12753" s="51"/>
    </row>
    <row r="12754" spans="9:19" x14ac:dyDescent="0.25">
      <c r="I12754" s="1"/>
      <c r="J12754" s="71"/>
      <c r="M12754" s="46"/>
      <c r="R12754" s="51"/>
      <c r="S12754" s="51"/>
    </row>
    <row r="12755" spans="9:19" x14ac:dyDescent="0.25">
      <c r="I12755" s="1"/>
      <c r="J12755" s="71"/>
      <c r="M12755" s="46"/>
      <c r="R12755" s="51"/>
      <c r="S12755" s="51"/>
    </row>
    <row r="12756" spans="9:19" x14ac:dyDescent="0.25">
      <c r="I12756" s="1"/>
      <c r="J12756" s="71"/>
      <c r="M12756" s="46"/>
      <c r="R12756" s="51"/>
      <c r="S12756" s="51"/>
    </row>
    <row r="12757" spans="9:19" x14ac:dyDescent="0.25">
      <c r="I12757" s="1"/>
      <c r="J12757" s="71"/>
      <c r="M12757" s="46"/>
      <c r="R12757" s="51"/>
      <c r="S12757" s="51"/>
    </row>
    <row r="12758" spans="9:19" x14ac:dyDescent="0.25">
      <c r="I12758" s="1"/>
      <c r="J12758" s="71"/>
      <c r="M12758" s="46"/>
      <c r="R12758" s="51"/>
      <c r="S12758" s="51"/>
    </row>
    <row r="12759" spans="9:19" x14ac:dyDescent="0.25">
      <c r="I12759" s="1"/>
      <c r="J12759" s="71"/>
      <c r="M12759" s="46"/>
      <c r="R12759" s="51"/>
      <c r="S12759" s="51"/>
    </row>
    <row r="12760" spans="9:19" x14ac:dyDescent="0.25">
      <c r="I12760" s="1"/>
      <c r="J12760" s="71"/>
      <c r="M12760" s="46"/>
      <c r="R12760" s="51"/>
      <c r="S12760" s="51"/>
    </row>
    <row r="12761" spans="9:19" x14ac:dyDescent="0.25">
      <c r="I12761" s="1"/>
      <c r="J12761" s="71"/>
      <c r="M12761" s="46"/>
      <c r="R12761" s="51"/>
      <c r="S12761" s="51"/>
    </row>
    <row r="12762" spans="9:19" x14ac:dyDescent="0.25">
      <c r="I12762" s="1"/>
      <c r="J12762" s="71"/>
      <c r="M12762" s="46"/>
      <c r="R12762" s="51"/>
      <c r="S12762" s="51"/>
    </row>
    <row r="12763" spans="9:19" x14ac:dyDescent="0.25">
      <c r="I12763" s="1"/>
      <c r="J12763" s="71"/>
      <c r="M12763" s="46"/>
      <c r="R12763" s="51"/>
      <c r="S12763" s="51"/>
    </row>
    <row r="12764" spans="9:19" x14ac:dyDescent="0.25">
      <c r="I12764" s="1"/>
      <c r="J12764" s="71"/>
      <c r="M12764" s="46"/>
      <c r="R12764" s="51"/>
      <c r="S12764" s="51"/>
    </row>
    <row r="12765" spans="9:19" x14ac:dyDescent="0.25">
      <c r="I12765" s="1"/>
      <c r="J12765" s="71"/>
      <c r="M12765" s="46"/>
      <c r="R12765" s="51"/>
      <c r="S12765" s="51"/>
    </row>
    <row r="12766" spans="9:19" x14ac:dyDescent="0.25">
      <c r="I12766" s="1"/>
      <c r="J12766" s="71"/>
      <c r="M12766" s="46"/>
      <c r="R12766" s="51"/>
      <c r="S12766" s="51"/>
    </row>
    <row r="12767" spans="9:19" x14ac:dyDescent="0.25">
      <c r="I12767" s="1"/>
      <c r="J12767" s="71"/>
      <c r="M12767" s="46"/>
      <c r="R12767" s="51"/>
      <c r="S12767" s="51"/>
    </row>
    <row r="12768" spans="9:19" x14ac:dyDescent="0.25">
      <c r="I12768" s="1"/>
      <c r="J12768" s="71"/>
      <c r="M12768" s="46"/>
      <c r="R12768" s="51"/>
      <c r="S12768" s="51"/>
    </row>
    <row r="12769" spans="9:19" x14ac:dyDescent="0.25">
      <c r="I12769" s="1"/>
      <c r="J12769" s="71"/>
      <c r="M12769" s="46"/>
      <c r="R12769" s="51"/>
      <c r="S12769" s="51"/>
    </row>
    <row r="12770" spans="9:19" x14ac:dyDescent="0.25">
      <c r="I12770" s="1"/>
      <c r="J12770" s="71"/>
      <c r="M12770" s="46"/>
      <c r="R12770" s="51"/>
      <c r="S12770" s="51"/>
    </row>
    <row r="12771" spans="9:19" x14ac:dyDescent="0.25">
      <c r="I12771" s="1"/>
      <c r="J12771" s="71"/>
      <c r="M12771" s="46"/>
      <c r="R12771" s="51"/>
      <c r="S12771" s="51"/>
    </row>
    <row r="12772" spans="9:19" x14ac:dyDescent="0.25">
      <c r="I12772" s="1"/>
      <c r="J12772" s="71"/>
      <c r="M12772" s="46"/>
      <c r="R12772" s="51"/>
      <c r="S12772" s="51"/>
    </row>
    <row r="12773" spans="9:19" x14ac:dyDescent="0.25">
      <c r="I12773" s="1"/>
      <c r="J12773" s="71"/>
      <c r="M12773" s="46"/>
      <c r="R12773" s="51"/>
      <c r="S12773" s="51"/>
    </row>
    <row r="12774" spans="9:19" x14ac:dyDescent="0.25">
      <c r="I12774" s="1"/>
      <c r="J12774" s="71"/>
      <c r="M12774" s="46"/>
      <c r="R12774" s="51"/>
      <c r="S12774" s="51"/>
    </row>
    <row r="12775" spans="9:19" x14ac:dyDescent="0.25">
      <c r="I12775" s="1"/>
      <c r="J12775" s="71"/>
      <c r="M12775" s="46"/>
      <c r="R12775" s="51"/>
      <c r="S12775" s="51"/>
    </row>
    <row r="12776" spans="9:19" x14ac:dyDescent="0.25">
      <c r="I12776" s="1"/>
      <c r="J12776" s="71"/>
      <c r="M12776" s="46"/>
      <c r="R12776" s="51"/>
      <c r="S12776" s="51"/>
    </row>
    <row r="12777" spans="9:19" x14ac:dyDescent="0.25">
      <c r="I12777" s="1"/>
      <c r="J12777" s="71"/>
      <c r="M12777" s="46"/>
      <c r="R12777" s="51"/>
      <c r="S12777" s="51"/>
    </row>
    <row r="12778" spans="9:19" x14ac:dyDescent="0.25">
      <c r="I12778" s="1"/>
      <c r="J12778" s="71"/>
      <c r="M12778" s="46"/>
      <c r="R12778" s="51"/>
      <c r="S12778" s="51"/>
    </row>
    <row r="12779" spans="9:19" x14ac:dyDescent="0.25">
      <c r="I12779" s="1"/>
      <c r="J12779" s="71"/>
      <c r="M12779" s="46"/>
      <c r="R12779" s="51"/>
      <c r="S12779" s="51"/>
    </row>
    <row r="12780" spans="9:19" x14ac:dyDescent="0.25">
      <c r="I12780" s="1"/>
      <c r="J12780" s="71"/>
      <c r="M12780" s="46"/>
      <c r="R12780" s="51"/>
      <c r="S12780" s="51"/>
    </row>
    <row r="12781" spans="9:19" x14ac:dyDescent="0.25">
      <c r="I12781" s="1"/>
      <c r="J12781" s="71"/>
      <c r="M12781" s="46"/>
      <c r="R12781" s="51"/>
      <c r="S12781" s="51"/>
    </row>
    <row r="12782" spans="9:19" x14ac:dyDescent="0.25">
      <c r="I12782" s="1"/>
      <c r="J12782" s="71"/>
      <c r="M12782" s="46"/>
      <c r="R12782" s="51"/>
      <c r="S12782" s="51"/>
    </row>
    <row r="12783" spans="9:19" x14ac:dyDescent="0.25">
      <c r="I12783" s="1"/>
      <c r="J12783" s="71"/>
      <c r="M12783" s="46"/>
      <c r="R12783" s="51"/>
      <c r="S12783" s="51"/>
    </row>
    <row r="12784" spans="9:19" x14ac:dyDescent="0.25">
      <c r="I12784" s="1"/>
      <c r="J12784" s="71"/>
      <c r="M12784" s="46"/>
      <c r="R12784" s="51"/>
      <c r="S12784" s="51"/>
    </row>
    <row r="12785" spans="9:19" x14ac:dyDescent="0.25">
      <c r="I12785" s="1"/>
      <c r="J12785" s="71"/>
      <c r="M12785" s="46"/>
      <c r="R12785" s="51"/>
      <c r="S12785" s="51"/>
    </row>
    <row r="12786" spans="9:19" x14ac:dyDescent="0.25">
      <c r="I12786" s="1"/>
      <c r="J12786" s="71"/>
      <c r="M12786" s="46"/>
      <c r="R12786" s="51"/>
      <c r="S12786" s="51"/>
    </row>
    <row r="12787" spans="9:19" x14ac:dyDescent="0.25">
      <c r="I12787" s="1"/>
      <c r="J12787" s="71"/>
      <c r="M12787" s="46"/>
      <c r="R12787" s="51"/>
      <c r="S12787" s="51"/>
    </row>
    <row r="12788" spans="9:19" x14ac:dyDescent="0.25">
      <c r="I12788" s="1"/>
      <c r="J12788" s="71"/>
      <c r="M12788" s="46"/>
      <c r="R12788" s="51"/>
      <c r="S12788" s="51"/>
    </row>
    <row r="12789" spans="9:19" x14ac:dyDescent="0.25">
      <c r="I12789" s="1"/>
      <c r="J12789" s="71"/>
      <c r="M12789" s="46"/>
      <c r="R12789" s="51"/>
      <c r="S12789" s="51"/>
    </row>
    <row r="12790" spans="9:19" x14ac:dyDescent="0.25">
      <c r="I12790" s="1"/>
      <c r="J12790" s="71"/>
      <c r="M12790" s="46"/>
      <c r="R12790" s="51"/>
      <c r="S12790" s="51"/>
    </row>
    <row r="12791" spans="9:19" x14ac:dyDescent="0.25">
      <c r="I12791" s="1"/>
      <c r="J12791" s="71"/>
      <c r="M12791" s="46"/>
      <c r="R12791" s="51"/>
      <c r="S12791" s="51"/>
    </row>
    <row r="12792" spans="9:19" x14ac:dyDescent="0.25">
      <c r="I12792" s="1"/>
      <c r="J12792" s="71"/>
      <c r="M12792" s="46"/>
      <c r="R12792" s="51"/>
      <c r="S12792" s="51"/>
    </row>
    <row r="12793" spans="9:19" x14ac:dyDescent="0.25">
      <c r="I12793" s="1"/>
      <c r="J12793" s="71"/>
      <c r="M12793" s="46"/>
      <c r="R12793" s="51"/>
      <c r="S12793" s="51"/>
    </row>
    <row r="12794" spans="9:19" x14ac:dyDescent="0.25">
      <c r="I12794" s="1"/>
      <c r="J12794" s="71"/>
      <c r="M12794" s="46"/>
      <c r="R12794" s="51"/>
      <c r="S12794" s="51"/>
    </row>
    <row r="12795" spans="9:19" x14ac:dyDescent="0.25">
      <c r="I12795" s="1"/>
      <c r="J12795" s="71"/>
      <c r="M12795" s="46"/>
      <c r="R12795" s="51"/>
      <c r="S12795" s="51"/>
    </row>
    <row r="12796" spans="9:19" x14ac:dyDescent="0.25">
      <c r="I12796" s="1"/>
      <c r="J12796" s="71"/>
      <c r="M12796" s="46"/>
      <c r="R12796" s="51"/>
      <c r="S12796" s="51"/>
    </row>
    <row r="12797" spans="9:19" x14ac:dyDescent="0.25">
      <c r="I12797" s="1"/>
      <c r="J12797" s="71"/>
      <c r="M12797" s="46"/>
      <c r="R12797" s="51"/>
      <c r="S12797" s="51"/>
    </row>
    <row r="12798" spans="9:19" x14ac:dyDescent="0.25">
      <c r="I12798" s="1"/>
      <c r="J12798" s="71"/>
      <c r="M12798" s="46"/>
      <c r="R12798" s="51"/>
      <c r="S12798" s="51"/>
    </row>
    <row r="12799" spans="9:19" x14ac:dyDescent="0.25">
      <c r="I12799" s="1"/>
      <c r="J12799" s="71"/>
      <c r="M12799" s="46"/>
      <c r="R12799" s="51"/>
      <c r="S12799" s="51"/>
    </row>
    <row r="12800" spans="9:19" x14ac:dyDescent="0.25">
      <c r="I12800" s="1"/>
      <c r="J12800" s="71"/>
      <c r="M12800" s="46"/>
      <c r="R12800" s="51"/>
      <c r="S12800" s="51"/>
    </row>
    <row r="12801" spans="9:19" x14ac:dyDescent="0.25">
      <c r="I12801" s="1"/>
      <c r="J12801" s="71"/>
      <c r="M12801" s="46"/>
      <c r="R12801" s="51"/>
      <c r="S12801" s="51"/>
    </row>
    <row r="12802" spans="9:19" x14ac:dyDescent="0.25">
      <c r="I12802" s="1"/>
      <c r="J12802" s="71"/>
      <c r="M12802" s="46"/>
      <c r="R12802" s="51"/>
      <c r="S12802" s="51"/>
    </row>
    <row r="12803" spans="9:19" x14ac:dyDescent="0.25">
      <c r="I12803" s="1"/>
      <c r="J12803" s="71"/>
      <c r="M12803" s="46"/>
      <c r="R12803" s="51"/>
      <c r="S12803" s="51"/>
    </row>
    <row r="12804" spans="9:19" x14ac:dyDescent="0.25">
      <c r="I12804" s="1"/>
      <c r="J12804" s="71"/>
      <c r="M12804" s="46"/>
      <c r="R12804" s="51"/>
      <c r="S12804" s="51"/>
    </row>
    <row r="12805" spans="9:19" x14ac:dyDescent="0.25">
      <c r="I12805" s="1"/>
      <c r="J12805" s="71"/>
      <c r="M12805" s="46"/>
      <c r="R12805" s="51"/>
      <c r="S12805" s="51"/>
    </row>
    <row r="12806" spans="9:19" x14ac:dyDescent="0.25">
      <c r="I12806" s="1"/>
      <c r="J12806" s="71"/>
      <c r="M12806" s="46"/>
      <c r="R12806" s="51"/>
      <c r="S12806" s="51"/>
    </row>
    <row r="12807" spans="9:19" x14ac:dyDescent="0.25">
      <c r="I12807" s="1"/>
      <c r="J12807" s="71"/>
      <c r="M12807" s="46"/>
      <c r="R12807" s="51"/>
      <c r="S12807" s="51"/>
    </row>
    <row r="12808" spans="9:19" x14ac:dyDescent="0.25">
      <c r="I12808" s="1"/>
      <c r="J12808" s="71"/>
      <c r="M12808" s="46"/>
      <c r="R12808" s="51"/>
      <c r="S12808" s="51"/>
    </row>
    <row r="12809" spans="9:19" x14ac:dyDescent="0.25">
      <c r="I12809" s="1"/>
      <c r="J12809" s="71"/>
      <c r="M12809" s="46"/>
      <c r="R12809" s="51"/>
      <c r="S12809" s="51"/>
    </row>
    <row r="12810" spans="9:19" x14ac:dyDescent="0.25">
      <c r="I12810" s="1"/>
      <c r="J12810" s="71"/>
      <c r="M12810" s="46"/>
      <c r="R12810" s="51"/>
      <c r="S12810" s="51"/>
    </row>
    <row r="12811" spans="9:19" x14ac:dyDescent="0.25">
      <c r="I12811" s="1"/>
      <c r="J12811" s="71"/>
      <c r="M12811" s="46"/>
      <c r="R12811" s="51"/>
      <c r="S12811" s="51"/>
    </row>
    <row r="12812" spans="9:19" x14ac:dyDescent="0.25">
      <c r="I12812" s="1"/>
      <c r="J12812" s="71"/>
      <c r="M12812" s="46"/>
      <c r="R12812" s="51"/>
      <c r="S12812" s="51"/>
    </row>
    <row r="12813" spans="9:19" x14ac:dyDescent="0.25">
      <c r="I12813" s="1"/>
      <c r="J12813" s="71"/>
      <c r="M12813" s="46"/>
      <c r="R12813" s="51"/>
      <c r="S12813" s="51"/>
    </row>
    <row r="12814" spans="9:19" x14ac:dyDescent="0.25">
      <c r="I12814" s="1"/>
      <c r="J12814" s="71"/>
      <c r="M12814" s="46"/>
      <c r="R12814" s="51"/>
      <c r="S12814" s="51"/>
    </row>
    <row r="12815" spans="9:19" x14ac:dyDescent="0.25">
      <c r="I12815" s="1"/>
      <c r="J12815" s="71"/>
      <c r="M12815" s="46"/>
      <c r="R12815" s="51"/>
      <c r="S12815" s="51"/>
    </row>
    <row r="12816" spans="9:19" x14ac:dyDescent="0.25">
      <c r="I12816" s="1"/>
      <c r="J12816" s="71"/>
      <c r="M12816" s="46"/>
      <c r="R12816" s="51"/>
      <c r="S12816" s="51"/>
    </row>
    <row r="12817" spans="9:19" x14ac:dyDescent="0.25">
      <c r="I12817" s="1"/>
      <c r="J12817" s="71"/>
      <c r="M12817" s="46"/>
      <c r="R12817" s="51"/>
      <c r="S12817" s="51"/>
    </row>
    <row r="12818" spans="9:19" x14ac:dyDescent="0.25">
      <c r="I12818" s="1"/>
      <c r="J12818" s="71"/>
      <c r="M12818" s="46"/>
      <c r="R12818" s="51"/>
      <c r="S12818" s="51"/>
    </row>
    <row r="12819" spans="9:19" x14ac:dyDescent="0.25">
      <c r="I12819" s="1"/>
      <c r="J12819" s="71"/>
      <c r="M12819" s="46"/>
      <c r="R12819" s="51"/>
      <c r="S12819" s="51"/>
    </row>
    <row r="12820" spans="9:19" x14ac:dyDescent="0.25">
      <c r="I12820" s="1"/>
      <c r="J12820" s="71"/>
      <c r="M12820" s="46"/>
      <c r="R12820" s="51"/>
      <c r="S12820" s="51"/>
    </row>
    <row r="12821" spans="9:19" x14ac:dyDescent="0.25">
      <c r="I12821" s="1"/>
      <c r="J12821" s="71"/>
      <c r="M12821" s="46"/>
      <c r="R12821" s="51"/>
      <c r="S12821" s="51"/>
    </row>
    <row r="12822" spans="9:19" x14ac:dyDescent="0.25">
      <c r="I12822" s="1"/>
      <c r="J12822" s="71"/>
      <c r="M12822" s="46"/>
      <c r="R12822" s="51"/>
      <c r="S12822" s="51"/>
    </row>
    <row r="12823" spans="9:19" x14ac:dyDescent="0.25">
      <c r="I12823" s="1"/>
      <c r="J12823" s="71"/>
      <c r="M12823" s="46"/>
      <c r="R12823" s="51"/>
      <c r="S12823" s="51"/>
    </row>
    <row r="12824" spans="9:19" x14ac:dyDescent="0.25">
      <c r="I12824" s="1"/>
      <c r="J12824" s="71"/>
      <c r="M12824" s="46"/>
      <c r="R12824" s="51"/>
      <c r="S12824" s="51"/>
    </row>
    <row r="12825" spans="9:19" x14ac:dyDescent="0.25">
      <c r="I12825" s="1"/>
      <c r="J12825" s="71"/>
      <c r="M12825" s="46"/>
      <c r="R12825" s="51"/>
      <c r="S12825" s="51"/>
    </row>
    <row r="12826" spans="9:19" x14ac:dyDescent="0.25">
      <c r="I12826" s="1"/>
      <c r="J12826" s="71"/>
      <c r="M12826" s="46"/>
      <c r="R12826" s="51"/>
      <c r="S12826" s="51"/>
    </row>
    <row r="12827" spans="9:19" x14ac:dyDescent="0.25">
      <c r="I12827" s="1"/>
      <c r="J12827" s="71"/>
      <c r="M12827" s="46"/>
      <c r="R12827" s="51"/>
      <c r="S12827" s="51"/>
    </row>
    <row r="12828" spans="9:19" x14ac:dyDescent="0.25">
      <c r="I12828" s="1"/>
      <c r="J12828" s="71"/>
      <c r="M12828" s="46"/>
      <c r="R12828" s="51"/>
      <c r="S12828" s="51"/>
    </row>
    <row r="12829" spans="9:19" x14ac:dyDescent="0.25">
      <c r="I12829" s="1"/>
      <c r="J12829" s="71"/>
      <c r="M12829" s="46"/>
      <c r="R12829" s="51"/>
      <c r="S12829" s="51"/>
    </row>
    <row r="12830" spans="9:19" x14ac:dyDescent="0.25">
      <c r="I12830" s="1"/>
      <c r="J12830" s="71"/>
      <c r="M12830" s="46"/>
      <c r="R12830" s="51"/>
      <c r="S12830" s="51"/>
    </row>
    <row r="12831" spans="9:19" x14ac:dyDescent="0.25">
      <c r="I12831" s="1"/>
      <c r="J12831" s="71"/>
      <c r="M12831" s="46"/>
      <c r="R12831" s="51"/>
      <c r="S12831" s="51"/>
    </row>
    <row r="12832" spans="9:19" x14ac:dyDescent="0.25">
      <c r="I12832" s="1"/>
      <c r="J12832" s="71"/>
      <c r="M12832" s="46"/>
      <c r="R12832" s="51"/>
      <c r="S12832" s="51"/>
    </row>
    <row r="12833" spans="9:19" x14ac:dyDescent="0.25">
      <c r="I12833" s="1"/>
      <c r="J12833" s="71"/>
      <c r="M12833" s="46"/>
      <c r="R12833" s="51"/>
      <c r="S12833" s="51"/>
    </row>
    <row r="12834" spans="9:19" x14ac:dyDescent="0.25">
      <c r="I12834" s="1"/>
      <c r="J12834" s="71"/>
      <c r="M12834" s="46"/>
      <c r="R12834" s="51"/>
      <c r="S12834" s="51"/>
    </row>
    <row r="12835" spans="9:19" x14ac:dyDescent="0.25">
      <c r="I12835" s="1"/>
      <c r="J12835" s="71"/>
      <c r="M12835" s="46"/>
      <c r="R12835" s="51"/>
      <c r="S12835" s="51"/>
    </row>
    <row r="12836" spans="9:19" x14ac:dyDescent="0.25">
      <c r="I12836" s="1"/>
      <c r="J12836" s="71"/>
      <c r="M12836" s="46"/>
      <c r="R12836" s="51"/>
      <c r="S12836" s="51"/>
    </row>
    <row r="12837" spans="9:19" x14ac:dyDescent="0.25">
      <c r="I12837" s="1"/>
      <c r="J12837" s="71"/>
      <c r="M12837" s="46"/>
      <c r="R12837" s="51"/>
      <c r="S12837" s="51"/>
    </row>
    <row r="12838" spans="9:19" x14ac:dyDescent="0.25">
      <c r="I12838" s="1"/>
      <c r="J12838" s="71"/>
      <c r="M12838" s="46"/>
      <c r="R12838" s="51"/>
      <c r="S12838" s="51"/>
    </row>
    <row r="12839" spans="9:19" x14ac:dyDescent="0.25">
      <c r="I12839" s="1"/>
      <c r="J12839" s="71"/>
      <c r="M12839" s="46"/>
      <c r="R12839" s="51"/>
      <c r="S12839" s="51"/>
    </row>
    <row r="12840" spans="9:19" x14ac:dyDescent="0.25">
      <c r="I12840" s="1"/>
      <c r="J12840" s="71"/>
      <c r="M12840" s="46"/>
      <c r="R12840" s="51"/>
      <c r="S12840" s="51"/>
    </row>
    <row r="12841" spans="9:19" x14ac:dyDescent="0.25">
      <c r="I12841" s="1"/>
      <c r="J12841" s="71"/>
      <c r="M12841" s="46"/>
      <c r="R12841" s="51"/>
      <c r="S12841" s="51"/>
    </row>
    <row r="12842" spans="9:19" x14ac:dyDescent="0.25">
      <c r="I12842" s="1"/>
      <c r="J12842" s="71"/>
      <c r="M12842" s="46"/>
      <c r="R12842" s="51"/>
      <c r="S12842" s="51"/>
    </row>
    <row r="12843" spans="9:19" x14ac:dyDescent="0.25">
      <c r="I12843" s="1"/>
      <c r="J12843" s="71"/>
      <c r="M12843" s="46"/>
      <c r="R12843" s="51"/>
      <c r="S12843" s="51"/>
    </row>
    <row r="12844" spans="9:19" x14ac:dyDescent="0.25">
      <c r="I12844" s="1"/>
      <c r="J12844" s="71"/>
      <c r="M12844" s="46"/>
      <c r="R12844" s="51"/>
      <c r="S12844" s="51"/>
    </row>
    <row r="12845" spans="9:19" x14ac:dyDescent="0.25">
      <c r="I12845" s="1"/>
      <c r="J12845" s="71"/>
      <c r="M12845" s="46"/>
      <c r="R12845" s="51"/>
      <c r="S12845" s="51"/>
    </row>
    <row r="12846" spans="9:19" x14ac:dyDescent="0.25">
      <c r="I12846" s="1"/>
      <c r="J12846" s="71"/>
      <c r="M12846" s="46"/>
      <c r="R12846" s="51"/>
      <c r="S12846" s="51"/>
    </row>
    <row r="12847" spans="9:19" x14ac:dyDescent="0.25">
      <c r="I12847" s="1"/>
      <c r="J12847" s="71"/>
      <c r="M12847" s="46"/>
      <c r="R12847" s="51"/>
      <c r="S12847" s="51"/>
    </row>
    <row r="12848" spans="9:19" x14ac:dyDescent="0.25">
      <c r="I12848" s="1"/>
      <c r="J12848" s="71"/>
      <c r="M12848" s="46"/>
      <c r="R12848" s="51"/>
      <c r="S12848" s="51"/>
    </row>
    <row r="12849" spans="9:19" x14ac:dyDescent="0.25">
      <c r="I12849" s="1"/>
      <c r="J12849" s="71"/>
      <c r="M12849" s="46"/>
      <c r="R12849" s="51"/>
      <c r="S12849" s="51"/>
    </row>
    <row r="12850" spans="9:19" x14ac:dyDescent="0.25">
      <c r="I12850" s="1"/>
      <c r="J12850" s="71"/>
      <c r="M12850" s="46"/>
      <c r="R12850" s="51"/>
      <c r="S12850" s="51"/>
    </row>
    <row r="12851" spans="9:19" x14ac:dyDescent="0.25">
      <c r="I12851" s="1"/>
      <c r="J12851" s="71"/>
      <c r="M12851" s="46"/>
      <c r="R12851" s="51"/>
      <c r="S12851" s="51"/>
    </row>
    <row r="12852" spans="9:19" x14ac:dyDescent="0.25">
      <c r="I12852" s="1"/>
      <c r="J12852" s="71"/>
      <c r="M12852" s="46"/>
      <c r="R12852" s="51"/>
      <c r="S12852" s="51"/>
    </row>
    <row r="12853" spans="9:19" x14ac:dyDescent="0.25">
      <c r="I12853" s="1"/>
      <c r="J12853" s="71"/>
      <c r="M12853" s="46"/>
      <c r="R12853" s="51"/>
      <c r="S12853" s="51"/>
    </row>
    <row r="12854" spans="9:19" x14ac:dyDescent="0.25">
      <c r="I12854" s="1"/>
      <c r="J12854" s="71"/>
      <c r="M12854" s="46"/>
      <c r="R12854" s="51"/>
      <c r="S12854" s="51"/>
    </row>
    <row r="12855" spans="9:19" x14ac:dyDescent="0.25">
      <c r="I12855" s="1"/>
      <c r="J12855" s="71"/>
      <c r="M12855" s="46"/>
      <c r="R12855" s="51"/>
      <c r="S12855" s="51"/>
    </row>
    <row r="12856" spans="9:19" x14ac:dyDescent="0.25">
      <c r="I12856" s="1"/>
      <c r="J12856" s="71"/>
      <c r="M12856" s="46"/>
      <c r="R12856" s="51"/>
      <c r="S12856" s="51"/>
    </row>
    <row r="12857" spans="9:19" x14ac:dyDescent="0.25">
      <c r="I12857" s="1"/>
      <c r="J12857" s="71"/>
      <c r="M12857" s="46"/>
      <c r="R12857" s="51"/>
      <c r="S12857" s="51"/>
    </row>
    <row r="12858" spans="9:19" x14ac:dyDescent="0.25">
      <c r="I12858" s="1"/>
      <c r="J12858" s="71"/>
      <c r="M12858" s="46"/>
      <c r="R12858" s="51"/>
      <c r="S12858" s="51"/>
    </row>
    <row r="12859" spans="9:19" x14ac:dyDescent="0.25">
      <c r="I12859" s="1"/>
      <c r="J12859" s="71"/>
      <c r="M12859" s="46"/>
      <c r="R12859" s="51"/>
      <c r="S12859" s="51"/>
    </row>
    <row r="12860" spans="9:19" x14ac:dyDescent="0.25">
      <c r="I12860" s="1"/>
      <c r="J12860" s="71"/>
      <c r="M12860" s="46"/>
      <c r="R12860" s="51"/>
      <c r="S12860" s="51"/>
    </row>
    <row r="12861" spans="9:19" x14ac:dyDescent="0.25">
      <c r="I12861" s="1"/>
      <c r="J12861" s="71"/>
      <c r="M12861" s="46"/>
      <c r="R12861" s="51"/>
      <c r="S12861" s="51"/>
    </row>
    <row r="12862" spans="9:19" x14ac:dyDescent="0.25">
      <c r="I12862" s="1"/>
      <c r="J12862" s="71"/>
      <c r="M12862" s="46"/>
      <c r="R12862" s="51"/>
      <c r="S12862" s="51"/>
    </row>
    <row r="12863" spans="9:19" x14ac:dyDescent="0.25">
      <c r="I12863" s="1"/>
      <c r="J12863" s="71"/>
      <c r="M12863" s="46"/>
      <c r="R12863" s="51"/>
      <c r="S12863" s="51"/>
    </row>
    <row r="12864" spans="9:19" x14ac:dyDescent="0.25">
      <c r="I12864" s="1"/>
      <c r="J12864" s="71"/>
      <c r="M12864" s="46"/>
      <c r="R12864" s="51"/>
      <c r="S12864" s="51"/>
    </row>
    <row r="12865" spans="9:19" x14ac:dyDescent="0.25">
      <c r="I12865" s="1"/>
      <c r="J12865" s="71"/>
      <c r="M12865" s="46"/>
      <c r="R12865" s="51"/>
      <c r="S12865" s="51"/>
    </row>
    <row r="12866" spans="9:19" x14ac:dyDescent="0.25">
      <c r="I12866" s="1"/>
      <c r="J12866" s="71"/>
      <c r="M12866" s="46"/>
      <c r="R12866" s="51"/>
      <c r="S12866" s="51"/>
    </row>
    <row r="12867" spans="9:19" x14ac:dyDescent="0.25">
      <c r="I12867" s="1"/>
      <c r="J12867" s="71"/>
      <c r="M12867" s="46"/>
      <c r="R12867" s="51"/>
      <c r="S12867" s="51"/>
    </row>
    <row r="12868" spans="9:19" x14ac:dyDescent="0.25">
      <c r="I12868" s="1"/>
      <c r="J12868" s="71"/>
      <c r="M12868" s="46"/>
      <c r="R12868" s="51"/>
      <c r="S12868" s="51"/>
    </row>
    <row r="12869" spans="9:19" x14ac:dyDescent="0.25">
      <c r="I12869" s="1"/>
      <c r="J12869" s="71"/>
      <c r="M12869" s="46"/>
      <c r="R12869" s="51"/>
      <c r="S12869" s="51"/>
    </row>
    <row r="12870" spans="9:19" x14ac:dyDescent="0.25">
      <c r="I12870" s="1"/>
      <c r="J12870" s="71"/>
      <c r="M12870" s="46"/>
      <c r="R12870" s="51"/>
      <c r="S12870" s="51"/>
    </row>
    <row r="12871" spans="9:19" x14ac:dyDescent="0.25">
      <c r="I12871" s="1"/>
      <c r="J12871" s="71"/>
      <c r="M12871" s="46"/>
      <c r="R12871" s="51"/>
      <c r="S12871" s="51"/>
    </row>
    <row r="12872" spans="9:19" x14ac:dyDescent="0.25">
      <c r="I12872" s="1"/>
      <c r="J12872" s="71"/>
      <c r="M12872" s="46"/>
      <c r="R12872" s="51"/>
      <c r="S12872" s="51"/>
    </row>
    <row r="12873" spans="9:19" x14ac:dyDescent="0.25">
      <c r="I12873" s="1"/>
      <c r="J12873" s="71"/>
      <c r="M12873" s="46"/>
      <c r="R12873" s="51"/>
      <c r="S12873" s="51"/>
    </row>
    <row r="12874" spans="9:19" x14ac:dyDescent="0.25">
      <c r="I12874" s="1"/>
      <c r="J12874" s="71"/>
      <c r="M12874" s="46"/>
      <c r="R12874" s="51"/>
      <c r="S12874" s="51"/>
    </row>
    <row r="12875" spans="9:19" x14ac:dyDescent="0.25">
      <c r="I12875" s="1"/>
      <c r="J12875" s="71"/>
      <c r="M12875" s="46"/>
      <c r="R12875" s="51"/>
      <c r="S12875" s="51"/>
    </row>
    <row r="12876" spans="9:19" x14ac:dyDescent="0.25">
      <c r="I12876" s="1"/>
      <c r="J12876" s="71"/>
      <c r="M12876" s="46"/>
      <c r="R12876" s="51"/>
      <c r="S12876" s="51"/>
    </row>
    <row r="12877" spans="9:19" x14ac:dyDescent="0.25">
      <c r="I12877" s="1"/>
      <c r="J12877" s="71"/>
      <c r="M12877" s="46"/>
      <c r="R12877" s="51"/>
      <c r="S12877" s="51"/>
    </row>
    <row r="12878" spans="9:19" x14ac:dyDescent="0.25">
      <c r="I12878" s="1"/>
      <c r="J12878" s="71"/>
      <c r="M12878" s="46"/>
      <c r="R12878" s="51"/>
      <c r="S12878" s="51"/>
    </row>
    <row r="12879" spans="9:19" x14ac:dyDescent="0.25">
      <c r="I12879" s="1"/>
      <c r="J12879" s="71"/>
      <c r="M12879" s="46"/>
      <c r="R12879" s="51"/>
      <c r="S12879" s="51"/>
    </row>
    <row r="12880" spans="9:19" x14ac:dyDescent="0.25">
      <c r="I12880" s="1"/>
      <c r="J12880" s="71"/>
      <c r="M12880" s="46"/>
      <c r="R12880" s="51"/>
      <c r="S12880" s="51"/>
    </row>
    <row r="12881" spans="9:19" x14ac:dyDescent="0.25">
      <c r="I12881" s="1"/>
      <c r="J12881" s="71"/>
      <c r="M12881" s="46"/>
      <c r="R12881" s="51"/>
      <c r="S12881" s="51"/>
    </row>
    <row r="12882" spans="9:19" x14ac:dyDescent="0.25">
      <c r="I12882" s="1"/>
      <c r="J12882" s="71"/>
      <c r="M12882" s="46"/>
      <c r="R12882" s="51"/>
      <c r="S12882" s="51"/>
    </row>
    <row r="12883" spans="9:19" x14ac:dyDescent="0.25">
      <c r="I12883" s="1"/>
      <c r="J12883" s="71"/>
      <c r="M12883" s="46"/>
      <c r="R12883" s="51"/>
      <c r="S12883" s="51"/>
    </row>
    <row r="12884" spans="9:19" x14ac:dyDescent="0.25">
      <c r="I12884" s="1"/>
      <c r="J12884" s="71"/>
      <c r="M12884" s="46"/>
      <c r="R12884" s="51"/>
      <c r="S12884" s="51"/>
    </row>
    <row r="12885" spans="9:19" x14ac:dyDescent="0.25">
      <c r="I12885" s="1"/>
      <c r="J12885" s="71"/>
      <c r="M12885" s="46"/>
      <c r="R12885" s="51"/>
      <c r="S12885" s="51"/>
    </row>
    <row r="12886" spans="9:19" x14ac:dyDescent="0.25">
      <c r="I12886" s="1"/>
      <c r="J12886" s="71"/>
      <c r="M12886" s="46"/>
      <c r="R12886" s="51"/>
      <c r="S12886" s="51"/>
    </row>
    <row r="12887" spans="9:19" x14ac:dyDescent="0.25">
      <c r="I12887" s="1"/>
      <c r="J12887" s="71"/>
      <c r="M12887" s="46"/>
      <c r="R12887" s="51"/>
      <c r="S12887" s="51"/>
    </row>
    <row r="12888" spans="9:19" x14ac:dyDescent="0.25">
      <c r="I12888" s="1"/>
      <c r="J12888" s="71"/>
      <c r="M12888" s="46"/>
      <c r="R12888" s="51"/>
      <c r="S12888" s="51"/>
    </row>
    <row r="12889" spans="9:19" x14ac:dyDescent="0.25">
      <c r="I12889" s="1"/>
      <c r="J12889" s="71"/>
      <c r="M12889" s="46"/>
      <c r="R12889" s="51"/>
      <c r="S12889" s="51"/>
    </row>
    <row r="12890" spans="9:19" x14ac:dyDescent="0.25">
      <c r="I12890" s="1"/>
      <c r="J12890" s="71"/>
      <c r="M12890" s="46"/>
      <c r="R12890" s="51"/>
      <c r="S12890" s="51"/>
    </row>
    <row r="12891" spans="9:19" x14ac:dyDescent="0.25">
      <c r="I12891" s="1"/>
      <c r="J12891" s="71"/>
      <c r="M12891" s="46"/>
      <c r="R12891" s="51"/>
      <c r="S12891" s="51"/>
    </row>
    <row r="12892" spans="9:19" x14ac:dyDescent="0.25">
      <c r="I12892" s="1"/>
      <c r="J12892" s="71"/>
      <c r="M12892" s="46"/>
      <c r="R12892" s="51"/>
      <c r="S12892" s="51"/>
    </row>
    <row r="12893" spans="9:19" x14ac:dyDescent="0.25">
      <c r="I12893" s="1"/>
      <c r="J12893" s="71"/>
      <c r="M12893" s="46"/>
      <c r="R12893" s="51"/>
      <c r="S12893" s="51"/>
    </row>
    <row r="12894" spans="9:19" x14ac:dyDescent="0.25">
      <c r="I12894" s="1"/>
      <c r="J12894" s="71"/>
      <c r="M12894" s="46"/>
      <c r="R12894" s="51"/>
      <c r="S12894" s="51"/>
    </row>
    <row r="12895" spans="9:19" x14ac:dyDescent="0.25">
      <c r="I12895" s="1"/>
      <c r="J12895" s="71"/>
      <c r="M12895" s="46"/>
      <c r="R12895" s="51"/>
      <c r="S12895" s="51"/>
    </row>
    <row r="12896" spans="9:19" x14ac:dyDescent="0.25">
      <c r="I12896" s="1"/>
      <c r="J12896" s="71"/>
      <c r="M12896" s="46"/>
      <c r="R12896" s="51"/>
      <c r="S12896" s="51"/>
    </row>
    <row r="12897" spans="9:19" x14ac:dyDescent="0.25">
      <c r="I12897" s="1"/>
      <c r="J12897" s="71"/>
      <c r="M12897" s="46"/>
      <c r="R12897" s="51"/>
      <c r="S12897" s="51"/>
    </row>
    <row r="12898" spans="9:19" x14ac:dyDescent="0.25">
      <c r="I12898" s="1"/>
      <c r="J12898" s="71"/>
      <c r="M12898" s="46"/>
      <c r="R12898" s="51"/>
      <c r="S12898" s="51"/>
    </row>
    <row r="12899" spans="9:19" x14ac:dyDescent="0.25">
      <c r="I12899" s="1"/>
      <c r="J12899" s="71"/>
      <c r="M12899" s="46"/>
      <c r="R12899" s="51"/>
      <c r="S12899" s="51"/>
    </row>
    <row r="12900" spans="9:19" x14ac:dyDescent="0.25">
      <c r="I12900" s="1"/>
      <c r="J12900" s="71"/>
      <c r="M12900" s="46"/>
      <c r="R12900" s="51"/>
      <c r="S12900" s="51"/>
    </row>
    <row r="12901" spans="9:19" x14ac:dyDescent="0.25">
      <c r="I12901" s="1"/>
      <c r="J12901" s="71"/>
      <c r="M12901" s="46"/>
      <c r="R12901" s="51"/>
      <c r="S12901" s="51"/>
    </row>
    <row r="12902" spans="9:19" x14ac:dyDescent="0.25">
      <c r="I12902" s="1"/>
      <c r="J12902" s="71"/>
      <c r="M12902" s="46"/>
      <c r="R12902" s="51"/>
      <c r="S12902" s="51"/>
    </row>
    <row r="12903" spans="9:19" x14ac:dyDescent="0.25">
      <c r="I12903" s="1"/>
      <c r="J12903" s="71"/>
      <c r="M12903" s="46"/>
      <c r="R12903" s="51"/>
      <c r="S12903" s="51"/>
    </row>
    <row r="12904" spans="9:19" x14ac:dyDescent="0.25">
      <c r="I12904" s="1"/>
      <c r="J12904" s="71"/>
      <c r="M12904" s="46"/>
      <c r="R12904" s="51"/>
      <c r="S12904" s="51"/>
    </row>
    <row r="12905" spans="9:19" x14ac:dyDescent="0.25">
      <c r="I12905" s="1"/>
      <c r="J12905" s="71"/>
      <c r="M12905" s="46"/>
      <c r="R12905" s="51"/>
      <c r="S12905" s="51"/>
    </row>
    <row r="12906" spans="9:19" x14ac:dyDescent="0.25">
      <c r="I12906" s="1"/>
      <c r="J12906" s="71"/>
      <c r="M12906" s="46"/>
      <c r="R12906" s="51"/>
      <c r="S12906" s="51"/>
    </row>
    <row r="12907" spans="9:19" x14ac:dyDescent="0.25">
      <c r="I12907" s="1"/>
      <c r="J12907" s="71"/>
      <c r="M12907" s="46"/>
      <c r="R12907" s="51"/>
      <c r="S12907" s="51"/>
    </row>
    <row r="12908" spans="9:19" x14ac:dyDescent="0.25">
      <c r="I12908" s="1"/>
      <c r="J12908" s="71"/>
      <c r="M12908" s="46"/>
      <c r="R12908" s="51"/>
      <c r="S12908" s="51"/>
    </row>
    <row r="12909" spans="9:19" x14ac:dyDescent="0.25">
      <c r="I12909" s="1"/>
      <c r="J12909" s="71"/>
      <c r="M12909" s="46"/>
      <c r="R12909" s="51"/>
      <c r="S12909" s="51"/>
    </row>
    <row r="12910" spans="9:19" x14ac:dyDescent="0.25">
      <c r="I12910" s="1"/>
      <c r="J12910" s="71"/>
      <c r="M12910" s="46"/>
      <c r="R12910" s="51"/>
      <c r="S12910" s="51"/>
    </row>
    <row r="12911" spans="9:19" x14ac:dyDescent="0.25">
      <c r="I12911" s="1"/>
      <c r="J12911" s="71"/>
      <c r="M12911" s="46"/>
      <c r="R12911" s="51"/>
      <c r="S12911" s="51"/>
    </row>
    <row r="12912" spans="9:19" x14ac:dyDescent="0.25">
      <c r="I12912" s="1"/>
      <c r="J12912" s="71"/>
      <c r="M12912" s="46"/>
      <c r="R12912" s="51"/>
      <c r="S12912" s="51"/>
    </row>
    <row r="12913" spans="9:19" x14ac:dyDescent="0.25">
      <c r="I12913" s="1"/>
      <c r="J12913" s="71"/>
      <c r="M12913" s="46"/>
      <c r="R12913" s="51"/>
      <c r="S12913" s="51"/>
    </row>
    <row r="12914" spans="9:19" x14ac:dyDescent="0.25">
      <c r="I12914" s="1"/>
      <c r="J12914" s="71"/>
      <c r="M12914" s="46"/>
      <c r="R12914" s="51"/>
      <c r="S12914" s="51"/>
    </row>
    <row r="12915" spans="9:19" x14ac:dyDescent="0.25">
      <c r="I12915" s="1"/>
      <c r="J12915" s="71"/>
      <c r="M12915" s="46"/>
      <c r="R12915" s="51"/>
      <c r="S12915" s="51"/>
    </row>
    <row r="12916" spans="9:19" x14ac:dyDescent="0.25">
      <c r="I12916" s="1"/>
      <c r="J12916" s="71"/>
      <c r="M12916" s="46"/>
      <c r="R12916" s="51"/>
      <c r="S12916" s="51"/>
    </row>
    <row r="12917" spans="9:19" x14ac:dyDescent="0.25">
      <c r="I12917" s="1"/>
      <c r="J12917" s="71"/>
      <c r="M12917" s="46"/>
      <c r="R12917" s="51"/>
      <c r="S12917" s="51"/>
    </row>
    <row r="12918" spans="9:19" x14ac:dyDescent="0.25">
      <c r="I12918" s="1"/>
      <c r="J12918" s="71"/>
      <c r="M12918" s="46"/>
      <c r="R12918" s="51"/>
      <c r="S12918" s="51"/>
    </row>
    <row r="12919" spans="9:19" x14ac:dyDescent="0.25">
      <c r="I12919" s="1"/>
      <c r="J12919" s="71"/>
      <c r="M12919" s="46"/>
      <c r="R12919" s="51"/>
      <c r="S12919" s="51"/>
    </row>
    <row r="12920" spans="9:19" x14ac:dyDescent="0.25">
      <c r="I12920" s="1"/>
      <c r="J12920" s="71"/>
      <c r="M12920" s="46"/>
      <c r="R12920" s="51"/>
      <c r="S12920" s="51"/>
    </row>
    <row r="12921" spans="9:19" x14ac:dyDescent="0.25">
      <c r="I12921" s="1"/>
      <c r="J12921" s="71"/>
      <c r="M12921" s="46"/>
      <c r="R12921" s="51"/>
      <c r="S12921" s="51"/>
    </row>
    <row r="12922" spans="9:19" x14ac:dyDescent="0.25">
      <c r="I12922" s="1"/>
      <c r="J12922" s="71"/>
      <c r="M12922" s="46"/>
      <c r="R12922" s="51"/>
      <c r="S12922" s="51"/>
    </row>
    <row r="12923" spans="9:19" x14ac:dyDescent="0.25">
      <c r="I12923" s="1"/>
      <c r="J12923" s="71"/>
      <c r="M12923" s="46"/>
      <c r="R12923" s="51"/>
      <c r="S12923" s="51"/>
    </row>
    <row r="12924" spans="9:19" x14ac:dyDescent="0.25">
      <c r="I12924" s="1"/>
      <c r="J12924" s="71"/>
      <c r="M12924" s="46"/>
      <c r="R12924" s="51"/>
      <c r="S12924" s="51"/>
    </row>
    <row r="12925" spans="9:19" x14ac:dyDescent="0.25">
      <c r="I12925" s="1"/>
      <c r="J12925" s="71"/>
      <c r="M12925" s="46"/>
      <c r="R12925" s="51"/>
      <c r="S12925" s="51"/>
    </row>
    <row r="12926" spans="9:19" x14ac:dyDescent="0.25">
      <c r="I12926" s="1"/>
      <c r="J12926" s="71"/>
      <c r="M12926" s="46"/>
      <c r="R12926" s="51"/>
      <c r="S12926" s="51"/>
    </row>
    <row r="12927" spans="9:19" x14ac:dyDescent="0.25">
      <c r="I12927" s="1"/>
      <c r="J12927" s="71"/>
      <c r="M12927" s="46"/>
      <c r="R12927" s="51"/>
      <c r="S12927" s="51"/>
    </row>
    <row r="12928" spans="9:19" x14ac:dyDescent="0.25">
      <c r="I12928" s="1"/>
      <c r="J12928" s="71"/>
      <c r="M12928" s="46"/>
      <c r="R12928" s="51"/>
      <c r="S12928" s="51"/>
    </row>
    <row r="12929" spans="9:19" x14ac:dyDescent="0.25">
      <c r="I12929" s="1"/>
      <c r="J12929" s="71"/>
      <c r="M12929" s="46"/>
      <c r="R12929" s="51"/>
      <c r="S12929" s="51"/>
    </row>
    <row r="12930" spans="9:19" x14ac:dyDescent="0.25">
      <c r="I12930" s="1"/>
      <c r="J12930" s="71"/>
      <c r="M12930" s="46"/>
      <c r="R12930" s="51"/>
      <c r="S12930" s="51"/>
    </row>
    <row r="12931" spans="9:19" x14ac:dyDescent="0.25">
      <c r="I12931" s="1"/>
      <c r="J12931" s="71"/>
      <c r="M12931" s="46"/>
      <c r="R12931" s="51"/>
      <c r="S12931" s="51"/>
    </row>
    <row r="12932" spans="9:19" x14ac:dyDescent="0.25">
      <c r="I12932" s="1"/>
      <c r="J12932" s="71"/>
      <c r="M12932" s="46"/>
      <c r="R12932" s="51"/>
      <c r="S12932" s="51"/>
    </row>
    <row r="12933" spans="9:19" x14ac:dyDescent="0.25">
      <c r="I12933" s="1"/>
      <c r="J12933" s="71"/>
      <c r="M12933" s="46"/>
      <c r="R12933" s="51"/>
      <c r="S12933" s="51"/>
    </row>
    <row r="12934" spans="9:19" x14ac:dyDescent="0.25">
      <c r="I12934" s="1"/>
      <c r="J12934" s="71"/>
      <c r="M12934" s="46"/>
      <c r="R12934" s="51"/>
      <c r="S12934" s="51"/>
    </row>
    <row r="12935" spans="9:19" x14ac:dyDescent="0.25">
      <c r="I12935" s="1"/>
      <c r="J12935" s="71"/>
      <c r="M12935" s="46"/>
      <c r="R12935" s="51"/>
      <c r="S12935" s="51"/>
    </row>
    <row r="12936" spans="9:19" x14ac:dyDescent="0.25">
      <c r="I12936" s="1"/>
      <c r="J12936" s="71"/>
      <c r="M12936" s="46"/>
      <c r="R12936" s="51"/>
      <c r="S12936" s="51"/>
    </row>
    <row r="12937" spans="9:19" x14ac:dyDescent="0.25">
      <c r="I12937" s="1"/>
      <c r="J12937" s="71"/>
      <c r="M12937" s="46"/>
      <c r="R12937" s="51"/>
      <c r="S12937" s="51"/>
    </row>
    <row r="12938" spans="9:19" x14ac:dyDescent="0.25">
      <c r="I12938" s="1"/>
      <c r="J12938" s="71"/>
      <c r="M12938" s="46"/>
      <c r="R12938" s="51"/>
      <c r="S12938" s="51"/>
    </row>
    <row r="12939" spans="9:19" x14ac:dyDescent="0.25">
      <c r="I12939" s="1"/>
      <c r="J12939" s="71"/>
      <c r="M12939" s="46"/>
      <c r="R12939" s="51"/>
      <c r="S12939" s="51"/>
    </row>
    <row r="12940" spans="9:19" x14ac:dyDescent="0.25">
      <c r="I12940" s="1"/>
      <c r="J12940" s="71"/>
      <c r="M12940" s="46"/>
      <c r="R12940" s="51"/>
      <c r="S12940" s="51"/>
    </row>
    <row r="12941" spans="9:19" x14ac:dyDescent="0.25">
      <c r="I12941" s="1"/>
      <c r="J12941" s="71"/>
      <c r="M12941" s="46"/>
      <c r="R12941" s="51"/>
      <c r="S12941" s="51"/>
    </row>
    <row r="12942" spans="9:19" x14ac:dyDescent="0.25">
      <c r="I12942" s="1"/>
      <c r="J12942" s="71"/>
      <c r="M12942" s="46"/>
      <c r="R12942" s="51"/>
      <c r="S12942" s="51"/>
    </row>
    <row r="12943" spans="9:19" x14ac:dyDescent="0.25">
      <c r="I12943" s="1"/>
      <c r="J12943" s="71"/>
      <c r="M12943" s="46"/>
      <c r="R12943" s="51"/>
      <c r="S12943" s="51"/>
    </row>
    <row r="12944" spans="9:19" x14ac:dyDescent="0.25">
      <c r="I12944" s="1"/>
      <c r="J12944" s="71"/>
      <c r="M12944" s="46"/>
      <c r="R12944" s="51"/>
      <c r="S12944" s="51"/>
    </row>
    <row r="12945" spans="9:19" x14ac:dyDescent="0.25">
      <c r="I12945" s="1"/>
      <c r="J12945" s="71"/>
      <c r="M12945" s="46"/>
      <c r="R12945" s="51"/>
      <c r="S12945" s="51"/>
    </row>
    <row r="12946" spans="9:19" x14ac:dyDescent="0.25">
      <c r="I12946" s="1"/>
      <c r="J12946" s="71"/>
      <c r="M12946" s="46"/>
      <c r="R12946" s="51"/>
      <c r="S12946" s="51"/>
    </row>
    <row r="12947" spans="9:19" x14ac:dyDescent="0.25">
      <c r="I12947" s="1"/>
      <c r="J12947" s="71"/>
      <c r="M12947" s="46"/>
      <c r="R12947" s="51"/>
      <c r="S12947" s="51"/>
    </row>
    <row r="12948" spans="9:19" x14ac:dyDescent="0.25">
      <c r="I12948" s="1"/>
      <c r="J12948" s="71"/>
      <c r="M12948" s="46"/>
      <c r="R12948" s="51"/>
      <c r="S12948" s="51"/>
    </row>
    <row r="12949" spans="9:19" x14ac:dyDescent="0.25">
      <c r="I12949" s="1"/>
      <c r="J12949" s="71"/>
      <c r="M12949" s="46"/>
      <c r="R12949" s="51"/>
      <c r="S12949" s="51"/>
    </row>
    <row r="12950" spans="9:19" x14ac:dyDescent="0.25">
      <c r="I12950" s="1"/>
      <c r="J12950" s="71"/>
      <c r="M12950" s="46"/>
      <c r="R12950" s="51"/>
      <c r="S12950" s="51"/>
    </row>
    <row r="12951" spans="9:19" x14ac:dyDescent="0.25">
      <c r="I12951" s="1"/>
      <c r="J12951" s="71"/>
      <c r="M12951" s="46"/>
      <c r="R12951" s="51"/>
      <c r="S12951" s="51"/>
    </row>
    <row r="12952" spans="9:19" x14ac:dyDescent="0.25">
      <c r="I12952" s="1"/>
      <c r="J12952" s="71"/>
      <c r="M12952" s="46"/>
      <c r="R12952" s="51"/>
      <c r="S12952" s="51"/>
    </row>
    <row r="12953" spans="9:19" x14ac:dyDescent="0.25">
      <c r="I12953" s="1"/>
      <c r="J12953" s="71"/>
      <c r="M12953" s="46"/>
      <c r="R12953" s="51"/>
      <c r="S12953" s="51"/>
    </row>
    <row r="12954" spans="9:19" x14ac:dyDescent="0.25">
      <c r="I12954" s="1"/>
      <c r="J12954" s="71"/>
      <c r="M12954" s="46"/>
      <c r="R12954" s="51"/>
      <c r="S12954" s="51"/>
    </row>
    <row r="12955" spans="9:19" x14ac:dyDescent="0.25">
      <c r="I12955" s="1"/>
      <c r="J12955" s="71"/>
      <c r="M12955" s="46"/>
      <c r="R12955" s="51"/>
      <c r="S12955" s="51"/>
    </row>
    <row r="12956" spans="9:19" x14ac:dyDescent="0.25">
      <c r="I12956" s="1"/>
      <c r="J12956" s="71"/>
      <c r="M12956" s="46"/>
      <c r="R12956" s="51"/>
      <c r="S12956" s="51"/>
    </row>
    <row r="12957" spans="9:19" x14ac:dyDescent="0.25">
      <c r="I12957" s="1"/>
      <c r="J12957" s="71"/>
      <c r="M12957" s="46"/>
      <c r="R12957" s="51"/>
      <c r="S12957" s="51"/>
    </row>
    <row r="12958" spans="9:19" x14ac:dyDescent="0.25">
      <c r="I12958" s="1"/>
      <c r="J12958" s="71"/>
      <c r="M12958" s="46"/>
      <c r="R12958" s="51"/>
      <c r="S12958" s="51"/>
    </row>
    <row r="12959" spans="9:19" x14ac:dyDescent="0.25">
      <c r="I12959" s="1"/>
      <c r="J12959" s="71"/>
      <c r="M12959" s="46"/>
      <c r="R12959" s="51"/>
      <c r="S12959" s="51"/>
    </row>
    <row r="12960" spans="9:19" x14ac:dyDescent="0.25">
      <c r="I12960" s="1"/>
      <c r="J12960" s="71"/>
      <c r="M12960" s="46"/>
      <c r="R12960" s="51"/>
      <c r="S12960" s="51"/>
    </row>
    <row r="12961" spans="9:19" x14ac:dyDescent="0.25">
      <c r="I12961" s="1"/>
      <c r="J12961" s="71"/>
      <c r="M12961" s="46"/>
      <c r="R12961" s="51"/>
      <c r="S12961" s="51"/>
    </row>
    <row r="12962" spans="9:19" x14ac:dyDescent="0.25">
      <c r="I12962" s="1"/>
      <c r="J12962" s="71"/>
      <c r="M12962" s="46"/>
      <c r="R12962" s="51"/>
      <c r="S12962" s="51"/>
    </row>
    <row r="12963" spans="9:19" x14ac:dyDescent="0.25">
      <c r="I12963" s="1"/>
      <c r="J12963" s="71"/>
      <c r="M12963" s="46"/>
      <c r="R12963" s="51"/>
      <c r="S12963" s="51"/>
    </row>
    <row r="12964" spans="9:19" x14ac:dyDescent="0.25">
      <c r="I12964" s="1"/>
      <c r="J12964" s="71"/>
      <c r="M12964" s="46"/>
      <c r="R12964" s="51"/>
      <c r="S12964" s="51"/>
    </row>
    <row r="12965" spans="9:19" x14ac:dyDescent="0.25">
      <c r="I12965" s="1"/>
      <c r="J12965" s="71"/>
      <c r="M12965" s="46"/>
      <c r="R12965" s="51"/>
      <c r="S12965" s="51"/>
    </row>
    <row r="12966" spans="9:19" x14ac:dyDescent="0.25">
      <c r="I12966" s="1"/>
      <c r="J12966" s="71"/>
      <c r="M12966" s="46"/>
      <c r="R12966" s="51"/>
      <c r="S12966" s="51"/>
    </row>
    <row r="12967" spans="9:19" x14ac:dyDescent="0.25">
      <c r="I12967" s="1"/>
      <c r="J12967" s="71"/>
      <c r="M12967" s="46"/>
      <c r="R12967" s="51"/>
      <c r="S12967" s="51"/>
    </row>
    <row r="12968" spans="9:19" x14ac:dyDescent="0.25">
      <c r="I12968" s="1"/>
      <c r="J12968" s="71"/>
      <c r="M12968" s="46"/>
      <c r="R12968" s="51"/>
      <c r="S12968" s="51"/>
    </row>
    <row r="12969" spans="9:19" x14ac:dyDescent="0.25">
      <c r="I12969" s="1"/>
      <c r="J12969" s="71"/>
      <c r="M12969" s="46"/>
      <c r="R12969" s="51"/>
      <c r="S12969" s="51"/>
    </row>
    <row r="12970" spans="9:19" x14ac:dyDescent="0.25">
      <c r="I12970" s="1"/>
      <c r="J12970" s="71"/>
      <c r="M12970" s="46"/>
      <c r="R12970" s="51"/>
      <c r="S12970" s="51"/>
    </row>
    <row r="12971" spans="9:19" x14ac:dyDescent="0.25">
      <c r="I12971" s="1"/>
      <c r="J12971" s="71"/>
      <c r="M12971" s="46"/>
      <c r="R12971" s="51"/>
      <c r="S12971" s="51"/>
    </row>
    <row r="12972" spans="9:19" x14ac:dyDescent="0.25">
      <c r="I12972" s="1"/>
      <c r="J12972" s="71"/>
      <c r="M12972" s="46"/>
      <c r="R12972" s="51"/>
      <c r="S12972" s="51"/>
    </row>
    <row r="12973" spans="9:19" x14ac:dyDescent="0.25">
      <c r="I12973" s="1"/>
      <c r="J12973" s="71"/>
      <c r="M12973" s="46"/>
      <c r="R12973" s="51"/>
      <c r="S12973" s="51"/>
    </row>
    <row r="12974" spans="9:19" x14ac:dyDescent="0.25">
      <c r="I12974" s="1"/>
      <c r="J12974" s="71"/>
      <c r="M12974" s="46"/>
      <c r="R12974" s="51"/>
      <c r="S12974" s="51"/>
    </row>
    <row r="12975" spans="9:19" x14ac:dyDescent="0.25">
      <c r="I12975" s="1"/>
      <c r="J12975" s="71"/>
      <c r="M12975" s="46"/>
      <c r="R12975" s="51"/>
      <c r="S12975" s="51"/>
    </row>
    <row r="12976" spans="9:19" x14ac:dyDescent="0.25">
      <c r="I12976" s="1"/>
      <c r="J12976" s="71"/>
      <c r="M12976" s="46"/>
      <c r="R12976" s="51"/>
      <c r="S12976" s="51"/>
    </row>
    <row r="12977" spans="9:19" x14ac:dyDescent="0.25">
      <c r="I12977" s="1"/>
      <c r="J12977" s="71"/>
      <c r="M12977" s="46"/>
      <c r="R12977" s="51"/>
      <c r="S12977" s="51"/>
    </row>
    <row r="12978" spans="9:19" x14ac:dyDescent="0.25">
      <c r="I12978" s="1"/>
      <c r="J12978" s="71"/>
      <c r="M12978" s="46"/>
      <c r="R12978" s="51"/>
      <c r="S12978" s="51"/>
    </row>
    <row r="12979" spans="9:19" x14ac:dyDescent="0.25">
      <c r="I12979" s="1"/>
      <c r="J12979" s="71"/>
      <c r="M12979" s="46"/>
      <c r="R12979" s="51"/>
      <c r="S12979" s="51"/>
    </row>
    <row r="12980" spans="9:19" x14ac:dyDescent="0.25">
      <c r="I12980" s="1"/>
      <c r="J12980" s="71"/>
      <c r="M12980" s="46"/>
      <c r="R12980" s="51"/>
      <c r="S12980" s="51"/>
    </row>
    <row r="12981" spans="9:19" x14ac:dyDescent="0.25">
      <c r="I12981" s="1"/>
      <c r="J12981" s="71"/>
      <c r="M12981" s="46"/>
      <c r="R12981" s="51"/>
      <c r="S12981" s="51"/>
    </row>
    <row r="12982" spans="9:19" x14ac:dyDescent="0.25">
      <c r="I12982" s="1"/>
      <c r="J12982" s="71"/>
      <c r="M12982" s="46"/>
      <c r="R12982" s="51"/>
      <c r="S12982" s="51"/>
    </row>
    <row r="12983" spans="9:19" x14ac:dyDescent="0.25">
      <c r="I12983" s="1"/>
      <c r="J12983" s="71"/>
      <c r="M12983" s="46"/>
      <c r="R12983" s="51"/>
      <c r="S12983" s="51"/>
    </row>
    <row r="12984" spans="9:19" x14ac:dyDescent="0.25">
      <c r="I12984" s="1"/>
      <c r="J12984" s="71"/>
      <c r="M12984" s="46"/>
      <c r="R12984" s="51"/>
      <c r="S12984" s="51"/>
    </row>
    <row r="12985" spans="9:19" x14ac:dyDescent="0.25">
      <c r="I12985" s="1"/>
      <c r="J12985" s="71"/>
      <c r="M12985" s="46"/>
      <c r="R12985" s="51"/>
      <c r="S12985" s="51"/>
    </row>
    <row r="12986" spans="9:19" x14ac:dyDescent="0.25">
      <c r="I12986" s="1"/>
      <c r="J12986" s="71"/>
      <c r="M12986" s="46"/>
      <c r="R12986" s="51"/>
      <c r="S12986" s="51"/>
    </row>
    <row r="12987" spans="9:19" x14ac:dyDescent="0.25">
      <c r="I12987" s="1"/>
      <c r="J12987" s="71"/>
      <c r="M12987" s="46"/>
      <c r="R12987" s="51"/>
      <c r="S12987" s="51"/>
    </row>
    <row r="12988" spans="9:19" x14ac:dyDescent="0.25">
      <c r="I12988" s="1"/>
      <c r="J12988" s="71"/>
      <c r="M12988" s="46"/>
      <c r="R12988" s="51"/>
      <c r="S12988" s="51"/>
    </row>
    <row r="12989" spans="9:19" x14ac:dyDescent="0.25">
      <c r="I12989" s="1"/>
      <c r="J12989" s="71"/>
      <c r="M12989" s="46"/>
      <c r="R12989" s="51"/>
      <c r="S12989" s="51"/>
    </row>
    <row r="12990" spans="9:19" x14ac:dyDescent="0.25">
      <c r="I12990" s="1"/>
      <c r="J12990" s="71"/>
      <c r="M12990" s="46"/>
      <c r="R12990" s="51"/>
      <c r="S12990" s="51"/>
    </row>
    <row r="12991" spans="9:19" x14ac:dyDescent="0.25">
      <c r="I12991" s="1"/>
      <c r="J12991" s="71"/>
      <c r="M12991" s="46"/>
      <c r="R12991" s="51"/>
      <c r="S12991" s="51"/>
    </row>
    <row r="12992" spans="9:19" x14ac:dyDescent="0.25">
      <c r="I12992" s="1"/>
      <c r="J12992" s="71"/>
      <c r="M12992" s="46"/>
      <c r="R12992" s="51"/>
      <c r="S12992" s="51"/>
    </row>
    <row r="12993" spans="9:19" x14ac:dyDescent="0.25">
      <c r="I12993" s="1"/>
      <c r="J12993" s="71"/>
      <c r="M12993" s="46"/>
      <c r="R12993" s="51"/>
      <c r="S12993" s="51"/>
    </row>
    <row r="12994" spans="9:19" x14ac:dyDescent="0.25">
      <c r="I12994" s="1"/>
      <c r="J12994" s="71"/>
      <c r="M12994" s="46"/>
      <c r="R12994" s="51"/>
      <c r="S12994" s="51"/>
    </row>
    <row r="12995" spans="9:19" x14ac:dyDescent="0.25">
      <c r="I12995" s="1"/>
      <c r="J12995" s="71"/>
      <c r="M12995" s="46"/>
      <c r="R12995" s="51"/>
      <c r="S12995" s="51"/>
    </row>
    <row r="12996" spans="9:19" x14ac:dyDescent="0.25">
      <c r="I12996" s="1"/>
      <c r="J12996" s="71"/>
      <c r="M12996" s="46"/>
      <c r="R12996" s="51"/>
      <c r="S12996" s="51"/>
    </row>
    <row r="12997" spans="9:19" x14ac:dyDescent="0.25">
      <c r="I12997" s="1"/>
      <c r="J12997" s="71"/>
      <c r="M12997" s="46"/>
      <c r="R12997" s="51"/>
      <c r="S12997" s="51"/>
    </row>
    <row r="12998" spans="9:19" x14ac:dyDescent="0.25">
      <c r="I12998" s="1"/>
      <c r="J12998" s="71"/>
      <c r="M12998" s="46"/>
      <c r="R12998" s="51"/>
      <c r="S12998" s="51"/>
    </row>
    <row r="12999" spans="9:19" x14ac:dyDescent="0.25">
      <c r="I12999" s="1"/>
      <c r="J12999" s="71"/>
      <c r="M12999" s="46"/>
      <c r="R12999" s="51"/>
      <c r="S12999" s="51"/>
    </row>
    <row r="13000" spans="9:19" x14ac:dyDescent="0.25">
      <c r="I13000" s="1"/>
      <c r="J13000" s="71"/>
      <c r="M13000" s="46"/>
      <c r="R13000" s="51"/>
      <c r="S13000" s="51"/>
    </row>
    <row r="13001" spans="9:19" x14ac:dyDescent="0.25">
      <c r="I13001" s="1"/>
      <c r="J13001" s="71"/>
      <c r="M13001" s="46"/>
      <c r="R13001" s="51"/>
      <c r="S13001" s="51"/>
    </row>
    <row r="13002" spans="9:19" x14ac:dyDescent="0.25">
      <c r="I13002" s="1"/>
      <c r="J13002" s="71"/>
      <c r="M13002" s="46"/>
      <c r="R13002" s="51"/>
      <c r="S13002" s="51"/>
    </row>
    <row r="13003" spans="9:19" x14ac:dyDescent="0.25">
      <c r="I13003" s="1"/>
      <c r="J13003" s="71"/>
      <c r="M13003" s="46"/>
      <c r="R13003" s="51"/>
      <c r="S13003" s="51"/>
    </row>
    <row r="13004" spans="9:19" x14ac:dyDescent="0.25">
      <c r="I13004" s="1"/>
      <c r="J13004" s="71"/>
      <c r="M13004" s="46"/>
      <c r="R13004" s="51"/>
      <c r="S13004" s="51"/>
    </row>
    <row r="13005" spans="9:19" x14ac:dyDescent="0.25">
      <c r="I13005" s="1"/>
      <c r="J13005" s="71"/>
      <c r="M13005" s="46"/>
      <c r="R13005" s="51"/>
      <c r="S13005" s="51"/>
    </row>
    <row r="13006" spans="9:19" x14ac:dyDescent="0.25">
      <c r="I13006" s="1"/>
      <c r="J13006" s="71"/>
      <c r="M13006" s="46"/>
      <c r="R13006" s="51"/>
      <c r="S13006" s="51"/>
    </row>
    <row r="13007" spans="9:19" x14ac:dyDescent="0.25">
      <c r="I13007" s="1"/>
      <c r="J13007" s="71"/>
      <c r="M13007" s="46"/>
      <c r="R13007" s="51"/>
      <c r="S13007" s="51"/>
    </row>
    <row r="13008" spans="9:19" x14ac:dyDescent="0.25">
      <c r="I13008" s="1"/>
      <c r="J13008" s="71"/>
      <c r="M13008" s="46"/>
      <c r="R13008" s="51"/>
      <c r="S13008" s="51"/>
    </row>
    <row r="13009" spans="9:19" x14ac:dyDescent="0.25">
      <c r="I13009" s="1"/>
      <c r="J13009" s="71"/>
      <c r="M13009" s="46"/>
      <c r="R13009" s="51"/>
      <c r="S13009" s="51"/>
    </row>
    <row r="13010" spans="9:19" x14ac:dyDescent="0.25">
      <c r="I13010" s="1"/>
      <c r="J13010" s="71"/>
      <c r="M13010" s="46"/>
      <c r="R13010" s="51"/>
      <c r="S13010" s="51"/>
    </row>
    <row r="13011" spans="9:19" x14ac:dyDescent="0.25">
      <c r="I13011" s="1"/>
      <c r="J13011" s="71"/>
      <c r="M13011" s="46"/>
      <c r="R13011" s="51"/>
      <c r="S13011" s="51"/>
    </row>
    <row r="13012" spans="9:19" x14ac:dyDescent="0.25">
      <c r="I13012" s="1"/>
      <c r="J13012" s="71"/>
      <c r="M13012" s="46"/>
      <c r="R13012" s="51"/>
      <c r="S13012" s="51"/>
    </row>
    <row r="13013" spans="9:19" x14ac:dyDescent="0.25">
      <c r="I13013" s="1"/>
      <c r="J13013" s="71"/>
      <c r="M13013" s="46"/>
      <c r="R13013" s="51"/>
      <c r="S13013" s="51"/>
    </row>
    <row r="13014" spans="9:19" x14ac:dyDescent="0.25">
      <c r="I13014" s="1"/>
      <c r="J13014" s="71"/>
      <c r="M13014" s="46"/>
      <c r="R13014" s="51"/>
      <c r="S13014" s="51"/>
    </row>
    <row r="13015" spans="9:19" x14ac:dyDescent="0.25">
      <c r="I13015" s="1"/>
      <c r="J13015" s="71"/>
      <c r="M13015" s="46"/>
      <c r="R13015" s="51"/>
      <c r="S13015" s="51"/>
    </row>
    <row r="13016" spans="9:19" x14ac:dyDescent="0.25">
      <c r="I13016" s="1"/>
      <c r="J13016" s="71"/>
      <c r="M13016" s="46"/>
      <c r="R13016" s="51"/>
      <c r="S13016" s="51"/>
    </row>
    <row r="13017" spans="9:19" x14ac:dyDescent="0.25">
      <c r="I13017" s="1"/>
      <c r="J13017" s="71"/>
      <c r="M13017" s="46"/>
      <c r="R13017" s="51"/>
      <c r="S13017" s="51"/>
    </row>
    <row r="13018" spans="9:19" x14ac:dyDescent="0.25">
      <c r="I13018" s="1"/>
      <c r="J13018" s="71"/>
      <c r="M13018" s="46"/>
      <c r="R13018" s="51"/>
      <c r="S13018" s="51"/>
    </row>
    <row r="13019" spans="9:19" x14ac:dyDescent="0.25">
      <c r="I13019" s="1"/>
      <c r="J13019" s="71"/>
      <c r="M13019" s="46"/>
      <c r="R13019" s="51"/>
      <c r="S13019" s="51"/>
    </row>
    <row r="13020" spans="9:19" x14ac:dyDescent="0.25">
      <c r="I13020" s="1"/>
      <c r="J13020" s="71"/>
      <c r="M13020" s="46"/>
      <c r="R13020" s="51"/>
      <c r="S13020" s="51"/>
    </row>
    <row r="13021" spans="9:19" x14ac:dyDescent="0.25">
      <c r="I13021" s="1"/>
      <c r="J13021" s="71"/>
      <c r="M13021" s="46"/>
      <c r="R13021" s="51"/>
      <c r="S13021" s="51"/>
    </row>
    <row r="13022" spans="9:19" x14ac:dyDescent="0.25">
      <c r="I13022" s="1"/>
      <c r="J13022" s="71"/>
      <c r="M13022" s="46"/>
      <c r="R13022" s="51"/>
      <c r="S13022" s="51"/>
    </row>
    <row r="13023" spans="9:19" x14ac:dyDescent="0.25">
      <c r="I13023" s="1"/>
      <c r="J13023" s="71"/>
      <c r="M13023" s="46"/>
      <c r="R13023" s="51"/>
      <c r="S13023" s="51"/>
    </row>
    <row r="13024" spans="9:19" x14ac:dyDescent="0.25">
      <c r="I13024" s="1"/>
      <c r="J13024" s="71"/>
      <c r="M13024" s="46"/>
      <c r="R13024" s="51"/>
      <c r="S13024" s="51"/>
    </row>
    <row r="13025" spans="9:19" x14ac:dyDescent="0.25">
      <c r="I13025" s="1"/>
      <c r="J13025" s="71"/>
      <c r="M13025" s="46"/>
      <c r="R13025" s="51"/>
      <c r="S13025" s="51"/>
    </row>
    <row r="13026" spans="9:19" x14ac:dyDescent="0.25">
      <c r="I13026" s="1"/>
      <c r="J13026" s="71"/>
      <c r="M13026" s="46"/>
      <c r="R13026" s="51"/>
      <c r="S13026" s="51"/>
    </row>
    <row r="13027" spans="9:19" x14ac:dyDescent="0.25">
      <c r="I13027" s="1"/>
      <c r="J13027" s="71"/>
      <c r="M13027" s="46"/>
      <c r="R13027" s="51"/>
      <c r="S13027" s="51"/>
    </row>
    <row r="13028" spans="9:19" x14ac:dyDescent="0.25">
      <c r="I13028" s="1"/>
      <c r="J13028" s="71"/>
      <c r="M13028" s="46"/>
      <c r="R13028" s="51"/>
      <c r="S13028" s="51"/>
    </row>
    <row r="13029" spans="9:19" x14ac:dyDescent="0.25">
      <c r="I13029" s="1"/>
      <c r="J13029" s="71"/>
      <c r="M13029" s="46"/>
      <c r="R13029" s="51"/>
      <c r="S13029" s="51"/>
    </row>
    <row r="13030" spans="9:19" x14ac:dyDescent="0.25">
      <c r="I13030" s="1"/>
      <c r="J13030" s="71"/>
      <c r="M13030" s="46"/>
      <c r="R13030" s="51"/>
      <c r="S13030" s="51"/>
    </row>
    <row r="13031" spans="9:19" x14ac:dyDescent="0.25">
      <c r="I13031" s="1"/>
      <c r="J13031" s="71"/>
      <c r="M13031" s="46"/>
      <c r="R13031" s="51"/>
      <c r="S13031" s="51"/>
    </row>
    <row r="13032" spans="9:19" x14ac:dyDescent="0.25">
      <c r="I13032" s="1"/>
      <c r="J13032" s="71"/>
      <c r="M13032" s="46"/>
      <c r="R13032" s="51"/>
      <c r="S13032" s="51"/>
    </row>
    <row r="13033" spans="9:19" x14ac:dyDescent="0.25">
      <c r="I13033" s="1"/>
      <c r="J13033" s="71"/>
      <c r="M13033" s="46"/>
      <c r="R13033" s="51"/>
      <c r="S13033" s="51"/>
    </row>
    <row r="13034" spans="9:19" x14ac:dyDescent="0.25">
      <c r="I13034" s="1"/>
      <c r="J13034" s="71"/>
      <c r="M13034" s="46"/>
      <c r="R13034" s="51"/>
      <c r="S13034" s="51"/>
    </row>
    <row r="13035" spans="9:19" x14ac:dyDescent="0.25">
      <c r="I13035" s="1"/>
      <c r="J13035" s="71"/>
      <c r="M13035" s="46"/>
      <c r="R13035" s="51"/>
      <c r="S13035" s="51"/>
    </row>
    <row r="13036" spans="9:19" x14ac:dyDescent="0.25">
      <c r="I13036" s="1"/>
      <c r="J13036" s="71"/>
      <c r="M13036" s="46"/>
      <c r="R13036" s="51"/>
      <c r="S13036" s="51"/>
    </row>
    <row r="13037" spans="9:19" x14ac:dyDescent="0.25">
      <c r="I13037" s="1"/>
      <c r="J13037" s="71"/>
      <c r="M13037" s="46"/>
      <c r="R13037" s="51"/>
      <c r="S13037" s="51"/>
    </row>
    <row r="13038" spans="9:19" x14ac:dyDescent="0.25">
      <c r="I13038" s="1"/>
      <c r="J13038" s="71"/>
      <c r="M13038" s="46"/>
      <c r="R13038" s="51"/>
      <c r="S13038" s="51"/>
    </row>
    <row r="13039" spans="9:19" x14ac:dyDescent="0.25">
      <c r="I13039" s="1"/>
      <c r="J13039" s="71"/>
      <c r="M13039" s="46"/>
      <c r="R13039" s="51"/>
      <c r="S13039" s="51"/>
    </row>
    <row r="13040" spans="9:19" x14ac:dyDescent="0.25">
      <c r="I13040" s="1"/>
      <c r="J13040" s="71"/>
      <c r="M13040" s="46"/>
      <c r="R13040" s="51"/>
      <c r="S13040" s="51"/>
    </row>
    <row r="13041" spans="9:19" x14ac:dyDescent="0.25">
      <c r="I13041" s="1"/>
      <c r="J13041" s="71"/>
      <c r="M13041" s="46"/>
      <c r="R13041" s="51"/>
      <c r="S13041" s="51"/>
    </row>
    <row r="13042" spans="9:19" x14ac:dyDescent="0.25">
      <c r="I13042" s="1"/>
      <c r="J13042" s="71"/>
      <c r="M13042" s="46"/>
      <c r="R13042" s="51"/>
      <c r="S13042" s="51"/>
    </row>
    <row r="13043" spans="9:19" x14ac:dyDescent="0.25">
      <c r="I13043" s="1"/>
      <c r="J13043" s="71"/>
      <c r="M13043" s="46"/>
      <c r="R13043" s="51"/>
      <c r="S13043" s="51"/>
    </row>
    <row r="13044" spans="9:19" x14ac:dyDescent="0.25">
      <c r="I13044" s="1"/>
      <c r="J13044" s="71"/>
      <c r="M13044" s="46"/>
      <c r="R13044" s="51"/>
      <c r="S13044" s="51"/>
    </row>
    <row r="13045" spans="9:19" x14ac:dyDescent="0.25">
      <c r="I13045" s="1"/>
      <c r="J13045" s="71"/>
      <c r="M13045" s="46"/>
      <c r="R13045" s="51"/>
      <c r="S13045" s="51"/>
    </row>
    <row r="13046" spans="9:19" x14ac:dyDescent="0.25">
      <c r="I13046" s="1"/>
      <c r="J13046" s="71"/>
      <c r="M13046" s="46"/>
      <c r="R13046" s="51"/>
      <c r="S13046" s="51"/>
    </row>
    <row r="13047" spans="9:19" x14ac:dyDescent="0.25">
      <c r="I13047" s="1"/>
      <c r="J13047" s="71"/>
      <c r="M13047" s="46"/>
      <c r="R13047" s="51"/>
      <c r="S13047" s="51"/>
    </row>
    <row r="13048" spans="9:19" x14ac:dyDescent="0.25">
      <c r="I13048" s="1"/>
      <c r="J13048" s="71"/>
      <c r="M13048" s="46"/>
      <c r="R13048" s="51"/>
      <c r="S13048" s="51"/>
    </row>
    <row r="13049" spans="9:19" x14ac:dyDescent="0.25">
      <c r="I13049" s="1"/>
      <c r="J13049" s="71"/>
      <c r="M13049" s="46"/>
      <c r="R13049" s="51"/>
      <c r="S13049" s="51"/>
    </row>
    <row r="13050" spans="9:19" x14ac:dyDescent="0.25">
      <c r="I13050" s="1"/>
      <c r="J13050" s="71"/>
      <c r="M13050" s="46"/>
      <c r="R13050" s="51"/>
      <c r="S13050" s="51"/>
    </row>
    <row r="13051" spans="9:19" x14ac:dyDescent="0.25">
      <c r="I13051" s="1"/>
      <c r="J13051" s="71"/>
      <c r="M13051" s="46"/>
      <c r="R13051" s="51"/>
      <c r="S13051" s="51"/>
    </row>
    <row r="13052" spans="9:19" x14ac:dyDescent="0.25">
      <c r="I13052" s="1"/>
      <c r="J13052" s="71"/>
      <c r="M13052" s="46"/>
      <c r="R13052" s="51"/>
      <c r="S13052" s="51"/>
    </row>
    <row r="13053" spans="9:19" x14ac:dyDescent="0.25">
      <c r="I13053" s="1"/>
      <c r="J13053" s="71"/>
      <c r="M13053" s="46"/>
      <c r="R13053" s="51"/>
      <c r="S13053" s="51"/>
    </row>
    <row r="13054" spans="9:19" x14ac:dyDescent="0.25">
      <c r="I13054" s="1"/>
      <c r="J13054" s="71"/>
      <c r="M13054" s="46"/>
      <c r="R13054" s="51"/>
      <c r="S13054" s="51"/>
    </row>
    <row r="13055" spans="9:19" x14ac:dyDescent="0.25">
      <c r="I13055" s="1"/>
      <c r="J13055" s="71"/>
      <c r="M13055" s="46"/>
      <c r="R13055" s="51"/>
      <c r="S13055" s="51"/>
    </row>
    <row r="13056" spans="9:19" x14ac:dyDescent="0.25">
      <c r="I13056" s="1"/>
      <c r="J13056" s="71"/>
      <c r="M13056" s="46"/>
      <c r="R13056" s="51"/>
      <c r="S13056" s="51"/>
    </row>
    <row r="13057" spans="9:19" x14ac:dyDescent="0.25">
      <c r="I13057" s="1"/>
      <c r="J13057" s="71"/>
      <c r="M13057" s="46"/>
      <c r="R13057" s="51"/>
      <c r="S13057" s="51"/>
    </row>
    <row r="13058" spans="9:19" x14ac:dyDescent="0.25">
      <c r="I13058" s="1"/>
      <c r="J13058" s="71"/>
      <c r="M13058" s="46"/>
      <c r="R13058" s="51"/>
      <c r="S13058" s="51"/>
    </row>
    <row r="13059" spans="9:19" x14ac:dyDescent="0.25">
      <c r="I13059" s="1"/>
      <c r="J13059" s="71"/>
      <c r="M13059" s="46"/>
      <c r="R13059" s="51"/>
      <c r="S13059" s="51"/>
    </row>
    <row r="13060" spans="9:19" x14ac:dyDescent="0.25">
      <c r="I13060" s="1"/>
      <c r="J13060" s="71"/>
      <c r="M13060" s="46"/>
      <c r="R13060" s="51"/>
      <c r="S13060" s="51"/>
    </row>
    <row r="13061" spans="9:19" x14ac:dyDescent="0.25">
      <c r="I13061" s="1"/>
      <c r="J13061" s="71"/>
      <c r="M13061" s="46"/>
      <c r="R13061" s="51"/>
      <c r="S13061" s="51"/>
    </row>
    <row r="13062" spans="9:19" x14ac:dyDescent="0.25">
      <c r="I13062" s="1"/>
      <c r="J13062" s="71"/>
      <c r="M13062" s="46"/>
      <c r="R13062" s="51"/>
      <c r="S13062" s="51"/>
    </row>
    <row r="13063" spans="9:19" x14ac:dyDescent="0.25">
      <c r="I13063" s="1"/>
      <c r="J13063" s="71"/>
      <c r="M13063" s="46"/>
      <c r="R13063" s="51"/>
      <c r="S13063" s="51"/>
    </row>
    <row r="13064" spans="9:19" x14ac:dyDescent="0.25">
      <c r="I13064" s="1"/>
      <c r="J13064" s="71"/>
      <c r="M13064" s="46"/>
      <c r="R13064" s="51"/>
      <c r="S13064" s="51"/>
    </row>
    <row r="13065" spans="9:19" x14ac:dyDescent="0.25">
      <c r="I13065" s="1"/>
      <c r="J13065" s="71"/>
      <c r="M13065" s="46"/>
      <c r="R13065" s="51"/>
      <c r="S13065" s="51"/>
    </row>
    <row r="13066" spans="9:19" x14ac:dyDescent="0.25">
      <c r="I13066" s="1"/>
      <c r="J13066" s="71"/>
      <c r="M13066" s="46"/>
      <c r="R13066" s="51"/>
      <c r="S13066" s="51"/>
    </row>
    <row r="13067" spans="9:19" x14ac:dyDescent="0.25">
      <c r="I13067" s="1"/>
      <c r="J13067" s="71"/>
      <c r="M13067" s="46"/>
      <c r="R13067" s="51"/>
      <c r="S13067" s="51"/>
    </row>
    <row r="13068" spans="9:19" x14ac:dyDescent="0.25">
      <c r="I13068" s="1"/>
      <c r="J13068" s="71"/>
      <c r="M13068" s="46"/>
      <c r="R13068" s="51"/>
      <c r="S13068" s="51"/>
    </row>
    <row r="13069" spans="9:19" x14ac:dyDescent="0.25">
      <c r="I13069" s="1"/>
      <c r="J13069" s="71"/>
      <c r="M13069" s="46"/>
      <c r="R13069" s="51"/>
      <c r="S13069" s="51"/>
    </row>
    <row r="13070" spans="9:19" x14ac:dyDescent="0.25">
      <c r="I13070" s="1"/>
      <c r="J13070" s="71"/>
      <c r="M13070" s="46"/>
      <c r="R13070" s="51"/>
      <c r="S13070" s="51"/>
    </row>
    <row r="13071" spans="9:19" x14ac:dyDescent="0.25">
      <c r="I13071" s="1"/>
      <c r="J13071" s="71"/>
      <c r="M13071" s="46"/>
      <c r="R13071" s="51"/>
      <c r="S13071" s="51"/>
    </row>
    <row r="13072" spans="9:19" x14ac:dyDescent="0.25">
      <c r="I13072" s="1"/>
      <c r="J13072" s="71"/>
      <c r="M13072" s="46"/>
      <c r="R13072" s="51"/>
      <c r="S13072" s="51"/>
    </row>
    <row r="13073" spans="9:19" x14ac:dyDescent="0.25">
      <c r="I13073" s="1"/>
      <c r="J13073" s="71"/>
      <c r="M13073" s="46"/>
      <c r="R13073" s="51"/>
      <c r="S13073" s="51"/>
    </row>
    <row r="13074" spans="9:19" x14ac:dyDescent="0.25">
      <c r="I13074" s="1"/>
      <c r="J13074" s="71"/>
      <c r="M13074" s="46"/>
      <c r="R13074" s="51"/>
      <c r="S13074" s="51"/>
    </row>
    <row r="13075" spans="9:19" x14ac:dyDescent="0.25">
      <c r="I13075" s="1"/>
      <c r="J13075" s="71"/>
      <c r="M13075" s="46"/>
      <c r="R13075" s="51"/>
      <c r="S13075" s="51"/>
    </row>
    <row r="13076" spans="9:19" x14ac:dyDescent="0.25">
      <c r="I13076" s="1"/>
      <c r="J13076" s="71"/>
      <c r="M13076" s="46"/>
      <c r="R13076" s="51"/>
      <c r="S13076" s="51"/>
    </row>
    <row r="13077" spans="9:19" x14ac:dyDescent="0.25">
      <c r="I13077" s="1"/>
      <c r="J13077" s="71"/>
      <c r="M13077" s="46"/>
      <c r="R13077" s="51"/>
      <c r="S13077" s="51"/>
    </row>
    <row r="13078" spans="9:19" x14ac:dyDescent="0.25">
      <c r="I13078" s="1"/>
      <c r="J13078" s="71"/>
      <c r="M13078" s="46"/>
      <c r="R13078" s="51"/>
      <c r="S13078" s="51"/>
    </row>
    <row r="13079" spans="9:19" x14ac:dyDescent="0.25">
      <c r="I13079" s="1"/>
      <c r="J13079" s="71"/>
      <c r="M13079" s="46"/>
      <c r="R13079" s="51"/>
      <c r="S13079" s="51"/>
    </row>
    <row r="13080" spans="9:19" x14ac:dyDescent="0.25">
      <c r="I13080" s="1"/>
      <c r="J13080" s="71"/>
      <c r="M13080" s="46"/>
      <c r="R13080" s="51"/>
      <c r="S13080" s="51"/>
    </row>
    <row r="13081" spans="9:19" x14ac:dyDescent="0.25">
      <c r="I13081" s="1"/>
      <c r="J13081" s="71"/>
      <c r="M13081" s="46"/>
      <c r="R13081" s="51"/>
      <c r="S13081" s="51"/>
    </row>
    <row r="13082" spans="9:19" x14ac:dyDescent="0.25">
      <c r="I13082" s="1"/>
      <c r="J13082" s="71"/>
      <c r="M13082" s="46"/>
      <c r="R13082" s="51"/>
      <c r="S13082" s="51"/>
    </row>
    <row r="13083" spans="9:19" x14ac:dyDescent="0.25">
      <c r="I13083" s="1"/>
      <c r="J13083" s="71"/>
      <c r="M13083" s="46"/>
      <c r="R13083" s="51"/>
      <c r="S13083" s="51"/>
    </row>
    <row r="13084" spans="9:19" x14ac:dyDescent="0.25">
      <c r="I13084" s="1"/>
      <c r="J13084" s="71"/>
      <c r="M13084" s="46"/>
      <c r="R13084" s="51"/>
      <c r="S13084" s="51"/>
    </row>
    <row r="13085" spans="9:19" x14ac:dyDescent="0.25">
      <c r="I13085" s="1"/>
      <c r="J13085" s="71"/>
      <c r="M13085" s="46"/>
      <c r="R13085" s="51"/>
      <c r="S13085" s="51"/>
    </row>
    <row r="13086" spans="9:19" x14ac:dyDescent="0.25">
      <c r="I13086" s="1"/>
      <c r="J13086" s="71"/>
      <c r="M13086" s="46"/>
      <c r="R13086" s="51"/>
      <c r="S13086" s="51"/>
    </row>
    <row r="13087" spans="9:19" x14ac:dyDescent="0.25">
      <c r="I13087" s="1"/>
      <c r="J13087" s="71"/>
      <c r="M13087" s="46"/>
      <c r="R13087" s="51"/>
      <c r="S13087" s="51"/>
    </row>
    <row r="13088" spans="9:19" x14ac:dyDescent="0.25">
      <c r="I13088" s="1"/>
      <c r="J13088" s="71"/>
      <c r="M13088" s="46"/>
      <c r="R13088" s="51"/>
      <c r="S13088" s="51"/>
    </row>
    <row r="13089" spans="9:19" x14ac:dyDescent="0.25">
      <c r="I13089" s="1"/>
      <c r="J13089" s="71"/>
      <c r="M13089" s="46"/>
      <c r="R13089" s="51"/>
      <c r="S13089" s="51"/>
    </row>
    <row r="13090" spans="9:19" x14ac:dyDescent="0.25">
      <c r="I13090" s="1"/>
      <c r="J13090" s="71"/>
      <c r="M13090" s="46"/>
      <c r="R13090" s="51"/>
      <c r="S13090" s="51"/>
    </row>
    <row r="13091" spans="9:19" x14ac:dyDescent="0.25">
      <c r="I13091" s="1"/>
      <c r="J13091" s="71"/>
      <c r="M13091" s="46"/>
      <c r="R13091" s="51"/>
      <c r="S13091" s="51"/>
    </row>
    <row r="13092" spans="9:19" x14ac:dyDescent="0.25">
      <c r="I13092" s="1"/>
      <c r="J13092" s="71"/>
      <c r="M13092" s="46"/>
      <c r="R13092" s="51"/>
      <c r="S13092" s="51"/>
    </row>
    <row r="13093" spans="9:19" x14ac:dyDescent="0.25">
      <c r="I13093" s="1"/>
      <c r="J13093" s="71"/>
      <c r="M13093" s="46"/>
      <c r="R13093" s="51"/>
      <c r="S13093" s="51"/>
    </row>
    <row r="13094" spans="9:19" x14ac:dyDescent="0.25">
      <c r="I13094" s="1"/>
      <c r="J13094" s="71"/>
      <c r="M13094" s="46"/>
      <c r="R13094" s="51"/>
      <c r="S13094" s="51"/>
    </row>
    <row r="13095" spans="9:19" x14ac:dyDescent="0.25">
      <c r="I13095" s="1"/>
      <c r="J13095" s="71"/>
      <c r="M13095" s="46"/>
      <c r="R13095" s="51"/>
      <c r="S13095" s="51"/>
    </row>
    <row r="13096" spans="9:19" x14ac:dyDescent="0.25">
      <c r="I13096" s="1"/>
      <c r="J13096" s="71"/>
      <c r="M13096" s="46"/>
      <c r="R13096" s="51"/>
      <c r="S13096" s="51"/>
    </row>
    <row r="13097" spans="9:19" x14ac:dyDescent="0.25">
      <c r="I13097" s="1"/>
      <c r="J13097" s="71"/>
      <c r="M13097" s="46"/>
      <c r="R13097" s="51"/>
      <c r="S13097" s="51"/>
    </row>
    <row r="13098" spans="9:19" x14ac:dyDescent="0.25">
      <c r="I13098" s="1"/>
      <c r="J13098" s="71"/>
      <c r="M13098" s="46"/>
      <c r="R13098" s="51"/>
      <c r="S13098" s="51"/>
    </row>
    <row r="13099" spans="9:19" x14ac:dyDescent="0.25">
      <c r="I13099" s="1"/>
      <c r="J13099" s="71"/>
      <c r="M13099" s="46"/>
      <c r="R13099" s="51"/>
      <c r="S13099" s="51"/>
    </row>
    <row r="13100" spans="9:19" x14ac:dyDescent="0.25">
      <c r="I13100" s="1"/>
      <c r="J13100" s="71"/>
      <c r="M13100" s="46"/>
      <c r="R13100" s="51"/>
      <c r="S13100" s="51"/>
    </row>
    <row r="13101" spans="9:19" x14ac:dyDescent="0.25">
      <c r="I13101" s="1"/>
      <c r="J13101" s="71"/>
      <c r="M13101" s="46"/>
      <c r="R13101" s="51"/>
      <c r="S13101" s="51"/>
    </row>
    <row r="13102" spans="9:19" x14ac:dyDescent="0.25">
      <c r="I13102" s="1"/>
      <c r="J13102" s="71"/>
      <c r="M13102" s="46"/>
      <c r="R13102" s="51"/>
      <c r="S13102" s="51"/>
    </row>
    <row r="13103" spans="9:19" x14ac:dyDescent="0.25">
      <c r="I13103" s="1"/>
      <c r="J13103" s="71"/>
      <c r="M13103" s="46"/>
      <c r="R13103" s="51"/>
      <c r="S13103" s="51"/>
    </row>
    <row r="13104" spans="9:19" x14ac:dyDescent="0.25">
      <c r="I13104" s="1"/>
      <c r="J13104" s="71"/>
      <c r="M13104" s="46"/>
      <c r="R13104" s="51"/>
      <c r="S13104" s="51"/>
    </row>
    <row r="13105" spans="9:19" x14ac:dyDescent="0.25">
      <c r="I13105" s="1"/>
      <c r="J13105" s="71"/>
      <c r="M13105" s="46"/>
      <c r="R13105" s="51"/>
      <c r="S13105" s="51"/>
    </row>
    <row r="13106" spans="9:19" x14ac:dyDescent="0.25">
      <c r="I13106" s="1"/>
      <c r="J13106" s="71"/>
      <c r="M13106" s="46"/>
      <c r="R13106" s="51"/>
      <c r="S13106" s="51"/>
    </row>
    <row r="13107" spans="9:19" x14ac:dyDescent="0.25">
      <c r="I13107" s="1"/>
      <c r="J13107" s="71"/>
      <c r="M13107" s="46"/>
      <c r="R13107" s="51"/>
      <c r="S13107" s="51"/>
    </row>
    <row r="13108" spans="9:19" x14ac:dyDescent="0.25">
      <c r="I13108" s="1"/>
      <c r="J13108" s="71"/>
      <c r="M13108" s="46"/>
      <c r="R13108" s="51"/>
      <c r="S13108" s="51"/>
    </row>
    <row r="13109" spans="9:19" x14ac:dyDescent="0.25">
      <c r="I13109" s="1"/>
      <c r="J13109" s="71"/>
      <c r="M13109" s="46"/>
      <c r="R13109" s="51"/>
      <c r="S13109" s="51"/>
    </row>
    <row r="13110" spans="9:19" x14ac:dyDescent="0.25">
      <c r="I13110" s="1"/>
      <c r="J13110" s="71"/>
      <c r="M13110" s="46"/>
      <c r="R13110" s="51"/>
      <c r="S13110" s="51"/>
    </row>
    <row r="13111" spans="9:19" x14ac:dyDescent="0.25">
      <c r="I13111" s="1"/>
      <c r="J13111" s="71"/>
      <c r="M13111" s="46"/>
      <c r="R13111" s="51"/>
      <c r="S13111" s="51"/>
    </row>
    <row r="13112" spans="9:19" x14ac:dyDescent="0.25">
      <c r="I13112" s="1"/>
      <c r="J13112" s="71"/>
      <c r="M13112" s="46"/>
      <c r="R13112" s="51"/>
      <c r="S13112" s="51"/>
    </row>
    <row r="13113" spans="9:19" x14ac:dyDescent="0.25">
      <c r="I13113" s="1"/>
      <c r="J13113" s="71"/>
      <c r="M13113" s="46"/>
      <c r="R13113" s="51"/>
      <c r="S13113" s="51"/>
    </row>
    <row r="13114" spans="9:19" x14ac:dyDescent="0.25">
      <c r="I13114" s="1"/>
      <c r="J13114" s="71"/>
      <c r="M13114" s="46"/>
      <c r="R13114" s="51"/>
      <c r="S13114" s="51"/>
    </row>
    <row r="13115" spans="9:19" x14ac:dyDescent="0.25">
      <c r="I13115" s="1"/>
      <c r="J13115" s="71"/>
      <c r="M13115" s="46"/>
      <c r="R13115" s="51"/>
      <c r="S13115" s="51"/>
    </row>
    <row r="13116" spans="9:19" x14ac:dyDescent="0.25">
      <c r="I13116" s="1"/>
      <c r="J13116" s="71"/>
      <c r="M13116" s="46"/>
      <c r="R13116" s="51"/>
      <c r="S13116" s="51"/>
    </row>
    <row r="13117" spans="9:19" x14ac:dyDescent="0.25">
      <c r="I13117" s="1"/>
      <c r="J13117" s="71"/>
      <c r="M13117" s="46"/>
      <c r="R13117" s="51"/>
      <c r="S13117" s="51"/>
    </row>
    <row r="13118" spans="9:19" x14ac:dyDescent="0.25">
      <c r="I13118" s="1"/>
      <c r="J13118" s="71"/>
      <c r="M13118" s="46"/>
      <c r="R13118" s="51"/>
      <c r="S13118" s="51"/>
    </row>
    <row r="13119" spans="9:19" x14ac:dyDescent="0.25">
      <c r="I13119" s="1"/>
      <c r="J13119" s="71"/>
      <c r="M13119" s="46"/>
      <c r="R13119" s="51"/>
      <c r="S13119" s="51"/>
    </row>
    <row r="13120" spans="9:19" x14ac:dyDescent="0.25">
      <c r="I13120" s="1"/>
      <c r="J13120" s="71"/>
      <c r="M13120" s="46"/>
      <c r="R13120" s="51"/>
      <c r="S13120" s="51"/>
    </row>
    <row r="13121" spans="9:19" x14ac:dyDescent="0.25">
      <c r="I13121" s="1"/>
      <c r="J13121" s="71"/>
      <c r="M13121" s="46"/>
      <c r="R13121" s="51"/>
      <c r="S13121" s="51"/>
    </row>
    <row r="13122" spans="9:19" x14ac:dyDescent="0.25">
      <c r="I13122" s="1"/>
      <c r="J13122" s="71"/>
      <c r="M13122" s="46"/>
      <c r="R13122" s="51"/>
      <c r="S13122" s="51"/>
    </row>
    <row r="13123" spans="9:19" x14ac:dyDescent="0.25">
      <c r="I13123" s="1"/>
      <c r="J13123" s="71"/>
      <c r="M13123" s="46"/>
      <c r="R13123" s="51"/>
      <c r="S13123" s="51"/>
    </row>
    <row r="13124" spans="9:19" x14ac:dyDescent="0.25">
      <c r="I13124" s="1"/>
      <c r="J13124" s="71"/>
      <c r="M13124" s="46"/>
      <c r="R13124" s="51"/>
      <c r="S13124" s="51"/>
    </row>
    <row r="13125" spans="9:19" x14ac:dyDescent="0.25">
      <c r="I13125" s="1"/>
      <c r="J13125" s="71"/>
      <c r="M13125" s="46"/>
      <c r="R13125" s="51"/>
      <c r="S13125" s="51"/>
    </row>
    <row r="13126" spans="9:19" x14ac:dyDescent="0.25">
      <c r="I13126" s="1"/>
      <c r="J13126" s="71"/>
      <c r="M13126" s="46"/>
      <c r="R13126" s="51"/>
      <c r="S13126" s="51"/>
    </row>
    <row r="13127" spans="9:19" x14ac:dyDescent="0.25">
      <c r="I13127" s="1"/>
      <c r="J13127" s="71"/>
      <c r="M13127" s="46"/>
      <c r="R13127" s="51"/>
      <c r="S13127" s="51"/>
    </row>
    <row r="13128" spans="9:19" x14ac:dyDescent="0.25">
      <c r="I13128" s="1"/>
      <c r="J13128" s="71"/>
      <c r="M13128" s="46"/>
      <c r="R13128" s="51"/>
      <c r="S13128" s="51"/>
    </row>
    <row r="13129" spans="9:19" x14ac:dyDescent="0.25">
      <c r="I13129" s="1"/>
      <c r="J13129" s="71"/>
      <c r="M13129" s="46"/>
      <c r="R13129" s="51"/>
      <c r="S13129" s="51"/>
    </row>
    <row r="13130" spans="9:19" x14ac:dyDescent="0.25">
      <c r="I13130" s="1"/>
      <c r="J13130" s="71"/>
      <c r="M13130" s="46"/>
      <c r="R13130" s="51"/>
      <c r="S13130" s="51"/>
    </row>
    <row r="13131" spans="9:19" x14ac:dyDescent="0.25">
      <c r="I13131" s="1"/>
      <c r="J13131" s="71"/>
      <c r="M13131" s="46"/>
      <c r="R13131" s="51"/>
      <c r="S13131" s="51"/>
    </row>
    <row r="13132" spans="9:19" x14ac:dyDescent="0.25">
      <c r="I13132" s="1"/>
      <c r="J13132" s="71"/>
      <c r="M13132" s="46"/>
      <c r="R13132" s="51"/>
      <c r="S13132" s="51"/>
    </row>
    <row r="13133" spans="9:19" x14ac:dyDescent="0.25">
      <c r="I13133" s="1"/>
      <c r="J13133" s="71"/>
      <c r="M13133" s="46"/>
      <c r="R13133" s="51"/>
      <c r="S13133" s="51"/>
    </row>
    <row r="13134" spans="9:19" x14ac:dyDescent="0.25">
      <c r="I13134" s="1"/>
      <c r="J13134" s="71"/>
      <c r="M13134" s="46"/>
      <c r="R13134" s="51"/>
      <c r="S13134" s="51"/>
    </row>
    <row r="13135" spans="9:19" x14ac:dyDescent="0.25">
      <c r="I13135" s="1"/>
      <c r="J13135" s="71"/>
      <c r="M13135" s="46"/>
      <c r="R13135" s="51"/>
      <c r="S13135" s="51"/>
    </row>
    <row r="13136" spans="9:19" x14ac:dyDescent="0.25">
      <c r="I13136" s="1"/>
      <c r="J13136" s="71"/>
      <c r="M13136" s="46"/>
      <c r="R13136" s="51"/>
      <c r="S13136" s="51"/>
    </row>
    <row r="13137" spans="9:19" x14ac:dyDescent="0.25">
      <c r="I13137" s="1"/>
      <c r="J13137" s="71"/>
      <c r="M13137" s="46"/>
      <c r="R13137" s="51"/>
      <c r="S13137" s="51"/>
    </row>
    <row r="13138" spans="9:19" x14ac:dyDescent="0.25">
      <c r="I13138" s="1"/>
      <c r="J13138" s="71"/>
      <c r="M13138" s="46"/>
      <c r="R13138" s="51"/>
      <c r="S13138" s="51"/>
    </row>
    <row r="13139" spans="9:19" x14ac:dyDescent="0.25">
      <c r="I13139" s="1"/>
      <c r="J13139" s="71"/>
      <c r="M13139" s="46"/>
      <c r="R13139" s="51"/>
      <c r="S13139" s="51"/>
    </row>
    <row r="13140" spans="9:19" x14ac:dyDescent="0.25">
      <c r="I13140" s="1"/>
      <c r="J13140" s="71"/>
      <c r="M13140" s="46"/>
      <c r="R13140" s="51"/>
      <c r="S13140" s="51"/>
    </row>
    <row r="13141" spans="9:19" x14ac:dyDescent="0.25">
      <c r="I13141" s="1"/>
      <c r="J13141" s="71"/>
      <c r="M13141" s="46"/>
      <c r="R13141" s="51"/>
      <c r="S13141" s="51"/>
    </row>
    <row r="13142" spans="9:19" x14ac:dyDescent="0.25">
      <c r="I13142" s="1"/>
      <c r="J13142" s="71"/>
      <c r="M13142" s="46"/>
      <c r="R13142" s="51"/>
      <c r="S13142" s="51"/>
    </row>
    <row r="13143" spans="9:19" x14ac:dyDescent="0.25">
      <c r="I13143" s="1"/>
      <c r="J13143" s="71"/>
      <c r="M13143" s="46"/>
      <c r="R13143" s="51"/>
      <c r="S13143" s="51"/>
    </row>
    <row r="13144" spans="9:19" x14ac:dyDescent="0.25">
      <c r="I13144" s="1"/>
      <c r="J13144" s="71"/>
      <c r="M13144" s="46"/>
      <c r="R13144" s="51"/>
      <c r="S13144" s="51"/>
    </row>
    <row r="13145" spans="9:19" x14ac:dyDescent="0.25">
      <c r="I13145" s="1"/>
      <c r="J13145" s="71"/>
      <c r="M13145" s="46"/>
      <c r="R13145" s="51"/>
      <c r="S13145" s="51"/>
    </row>
    <row r="13146" spans="9:19" x14ac:dyDescent="0.25">
      <c r="I13146" s="1"/>
      <c r="J13146" s="71"/>
      <c r="M13146" s="46"/>
      <c r="R13146" s="51"/>
      <c r="S13146" s="51"/>
    </row>
    <row r="13147" spans="9:19" x14ac:dyDescent="0.25">
      <c r="I13147" s="1"/>
      <c r="J13147" s="71"/>
      <c r="M13147" s="46"/>
      <c r="R13147" s="51"/>
      <c r="S13147" s="51"/>
    </row>
    <row r="13148" spans="9:19" x14ac:dyDescent="0.25">
      <c r="I13148" s="1"/>
      <c r="J13148" s="71"/>
      <c r="M13148" s="46"/>
      <c r="R13148" s="51"/>
      <c r="S13148" s="51"/>
    </row>
    <row r="13149" spans="9:19" x14ac:dyDescent="0.25">
      <c r="I13149" s="1"/>
      <c r="J13149" s="71"/>
      <c r="M13149" s="46"/>
      <c r="R13149" s="51"/>
      <c r="S13149" s="51"/>
    </row>
    <row r="13150" spans="9:19" x14ac:dyDescent="0.25">
      <c r="I13150" s="1"/>
      <c r="J13150" s="71"/>
      <c r="M13150" s="46"/>
      <c r="R13150" s="51"/>
      <c r="S13150" s="51"/>
    </row>
    <row r="13151" spans="9:19" x14ac:dyDescent="0.25">
      <c r="I13151" s="1"/>
      <c r="J13151" s="71"/>
      <c r="M13151" s="46"/>
      <c r="R13151" s="51"/>
      <c r="S13151" s="51"/>
    </row>
    <row r="13152" spans="9:19" x14ac:dyDescent="0.25">
      <c r="I13152" s="1"/>
      <c r="J13152" s="71"/>
      <c r="M13152" s="46"/>
      <c r="R13152" s="51"/>
      <c r="S13152" s="51"/>
    </row>
    <row r="13153" spans="9:19" x14ac:dyDescent="0.25">
      <c r="I13153" s="1"/>
      <c r="J13153" s="71"/>
      <c r="M13153" s="46"/>
      <c r="R13153" s="51"/>
      <c r="S13153" s="51"/>
    </row>
    <row r="13154" spans="9:19" x14ac:dyDescent="0.25">
      <c r="I13154" s="1"/>
      <c r="J13154" s="71"/>
      <c r="M13154" s="46"/>
      <c r="R13154" s="51"/>
      <c r="S13154" s="51"/>
    </row>
    <row r="13155" spans="9:19" x14ac:dyDescent="0.25">
      <c r="I13155" s="1"/>
      <c r="J13155" s="71"/>
      <c r="M13155" s="46"/>
      <c r="R13155" s="51"/>
      <c r="S13155" s="51"/>
    </row>
    <row r="13156" spans="9:19" x14ac:dyDescent="0.25">
      <c r="I13156" s="1"/>
      <c r="J13156" s="71"/>
      <c r="M13156" s="46"/>
      <c r="R13156" s="51"/>
      <c r="S13156" s="51"/>
    </row>
    <row r="13157" spans="9:19" x14ac:dyDescent="0.25">
      <c r="I13157" s="1"/>
      <c r="J13157" s="71"/>
      <c r="M13157" s="46"/>
      <c r="R13157" s="51"/>
      <c r="S13157" s="51"/>
    </row>
    <row r="13158" spans="9:19" x14ac:dyDescent="0.25">
      <c r="I13158" s="1"/>
      <c r="J13158" s="71"/>
      <c r="M13158" s="46"/>
      <c r="R13158" s="51"/>
      <c r="S13158" s="51"/>
    </row>
    <row r="13159" spans="9:19" x14ac:dyDescent="0.25">
      <c r="I13159" s="1"/>
      <c r="J13159" s="71"/>
      <c r="M13159" s="46"/>
      <c r="R13159" s="51"/>
      <c r="S13159" s="51"/>
    </row>
    <row r="13160" spans="9:19" x14ac:dyDescent="0.25">
      <c r="I13160" s="1"/>
      <c r="J13160" s="71"/>
      <c r="M13160" s="46"/>
      <c r="R13160" s="51"/>
      <c r="S13160" s="51"/>
    </row>
    <row r="13161" spans="9:19" x14ac:dyDescent="0.25">
      <c r="I13161" s="1"/>
      <c r="J13161" s="71"/>
      <c r="M13161" s="46"/>
      <c r="R13161" s="51"/>
      <c r="S13161" s="51"/>
    </row>
    <row r="13162" spans="9:19" x14ac:dyDescent="0.25">
      <c r="I13162" s="1"/>
      <c r="J13162" s="71"/>
      <c r="M13162" s="46"/>
      <c r="R13162" s="51"/>
      <c r="S13162" s="51"/>
    </row>
    <row r="13163" spans="9:19" x14ac:dyDescent="0.25">
      <c r="I13163" s="1"/>
      <c r="J13163" s="71"/>
      <c r="M13163" s="46"/>
      <c r="R13163" s="51"/>
      <c r="S13163" s="51"/>
    </row>
    <row r="13164" spans="9:19" x14ac:dyDescent="0.25">
      <c r="I13164" s="1"/>
      <c r="J13164" s="71"/>
      <c r="M13164" s="46"/>
      <c r="R13164" s="51"/>
      <c r="S13164" s="51"/>
    </row>
    <row r="13165" spans="9:19" x14ac:dyDescent="0.25">
      <c r="I13165" s="1"/>
      <c r="J13165" s="71"/>
      <c r="M13165" s="46"/>
      <c r="R13165" s="51"/>
      <c r="S13165" s="51"/>
    </row>
    <row r="13166" spans="9:19" x14ac:dyDescent="0.25">
      <c r="I13166" s="1"/>
      <c r="J13166" s="71"/>
      <c r="M13166" s="46"/>
      <c r="R13166" s="51"/>
      <c r="S13166" s="51"/>
    </row>
    <row r="13167" spans="9:19" x14ac:dyDescent="0.25">
      <c r="I13167" s="1"/>
      <c r="J13167" s="71"/>
      <c r="M13167" s="46"/>
      <c r="R13167" s="51"/>
      <c r="S13167" s="51"/>
    </row>
    <row r="13168" spans="9:19" x14ac:dyDescent="0.25">
      <c r="I13168" s="1"/>
      <c r="J13168" s="71"/>
      <c r="M13168" s="46"/>
      <c r="R13168" s="51"/>
      <c r="S13168" s="51"/>
    </row>
    <row r="13169" spans="9:19" x14ac:dyDescent="0.25">
      <c r="I13169" s="1"/>
      <c r="J13169" s="71"/>
      <c r="M13169" s="46"/>
      <c r="R13169" s="51"/>
      <c r="S13169" s="51"/>
    </row>
    <row r="13170" spans="9:19" x14ac:dyDescent="0.25">
      <c r="I13170" s="1"/>
      <c r="J13170" s="71"/>
      <c r="M13170" s="46"/>
      <c r="R13170" s="51"/>
      <c r="S13170" s="51"/>
    </row>
    <row r="13171" spans="9:19" x14ac:dyDescent="0.25">
      <c r="I13171" s="1"/>
      <c r="J13171" s="71"/>
      <c r="M13171" s="46"/>
      <c r="R13171" s="51"/>
      <c r="S13171" s="51"/>
    </row>
    <row r="13172" spans="9:19" x14ac:dyDescent="0.25">
      <c r="I13172" s="1"/>
      <c r="J13172" s="71"/>
      <c r="M13172" s="46"/>
      <c r="R13172" s="51"/>
      <c r="S13172" s="51"/>
    </row>
    <row r="13173" spans="9:19" x14ac:dyDescent="0.25">
      <c r="I13173" s="1"/>
      <c r="J13173" s="71"/>
      <c r="M13173" s="46"/>
      <c r="R13173" s="51"/>
      <c r="S13173" s="51"/>
    </row>
    <row r="13174" spans="9:19" x14ac:dyDescent="0.25">
      <c r="I13174" s="1"/>
      <c r="J13174" s="71"/>
      <c r="M13174" s="46"/>
      <c r="R13174" s="51"/>
      <c r="S13174" s="51"/>
    </row>
    <row r="13175" spans="9:19" x14ac:dyDescent="0.25">
      <c r="I13175" s="1"/>
      <c r="J13175" s="71"/>
      <c r="M13175" s="46"/>
      <c r="R13175" s="51"/>
      <c r="S13175" s="51"/>
    </row>
    <row r="13176" spans="9:19" x14ac:dyDescent="0.25">
      <c r="I13176" s="1"/>
      <c r="J13176" s="71"/>
      <c r="M13176" s="46"/>
      <c r="R13176" s="51"/>
      <c r="S13176" s="51"/>
    </row>
    <row r="13177" spans="9:19" x14ac:dyDescent="0.25">
      <c r="I13177" s="1"/>
      <c r="J13177" s="71"/>
      <c r="M13177" s="46"/>
      <c r="R13177" s="51"/>
      <c r="S13177" s="51"/>
    </row>
    <row r="13178" spans="9:19" x14ac:dyDescent="0.25">
      <c r="I13178" s="1"/>
      <c r="J13178" s="71"/>
      <c r="M13178" s="46"/>
      <c r="R13178" s="51"/>
      <c r="S13178" s="51"/>
    </row>
    <row r="13179" spans="9:19" x14ac:dyDescent="0.25">
      <c r="I13179" s="1"/>
      <c r="J13179" s="71"/>
      <c r="M13179" s="46"/>
      <c r="R13179" s="51"/>
      <c r="S13179" s="51"/>
    </row>
    <row r="13180" spans="9:19" x14ac:dyDescent="0.25">
      <c r="I13180" s="1"/>
      <c r="J13180" s="71"/>
      <c r="M13180" s="46"/>
      <c r="R13180" s="51"/>
      <c r="S13180" s="51"/>
    </row>
    <row r="13181" spans="9:19" x14ac:dyDescent="0.25">
      <c r="I13181" s="1"/>
      <c r="J13181" s="71"/>
      <c r="M13181" s="46"/>
      <c r="R13181" s="51"/>
      <c r="S13181" s="51"/>
    </row>
    <row r="13182" spans="9:19" x14ac:dyDescent="0.25">
      <c r="I13182" s="1"/>
      <c r="J13182" s="71"/>
      <c r="M13182" s="46"/>
      <c r="R13182" s="51"/>
      <c r="S13182" s="51"/>
    </row>
    <row r="13183" spans="9:19" x14ac:dyDescent="0.25">
      <c r="I13183" s="1"/>
      <c r="J13183" s="71"/>
      <c r="M13183" s="46"/>
      <c r="R13183" s="51"/>
      <c r="S13183" s="51"/>
    </row>
    <row r="13184" spans="9:19" x14ac:dyDescent="0.25">
      <c r="I13184" s="1"/>
      <c r="J13184" s="71"/>
      <c r="M13184" s="46"/>
      <c r="R13184" s="51"/>
      <c r="S13184" s="51"/>
    </row>
    <row r="13185" spans="9:19" x14ac:dyDescent="0.25">
      <c r="I13185" s="1"/>
      <c r="J13185" s="71"/>
      <c r="M13185" s="46"/>
      <c r="R13185" s="51"/>
      <c r="S13185" s="51"/>
    </row>
    <row r="13186" spans="9:19" x14ac:dyDescent="0.25">
      <c r="I13186" s="1"/>
      <c r="J13186" s="71"/>
      <c r="M13186" s="46"/>
      <c r="R13186" s="51"/>
      <c r="S13186" s="51"/>
    </row>
    <row r="13187" spans="9:19" x14ac:dyDescent="0.25">
      <c r="I13187" s="1"/>
      <c r="J13187" s="71"/>
      <c r="M13187" s="46"/>
      <c r="R13187" s="51"/>
      <c r="S13187" s="51"/>
    </row>
    <row r="13188" spans="9:19" x14ac:dyDescent="0.25">
      <c r="I13188" s="1"/>
      <c r="J13188" s="71"/>
      <c r="M13188" s="46"/>
      <c r="R13188" s="51"/>
      <c r="S13188" s="51"/>
    </row>
    <row r="13189" spans="9:19" x14ac:dyDescent="0.25">
      <c r="I13189" s="1"/>
      <c r="J13189" s="71"/>
      <c r="M13189" s="46"/>
      <c r="R13189" s="51"/>
      <c r="S13189" s="51"/>
    </row>
    <row r="13190" spans="9:19" x14ac:dyDescent="0.25">
      <c r="I13190" s="1"/>
      <c r="J13190" s="71"/>
      <c r="M13190" s="46"/>
      <c r="R13190" s="51"/>
      <c r="S13190" s="51"/>
    </row>
    <row r="13191" spans="9:19" x14ac:dyDescent="0.25">
      <c r="I13191" s="1"/>
      <c r="J13191" s="71"/>
      <c r="M13191" s="46"/>
      <c r="R13191" s="51"/>
      <c r="S13191" s="51"/>
    </row>
    <row r="13192" spans="9:19" x14ac:dyDescent="0.25">
      <c r="I13192" s="1"/>
      <c r="J13192" s="71"/>
      <c r="M13192" s="46"/>
      <c r="R13192" s="51"/>
      <c r="S13192" s="51"/>
    </row>
    <row r="13193" spans="9:19" x14ac:dyDescent="0.25">
      <c r="I13193" s="1"/>
      <c r="J13193" s="71"/>
      <c r="M13193" s="46"/>
      <c r="R13193" s="51"/>
      <c r="S13193" s="51"/>
    </row>
    <row r="13194" spans="9:19" x14ac:dyDescent="0.25">
      <c r="I13194" s="1"/>
      <c r="J13194" s="71"/>
      <c r="M13194" s="46"/>
      <c r="R13194" s="51"/>
      <c r="S13194" s="51"/>
    </row>
    <row r="13195" spans="9:19" x14ac:dyDescent="0.25">
      <c r="I13195" s="1"/>
      <c r="J13195" s="71"/>
      <c r="M13195" s="46"/>
      <c r="R13195" s="51"/>
      <c r="S13195" s="51"/>
    </row>
    <row r="13196" spans="9:19" x14ac:dyDescent="0.25">
      <c r="I13196" s="1"/>
      <c r="J13196" s="71"/>
      <c r="M13196" s="46"/>
      <c r="R13196" s="51"/>
      <c r="S13196" s="51"/>
    </row>
    <row r="13197" spans="9:19" x14ac:dyDescent="0.25">
      <c r="I13197" s="1"/>
      <c r="J13197" s="71"/>
      <c r="M13197" s="46"/>
      <c r="R13197" s="51"/>
      <c r="S13197" s="51"/>
    </row>
    <row r="13198" spans="9:19" x14ac:dyDescent="0.25">
      <c r="I13198" s="1"/>
      <c r="J13198" s="71"/>
      <c r="M13198" s="46"/>
      <c r="R13198" s="51"/>
      <c r="S13198" s="51"/>
    </row>
    <row r="13199" spans="9:19" x14ac:dyDescent="0.25">
      <c r="I13199" s="1"/>
      <c r="J13199" s="71"/>
      <c r="M13199" s="46"/>
      <c r="R13199" s="51"/>
      <c r="S13199" s="51"/>
    </row>
    <row r="13200" spans="9:19" x14ac:dyDescent="0.25">
      <c r="I13200" s="1"/>
      <c r="J13200" s="71"/>
      <c r="M13200" s="46"/>
      <c r="R13200" s="51"/>
      <c r="S13200" s="51"/>
    </row>
    <row r="13201" spans="9:19" x14ac:dyDescent="0.25">
      <c r="I13201" s="1"/>
      <c r="J13201" s="71"/>
      <c r="M13201" s="46"/>
      <c r="R13201" s="51"/>
      <c r="S13201" s="51"/>
    </row>
    <row r="13202" spans="9:19" x14ac:dyDescent="0.25">
      <c r="I13202" s="1"/>
      <c r="J13202" s="71"/>
      <c r="M13202" s="46"/>
      <c r="R13202" s="51"/>
      <c r="S13202" s="51"/>
    </row>
    <row r="13203" spans="9:19" x14ac:dyDescent="0.25">
      <c r="I13203" s="1"/>
      <c r="J13203" s="71"/>
      <c r="M13203" s="46"/>
      <c r="R13203" s="51"/>
      <c r="S13203" s="51"/>
    </row>
    <row r="13204" spans="9:19" x14ac:dyDescent="0.25">
      <c r="I13204" s="1"/>
      <c r="J13204" s="71"/>
      <c r="M13204" s="46"/>
      <c r="R13204" s="51"/>
      <c r="S13204" s="51"/>
    </row>
    <row r="13205" spans="9:19" x14ac:dyDescent="0.25">
      <c r="I13205" s="1"/>
      <c r="J13205" s="71"/>
      <c r="M13205" s="46"/>
      <c r="R13205" s="51"/>
      <c r="S13205" s="51"/>
    </row>
    <row r="13206" spans="9:19" x14ac:dyDescent="0.25">
      <c r="I13206" s="1"/>
      <c r="J13206" s="71"/>
      <c r="M13206" s="46"/>
      <c r="R13206" s="51"/>
      <c r="S13206" s="51"/>
    </row>
    <row r="13207" spans="9:19" x14ac:dyDescent="0.25">
      <c r="I13207" s="1"/>
      <c r="J13207" s="71"/>
      <c r="M13207" s="46"/>
      <c r="R13207" s="51"/>
      <c r="S13207" s="51"/>
    </row>
    <row r="13208" spans="9:19" x14ac:dyDescent="0.25">
      <c r="I13208" s="1"/>
      <c r="J13208" s="71"/>
      <c r="M13208" s="46"/>
      <c r="R13208" s="51"/>
      <c r="S13208" s="51"/>
    </row>
    <row r="13209" spans="9:19" x14ac:dyDescent="0.25">
      <c r="I13209" s="1"/>
      <c r="J13209" s="71"/>
      <c r="M13209" s="46"/>
      <c r="R13209" s="51"/>
      <c r="S13209" s="51"/>
    </row>
    <row r="13210" spans="9:19" x14ac:dyDescent="0.25">
      <c r="I13210" s="1"/>
      <c r="J13210" s="71"/>
      <c r="M13210" s="46"/>
      <c r="R13210" s="51"/>
      <c r="S13210" s="51"/>
    </row>
    <row r="13211" spans="9:19" x14ac:dyDescent="0.25">
      <c r="I13211" s="1"/>
      <c r="J13211" s="71"/>
      <c r="M13211" s="46"/>
      <c r="R13211" s="51"/>
      <c r="S13211" s="51"/>
    </row>
    <row r="13212" spans="9:19" x14ac:dyDescent="0.25">
      <c r="I13212" s="1"/>
      <c r="J13212" s="71"/>
      <c r="M13212" s="46"/>
      <c r="R13212" s="51"/>
      <c r="S13212" s="51"/>
    </row>
    <row r="13213" spans="9:19" x14ac:dyDescent="0.25">
      <c r="I13213" s="1"/>
      <c r="J13213" s="71"/>
      <c r="M13213" s="46"/>
      <c r="R13213" s="51"/>
      <c r="S13213" s="51"/>
    </row>
    <row r="13214" spans="9:19" x14ac:dyDescent="0.25">
      <c r="I13214" s="1"/>
      <c r="J13214" s="71"/>
      <c r="M13214" s="46"/>
      <c r="R13214" s="51"/>
      <c r="S13214" s="51"/>
    </row>
    <row r="13215" spans="9:19" x14ac:dyDescent="0.25">
      <c r="I13215" s="1"/>
      <c r="J13215" s="71"/>
      <c r="M13215" s="46"/>
      <c r="R13215" s="51"/>
      <c r="S13215" s="51"/>
    </row>
    <row r="13216" spans="9:19" x14ac:dyDescent="0.25">
      <c r="I13216" s="1"/>
      <c r="J13216" s="71"/>
      <c r="M13216" s="46"/>
      <c r="R13216" s="51"/>
      <c r="S13216" s="51"/>
    </row>
    <row r="13217" spans="9:19" x14ac:dyDescent="0.25">
      <c r="I13217" s="1"/>
      <c r="J13217" s="71"/>
      <c r="M13217" s="46"/>
      <c r="R13217" s="51"/>
      <c r="S13217" s="51"/>
    </row>
    <row r="13218" spans="9:19" x14ac:dyDescent="0.25">
      <c r="I13218" s="1"/>
      <c r="J13218" s="71"/>
      <c r="M13218" s="46"/>
      <c r="R13218" s="51"/>
      <c r="S13218" s="51"/>
    </row>
    <row r="13219" spans="9:19" x14ac:dyDescent="0.25">
      <c r="I13219" s="1"/>
      <c r="J13219" s="71"/>
      <c r="M13219" s="46"/>
      <c r="R13219" s="51"/>
      <c r="S13219" s="51"/>
    </row>
    <row r="13220" spans="9:19" x14ac:dyDescent="0.25">
      <c r="I13220" s="1"/>
      <c r="J13220" s="71"/>
      <c r="M13220" s="46"/>
      <c r="R13220" s="51"/>
      <c r="S13220" s="51"/>
    </row>
    <row r="13221" spans="9:19" x14ac:dyDescent="0.25">
      <c r="I13221" s="1"/>
      <c r="J13221" s="71"/>
      <c r="M13221" s="46"/>
      <c r="R13221" s="51"/>
      <c r="S13221" s="51"/>
    </row>
    <row r="13222" spans="9:19" x14ac:dyDescent="0.25">
      <c r="I13222" s="1"/>
      <c r="J13222" s="71"/>
      <c r="M13222" s="46"/>
      <c r="R13222" s="51"/>
      <c r="S13222" s="51"/>
    </row>
    <row r="13223" spans="9:19" x14ac:dyDescent="0.25">
      <c r="I13223" s="1"/>
      <c r="J13223" s="71"/>
      <c r="M13223" s="46"/>
      <c r="R13223" s="51"/>
      <c r="S13223" s="51"/>
    </row>
    <row r="13224" spans="9:19" x14ac:dyDescent="0.25">
      <c r="I13224" s="1"/>
      <c r="J13224" s="71"/>
      <c r="M13224" s="46"/>
      <c r="R13224" s="51"/>
      <c r="S13224" s="51"/>
    </row>
    <row r="13225" spans="9:19" x14ac:dyDescent="0.25">
      <c r="I13225" s="1"/>
      <c r="J13225" s="71"/>
      <c r="M13225" s="46"/>
      <c r="R13225" s="51"/>
      <c r="S13225" s="51"/>
    </row>
    <row r="13226" spans="9:19" x14ac:dyDescent="0.25">
      <c r="I13226" s="1"/>
      <c r="J13226" s="71"/>
      <c r="M13226" s="46"/>
      <c r="R13226" s="51"/>
      <c r="S13226" s="51"/>
    </row>
    <row r="13227" spans="9:19" x14ac:dyDescent="0.25">
      <c r="I13227" s="1"/>
      <c r="J13227" s="71"/>
      <c r="M13227" s="46"/>
      <c r="R13227" s="51"/>
      <c r="S13227" s="51"/>
    </row>
    <row r="13228" spans="9:19" x14ac:dyDescent="0.25">
      <c r="I13228" s="1"/>
      <c r="J13228" s="71"/>
      <c r="M13228" s="46"/>
      <c r="R13228" s="51"/>
      <c r="S13228" s="51"/>
    </row>
    <row r="13229" spans="9:19" x14ac:dyDescent="0.25">
      <c r="I13229" s="1"/>
      <c r="J13229" s="71"/>
      <c r="M13229" s="46"/>
      <c r="R13229" s="51"/>
      <c r="S13229" s="51"/>
    </row>
    <row r="13230" spans="9:19" x14ac:dyDescent="0.25">
      <c r="I13230" s="1"/>
      <c r="J13230" s="71"/>
      <c r="M13230" s="46"/>
      <c r="R13230" s="51"/>
      <c r="S13230" s="51"/>
    </row>
    <row r="13231" spans="9:19" x14ac:dyDescent="0.25">
      <c r="I13231" s="1"/>
      <c r="J13231" s="71"/>
      <c r="M13231" s="46"/>
      <c r="R13231" s="51"/>
      <c r="S13231" s="51"/>
    </row>
    <row r="13232" spans="9:19" x14ac:dyDescent="0.25">
      <c r="I13232" s="1"/>
      <c r="J13232" s="71"/>
      <c r="M13232" s="46"/>
      <c r="R13232" s="51"/>
      <c r="S13232" s="51"/>
    </row>
    <row r="13233" spans="9:19" x14ac:dyDescent="0.25">
      <c r="I13233" s="1"/>
      <c r="J13233" s="71"/>
      <c r="M13233" s="46"/>
      <c r="R13233" s="51"/>
      <c r="S13233" s="51"/>
    </row>
    <row r="13234" spans="9:19" x14ac:dyDescent="0.25">
      <c r="I13234" s="1"/>
      <c r="J13234" s="71"/>
      <c r="M13234" s="46"/>
      <c r="R13234" s="51"/>
      <c r="S13234" s="51"/>
    </row>
    <row r="13235" spans="9:19" x14ac:dyDescent="0.25">
      <c r="I13235" s="1"/>
      <c r="J13235" s="71"/>
      <c r="M13235" s="46"/>
      <c r="R13235" s="51"/>
      <c r="S13235" s="51"/>
    </row>
    <row r="13236" spans="9:19" x14ac:dyDescent="0.25">
      <c r="I13236" s="1"/>
      <c r="J13236" s="71"/>
      <c r="M13236" s="46"/>
      <c r="R13236" s="51"/>
      <c r="S13236" s="51"/>
    </row>
    <row r="13237" spans="9:19" x14ac:dyDescent="0.25">
      <c r="I13237" s="1"/>
      <c r="J13237" s="71"/>
      <c r="M13237" s="46"/>
      <c r="R13237" s="51"/>
      <c r="S13237" s="51"/>
    </row>
    <row r="13238" spans="9:19" x14ac:dyDescent="0.25">
      <c r="I13238" s="1"/>
      <c r="J13238" s="71"/>
      <c r="M13238" s="46"/>
      <c r="R13238" s="51"/>
      <c r="S13238" s="51"/>
    </row>
    <row r="13239" spans="9:19" x14ac:dyDescent="0.25">
      <c r="I13239" s="1"/>
      <c r="J13239" s="71"/>
      <c r="M13239" s="46"/>
      <c r="R13239" s="51"/>
      <c r="S13239" s="51"/>
    </row>
    <row r="13240" spans="9:19" x14ac:dyDescent="0.25">
      <c r="I13240" s="1"/>
      <c r="J13240" s="71"/>
      <c r="M13240" s="46"/>
      <c r="R13240" s="51"/>
      <c r="S13240" s="51"/>
    </row>
    <row r="13241" spans="9:19" x14ac:dyDescent="0.25">
      <c r="I13241" s="1"/>
      <c r="J13241" s="71"/>
      <c r="M13241" s="46"/>
      <c r="R13241" s="51"/>
      <c r="S13241" s="51"/>
    </row>
    <row r="13242" spans="9:19" x14ac:dyDescent="0.25">
      <c r="I13242" s="1"/>
      <c r="J13242" s="71"/>
      <c r="M13242" s="46"/>
      <c r="R13242" s="51"/>
      <c r="S13242" s="51"/>
    </row>
    <row r="13243" spans="9:19" x14ac:dyDescent="0.25">
      <c r="I13243" s="1"/>
      <c r="J13243" s="71"/>
      <c r="M13243" s="46"/>
      <c r="R13243" s="51"/>
      <c r="S13243" s="51"/>
    </row>
    <row r="13244" spans="9:19" x14ac:dyDescent="0.25">
      <c r="I13244" s="1"/>
      <c r="J13244" s="71"/>
      <c r="M13244" s="46"/>
      <c r="R13244" s="51"/>
      <c r="S13244" s="51"/>
    </row>
    <row r="13245" spans="9:19" x14ac:dyDescent="0.25">
      <c r="I13245" s="1"/>
      <c r="J13245" s="71"/>
      <c r="M13245" s="46"/>
      <c r="R13245" s="51"/>
      <c r="S13245" s="51"/>
    </row>
    <row r="13246" spans="9:19" x14ac:dyDescent="0.25">
      <c r="I13246" s="1"/>
      <c r="J13246" s="71"/>
      <c r="M13246" s="46"/>
      <c r="R13246" s="51"/>
      <c r="S13246" s="51"/>
    </row>
    <row r="13247" spans="9:19" x14ac:dyDescent="0.25">
      <c r="I13247" s="1"/>
      <c r="J13247" s="71"/>
      <c r="M13247" s="46"/>
      <c r="R13247" s="51"/>
      <c r="S13247" s="51"/>
    </row>
    <row r="13248" spans="9:19" x14ac:dyDescent="0.25">
      <c r="I13248" s="1"/>
      <c r="J13248" s="71"/>
      <c r="M13248" s="46"/>
      <c r="R13248" s="51"/>
      <c r="S13248" s="51"/>
    </row>
    <row r="13249" spans="9:19" x14ac:dyDescent="0.25">
      <c r="I13249" s="1"/>
      <c r="J13249" s="71"/>
      <c r="M13249" s="46"/>
      <c r="R13249" s="51"/>
      <c r="S13249" s="51"/>
    </row>
    <row r="13250" spans="9:19" x14ac:dyDescent="0.25">
      <c r="I13250" s="1"/>
      <c r="J13250" s="71"/>
      <c r="M13250" s="46"/>
      <c r="R13250" s="51"/>
      <c r="S13250" s="51"/>
    </row>
    <row r="13251" spans="9:19" x14ac:dyDescent="0.25">
      <c r="I13251" s="1"/>
      <c r="J13251" s="71"/>
      <c r="M13251" s="46"/>
      <c r="R13251" s="51"/>
      <c r="S13251" s="51"/>
    </row>
    <row r="13252" spans="9:19" x14ac:dyDescent="0.25">
      <c r="I13252" s="1"/>
      <c r="J13252" s="71"/>
      <c r="M13252" s="46"/>
      <c r="R13252" s="51"/>
      <c r="S13252" s="51"/>
    </row>
    <row r="13253" spans="9:19" x14ac:dyDescent="0.25">
      <c r="I13253" s="1"/>
      <c r="J13253" s="71"/>
      <c r="M13253" s="46"/>
      <c r="R13253" s="51"/>
      <c r="S13253" s="51"/>
    </row>
    <row r="13254" spans="9:19" x14ac:dyDescent="0.25">
      <c r="I13254" s="1"/>
      <c r="J13254" s="71"/>
      <c r="M13254" s="46"/>
      <c r="R13254" s="51"/>
      <c r="S13254" s="51"/>
    </row>
    <row r="13255" spans="9:19" x14ac:dyDescent="0.25">
      <c r="I13255" s="1"/>
      <c r="J13255" s="71"/>
      <c r="M13255" s="46"/>
      <c r="R13255" s="51"/>
      <c r="S13255" s="51"/>
    </row>
    <row r="13256" spans="9:19" x14ac:dyDescent="0.25">
      <c r="I13256" s="1"/>
      <c r="J13256" s="71"/>
      <c r="M13256" s="46"/>
      <c r="R13256" s="51"/>
      <c r="S13256" s="51"/>
    </row>
    <row r="13257" spans="9:19" x14ac:dyDescent="0.25">
      <c r="I13257" s="1"/>
      <c r="J13257" s="71"/>
      <c r="M13257" s="46"/>
      <c r="R13257" s="51"/>
      <c r="S13257" s="51"/>
    </row>
    <row r="13258" spans="9:19" x14ac:dyDescent="0.25">
      <c r="I13258" s="1"/>
      <c r="J13258" s="71"/>
      <c r="M13258" s="46"/>
      <c r="R13258" s="51"/>
      <c r="S13258" s="51"/>
    </row>
    <row r="13259" spans="9:19" x14ac:dyDescent="0.25">
      <c r="I13259" s="1"/>
      <c r="J13259" s="71"/>
      <c r="M13259" s="46"/>
      <c r="R13259" s="51"/>
      <c r="S13259" s="51"/>
    </row>
    <row r="13260" spans="9:19" x14ac:dyDescent="0.25">
      <c r="I13260" s="1"/>
      <c r="J13260" s="71"/>
      <c r="M13260" s="46"/>
      <c r="R13260" s="51"/>
      <c r="S13260" s="51"/>
    </row>
    <row r="13261" spans="9:19" x14ac:dyDescent="0.25">
      <c r="I13261" s="1"/>
      <c r="J13261" s="71"/>
      <c r="M13261" s="46"/>
      <c r="R13261" s="51"/>
      <c r="S13261" s="51"/>
    </row>
    <row r="13262" spans="9:19" x14ac:dyDescent="0.25">
      <c r="I13262" s="1"/>
      <c r="J13262" s="71"/>
      <c r="M13262" s="46"/>
      <c r="R13262" s="51"/>
      <c r="S13262" s="51"/>
    </row>
    <row r="13263" spans="9:19" x14ac:dyDescent="0.25">
      <c r="I13263" s="1"/>
      <c r="J13263" s="71"/>
      <c r="M13263" s="46"/>
      <c r="R13263" s="51"/>
      <c r="S13263" s="51"/>
    </row>
    <row r="13264" spans="9:19" x14ac:dyDescent="0.25">
      <c r="I13264" s="1"/>
      <c r="J13264" s="71"/>
      <c r="M13264" s="46"/>
      <c r="R13264" s="51"/>
      <c r="S13264" s="51"/>
    </row>
    <row r="13265" spans="9:19" x14ac:dyDescent="0.25">
      <c r="I13265" s="1"/>
      <c r="J13265" s="71"/>
      <c r="M13265" s="46"/>
      <c r="R13265" s="51"/>
      <c r="S13265" s="51"/>
    </row>
    <row r="13266" spans="9:19" x14ac:dyDescent="0.25">
      <c r="I13266" s="1"/>
      <c r="J13266" s="71"/>
      <c r="M13266" s="46"/>
      <c r="R13266" s="51"/>
      <c r="S13266" s="51"/>
    </row>
    <row r="13267" spans="9:19" x14ac:dyDescent="0.25">
      <c r="I13267" s="1"/>
      <c r="J13267" s="71"/>
      <c r="M13267" s="46"/>
      <c r="R13267" s="51"/>
      <c r="S13267" s="51"/>
    </row>
    <row r="13268" spans="9:19" x14ac:dyDescent="0.25">
      <c r="I13268" s="1"/>
      <c r="J13268" s="71"/>
      <c r="M13268" s="46"/>
      <c r="R13268" s="51"/>
      <c r="S13268" s="51"/>
    </row>
    <row r="13269" spans="9:19" x14ac:dyDescent="0.25">
      <c r="I13269" s="1"/>
      <c r="J13269" s="71"/>
      <c r="M13269" s="46"/>
      <c r="R13269" s="51"/>
      <c r="S13269" s="51"/>
    </row>
    <row r="13270" spans="9:19" x14ac:dyDescent="0.25">
      <c r="I13270" s="1"/>
      <c r="J13270" s="71"/>
      <c r="M13270" s="46"/>
      <c r="R13270" s="51"/>
      <c r="S13270" s="51"/>
    </row>
    <row r="13271" spans="9:19" x14ac:dyDescent="0.25">
      <c r="I13271" s="1"/>
      <c r="J13271" s="71"/>
      <c r="M13271" s="46"/>
      <c r="R13271" s="51"/>
      <c r="S13271" s="51"/>
    </row>
    <row r="13272" spans="9:19" x14ac:dyDescent="0.25">
      <c r="I13272" s="1"/>
      <c r="J13272" s="71"/>
      <c r="M13272" s="46"/>
      <c r="R13272" s="51"/>
      <c r="S13272" s="51"/>
    </row>
    <row r="13273" spans="9:19" x14ac:dyDescent="0.25">
      <c r="I13273" s="1"/>
      <c r="J13273" s="71"/>
      <c r="M13273" s="46"/>
      <c r="R13273" s="51"/>
      <c r="S13273" s="51"/>
    </row>
    <row r="13274" spans="9:19" x14ac:dyDescent="0.25">
      <c r="I13274" s="1"/>
      <c r="J13274" s="71"/>
      <c r="M13274" s="46"/>
      <c r="R13274" s="51"/>
      <c r="S13274" s="51"/>
    </row>
    <row r="13275" spans="9:19" x14ac:dyDescent="0.25">
      <c r="I13275" s="1"/>
      <c r="J13275" s="71"/>
      <c r="M13275" s="46"/>
      <c r="R13275" s="51"/>
      <c r="S13275" s="51"/>
    </row>
    <row r="13276" spans="9:19" x14ac:dyDescent="0.25">
      <c r="I13276" s="1"/>
      <c r="J13276" s="71"/>
      <c r="M13276" s="46"/>
      <c r="R13276" s="51"/>
      <c r="S13276" s="51"/>
    </row>
    <row r="13277" spans="9:19" x14ac:dyDescent="0.25">
      <c r="I13277" s="1"/>
      <c r="J13277" s="71"/>
      <c r="M13277" s="46"/>
      <c r="R13277" s="51"/>
      <c r="S13277" s="51"/>
    </row>
    <row r="13278" spans="9:19" x14ac:dyDescent="0.25">
      <c r="I13278" s="1"/>
      <c r="J13278" s="71"/>
      <c r="M13278" s="46"/>
      <c r="R13278" s="51"/>
      <c r="S13278" s="51"/>
    </row>
    <row r="13279" spans="9:19" x14ac:dyDescent="0.25">
      <c r="I13279" s="1"/>
      <c r="J13279" s="71"/>
      <c r="M13279" s="46"/>
      <c r="R13279" s="51"/>
      <c r="S13279" s="51"/>
    </row>
    <row r="13280" spans="9:19" x14ac:dyDescent="0.25">
      <c r="I13280" s="1"/>
      <c r="J13280" s="71"/>
      <c r="M13280" s="46"/>
      <c r="R13280" s="51"/>
      <c r="S13280" s="51"/>
    </row>
    <row r="13281" spans="9:19" x14ac:dyDescent="0.25">
      <c r="I13281" s="1"/>
      <c r="J13281" s="71"/>
      <c r="M13281" s="46"/>
      <c r="R13281" s="51"/>
      <c r="S13281" s="51"/>
    </row>
    <row r="13282" spans="9:19" x14ac:dyDescent="0.25">
      <c r="I13282" s="1"/>
      <c r="J13282" s="71"/>
      <c r="M13282" s="46"/>
      <c r="R13282" s="51"/>
      <c r="S13282" s="51"/>
    </row>
    <row r="13283" spans="9:19" x14ac:dyDescent="0.25">
      <c r="I13283" s="1"/>
      <c r="J13283" s="71"/>
      <c r="M13283" s="46"/>
      <c r="R13283" s="51"/>
      <c r="S13283" s="51"/>
    </row>
    <row r="13284" spans="9:19" x14ac:dyDescent="0.25">
      <c r="I13284" s="1"/>
      <c r="J13284" s="71"/>
      <c r="M13284" s="46"/>
      <c r="R13284" s="51"/>
      <c r="S13284" s="51"/>
    </row>
    <row r="13285" spans="9:19" x14ac:dyDescent="0.25">
      <c r="I13285" s="1"/>
      <c r="J13285" s="71"/>
      <c r="M13285" s="46"/>
      <c r="R13285" s="51"/>
      <c r="S13285" s="51"/>
    </row>
    <row r="13286" spans="9:19" x14ac:dyDescent="0.25">
      <c r="I13286" s="1"/>
      <c r="J13286" s="71"/>
      <c r="M13286" s="46"/>
      <c r="R13286" s="51"/>
      <c r="S13286" s="51"/>
    </row>
    <row r="13287" spans="9:19" x14ac:dyDescent="0.25">
      <c r="I13287" s="1"/>
      <c r="J13287" s="71"/>
      <c r="M13287" s="46"/>
      <c r="R13287" s="51"/>
      <c r="S13287" s="51"/>
    </row>
    <row r="13288" spans="9:19" x14ac:dyDescent="0.25">
      <c r="I13288" s="1"/>
      <c r="J13288" s="71"/>
      <c r="M13288" s="46"/>
      <c r="R13288" s="51"/>
      <c r="S13288" s="51"/>
    </row>
    <row r="13289" spans="9:19" x14ac:dyDescent="0.25">
      <c r="I13289" s="1"/>
      <c r="J13289" s="71"/>
      <c r="M13289" s="46"/>
      <c r="R13289" s="51"/>
      <c r="S13289" s="51"/>
    </row>
    <row r="13290" spans="9:19" x14ac:dyDescent="0.25">
      <c r="I13290" s="1"/>
      <c r="J13290" s="71"/>
      <c r="M13290" s="46"/>
      <c r="R13290" s="51"/>
      <c r="S13290" s="51"/>
    </row>
    <row r="13291" spans="9:19" x14ac:dyDescent="0.25">
      <c r="I13291" s="1"/>
      <c r="J13291" s="71"/>
      <c r="M13291" s="46"/>
      <c r="R13291" s="51"/>
      <c r="S13291" s="51"/>
    </row>
    <row r="13292" spans="9:19" x14ac:dyDescent="0.25">
      <c r="I13292" s="1"/>
      <c r="J13292" s="71"/>
      <c r="M13292" s="46"/>
      <c r="R13292" s="51"/>
      <c r="S13292" s="51"/>
    </row>
    <row r="13293" spans="9:19" x14ac:dyDescent="0.25">
      <c r="I13293" s="1"/>
      <c r="J13293" s="71"/>
      <c r="M13293" s="46"/>
      <c r="R13293" s="51"/>
      <c r="S13293" s="51"/>
    </row>
    <row r="13294" spans="9:19" x14ac:dyDescent="0.25">
      <c r="I13294" s="1"/>
      <c r="J13294" s="71"/>
      <c r="M13294" s="46"/>
      <c r="R13294" s="51"/>
      <c r="S13294" s="51"/>
    </row>
    <row r="13295" spans="9:19" x14ac:dyDescent="0.25">
      <c r="I13295" s="1"/>
      <c r="J13295" s="71"/>
      <c r="M13295" s="46"/>
      <c r="R13295" s="51"/>
      <c r="S13295" s="51"/>
    </row>
    <row r="13296" spans="9:19" x14ac:dyDescent="0.25">
      <c r="I13296" s="1"/>
      <c r="J13296" s="71"/>
      <c r="M13296" s="46"/>
      <c r="R13296" s="51"/>
      <c r="S13296" s="51"/>
    </row>
    <row r="13297" spans="9:19" x14ac:dyDescent="0.25">
      <c r="I13297" s="1"/>
      <c r="J13297" s="71"/>
      <c r="M13297" s="46"/>
      <c r="R13297" s="51"/>
      <c r="S13297" s="51"/>
    </row>
    <row r="13298" spans="9:19" x14ac:dyDescent="0.25">
      <c r="I13298" s="1"/>
      <c r="J13298" s="71"/>
      <c r="M13298" s="46"/>
      <c r="R13298" s="51"/>
      <c r="S13298" s="51"/>
    </row>
    <row r="13299" spans="9:19" x14ac:dyDescent="0.25">
      <c r="I13299" s="1"/>
      <c r="J13299" s="71"/>
      <c r="M13299" s="46"/>
      <c r="R13299" s="51"/>
      <c r="S13299" s="51"/>
    </row>
    <row r="13300" spans="9:19" x14ac:dyDescent="0.25">
      <c r="I13300" s="1"/>
      <c r="J13300" s="71"/>
      <c r="M13300" s="46"/>
      <c r="R13300" s="51"/>
      <c r="S13300" s="51"/>
    </row>
    <row r="13301" spans="9:19" x14ac:dyDescent="0.25">
      <c r="I13301" s="1"/>
      <c r="J13301" s="71"/>
      <c r="M13301" s="46"/>
      <c r="R13301" s="51"/>
      <c r="S13301" s="51"/>
    </row>
    <row r="13302" spans="9:19" x14ac:dyDescent="0.25">
      <c r="I13302" s="1"/>
      <c r="J13302" s="71"/>
      <c r="M13302" s="46"/>
      <c r="R13302" s="51"/>
      <c r="S13302" s="51"/>
    </row>
    <row r="13303" spans="9:19" x14ac:dyDescent="0.25">
      <c r="I13303" s="1"/>
      <c r="J13303" s="71"/>
      <c r="M13303" s="46"/>
      <c r="R13303" s="51"/>
      <c r="S13303" s="51"/>
    </row>
    <row r="13304" spans="9:19" x14ac:dyDescent="0.25">
      <c r="I13304" s="1"/>
      <c r="J13304" s="71"/>
      <c r="M13304" s="46"/>
      <c r="R13304" s="51"/>
      <c r="S13304" s="51"/>
    </row>
    <row r="13305" spans="9:19" x14ac:dyDescent="0.25">
      <c r="I13305" s="1"/>
      <c r="J13305" s="71"/>
      <c r="M13305" s="46"/>
      <c r="R13305" s="51"/>
      <c r="S13305" s="51"/>
    </row>
    <row r="13306" spans="9:19" x14ac:dyDescent="0.25">
      <c r="I13306" s="1"/>
      <c r="J13306" s="71"/>
      <c r="M13306" s="46"/>
      <c r="R13306" s="51"/>
      <c r="S13306" s="51"/>
    </row>
    <row r="13307" spans="9:19" x14ac:dyDescent="0.25">
      <c r="I13307" s="1"/>
      <c r="J13307" s="71"/>
      <c r="M13307" s="46"/>
      <c r="R13307" s="51"/>
      <c r="S13307" s="51"/>
    </row>
    <row r="13308" spans="9:19" x14ac:dyDescent="0.25">
      <c r="I13308" s="1"/>
      <c r="J13308" s="71"/>
      <c r="M13308" s="46"/>
      <c r="R13308" s="51"/>
      <c r="S13308" s="51"/>
    </row>
    <row r="13309" spans="9:19" x14ac:dyDescent="0.25">
      <c r="I13309" s="1"/>
      <c r="J13309" s="71"/>
      <c r="M13309" s="46"/>
      <c r="R13309" s="51"/>
      <c r="S13309" s="51"/>
    </row>
    <row r="13310" spans="9:19" x14ac:dyDescent="0.25">
      <c r="I13310" s="1"/>
      <c r="J13310" s="71"/>
      <c r="M13310" s="46"/>
      <c r="R13310" s="51"/>
      <c r="S13310" s="51"/>
    </row>
    <row r="13311" spans="9:19" x14ac:dyDescent="0.25">
      <c r="I13311" s="1"/>
      <c r="J13311" s="71"/>
      <c r="M13311" s="46"/>
      <c r="R13311" s="51"/>
      <c r="S13311" s="51"/>
    </row>
    <row r="13312" spans="9:19" x14ac:dyDescent="0.25">
      <c r="I13312" s="1"/>
      <c r="J13312" s="71"/>
      <c r="M13312" s="46"/>
      <c r="R13312" s="51"/>
      <c r="S13312" s="51"/>
    </row>
    <row r="13313" spans="9:19" x14ac:dyDescent="0.25">
      <c r="I13313" s="1"/>
      <c r="J13313" s="71"/>
      <c r="M13313" s="46"/>
      <c r="R13313" s="51"/>
      <c r="S13313" s="51"/>
    </row>
    <row r="13314" spans="9:19" x14ac:dyDescent="0.25">
      <c r="I13314" s="1"/>
      <c r="J13314" s="71"/>
      <c r="M13314" s="46"/>
      <c r="R13314" s="51"/>
      <c r="S13314" s="51"/>
    </row>
    <row r="13315" spans="9:19" x14ac:dyDescent="0.25">
      <c r="I13315" s="1"/>
      <c r="J13315" s="71"/>
      <c r="M13315" s="46"/>
      <c r="R13315" s="51"/>
      <c r="S13315" s="51"/>
    </row>
    <row r="13316" spans="9:19" x14ac:dyDescent="0.25">
      <c r="I13316" s="1"/>
      <c r="J13316" s="71"/>
      <c r="M13316" s="46"/>
      <c r="R13316" s="51"/>
      <c r="S13316" s="51"/>
    </row>
    <row r="13317" spans="9:19" x14ac:dyDescent="0.25">
      <c r="I13317" s="1"/>
      <c r="J13317" s="71"/>
      <c r="M13317" s="46"/>
      <c r="R13317" s="51"/>
      <c r="S13317" s="51"/>
    </row>
    <row r="13318" spans="9:19" x14ac:dyDescent="0.25">
      <c r="I13318" s="1"/>
      <c r="J13318" s="71"/>
      <c r="M13318" s="46"/>
      <c r="R13318" s="51"/>
      <c r="S13318" s="51"/>
    </row>
    <row r="13319" spans="9:19" x14ac:dyDescent="0.25">
      <c r="I13319" s="1"/>
      <c r="J13319" s="71"/>
      <c r="M13319" s="46"/>
      <c r="R13319" s="51"/>
      <c r="S13319" s="51"/>
    </row>
    <row r="13320" spans="9:19" x14ac:dyDescent="0.25">
      <c r="I13320" s="1"/>
      <c r="J13320" s="71"/>
      <c r="M13320" s="46"/>
      <c r="R13320" s="51"/>
      <c r="S13320" s="51"/>
    </row>
    <row r="13321" spans="9:19" x14ac:dyDescent="0.25">
      <c r="I13321" s="1"/>
      <c r="J13321" s="71"/>
      <c r="M13321" s="46"/>
      <c r="R13321" s="51"/>
      <c r="S13321" s="51"/>
    </row>
    <row r="13322" spans="9:19" x14ac:dyDescent="0.25">
      <c r="I13322" s="1"/>
      <c r="J13322" s="71"/>
      <c r="M13322" s="46"/>
      <c r="R13322" s="51"/>
      <c r="S13322" s="51"/>
    </row>
    <row r="13323" spans="9:19" x14ac:dyDescent="0.25">
      <c r="I13323" s="1"/>
      <c r="J13323" s="71"/>
      <c r="M13323" s="46"/>
      <c r="R13323" s="51"/>
      <c r="S13323" s="51"/>
    </row>
    <row r="13324" spans="9:19" x14ac:dyDescent="0.25">
      <c r="I13324" s="1"/>
      <c r="J13324" s="71"/>
      <c r="M13324" s="46"/>
      <c r="R13324" s="51"/>
      <c r="S13324" s="51"/>
    </row>
    <row r="13325" spans="9:19" x14ac:dyDescent="0.25">
      <c r="I13325" s="1"/>
      <c r="J13325" s="71"/>
      <c r="M13325" s="46"/>
      <c r="R13325" s="51"/>
      <c r="S13325" s="51"/>
    </row>
    <row r="13326" spans="9:19" x14ac:dyDescent="0.25">
      <c r="I13326" s="1"/>
      <c r="J13326" s="71"/>
      <c r="M13326" s="46"/>
      <c r="R13326" s="51"/>
      <c r="S13326" s="51"/>
    </row>
    <row r="13327" spans="9:19" x14ac:dyDescent="0.25">
      <c r="I13327" s="1"/>
      <c r="J13327" s="71"/>
      <c r="M13327" s="46"/>
      <c r="R13327" s="51"/>
      <c r="S13327" s="51"/>
    </row>
    <row r="13328" spans="9:19" x14ac:dyDescent="0.25">
      <c r="I13328" s="1"/>
      <c r="J13328" s="71"/>
      <c r="M13328" s="46"/>
      <c r="R13328" s="51"/>
      <c r="S13328" s="51"/>
    </row>
    <row r="13329" spans="9:19" x14ac:dyDescent="0.25">
      <c r="I13329" s="1"/>
      <c r="J13329" s="71"/>
      <c r="M13329" s="46"/>
      <c r="R13329" s="51"/>
      <c r="S13329" s="51"/>
    </row>
    <row r="13330" spans="9:19" x14ac:dyDescent="0.25">
      <c r="I13330" s="1"/>
      <c r="J13330" s="71"/>
      <c r="M13330" s="46"/>
      <c r="R13330" s="51"/>
      <c r="S13330" s="51"/>
    </row>
    <row r="13331" spans="9:19" x14ac:dyDescent="0.25">
      <c r="I13331" s="1"/>
      <c r="J13331" s="71"/>
      <c r="M13331" s="46"/>
      <c r="R13331" s="51"/>
      <c r="S13331" s="51"/>
    </row>
    <row r="13332" spans="9:19" x14ac:dyDescent="0.25">
      <c r="I13332" s="1"/>
      <c r="J13332" s="71"/>
      <c r="M13332" s="46"/>
      <c r="R13332" s="51"/>
      <c r="S13332" s="51"/>
    </row>
    <row r="13333" spans="9:19" x14ac:dyDescent="0.25">
      <c r="I13333" s="1"/>
      <c r="J13333" s="71"/>
      <c r="M13333" s="46"/>
      <c r="R13333" s="51"/>
      <c r="S13333" s="51"/>
    </row>
    <row r="13334" spans="9:19" x14ac:dyDescent="0.25">
      <c r="I13334" s="1"/>
      <c r="J13334" s="71"/>
      <c r="M13334" s="46"/>
      <c r="R13334" s="51"/>
      <c r="S13334" s="51"/>
    </row>
    <row r="13335" spans="9:19" x14ac:dyDescent="0.25">
      <c r="I13335" s="1"/>
      <c r="J13335" s="71"/>
      <c r="M13335" s="46"/>
      <c r="R13335" s="51"/>
      <c r="S13335" s="51"/>
    </row>
    <row r="13336" spans="9:19" x14ac:dyDescent="0.25">
      <c r="I13336" s="1"/>
      <c r="J13336" s="71"/>
      <c r="M13336" s="46"/>
      <c r="R13336" s="51"/>
      <c r="S13336" s="51"/>
    </row>
    <row r="13337" spans="9:19" x14ac:dyDescent="0.25">
      <c r="I13337" s="1"/>
      <c r="J13337" s="71"/>
      <c r="M13337" s="46"/>
      <c r="R13337" s="51"/>
      <c r="S13337" s="51"/>
    </row>
    <row r="13338" spans="9:19" x14ac:dyDescent="0.25">
      <c r="I13338" s="1"/>
      <c r="J13338" s="71"/>
      <c r="M13338" s="46"/>
      <c r="R13338" s="51"/>
      <c r="S13338" s="51"/>
    </row>
    <row r="13339" spans="9:19" x14ac:dyDescent="0.25">
      <c r="I13339" s="1"/>
      <c r="J13339" s="71"/>
      <c r="M13339" s="46"/>
      <c r="R13339" s="51"/>
      <c r="S13339" s="51"/>
    </row>
    <row r="13340" spans="9:19" x14ac:dyDescent="0.25">
      <c r="I13340" s="1"/>
      <c r="J13340" s="71"/>
      <c r="M13340" s="46"/>
      <c r="R13340" s="51"/>
      <c r="S13340" s="51"/>
    </row>
    <row r="13341" spans="9:19" x14ac:dyDescent="0.25">
      <c r="I13341" s="1"/>
      <c r="J13341" s="71"/>
      <c r="M13341" s="46"/>
      <c r="R13341" s="51"/>
      <c r="S13341" s="51"/>
    </row>
    <row r="13342" spans="9:19" x14ac:dyDescent="0.25">
      <c r="I13342" s="1"/>
      <c r="J13342" s="71"/>
      <c r="M13342" s="46"/>
      <c r="R13342" s="51"/>
      <c r="S13342" s="51"/>
    </row>
    <row r="13343" spans="9:19" x14ac:dyDescent="0.25">
      <c r="I13343" s="1"/>
      <c r="J13343" s="71"/>
      <c r="M13343" s="46"/>
      <c r="R13343" s="51"/>
      <c r="S13343" s="51"/>
    </row>
    <row r="13344" spans="9:19" x14ac:dyDescent="0.25">
      <c r="I13344" s="1"/>
      <c r="J13344" s="71"/>
      <c r="M13344" s="46"/>
      <c r="R13344" s="51"/>
      <c r="S13344" s="51"/>
    </row>
    <row r="13345" spans="9:19" x14ac:dyDescent="0.25">
      <c r="I13345" s="1"/>
      <c r="J13345" s="71"/>
      <c r="M13345" s="46"/>
      <c r="R13345" s="51"/>
      <c r="S13345" s="51"/>
    </row>
    <row r="13346" spans="9:19" x14ac:dyDescent="0.25">
      <c r="I13346" s="1"/>
      <c r="J13346" s="71"/>
      <c r="M13346" s="46"/>
      <c r="R13346" s="51"/>
      <c r="S13346" s="51"/>
    </row>
    <row r="13347" spans="9:19" x14ac:dyDescent="0.25">
      <c r="I13347" s="1"/>
      <c r="J13347" s="71"/>
      <c r="M13347" s="46"/>
      <c r="R13347" s="51"/>
      <c r="S13347" s="51"/>
    </row>
    <row r="13348" spans="9:19" x14ac:dyDescent="0.25">
      <c r="I13348" s="1"/>
      <c r="J13348" s="71"/>
      <c r="M13348" s="46"/>
      <c r="R13348" s="51"/>
      <c r="S13348" s="51"/>
    </row>
    <row r="13349" spans="9:19" x14ac:dyDescent="0.25">
      <c r="I13349" s="1"/>
      <c r="J13349" s="71"/>
      <c r="M13349" s="46"/>
      <c r="R13349" s="51"/>
      <c r="S13349" s="51"/>
    </row>
    <row r="13350" spans="9:19" x14ac:dyDescent="0.25">
      <c r="I13350" s="1"/>
      <c r="J13350" s="71"/>
      <c r="M13350" s="46"/>
      <c r="R13350" s="51"/>
      <c r="S13350" s="51"/>
    </row>
    <row r="13351" spans="9:19" x14ac:dyDescent="0.25">
      <c r="I13351" s="1"/>
      <c r="J13351" s="71"/>
      <c r="M13351" s="46"/>
      <c r="R13351" s="51"/>
      <c r="S13351" s="51"/>
    </row>
    <row r="13352" spans="9:19" x14ac:dyDescent="0.25">
      <c r="I13352" s="1"/>
      <c r="J13352" s="71"/>
      <c r="M13352" s="46"/>
      <c r="R13352" s="51"/>
      <c r="S13352" s="51"/>
    </row>
    <row r="13353" spans="9:19" x14ac:dyDescent="0.25">
      <c r="I13353" s="1"/>
      <c r="J13353" s="71"/>
      <c r="M13353" s="46"/>
      <c r="R13353" s="51"/>
      <c r="S13353" s="51"/>
    </row>
    <row r="13354" spans="9:19" x14ac:dyDescent="0.25">
      <c r="I13354" s="1"/>
      <c r="J13354" s="71"/>
      <c r="M13354" s="46"/>
      <c r="R13354" s="51"/>
      <c r="S13354" s="51"/>
    </row>
    <row r="13355" spans="9:19" x14ac:dyDescent="0.25">
      <c r="I13355" s="1"/>
      <c r="J13355" s="71"/>
      <c r="M13355" s="46"/>
      <c r="R13355" s="51"/>
      <c r="S13355" s="51"/>
    </row>
    <row r="13356" spans="9:19" x14ac:dyDescent="0.25">
      <c r="I13356" s="1"/>
      <c r="J13356" s="71"/>
      <c r="M13356" s="46"/>
      <c r="R13356" s="51"/>
      <c r="S13356" s="51"/>
    </row>
    <row r="13357" spans="9:19" x14ac:dyDescent="0.25">
      <c r="I13357" s="1"/>
      <c r="J13357" s="71"/>
      <c r="M13357" s="46"/>
      <c r="R13357" s="51"/>
      <c r="S13357" s="51"/>
    </row>
    <row r="13358" spans="9:19" x14ac:dyDescent="0.25">
      <c r="I13358" s="1"/>
      <c r="J13358" s="71"/>
      <c r="M13358" s="46"/>
      <c r="R13358" s="51"/>
      <c r="S13358" s="51"/>
    </row>
    <row r="13359" spans="9:19" x14ac:dyDescent="0.25">
      <c r="I13359" s="1"/>
      <c r="J13359" s="71"/>
      <c r="M13359" s="46"/>
      <c r="R13359" s="51"/>
      <c r="S13359" s="51"/>
    </row>
    <row r="13360" spans="9:19" x14ac:dyDescent="0.25">
      <c r="I13360" s="1"/>
      <c r="J13360" s="71"/>
      <c r="M13360" s="46"/>
      <c r="R13360" s="51"/>
      <c r="S13360" s="51"/>
    </row>
    <row r="13361" spans="9:19" x14ac:dyDescent="0.25">
      <c r="I13361" s="1"/>
      <c r="J13361" s="71"/>
      <c r="M13361" s="46"/>
      <c r="R13361" s="51"/>
      <c r="S13361" s="51"/>
    </row>
    <row r="13362" spans="9:19" x14ac:dyDescent="0.25">
      <c r="I13362" s="1"/>
      <c r="J13362" s="71"/>
      <c r="M13362" s="46"/>
      <c r="R13362" s="51"/>
      <c r="S13362" s="51"/>
    </row>
    <row r="13363" spans="9:19" x14ac:dyDescent="0.25">
      <c r="I13363" s="1"/>
      <c r="J13363" s="71"/>
      <c r="M13363" s="46"/>
      <c r="R13363" s="51"/>
      <c r="S13363" s="51"/>
    </row>
    <row r="13364" spans="9:19" x14ac:dyDescent="0.25">
      <c r="I13364" s="1"/>
      <c r="J13364" s="71"/>
      <c r="M13364" s="46"/>
      <c r="R13364" s="51"/>
      <c r="S13364" s="51"/>
    </row>
    <row r="13365" spans="9:19" x14ac:dyDescent="0.25">
      <c r="I13365" s="1"/>
      <c r="J13365" s="71"/>
      <c r="M13365" s="46"/>
      <c r="R13365" s="51"/>
      <c r="S13365" s="51"/>
    </row>
    <row r="13366" spans="9:19" x14ac:dyDescent="0.25">
      <c r="I13366" s="1"/>
      <c r="J13366" s="71"/>
      <c r="M13366" s="46"/>
      <c r="R13366" s="51"/>
      <c r="S13366" s="51"/>
    </row>
    <row r="13367" spans="9:19" x14ac:dyDescent="0.25">
      <c r="I13367" s="1"/>
      <c r="J13367" s="71"/>
      <c r="M13367" s="46"/>
      <c r="R13367" s="51"/>
      <c r="S13367" s="51"/>
    </row>
    <row r="13368" spans="9:19" x14ac:dyDescent="0.25">
      <c r="I13368" s="1"/>
      <c r="J13368" s="71"/>
      <c r="M13368" s="46"/>
      <c r="R13368" s="51"/>
      <c r="S13368" s="51"/>
    </row>
    <row r="13369" spans="9:19" x14ac:dyDescent="0.25">
      <c r="I13369" s="1"/>
      <c r="J13369" s="71"/>
      <c r="M13369" s="46"/>
      <c r="R13369" s="51"/>
      <c r="S13369" s="51"/>
    </row>
    <row r="13370" spans="9:19" x14ac:dyDescent="0.25">
      <c r="I13370" s="1"/>
      <c r="J13370" s="71"/>
      <c r="M13370" s="46"/>
      <c r="R13370" s="51"/>
      <c r="S13370" s="51"/>
    </row>
    <row r="13371" spans="9:19" x14ac:dyDescent="0.25">
      <c r="I13371" s="1"/>
      <c r="J13371" s="71"/>
      <c r="M13371" s="46"/>
      <c r="R13371" s="51"/>
      <c r="S13371" s="51"/>
    </row>
    <row r="13372" spans="9:19" x14ac:dyDescent="0.25">
      <c r="I13372" s="1"/>
      <c r="J13372" s="71"/>
      <c r="M13372" s="46"/>
      <c r="R13372" s="51"/>
      <c r="S13372" s="51"/>
    </row>
    <row r="13373" spans="9:19" x14ac:dyDescent="0.25">
      <c r="I13373" s="1"/>
      <c r="J13373" s="71"/>
      <c r="M13373" s="46"/>
      <c r="R13373" s="51"/>
      <c r="S13373" s="51"/>
    </row>
    <row r="13374" spans="9:19" x14ac:dyDescent="0.25">
      <c r="I13374" s="1"/>
      <c r="J13374" s="71"/>
      <c r="M13374" s="46"/>
      <c r="R13374" s="51"/>
      <c r="S13374" s="51"/>
    </row>
    <row r="13375" spans="9:19" x14ac:dyDescent="0.25">
      <c r="I13375" s="1"/>
      <c r="J13375" s="71"/>
      <c r="M13375" s="46"/>
      <c r="R13375" s="51"/>
      <c r="S13375" s="51"/>
    </row>
    <row r="13376" spans="9:19" x14ac:dyDescent="0.25">
      <c r="I13376" s="1"/>
      <c r="J13376" s="71"/>
      <c r="M13376" s="46"/>
      <c r="R13376" s="51"/>
      <c r="S13376" s="51"/>
    </row>
    <row r="13377" spans="9:19" x14ac:dyDescent="0.25">
      <c r="I13377" s="1"/>
      <c r="J13377" s="71"/>
      <c r="M13377" s="46"/>
      <c r="R13377" s="51"/>
      <c r="S13377" s="51"/>
    </row>
    <row r="13378" spans="9:19" x14ac:dyDescent="0.25">
      <c r="I13378" s="1"/>
      <c r="J13378" s="71"/>
      <c r="M13378" s="46"/>
      <c r="R13378" s="51"/>
      <c r="S13378" s="51"/>
    </row>
    <row r="13379" spans="9:19" x14ac:dyDescent="0.25">
      <c r="I13379" s="1"/>
      <c r="J13379" s="71"/>
      <c r="M13379" s="46"/>
      <c r="R13379" s="51"/>
      <c r="S13379" s="51"/>
    </row>
    <row r="13380" spans="9:19" x14ac:dyDescent="0.25">
      <c r="I13380" s="1"/>
      <c r="J13380" s="71"/>
      <c r="M13380" s="46"/>
      <c r="R13380" s="51"/>
      <c r="S13380" s="51"/>
    </row>
    <row r="13381" spans="9:19" x14ac:dyDescent="0.25">
      <c r="I13381" s="1"/>
      <c r="J13381" s="71"/>
      <c r="M13381" s="46"/>
      <c r="R13381" s="51"/>
      <c r="S13381" s="51"/>
    </row>
    <row r="13382" spans="9:19" x14ac:dyDescent="0.25">
      <c r="I13382" s="1"/>
      <c r="J13382" s="71"/>
      <c r="M13382" s="46"/>
      <c r="R13382" s="51"/>
      <c r="S13382" s="51"/>
    </row>
    <row r="13383" spans="9:19" x14ac:dyDescent="0.25">
      <c r="I13383" s="1"/>
      <c r="J13383" s="71"/>
      <c r="M13383" s="46"/>
      <c r="R13383" s="51"/>
      <c r="S13383" s="51"/>
    </row>
    <row r="13384" spans="9:19" x14ac:dyDescent="0.25">
      <c r="I13384" s="1"/>
      <c r="J13384" s="71"/>
      <c r="M13384" s="46"/>
      <c r="R13384" s="51"/>
      <c r="S13384" s="51"/>
    </row>
    <row r="13385" spans="9:19" x14ac:dyDescent="0.25">
      <c r="I13385" s="1"/>
      <c r="J13385" s="71"/>
      <c r="M13385" s="46"/>
      <c r="R13385" s="51"/>
      <c r="S13385" s="51"/>
    </row>
    <row r="13386" spans="9:19" x14ac:dyDescent="0.25">
      <c r="I13386" s="1"/>
      <c r="J13386" s="71"/>
      <c r="M13386" s="46"/>
      <c r="R13386" s="51"/>
      <c r="S13386" s="51"/>
    </row>
    <row r="13387" spans="9:19" x14ac:dyDescent="0.25">
      <c r="I13387" s="1"/>
      <c r="J13387" s="71"/>
      <c r="M13387" s="46"/>
      <c r="R13387" s="51"/>
      <c r="S13387" s="51"/>
    </row>
    <row r="13388" spans="9:19" x14ac:dyDescent="0.25">
      <c r="I13388" s="1"/>
      <c r="J13388" s="71"/>
      <c r="M13388" s="46"/>
      <c r="R13388" s="51"/>
      <c r="S13388" s="51"/>
    </row>
    <row r="13389" spans="9:19" x14ac:dyDescent="0.25">
      <c r="I13389" s="1"/>
      <c r="J13389" s="71"/>
      <c r="M13389" s="46"/>
      <c r="R13389" s="51"/>
      <c r="S13389" s="51"/>
    </row>
    <row r="13390" spans="9:19" x14ac:dyDescent="0.25">
      <c r="I13390" s="1"/>
      <c r="J13390" s="71"/>
      <c r="M13390" s="46"/>
      <c r="R13390" s="51"/>
      <c r="S13390" s="51"/>
    </row>
    <row r="13391" spans="9:19" x14ac:dyDescent="0.25">
      <c r="I13391" s="1"/>
      <c r="J13391" s="71"/>
      <c r="M13391" s="46"/>
      <c r="R13391" s="51"/>
      <c r="S13391" s="51"/>
    </row>
    <row r="13392" spans="9:19" x14ac:dyDescent="0.25">
      <c r="I13392" s="1"/>
      <c r="J13392" s="71"/>
      <c r="M13392" s="46"/>
      <c r="R13392" s="51"/>
      <c r="S13392" s="51"/>
    </row>
    <row r="13393" spans="9:19" x14ac:dyDescent="0.25">
      <c r="I13393" s="1"/>
      <c r="J13393" s="71"/>
      <c r="M13393" s="46"/>
      <c r="R13393" s="51"/>
      <c r="S13393" s="51"/>
    </row>
    <row r="13394" spans="9:19" x14ac:dyDescent="0.25">
      <c r="I13394" s="1"/>
      <c r="J13394" s="71"/>
      <c r="M13394" s="46"/>
      <c r="R13394" s="51"/>
      <c r="S13394" s="51"/>
    </row>
    <row r="13395" spans="9:19" x14ac:dyDescent="0.25">
      <c r="I13395" s="1"/>
      <c r="J13395" s="71"/>
      <c r="M13395" s="46"/>
      <c r="R13395" s="51"/>
      <c r="S13395" s="51"/>
    </row>
    <row r="13396" spans="9:19" x14ac:dyDescent="0.25">
      <c r="I13396" s="1"/>
      <c r="J13396" s="71"/>
      <c r="M13396" s="46"/>
      <c r="R13396" s="51"/>
      <c r="S13396" s="51"/>
    </row>
    <row r="13397" spans="9:19" x14ac:dyDescent="0.25">
      <c r="I13397" s="1"/>
      <c r="J13397" s="71"/>
      <c r="M13397" s="46"/>
      <c r="R13397" s="51"/>
      <c r="S13397" s="51"/>
    </row>
    <row r="13398" spans="9:19" x14ac:dyDescent="0.25">
      <c r="I13398" s="1"/>
      <c r="J13398" s="71"/>
      <c r="M13398" s="46"/>
      <c r="R13398" s="51"/>
      <c r="S13398" s="51"/>
    </row>
    <row r="13399" spans="9:19" x14ac:dyDescent="0.25">
      <c r="I13399" s="1"/>
      <c r="J13399" s="71"/>
      <c r="M13399" s="46"/>
      <c r="R13399" s="51"/>
      <c r="S13399" s="51"/>
    </row>
    <row r="13400" spans="9:19" x14ac:dyDescent="0.25">
      <c r="I13400" s="1"/>
      <c r="J13400" s="71"/>
      <c r="M13400" s="46"/>
      <c r="R13400" s="51"/>
      <c r="S13400" s="51"/>
    </row>
    <row r="13401" spans="9:19" x14ac:dyDescent="0.25">
      <c r="I13401" s="1"/>
      <c r="J13401" s="71"/>
      <c r="M13401" s="46"/>
      <c r="R13401" s="51"/>
      <c r="S13401" s="51"/>
    </row>
    <row r="13402" spans="9:19" x14ac:dyDescent="0.25">
      <c r="I13402" s="1"/>
      <c r="J13402" s="71"/>
      <c r="M13402" s="46"/>
      <c r="R13402" s="51"/>
      <c r="S13402" s="51"/>
    </row>
    <row r="13403" spans="9:19" x14ac:dyDescent="0.25">
      <c r="I13403" s="1"/>
      <c r="J13403" s="71"/>
      <c r="M13403" s="46"/>
      <c r="R13403" s="51"/>
      <c r="S13403" s="51"/>
    </row>
    <row r="13404" spans="9:19" x14ac:dyDescent="0.25">
      <c r="I13404" s="1"/>
      <c r="J13404" s="71"/>
      <c r="M13404" s="46"/>
      <c r="R13404" s="51"/>
      <c r="S13404" s="51"/>
    </row>
    <row r="13405" spans="9:19" x14ac:dyDescent="0.25">
      <c r="I13405" s="1"/>
      <c r="J13405" s="71"/>
      <c r="M13405" s="46"/>
      <c r="R13405" s="51"/>
      <c r="S13405" s="51"/>
    </row>
    <row r="13406" spans="9:19" x14ac:dyDescent="0.25">
      <c r="I13406" s="1"/>
      <c r="J13406" s="71"/>
      <c r="M13406" s="46"/>
      <c r="R13406" s="51"/>
      <c r="S13406" s="51"/>
    </row>
    <row r="13407" spans="9:19" x14ac:dyDescent="0.25">
      <c r="I13407" s="1"/>
      <c r="J13407" s="71"/>
      <c r="M13407" s="46"/>
      <c r="R13407" s="51"/>
      <c r="S13407" s="51"/>
    </row>
    <row r="13408" spans="9:19" x14ac:dyDescent="0.25">
      <c r="I13408" s="1"/>
      <c r="J13408" s="71"/>
      <c r="M13408" s="46"/>
      <c r="R13408" s="51"/>
      <c r="S13408" s="51"/>
    </row>
    <row r="13409" spans="9:19" x14ac:dyDescent="0.25">
      <c r="I13409" s="1"/>
      <c r="J13409" s="71"/>
      <c r="M13409" s="46"/>
      <c r="R13409" s="51"/>
      <c r="S13409" s="51"/>
    </row>
    <row r="13410" spans="9:19" x14ac:dyDescent="0.25">
      <c r="I13410" s="1"/>
      <c r="J13410" s="71"/>
      <c r="M13410" s="46"/>
      <c r="R13410" s="51"/>
      <c r="S13410" s="51"/>
    </row>
    <row r="13411" spans="9:19" x14ac:dyDescent="0.25">
      <c r="I13411" s="1"/>
      <c r="J13411" s="71"/>
      <c r="M13411" s="46"/>
      <c r="R13411" s="51"/>
      <c r="S13411" s="51"/>
    </row>
    <row r="13412" spans="9:19" x14ac:dyDescent="0.25">
      <c r="I13412" s="1"/>
      <c r="J13412" s="71"/>
      <c r="M13412" s="46"/>
      <c r="R13412" s="51"/>
      <c r="S13412" s="51"/>
    </row>
    <row r="13413" spans="9:19" x14ac:dyDescent="0.25">
      <c r="I13413" s="1"/>
      <c r="J13413" s="71"/>
      <c r="M13413" s="46"/>
      <c r="R13413" s="51"/>
      <c r="S13413" s="51"/>
    </row>
    <row r="13414" spans="9:19" x14ac:dyDescent="0.25">
      <c r="I13414" s="1"/>
      <c r="J13414" s="71"/>
      <c r="M13414" s="46"/>
      <c r="R13414" s="51"/>
      <c r="S13414" s="51"/>
    </row>
    <row r="13415" spans="9:19" x14ac:dyDescent="0.25">
      <c r="I13415" s="1"/>
      <c r="J13415" s="71"/>
      <c r="M13415" s="46"/>
      <c r="R13415" s="51"/>
      <c r="S13415" s="51"/>
    </row>
    <row r="13416" spans="9:19" x14ac:dyDescent="0.25">
      <c r="I13416" s="1"/>
      <c r="J13416" s="71"/>
      <c r="M13416" s="46"/>
      <c r="R13416" s="51"/>
      <c r="S13416" s="51"/>
    </row>
    <row r="13417" spans="9:19" x14ac:dyDescent="0.25">
      <c r="I13417" s="1"/>
      <c r="J13417" s="71"/>
      <c r="M13417" s="46"/>
      <c r="R13417" s="51"/>
      <c r="S13417" s="51"/>
    </row>
    <row r="13418" spans="9:19" x14ac:dyDescent="0.25">
      <c r="I13418" s="1"/>
      <c r="J13418" s="71"/>
      <c r="M13418" s="46"/>
      <c r="R13418" s="51"/>
      <c r="S13418" s="51"/>
    </row>
    <row r="13419" spans="9:19" x14ac:dyDescent="0.25">
      <c r="I13419" s="1"/>
      <c r="J13419" s="71"/>
      <c r="M13419" s="46"/>
      <c r="R13419" s="51"/>
      <c r="S13419" s="51"/>
    </row>
    <row r="13420" spans="9:19" x14ac:dyDescent="0.25">
      <c r="I13420" s="1"/>
      <c r="J13420" s="71"/>
      <c r="M13420" s="46"/>
      <c r="R13420" s="51"/>
      <c r="S13420" s="51"/>
    </row>
    <row r="13421" spans="9:19" x14ac:dyDescent="0.25">
      <c r="I13421" s="1"/>
      <c r="J13421" s="71"/>
      <c r="M13421" s="46"/>
      <c r="R13421" s="51"/>
      <c r="S13421" s="51"/>
    </row>
    <row r="13422" spans="9:19" x14ac:dyDescent="0.25">
      <c r="I13422" s="1"/>
      <c r="J13422" s="71"/>
      <c r="M13422" s="46"/>
      <c r="R13422" s="51"/>
      <c r="S13422" s="51"/>
    </row>
    <row r="13423" spans="9:19" x14ac:dyDescent="0.25">
      <c r="I13423" s="1"/>
      <c r="J13423" s="71"/>
      <c r="M13423" s="46"/>
      <c r="R13423" s="51"/>
      <c r="S13423" s="51"/>
    </row>
    <row r="13424" spans="9:19" x14ac:dyDescent="0.25">
      <c r="I13424" s="1"/>
      <c r="J13424" s="71"/>
      <c r="M13424" s="46"/>
      <c r="R13424" s="51"/>
      <c r="S13424" s="51"/>
    </row>
    <row r="13425" spans="9:19" x14ac:dyDescent="0.25">
      <c r="I13425" s="1"/>
      <c r="J13425" s="71"/>
      <c r="M13425" s="46"/>
      <c r="R13425" s="51"/>
      <c r="S13425" s="51"/>
    </row>
    <row r="13426" spans="9:19" x14ac:dyDescent="0.25">
      <c r="I13426" s="1"/>
      <c r="J13426" s="71"/>
      <c r="M13426" s="46"/>
      <c r="R13426" s="51"/>
      <c r="S13426" s="51"/>
    </row>
    <row r="13427" spans="9:19" x14ac:dyDescent="0.25">
      <c r="I13427" s="1"/>
      <c r="J13427" s="71"/>
      <c r="M13427" s="46"/>
      <c r="R13427" s="51"/>
      <c r="S13427" s="51"/>
    </row>
    <row r="13428" spans="9:19" x14ac:dyDescent="0.25">
      <c r="I13428" s="1"/>
      <c r="J13428" s="71"/>
      <c r="M13428" s="46"/>
      <c r="R13428" s="51"/>
      <c r="S13428" s="51"/>
    </row>
    <row r="13429" spans="9:19" x14ac:dyDescent="0.25">
      <c r="I13429" s="1"/>
      <c r="J13429" s="71"/>
      <c r="M13429" s="46"/>
      <c r="R13429" s="51"/>
      <c r="S13429" s="51"/>
    </row>
    <row r="13430" spans="9:19" x14ac:dyDescent="0.25">
      <c r="I13430" s="1"/>
      <c r="J13430" s="71"/>
      <c r="M13430" s="46"/>
      <c r="R13430" s="51"/>
      <c r="S13430" s="51"/>
    </row>
    <row r="13431" spans="9:19" x14ac:dyDescent="0.25">
      <c r="I13431" s="1"/>
      <c r="J13431" s="71"/>
      <c r="M13431" s="46"/>
      <c r="R13431" s="51"/>
      <c r="S13431" s="51"/>
    </row>
    <row r="13432" spans="9:19" x14ac:dyDescent="0.25">
      <c r="I13432" s="1"/>
      <c r="J13432" s="71"/>
      <c r="M13432" s="46"/>
      <c r="R13432" s="51"/>
      <c r="S13432" s="51"/>
    </row>
    <row r="13433" spans="9:19" x14ac:dyDescent="0.25">
      <c r="I13433" s="1"/>
      <c r="J13433" s="71"/>
      <c r="M13433" s="46"/>
      <c r="R13433" s="51"/>
      <c r="S13433" s="51"/>
    </row>
    <row r="13434" spans="9:19" x14ac:dyDescent="0.25">
      <c r="I13434" s="1"/>
      <c r="J13434" s="71"/>
      <c r="M13434" s="46"/>
      <c r="R13434" s="51"/>
      <c r="S13434" s="51"/>
    </row>
    <row r="13435" spans="9:19" x14ac:dyDescent="0.25">
      <c r="I13435" s="1"/>
      <c r="J13435" s="71"/>
      <c r="M13435" s="46"/>
      <c r="R13435" s="51"/>
      <c r="S13435" s="51"/>
    </row>
    <row r="13436" spans="9:19" x14ac:dyDescent="0.25">
      <c r="I13436" s="1"/>
      <c r="J13436" s="71"/>
      <c r="M13436" s="46"/>
      <c r="R13436" s="51"/>
      <c r="S13436" s="51"/>
    </row>
    <row r="13437" spans="9:19" x14ac:dyDescent="0.25">
      <c r="I13437" s="1"/>
      <c r="J13437" s="71"/>
      <c r="M13437" s="46"/>
      <c r="R13437" s="51"/>
      <c r="S13437" s="51"/>
    </row>
    <row r="13438" spans="9:19" x14ac:dyDescent="0.25">
      <c r="I13438" s="1"/>
      <c r="J13438" s="71"/>
      <c r="M13438" s="46"/>
      <c r="R13438" s="51"/>
      <c r="S13438" s="51"/>
    </row>
    <row r="13439" spans="9:19" x14ac:dyDescent="0.25">
      <c r="I13439" s="1"/>
      <c r="J13439" s="71"/>
      <c r="M13439" s="46"/>
      <c r="R13439" s="51"/>
      <c r="S13439" s="51"/>
    </row>
    <row r="13440" spans="9:19" x14ac:dyDescent="0.25">
      <c r="I13440" s="1"/>
      <c r="J13440" s="71"/>
      <c r="M13440" s="46"/>
      <c r="R13440" s="51"/>
      <c r="S13440" s="51"/>
    </row>
    <row r="13441" spans="9:19" x14ac:dyDescent="0.25">
      <c r="I13441" s="1"/>
      <c r="J13441" s="71"/>
      <c r="M13441" s="46"/>
      <c r="R13441" s="51"/>
      <c r="S13441" s="51"/>
    </row>
    <row r="13442" spans="9:19" x14ac:dyDescent="0.25">
      <c r="I13442" s="1"/>
      <c r="J13442" s="71"/>
      <c r="M13442" s="46"/>
      <c r="R13442" s="51"/>
      <c r="S13442" s="51"/>
    </row>
    <row r="13443" spans="9:19" x14ac:dyDescent="0.25">
      <c r="I13443" s="1"/>
      <c r="J13443" s="71"/>
      <c r="M13443" s="46"/>
      <c r="R13443" s="51"/>
      <c r="S13443" s="51"/>
    </row>
    <row r="13444" spans="9:19" x14ac:dyDescent="0.25">
      <c r="I13444" s="1"/>
      <c r="J13444" s="71"/>
      <c r="M13444" s="46"/>
      <c r="R13444" s="51"/>
      <c r="S13444" s="51"/>
    </row>
    <row r="13445" spans="9:19" x14ac:dyDescent="0.25">
      <c r="I13445" s="1"/>
      <c r="J13445" s="71"/>
      <c r="M13445" s="46"/>
      <c r="R13445" s="51"/>
      <c r="S13445" s="51"/>
    </row>
    <row r="13446" spans="9:19" x14ac:dyDescent="0.25">
      <c r="I13446" s="1"/>
      <c r="J13446" s="71"/>
      <c r="M13446" s="46"/>
      <c r="R13446" s="51"/>
      <c r="S13446" s="51"/>
    </row>
    <row r="13447" spans="9:19" x14ac:dyDescent="0.25">
      <c r="I13447" s="1"/>
      <c r="J13447" s="71"/>
      <c r="M13447" s="46"/>
      <c r="R13447" s="51"/>
      <c r="S13447" s="51"/>
    </row>
    <row r="13448" spans="9:19" x14ac:dyDescent="0.25">
      <c r="I13448" s="1"/>
      <c r="J13448" s="71"/>
      <c r="M13448" s="46"/>
      <c r="R13448" s="51"/>
      <c r="S13448" s="51"/>
    </row>
    <row r="13449" spans="9:19" x14ac:dyDescent="0.25">
      <c r="I13449" s="1"/>
      <c r="J13449" s="71"/>
      <c r="M13449" s="46"/>
      <c r="R13449" s="51"/>
      <c r="S13449" s="51"/>
    </row>
    <row r="13450" spans="9:19" x14ac:dyDescent="0.25">
      <c r="I13450" s="1"/>
      <c r="J13450" s="71"/>
      <c r="M13450" s="46"/>
      <c r="R13450" s="51"/>
      <c r="S13450" s="51"/>
    </row>
    <row r="13451" spans="9:19" x14ac:dyDescent="0.25">
      <c r="I13451" s="1"/>
      <c r="J13451" s="71"/>
      <c r="M13451" s="46"/>
      <c r="R13451" s="51"/>
      <c r="S13451" s="51"/>
    </row>
    <row r="13452" spans="9:19" x14ac:dyDescent="0.25">
      <c r="I13452" s="1"/>
      <c r="J13452" s="71"/>
      <c r="M13452" s="46"/>
      <c r="R13452" s="51"/>
      <c r="S13452" s="51"/>
    </row>
    <row r="13453" spans="9:19" x14ac:dyDescent="0.25">
      <c r="I13453" s="1"/>
      <c r="J13453" s="71"/>
      <c r="M13453" s="46"/>
      <c r="R13453" s="51"/>
      <c r="S13453" s="51"/>
    </row>
    <row r="13454" spans="9:19" x14ac:dyDescent="0.25">
      <c r="I13454" s="1"/>
      <c r="J13454" s="71"/>
      <c r="M13454" s="46"/>
      <c r="R13454" s="51"/>
      <c r="S13454" s="51"/>
    </row>
    <row r="13455" spans="9:19" x14ac:dyDescent="0.25">
      <c r="I13455" s="1"/>
      <c r="J13455" s="71"/>
      <c r="M13455" s="46"/>
      <c r="R13455" s="51"/>
      <c r="S13455" s="51"/>
    </row>
    <row r="13456" spans="9:19" x14ac:dyDescent="0.25">
      <c r="I13456" s="1"/>
      <c r="J13456" s="71"/>
      <c r="M13456" s="46"/>
      <c r="R13456" s="51"/>
      <c r="S13456" s="51"/>
    </row>
    <row r="13457" spans="9:19" x14ac:dyDescent="0.25">
      <c r="I13457" s="1"/>
      <c r="J13457" s="71"/>
      <c r="M13457" s="46"/>
      <c r="R13457" s="51"/>
      <c r="S13457" s="51"/>
    </row>
    <row r="13458" spans="9:19" x14ac:dyDescent="0.25">
      <c r="I13458" s="1"/>
      <c r="J13458" s="71"/>
      <c r="M13458" s="46"/>
      <c r="R13458" s="51"/>
      <c r="S13458" s="51"/>
    </row>
    <row r="13459" spans="9:19" x14ac:dyDescent="0.25">
      <c r="I13459" s="1"/>
      <c r="J13459" s="71"/>
      <c r="M13459" s="46"/>
      <c r="R13459" s="51"/>
      <c r="S13459" s="51"/>
    </row>
    <row r="13460" spans="9:19" x14ac:dyDescent="0.25">
      <c r="I13460" s="1"/>
      <c r="J13460" s="71"/>
      <c r="M13460" s="46"/>
      <c r="R13460" s="51"/>
      <c r="S13460" s="51"/>
    </row>
    <row r="13461" spans="9:19" x14ac:dyDescent="0.25">
      <c r="I13461" s="1"/>
      <c r="J13461" s="71"/>
      <c r="M13461" s="46"/>
      <c r="R13461" s="51"/>
      <c r="S13461" s="51"/>
    </row>
    <row r="13462" spans="9:19" x14ac:dyDescent="0.25">
      <c r="I13462" s="1"/>
      <c r="J13462" s="71"/>
      <c r="M13462" s="46"/>
      <c r="R13462" s="51"/>
      <c r="S13462" s="51"/>
    </row>
    <row r="13463" spans="9:19" x14ac:dyDescent="0.25">
      <c r="I13463" s="1"/>
      <c r="J13463" s="71"/>
      <c r="M13463" s="46"/>
      <c r="R13463" s="51"/>
      <c r="S13463" s="51"/>
    </row>
    <row r="13464" spans="9:19" x14ac:dyDescent="0.25">
      <c r="I13464" s="1"/>
      <c r="J13464" s="71"/>
      <c r="M13464" s="46"/>
      <c r="R13464" s="51"/>
      <c r="S13464" s="51"/>
    </row>
    <row r="13465" spans="9:19" x14ac:dyDescent="0.25">
      <c r="I13465" s="1"/>
      <c r="J13465" s="71"/>
      <c r="M13465" s="46"/>
      <c r="R13465" s="51"/>
      <c r="S13465" s="51"/>
    </row>
    <row r="13466" spans="9:19" x14ac:dyDescent="0.25">
      <c r="I13466" s="1"/>
      <c r="J13466" s="71"/>
      <c r="M13466" s="46"/>
      <c r="R13466" s="51"/>
      <c r="S13466" s="51"/>
    </row>
    <row r="13467" spans="9:19" x14ac:dyDescent="0.25">
      <c r="I13467" s="1"/>
      <c r="J13467" s="71"/>
      <c r="M13467" s="46"/>
      <c r="R13467" s="51"/>
      <c r="S13467" s="51"/>
    </row>
    <row r="13468" spans="9:19" x14ac:dyDescent="0.25">
      <c r="I13468" s="1"/>
      <c r="J13468" s="71"/>
      <c r="M13468" s="46"/>
      <c r="R13468" s="51"/>
      <c r="S13468" s="51"/>
    </row>
    <row r="13469" spans="9:19" x14ac:dyDescent="0.25">
      <c r="I13469" s="1"/>
      <c r="J13469" s="71"/>
      <c r="M13469" s="46"/>
      <c r="R13469" s="51"/>
      <c r="S13469" s="51"/>
    </row>
    <row r="13470" spans="9:19" x14ac:dyDescent="0.25">
      <c r="I13470" s="1"/>
      <c r="J13470" s="71"/>
      <c r="M13470" s="46"/>
      <c r="R13470" s="51"/>
      <c r="S13470" s="51"/>
    </row>
    <row r="13471" spans="9:19" x14ac:dyDescent="0.25">
      <c r="I13471" s="1"/>
      <c r="J13471" s="71"/>
      <c r="M13471" s="46"/>
      <c r="R13471" s="51"/>
      <c r="S13471" s="51"/>
    </row>
    <row r="13472" spans="9:19" x14ac:dyDescent="0.25">
      <c r="I13472" s="1"/>
      <c r="J13472" s="71"/>
      <c r="M13472" s="46"/>
      <c r="R13472" s="51"/>
      <c r="S13472" s="51"/>
    </row>
    <row r="13473" spans="9:19" x14ac:dyDescent="0.25">
      <c r="I13473" s="1"/>
      <c r="J13473" s="71"/>
      <c r="M13473" s="46"/>
      <c r="R13473" s="51"/>
      <c r="S13473" s="51"/>
    </row>
    <row r="13474" spans="9:19" x14ac:dyDescent="0.25">
      <c r="I13474" s="1"/>
      <c r="J13474" s="71"/>
      <c r="M13474" s="46"/>
      <c r="R13474" s="51"/>
      <c r="S13474" s="51"/>
    </row>
    <row r="13475" spans="9:19" x14ac:dyDescent="0.25">
      <c r="I13475" s="1"/>
      <c r="J13475" s="71"/>
      <c r="M13475" s="46"/>
      <c r="R13475" s="51"/>
      <c r="S13475" s="51"/>
    </row>
    <row r="13476" spans="9:19" x14ac:dyDescent="0.25">
      <c r="I13476" s="1"/>
      <c r="J13476" s="71"/>
      <c r="M13476" s="46"/>
      <c r="R13476" s="51"/>
      <c r="S13476" s="51"/>
    </row>
    <row r="13477" spans="9:19" x14ac:dyDescent="0.25">
      <c r="I13477" s="1"/>
      <c r="J13477" s="71"/>
      <c r="M13477" s="46"/>
      <c r="R13477" s="51"/>
      <c r="S13477" s="51"/>
    </row>
    <row r="13478" spans="9:19" x14ac:dyDescent="0.25">
      <c r="I13478" s="1"/>
      <c r="J13478" s="71"/>
      <c r="M13478" s="46"/>
      <c r="R13478" s="51"/>
      <c r="S13478" s="51"/>
    </row>
    <row r="13479" spans="9:19" x14ac:dyDescent="0.25">
      <c r="I13479" s="1"/>
      <c r="J13479" s="71"/>
      <c r="M13479" s="46"/>
      <c r="R13479" s="51"/>
      <c r="S13479" s="51"/>
    </row>
    <row r="13480" spans="9:19" x14ac:dyDescent="0.25">
      <c r="I13480" s="1"/>
      <c r="J13480" s="71"/>
      <c r="M13480" s="46"/>
      <c r="R13480" s="51"/>
      <c r="S13480" s="51"/>
    </row>
    <row r="13481" spans="9:19" x14ac:dyDescent="0.25">
      <c r="I13481" s="1"/>
      <c r="J13481" s="71"/>
      <c r="M13481" s="46"/>
      <c r="R13481" s="51"/>
      <c r="S13481" s="51"/>
    </row>
    <row r="13482" spans="9:19" x14ac:dyDescent="0.25">
      <c r="I13482" s="1"/>
      <c r="J13482" s="71"/>
      <c r="M13482" s="46"/>
      <c r="R13482" s="51"/>
      <c r="S13482" s="51"/>
    </row>
    <row r="13483" spans="9:19" x14ac:dyDescent="0.25">
      <c r="I13483" s="1"/>
      <c r="J13483" s="71"/>
      <c r="M13483" s="46"/>
      <c r="R13483" s="51"/>
      <c r="S13483" s="51"/>
    </row>
    <row r="13484" spans="9:19" x14ac:dyDescent="0.25">
      <c r="I13484" s="1"/>
      <c r="J13484" s="71"/>
      <c r="M13484" s="46"/>
      <c r="R13484" s="51"/>
      <c r="S13484" s="51"/>
    </row>
    <row r="13485" spans="9:19" x14ac:dyDescent="0.25">
      <c r="I13485" s="1"/>
      <c r="J13485" s="71"/>
      <c r="M13485" s="46"/>
      <c r="R13485" s="51"/>
      <c r="S13485" s="51"/>
    </row>
    <row r="13486" spans="9:19" x14ac:dyDescent="0.25">
      <c r="I13486" s="1"/>
      <c r="J13486" s="71"/>
      <c r="M13486" s="46"/>
      <c r="R13486" s="51"/>
      <c r="S13486" s="51"/>
    </row>
    <row r="13487" spans="9:19" x14ac:dyDescent="0.25">
      <c r="I13487" s="1"/>
      <c r="J13487" s="71"/>
      <c r="M13487" s="46"/>
      <c r="R13487" s="51"/>
      <c r="S13487" s="51"/>
    </row>
    <row r="13488" spans="9:19" x14ac:dyDescent="0.25">
      <c r="I13488" s="1"/>
      <c r="J13488" s="71"/>
      <c r="M13488" s="46"/>
      <c r="R13488" s="51"/>
      <c r="S13488" s="51"/>
    </row>
    <row r="13489" spans="9:19" x14ac:dyDescent="0.25">
      <c r="I13489" s="1"/>
      <c r="J13489" s="71"/>
      <c r="M13489" s="46"/>
      <c r="R13489" s="51"/>
      <c r="S13489" s="51"/>
    </row>
    <row r="13490" spans="9:19" x14ac:dyDescent="0.25">
      <c r="I13490" s="1"/>
      <c r="J13490" s="71"/>
      <c r="M13490" s="46"/>
      <c r="R13490" s="51"/>
      <c r="S13490" s="51"/>
    </row>
    <row r="13491" spans="9:19" x14ac:dyDescent="0.25">
      <c r="I13491" s="1"/>
      <c r="J13491" s="71"/>
      <c r="M13491" s="46"/>
      <c r="R13491" s="51"/>
      <c r="S13491" s="51"/>
    </row>
    <row r="13492" spans="9:19" x14ac:dyDescent="0.25">
      <c r="I13492" s="1"/>
      <c r="J13492" s="71"/>
      <c r="M13492" s="46"/>
      <c r="R13492" s="51"/>
      <c r="S13492" s="51"/>
    </row>
    <row r="13493" spans="9:19" x14ac:dyDescent="0.25">
      <c r="I13493" s="1"/>
      <c r="J13493" s="71"/>
      <c r="M13493" s="46"/>
      <c r="R13493" s="51"/>
      <c r="S13493" s="51"/>
    </row>
    <row r="13494" spans="9:19" x14ac:dyDescent="0.25">
      <c r="I13494" s="1"/>
      <c r="J13494" s="71"/>
      <c r="M13494" s="46"/>
      <c r="R13494" s="51"/>
      <c r="S13494" s="51"/>
    </row>
    <row r="13495" spans="9:19" x14ac:dyDescent="0.25">
      <c r="I13495" s="1"/>
      <c r="J13495" s="71"/>
      <c r="M13495" s="46"/>
      <c r="R13495" s="51"/>
      <c r="S13495" s="51"/>
    </row>
    <row r="13496" spans="9:19" x14ac:dyDescent="0.25">
      <c r="I13496" s="1"/>
      <c r="J13496" s="71"/>
      <c r="M13496" s="46"/>
      <c r="R13496" s="51"/>
      <c r="S13496" s="51"/>
    </row>
    <row r="13497" spans="9:19" x14ac:dyDescent="0.25">
      <c r="I13497" s="1"/>
      <c r="J13497" s="71"/>
      <c r="M13497" s="46"/>
      <c r="R13497" s="51"/>
      <c r="S13497" s="51"/>
    </row>
    <row r="13498" spans="9:19" x14ac:dyDescent="0.25">
      <c r="I13498" s="1"/>
      <c r="J13498" s="71"/>
      <c r="M13498" s="46"/>
      <c r="R13498" s="51"/>
      <c r="S13498" s="51"/>
    </row>
    <row r="13499" spans="9:19" x14ac:dyDescent="0.25">
      <c r="I13499" s="1"/>
      <c r="J13499" s="71"/>
      <c r="M13499" s="46"/>
      <c r="R13499" s="51"/>
      <c r="S13499" s="51"/>
    </row>
    <row r="13500" spans="9:19" x14ac:dyDescent="0.25">
      <c r="I13500" s="1"/>
      <c r="J13500" s="71"/>
      <c r="M13500" s="46"/>
      <c r="R13500" s="51"/>
      <c r="S13500" s="51"/>
    </row>
    <row r="13501" spans="9:19" x14ac:dyDescent="0.25">
      <c r="I13501" s="1"/>
      <c r="J13501" s="71"/>
      <c r="M13501" s="46"/>
      <c r="R13501" s="51"/>
      <c r="S13501" s="51"/>
    </row>
    <row r="13502" spans="9:19" x14ac:dyDescent="0.25">
      <c r="I13502" s="1"/>
      <c r="J13502" s="71"/>
      <c r="M13502" s="46"/>
      <c r="R13502" s="51"/>
      <c r="S13502" s="51"/>
    </row>
    <row r="13503" spans="9:19" x14ac:dyDescent="0.25">
      <c r="I13503" s="1"/>
      <c r="J13503" s="71"/>
      <c r="M13503" s="46"/>
      <c r="R13503" s="51"/>
      <c r="S13503" s="51"/>
    </row>
    <row r="13504" spans="9:19" x14ac:dyDescent="0.25">
      <c r="I13504" s="1"/>
      <c r="J13504" s="71"/>
      <c r="M13504" s="46"/>
      <c r="R13504" s="51"/>
      <c r="S13504" s="51"/>
    </row>
    <row r="13505" spans="9:19" x14ac:dyDescent="0.25">
      <c r="I13505" s="1"/>
      <c r="J13505" s="71"/>
      <c r="M13505" s="46"/>
      <c r="R13505" s="51"/>
      <c r="S13505" s="51"/>
    </row>
    <row r="13506" spans="9:19" x14ac:dyDescent="0.25">
      <c r="I13506" s="1"/>
      <c r="J13506" s="71"/>
      <c r="M13506" s="46"/>
      <c r="R13506" s="51"/>
      <c r="S13506" s="51"/>
    </row>
    <row r="13507" spans="9:19" x14ac:dyDescent="0.25">
      <c r="I13507" s="1"/>
      <c r="J13507" s="71"/>
      <c r="M13507" s="46"/>
      <c r="R13507" s="51"/>
      <c r="S13507" s="51"/>
    </row>
    <row r="13508" spans="9:19" x14ac:dyDescent="0.25">
      <c r="I13508" s="1"/>
      <c r="J13508" s="71"/>
      <c r="M13508" s="46"/>
      <c r="R13508" s="51"/>
      <c r="S13508" s="51"/>
    </row>
    <row r="13509" spans="9:19" x14ac:dyDescent="0.25">
      <c r="I13509" s="1"/>
      <c r="J13509" s="71"/>
      <c r="M13509" s="46"/>
      <c r="R13509" s="51"/>
      <c r="S13509" s="51"/>
    </row>
    <row r="13510" spans="9:19" x14ac:dyDescent="0.25">
      <c r="I13510" s="1"/>
      <c r="J13510" s="71"/>
      <c r="M13510" s="46"/>
      <c r="R13510" s="51"/>
      <c r="S13510" s="51"/>
    </row>
    <row r="13511" spans="9:19" x14ac:dyDescent="0.25">
      <c r="I13511" s="1"/>
      <c r="J13511" s="71"/>
      <c r="M13511" s="46"/>
      <c r="R13511" s="51"/>
      <c r="S13511" s="51"/>
    </row>
    <row r="13512" spans="9:19" x14ac:dyDescent="0.25">
      <c r="I13512" s="1"/>
      <c r="J13512" s="71"/>
      <c r="M13512" s="46"/>
      <c r="R13512" s="51"/>
      <c r="S13512" s="51"/>
    </row>
    <row r="13513" spans="9:19" x14ac:dyDescent="0.25">
      <c r="I13513" s="1"/>
      <c r="J13513" s="71"/>
      <c r="M13513" s="46"/>
      <c r="R13513" s="51"/>
      <c r="S13513" s="51"/>
    </row>
    <row r="13514" spans="9:19" x14ac:dyDescent="0.25">
      <c r="I13514" s="1"/>
      <c r="J13514" s="71"/>
      <c r="M13514" s="46"/>
      <c r="R13514" s="51"/>
      <c r="S13514" s="51"/>
    </row>
    <row r="13515" spans="9:19" x14ac:dyDescent="0.25">
      <c r="I13515" s="1"/>
      <c r="J13515" s="71"/>
      <c r="M13515" s="46"/>
      <c r="R13515" s="51"/>
      <c r="S13515" s="51"/>
    </row>
    <row r="13516" spans="9:19" x14ac:dyDescent="0.25">
      <c r="I13516" s="1"/>
      <c r="J13516" s="71"/>
      <c r="M13516" s="46"/>
      <c r="R13516" s="51"/>
      <c r="S13516" s="51"/>
    </row>
    <row r="13517" spans="9:19" x14ac:dyDescent="0.25">
      <c r="I13517" s="1"/>
      <c r="J13517" s="71"/>
      <c r="M13517" s="46"/>
      <c r="R13517" s="51"/>
      <c r="S13517" s="51"/>
    </row>
    <row r="13518" spans="9:19" x14ac:dyDescent="0.25">
      <c r="I13518" s="1"/>
      <c r="J13518" s="71"/>
      <c r="M13518" s="46"/>
      <c r="R13518" s="51"/>
      <c r="S13518" s="51"/>
    </row>
    <row r="13519" spans="9:19" x14ac:dyDescent="0.25">
      <c r="I13519" s="1"/>
      <c r="J13519" s="71"/>
      <c r="M13519" s="46"/>
      <c r="R13519" s="51"/>
      <c r="S13519" s="51"/>
    </row>
    <row r="13520" spans="9:19" x14ac:dyDescent="0.25">
      <c r="I13520" s="1"/>
      <c r="J13520" s="71"/>
      <c r="M13520" s="46"/>
      <c r="R13520" s="51"/>
      <c r="S13520" s="51"/>
    </row>
    <row r="13521" spans="9:19" x14ac:dyDescent="0.25">
      <c r="I13521" s="1"/>
      <c r="J13521" s="71"/>
      <c r="M13521" s="46"/>
      <c r="R13521" s="51"/>
      <c r="S13521" s="51"/>
    </row>
    <row r="13522" spans="9:19" x14ac:dyDescent="0.25">
      <c r="I13522" s="1"/>
      <c r="J13522" s="71"/>
      <c r="M13522" s="46"/>
      <c r="R13522" s="51"/>
      <c r="S13522" s="51"/>
    </row>
    <row r="13523" spans="9:19" x14ac:dyDescent="0.25">
      <c r="I13523" s="1"/>
      <c r="J13523" s="71"/>
      <c r="M13523" s="46"/>
      <c r="R13523" s="51"/>
      <c r="S13523" s="51"/>
    </row>
    <row r="13524" spans="9:19" x14ac:dyDescent="0.25">
      <c r="I13524" s="1"/>
      <c r="J13524" s="71"/>
      <c r="M13524" s="46"/>
      <c r="R13524" s="51"/>
      <c r="S13524" s="51"/>
    </row>
    <row r="13525" spans="9:19" x14ac:dyDescent="0.25">
      <c r="I13525" s="1"/>
      <c r="J13525" s="71"/>
      <c r="M13525" s="46"/>
      <c r="R13525" s="51"/>
      <c r="S13525" s="51"/>
    </row>
    <row r="13526" spans="9:19" x14ac:dyDescent="0.25">
      <c r="I13526" s="1"/>
      <c r="J13526" s="71"/>
      <c r="M13526" s="46"/>
      <c r="R13526" s="51"/>
      <c r="S13526" s="51"/>
    </row>
    <row r="13527" spans="9:19" x14ac:dyDescent="0.25">
      <c r="I13527" s="1"/>
      <c r="J13527" s="71"/>
      <c r="M13527" s="46"/>
      <c r="R13527" s="51"/>
      <c r="S13527" s="51"/>
    </row>
    <row r="13528" spans="9:19" x14ac:dyDescent="0.25">
      <c r="I13528" s="1"/>
      <c r="J13528" s="71"/>
      <c r="M13528" s="46"/>
      <c r="R13528" s="51"/>
      <c r="S13528" s="51"/>
    </row>
    <row r="13529" spans="9:19" x14ac:dyDescent="0.25">
      <c r="I13529" s="1"/>
      <c r="J13529" s="71"/>
      <c r="M13529" s="46"/>
      <c r="R13529" s="51"/>
      <c r="S13529" s="51"/>
    </row>
    <row r="13530" spans="9:19" x14ac:dyDescent="0.25">
      <c r="I13530" s="1"/>
      <c r="J13530" s="71"/>
      <c r="M13530" s="46"/>
      <c r="R13530" s="51"/>
      <c r="S13530" s="51"/>
    </row>
    <row r="13531" spans="9:19" x14ac:dyDescent="0.25">
      <c r="I13531" s="1"/>
      <c r="J13531" s="71"/>
      <c r="M13531" s="46"/>
      <c r="R13531" s="51"/>
      <c r="S13531" s="51"/>
    </row>
    <row r="13532" spans="9:19" x14ac:dyDescent="0.25">
      <c r="I13532" s="1"/>
      <c r="J13532" s="71"/>
      <c r="M13532" s="46"/>
      <c r="R13532" s="51"/>
      <c r="S13532" s="51"/>
    </row>
    <row r="13533" spans="9:19" x14ac:dyDescent="0.25">
      <c r="I13533" s="1"/>
      <c r="J13533" s="71"/>
      <c r="M13533" s="46"/>
      <c r="R13533" s="51"/>
      <c r="S13533" s="51"/>
    </row>
    <row r="13534" spans="9:19" x14ac:dyDescent="0.25">
      <c r="I13534" s="1"/>
      <c r="J13534" s="71"/>
      <c r="M13534" s="46"/>
      <c r="R13534" s="51"/>
      <c r="S13534" s="51"/>
    </row>
    <row r="13535" spans="9:19" x14ac:dyDescent="0.25">
      <c r="I13535" s="1"/>
      <c r="J13535" s="71"/>
      <c r="M13535" s="46"/>
      <c r="R13535" s="51"/>
      <c r="S13535" s="51"/>
    </row>
    <row r="13536" spans="9:19" x14ac:dyDescent="0.25">
      <c r="I13536" s="1"/>
      <c r="J13536" s="71"/>
      <c r="M13536" s="46"/>
      <c r="R13536" s="51"/>
      <c r="S13536" s="51"/>
    </row>
    <row r="13537" spans="9:19" x14ac:dyDescent="0.25">
      <c r="I13537" s="1"/>
      <c r="J13537" s="71"/>
      <c r="M13537" s="46"/>
      <c r="R13537" s="51"/>
      <c r="S13537" s="51"/>
    </row>
    <row r="13538" spans="9:19" x14ac:dyDescent="0.25">
      <c r="I13538" s="1"/>
      <c r="J13538" s="71"/>
      <c r="M13538" s="46"/>
      <c r="R13538" s="51"/>
      <c r="S13538" s="51"/>
    </row>
    <row r="13539" spans="9:19" x14ac:dyDescent="0.25">
      <c r="I13539" s="1"/>
      <c r="J13539" s="71"/>
      <c r="M13539" s="46"/>
      <c r="R13539" s="51"/>
      <c r="S13539" s="51"/>
    </row>
    <row r="13540" spans="9:19" x14ac:dyDescent="0.25">
      <c r="I13540" s="1"/>
      <c r="J13540" s="71"/>
      <c r="M13540" s="46"/>
      <c r="R13540" s="51"/>
      <c r="S13540" s="51"/>
    </row>
    <row r="13541" spans="9:19" x14ac:dyDescent="0.25">
      <c r="I13541" s="1"/>
      <c r="J13541" s="71"/>
      <c r="M13541" s="46"/>
      <c r="R13541" s="51"/>
      <c r="S13541" s="51"/>
    </row>
    <row r="13542" spans="9:19" x14ac:dyDescent="0.25">
      <c r="I13542" s="1"/>
      <c r="J13542" s="71"/>
      <c r="M13542" s="46"/>
      <c r="R13542" s="51"/>
      <c r="S13542" s="51"/>
    </row>
    <row r="13543" spans="9:19" x14ac:dyDescent="0.25">
      <c r="I13543" s="1"/>
      <c r="J13543" s="71"/>
      <c r="M13543" s="46"/>
      <c r="R13543" s="51"/>
      <c r="S13543" s="51"/>
    </row>
    <row r="13544" spans="9:19" x14ac:dyDescent="0.25">
      <c r="I13544" s="1"/>
      <c r="J13544" s="71"/>
      <c r="M13544" s="46"/>
      <c r="R13544" s="51"/>
      <c r="S13544" s="51"/>
    </row>
    <row r="13545" spans="9:19" x14ac:dyDescent="0.25">
      <c r="I13545" s="1"/>
      <c r="J13545" s="71"/>
      <c r="M13545" s="46"/>
      <c r="R13545" s="51"/>
      <c r="S13545" s="51"/>
    </row>
    <row r="13546" spans="9:19" x14ac:dyDescent="0.25">
      <c r="I13546" s="1"/>
      <c r="J13546" s="71"/>
      <c r="M13546" s="46"/>
      <c r="R13546" s="51"/>
      <c r="S13546" s="51"/>
    </row>
    <row r="13547" spans="9:19" x14ac:dyDescent="0.25">
      <c r="I13547" s="1"/>
      <c r="J13547" s="71"/>
      <c r="M13547" s="46"/>
      <c r="R13547" s="51"/>
      <c r="S13547" s="51"/>
    </row>
    <row r="13548" spans="9:19" x14ac:dyDescent="0.25">
      <c r="I13548" s="1"/>
      <c r="J13548" s="71"/>
      <c r="M13548" s="46"/>
      <c r="R13548" s="51"/>
      <c r="S13548" s="51"/>
    </row>
    <row r="13549" spans="9:19" x14ac:dyDescent="0.25">
      <c r="I13549" s="1"/>
      <c r="J13549" s="71"/>
      <c r="M13549" s="46"/>
      <c r="R13549" s="51"/>
      <c r="S13549" s="51"/>
    </row>
    <row r="13550" spans="9:19" x14ac:dyDescent="0.25">
      <c r="I13550" s="1"/>
      <c r="J13550" s="71"/>
      <c r="M13550" s="46"/>
      <c r="R13550" s="51"/>
      <c r="S13550" s="51"/>
    </row>
    <row r="13551" spans="9:19" x14ac:dyDescent="0.25">
      <c r="I13551" s="1"/>
      <c r="J13551" s="71"/>
      <c r="M13551" s="46"/>
      <c r="R13551" s="51"/>
      <c r="S13551" s="51"/>
    </row>
    <row r="13552" spans="9:19" x14ac:dyDescent="0.25">
      <c r="I13552" s="1"/>
      <c r="J13552" s="71"/>
      <c r="M13552" s="46"/>
      <c r="R13552" s="51"/>
      <c r="S13552" s="51"/>
    </row>
    <row r="13553" spans="9:19" x14ac:dyDescent="0.25">
      <c r="I13553" s="1"/>
      <c r="J13553" s="71"/>
      <c r="M13553" s="46"/>
      <c r="R13553" s="51"/>
      <c r="S13553" s="51"/>
    </row>
    <row r="13554" spans="9:19" x14ac:dyDescent="0.25">
      <c r="I13554" s="1"/>
      <c r="J13554" s="71"/>
      <c r="M13554" s="46"/>
      <c r="R13554" s="51"/>
      <c r="S13554" s="51"/>
    </row>
    <row r="13555" spans="9:19" x14ac:dyDescent="0.25">
      <c r="I13555" s="1"/>
      <c r="J13555" s="71"/>
      <c r="M13555" s="46"/>
      <c r="R13555" s="51"/>
      <c r="S13555" s="51"/>
    </row>
    <row r="13556" spans="9:19" x14ac:dyDescent="0.25">
      <c r="I13556" s="1"/>
      <c r="J13556" s="71"/>
      <c r="M13556" s="46"/>
      <c r="R13556" s="51"/>
      <c r="S13556" s="51"/>
    </row>
    <row r="13557" spans="9:19" x14ac:dyDescent="0.25">
      <c r="I13557" s="1"/>
      <c r="J13557" s="71"/>
      <c r="M13557" s="46"/>
      <c r="R13557" s="51"/>
      <c r="S13557" s="51"/>
    </row>
    <row r="13558" spans="9:19" x14ac:dyDescent="0.25">
      <c r="I13558" s="1"/>
      <c r="J13558" s="71"/>
      <c r="M13558" s="46"/>
      <c r="R13558" s="51"/>
      <c r="S13558" s="51"/>
    </row>
    <row r="13559" spans="9:19" x14ac:dyDescent="0.25">
      <c r="I13559" s="1"/>
      <c r="J13559" s="71"/>
      <c r="M13559" s="46"/>
      <c r="R13559" s="51"/>
      <c r="S13559" s="51"/>
    </row>
    <row r="13560" spans="9:19" x14ac:dyDescent="0.25">
      <c r="I13560" s="1"/>
      <c r="J13560" s="71"/>
      <c r="M13560" s="46"/>
      <c r="R13560" s="51"/>
      <c r="S13560" s="51"/>
    </row>
    <row r="13561" spans="9:19" x14ac:dyDescent="0.25">
      <c r="I13561" s="1"/>
      <c r="J13561" s="71"/>
      <c r="M13561" s="46"/>
      <c r="R13561" s="51"/>
      <c r="S13561" s="51"/>
    </row>
    <row r="13562" spans="9:19" x14ac:dyDescent="0.25">
      <c r="I13562" s="1"/>
      <c r="J13562" s="71"/>
      <c r="M13562" s="46"/>
      <c r="R13562" s="51"/>
      <c r="S13562" s="51"/>
    </row>
    <row r="13563" spans="9:19" x14ac:dyDescent="0.25">
      <c r="I13563" s="1"/>
      <c r="J13563" s="71"/>
      <c r="M13563" s="46"/>
      <c r="R13563" s="51"/>
      <c r="S13563" s="51"/>
    </row>
    <row r="13564" spans="9:19" x14ac:dyDescent="0.25">
      <c r="I13564" s="1"/>
      <c r="J13564" s="71"/>
      <c r="M13564" s="46"/>
      <c r="R13564" s="51"/>
      <c r="S13564" s="51"/>
    </row>
    <row r="13565" spans="9:19" x14ac:dyDescent="0.25">
      <c r="I13565" s="1"/>
      <c r="J13565" s="71"/>
      <c r="M13565" s="46"/>
      <c r="R13565" s="51"/>
      <c r="S13565" s="51"/>
    </row>
    <row r="13566" spans="9:19" x14ac:dyDescent="0.25">
      <c r="I13566" s="1"/>
      <c r="J13566" s="71"/>
      <c r="M13566" s="46"/>
      <c r="R13566" s="51"/>
      <c r="S13566" s="51"/>
    </row>
    <row r="13567" spans="9:19" x14ac:dyDescent="0.25">
      <c r="I13567" s="1"/>
      <c r="J13567" s="71"/>
      <c r="M13567" s="46"/>
      <c r="R13567" s="51"/>
      <c r="S13567" s="51"/>
    </row>
    <row r="13568" spans="9:19" x14ac:dyDescent="0.25">
      <c r="I13568" s="1"/>
      <c r="J13568" s="71"/>
      <c r="M13568" s="46"/>
      <c r="R13568" s="51"/>
      <c r="S13568" s="51"/>
    </row>
    <row r="13569" spans="9:19" x14ac:dyDescent="0.25">
      <c r="I13569" s="1"/>
      <c r="J13569" s="71"/>
      <c r="M13569" s="46"/>
      <c r="R13569" s="51"/>
      <c r="S13569" s="51"/>
    </row>
    <row r="13570" spans="9:19" x14ac:dyDescent="0.25">
      <c r="I13570" s="1"/>
      <c r="J13570" s="71"/>
      <c r="M13570" s="46"/>
      <c r="R13570" s="51"/>
      <c r="S13570" s="51"/>
    </row>
    <row r="13571" spans="9:19" x14ac:dyDescent="0.25">
      <c r="I13571" s="1"/>
      <c r="J13571" s="71"/>
      <c r="M13571" s="46"/>
      <c r="R13571" s="51"/>
      <c r="S13571" s="51"/>
    </row>
    <row r="13572" spans="9:19" x14ac:dyDescent="0.25">
      <c r="I13572" s="1"/>
      <c r="J13572" s="71"/>
      <c r="M13572" s="46"/>
      <c r="R13572" s="51"/>
      <c r="S13572" s="51"/>
    </row>
    <row r="13573" spans="9:19" x14ac:dyDescent="0.25">
      <c r="I13573" s="1"/>
      <c r="J13573" s="71"/>
      <c r="M13573" s="46"/>
      <c r="R13573" s="51"/>
      <c r="S13573" s="51"/>
    </row>
    <row r="13574" spans="9:19" x14ac:dyDescent="0.25">
      <c r="I13574" s="1"/>
      <c r="J13574" s="71"/>
      <c r="M13574" s="46"/>
      <c r="R13574" s="51"/>
      <c r="S13574" s="51"/>
    </row>
    <row r="13575" spans="9:19" x14ac:dyDescent="0.25">
      <c r="I13575" s="1"/>
      <c r="J13575" s="71"/>
      <c r="M13575" s="46"/>
      <c r="R13575" s="51"/>
      <c r="S13575" s="51"/>
    </row>
    <row r="13576" spans="9:19" x14ac:dyDescent="0.25">
      <c r="I13576" s="1"/>
      <c r="J13576" s="71"/>
      <c r="M13576" s="46"/>
      <c r="R13576" s="51"/>
      <c r="S13576" s="51"/>
    </row>
    <row r="13577" spans="9:19" x14ac:dyDescent="0.25">
      <c r="I13577" s="1"/>
      <c r="J13577" s="71"/>
      <c r="M13577" s="46"/>
      <c r="R13577" s="51"/>
      <c r="S13577" s="51"/>
    </row>
    <row r="13578" spans="9:19" x14ac:dyDescent="0.25">
      <c r="I13578" s="1"/>
      <c r="J13578" s="71"/>
      <c r="M13578" s="46"/>
      <c r="R13578" s="51"/>
      <c r="S13578" s="51"/>
    </row>
    <row r="13579" spans="9:19" x14ac:dyDescent="0.25">
      <c r="I13579" s="1"/>
      <c r="J13579" s="71"/>
      <c r="M13579" s="46"/>
      <c r="R13579" s="51"/>
      <c r="S13579" s="51"/>
    </row>
    <row r="13580" spans="9:19" x14ac:dyDescent="0.25">
      <c r="I13580" s="1"/>
      <c r="J13580" s="71"/>
      <c r="M13580" s="46"/>
      <c r="R13580" s="51"/>
      <c r="S13580" s="51"/>
    </row>
    <row r="13581" spans="9:19" x14ac:dyDescent="0.25">
      <c r="I13581" s="1"/>
      <c r="J13581" s="71"/>
      <c r="M13581" s="46"/>
      <c r="R13581" s="51"/>
      <c r="S13581" s="51"/>
    </row>
    <row r="13582" spans="9:19" x14ac:dyDescent="0.25">
      <c r="I13582" s="1"/>
      <c r="J13582" s="71"/>
      <c r="M13582" s="46"/>
      <c r="R13582" s="51"/>
      <c r="S13582" s="51"/>
    </row>
    <row r="13583" spans="9:19" x14ac:dyDescent="0.25">
      <c r="I13583" s="1"/>
      <c r="J13583" s="71"/>
      <c r="M13583" s="46"/>
      <c r="R13583" s="51"/>
      <c r="S13583" s="51"/>
    </row>
    <row r="13584" spans="9:19" x14ac:dyDescent="0.25">
      <c r="I13584" s="1"/>
      <c r="J13584" s="71"/>
      <c r="M13584" s="46"/>
      <c r="R13584" s="51"/>
      <c r="S13584" s="51"/>
    </row>
    <row r="13585" spans="9:19" x14ac:dyDescent="0.25">
      <c r="I13585" s="1"/>
      <c r="J13585" s="71"/>
      <c r="M13585" s="46"/>
      <c r="R13585" s="51"/>
      <c r="S13585" s="51"/>
    </row>
    <row r="13586" spans="9:19" x14ac:dyDescent="0.25">
      <c r="I13586" s="1"/>
      <c r="J13586" s="71"/>
      <c r="M13586" s="46"/>
      <c r="R13586" s="51"/>
      <c r="S13586" s="51"/>
    </row>
    <row r="13587" spans="9:19" x14ac:dyDescent="0.25">
      <c r="I13587" s="1"/>
      <c r="J13587" s="71"/>
      <c r="M13587" s="46"/>
      <c r="R13587" s="51"/>
      <c r="S13587" s="51"/>
    </row>
    <row r="13588" spans="9:19" x14ac:dyDescent="0.25">
      <c r="I13588" s="1"/>
      <c r="J13588" s="71"/>
      <c r="M13588" s="46"/>
      <c r="R13588" s="51"/>
      <c r="S13588" s="51"/>
    </row>
    <row r="13589" spans="9:19" x14ac:dyDescent="0.25">
      <c r="I13589" s="1"/>
      <c r="J13589" s="71"/>
      <c r="M13589" s="46"/>
      <c r="R13589" s="51"/>
      <c r="S13589" s="51"/>
    </row>
    <row r="13590" spans="9:19" x14ac:dyDescent="0.25">
      <c r="I13590" s="1"/>
      <c r="J13590" s="71"/>
      <c r="M13590" s="46"/>
      <c r="R13590" s="51"/>
      <c r="S13590" s="51"/>
    </row>
    <row r="13591" spans="9:19" x14ac:dyDescent="0.25">
      <c r="I13591" s="1"/>
      <c r="J13591" s="71"/>
      <c r="M13591" s="46"/>
      <c r="R13591" s="51"/>
      <c r="S13591" s="51"/>
    </row>
    <row r="13592" spans="9:19" x14ac:dyDescent="0.25">
      <c r="I13592" s="1"/>
      <c r="J13592" s="71"/>
      <c r="M13592" s="46"/>
      <c r="R13592" s="51"/>
      <c r="S13592" s="51"/>
    </row>
    <row r="13593" spans="9:19" x14ac:dyDescent="0.25">
      <c r="I13593" s="1"/>
      <c r="J13593" s="71"/>
      <c r="M13593" s="46"/>
      <c r="R13593" s="51"/>
      <c r="S13593" s="51"/>
    </row>
    <row r="13594" spans="9:19" x14ac:dyDescent="0.25">
      <c r="I13594" s="1"/>
      <c r="J13594" s="71"/>
      <c r="M13594" s="46"/>
      <c r="R13594" s="51"/>
      <c r="S13594" s="51"/>
    </row>
    <row r="13595" spans="9:19" x14ac:dyDescent="0.25">
      <c r="I13595" s="1"/>
      <c r="J13595" s="71"/>
      <c r="M13595" s="46"/>
      <c r="R13595" s="51"/>
      <c r="S13595" s="51"/>
    </row>
    <row r="13596" spans="9:19" x14ac:dyDescent="0.25">
      <c r="I13596" s="1"/>
      <c r="J13596" s="71"/>
      <c r="M13596" s="46"/>
      <c r="R13596" s="51"/>
      <c r="S13596" s="51"/>
    </row>
    <row r="13597" spans="9:19" x14ac:dyDescent="0.25">
      <c r="I13597" s="1"/>
      <c r="J13597" s="71"/>
      <c r="M13597" s="46"/>
      <c r="R13597" s="51"/>
      <c r="S13597" s="51"/>
    </row>
    <row r="13598" spans="9:19" x14ac:dyDescent="0.25">
      <c r="I13598" s="1"/>
      <c r="J13598" s="71"/>
      <c r="M13598" s="46"/>
      <c r="R13598" s="51"/>
      <c r="S13598" s="51"/>
    </row>
    <row r="13599" spans="9:19" x14ac:dyDescent="0.25">
      <c r="I13599" s="1"/>
      <c r="J13599" s="71"/>
      <c r="M13599" s="46"/>
      <c r="R13599" s="51"/>
      <c r="S13599" s="51"/>
    </row>
    <row r="13600" spans="9:19" x14ac:dyDescent="0.25">
      <c r="I13600" s="1"/>
      <c r="J13600" s="71"/>
      <c r="M13600" s="46"/>
      <c r="R13600" s="51"/>
      <c r="S13600" s="51"/>
    </row>
    <row r="13601" spans="9:19" x14ac:dyDescent="0.25">
      <c r="I13601" s="1"/>
      <c r="J13601" s="71"/>
      <c r="M13601" s="46"/>
      <c r="R13601" s="51"/>
      <c r="S13601" s="51"/>
    </row>
    <row r="13602" spans="9:19" x14ac:dyDescent="0.25">
      <c r="I13602" s="1"/>
      <c r="J13602" s="71"/>
      <c r="M13602" s="46"/>
      <c r="R13602" s="51"/>
      <c r="S13602" s="51"/>
    </row>
    <row r="13603" spans="9:19" x14ac:dyDescent="0.25">
      <c r="I13603" s="1"/>
      <c r="J13603" s="71"/>
      <c r="M13603" s="46"/>
      <c r="R13603" s="51"/>
      <c r="S13603" s="51"/>
    </row>
    <row r="13604" spans="9:19" x14ac:dyDescent="0.25">
      <c r="I13604" s="1"/>
      <c r="J13604" s="71"/>
      <c r="M13604" s="46"/>
      <c r="R13604" s="51"/>
      <c r="S13604" s="51"/>
    </row>
    <row r="13605" spans="9:19" x14ac:dyDescent="0.25">
      <c r="I13605" s="1"/>
      <c r="J13605" s="71"/>
      <c r="M13605" s="46"/>
      <c r="R13605" s="51"/>
      <c r="S13605" s="51"/>
    </row>
    <row r="13606" spans="9:19" x14ac:dyDescent="0.25">
      <c r="I13606" s="1"/>
      <c r="J13606" s="71"/>
      <c r="M13606" s="46"/>
      <c r="R13606" s="51"/>
      <c r="S13606" s="51"/>
    </row>
    <row r="13607" spans="9:19" x14ac:dyDescent="0.25">
      <c r="I13607" s="1"/>
      <c r="J13607" s="71"/>
      <c r="M13607" s="46"/>
      <c r="R13607" s="51"/>
      <c r="S13607" s="51"/>
    </row>
    <row r="13608" spans="9:19" x14ac:dyDescent="0.25">
      <c r="I13608" s="1"/>
      <c r="J13608" s="71"/>
      <c r="M13608" s="46"/>
      <c r="R13608" s="51"/>
      <c r="S13608" s="51"/>
    </row>
    <row r="13609" spans="9:19" x14ac:dyDescent="0.25">
      <c r="I13609" s="1"/>
      <c r="J13609" s="71"/>
      <c r="M13609" s="46"/>
      <c r="R13609" s="51"/>
      <c r="S13609" s="51"/>
    </row>
    <row r="13610" spans="9:19" x14ac:dyDescent="0.25">
      <c r="I13610" s="1"/>
      <c r="J13610" s="71"/>
      <c r="M13610" s="46"/>
      <c r="R13610" s="51"/>
      <c r="S13610" s="51"/>
    </row>
    <row r="13611" spans="9:19" x14ac:dyDescent="0.25">
      <c r="I13611" s="1"/>
      <c r="J13611" s="71"/>
      <c r="M13611" s="46"/>
      <c r="R13611" s="51"/>
      <c r="S13611" s="51"/>
    </row>
    <row r="13612" spans="9:19" x14ac:dyDescent="0.25">
      <c r="I13612" s="1"/>
      <c r="J13612" s="71"/>
      <c r="M13612" s="46"/>
      <c r="R13612" s="51"/>
      <c r="S13612" s="51"/>
    </row>
    <row r="13613" spans="9:19" x14ac:dyDescent="0.25">
      <c r="I13613" s="1"/>
      <c r="J13613" s="71"/>
      <c r="M13613" s="46"/>
      <c r="R13613" s="51"/>
      <c r="S13613" s="51"/>
    </row>
    <row r="13614" spans="9:19" x14ac:dyDescent="0.25">
      <c r="I13614" s="1"/>
      <c r="J13614" s="71"/>
      <c r="M13614" s="46"/>
      <c r="R13614" s="51"/>
      <c r="S13614" s="51"/>
    </row>
    <row r="13615" spans="9:19" x14ac:dyDescent="0.25">
      <c r="I13615" s="1"/>
      <c r="J13615" s="71"/>
      <c r="M13615" s="46"/>
      <c r="R13615" s="51"/>
      <c r="S13615" s="51"/>
    </row>
    <row r="13616" spans="9:19" x14ac:dyDescent="0.25">
      <c r="I13616" s="1"/>
      <c r="J13616" s="71"/>
      <c r="M13616" s="46"/>
      <c r="R13616" s="51"/>
      <c r="S13616" s="51"/>
    </row>
    <row r="13617" spans="9:19" x14ac:dyDescent="0.25">
      <c r="I13617" s="1"/>
      <c r="J13617" s="71"/>
      <c r="M13617" s="46"/>
      <c r="R13617" s="51"/>
      <c r="S13617" s="51"/>
    </row>
    <row r="13618" spans="9:19" x14ac:dyDescent="0.25">
      <c r="I13618" s="1"/>
      <c r="J13618" s="71"/>
      <c r="M13618" s="46"/>
      <c r="R13618" s="51"/>
      <c r="S13618" s="51"/>
    </row>
    <row r="13619" spans="9:19" x14ac:dyDescent="0.25">
      <c r="I13619" s="1"/>
      <c r="J13619" s="71"/>
      <c r="M13619" s="46"/>
      <c r="R13619" s="51"/>
      <c r="S13619" s="51"/>
    </row>
    <row r="13620" spans="9:19" x14ac:dyDescent="0.25">
      <c r="I13620" s="1"/>
      <c r="J13620" s="71"/>
      <c r="M13620" s="46"/>
      <c r="R13620" s="51"/>
      <c r="S13620" s="51"/>
    </row>
    <row r="13621" spans="9:19" x14ac:dyDescent="0.25">
      <c r="I13621" s="1"/>
      <c r="J13621" s="71"/>
      <c r="M13621" s="46"/>
      <c r="R13621" s="51"/>
      <c r="S13621" s="51"/>
    </row>
    <row r="13622" spans="9:19" x14ac:dyDescent="0.25">
      <c r="I13622" s="1"/>
      <c r="J13622" s="71"/>
      <c r="M13622" s="46"/>
      <c r="R13622" s="51"/>
      <c r="S13622" s="51"/>
    </row>
    <row r="13623" spans="9:19" x14ac:dyDescent="0.25">
      <c r="I13623" s="1"/>
      <c r="J13623" s="71"/>
      <c r="M13623" s="46"/>
      <c r="R13623" s="51"/>
      <c r="S13623" s="51"/>
    </row>
    <row r="13624" spans="9:19" x14ac:dyDescent="0.25">
      <c r="I13624" s="1"/>
      <c r="J13624" s="71"/>
      <c r="M13624" s="46"/>
      <c r="R13624" s="51"/>
      <c r="S13624" s="51"/>
    </row>
    <row r="13625" spans="9:19" x14ac:dyDescent="0.25">
      <c r="I13625" s="1"/>
      <c r="J13625" s="71"/>
      <c r="M13625" s="46"/>
      <c r="R13625" s="51"/>
      <c r="S13625" s="51"/>
    </row>
    <row r="13626" spans="9:19" x14ac:dyDescent="0.25">
      <c r="I13626" s="1"/>
      <c r="J13626" s="71"/>
      <c r="M13626" s="46"/>
      <c r="R13626" s="51"/>
      <c r="S13626" s="51"/>
    </row>
    <row r="13627" spans="9:19" x14ac:dyDescent="0.25">
      <c r="I13627" s="1"/>
      <c r="J13627" s="71"/>
      <c r="M13627" s="46"/>
      <c r="R13627" s="51"/>
      <c r="S13627" s="51"/>
    </row>
    <row r="13628" spans="9:19" x14ac:dyDescent="0.25">
      <c r="I13628" s="1"/>
      <c r="J13628" s="71"/>
      <c r="M13628" s="46"/>
      <c r="R13628" s="51"/>
      <c r="S13628" s="51"/>
    </row>
    <row r="13629" spans="9:19" x14ac:dyDescent="0.25">
      <c r="I13629" s="1"/>
      <c r="J13629" s="71"/>
      <c r="M13629" s="46"/>
      <c r="R13629" s="51"/>
      <c r="S13629" s="51"/>
    </row>
    <row r="13630" spans="9:19" x14ac:dyDescent="0.25">
      <c r="I13630" s="1"/>
      <c r="J13630" s="71"/>
      <c r="M13630" s="46"/>
      <c r="R13630" s="51"/>
      <c r="S13630" s="51"/>
    </row>
    <row r="13631" spans="9:19" x14ac:dyDescent="0.25">
      <c r="I13631" s="1"/>
      <c r="J13631" s="71"/>
      <c r="M13631" s="46"/>
      <c r="R13631" s="51"/>
      <c r="S13631" s="51"/>
    </row>
    <row r="13632" spans="9:19" x14ac:dyDescent="0.25">
      <c r="I13632" s="1"/>
      <c r="J13632" s="71"/>
      <c r="M13632" s="46"/>
      <c r="R13632" s="51"/>
      <c r="S13632" s="51"/>
    </row>
    <row r="13633" spans="9:19" x14ac:dyDescent="0.25">
      <c r="I13633" s="1"/>
      <c r="J13633" s="71"/>
      <c r="M13633" s="46"/>
      <c r="R13633" s="51"/>
      <c r="S13633" s="51"/>
    </row>
    <row r="13634" spans="9:19" x14ac:dyDescent="0.25">
      <c r="I13634" s="1"/>
      <c r="J13634" s="71"/>
      <c r="M13634" s="46"/>
      <c r="R13634" s="51"/>
      <c r="S13634" s="51"/>
    </row>
    <row r="13635" spans="9:19" x14ac:dyDescent="0.25">
      <c r="I13635" s="1"/>
      <c r="J13635" s="71"/>
      <c r="M13635" s="46"/>
      <c r="R13635" s="51"/>
      <c r="S13635" s="51"/>
    </row>
    <row r="13636" spans="9:19" x14ac:dyDescent="0.25">
      <c r="I13636" s="1"/>
      <c r="J13636" s="71"/>
      <c r="M13636" s="46"/>
      <c r="R13636" s="51"/>
      <c r="S13636" s="51"/>
    </row>
    <row r="13637" spans="9:19" x14ac:dyDescent="0.25">
      <c r="I13637" s="1"/>
      <c r="J13637" s="71"/>
      <c r="M13637" s="46"/>
      <c r="R13637" s="51"/>
      <c r="S13637" s="51"/>
    </row>
    <row r="13638" spans="9:19" x14ac:dyDescent="0.25">
      <c r="I13638" s="1"/>
      <c r="J13638" s="71"/>
      <c r="M13638" s="46"/>
      <c r="R13638" s="51"/>
      <c r="S13638" s="51"/>
    </row>
    <row r="13639" spans="9:19" x14ac:dyDescent="0.25">
      <c r="I13639" s="1"/>
      <c r="J13639" s="71"/>
      <c r="M13639" s="46"/>
      <c r="R13639" s="51"/>
      <c r="S13639" s="51"/>
    </row>
    <row r="13640" spans="9:19" x14ac:dyDescent="0.25">
      <c r="I13640" s="1"/>
      <c r="J13640" s="71"/>
      <c r="M13640" s="46"/>
      <c r="R13640" s="51"/>
      <c r="S13640" s="51"/>
    </row>
    <row r="13641" spans="9:19" x14ac:dyDescent="0.25">
      <c r="I13641" s="1"/>
      <c r="J13641" s="71"/>
      <c r="M13641" s="46"/>
      <c r="R13641" s="51"/>
      <c r="S13641" s="51"/>
    </row>
    <row r="13642" spans="9:19" x14ac:dyDescent="0.25">
      <c r="I13642" s="1"/>
      <c r="J13642" s="71"/>
      <c r="M13642" s="46"/>
      <c r="R13642" s="51"/>
      <c r="S13642" s="51"/>
    </row>
    <row r="13643" spans="9:19" x14ac:dyDescent="0.25">
      <c r="I13643" s="1"/>
      <c r="J13643" s="71"/>
      <c r="M13643" s="46"/>
      <c r="R13643" s="51"/>
      <c r="S13643" s="51"/>
    </row>
    <row r="13644" spans="9:19" x14ac:dyDescent="0.25">
      <c r="I13644" s="1"/>
      <c r="J13644" s="71"/>
      <c r="M13644" s="46"/>
      <c r="R13644" s="51"/>
      <c r="S13644" s="51"/>
    </row>
    <row r="13645" spans="9:19" x14ac:dyDescent="0.25">
      <c r="I13645" s="1"/>
      <c r="J13645" s="71"/>
      <c r="M13645" s="46"/>
      <c r="R13645" s="51"/>
      <c r="S13645" s="51"/>
    </row>
    <row r="13646" spans="9:19" x14ac:dyDescent="0.25">
      <c r="I13646" s="1"/>
      <c r="J13646" s="71"/>
      <c r="M13646" s="46"/>
      <c r="R13646" s="51"/>
      <c r="S13646" s="51"/>
    </row>
    <row r="13647" spans="9:19" x14ac:dyDescent="0.25">
      <c r="I13647" s="1"/>
      <c r="J13647" s="71"/>
      <c r="M13647" s="46"/>
      <c r="R13647" s="51"/>
      <c r="S13647" s="51"/>
    </row>
    <row r="13648" spans="9:19" x14ac:dyDescent="0.25">
      <c r="I13648" s="1"/>
      <c r="J13648" s="71"/>
      <c r="M13648" s="46"/>
      <c r="R13648" s="51"/>
      <c r="S13648" s="51"/>
    </row>
    <row r="13649" spans="9:19" x14ac:dyDescent="0.25">
      <c r="I13649" s="1"/>
      <c r="J13649" s="71"/>
      <c r="M13649" s="46"/>
      <c r="R13649" s="51"/>
      <c r="S13649" s="51"/>
    </row>
    <row r="13650" spans="9:19" x14ac:dyDescent="0.25">
      <c r="I13650" s="1"/>
      <c r="J13650" s="71"/>
      <c r="M13650" s="46"/>
      <c r="R13650" s="51"/>
      <c r="S13650" s="51"/>
    </row>
    <row r="13651" spans="9:19" x14ac:dyDescent="0.25">
      <c r="I13651" s="1"/>
      <c r="J13651" s="71"/>
      <c r="M13651" s="46"/>
      <c r="R13651" s="51"/>
      <c r="S13651" s="51"/>
    </row>
    <row r="13652" spans="9:19" x14ac:dyDescent="0.25">
      <c r="I13652" s="1"/>
      <c r="J13652" s="71"/>
      <c r="M13652" s="46"/>
      <c r="R13652" s="51"/>
      <c r="S13652" s="51"/>
    </row>
    <row r="13653" spans="9:19" x14ac:dyDescent="0.25">
      <c r="I13653" s="1"/>
      <c r="J13653" s="71"/>
      <c r="M13653" s="46"/>
      <c r="R13653" s="51"/>
      <c r="S13653" s="51"/>
    </row>
    <row r="13654" spans="9:19" x14ac:dyDescent="0.25">
      <c r="I13654" s="1"/>
      <c r="J13654" s="71"/>
      <c r="M13654" s="46"/>
      <c r="R13654" s="51"/>
      <c r="S13654" s="51"/>
    </row>
    <row r="13655" spans="9:19" x14ac:dyDescent="0.25">
      <c r="I13655" s="1"/>
      <c r="J13655" s="71"/>
      <c r="M13655" s="46"/>
      <c r="R13655" s="51"/>
      <c r="S13655" s="51"/>
    </row>
    <row r="13656" spans="9:19" x14ac:dyDescent="0.25">
      <c r="I13656" s="1"/>
      <c r="J13656" s="71"/>
      <c r="M13656" s="46"/>
      <c r="R13656" s="51"/>
      <c r="S13656" s="51"/>
    </row>
    <row r="13657" spans="9:19" x14ac:dyDescent="0.25">
      <c r="I13657" s="1"/>
      <c r="J13657" s="71"/>
      <c r="M13657" s="46"/>
      <c r="R13657" s="51"/>
      <c r="S13657" s="51"/>
    </row>
    <row r="13658" spans="9:19" x14ac:dyDescent="0.25">
      <c r="I13658" s="1"/>
      <c r="J13658" s="71"/>
      <c r="M13658" s="46"/>
      <c r="R13658" s="51"/>
      <c r="S13658" s="51"/>
    </row>
    <row r="13659" spans="9:19" x14ac:dyDescent="0.25">
      <c r="I13659" s="1"/>
      <c r="J13659" s="71"/>
      <c r="M13659" s="46"/>
      <c r="R13659" s="51"/>
      <c r="S13659" s="51"/>
    </row>
    <row r="13660" spans="9:19" x14ac:dyDescent="0.25">
      <c r="I13660" s="1"/>
      <c r="J13660" s="71"/>
      <c r="M13660" s="46"/>
      <c r="R13660" s="51"/>
      <c r="S13660" s="51"/>
    </row>
    <row r="13661" spans="9:19" x14ac:dyDescent="0.25">
      <c r="I13661" s="1"/>
      <c r="J13661" s="71"/>
      <c r="M13661" s="46"/>
      <c r="R13661" s="51"/>
      <c r="S13661" s="51"/>
    </row>
    <row r="13662" spans="9:19" x14ac:dyDescent="0.25">
      <c r="I13662" s="1"/>
      <c r="J13662" s="71"/>
      <c r="M13662" s="46"/>
      <c r="R13662" s="51"/>
      <c r="S13662" s="51"/>
    </row>
    <row r="13663" spans="9:19" x14ac:dyDescent="0.25">
      <c r="I13663" s="1"/>
      <c r="J13663" s="71"/>
      <c r="M13663" s="46"/>
      <c r="R13663" s="51"/>
      <c r="S13663" s="51"/>
    </row>
    <row r="13664" spans="9:19" x14ac:dyDescent="0.25">
      <c r="I13664" s="1"/>
      <c r="J13664" s="71"/>
      <c r="M13664" s="46"/>
      <c r="R13664" s="51"/>
      <c r="S13664" s="51"/>
    </row>
    <row r="13665" spans="9:19" x14ac:dyDescent="0.25">
      <c r="I13665" s="1"/>
      <c r="J13665" s="71"/>
      <c r="M13665" s="46"/>
      <c r="R13665" s="51"/>
      <c r="S13665" s="51"/>
    </row>
    <row r="13666" spans="9:19" x14ac:dyDescent="0.25">
      <c r="I13666" s="1"/>
      <c r="J13666" s="71"/>
      <c r="M13666" s="46"/>
      <c r="R13666" s="51"/>
      <c r="S13666" s="51"/>
    </row>
    <row r="13667" spans="9:19" x14ac:dyDescent="0.25">
      <c r="I13667" s="1"/>
      <c r="J13667" s="71"/>
      <c r="M13667" s="46"/>
      <c r="R13667" s="51"/>
      <c r="S13667" s="51"/>
    </row>
    <row r="13668" spans="9:19" x14ac:dyDescent="0.25">
      <c r="I13668" s="1"/>
      <c r="J13668" s="71"/>
      <c r="M13668" s="46"/>
      <c r="R13668" s="51"/>
      <c r="S13668" s="51"/>
    </row>
    <row r="13669" spans="9:19" x14ac:dyDescent="0.25">
      <c r="I13669" s="1"/>
      <c r="J13669" s="71"/>
      <c r="M13669" s="46"/>
      <c r="R13669" s="51"/>
      <c r="S13669" s="51"/>
    </row>
    <row r="13670" spans="9:19" x14ac:dyDescent="0.25">
      <c r="I13670" s="1"/>
      <c r="J13670" s="71"/>
      <c r="M13670" s="46"/>
      <c r="R13670" s="51"/>
      <c r="S13670" s="51"/>
    </row>
    <row r="13671" spans="9:19" x14ac:dyDescent="0.25">
      <c r="I13671" s="1"/>
      <c r="J13671" s="71"/>
      <c r="M13671" s="46"/>
      <c r="R13671" s="51"/>
      <c r="S13671" s="51"/>
    </row>
    <row r="13672" spans="9:19" x14ac:dyDescent="0.25">
      <c r="I13672" s="1"/>
      <c r="J13672" s="71"/>
      <c r="M13672" s="46"/>
      <c r="R13672" s="51"/>
      <c r="S13672" s="51"/>
    </row>
    <row r="13673" spans="9:19" x14ac:dyDescent="0.25">
      <c r="I13673" s="1"/>
      <c r="J13673" s="71"/>
      <c r="M13673" s="46"/>
      <c r="R13673" s="51"/>
      <c r="S13673" s="51"/>
    </row>
    <row r="13674" spans="9:19" x14ac:dyDescent="0.25">
      <c r="I13674" s="1"/>
      <c r="J13674" s="71"/>
      <c r="M13674" s="46"/>
      <c r="R13674" s="51"/>
      <c r="S13674" s="51"/>
    </row>
    <row r="13675" spans="9:19" x14ac:dyDescent="0.25">
      <c r="I13675" s="1"/>
      <c r="J13675" s="71"/>
      <c r="M13675" s="46"/>
      <c r="R13675" s="51"/>
      <c r="S13675" s="51"/>
    </row>
    <row r="13676" spans="9:19" x14ac:dyDescent="0.25">
      <c r="I13676" s="1"/>
      <c r="J13676" s="71"/>
      <c r="M13676" s="46"/>
      <c r="R13676" s="51"/>
      <c r="S13676" s="51"/>
    </row>
    <row r="13677" spans="9:19" x14ac:dyDescent="0.25">
      <c r="I13677" s="1"/>
      <c r="J13677" s="71"/>
      <c r="M13677" s="46"/>
      <c r="R13677" s="51"/>
      <c r="S13677" s="51"/>
    </row>
    <row r="13678" spans="9:19" x14ac:dyDescent="0.25">
      <c r="I13678" s="1"/>
      <c r="J13678" s="71"/>
      <c r="M13678" s="46"/>
      <c r="R13678" s="51"/>
      <c r="S13678" s="51"/>
    </row>
    <row r="13679" spans="9:19" x14ac:dyDescent="0.25">
      <c r="I13679" s="1"/>
      <c r="J13679" s="71"/>
      <c r="M13679" s="46"/>
      <c r="R13679" s="51"/>
      <c r="S13679" s="51"/>
    </row>
    <row r="13680" spans="9:19" x14ac:dyDescent="0.25">
      <c r="I13680" s="1"/>
      <c r="J13680" s="71"/>
      <c r="M13680" s="46"/>
      <c r="R13680" s="51"/>
      <c r="S13680" s="51"/>
    </row>
    <row r="13681" spans="9:19" x14ac:dyDescent="0.25">
      <c r="I13681" s="1"/>
      <c r="J13681" s="71"/>
      <c r="M13681" s="46"/>
      <c r="R13681" s="51"/>
      <c r="S13681" s="51"/>
    </row>
    <row r="13682" spans="9:19" x14ac:dyDescent="0.25">
      <c r="I13682" s="1"/>
      <c r="J13682" s="71"/>
      <c r="M13682" s="46"/>
      <c r="R13682" s="51"/>
      <c r="S13682" s="51"/>
    </row>
    <row r="13683" spans="9:19" x14ac:dyDescent="0.25">
      <c r="I13683" s="1"/>
      <c r="J13683" s="71"/>
      <c r="M13683" s="46"/>
      <c r="R13683" s="51"/>
      <c r="S13683" s="51"/>
    </row>
    <row r="13684" spans="9:19" x14ac:dyDescent="0.25">
      <c r="I13684" s="1"/>
      <c r="J13684" s="71"/>
      <c r="M13684" s="46"/>
      <c r="R13684" s="51"/>
      <c r="S13684" s="51"/>
    </row>
    <row r="13685" spans="9:19" x14ac:dyDescent="0.25">
      <c r="I13685" s="1"/>
      <c r="J13685" s="71"/>
      <c r="M13685" s="46"/>
      <c r="R13685" s="51"/>
      <c r="S13685" s="51"/>
    </row>
    <row r="13686" spans="9:19" x14ac:dyDescent="0.25">
      <c r="I13686" s="1"/>
      <c r="J13686" s="71"/>
      <c r="M13686" s="46"/>
      <c r="R13686" s="51"/>
      <c r="S13686" s="51"/>
    </row>
    <row r="13687" spans="9:19" x14ac:dyDescent="0.25">
      <c r="I13687" s="1"/>
      <c r="J13687" s="71"/>
      <c r="M13687" s="46"/>
      <c r="R13687" s="51"/>
      <c r="S13687" s="51"/>
    </row>
    <row r="13688" spans="9:19" x14ac:dyDescent="0.25">
      <c r="I13688" s="1"/>
      <c r="J13688" s="71"/>
      <c r="M13688" s="46"/>
      <c r="R13688" s="51"/>
      <c r="S13688" s="51"/>
    </row>
    <row r="13689" spans="9:19" x14ac:dyDescent="0.25">
      <c r="I13689" s="1"/>
      <c r="J13689" s="71"/>
      <c r="M13689" s="46"/>
      <c r="R13689" s="51"/>
      <c r="S13689" s="51"/>
    </row>
    <row r="13690" spans="9:19" x14ac:dyDescent="0.25">
      <c r="I13690" s="1"/>
      <c r="J13690" s="71"/>
      <c r="M13690" s="46"/>
      <c r="R13690" s="51"/>
      <c r="S13690" s="51"/>
    </row>
    <row r="13691" spans="9:19" x14ac:dyDescent="0.25">
      <c r="I13691" s="1"/>
      <c r="J13691" s="71"/>
      <c r="M13691" s="46"/>
      <c r="R13691" s="51"/>
      <c r="S13691" s="51"/>
    </row>
    <row r="13692" spans="9:19" x14ac:dyDescent="0.25">
      <c r="I13692" s="1"/>
      <c r="J13692" s="71"/>
      <c r="M13692" s="46"/>
      <c r="R13692" s="51"/>
      <c r="S13692" s="51"/>
    </row>
    <row r="13693" spans="9:19" x14ac:dyDescent="0.25">
      <c r="I13693" s="1"/>
      <c r="J13693" s="71"/>
      <c r="M13693" s="46"/>
      <c r="R13693" s="51"/>
      <c r="S13693" s="51"/>
    </row>
    <row r="13694" spans="9:19" x14ac:dyDescent="0.25">
      <c r="I13694" s="1"/>
      <c r="J13694" s="71"/>
      <c r="M13694" s="46"/>
      <c r="R13694" s="51"/>
      <c r="S13694" s="51"/>
    </row>
    <row r="13695" spans="9:19" x14ac:dyDescent="0.25">
      <c r="I13695" s="1"/>
      <c r="J13695" s="71"/>
      <c r="M13695" s="46"/>
      <c r="R13695" s="51"/>
      <c r="S13695" s="51"/>
    </row>
    <row r="13696" spans="9:19" x14ac:dyDescent="0.25">
      <c r="I13696" s="1"/>
      <c r="J13696" s="71"/>
      <c r="M13696" s="46"/>
      <c r="R13696" s="51"/>
      <c r="S13696" s="51"/>
    </row>
    <row r="13697" spans="9:19" x14ac:dyDescent="0.25">
      <c r="I13697" s="1"/>
      <c r="J13697" s="71"/>
      <c r="M13697" s="46"/>
      <c r="R13697" s="51"/>
      <c r="S13697" s="51"/>
    </row>
    <row r="13698" spans="9:19" x14ac:dyDescent="0.25">
      <c r="I13698" s="1"/>
      <c r="J13698" s="71"/>
      <c r="M13698" s="46"/>
      <c r="R13698" s="51"/>
      <c r="S13698" s="51"/>
    </row>
    <row r="13699" spans="9:19" x14ac:dyDescent="0.25">
      <c r="I13699" s="1"/>
      <c r="J13699" s="71"/>
      <c r="M13699" s="46"/>
      <c r="R13699" s="51"/>
      <c r="S13699" s="51"/>
    </row>
    <row r="13700" spans="9:19" x14ac:dyDescent="0.25">
      <c r="I13700" s="1"/>
      <c r="J13700" s="71"/>
      <c r="M13700" s="46"/>
      <c r="R13700" s="51"/>
      <c r="S13700" s="51"/>
    </row>
    <row r="13701" spans="9:19" x14ac:dyDescent="0.25">
      <c r="I13701" s="1"/>
      <c r="J13701" s="71"/>
      <c r="M13701" s="46"/>
      <c r="R13701" s="51"/>
      <c r="S13701" s="51"/>
    </row>
    <row r="13702" spans="9:19" x14ac:dyDescent="0.25">
      <c r="I13702" s="1"/>
      <c r="J13702" s="71"/>
      <c r="M13702" s="46"/>
      <c r="R13702" s="51"/>
      <c r="S13702" s="51"/>
    </row>
    <row r="13703" spans="9:19" x14ac:dyDescent="0.25">
      <c r="I13703" s="1"/>
      <c r="J13703" s="71"/>
      <c r="M13703" s="46"/>
      <c r="R13703" s="51"/>
      <c r="S13703" s="51"/>
    </row>
    <row r="13704" spans="9:19" x14ac:dyDescent="0.25">
      <c r="I13704" s="1"/>
      <c r="J13704" s="71"/>
      <c r="M13704" s="46"/>
      <c r="R13704" s="51"/>
      <c r="S13704" s="51"/>
    </row>
    <row r="13705" spans="9:19" x14ac:dyDescent="0.25">
      <c r="I13705" s="1"/>
      <c r="J13705" s="71"/>
      <c r="M13705" s="46"/>
      <c r="R13705" s="51"/>
      <c r="S13705" s="51"/>
    </row>
    <row r="13706" spans="9:19" x14ac:dyDescent="0.25">
      <c r="I13706" s="1"/>
      <c r="J13706" s="71"/>
      <c r="M13706" s="46"/>
      <c r="R13706" s="51"/>
      <c r="S13706" s="51"/>
    </row>
    <row r="13707" spans="9:19" x14ac:dyDescent="0.25">
      <c r="I13707" s="1"/>
      <c r="J13707" s="71"/>
      <c r="M13707" s="46"/>
      <c r="R13707" s="51"/>
      <c r="S13707" s="51"/>
    </row>
    <row r="13708" spans="9:19" x14ac:dyDescent="0.25">
      <c r="I13708" s="1"/>
      <c r="J13708" s="71"/>
      <c r="M13708" s="46"/>
      <c r="R13708" s="51"/>
      <c r="S13708" s="51"/>
    </row>
    <row r="13709" spans="9:19" x14ac:dyDescent="0.25">
      <c r="I13709" s="1"/>
      <c r="J13709" s="71"/>
      <c r="M13709" s="46"/>
      <c r="R13709" s="51"/>
      <c r="S13709" s="51"/>
    </row>
    <row r="13710" spans="9:19" x14ac:dyDescent="0.25">
      <c r="I13710" s="1"/>
      <c r="J13710" s="71"/>
      <c r="M13710" s="46"/>
      <c r="R13710" s="51"/>
      <c r="S13710" s="51"/>
    </row>
    <row r="13711" spans="9:19" x14ac:dyDescent="0.25">
      <c r="I13711" s="1"/>
      <c r="J13711" s="71"/>
      <c r="M13711" s="46"/>
      <c r="R13711" s="51"/>
      <c r="S13711" s="51"/>
    </row>
    <row r="13712" spans="9:19" x14ac:dyDescent="0.25">
      <c r="I13712" s="1"/>
      <c r="J13712" s="71"/>
      <c r="M13712" s="46"/>
      <c r="R13712" s="51"/>
      <c r="S13712" s="51"/>
    </row>
    <row r="13713" spans="9:19" x14ac:dyDescent="0.25">
      <c r="I13713" s="1"/>
      <c r="J13713" s="71"/>
      <c r="M13713" s="46"/>
      <c r="R13713" s="51"/>
      <c r="S13713" s="51"/>
    </row>
    <row r="13714" spans="9:19" x14ac:dyDescent="0.25">
      <c r="I13714" s="1"/>
      <c r="J13714" s="71"/>
      <c r="M13714" s="46"/>
      <c r="R13714" s="51"/>
      <c r="S13714" s="51"/>
    </row>
    <row r="13715" spans="9:19" x14ac:dyDescent="0.25">
      <c r="I13715" s="1"/>
      <c r="J13715" s="71"/>
      <c r="M13715" s="46"/>
      <c r="R13715" s="51"/>
      <c r="S13715" s="51"/>
    </row>
    <row r="13716" spans="9:19" x14ac:dyDescent="0.25">
      <c r="I13716" s="1"/>
      <c r="J13716" s="71"/>
      <c r="M13716" s="46"/>
      <c r="R13716" s="51"/>
      <c r="S13716" s="51"/>
    </row>
    <row r="13717" spans="9:19" x14ac:dyDescent="0.25">
      <c r="I13717" s="1"/>
      <c r="J13717" s="71"/>
      <c r="M13717" s="46"/>
      <c r="R13717" s="51"/>
      <c r="S13717" s="51"/>
    </row>
    <row r="13718" spans="9:19" x14ac:dyDescent="0.25">
      <c r="I13718" s="1"/>
      <c r="J13718" s="71"/>
      <c r="M13718" s="46"/>
      <c r="R13718" s="51"/>
      <c r="S13718" s="51"/>
    </row>
    <row r="13719" spans="9:19" x14ac:dyDescent="0.25">
      <c r="I13719" s="1"/>
      <c r="J13719" s="71"/>
      <c r="M13719" s="46"/>
      <c r="R13719" s="51"/>
      <c r="S13719" s="51"/>
    </row>
    <row r="13720" spans="9:19" x14ac:dyDescent="0.25">
      <c r="I13720" s="1"/>
      <c r="J13720" s="71"/>
      <c r="M13720" s="46"/>
      <c r="R13720" s="51"/>
      <c r="S13720" s="51"/>
    </row>
    <row r="13721" spans="9:19" x14ac:dyDescent="0.25">
      <c r="I13721" s="1"/>
      <c r="J13721" s="71"/>
      <c r="M13721" s="46"/>
      <c r="R13721" s="51"/>
      <c r="S13721" s="51"/>
    </row>
    <row r="13722" spans="9:19" x14ac:dyDescent="0.25">
      <c r="I13722" s="1"/>
      <c r="J13722" s="71"/>
      <c r="M13722" s="46"/>
      <c r="R13722" s="51"/>
      <c r="S13722" s="51"/>
    </row>
    <row r="13723" spans="9:19" x14ac:dyDescent="0.25">
      <c r="I13723" s="1"/>
      <c r="J13723" s="71"/>
      <c r="M13723" s="46"/>
      <c r="R13723" s="51"/>
      <c r="S13723" s="51"/>
    </row>
    <row r="13724" spans="9:19" x14ac:dyDescent="0.25">
      <c r="I13724" s="1"/>
      <c r="J13724" s="71"/>
      <c r="M13724" s="46"/>
      <c r="R13724" s="51"/>
      <c r="S13724" s="51"/>
    </row>
    <row r="13725" spans="9:19" x14ac:dyDescent="0.25">
      <c r="I13725" s="1"/>
      <c r="J13725" s="71"/>
      <c r="M13725" s="46"/>
      <c r="R13725" s="51"/>
      <c r="S13725" s="51"/>
    </row>
    <row r="13726" spans="9:19" x14ac:dyDescent="0.25">
      <c r="I13726" s="1"/>
      <c r="J13726" s="71"/>
      <c r="M13726" s="46"/>
      <c r="R13726" s="51"/>
      <c r="S13726" s="51"/>
    </row>
    <row r="13727" spans="9:19" x14ac:dyDescent="0.25">
      <c r="I13727" s="1"/>
      <c r="J13727" s="71"/>
      <c r="M13727" s="46"/>
      <c r="R13727" s="51"/>
      <c r="S13727" s="51"/>
    </row>
    <row r="13728" spans="9:19" x14ac:dyDescent="0.25">
      <c r="I13728" s="1"/>
      <c r="J13728" s="71"/>
      <c r="M13728" s="46"/>
      <c r="R13728" s="51"/>
      <c r="S13728" s="51"/>
    </row>
    <row r="13729" spans="9:19" x14ac:dyDescent="0.25">
      <c r="I13729" s="1"/>
      <c r="J13729" s="71"/>
      <c r="M13729" s="46"/>
      <c r="R13729" s="51"/>
      <c r="S13729" s="51"/>
    </row>
    <row r="13730" spans="9:19" x14ac:dyDescent="0.25">
      <c r="I13730" s="1"/>
      <c r="J13730" s="71"/>
      <c r="M13730" s="46"/>
      <c r="R13730" s="51"/>
      <c r="S13730" s="51"/>
    </row>
    <row r="13731" spans="9:19" x14ac:dyDescent="0.25">
      <c r="I13731" s="1"/>
      <c r="J13731" s="71"/>
      <c r="M13731" s="46"/>
      <c r="R13731" s="51"/>
      <c r="S13731" s="51"/>
    </row>
    <row r="13732" spans="9:19" x14ac:dyDescent="0.25">
      <c r="I13732" s="1"/>
      <c r="J13732" s="71"/>
      <c r="M13732" s="46"/>
      <c r="R13732" s="51"/>
      <c r="S13732" s="51"/>
    </row>
    <row r="13733" spans="9:19" x14ac:dyDescent="0.25">
      <c r="I13733" s="1"/>
      <c r="J13733" s="71"/>
      <c r="M13733" s="46"/>
      <c r="R13733" s="51"/>
      <c r="S13733" s="51"/>
    </row>
    <row r="13734" spans="9:19" x14ac:dyDescent="0.25">
      <c r="I13734" s="1"/>
      <c r="J13734" s="71"/>
      <c r="M13734" s="46"/>
      <c r="R13734" s="51"/>
      <c r="S13734" s="51"/>
    </row>
    <row r="13735" spans="9:19" x14ac:dyDescent="0.25">
      <c r="I13735" s="1"/>
      <c r="J13735" s="71"/>
      <c r="M13735" s="46"/>
      <c r="R13735" s="51"/>
      <c r="S13735" s="51"/>
    </row>
    <row r="13736" spans="9:19" x14ac:dyDescent="0.25">
      <c r="I13736" s="1"/>
      <c r="J13736" s="71"/>
      <c r="M13736" s="46"/>
      <c r="R13736" s="51"/>
      <c r="S13736" s="51"/>
    </row>
    <row r="13737" spans="9:19" x14ac:dyDescent="0.25">
      <c r="I13737" s="1"/>
      <c r="J13737" s="71"/>
      <c r="M13737" s="46"/>
      <c r="R13737" s="51"/>
      <c r="S13737" s="51"/>
    </row>
    <row r="13738" spans="9:19" x14ac:dyDescent="0.25">
      <c r="I13738" s="1"/>
      <c r="J13738" s="71"/>
      <c r="M13738" s="46"/>
      <c r="R13738" s="51"/>
      <c r="S13738" s="51"/>
    </row>
    <row r="13739" spans="9:19" x14ac:dyDescent="0.25">
      <c r="I13739" s="1"/>
      <c r="J13739" s="71"/>
      <c r="M13739" s="46"/>
      <c r="R13739" s="51"/>
      <c r="S13739" s="51"/>
    </row>
    <row r="13740" spans="9:19" x14ac:dyDescent="0.25">
      <c r="I13740" s="1"/>
      <c r="J13740" s="71"/>
      <c r="M13740" s="46"/>
      <c r="R13740" s="51"/>
      <c r="S13740" s="51"/>
    </row>
    <row r="13741" spans="9:19" x14ac:dyDescent="0.25">
      <c r="I13741" s="1"/>
      <c r="J13741" s="71"/>
      <c r="M13741" s="46"/>
      <c r="R13741" s="51"/>
      <c r="S13741" s="51"/>
    </row>
    <row r="13742" spans="9:19" x14ac:dyDescent="0.25">
      <c r="I13742" s="1"/>
      <c r="J13742" s="71"/>
      <c r="M13742" s="46"/>
      <c r="R13742" s="51"/>
      <c r="S13742" s="51"/>
    </row>
    <row r="13743" spans="9:19" x14ac:dyDescent="0.25">
      <c r="I13743" s="1"/>
      <c r="J13743" s="71"/>
      <c r="M13743" s="46"/>
      <c r="R13743" s="51"/>
      <c r="S13743" s="51"/>
    </row>
    <row r="13744" spans="9:19" x14ac:dyDescent="0.25">
      <c r="I13744" s="1"/>
      <c r="J13744" s="71"/>
      <c r="M13744" s="46"/>
      <c r="R13744" s="51"/>
      <c r="S13744" s="51"/>
    </row>
    <row r="13745" spans="9:19" x14ac:dyDescent="0.25">
      <c r="I13745" s="1"/>
      <c r="J13745" s="71"/>
      <c r="M13745" s="46"/>
      <c r="R13745" s="51"/>
      <c r="S13745" s="51"/>
    </row>
    <row r="13746" spans="9:19" x14ac:dyDescent="0.25">
      <c r="I13746" s="1"/>
      <c r="J13746" s="71"/>
      <c r="M13746" s="46"/>
      <c r="R13746" s="51"/>
      <c r="S13746" s="51"/>
    </row>
    <row r="13747" spans="9:19" x14ac:dyDescent="0.25">
      <c r="I13747" s="1"/>
      <c r="J13747" s="71"/>
      <c r="M13747" s="46"/>
      <c r="R13747" s="51"/>
      <c r="S13747" s="51"/>
    </row>
    <row r="13748" spans="9:19" x14ac:dyDescent="0.25">
      <c r="I13748" s="1"/>
      <c r="J13748" s="71"/>
      <c r="M13748" s="46"/>
      <c r="R13748" s="51"/>
      <c r="S13748" s="51"/>
    </row>
    <row r="13749" spans="9:19" x14ac:dyDescent="0.25">
      <c r="I13749" s="1"/>
      <c r="J13749" s="71"/>
      <c r="M13749" s="46"/>
      <c r="R13749" s="51"/>
      <c r="S13749" s="51"/>
    </row>
    <row r="13750" spans="9:19" x14ac:dyDescent="0.25">
      <c r="I13750" s="1"/>
      <c r="J13750" s="71"/>
      <c r="M13750" s="46"/>
      <c r="R13750" s="51"/>
      <c r="S13750" s="51"/>
    </row>
    <row r="13751" spans="9:19" x14ac:dyDescent="0.25">
      <c r="I13751" s="1"/>
      <c r="J13751" s="71"/>
      <c r="M13751" s="46"/>
      <c r="R13751" s="51"/>
      <c r="S13751" s="51"/>
    </row>
    <row r="13752" spans="9:19" x14ac:dyDescent="0.25">
      <c r="I13752" s="1"/>
      <c r="J13752" s="71"/>
      <c r="M13752" s="46"/>
      <c r="R13752" s="51"/>
      <c r="S13752" s="51"/>
    </row>
    <row r="13753" spans="9:19" x14ac:dyDescent="0.25">
      <c r="I13753" s="1"/>
      <c r="J13753" s="71"/>
      <c r="M13753" s="46"/>
      <c r="R13753" s="51"/>
      <c r="S13753" s="51"/>
    </row>
    <row r="13754" spans="9:19" x14ac:dyDescent="0.25">
      <c r="I13754" s="1"/>
      <c r="J13754" s="71"/>
      <c r="M13754" s="46"/>
      <c r="R13754" s="51"/>
      <c r="S13754" s="51"/>
    </row>
    <row r="13755" spans="9:19" x14ac:dyDescent="0.25">
      <c r="I13755" s="1"/>
      <c r="J13755" s="71"/>
      <c r="M13755" s="46"/>
      <c r="R13755" s="51"/>
      <c r="S13755" s="51"/>
    </row>
    <row r="13756" spans="9:19" x14ac:dyDescent="0.25">
      <c r="I13756" s="1"/>
      <c r="J13756" s="71"/>
      <c r="M13756" s="46"/>
      <c r="R13756" s="51"/>
      <c r="S13756" s="51"/>
    </row>
    <row r="13757" spans="9:19" x14ac:dyDescent="0.25">
      <c r="I13757" s="1"/>
      <c r="J13757" s="71"/>
      <c r="M13757" s="46"/>
      <c r="R13757" s="51"/>
      <c r="S13757" s="51"/>
    </row>
    <row r="13758" spans="9:19" x14ac:dyDescent="0.25">
      <c r="I13758" s="1"/>
      <c r="J13758" s="71"/>
      <c r="M13758" s="46"/>
      <c r="R13758" s="51"/>
      <c r="S13758" s="51"/>
    </row>
    <row r="13759" spans="9:19" x14ac:dyDescent="0.25">
      <c r="I13759" s="1"/>
      <c r="J13759" s="71"/>
      <c r="M13759" s="46"/>
      <c r="R13759" s="51"/>
      <c r="S13759" s="51"/>
    </row>
    <row r="13760" spans="9:19" x14ac:dyDescent="0.25">
      <c r="I13760" s="1"/>
      <c r="J13760" s="71"/>
      <c r="M13760" s="46"/>
      <c r="R13760" s="51"/>
      <c r="S13760" s="51"/>
    </row>
    <row r="13761" spans="9:19" x14ac:dyDescent="0.25">
      <c r="I13761" s="1"/>
      <c r="J13761" s="71"/>
      <c r="M13761" s="46"/>
      <c r="R13761" s="51"/>
      <c r="S13761" s="51"/>
    </row>
    <row r="13762" spans="9:19" x14ac:dyDescent="0.25">
      <c r="I13762" s="1"/>
      <c r="J13762" s="71"/>
      <c r="M13762" s="46"/>
      <c r="R13762" s="51"/>
      <c r="S13762" s="51"/>
    </row>
    <row r="13763" spans="9:19" x14ac:dyDescent="0.25">
      <c r="I13763" s="1"/>
      <c r="J13763" s="71"/>
      <c r="M13763" s="46"/>
      <c r="R13763" s="51"/>
      <c r="S13763" s="51"/>
    </row>
    <row r="13764" spans="9:19" x14ac:dyDescent="0.25">
      <c r="I13764" s="1"/>
      <c r="J13764" s="71"/>
      <c r="M13764" s="46"/>
      <c r="R13764" s="51"/>
      <c r="S13764" s="51"/>
    </row>
    <row r="13765" spans="9:19" x14ac:dyDescent="0.25">
      <c r="I13765" s="1"/>
      <c r="J13765" s="71"/>
      <c r="M13765" s="46"/>
      <c r="R13765" s="51"/>
      <c r="S13765" s="51"/>
    </row>
    <row r="13766" spans="9:19" x14ac:dyDescent="0.25">
      <c r="I13766" s="1"/>
      <c r="J13766" s="71"/>
      <c r="M13766" s="46"/>
      <c r="R13766" s="51"/>
      <c r="S13766" s="51"/>
    </row>
    <row r="13767" spans="9:19" x14ac:dyDescent="0.25">
      <c r="I13767" s="1"/>
      <c r="J13767" s="71"/>
      <c r="M13767" s="46"/>
      <c r="R13767" s="51"/>
      <c r="S13767" s="51"/>
    </row>
    <row r="13768" spans="9:19" x14ac:dyDescent="0.25">
      <c r="I13768" s="1"/>
      <c r="J13768" s="71"/>
      <c r="M13768" s="46"/>
      <c r="R13768" s="51"/>
      <c r="S13768" s="51"/>
    </row>
    <row r="13769" spans="9:19" x14ac:dyDescent="0.25">
      <c r="I13769" s="1"/>
      <c r="J13769" s="71"/>
      <c r="M13769" s="46"/>
      <c r="R13769" s="51"/>
      <c r="S13769" s="51"/>
    </row>
    <row r="13770" spans="9:19" x14ac:dyDescent="0.25">
      <c r="I13770" s="1"/>
      <c r="J13770" s="71"/>
      <c r="M13770" s="46"/>
      <c r="R13770" s="51"/>
      <c r="S13770" s="51"/>
    </row>
    <row r="13771" spans="9:19" x14ac:dyDescent="0.25">
      <c r="I13771" s="1"/>
      <c r="J13771" s="71"/>
      <c r="M13771" s="46"/>
      <c r="R13771" s="51"/>
      <c r="S13771" s="51"/>
    </row>
    <row r="13772" spans="9:19" x14ac:dyDescent="0.25">
      <c r="I13772" s="1"/>
      <c r="J13772" s="71"/>
      <c r="M13772" s="46"/>
      <c r="R13772" s="51"/>
      <c r="S13772" s="51"/>
    </row>
    <row r="13773" spans="9:19" x14ac:dyDescent="0.25">
      <c r="I13773" s="1"/>
      <c r="J13773" s="71"/>
      <c r="M13773" s="46"/>
      <c r="R13773" s="51"/>
      <c r="S13773" s="51"/>
    </row>
    <row r="13774" spans="9:19" x14ac:dyDescent="0.25">
      <c r="I13774" s="1"/>
      <c r="J13774" s="71"/>
      <c r="M13774" s="46"/>
      <c r="R13774" s="51"/>
      <c r="S13774" s="51"/>
    </row>
    <row r="13775" spans="9:19" x14ac:dyDescent="0.25">
      <c r="I13775" s="1"/>
      <c r="J13775" s="71"/>
      <c r="M13775" s="46"/>
      <c r="R13775" s="51"/>
      <c r="S13775" s="51"/>
    </row>
    <row r="13776" spans="9:19" x14ac:dyDescent="0.25">
      <c r="I13776" s="1"/>
      <c r="J13776" s="71"/>
      <c r="M13776" s="46"/>
      <c r="R13776" s="51"/>
      <c r="S13776" s="51"/>
    </row>
    <row r="13777" spans="9:19" x14ac:dyDescent="0.25">
      <c r="I13777" s="1"/>
      <c r="J13777" s="71"/>
      <c r="M13777" s="46"/>
      <c r="R13777" s="51"/>
      <c r="S13777" s="51"/>
    </row>
    <row r="13778" spans="9:19" x14ac:dyDescent="0.25">
      <c r="I13778" s="1"/>
      <c r="J13778" s="71"/>
      <c r="M13778" s="46"/>
      <c r="R13778" s="51"/>
      <c r="S13778" s="51"/>
    </row>
    <row r="13779" spans="9:19" x14ac:dyDescent="0.25">
      <c r="I13779" s="1"/>
      <c r="J13779" s="71"/>
      <c r="M13779" s="46"/>
      <c r="R13779" s="51"/>
      <c r="S13779" s="51"/>
    </row>
    <row r="13780" spans="9:19" x14ac:dyDescent="0.25">
      <c r="I13780" s="1"/>
      <c r="J13780" s="71"/>
      <c r="M13780" s="46"/>
      <c r="R13780" s="51"/>
      <c r="S13780" s="51"/>
    </row>
    <row r="13781" spans="9:19" x14ac:dyDescent="0.25">
      <c r="I13781" s="1"/>
      <c r="J13781" s="71"/>
      <c r="M13781" s="46"/>
      <c r="R13781" s="51"/>
      <c r="S13781" s="51"/>
    </row>
    <row r="13782" spans="9:19" x14ac:dyDescent="0.25">
      <c r="I13782" s="1"/>
      <c r="J13782" s="71"/>
      <c r="M13782" s="46"/>
      <c r="R13782" s="51"/>
      <c r="S13782" s="51"/>
    </row>
    <row r="13783" spans="9:19" x14ac:dyDescent="0.25">
      <c r="I13783" s="1"/>
      <c r="J13783" s="71"/>
      <c r="M13783" s="46"/>
      <c r="R13783" s="51"/>
      <c r="S13783" s="51"/>
    </row>
    <row r="13784" spans="9:19" x14ac:dyDescent="0.25">
      <c r="I13784" s="1"/>
      <c r="J13784" s="71"/>
      <c r="M13784" s="46"/>
      <c r="R13784" s="51"/>
      <c r="S13784" s="51"/>
    </row>
    <row r="13785" spans="9:19" x14ac:dyDescent="0.25">
      <c r="I13785" s="1"/>
      <c r="J13785" s="71"/>
      <c r="M13785" s="46"/>
      <c r="R13785" s="51"/>
      <c r="S13785" s="51"/>
    </row>
    <row r="13786" spans="9:19" x14ac:dyDescent="0.25">
      <c r="I13786" s="1"/>
      <c r="J13786" s="71"/>
      <c r="M13786" s="46"/>
      <c r="R13786" s="51"/>
      <c r="S13786" s="51"/>
    </row>
    <row r="13787" spans="9:19" x14ac:dyDescent="0.25">
      <c r="I13787" s="1"/>
      <c r="J13787" s="71"/>
      <c r="M13787" s="46"/>
      <c r="R13787" s="51"/>
      <c r="S13787" s="51"/>
    </row>
    <row r="13788" spans="9:19" x14ac:dyDescent="0.25">
      <c r="I13788" s="1"/>
      <c r="J13788" s="71"/>
      <c r="M13788" s="46"/>
      <c r="R13788" s="51"/>
      <c r="S13788" s="51"/>
    </row>
    <row r="13789" spans="9:19" x14ac:dyDescent="0.25">
      <c r="I13789" s="1"/>
      <c r="J13789" s="71"/>
      <c r="M13789" s="46"/>
      <c r="R13789" s="51"/>
      <c r="S13789" s="51"/>
    </row>
    <row r="13790" spans="9:19" x14ac:dyDescent="0.25">
      <c r="I13790" s="1"/>
      <c r="J13790" s="71"/>
      <c r="M13790" s="46"/>
      <c r="R13790" s="51"/>
      <c r="S13790" s="51"/>
    </row>
    <row r="13791" spans="9:19" x14ac:dyDescent="0.25">
      <c r="I13791" s="1"/>
      <c r="J13791" s="71"/>
      <c r="M13791" s="46"/>
      <c r="R13791" s="51"/>
      <c r="S13791" s="51"/>
    </row>
    <row r="13792" spans="9:19" x14ac:dyDescent="0.25">
      <c r="I13792" s="1"/>
      <c r="J13792" s="71"/>
      <c r="M13792" s="46"/>
      <c r="R13792" s="51"/>
      <c r="S13792" s="51"/>
    </row>
    <row r="13793" spans="9:19" x14ac:dyDescent="0.25">
      <c r="I13793" s="1"/>
      <c r="J13793" s="71"/>
      <c r="M13793" s="46"/>
      <c r="R13793" s="51"/>
      <c r="S13793" s="51"/>
    </row>
    <row r="13794" spans="9:19" x14ac:dyDescent="0.25">
      <c r="I13794" s="1"/>
      <c r="J13794" s="71"/>
      <c r="M13794" s="46"/>
      <c r="R13794" s="51"/>
      <c r="S13794" s="51"/>
    </row>
    <row r="13795" spans="9:19" x14ac:dyDescent="0.25">
      <c r="I13795" s="1"/>
      <c r="J13795" s="71"/>
      <c r="M13795" s="46"/>
      <c r="R13795" s="51"/>
      <c r="S13795" s="51"/>
    </row>
    <row r="13796" spans="9:19" x14ac:dyDescent="0.25">
      <c r="I13796" s="1"/>
      <c r="J13796" s="71"/>
      <c r="M13796" s="46"/>
      <c r="R13796" s="51"/>
      <c r="S13796" s="51"/>
    </row>
    <row r="13797" spans="9:19" x14ac:dyDescent="0.25">
      <c r="I13797" s="1"/>
      <c r="J13797" s="71"/>
      <c r="M13797" s="46"/>
      <c r="R13797" s="51"/>
      <c r="S13797" s="51"/>
    </row>
    <row r="13798" spans="9:19" x14ac:dyDescent="0.25">
      <c r="I13798" s="1"/>
      <c r="J13798" s="71"/>
      <c r="M13798" s="46"/>
      <c r="R13798" s="51"/>
      <c r="S13798" s="51"/>
    </row>
    <row r="13799" spans="9:19" x14ac:dyDescent="0.25">
      <c r="I13799" s="1"/>
      <c r="J13799" s="71"/>
      <c r="M13799" s="46"/>
      <c r="R13799" s="51"/>
      <c r="S13799" s="51"/>
    </row>
    <row r="13800" spans="9:19" x14ac:dyDescent="0.25">
      <c r="I13800" s="1"/>
      <c r="J13800" s="71"/>
      <c r="M13800" s="46"/>
      <c r="R13800" s="51"/>
      <c r="S13800" s="51"/>
    </row>
    <row r="13801" spans="9:19" x14ac:dyDescent="0.25">
      <c r="I13801" s="1"/>
      <c r="J13801" s="71"/>
      <c r="M13801" s="46"/>
      <c r="R13801" s="51"/>
      <c r="S13801" s="51"/>
    </row>
    <row r="13802" spans="9:19" x14ac:dyDescent="0.25">
      <c r="I13802" s="1"/>
      <c r="J13802" s="71"/>
      <c r="M13802" s="46"/>
      <c r="R13802" s="51"/>
      <c r="S13802" s="51"/>
    </row>
    <row r="13803" spans="9:19" x14ac:dyDescent="0.25">
      <c r="I13803" s="1"/>
      <c r="J13803" s="71"/>
      <c r="M13803" s="46"/>
      <c r="R13803" s="51"/>
      <c r="S13803" s="51"/>
    </row>
    <row r="13804" spans="9:19" x14ac:dyDescent="0.25">
      <c r="I13804" s="1"/>
      <c r="J13804" s="71"/>
      <c r="M13804" s="46"/>
      <c r="R13804" s="51"/>
      <c r="S13804" s="51"/>
    </row>
    <row r="13805" spans="9:19" x14ac:dyDescent="0.25">
      <c r="I13805" s="1"/>
      <c r="J13805" s="71"/>
      <c r="M13805" s="46"/>
      <c r="R13805" s="51"/>
      <c r="S13805" s="51"/>
    </row>
    <row r="13806" spans="9:19" x14ac:dyDescent="0.25">
      <c r="I13806" s="1"/>
      <c r="J13806" s="71"/>
      <c r="M13806" s="46"/>
      <c r="R13806" s="51"/>
      <c r="S13806" s="51"/>
    </row>
    <row r="13807" spans="9:19" x14ac:dyDescent="0.25">
      <c r="I13807" s="1"/>
      <c r="J13807" s="71"/>
      <c r="M13807" s="46"/>
      <c r="R13807" s="51"/>
      <c r="S13807" s="51"/>
    </row>
    <row r="13808" spans="9:19" x14ac:dyDescent="0.25">
      <c r="I13808" s="1"/>
      <c r="J13808" s="71"/>
      <c r="M13808" s="46"/>
      <c r="R13808" s="51"/>
      <c r="S13808" s="51"/>
    </row>
    <row r="13809" spans="9:19" x14ac:dyDescent="0.25">
      <c r="I13809" s="1"/>
      <c r="J13809" s="71"/>
      <c r="M13809" s="46"/>
      <c r="R13809" s="51"/>
      <c r="S13809" s="51"/>
    </row>
    <row r="13810" spans="9:19" x14ac:dyDescent="0.25">
      <c r="I13810" s="1"/>
      <c r="J13810" s="71"/>
      <c r="M13810" s="46"/>
      <c r="R13810" s="51"/>
      <c r="S13810" s="51"/>
    </row>
    <row r="13811" spans="9:19" x14ac:dyDescent="0.25">
      <c r="I13811" s="1"/>
      <c r="J13811" s="71"/>
      <c r="M13811" s="46"/>
      <c r="R13811" s="51"/>
      <c r="S13811" s="51"/>
    </row>
    <row r="13812" spans="9:19" x14ac:dyDescent="0.25">
      <c r="I13812" s="1"/>
      <c r="J13812" s="71"/>
      <c r="M13812" s="46"/>
      <c r="R13812" s="51"/>
      <c r="S13812" s="51"/>
    </row>
    <row r="13813" spans="9:19" x14ac:dyDescent="0.25">
      <c r="I13813" s="1"/>
      <c r="J13813" s="71"/>
      <c r="M13813" s="46"/>
      <c r="R13813" s="51"/>
      <c r="S13813" s="51"/>
    </row>
    <row r="13814" spans="9:19" x14ac:dyDescent="0.25">
      <c r="I13814" s="1"/>
      <c r="J13814" s="71"/>
      <c r="M13814" s="46"/>
      <c r="R13814" s="51"/>
      <c r="S13814" s="51"/>
    </row>
    <row r="13815" spans="9:19" x14ac:dyDescent="0.25">
      <c r="I13815" s="1"/>
      <c r="J13815" s="71"/>
      <c r="M13815" s="46"/>
      <c r="R13815" s="51"/>
      <c r="S13815" s="51"/>
    </row>
    <row r="13816" spans="9:19" x14ac:dyDescent="0.25">
      <c r="I13816" s="1"/>
      <c r="J13816" s="71"/>
      <c r="M13816" s="46"/>
      <c r="R13816" s="51"/>
      <c r="S13816" s="51"/>
    </row>
    <row r="13817" spans="9:19" x14ac:dyDescent="0.25">
      <c r="I13817" s="1"/>
      <c r="J13817" s="71"/>
      <c r="M13817" s="46"/>
      <c r="R13817" s="51"/>
      <c r="S13817" s="51"/>
    </row>
    <row r="13818" spans="9:19" x14ac:dyDescent="0.25">
      <c r="I13818" s="1"/>
      <c r="J13818" s="71"/>
      <c r="M13818" s="46"/>
      <c r="R13818" s="51"/>
      <c r="S13818" s="51"/>
    </row>
    <row r="13819" spans="9:19" x14ac:dyDescent="0.25">
      <c r="I13819" s="1"/>
      <c r="J13819" s="71"/>
      <c r="M13819" s="46"/>
      <c r="R13819" s="51"/>
      <c r="S13819" s="51"/>
    </row>
    <row r="13820" spans="9:19" x14ac:dyDescent="0.25">
      <c r="I13820" s="1"/>
      <c r="J13820" s="71"/>
      <c r="M13820" s="46"/>
      <c r="R13820" s="51"/>
      <c r="S13820" s="51"/>
    </row>
    <row r="13821" spans="9:19" x14ac:dyDescent="0.25">
      <c r="I13821" s="1"/>
      <c r="J13821" s="71"/>
      <c r="M13821" s="46"/>
      <c r="R13821" s="51"/>
      <c r="S13821" s="51"/>
    </row>
    <row r="13822" spans="9:19" x14ac:dyDescent="0.25">
      <c r="I13822" s="1"/>
      <c r="J13822" s="71"/>
      <c r="M13822" s="46"/>
      <c r="R13822" s="51"/>
      <c r="S13822" s="51"/>
    </row>
    <row r="13823" spans="9:19" x14ac:dyDescent="0.25">
      <c r="I13823" s="1"/>
      <c r="J13823" s="71"/>
      <c r="M13823" s="46"/>
      <c r="R13823" s="51"/>
      <c r="S13823" s="51"/>
    </row>
    <row r="13824" spans="9:19" x14ac:dyDescent="0.25">
      <c r="I13824" s="1"/>
      <c r="J13824" s="71"/>
      <c r="M13824" s="46"/>
      <c r="R13824" s="51"/>
      <c r="S13824" s="51"/>
    </row>
    <row r="13825" spans="9:19" x14ac:dyDescent="0.25">
      <c r="I13825" s="1"/>
      <c r="J13825" s="71"/>
      <c r="M13825" s="46"/>
      <c r="R13825" s="51"/>
      <c r="S13825" s="51"/>
    </row>
    <row r="13826" spans="9:19" x14ac:dyDescent="0.25">
      <c r="I13826" s="1"/>
      <c r="J13826" s="71"/>
      <c r="M13826" s="46"/>
      <c r="R13826" s="51"/>
      <c r="S13826" s="51"/>
    </row>
    <row r="13827" spans="9:19" x14ac:dyDescent="0.25">
      <c r="I13827" s="1"/>
      <c r="J13827" s="71"/>
      <c r="M13827" s="46"/>
      <c r="R13827" s="51"/>
      <c r="S13827" s="51"/>
    </row>
    <row r="13828" spans="9:19" x14ac:dyDescent="0.25">
      <c r="I13828" s="1"/>
      <c r="J13828" s="71"/>
      <c r="M13828" s="46"/>
      <c r="R13828" s="51"/>
      <c r="S13828" s="51"/>
    </row>
    <row r="13829" spans="9:19" x14ac:dyDescent="0.25">
      <c r="I13829" s="1"/>
      <c r="J13829" s="71"/>
      <c r="M13829" s="46"/>
      <c r="R13829" s="51"/>
      <c r="S13829" s="51"/>
    </row>
    <row r="13830" spans="9:19" x14ac:dyDescent="0.25">
      <c r="I13830" s="1"/>
      <c r="J13830" s="71"/>
      <c r="M13830" s="46"/>
      <c r="R13830" s="51"/>
      <c r="S13830" s="51"/>
    </row>
    <row r="13831" spans="9:19" x14ac:dyDescent="0.25">
      <c r="I13831" s="1"/>
      <c r="J13831" s="71"/>
      <c r="M13831" s="46"/>
      <c r="R13831" s="51"/>
      <c r="S13831" s="51"/>
    </row>
    <row r="13832" spans="9:19" x14ac:dyDescent="0.25">
      <c r="I13832" s="1"/>
      <c r="J13832" s="71"/>
      <c r="M13832" s="46"/>
      <c r="R13832" s="51"/>
      <c r="S13832" s="51"/>
    </row>
    <row r="13833" spans="9:19" x14ac:dyDescent="0.25">
      <c r="I13833" s="1"/>
      <c r="J13833" s="71"/>
      <c r="M13833" s="46"/>
      <c r="R13833" s="51"/>
      <c r="S13833" s="51"/>
    </row>
    <row r="13834" spans="9:19" x14ac:dyDescent="0.25">
      <c r="I13834" s="1"/>
      <c r="J13834" s="71"/>
      <c r="M13834" s="46"/>
      <c r="R13834" s="51"/>
      <c r="S13834" s="51"/>
    </row>
    <row r="13835" spans="9:19" x14ac:dyDescent="0.25">
      <c r="I13835" s="1"/>
      <c r="J13835" s="71"/>
      <c r="M13835" s="46"/>
      <c r="R13835" s="51"/>
      <c r="S13835" s="51"/>
    </row>
    <row r="13836" spans="9:19" x14ac:dyDescent="0.25">
      <c r="I13836" s="1"/>
      <c r="J13836" s="71"/>
      <c r="M13836" s="46"/>
      <c r="R13836" s="51"/>
      <c r="S13836" s="51"/>
    </row>
    <row r="13837" spans="9:19" x14ac:dyDescent="0.25">
      <c r="I13837" s="1"/>
      <c r="J13837" s="71"/>
      <c r="M13837" s="46"/>
      <c r="R13837" s="51"/>
      <c r="S13837" s="51"/>
    </row>
    <row r="13838" spans="9:19" x14ac:dyDescent="0.25">
      <c r="I13838" s="1"/>
      <c r="J13838" s="71"/>
      <c r="M13838" s="46"/>
      <c r="R13838" s="51"/>
      <c r="S13838" s="51"/>
    </row>
    <row r="13839" spans="9:19" x14ac:dyDescent="0.25">
      <c r="I13839" s="1"/>
      <c r="J13839" s="71"/>
      <c r="M13839" s="46"/>
      <c r="R13839" s="51"/>
      <c r="S13839" s="51"/>
    </row>
    <row r="13840" spans="9:19" x14ac:dyDescent="0.25">
      <c r="I13840" s="1"/>
      <c r="J13840" s="71"/>
      <c r="M13840" s="46"/>
      <c r="R13840" s="51"/>
      <c r="S13840" s="51"/>
    </row>
    <row r="13841" spans="9:19" x14ac:dyDescent="0.25">
      <c r="I13841" s="1"/>
      <c r="J13841" s="71"/>
      <c r="M13841" s="46"/>
      <c r="R13841" s="51"/>
      <c r="S13841" s="51"/>
    </row>
    <row r="13842" spans="9:19" x14ac:dyDescent="0.25">
      <c r="I13842" s="1"/>
      <c r="J13842" s="71"/>
      <c r="M13842" s="46"/>
      <c r="R13842" s="51"/>
      <c r="S13842" s="51"/>
    </row>
    <row r="13843" spans="9:19" x14ac:dyDescent="0.25">
      <c r="I13843" s="1"/>
      <c r="J13843" s="71"/>
      <c r="M13843" s="46"/>
      <c r="R13843" s="51"/>
      <c r="S13843" s="51"/>
    </row>
    <row r="13844" spans="9:19" x14ac:dyDescent="0.25">
      <c r="I13844" s="1"/>
      <c r="J13844" s="71"/>
      <c r="M13844" s="46"/>
      <c r="R13844" s="51"/>
      <c r="S13844" s="51"/>
    </row>
    <row r="13845" spans="9:19" x14ac:dyDescent="0.25">
      <c r="I13845" s="1"/>
      <c r="J13845" s="71"/>
      <c r="M13845" s="46"/>
      <c r="R13845" s="51"/>
      <c r="S13845" s="51"/>
    </row>
    <row r="13846" spans="9:19" x14ac:dyDescent="0.25">
      <c r="I13846" s="1"/>
      <c r="J13846" s="71"/>
      <c r="M13846" s="46"/>
      <c r="R13846" s="51"/>
      <c r="S13846" s="51"/>
    </row>
    <row r="13847" spans="9:19" x14ac:dyDescent="0.25">
      <c r="I13847" s="1"/>
      <c r="J13847" s="71"/>
      <c r="M13847" s="46"/>
      <c r="R13847" s="51"/>
      <c r="S13847" s="51"/>
    </row>
    <row r="13848" spans="9:19" x14ac:dyDescent="0.25">
      <c r="I13848" s="1"/>
      <c r="J13848" s="71"/>
      <c r="M13848" s="46"/>
      <c r="R13848" s="51"/>
      <c r="S13848" s="51"/>
    </row>
    <row r="13849" spans="9:19" x14ac:dyDescent="0.25">
      <c r="I13849" s="1"/>
      <c r="J13849" s="71"/>
      <c r="M13849" s="46"/>
      <c r="R13849" s="51"/>
      <c r="S13849" s="51"/>
    </row>
    <row r="13850" spans="9:19" x14ac:dyDescent="0.25">
      <c r="I13850" s="1"/>
      <c r="J13850" s="71"/>
      <c r="M13850" s="46"/>
      <c r="R13850" s="51"/>
      <c r="S13850" s="51"/>
    </row>
    <row r="13851" spans="9:19" x14ac:dyDescent="0.25">
      <c r="I13851" s="1"/>
      <c r="J13851" s="71"/>
      <c r="M13851" s="46"/>
      <c r="R13851" s="51"/>
      <c r="S13851" s="51"/>
    </row>
    <row r="13852" spans="9:19" x14ac:dyDescent="0.25">
      <c r="I13852" s="1"/>
      <c r="J13852" s="71"/>
      <c r="M13852" s="46"/>
      <c r="R13852" s="51"/>
      <c r="S13852" s="51"/>
    </row>
    <row r="13853" spans="9:19" x14ac:dyDescent="0.25">
      <c r="I13853" s="1"/>
      <c r="J13853" s="71"/>
      <c r="M13853" s="46"/>
      <c r="R13853" s="51"/>
      <c r="S13853" s="51"/>
    </row>
    <row r="13854" spans="9:19" x14ac:dyDescent="0.25">
      <c r="I13854" s="1"/>
      <c r="J13854" s="71"/>
      <c r="M13854" s="46"/>
      <c r="R13854" s="51"/>
      <c r="S13854" s="51"/>
    </row>
    <row r="13855" spans="9:19" x14ac:dyDescent="0.25">
      <c r="I13855" s="1"/>
      <c r="J13855" s="71"/>
      <c r="M13855" s="46"/>
      <c r="R13855" s="51"/>
      <c r="S13855" s="51"/>
    </row>
    <row r="13856" spans="9:19" x14ac:dyDescent="0.25">
      <c r="I13856" s="1"/>
      <c r="J13856" s="71"/>
      <c r="M13856" s="46"/>
      <c r="R13856" s="51"/>
      <c r="S13856" s="51"/>
    </row>
    <row r="13857" spans="9:19" x14ac:dyDescent="0.25">
      <c r="I13857" s="1"/>
      <c r="J13857" s="71"/>
      <c r="M13857" s="46"/>
      <c r="R13857" s="51"/>
      <c r="S13857" s="51"/>
    </row>
    <row r="13858" spans="9:19" x14ac:dyDescent="0.25">
      <c r="I13858" s="1"/>
      <c r="J13858" s="71"/>
      <c r="M13858" s="46"/>
      <c r="R13858" s="51"/>
      <c r="S13858" s="51"/>
    </row>
    <row r="13859" spans="9:19" x14ac:dyDescent="0.25">
      <c r="I13859" s="1"/>
      <c r="J13859" s="71"/>
      <c r="M13859" s="46"/>
      <c r="R13859" s="51"/>
      <c r="S13859" s="51"/>
    </row>
    <row r="13860" spans="9:19" x14ac:dyDescent="0.25">
      <c r="I13860" s="1"/>
      <c r="J13860" s="71"/>
      <c r="M13860" s="46"/>
      <c r="R13860" s="51"/>
      <c r="S13860" s="51"/>
    </row>
    <row r="13861" spans="9:19" x14ac:dyDescent="0.25">
      <c r="I13861" s="1"/>
      <c r="J13861" s="71"/>
      <c r="M13861" s="46"/>
      <c r="R13861" s="51"/>
      <c r="S13861" s="51"/>
    </row>
    <row r="13862" spans="9:19" x14ac:dyDescent="0.25">
      <c r="I13862" s="1"/>
      <c r="J13862" s="71"/>
      <c r="M13862" s="46"/>
      <c r="R13862" s="51"/>
      <c r="S13862" s="51"/>
    </row>
    <row r="13863" spans="9:19" x14ac:dyDescent="0.25">
      <c r="I13863" s="1"/>
      <c r="J13863" s="71"/>
      <c r="M13863" s="46"/>
      <c r="R13863" s="51"/>
      <c r="S13863" s="51"/>
    </row>
    <row r="13864" spans="9:19" x14ac:dyDescent="0.25">
      <c r="I13864" s="1"/>
      <c r="J13864" s="71"/>
      <c r="M13864" s="46"/>
      <c r="R13864" s="51"/>
      <c r="S13864" s="51"/>
    </row>
    <row r="13865" spans="9:19" x14ac:dyDescent="0.25">
      <c r="I13865" s="1"/>
      <c r="J13865" s="71"/>
      <c r="M13865" s="46"/>
      <c r="R13865" s="51"/>
      <c r="S13865" s="51"/>
    </row>
    <row r="13866" spans="9:19" x14ac:dyDescent="0.25">
      <c r="I13866" s="1"/>
      <c r="J13866" s="71"/>
      <c r="M13866" s="46"/>
      <c r="R13866" s="51"/>
      <c r="S13866" s="51"/>
    </row>
    <row r="13867" spans="9:19" x14ac:dyDescent="0.25">
      <c r="I13867" s="1"/>
      <c r="J13867" s="71"/>
      <c r="M13867" s="46"/>
      <c r="R13867" s="51"/>
      <c r="S13867" s="51"/>
    </row>
    <row r="13868" spans="9:19" x14ac:dyDescent="0.25">
      <c r="I13868" s="1"/>
      <c r="J13868" s="71"/>
      <c r="M13868" s="46"/>
      <c r="R13868" s="51"/>
      <c r="S13868" s="51"/>
    </row>
    <row r="13869" spans="9:19" x14ac:dyDescent="0.25">
      <c r="I13869" s="1"/>
      <c r="J13869" s="71"/>
      <c r="M13869" s="46"/>
      <c r="R13869" s="51"/>
      <c r="S13869" s="51"/>
    </row>
    <row r="13870" spans="9:19" x14ac:dyDescent="0.25">
      <c r="I13870" s="1"/>
      <c r="J13870" s="71"/>
      <c r="M13870" s="46"/>
      <c r="R13870" s="51"/>
      <c r="S13870" s="51"/>
    </row>
    <row r="13871" spans="9:19" x14ac:dyDescent="0.25">
      <c r="I13871" s="1"/>
      <c r="J13871" s="71"/>
      <c r="M13871" s="46"/>
      <c r="R13871" s="51"/>
      <c r="S13871" s="51"/>
    </row>
    <row r="13872" spans="9:19" x14ac:dyDescent="0.25">
      <c r="I13872" s="1"/>
      <c r="J13872" s="71"/>
      <c r="M13872" s="46"/>
      <c r="R13872" s="51"/>
      <c r="S13872" s="51"/>
    </row>
    <row r="13873" spans="9:19" x14ac:dyDescent="0.25">
      <c r="I13873" s="1"/>
      <c r="J13873" s="71"/>
      <c r="M13873" s="46"/>
      <c r="R13873" s="51"/>
      <c r="S13873" s="51"/>
    </row>
    <row r="13874" spans="9:19" x14ac:dyDescent="0.25">
      <c r="I13874" s="1"/>
      <c r="J13874" s="71"/>
      <c r="M13874" s="46"/>
      <c r="R13874" s="51"/>
      <c r="S13874" s="51"/>
    </row>
    <row r="13875" spans="9:19" x14ac:dyDescent="0.25">
      <c r="I13875" s="1"/>
      <c r="J13875" s="71"/>
      <c r="M13875" s="46"/>
      <c r="R13875" s="51"/>
      <c r="S13875" s="51"/>
    </row>
    <row r="13876" spans="9:19" x14ac:dyDescent="0.25">
      <c r="I13876" s="1"/>
      <c r="J13876" s="71"/>
      <c r="M13876" s="46"/>
      <c r="R13876" s="51"/>
      <c r="S13876" s="51"/>
    </row>
    <row r="13877" spans="9:19" x14ac:dyDescent="0.25">
      <c r="I13877" s="1"/>
      <c r="J13877" s="71"/>
      <c r="M13877" s="46"/>
      <c r="R13877" s="51"/>
      <c r="S13877" s="51"/>
    </row>
    <row r="13878" spans="9:19" x14ac:dyDescent="0.25">
      <c r="I13878" s="1"/>
      <c r="J13878" s="71"/>
      <c r="M13878" s="46"/>
      <c r="R13878" s="51"/>
      <c r="S13878" s="51"/>
    </row>
    <row r="13879" spans="9:19" x14ac:dyDescent="0.25">
      <c r="I13879" s="1"/>
      <c r="J13879" s="71"/>
      <c r="M13879" s="46"/>
      <c r="R13879" s="51"/>
      <c r="S13879" s="51"/>
    </row>
    <row r="13880" spans="9:19" x14ac:dyDescent="0.25">
      <c r="I13880" s="1"/>
      <c r="J13880" s="71"/>
      <c r="M13880" s="46"/>
      <c r="R13880" s="51"/>
      <c r="S13880" s="51"/>
    </row>
    <row r="13881" spans="9:19" x14ac:dyDescent="0.25">
      <c r="I13881" s="1"/>
      <c r="J13881" s="71"/>
      <c r="M13881" s="46"/>
      <c r="R13881" s="51"/>
      <c r="S13881" s="51"/>
    </row>
    <row r="13882" spans="9:19" x14ac:dyDescent="0.25">
      <c r="I13882" s="1"/>
      <c r="J13882" s="71"/>
      <c r="M13882" s="46"/>
      <c r="R13882" s="51"/>
      <c r="S13882" s="51"/>
    </row>
    <row r="13883" spans="9:19" x14ac:dyDescent="0.25">
      <c r="I13883" s="1"/>
      <c r="J13883" s="71"/>
      <c r="M13883" s="46"/>
      <c r="R13883" s="51"/>
      <c r="S13883" s="51"/>
    </row>
    <row r="13884" spans="9:19" x14ac:dyDescent="0.25">
      <c r="I13884" s="1"/>
      <c r="J13884" s="71"/>
      <c r="M13884" s="46"/>
      <c r="R13884" s="51"/>
      <c r="S13884" s="51"/>
    </row>
    <row r="13885" spans="9:19" x14ac:dyDescent="0.25">
      <c r="I13885" s="1"/>
      <c r="J13885" s="71"/>
      <c r="M13885" s="46"/>
      <c r="R13885" s="51"/>
      <c r="S13885" s="51"/>
    </row>
    <row r="13886" spans="9:19" x14ac:dyDescent="0.25">
      <c r="I13886" s="1"/>
      <c r="J13886" s="71"/>
      <c r="M13886" s="46"/>
      <c r="R13886" s="51"/>
      <c r="S13886" s="51"/>
    </row>
    <row r="13887" spans="9:19" x14ac:dyDescent="0.25">
      <c r="I13887" s="1"/>
      <c r="J13887" s="71"/>
      <c r="M13887" s="46"/>
      <c r="R13887" s="51"/>
      <c r="S13887" s="51"/>
    </row>
    <row r="13888" spans="9:19" x14ac:dyDescent="0.25">
      <c r="I13888" s="1"/>
      <c r="J13888" s="71"/>
      <c r="M13888" s="46"/>
      <c r="R13888" s="51"/>
      <c r="S13888" s="51"/>
    </row>
    <row r="13889" spans="9:19" x14ac:dyDescent="0.25">
      <c r="I13889" s="1"/>
      <c r="J13889" s="71"/>
      <c r="M13889" s="46"/>
      <c r="R13889" s="51"/>
      <c r="S13889" s="51"/>
    </row>
    <row r="13890" spans="9:19" x14ac:dyDescent="0.25">
      <c r="I13890" s="1"/>
      <c r="J13890" s="71"/>
      <c r="M13890" s="46"/>
      <c r="R13890" s="51"/>
      <c r="S13890" s="51"/>
    </row>
    <row r="13891" spans="9:19" x14ac:dyDescent="0.25">
      <c r="I13891" s="1"/>
      <c r="J13891" s="71"/>
      <c r="M13891" s="46"/>
      <c r="R13891" s="51"/>
      <c r="S13891" s="51"/>
    </row>
    <row r="13892" spans="9:19" x14ac:dyDescent="0.25">
      <c r="I13892" s="1"/>
      <c r="J13892" s="71"/>
      <c r="M13892" s="46"/>
      <c r="R13892" s="51"/>
      <c r="S13892" s="51"/>
    </row>
    <row r="13893" spans="9:19" x14ac:dyDescent="0.25">
      <c r="I13893" s="1"/>
      <c r="J13893" s="71"/>
      <c r="M13893" s="46"/>
      <c r="R13893" s="51"/>
      <c r="S13893" s="51"/>
    </row>
    <row r="13894" spans="9:19" x14ac:dyDescent="0.25">
      <c r="I13894" s="1"/>
      <c r="J13894" s="71"/>
      <c r="M13894" s="46"/>
      <c r="R13894" s="51"/>
      <c r="S13894" s="51"/>
    </row>
    <row r="13895" spans="9:19" x14ac:dyDescent="0.25">
      <c r="I13895" s="1"/>
      <c r="J13895" s="71"/>
      <c r="M13895" s="46"/>
      <c r="R13895" s="51"/>
      <c r="S13895" s="51"/>
    </row>
    <row r="13896" spans="9:19" x14ac:dyDescent="0.25">
      <c r="I13896" s="1"/>
      <c r="J13896" s="71"/>
      <c r="M13896" s="46"/>
      <c r="R13896" s="51"/>
      <c r="S13896" s="51"/>
    </row>
    <row r="13897" spans="9:19" x14ac:dyDescent="0.25">
      <c r="I13897" s="1"/>
      <c r="J13897" s="71"/>
      <c r="M13897" s="46"/>
      <c r="R13897" s="51"/>
      <c r="S13897" s="51"/>
    </row>
    <row r="13898" spans="9:19" x14ac:dyDescent="0.25">
      <c r="I13898" s="1"/>
      <c r="J13898" s="71"/>
      <c r="M13898" s="46"/>
      <c r="R13898" s="51"/>
      <c r="S13898" s="51"/>
    </row>
    <row r="13899" spans="9:19" x14ac:dyDescent="0.25">
      <c r="I13899" s="1"/>
      <c r="J13899" s="71"/>
      <c r="M13899" s="46"/>
      <c r="R13899" s="51"/>
      <c r="S13899" s="51"/>
    </row>
    <row r="13900" spans="9:19" x14ac:dyDescent="0.25">
      <c r="I13900" s="1"/>
      <c r="J13900" s="71"/>
      <c r="M13900" s="46"/>
      <c r="R13900" s="51"/>
      <c r="S13900" s="51"/>
    </row>
    <row r="13901" spans="9:19" x14ac:dyDescent="0.25">
      <c r="I13901" s="1"/>
      <c r="J13901" s="71"/>
      <c r="M13901" s="46"/>
      <c r="R13901" s="51"/>
      <c r="S13901" s="51"/>
    </row>
    <row r="13902" spans="9:19" x14ac:dyDescent="0.25">
      <c r="I13902" s="1"/>
      <c r="J13902" s="71"/>
      <c r="M13902" s="46"/>
      <c r="R13902" s="51"/>
      <c r="S13902" s="51"/>
    </row>
    <row r="13903" spans="9:19" x14ac:dyDescent="0.25">
      <c r="I13903" s="1"/>
      <c r="J13903" s="71"/>
      <c r="M13903" s="46"/>
      <c r="R13903" s="51"/>
      <c r="S13903" s="51"/>
    </row>
    <row r="13904" spans="9:19" x14ac:dyDescent="0.25">
      <c r="I13904" s="1"/>
      <c r="J13904" s="71"/>
      <c r="M13904" s="46"/>
      <c r="R13904" s="51"/>
      <c r="S13904" s="51"/>
    </row>
    <row r="13905" spans="9:19" x14ac:dyDescent="0.25">
      <c r="I13905" s="1"/>
      <c r="J13905" s="71"/>
      <c r="M13905" s="46"/>
      <c r="R13905" s="51"/>
      <c r="S13905" s="51"/>
    </row>
    <row r="13906" spans="9:19" x14ac:dyDescent="0.25">
      <c r="I13906" s="1"/>
      <c r="J13906" s="71"/>
      <c r="M13906" s="46"/>
      <c r="R13906" s="51"/>
      <c r="S13906" s="51"/>
    </row>
    <row r="13907" spans="9:19" x14ac:dyDescent="0.25">
      <c r="I13907" s="1"/>
      <c r="J13907" s="71"/>
      <c r="M13907" s="46"/>
      <c r="R13907" s="51"/>
      <c r="S13907" s="51"/>
    </row>
    <row r="13908" spans="9:19" x14ac:dyDescent="0.25">
      <c r="I13908" s="1"/>
      <c r="J13908" s="71"/>
      <c r="M13908" s="46"/>
      <c r="R13908" s="51"/>
      <c r="S13908" s="51"/>
    </row>
    <row r="13909" spans="9:19" x14ac:dyDescent="0.25">
      <c r="I13909" s="1"/>
      <c r="J13909" s="71"/>
      <c r="M13909" s="46"/>
      <c r="R13909" s="51"/>
      <c r="S13909" s="51"/>
    </row>
    <row r="13910" spans="9:19" x14ac:dyDescent="0.25">
      <c r="I13910" s="1"/>
      <c r="J13910" s="71"/>
      <c r="M13910" s="46"/>
      <c r="R13910" s="51"/>
      <c r="S13910" s="51"/>
    </row>
    <row r="13911" spans="9:19" x14ac:dyDescent="0.25">
      <c r="I13911" s="1"/>
      <c r="J13911" s="71"/>
      <c r="M13911" s="46"/>
      <c r="R13911" s="51"/>
      <c r="S13911" s="51"/>
    </row>
    <row r="13912" spans="9:19" x14ac:dyDescent="0.25">
      <c r="I13912" s="1"/>
      <c r="J13912" s="71"/>
      <c r="M13912" s="46"/>
      <c r="R13912" s="51"/>
      <c r="S13912" s="51"/>
    </row>
    <row r="13913" spans="9:19" x14ac:dyDescent="0.25">
      <c r="I13913" s="1"/>
      <c r="J13913" s="71"/>
      <c r="M13913" s="46"/>
      <c r="R13913" s="51"/>
      <c r="S13913" s="51"/>
    </row>
    <row r="13914" spans="9:19" x14ac:dyDescent="0.25">
      <c r="I13914" s="1"/>
      <c r="J13914" s="71"/>
      <c r="M13914" s="46"/>
      <c r="R13914" s="51"/>
      <c r="S13914" s="51"/>
    </row>
    <row r="13915" spans="9:19" x14ac:dyDescent="0.25">
      <c r="I13915" s="1"/>
      <c r="J13915" s="71"/>
      <c r="M13915" s="46"/>
      <c r="R13915" s="51"/>
      <c r="S13915" s="51"/>
    </row>
    <row r="13916" spans="9:19" x14ac:dyDescent="0.25">
      <c r="I13916" s="1"/>
      <c r="J13916" s="71"/>
      <c r="M13916" s="46"/>
      <c r="R13916" s="51"/>
      <c r="S13916" s="51"/>
    </row>
    <row r="13917" spans="9:19" x14ac:dyDescent="0.25">
      <c r="I13917" s="1"/>
      <c r="J13917" s="71"/>
      <c r="M13917" s="46"/>
      <c r="R13917" s="51"/>
      <c r="S13917" s="51"/>
    </row>
    <row r="13918" spans="9:19" x14ac:dyDescent="0.25">
      <c r="I13918" s="1"/>
      <c r="J13918" s="71"/>
      <c r="M13918" s="46"/>
      <c r="R13918" s="51"/>
      <c r="S13918" s="51"/>
    </row>
    <row r="13919" spans="9:19" x14ac:dyDescent="0.25">
      <c r="I13919" s="1"/>
      <c r="J13919" s="71"/>
      <c r="M13919" s="46"/>
      <c r="R13919" s="51"/>
      <c r="S13919" s="51"/>
    </row>
    <row r="13920" spans="9:19" x14ac:dyDescent="0.25">
      <c r="I13920" s="1"/>
      <c r="J13920" s="71"/>
      <c r="M13920" s="46"/>
      <c r="R13920" s="51"/>
      <c r="S13920" s="51"/>
    </row>
    <row r="13921" spans="9:19" x14ac:dyDescent="0.25">
      <c r="I13921" s="1"/>
      <c r="J13921" s="71"/>
      <c r="M13921" s="46"/>
      <c r="R13921" s="51"/>
      <c r="S13921" s="51"/>
    </row>
    <row r="13922" spans="9:19" x14ac:dyDescent="0.25">
      <c r="I13922" s="1"/>
      <c r="J13922" s="71"/>
      <c r="M13922" s="46"/>
      <c r="R13922" s="51"/>
      <c r="S13922" s="51"/>
    </row>
    <row r="13923" spans="9:19" x14ac:dyDescent="0.25">
      <c r="I13923" s="1"/>
      <c r="J13923" s="71"/>
      <c r="M13923" s="46"/>
      <c r="R13923" s="51"/>
      <c r="S13923" s="51"/>
    </row>
    <row r="13924" spans="9:19" x14ac:dyDescent="0.25">
      <c r="I13924" s="1"/>
      <c r="J13924" s="71"/>
      <c r="M13924" s="46"/>
      <c r="R13924" s="51"/>
      <c r="S13924" s="51"/>
    </row>
    <row r="13925" spans="9:19" x14ac:dyDescent="0.25">
      <c r="I13925" s="1"/>
      <c r="J13925" s="71"/>
      <c r="M13925" s="46"/>
      <c r="R13925" s="51"/>
      <c r="S13925" s="51"/>
    </row>
    <row r="13926" spans="9:19" x14ac:dyDescent="0.25">
      <c r="I13926" s="1"/>
      <c r="J13926" s="71"/>
      <c r="M13926" s="46"/>
      <c r="R13926" s="51"/>
      <c r="S13926" s="51"/>
    </row>
    <row r="13927" spans="9:19" x14ac:dyDescent="0.25">
      <c r="I13927" s="1"/>
      <c r="J13927" s="71"/>
      <c r="M13927" s="46"/>
      <c r="R13927" s="51"/>
      <c r="S13927" s="51"/>
    </row>
    <row r="13928" spans="9:19" x14ac:dyDescent="0.25">
      <c r="I13928" s="1"/>
      <c r="J13928" s="71"/>
      <c r="M13928" s="46"/>
      <c r="R13928" s="51"/>
      <c r="S13928" s="51"/>
    </row>
    <row r="13929" spans="9:19" x14ac:dyDescent="0.25">
      <c r="I13929" s="1"/>
      <c r="J13929" s="71"/>
      <c r="M13929" s="46"/>
      <c r="R13929" s="51"/>
      <c r="S13929" s="51"/>
    </row>
    <row r="13930" spans="9:19" x14ac:dyDescent="0.25">
      <c r="I13930" s="1"/>
      <c r="J13930" s="71"/>
      <c r="M13930" s="46"/>
      <c r="R13930" s="51"/>
      <c r="S13930" s="51"/>
    </row>
    <row r="13931" spans="9:19" x14ac:dyDescent="0.25">
      <c r="I13931" s="1"/>
      <c r="J13931" s="71"/>
      <c r="M13931" s="46"/>
      <c r="R13931" s="51"/>
      <c r="S13931" s="51"/>
    </row>
    <row r="13932" spans="9:19" x14ac:dyDescent="0.25">
      <c r="I13932" s="1"/>
      <c r="J13932" s="71"/>
      <c r="M13932" s="46"/>
      <c r="R13932" s="51"/>
      <c r="S13932" s="51"/>
    </row>
    <row r="13933" spans="9:19" x14ac:dyDescent="0.25">
      <c r="I13933" s="1"/>
      <c r="J13933" s="71"/>
      <c r="M13933" s="46"/>
      <c r="R13933" s="51"/>
      <c r="S13933" s="51"/>
    </row>
    <row r="13934" spans="9:19" x14ac:dyDescent="0.25">
      <c r="I13934" s="1"/>
      <c r="J13934" s="71"/>
      <c r="M13934" s="46"/>
      <c r="R13934" s="51"/>
      <c r="S13934" s="51"/>
    </row>
    <row r="13935" spans="9:19" x14ac:dyDescent="0.25">
      <c r="I13935" s="1"/>
      <c r="J13935" s="71"/>
      <c r="M13935" s="46"/>
      <c r="R13935" s="51"/>
      <c r="S13935" s="51"/>
    </row>
    <row r="13936" spans="9:19" x14ac:dyDescent="0.25">
      <c r="I13936" s="1"/>
      <c r="J13936" s="71"/>
      <c r="M13936" s="46"/>
      <c r="R13936" s="51"/>
      <c r="S13936" s="51"/>
    </row>
    <row r="13937" spans="9:19" x14ac:dyDescent="0.25">
      <c r="I13937" s="1"/>
      <c r="J13937" s="71"/>
      <c r="M13937" s="46"/>
      <c r="R13937" s="51"/>
      <c r="S13937" s="51"/>
    </row>
    <row r="13938" spans="9:19" x14ac:dyDescent="0.25">
      <c r="I13938" s="1"/>
      <c r="J13938" s="71"/>
      <c r="M13938" s="46"/>
      <c r="R13938" s="51"/>
      <c r="S13938" s="51"/>
    </row>
    <row r="13939" spans="9:19" x14ac:dyDescent="0.25">
      <c r="I13939" s="1"/>
      <c r="J13939" s="71"/>
      <c r="M13939" s="46"/>
      <c r="R13939" s="51"/>
      <c r="S13939" s="51"/>
    </row>
    <row r="13940" spans="9:19" x14ac:dyDescent="0.25">
      <c r="I13940" s="1"/>
      <c r="J13940" s="71"/>
      <c r="M13940" s="46"/>
      <c r="R13940" s="51"/>
      <c r="S13940" s="51"/>
    </row>
    <row r="13941" spans="9:19" x14ac:dyDescent="0.25">
      <c r="I13941" s="1"/>
      <c r="J13941" s="71"/>
      <c r="M13941" s="46"/>
      <c r="R13941" s="51"/>
      <c r="S13941" s="51"/>
    </row>
    <row r="13942" spans="9:19" x14ac:dyDescent="0.25">
      <c r="I13942" s="1"/>
      <c r="J13942" s="71"/>
      <c r="M13942" s="46"/>
      <c r="R13942" s="51"/>
      <c r="S13942" s="51"/>
    </row>
    <row r="13943" spans="9:19" x14ac:dyDescent="0.25">
      <c r="I13943" s="1"/>
      <c r="J13943" s="71"/>
      <c r="M13943" s="46"/>
      <c r="R13943" s="51"/>
      <c r="S13943" s="51"/>
    </row>
    <row r="13944" spans="9:19" x14ac:dyDescent="0.25">
      <c r="I13944" s="1"/>
      <c r="J13944" s="71"/>
      <c r="M13944" s="46"/>
      <c r="R13944" s="51"/>
      <c r="S13944" s="51"/>
    </row>
    <row r="13945" spans="9:19" x14ac:dyDescent="0.25">
      <c r="I13945" s="1"/>
      <c r="J13945" s="71"/>
      <c r="M13945" s="46"/>
      <c r="R13945" s="51"/>
      <c r="S13945" s="51"/>
    </row>
    <row r="13946" spans="9:19" x14ac:dyDescent="0.25">
      <c r="I13946" s="1"/>
      <c r="J13946" s="71"/>
      <c r="M13946" s="46"/>
      <c r="R13946" s="51"/>
      <c r="S13946" s="51"/>
    </row>
    <row r="13947" spans="9:19" x14ac:dyDescent="0.25">
      <c r="I13947" s="1"/>
      <c r="J13947" s="71"/>
      <c r="M13947" s="46"/>
      <c r="R13947" s="51"/>
      <c r="S13947" s="51"/>
    </row>
    <row r="13948" spans="9:19" x14ac:dyDescent="0.25">
      <c r="I13948" s="1"/>
      <c r="J13948" s="71"/>
      <c r="M13948" s="46"/>
      <c r="R13948" s="51"/>
      <c r="S13948" s="51"/>
    </row>
    <row r="13949" spans="9:19" x14ac:dyDescent="0.25">
      <c r="I13949" s="1"/>
      <c r="J13949" s="71"/>
      <c r="M13949" s="46"/>
      <c r="R13949" s="51"/>
      <c r="S13949" s="51"/>
    </row>
    <row r="13950" spans="9:19" x14ac:dyDescent="0.25">
      <c r="I13950" s="1"/>
      <c r="J13950" s="71"/>
      <c r="M13950" s="46"/>
      <c r="R13950" s="51"/>
      <c r="S13950" s="51"/>
    </row>
    <row r="13951" spans="9:19" x14ac:dyDescent="0.25">
      <c r="I13951" s="1"/>
      <c r="J13951" s="71"/>
      <c r="M13951" s="46"/>
      <c r="R13951" s="51"/>
      <c r="S13951" s="51"/>
    </row>
    <row r="13952" spans="9:19" x14ac:dyDescent="0.25">
      <c r="I13952" s="1"/>
      <c r="J13952" s="71"/>
      <c r="M13952" s="46"/>
      <c r="R13952" s="51"/>
      <c r="S13952" s="51"/>
    </row>
    <row r="13953" spans="9:19" x14ac:dyDescent="0.25">
      <c r="I13953" s="1"/>
      <c r="J13953" s="71"/>
      <c r="M13953" s="46"/>
      <c r="R13953" s="51"/>
      <c r="S13953" s="51"/>
    </row>
    <row r="13954" spans="9:19" x14ac:dyDescent="0.25">
      <c r="I13954" s="1"/>
      <c r="J13954" s="71"/>
      <c r="M13954" s="46"/>
      <c r="R13954" s="51"/>
      <c r="S13954" s="51"/>
    </row>
    <row r="13955" spans="9:19" x14ac:dyDescent="0.25">
      <c r="I13955" s="1"/>
      <c r="J13955" s="71"/>
      <c r="M13955" s="46"/>
      <c r="R13955" s="51"/>
      <c r="S13955" s="51"/>
    </row>
    <row r="13956" spans="9:19" x14ac:dyDescent="0.25">
      <c r="I13956" s="1"/>
      <c r="J13956" s="71"/>
      <c r="M13956" s="46"/>
      <c r="R13956" s="51"/>
      <c r="S13956" s="51"/>
    </row>
    <row r="13957" spans="9:19" x14ac:dyDescent="0.25">
      <c r="I13957" s="1"/>
      <c r="J13957" s="71"/>
      <c r="M13957" s="46"/>
      <c r="R13957" s="51"/>
      <c r="S13957" s="51"/>
    </row>
    <row r="13958" spans="9:19" x14ac:dyDescent="0.25">
      <c r="I13958" s="1"/>
      <c r="J13958" s="71"/>
      <c r="M13958" s="46"/>
      <c r="R13958" s="51"/>
      <c r="S13958" s="51"/>
    </row>
    <row r="13959" spans="9:19" x14ac:dyDescent="0.25">
      <c r="I13959" s="1"/>
      <c r="J13959" s="71"/>
      <c r="M13959" s="46"/>
      <c r="R13959" s="51"/>
      <c r="S13959" s="51"/>
    </row>
    <row r="13960" spans="9:19" x14ac:dyDescent="0.25">
      <c r="I13960" s="1"/>
      <c r="J13960" s="71"/>
      <c r="M13960" s="46"/>
      <c r="R13960" s="51"/>
      <c r="S13960" s="51"/>
    </row>
    <row r="13961" spans="9:19" x14ac:dyDescent="0.25">
      <c r="I13961" s="1"/>
      <c r="J13961" s="71"/>
      <c r="M13961" s="46"/>
      <c r="R13961" s="51"/>
      <c r="S13961" s="51"/>
    </row>
    <row r="13962" spans="9:19" x14ac:dyDescent="0.25">
      <c r="I13962" s="1"/>
      <c r="J13962" s="71"/>
      <c r="M13962" s="46"/>
      <c r="R13962" s="51"/>
      <c r="S13962" s="51"/>
    </row>
    <row r="13963" spans="9:19" x14ac:dyDescent="0.25">
      <c r="I13963" s="1"/>
      <c r="J13963" s="71"/>
      <c r="M13963" s="46"/>
      <c r="R13963" s="51"/>
      <c r="S13963" s="51"/>
    </row>
    <row r="13964" spans="9:19" x14ac:dyDescent="0.25">
      <c r="I13964" s="1"/>
      <c r="J13964" s="71"/>
      <c r="M13964" s="46"/>
      <c r="R13964" s="51"/>
      <c r="S13964" s="51"/>
    </row>
    <row r="13965" spans="9:19" x14ac:dyDescent="0.25">
      <c r="I13965" s="1"/>
      <c r="J13965" s="71"/>
      <c r="M13965" s="46"/>
      <c r="R13965" s="51"/>
      <c r="S13965" s="51"/>
    </row>
    <row r="13966" spans="9:19" x14ac:dyDescent="0.25">
      <c r="I13966" s="1"/>
      <c r="J13966" s="71"/>
      <c r="M13966" s="46"/>
      <c r="R13966" s="51"/>
      <c r="S13966" s="51"/>
    </row>
    <row r="13967" spans="9:19" x14ac:dyDescent="0.25">
      <c r="I13967" s="1"/>
      <c r="J13967" s="71"/>
      <c r="M13967" s="46"/>
      <c r="R13967" s="51"/>
      <c r="S13967" s="51"/>
    </row>
    <row r="13968" spans="9:19" x14ac:dyDescent="0.25">
      <c r="I13968" s="1"/>
      <c r="J13968" s="71"/>
      <c r="M13968" s="46"/>
      <c r="R13968" s="51"/>
      <c r="S13968" s="51"/>
    </row>
    <row r="13969" spans="9:19" x14ac:dyDescent="0.25">
      <c r="I13969" s="1"/>
      <c r="J13969" s="71"/>
      <c r="M13969" s="46"/>
      <c r="R13969" s="51"/>
      <c r="S13969" s="51"/>
    </row>
    <row r="13970" spans="9:19" x14ac:dyDescent="0.25">
      <c r="I13970" s="1"/>
      <c r="J13970" s="71"/>
      <c r="M13970" s="46"/>
      <c r="R13970" s="51"/>
      <c r="S13970" s="51"/>
    </row>
    <row r="13971" spans="9:19" x14ac:dyDescent="0.25">
      <c r="I13971" s="1"/>
      <c r="J13971" s="71"/>
      <c r="M13971" s="46"/>
      <c r="R13971" s="51"/>
      <c r="S13971" s="51"/>
    </row>
    <row r="13972" spans="9:19" x14ac:dyDescent="0.25">
      <c r="I13972" s="1"/>
      <c r="J13972" s="71"/>
      <c r="M13972" s="46"/>
      <c r="R13972" s="51"/>
      <c r="S13972" s="51"/>
    </row>
    <row r="13973" spans="9:19" x14ac:dyDescent="0.25">
      <c r="I13973" s="1"/>
      <c r="J13973" s="71"/>
      <c r="M13973" s="46"/>
      <c r="R13973" s="51"/>
      <c r="S13973" s="51"/>
    </row>
    <row r="13974" spans="9:19" x14ac:dyDescent="0.25">
      <c r="I13974" s="1"/>
      <c r="J13974" s="71"/>
      <c r="M13974" s="46"/>
      <c r="R13974" s="51"/>
      <c r="S13974" s="51"/>
    </row>
    <row r="13975" spans="9:19" x14ac:dyDescent="0.25">
      <c r="I13975" s="1"/>
      <c r="J13975" s="71"/>
      <c r="M13975" s="46"/>
      <c r="R13975" s="51"/>
      <c r="S13975" s="51"/>
    </row>
    <row r="13976" spans="9:19" x14ac:dyDescent="0.25">
      <c r="I13976" s="1"/>
      <c r="J13976" s="71"/>
      <c r="M13976" s="46"/>
      <c r="R13976" s="51"/>
      <c r="S13976" s="51"/>
    </row>
    <row r="13977" spans="9:19" x14ac:dyDescent="0.25">
      <c r="I13977" s="1"/>
      <c r="J13977" s="71"/>
      <c r="M13977" s="46"/>
      <c r="R13977" s="51"/>
      <c r="S13977" s="51"/>
    </row>
    <row r="13978" spans="9:19" x14ac:dyDescent="0.25">
      <c r="I13978" s="1"/>
      <c r="J13978" s="71"/>
      <c r="M13978" s="46"/>
      <c r="R13978" s="51"/>
      <c r="S13978" s="51"/>
    </row>
    <row r="13979" spans="9:19" x14ac:dyDescent="0.25">
      <c r="I13979" s="1"/>
      <c r="J13979" s="71"/>
      <c r="M13979" s="46"/>
      <c r="R13979" s="51"/>
      <c r="S13979" s="51"/>
    </row>
    <row r="13980" spans="9:19" x14ac:dyDescent="0.25">
      <c r="I13980" s="1"/>
      <c r="J13980" s="71"/>
      <c r="M13980" s="46"/>
      <c r="R13980" s="51"/>
      <c r="S13980" s="51"/>
    </row>
    <row r="13981" spans="9:19" x14ac:dyDescent="0.25">
      <c r="I13981" s="1"/>
      <c r="J13981" s="71"/>
      <c r="M13981" s="46"/>
      <c r="R13981" s="51"/>
      <c r="S13981" s="51"/>
    </row>
    <row r="13982" spans="9:19" x14ac:dyDescent="0.25">
      <c r="I13982" s="1"/>
      <c r="J13982" s="71"/>
      <c r="M13982" s="46"/>
      <c r="R13982" s="51"/>
      <c r="S13982" s="51"/>
    </row>
    <row r="13983" spans="9:19" x14ac:dyDescent="0.25">
      <c r="I13983" s="1"/>
      <c r="J13983" s="71"/>
      <c r="M13983" s="46"/>
      <c r="R13983" s="51"/>
      <c r="S13983" s="51"/>
    </row>
    <row r="13984" spans="9:19" x14ac:dyDescent="0.25">
      <c r="I13984" s="1"/>
      <c r="J13984" s="71"/>
      <c r="M13984" s="46"/>
      <c r="R13984" s="51"/>
      <c r="S13984" s="51"/>
    </row>
    <row r="13985" spans="9:19" x14ac:dyDescent="0.25">
      <c r="I13985" s="1"/>
      <c r="J13985" s="71"/>
      <c r="M13985" s="46"/>
      <c r="R13985" s="51"/>
      <c r="S13985" s="51"/>
    </row>
    <row r="13986" spans="9:19" x14ac:dyDescent="0.25">
      <c r="I13986" s="1"/>
      <c r="J13986" s="71"/>
      <c r="M13986" s="46"/>
      <c r="R13986" s="51"/>
      <c r="S13986" s="51"/>
    </row>
    <row r="13987" spans="9:19" x14ac:dyDescent="0.25">
      <c r="I13987" s="1"/>
      <c r="J13987" s="71"/>
      <c r="M13987" s="46"/>
      <c r="R13987" s="51"/>
      <c r="S13987" s="51"/>
    </row>
    <row r="13988" spans="9:19" x14ac:dyDescent="0.25">
      <c r="I13988" s="1"/>
      <c r="J13988" s="71"/>
      <c r="M13988" s="46"/>
      <c r="R13988" s="51"/>
      <c r="S13988" s="51"/>
    </row>
    <row r="13989" spans="9:19" x14ac:dyDescent="0.25">
      <c r="I13989" s="1"/>
      <c r="J13989" s="71"/>
      <c r="M13989" s="46"/>
      <c r="R13989" s="51"/>
      <c r="S13989" s="51"/>
    </row>
    <row r="13990" spans="9:19" x14ac:dyDescent="0.25">
      <c r="I13990" s="1"/>
      <c r="J13990" s="71"/>
      <c r="M13990" s="46"/>
      <c r="R13990" s="51"/>
      <c r="S13990" s="51"/>
    </row>
    <row r="13991" spans="9:19" x14ac:dyDescent="0.25">
      <c r="I13991" s="1"/>
      <c r="J13991" s="71"/>
      <c r="M13991" s="46"/>
      <c r="R13991" s="51"/>
      <c r="S13991" s="51"/>
    </row>
    <row r="13992" spans="9:19" x14ac:dyDescent="0.25">
      <c r="I13992" s="1"/>
      <c r="J13992" s="71"/>
      <c r="M13992" s="46"/>
      <c r="R13992" s="51"/>
      <c r="S13992" s="51"/>
    </row>
    <row r="13993" spans="9:19" x14ac:dyDescent="0.25">
      <c r="I13993" s="1"/>
      <c r="J13993" s="71"/>
      <c r="M13993" s="46"/>
      <c r="R13993" s="51"/>
      <c r="S13993" s="51"/>
    </row>
    <row r="13994" spans="9:19" x14ac:dyDescent="0.25">
      <c r="I13994" s="1"/>
      <c r="J13994" s="71"/>
      <c r="M13994" s="46"/>
      <c r="R13994" s="51"/>
      <c r="S13994" s="51"/>
    </row>
    <row r="13995" spans="9:19" x14ac:dyDescent="0.25">
      <c r="I13995" s="1"/>
      <c r="J13995" s="71"/>
      <c r="M13995" s="46"/>
      <c r="R13995" s="51"/>
      <c r="S13995" s="51"/>
    </row>
    <row r="13996" spans="9:19" x14ac:dyDescent="0.25">
      <c r="I13996" s="1"/>
      <c r="J13996" s="71"/>
      <c r="M13996" s="46"/>
      <c r="R13996" s="51"/>
      <c r="S13996" s="51"/>
    </row>
    <row r="13997" spans="9:19" x14ac:dyDescent="0.25">
      <c r="I13997" s="1"/>
      <c r="J13997" s="71"/>
      <c r="M13997" s="46"/>
      <c r="R13997" s="51"/>
      <c r="S13997" s="51"/>
    </row>
    <row r="13998" spans="9:19" x14ac:dyDescent="0.25">
      <c r="I13998" s="1"/>
      <c r="J13998" s="71"/>
      <c r="M13998" s="46"/>
      <c r="R13998" s="51"/>
      <c r="S13998" s="51"/>
    </row>
    <row r="13999" spans="9:19" x14ac:dyDescent="0.25">
      <c r="I13999" s="1"/>
      <c r="J13999" s="71"/>
      <c r="M13999" s="46"/>
      <c r="R13999" s="51"/>
      <c r="S13999" s="51"/>
    </row>
    <row r="14000" spans="9:19" x14ac:dyDescent="0.25">
      <c r="I14000" s="1"/>
      <c r="J14000" s="71"/>
      <c r="M14000" s="46"/>
      <c r="R14000" s="51"/>
      <c r="S14000" s="51"/>
    </row>
    <row r="14001" spans="9:19" x14ac:dyDescent="0.25">
      <c r="I14001" s="1"/>
      <c r="J14001" s="71"/>
      <c r="M14001" s="46"/>
      <c r="R14001" s="51"/>
      <c r="S14001" s="51"/>
    </row>
    <row r="14002" spans="9:19" x14ac:dyDescent="0.25">
      <c r="I14002" s="1"/>
      <c r="J14002" s="71"/>
      <c r="M14002" s="46"/>
      <c r="R14002" s="51"/>
      <c r="S14002" s="51"/>
    </row>
    <row r="14003" spans="9:19" x14ac:dyDescent="0.25">
      <c r="I14003" s="1"/>
      <c r="J14003" s="71"/>
      <c r="M14003" s="46"/>
      <c r="R14003" s="51"/>
      <c r="S14003" s="51"/>
    </row>
    <row r="14004" spans="9:19" x14ac:dyDescent="0.25">
      <c r="I14004" s="1"/>
      <c r="J14004" s="71"/>
      <c r="M14004" s="46"/>
      <c r="R14004" s="51"/>
      <c r="S14004" s="51"/>
    </row>
    <row r="14005" spans="9:19" x14ac:dyDescent="0.25">
      <c r="I14005" s="1"/>
      <c r="J14005" s="71"/>
      <c r="M14005" s="46"/>
      <c r="R14005" s="51"/>
      <c r="S14005" s="51"/>
    </row>
    <row r="14006" spans="9:19" x14ac:dyDescent="0.25">
      <c r="I14006" s="1"/>
      <c r="J14006" s="71"/>
      <c r="M14006" s="46"/>
      <c r="R14006" s="51"/>
      <c r="S14006" s="51"/>
    </row>
    <row r="14007" spans="9:19" x14ac:dyDescent="0.25">
      <c r="I14007" s="1"/>
      <c r="J14007" s="71"/>
      <c r="M14007" s="46"/>
      <c r="R14007" s="51"/>
      <c r="S14007" s="51"/>
    </row>
    <row r="14008" spans="9:19" x14ac:dyDescent="0.25">
      <c r="I14008" s="1"/>
      <c r="J14008" s="71"/>
      <c r="M14008" s="46"/>
      <c r="R14008" s="51"/>
      <c r="S14008" s="51"/>
    </row>
    <row r="14009" spans="9:19" x14ac:dyDescent="0.25">
      <c r="I14009" s="1"/>
      <c r="J14009" s="71"/>
      <c r="M14009" s="46"/>
      <c r="R14009" s="51"/>
      <c r="S14009" s="51"/>
    </row>
    <row r="14010" spans="9:19" x14ac:dyDescent="0.25">
      <c r="I14010" s="1"/>
      <c r="J14010" s="71"/>
      <c r="M14010" s="46"/>
      <c r="R14010" s="51"/>
      <c r="S14010" s="51"/>
    </row>
    <row r="14011" spans="9:19" x14ac:dyDescent="0.25">
      <c r="I14011" s="1"/>
      <c r="J14011" s="71"/>
      <c r="M14011" s="46"/>
      <c r="R14011" s="51"/>
      <c r="S14011" s="51"/>
    </row>
    <row r="14012" spans="9:19" x14ac:dyDescent="0.25">
      <c r="I14012" s="1"/>
      <c r="J14012" s="71"/>
      <c r="M14012" s="46"/>
      <c r="R14012" s="51"/>
      <c r="S14012" s="51"/>
    </row>
    <row r="14013" spans="9:19" x14ac:dyDescent="0.25">
      <c r="I14013" s="1"/>
      <c r="J14013" s="71"/>
      <c r="M14013" s="46"/>
      <c r="R14013" s="51"/>
      <c r="S14013" s="51"/>
    </row>
    <row r="14014" spans="9:19" x14ac:dyDescent="0.25">
      <c r="I14014" s="1"/>
      <c r="J14014" s="71"/>
      <c r="M14014" s="46"/>
      <c r="R14014" s="51"/>
      <c r="S14014" s="51"/>
    </row>
    <row r="14015" spans="9:19" x14ac:dyDescent="0.25">
      <c r="I14015" s="1"/>
      <c r="J14015" s="71"/>
      <c r="M14015" s="46"/>
      <c r="R14015" s="51"/>
      <c r="S14015" s="51"/>
    </row>
    <row r="14016" spans="9:19" x14ac:dyDescent="0.25">
      <c r="I14016" s="1"/>
      <c r="J14016" s="71"/>
      <c r="M14016" s="46"/>
      <c r="R14016" s="51"/>
      <c r="S14016" s="51"/>
    </row>
    <row r="14017" spans="9:19" x14ac:dyDescent="0.25">
      <c r="I14017" s="1"/>
      <c r="J14017" s="71"/>
      <c r="M14017" s="46"/>
      <c r="R14017" s="51"/>
      <c r="S14017" s="51"/>
    </row>
    <row r="14018" spans="9:19" x14ac:dyDescent="0.25">
      <c r="I14018" s="1"/>
      <c r="J14018" s="71"/>
      <c r="M14018" s="46"/>
      <c r="R14018" s="51"/>
      <c r="S14018" s="51"/>
    </row>
    <row r="14019" spans="9:19" x14ac:dyDescent="0.25">
      <c r="I14019" s="1"/>
      <c r="J14019" s="71"/>
      <c r="M14019" s="46"/>
      <c r="R14019" s="51"/>
      <c r="S14019" s="51"/>
    </row>
    <row r="14020" spans="9:19" x14ac:dyDescent="0.25">
      <c r="I14020" s="1"/>
      <c r="J14020" s="71"/>
      <c r="M14020" s="46"/>
      <c r="R14020" s="51"/>
      <c r="S14020" s="51"/>
    </row>
    <row r="14021" spans="9:19" x14ac:dyDescent="0.25">
      <c r="I14021" s="1"/>
      <c r="J14021" s="71"/>
      <c r="M14021" s="46"/>
      <c r="R14021" s="51"/>
      <c r="S14021" s="51"/>
    </row>
    <row r="14022" spans="9:19" x14ac:dyDescent="0.25">
      <c r="I14022" s="1"/>
      <c r="J14022" s="71"/>
      <c r="M14022" s="46"/>
      <c r="R14022" s="51"/>
      <c r="S14022" s="51"/>
    </row>
    <row r="14023" spans="9:19" x14ac:dyDescent="0.25">
      <c r="I14023" s="1"/>
      <c r="J14023" s="71"/>
      <c r="M14023" s="46"/>
      <c r="R14023" s="51"/>
      <c r="S14023" s="51"/>
    </row>
    <row r="14024" spans="9:19" x14ac:dyDescent="0.25">
      <c r="I14024" s="1"/>
      <c r="J14024" s="71"/>
      <c r="M14024" s="46"/>
      <c r="R14024" s="51"/>
      <c r="S14024" s="51"/>
    </row>
    <row r="14025" spans="9:19" x14ac:dyDescent="0.25">
      <c r="I14025" s="1"/>
      <c r="J14025" s="71"/>
      <c r="M14025" s="46"/>
      <c r="R14025" s="51"/>
      <c r="S14025" s="51"/>
    </row>
    <row r="14026" spans="9:19" x14ac:dyDescent="0.25">
      <c r="I14026" s="1"/>
      <c r="J14026" s="71"/>
      <c r="M14026" s="46"/>
      <c r="R14026" s="51"/>
      <c r="S14026" s="51"/>
    </row>
    <row r="14027" spans="9:19" x14ac:dyDescent="0.25">
      <c r="I14027" s="1"/>
      <c r="J14027" s="71"/>
      <c r="M14027" s="46"/>
      <c r="R14027" s="51"/>
      <c r="S14027" s="51"/>
    </row>
    <row r="14028" spans="9:19" x14ac:dyDescent="0.25">
      <c r="I14028" s="1"/>
      <c r="J14028" s="71"/>
      <c r="M14028" s="46"/>
      <c r="R14028" s="51"/>
      <c r="S14028" s="51"/>
    </row>
    <row r="14029" spans="9:19" x14ac:dyDescent="0.25">
      <c r="I14029" s="1"/>
      <c r="J14029" s="71"/>
      <c r="M14029" s="46"/>
      <c r="R14029" s="51"/>
      <c r="S14029" s="51"/>
    </row>
    <row r="14030" spans="9:19" x14ac:dyDescent="0.25">
      <c r="I14030" s="1"/>
      <c r="J14030" s="71"/>
      <c r="M14030" s="46"/>
      <c r="R14030" s="51"/>
      <c r="S14030" s="51"/>
    </row>
    <row r="14031" spans="9:19" x14ac:dyDescent="0.25">
      <c r="I14031" s="1"/>
      <c r="J14031" s="71"/>
      <c r="M14031" s="46"/>
      <c r="R14031" s="51"/>
      <c r="S14031" s="51"/>
    </row>
    <row r="14032" spans="9:19" x14ac:dyDescent="0.25">
      <c r="I14032" s="1"/>
      <c r="J14032" s="71"/>
      <c r="M14032" s="46"/>
      <c r="R14032" s="51"/>
      <c r="S14032" s="51"/>
    </row>
    <row r="14033" spans="9:19" x14ac:dyDescent="0.25">
      <c r="I14033" s="1"/>
      <c r="J14033" s="71"/>
      <c r="M14033" s="46"/>
      <c r="R14033" s="51"/>
      <c r="S14033" s="51"/>
    </row>
    <row r="14034" spans="9:19" x14ac:dyDescent="0.25">
      <c r="I14034" s="1"/>
      <c r="J14034" s="71"/>
      <c r="M14034" s="46"/>
      <c r="R14034" s="51"/>
      <c r="S14034" s="51"/>
    </row>
    <row r="14035" spans="9:19" x14ac:dyDescent="0.25">
      <c r="I14035" s="1"/>
      <c r="J14035" s="71"/>
      <c r="M14035" s="46"/>
      <c r="R14035" s="51"/>
      <c r="S14035" s="51"/>
    </row>
    <row r="14036" spans="9:19" x14ac:dyDescent="0.25">
      <c r="I14036" s="1"/>
      <c r="J14036" s="71"/>
      <c r="M14036" s="46"/>
      <c r="R14036" s="51"/>
      <c r="S14036" s="51"/>
    </row>
    <row r="14037" spans="9:19" x14ac:dyDescent="0.25">
      <c r="I14037" s="1"/>
      <c r="J14037" s="71"/>
      <c r="M14037" s="46"/>
      <c r="R14037" s="51"/>
      <c r="S14037" s="51"/>
    </row>
    <row r="14038" spans="9:19" x14ac:dyDescent="0.25">
      <c r="I14038" s="1"/>
      <c r="J14038" s="71"/>
      <c r="M14038" s="46"/>
      <c r="R14038" s="51"/>
      <c r="S14038" s="51"/>
    </row>
    <row r="14039" spans="9:19" x14ac:dyDescent="0.25">
      <c r="I14039" s="1"/>
      <c r="J14039" s="71"/>
      <c r="M14039" s="46"/>
      <c r="R14039" s="51"/>
      <c r="S14039" s="51"/>
    </row>
    <row r="14040" spans="9:19" x14ac:dyDescent="0.25">
      <c r="I14040" s="1"/>
      <c r="J14040" s="71"/>
      <c r="M14040" s="46"/>
      <c r="R14040" s="51"/>
      <c r="S14040" s="51"/>
    </row>
    <row r="14041" spans="9:19" x14ac:dyDescent="0.25">
      <c r="I14041" s="1"/>
      <c r="J14041" s="71"/>
      <c r="M14041" s="46"/>
      <c r="R14041" s="51"/>
      <c r="S14041" s="51"/>
    </row>
    <row r="14042" spans="9:19" x14ac:dyDescent="0.25">
      <c r="I14042" s="1"/>
      <c r="J14042" s="71"/>
      <c r="M14042" s="46"/>
      <c r="R14042" s="51"/>
      <c r="S14042" s="51"/>
    </row>
    <row r="14043" spans="9:19" x14ac:dyDescent="0.25">
      <c r="I14043" s="1"/>
      <c r="J14043" s="71"/>
      <c r="M14043" s="46"/>
      <c r="R14043" s="51"/>
      <c r="S14043" s="51"/>
    </row>
    <row r="14044" spans="9:19" x14ac:dyDescent="0.25">
      <c r="I14044" s="1"/>
      <c r="J14044" s="71"/>
      <c r="M14044" s="46"/>
      <c r="R14044" s="51"/>
      <c r="S14044" s="51"/>
    </row>
    <row r="14045" spans="9:19" x14ac:dyDescent="0.25">
      <c r="I14045" s="1"/>
      <c r="J14045" s="71"/>
      <c r="M14045" s="46"/>
      <c r="R14045" s="51"/>
      <c r="S14045" s="51"/>
    </row>
    <row r="14046" spans="9:19" x14ac:dyDescent="0.25">
      <c r="I14046" s="1"/>
      <c r="J14046" s="71"/>
      <c r="M14046" s="46"/>
      <c r="R14046" s="51"/>
      <c r="S14046" s="51"/>
    </row>
    <row r="14047" spans="9:19" x14ac:dyDescent="0.25">
      <c r="I14047" s="1"/>
      <c r="J14047" s="71"/>
      <c r="M14047" s="46"/>
      <c r="R14047" s="51"/>
      <c r="S14047" s="51"/>
    </row>
    <row r="14048" spans="9:19" x14ac:dyDescent="0.25">
      <c r="I14048" s="1"/>
      <c r="J14048" s="71"/>
      <c r="M14048" s="46"/>
      <c r="R14048" s="51"/>
      <c r="S14048" s="51"/>
    </row>
    <row r="14049" spans="9:19" x14ac:dyDescent="0.25">
      <c r="I14049" s="1"/>
      <c r="J14049" s="71"/>
      <c r="M14049" s="46"/>
      <c r="R14049" s="51"/>
      <c r="S14049" s="51"/>
    </row>
    <row r="14050" spans="9:19" x14ac:dyDescent="0.25">
      <c r="I14050" s="1"/>
      <c r="J14050" s="71"/>
      <c r="M14050" s="46"/>
      <c r="R14050" s="51"/>
      <c r="S14050" s="51"/>
    </row>
    <row r="14051" spans="9:19" x14ac:dyDescent="0.25">
      <c r="I14051" s="1"/>
      <c r="J14051" s="71"/>
      <c r="M14051" s="46"/>
      <c r="R14051" s="51"/>
      <c r="S14051" s="51"/>
    </row>
    <row r="14052" spans="9:19" x14ac:dyDescent="0.25">
      <c r="I14052" s="1"/>
      <c r="J14052" s="71"/>
      <c r="M14052" s="46"/>
      <c r="R14052" s="51"/>
      <c r="S14052" s="51"/>
    </row>
    <row r="14053" spans="9:19" x14ac:dyDescent="0.25">
      <c r="I14053" s="1"/>
      <c r="J14053" s="71"/>
      <c r="M14053" s="46"/>
      <c r="R14053" s="51"/>
      <c r="S14053" s="51"/>
    </row>
    <row r="14054" spans="9:19" x14ac:dyDescent="0.25">
      <c r="I14054" s="1"/>
      <c r="J14054" s="71"/>
      <c r="M14054" s="46"/>
      <c r="R14054" s="51"/>
      <c r="S14054" s="51"/>
    </row>
    <row r="14055" spans="9:19" x14ac:dyDescent="0.25">
      <c r="I14055" s="1"/>
      <c r="J14055" s="71"/>
      <c r="M14055" s="46"/>
      <c r="R14055" s="51"/>
      <c r="S14055" s="51"/>
    </row>
    <row r="14056" spans="9:19" x14ac:dyDescent="0.25">
      <c r="I14056" s="1"/>
      <c r="J14056" s="71"/>
      <c r="M14056" s="46"/>
      <c r="R14056" s="51"/>
      <c r="S14056" s="51"/>
    </row>
    <row r="14057" spans="9:19" x14ac:dyDescent="0.25">
      <c r="I14057" s="1"/>
      <c r="J14057" s="71"/>
      <c r="M14057" s="46"/>
      <c r="R14057" s="51"/>
      <c r="S14057" s="51"/>
    </row>
    <row r="14058" spans="9:19" x14ac:dyDescent="0.25">
      <c r="I14058" s="1"/>
      <c r="J14058" s="71"/>
      <c r="M14058" s="46"/>
      <c r="R14058" s="51"/>
      <c r="S14058" s="51"/>
    </row>
    <row r="14059" spans="9:19" x14ac:dyDescent="0.25">
      <c r="I14059" s="1"/>
      <c r="J14059" s="71"/>
      <c r="M14059" s="46"/>
      <c r="R14059" s="51"/>
      <c r="S14059" s="51"/>
    </row>
    <row r="14060" spans="9:19" x14ac:dyDescent="0.25">
      <c r="I14060" s="1"/>
      <c r="J14060" s="71"/>
      <c r="M14060" s="46"/>
      <c r="R14060" s="51"/>
      <c r="S14060" s="51"/>
    </row>
    <row r="14061" spans="9:19" x14ac:dyDescent="0.25">
      <c r="I14061" s="1"/>
      <c r="J14061" s="71"/>
      <c r="M14061" s="46"/>
      <c r="R14061" s="51"/>
      <c r="S14061" s="51"/>
    </row>
    <row r="14062" spans="9:19" x14ac:dyDescent="0.25">
      <c r="I14062" s="1"/>
      <c r="J14062" s="71"/>
      <c r="M14062" s="46"/>
      <c r="R14062" s="51"/>
      <c r="S14062" s="51"/>
    </row>
    <row r="14063" spans="9:19" x14ac:dyDescent="0.25">
      <c r="I14063" s="1"/>
      <c r="J14063" s="71"/>
      <c r="M14063" s="46"/>
      <c r="R14063" s="51"/>
      <c r="S14063" s="51"/>
    </row>
    <row r="14064" spans="9:19" x14ac:dyDescent="0.25">
      <c r="I14064" s="1"/>
      <c r="J14064" s="71"/>
      <c r="M14064" s="46"/>
      <c r="R14064" s="51"/>
      <c r="S14064" s="51"/>
    </row>
    <row r="14065" spans="9:19" x14ac:dyDescent="0.25">
      <c r="I14065" s="1"/>
      <c r="J14065" s="71"/>
      <c r="M14065" s="46"/>
      <c r="R14065" s="51"/>
      <c r="S14065" s="51"/>
    </row>
    <row r="14066" spans="9:19" x14ac:dyDescent="0.25">
      <c r="I14066" s="1"/>
      <c r="J14066" s="71"/>
      <c r="M14066" s="46"/>
      <c r="R14066" s="51"/>
      <c r="S14066" s="51"/>
    </row>
    <row r="14067" spans="9:19" x14ac:dyDescent="0.25">
      <c r="I14067" s="1"/>
      <c r="J14067" s="71"/>
      <c r="M14067" s="46"/>
      <c r="R14067" s="51"/>
      <c r="S14067" s="51"/>
    </row>
    <row r="14068" spans="9:19" x14ac:dyDescent="0.25">
      <c r="I14068" s="1"/>
      <c r="J14068" s="71"/>
      <c r="M14068" s="46"/>
      <c r="R14068" s="51"/>
      <c r="S14068" s="51"/>
    </row>
    <row r="14069" spans="9:19" x14ac:dyDescent="0.25">
      <c r="I14069" s="1"/>
      <c r="J14069" s="71"/>
      <c r="M14069" s="46"/>
      <c r="R14069" s="51"/>
      <c r="S14069" s="51"/>
    </row>
    <row r="14070" spans="9:19" x14ac:dyDescent="0.25">
      <c r="I14070" s="1"/>
      <c r="J14070" s="71"/>
      <c r="M14070" s="46"/>
      <c r="R14070" s="51"/>
      <c r="S14070" s="51"/>
    </row>
    <row r="14071" spans="9:19" x14ac:dyDescent="0.25">
      <c r="I14071" s="1"/>
      <c r="J14071" s="71"/>
      <c r="M14071" s="46"/>
      <c r="R14071" s="51"/>
      <c r="S14071" s="51"/>
    </row>
    <row r="14072" spans="9:19" x14ac:dyDescent="0.25">
      <c r="I14072" s="1"/>
      <c r="J14072" s="71"/>
      <c r="M14072" s="46"/>
      <c r="R14072" s="51"/>
      <c r="S14072" s="51"/>
    </row>
    <row r="14073" spans="9:19" x14ac:dyDescent="0.25">
      <c r="I14073" s="1"/>
      <c r="J14073" s="71"/>
      <c r="M14073" s="46"/>
      <c r="R14073" s="51"/>
      <c r="S14073" s="51"/>
    </row>
    <row r="14074" spans="9:19" x14ac:dyDescent="0.25">
      <c r="I14074" s="1"/>
      <c r="J14074" s="71"/>
      <c r="M14074" s="46"/>
      <c r="R14074" s="51"/>
      <c r="S14074" s="51"/>
    </row>
    <row r="14075" spans="9:19" x14ac:dyDescent="0.25">
      <c r="I14075" s="1"/>
      <c r="J14075" s="71"/>
      <c r="M14075" s="46"/>
      <c r="R14075" s="51"/>
      <c r="S14075" s="51"/>
    </row>
    <row r="14076" spans="9:19" x14ac:dyDescent="0.25">
      <c r="I14076" s="1"/>
      <c r="J14076" s="71"/>
      <c r="M14076" s="46"/>
      <c r="R14076" s="51"/>
      <c r="S14076" s="51"/>
    </row>
    <row r="14077" spans="9:19" x14ac:dyDescent="0.25">
      <c r="I14077" s="1"/>
      <c r="J14077" s="71"/>
      <c r="M14077" s="46"/>
      <c r="R14077" s="51"/>
      <c r="S14077" s="51"/>
    </row>
    <row r="14078" spans="9:19" x14ac:dyDescent="0.25">
      <c r="I14078" s="1"/>
      <c r="J14078" s="71"/>
      <c r="M14078" s="46"/>
      <c r="R14078" s="51"/>
      <c r="S14078" s="51"/>
    </row>
    <row r="14079" spans="9:19" x14ac:dyDescent="0.25">
      <c r="I14079" s="1"/>
      <c r="J14079" s="71"/>
      <c r="M14079" s="46"/>
      <c r="R14079" s="51"/>
      <c r="S14079" s="51"/>
    </row>
    <row r="14080" spans="9:19" x14ac:dyDescent="0.25">
      <c r="I14080" s="1"/>
      <c r="J14080" s="71"/>
      <c r="M14080" s="46"/>
      <c r="R14080" s="51"/>
      <c r="S14080" s="51"/>
    </row>
    <row r="14081" spans="9:19" x14ac:dyDescent="0.25">
      <c r="I14081" s="1"/>
      <c r="J14081" s="71"/>
      <c r="M14081" s="46"/>
      <c r="R14081" s="51"/>
      <c r="S14081" s="51"/>
    </row>
    <row r="14082" spans="9:19" x14ac:dyDescent="0.25">
      <c r="I14082" s="1"/>
      <c r="J14082" s="71"/>
      <c r="M14082" s="46"/>
      <c r="R14082" s="51"/>
      <c r="S14082" s="51"/>
    </row>
    <row r="14083" spans="9:19" x14ac:dyDescent="0.25">
      <c r="I14083" s="1"/>
      <c r="J14083" s="71"/>
      <c r="M14083" s="46"/>
      <c r="R14083" s="51"/>
      <c r="S14083" s="51"/>
    </row>
    <row r="14084" spans="9:19" x14ac:dyDescent="0.25">
      <c r="I14084" s="1"/>
      <c r="J14084" s="71"/>
      <c r="M14084" s="46"/>
      <c r="R14084" s="51"/>
      <c r="S14084" s="51"/>
    </row>
    <row r="14085" spans="9:19" x14ac:dyDescent="0.25">
      <c r="I14085" s="1"/>
      <c r="J14085" s="71"/>
      <c r="M14085" s="46"/>
      <c r="R14085" s="51"/>
      <c r="S14085" s="51"/>
    </row>
    <row r="14086" spans="9:19" x14ac:dyDescent="0.25">
      <c r="I14086" s="1"/>
      <c r="J14086" s="71"/>
      <c r="M14086" s="46"/>
      <c r="R14086" s="51"/>
      <c r="S14086" s="51"/>
    </row>
    <row r="14087" spans="9:19" x14ac:dyDescent="0.25">
      <c r="I14087" s="1"/>
      <c r="J14087" s="71"/>
      <c r="M14087" s="46"/>
      <c r="R14087" s="51"/>
      <c r="S14087" s="51"/>
    </row>
    <row r="14088" spans="9:19" x14ac:dyDescent="0.25">
      <c r="I14088" s="1"/>
      <c r="J14088" s="71"/>
      <c r="M14088" s="46"/>
      <c r="R14088" s="51"/>
      <c r="S14088" s="51"/>
    </row>
    <row r="14089" spans="9:19" x14ac:dyDescent="0.25">
      <c r="I14089" s="1"/>
      <c r="J14089" s="71"/>
      <c r="M14089" s="46"/>
      <c r="R14089" s="51"/>
      <c r="S14089" s="51"/>
    </row>
    <row r="14090" spans="9:19" x14ac:dyDescent="0.25">
      <c r="I14090" s="1"/>
      <c r="J14090" s="71"/>
      <c r="M14090" s="46"/>
      <c r="R14090" s="51"/>
      <c r="S14090" s="51"/>
    </row>
    <row r="14091" spans="9:19" x14ac:dyDescent="0.25">
      <c r="I14091" s="1"/>
      <c r="J14091" s="71"/>
      <c r="M14091" s="46"/>
      <c r="R14091" s="51"/>
      <c r="S14091" s="51"/>
    </row>
    <row r="14092" spans="9:19" x14ac:dyDescent="0.25">
      <c r="I14092" s="1"/>
      <c r="J14092" s="71"/>
      <c r="M14092" s="46"/>
      <c r="R14092" s="51"/>
      <c r="S14092" s="51"/>
    </row>
    <row r="14093" spans="9:19" x14ac:dyDescent="0.25">
      <c r="I14093" s="1"/>
      <c r="J14093" s="71"/>
      <c r="M14093" s="46"/>
      <c r="R14093" s="51"/>
      <c r="S14093" s="51"/>
    </row>
    <row r="14094" spans="9:19" x14ac:dyDescent="0.25">
      <c r="I14094" s="1"/>
      <c r="J14094" s="71"/>
      <c r="M14094" s="46"/>
      <c r="R14094" s="51"/>
      <c r="S14094" s="51"/>
    </row>
    <row r="14095" spans="9:19" x14ac:dyDescent="0.25">
      <c r="I14095" s="1"/>
      <c r="J14095" s="71"/>
      <c r="M14095" s="46"/>
      <c r="R14095" s="51"/>
      <c r="S14095" s="51"/>
    </row>
    <row r="14096" spans="9:19" x14ac:dyDescent="0.25">
      <c r="I14096" s="1"/>
      <c r="J14096" s="71"/>
      <c r="M14096" s="46"/>
      <c r="R14096" s="51"/>
      <c r="S14096" s="51"/>
    </row>
    <row r="14097" spans="9:19" x14ac:dyDescent="0.25">
      <c r="I14097" s="1"/>
      <c r="J14097" s="71"/>
      <c r="M14097" s="46"/>
      <c r="R14097" s="51"/>
      <c r="S14097" s="51"/>
    </row>
    <row r="14098" spans="9:19" x14ac:dyDescent="0.25">
      <c r="I14098" s="1"/>
      <c r="J14098" s="71"/>
      <c r="M14098" s="46"/>
      <c r="R14098" s="51"/>
      <c r="S14098" s="51"/>
    </row>
    <row r="14099" spans="9:19" x14ac:dyDescent="0.25">
      <c r="I14099" s="1"/>
      <c r="J14099" s="71"/>
      <c r="M14099" s="46"/>
      <c r="R14099" s="51"/>
      <c r="S14099" s="51"/>
    </row>
    <row r="14100" spans="9:19" x14ac:dyDescent="0.25">
      <c r="I14100" s="1"/>
      <c r="J14100" s="71"/>
      <c r="M14100" s="46"/>
      <c r="R14100" s="51"/>
      <c r="S14100" s="51"/>
    </row>
    <row r="14101" spans="9:19" x14ac:dyDescent="0.25">
      <c r="I14101" s="1"/>
      <c r="J14101" s="71"/>
      <c r="M14101" s="46"/>
      <c r="R14101" s="51"/>
      <c r="S14101" s="51"/>
    </row>
    <row r="14102" spans="9:19" x14ac:dyDescent="0.25">
      <c r="I14102" s="1"/>
      <c r="J14102" s="71"/>
      <c r="M14102" s="46"/>
      <c r="R14102" s="51"/>
      <c r="S14102" s="51"/>
    </row>
    <row r="14103" spans="9:19" x14ac:dyDescent="0.25">
      <c r="I14103" s="1"/>
      <c r="J14103" s="71"/>
      <c r="M14103" s="46"/>
      <c r="R14103" s="51"/>
      <c r="S14103" s="51"/>
    </row>
    <row r="14104" spans="9:19" x14ac:dyDescent="0.25">
      <c r="I14104" s="1"/>
      <c r="J14104" s="71"/>
      <c r="M14104" s="46"/>
      <c r="R14104" s="51"/>
      <c r="S14104" s="51"/>
    </row>
    <row r="14105" spans="9:19" x14ac:dyDescent="0.25">
      <c r="I14105" s="1"/>
      <c r="J14105" s="71"/>
      <c r="M14105" s="46"/>
      <c r="R14105" s="51"/>
      <c r="S14105" s="51"/>
    </row>
    <row r="14106" spans="9:19" x14ac:dyDescent="0.25">
      <c r="I14106" s="1"/>
      <c r="J14106" s="71"/>
      <c r="M14106" s="46"/>
      <c r="R14106" s="51"/>
      <c r="S14106" s="51"/>
    </row>
    <row r="14107" spans="9:19" x14ac:dyDescent="0.25">
      <c r="I14107" s="1"/>
      <c r="J14107" s="71"/>
      <c r="M14107" s="46"/>
      <c r="R14107" s="51"/>
      <c r="S14107" s="51"/>
    </row>
    <row r="14108" spans="9:19" x14ac:dyDescent="0.25">
      <c r="I14108" s="1"/>
      <c r="J14108" s="71"/>
      <c r="M14108" s="46"/>
      <c r="R14108" s="51"/>
      <c r="S14108" s="51"/>
    </row>
    <row r="14109" spans="9:19" x14ac:dyDescent="0.25">
      <c r="I14109" s="1"/>
      <c r="J14109" s="71"/>
      <c r="M14109" s="46"/>
      <c r="R14109" s="51"/>
      <c r="S14109" s="51"/>
    </row>
    <row r="14110" spans="9:19" x14ac:dyDescent="0.25">
      <c r="I14110" s="1"/>
      <c r="J14110" s="71"/>
      <c r="M14110" s="46"/>
      <c r="R14110" s="51"/>
      <c r="S14110" s="51"/>
    </row>
    <row r="14111" spans="9:19" x14ac:dyDescent="0.25">
      <c r="I14111" s="1"/>
      <c r="J14111" s="71"/>
      <c r="M14111" s="46"/>
      <c r="R14111" s="51"/>
      <c r="S14111" s="51"/>
    </row>
    <row r="14112" spans="9:19" x14ac:dyDescent="0.25">
      <c r="I14112" s="1"/>
      <c r="J14112" s="71"/>
      <c r="M14112" s="46"/>
      <c r="R14112" s="51"/>
      <c r="S14112" s="51"/>
    </row>
    <row r="14113" spans="9:19" x14ac:dyDescent="0.25">
      <c r="I14113" s="1"/>
      <c r="J14113" s="71"/>
      <c r="M14113" s="46"/>
      <c r="R14113" s="51"/>
      <c r="S14113" s="51"/>
    </row>
    <row r="14114" spans="9:19" x14ac:dyDescent="0.25">
      <c r="I14114" s="1"/>
      <c r="J14114" s="71"/>
      <c r="M14114" s="46"/>
      <c r="R14114" s="51"/>
      <c r="S14114" s="51"/>
    </row>
    <row r="14115" spans="9:19" x14ac:dyDescent="0.25">
      <c r="I14115" s="1"/>
      <c r="J14115" s="71"/>
      <c r="M14115" s="46"/>
      <c r="R14115" s="51"/>
      <c r="S14115" s="51"/>
    </row>
    <row r="14116" spans="9:19" x14ac:dyDescent="0.25">
      <c r="I14116" s="1"/>
      <c r="J14116" s="71"/>
      <c r="M14116" s="46"/>
      <c r="R14116" s="51"/>
      <c r="S14116" s="51"/>
    </row>
    <row r="14117" spans="9:19" x14ac:dyDescent="0.25">
      <c r="I14117" s="1"/>
      <c r="J14117" s="71"/>
      <c r="M14117" s="46"/>
      <c r="R14117" s="51"/>
      <c r="S14117" s="51"/>
    </row>
    <row r="14118" spans="9:19" x14ac:dyDescent="0.25">
      <c r="I14118" s="1"/>
      <c r="J14118" s="71"/>
      <c r="M14118" s="46"/>
      <c r="R14118" s="51"/>
      <c r="S14118" s="51"/>
    </row>
    <row r="14119" spans="9:19" x14ac:dyDescent="0.25">
      <c r="I14119" s="1"/>
      <c r="J14119" s="71"/>
      <c r="M14119" s="46"/>
      <c r="R14119" s="51"/>
      <c r="S14119" s="51"/>
    </row>
    <row r="14120" spans="9:19" x14ac:dyDescent="0.25">
      <c r="I14120" s="1"/>
      <c r="J14120" s="71"/>
      <c r="M14120" s="46"/>
      <c r="R14120" s="51"/>
      <c r="S14120" s="51"/>
    </row>
    <row r="14121" spans="9:19" x14ac:dyDescent="0.25">
      <c r="I14121" s="1"/>
      <c r="J14121" s="71"/>
      <c r="M14121" s="46"/>
      <c r="R14121" s="51"/>
      <c r="S14121" s="51"/>
    </row>
    <row r="14122" spans="9:19" x14ac:dyDescent="0.25">
      <c r="I14122" s="1"/>
      <c r="J14122" s="71"/>
      <c r="M14122" s="46"/>
      <c r="R14122" s="51"/>
      <c r="S14122" s="51"/>
    </row>
    <row r="14123" spans="9:19" x14ac:dyDescent="0.25">
      <c r="I14123" s="1"/>
      <c r="J14123" s="71"/>
      <c r="M14123" s="46"/>
      <c r="R14123" s="51"/>
      <c r="S14123" s="51"/>
    </row>
    <row r="14124" spans="9:19" x14ac:dyDescent="0.25">
      <c r="I14124" s="1"/>
      <c r="J14124" s="71"/>
      <c r="M14124" s="46"/>
      <c r="R14124" s="51"/>
      <c r="S14124" s="51"/>
    </row>
    <row r="14125" spans="9:19" x14ac:dyDescent="0.25">
      <c r="I14125" s="1"/>
      <c r="J14125" s="71"/>
      <c r="M14125" s="46"/>
      <c r="R14125" s="51"/>
      <c r="S14125" s="51"/>
    </row>
    <row r="14126" spans="9:19" x14ac:dyDescent="0.25">
      <c r="I14126" s="1"/>
      <c r="J14126" s="71"/>
      <c r="M14126" s="46"/>
      <c r="R14126" s="51"/>
      <c r="S14126" s="51"/>
    </row>
    <row r="14127" spans="9:19" x14ac:dyDescent="0.25">
      <c r="I14127" s="1"/>
      <c r="J14127" s="71"/>
      <c r="M14127" s="46"/>
      <c r="R14127" s="51"/>
      <c r="S14127" s="51"/>
    </row>
    <row r="14128" spans="9:19" x14ac:dyDescent="0.25">
      <c r="I14128" s="1"/>
      <c r="J14128" s="71"/>
      <c r="M14128" s="46"/>
      <c r="R14128" s="51"/>
      <c r="S14128" s="51"/>
    </row>
    <row r="14129" spans="9:19" x14ac:dyDescent="0.25">
      <c r="I14129" s="1"/>
      <c r="J14129" s="71"/>
      <c r="M14129" s="46"/>
      <c r="R14129" s="51"/>
      <c r="S14129" s="51"/>
    </row>
    <row r="14130" spans="9:19" x14ac:dyDescent="0.25">
      <c r="I14130" s="1"/>
      <c r="J14130" s="71"/>
      <c r="M14130" s="46"/>
      <c r="R14130" s="51"/>
      <c r="S14130" s="51"/>
    </row>
    <row r="14131" spans="9:19" x14ac:dyDescent="0.25">
      <c r="I14131" s="1"/>
      <c r="J14131" s="71"/>
      <c r="M14131" s="46"/>
      <c r="R14131" s="51"/>
      <c r="S14131" s="51"/>
    </row>
    <row r="14132" spans="9:19" x14ac:dyDescent="0.25">
      <c r="I14132" s="1"/>
      <c r="J14132" s="71"/>
      <c r="M14132" s="46"/>
      <c r="R14132" s="51"/>
      <c r="S14132" s="51"/>
    </row>
    <row r="14133" spans="9:19" x14ac:dyDescent="0.25">
      <c r="I14133" s="1"/>
      <c r="J14133" s="71"/>
      <c r="M14133" s="46"/>
      <c r="R14133" s="51"/>
      <c r="S14133" s="51"/>
    </row>
    <row r="14134" spans="9:19" x14ac:dyDescent="0.25">
      <c r="I14134" s="1"/>
      <c r="J14134" s="71"/>
      <c r="M14134" s="46"/>
      <c r="R14134" s="51"/>
      <c r="S14134" s="51"/>
    </row>
    <row r="14135" spans="9:19" x14ac:dyDescent="0.25">
      <c r="I14135" s="1"/>
      <c r="J14135" s="71"/>
      <c r="M14135" s="46"/>
      <c r="R14135" s="51"/>
      <c r="S14135" s="51"/>
    </row>
    <row r="14136" spans="9:19" x14ac:dyDescent="0.25">
      <c r="I14136" s="1"/>
      <c r="J14136" s="71"/>
      <c r="M14136" s="46"/>
      <c r="R14136" s="51"/>
      <c r="S14136" s="51"/>
    </row>
    <row r="14137" spans="9:19" x14ac:dyDescent="0.25">
      <c r="I14137" s="1"/>
      <c r="J14137" s="71"/>
      <c r="M14137" s="46"/>
      <c r="R14137" s="51"/>
      <c r="S14137" s="51"/>
    </row>
    <row r="14138" spans="9:19" x14ac:dyDescent="0.25">
      <c r="I14138" s="1"/>
      <c r="J14138" s="71"/>
      <c r="M14138" s="46"/>
      <c r="R14138" s="51"/>
      <c r="S14138" s="51"/>
    </row>
    <row r="14139" spans="9:19" x14ac:dyDescent="0.25">
      <c r="I14139" s="1"/>
      <c r="J14139" s="71"/>
      <c r="M14139" s="46"/>
      <c r="R14139" s="51"/>
      <c r="S14139" s="51"/>
    </row>
    <row r="14140" spans="9:19" x14ac:dyDescent="0.25">
      <c r="I14140" s="1"/>
      <c r="J14140" s="71"/>
      <c r="M14140" s="46"/>
      <c r="R14140" s="51"/>
      <c r="S14140" s="51"/>
    </row>
    <row r="14141" spans="9:19" x14ac:dyDescent="0.25">
      <c r="I14141" s="1"/>
      <c r="J14141" s="71"/>
      <c r="M14141" s="46"/>
      <c r="R14141" s="51"/>
      <c r="S14141" s="51"/>
    </row>
    <row r="14142" spans="9:19" x14ac:dyDescent="0.25">
      <c r="I14142" s="1"/>
      <c r="J14142" s="71"/>
      <c r="M14142" s="46"/>
      <c r="R14142" s="51"/>
      <c r="S14142" s="51"/>
    </row>
    <row r="14143" spans="9:19" x14ac:dyDescent="0.25">
      <c r="I14143" s="1"/>
      <c r="J14143" s="71"/>
      <c r="M14143" s="46"/>
      <c r="R14143" s="51"/>
      <c r="S14143" s="51"/>
    </row>
    <row r="14144" spans="9:19" x14ac:dyDescent="0.25">
      <c r="I14144" s="1"/>
      <c r="J14144" s="71"/>
      <c r="M14144" s="46"/>
      <c r="R14144" s="51"/>
      <c r="S14144" s="51"/>
    </row>
    <row r="14145" spans="9:19" x14ac:dyDescent="0.25">
      <c r="I14145" s="1"/>
      <c r="J14145" s="71"/>
      <c r="M14145" s="46"/>
      <c r="R14145" s="51"/>
      <c r="S14145" s="51"/>
    </row>
    <row r="14146" spans="9:19" x14ac:dyDescent="0.25">
      <c r="I14146" s="1"/>
      <c r="J14146" s="71"/>
      <c r="M14146" s="46"/>
      <c r="R14146" s="51"/>
      <c r="S14146" s="51"/>
    </row>
    <row r="14147" spans="9:19" x14ac:dyDescent="0.25">
      <c r="I14147" s="1"/>
      <c r="J14147" s="71"/>
      <c r="M14147" s="46"/>
      <c r="R14147" s="51"/>
      <c r="S14147" s="51"/>
    </row>
    <row r="14148" spans="9:19" x14ac:dyDescent="0.25">
      <c r="I14148" s="1"/>
      <c r="J14148" s="71"/>
      <c r="M14148" s="46"/>
      <c r="R14148" s="51"/>
      <c r="S14148" s="51"/>
    </row>
    <row r="14149" spans="9:19" x14ac:dyDescent="0.25">
      <c r="I14149" s="1"/>
      <c r="J14149" s="71"/>
      <c r="M14149" s="46"/>
      <c r="R14149" s="51"/>
      <c r="S14149" s="51"/>
    </row>
    <row r="14150" spans="9:19" x14ac:dyDescent="0.25">
      <c r="I14150" s="1"/>
      <c r="J14150" s="71"/>
      <c r="M14150" s="46"/>
      <c r="R14150" s="51"/>
      <c r="S14150" s="51"/>
    </row>
    <row r="14151" spans="9:19" x14ac:dyDescent="0.25">
      <c r="I14151" s="1"/>
      <c r="J14151" s="71"/>
      <c r="M14151" s="46"/>
      <c r="R14151" s="51"/>
      <c r="S14151" s="51"/>
    </row>
    <row r="14152" spans="9:19" x14ac:dyDescent="0.25">
      <c r="I14152" s="1"/>
      <c r="J14152" s="71"/>
      <c r="M14152" s="46"/>
      <c r="R14152" s="51"/>
      <c r="S14152" s="51"/>
    </row>
    <row r="14153" spans="9:19" x14ac:dyDescent="0.25">
      <c r="I14153" s="1"/>
      <c r="J14153" s="71"/>
      <c r="M14153" s="46"/>
      <c r="R14153" s="51"/>
      <c r="S14153" s="51"/>
    </row>
    <row r="14154" spans="9:19" x14ac:dyDescent="0.25">
      <c r="I14154" s="1"/>
      <c r="J14154" s="71"/>
      <c r="M14154" s="46"/>
      <c r="R14154" s="51"/>
      <c r="S14154" s="51"/>
    </row>
    <row r="14155" spans="9:19" x14ac:dyDescent="0.25">
      <c r="I14155" s="1"/>
      <c r="J14155" s="71"/>
      <c r="M14155" s="46"/>
      <c r="R14155" s="51"/>
      <c r="S14155" s="51"/>
    </row>
    <row r="14156" spans="9:19" x14ac:dyDescent="0.25">
      <c r="I14156" s="1"/>
      <c r="J14156" s="71"/>
      <c r="M14156" s="46"/>
      <c r="R14156" s="51"/>
      <c r="S14156" s="51"/>
    </row>
    <row r="14157" spans="9:19" x14ac:dyDescent="0.25">
      <c r="I14157" s="1"/>
      <c r="J14157" s="71"/>
      <c r="M14157" s="46"/>
      <c r="R14157" s="51"/>
      <c r="S14157" s="51"/>
    </row>
    <row r="14158" spans="9:19" x14ac:dyDescent="0.25">
      <c r="I14158" s="1"/>
      <c r="J14158" s="71"/>
      <c r="M14158" s="46"/>
      <c r="R14158" s="51"/>
      <c r="S14158" s="51"/>
    </row>
    <row r="14159" spans="9:19" x14ac:dyDescent="0.25">
      <c r="I14159" s="1"/>
      <c r="J14159" s="71"/>
      <c r="M14159" s="46"/>
      <c r="R14159" s="51"/>
      <c r="S14159" s="51"/>
    </row>
    <row r="14160" spans="9:19" x14ac:dyDescent="0.25">
      <c r="I14160" s="1"/>
      <c r="J14160" s="71"/>
      <c r="M14160" s="46"/>
      <c r="R14160" s="51"/>
      <c r="S14160" s="51"/>
    </row>
    <row r="14161" spans="9:19" x14ac:dyDescent="0.25">
      <c r="I14161" s="1"/>
      <c r="J14161" s="71"/>
      <c r="M14161" s="46"/>
      <c r="R14161" s="51"/>
      <c r="S14161" s="51"/>
    </row>
    <row r="14162" spans="9:19" x14ac:dyDescent="0.25">
      <c r="I14162" s="1"/>
      <c r="J14162" s="71"/>
      <c r="M14162" s="46"/>
      <c r="R14162" s="51"/>
      <c r="S14162" s="51"/>
    </row>
    <row r="14163" spans="9:19" x14ac:dyDescent="0.25">
      <c r="I14163" s="1"/>
      <c r="J14163" s="71"/>
      <c r="M14163" s="46"/>
      <c r="R14163" s="51"/>
      <c r="S14163" s="51"/>
    </row>
    <row r="14164" spans="9:19" x14ac:dyDescent="0.25">
      <c r="I14164" s="1"/>
      <c r="J14164" s="71"/>
      <c r="M14164" s="46"/>
      <c r="R14164" s="51"/>
      <c r="S14164" s="51"/>
    </row>
    <row r="14165" spans="9:19" x14ac:dyDescent="0.25">
      <c r="I14165" s="1"/>
      <c r="J14165" s="71"/>
      <c r="M14165" s="46"/>
      <c r="R14165" s="51"/>
      <c r="S14165" s="51"/>
    </row>
    <row r="14166" spans="9:19" x14ac:dyDescent="0.25">
      <c r="I14166" s="1"/>
      <c r="J14166" s="71"/>
      <c r="M14166" s="46"/>
      <c r="R14166" s="51"/>
      <c r="S14166" s="51"/>
    </row>
    <row r="14167" spans="9:19" x14ac:dyDescent="0.25">
      <c r="I14167" s="1"/>
      <c r="J14167" s="71"/>
      <c r="M14167" s="46"/>
      <c r="R14167" s="51"/>
      <c r="S14167" s="51"/>
    </row>
    <row r="14168" spans="9:19" x14ac:dyDescent="0.25">
      <c r="I14168" s="1"/>
      <c r="J14168" s="71"/>
      <c r="M14168" s="46"/>
      <c r="R14168" s="51"/>
      <c r="S14168" s="51"/>
    </row>
    <row r="14169" spans="9:19" x14ac:dyDescent="0.25">
      <c r="I14169" s="1"/>
      <c r="J14169" s="71"/>
      <c r="M14169" s="46"/>
      <c r="R14169" s="51"/>
      <c r="S14169" s="51"/>
    </row>
    <row r="14170" spans="9:19" x14ac:dyDescent="0.25">
      <c r="I14170" s="1"/>
      <c r="J14170" s="71"/>
      <c r="M14170" s="46"/>
      <c r="R14170" s="51"/>
      <c r="S14170" s="51"/>
    </row>
    <row r="14171" spans="9:19" x14ac:dyDescent="0.25">
      <c r="I14171" s="1"/>
      <c r="J14171" s="71"/>
      <c r="M14171" s="46"/>
      <c r="R14171" s="51"/>
      <c r="S14171" s="51"/>
    </row>
    <row r="14172" spans="9:19" x14ac:dyDescent="0.25">
      <c r="I14172" s="1"/>
      <c r="J14172" s="71"/>
      <c r="M14172" s="46"/>
      <c r="R14172" s="51"/>
      <c r="S14172" s="51"/>
    </row>
    <row r="14173" spans="9:19" x14ac:dyDescent="0.25">
      <c r="I14173" s="1"/>
      <c r="J14173" s="71"/>
      <c r="M14173" s="46"/>
      <c r="R14173" s="51"/>
      <c r="S14173" s="51"/>
    </row>
    <row r="14174" spans="9:19" x14ac:dyDescent="0.25">
      <c r="I14174" s="1"/>
      <c r="J14174" s="71"/>
      <c r="M14174" s="46"/>
      <c r="R14174" s="51"/>
      <c r="S14174" s="51"/>
    </row>
    <row r="14175" spans="9:19" x14ac:dyDescent="0.25">
      <c r="I14175" s="1"/>
      <c r="J14175" s="71"/>
      <c r="M14175" s="46"/>
      <c r="R14175" s="51"/>
      <c r="S14175" s="51"/>
    </row>
    <row r="14176" spans="9:19" x14ac:dyDescent="0.25">
      <c r="I14176" s="1"/>
      <c r="J14176" s="71"/>
      <c r="M14176" s="46"/>
      <c r="R14176" s="51"/>
      <c r="S14176" s="51"/>
    </row>
    <row r="14177" spans="9:19" x14ac:dyDescent="0.25">
      <c r="I14177" s="1"/>
      <c r="J14177" s="71"/>
      <c r="M14177" s="46"/>
      <c r="R14177" s="51"/>
      <c r="S14177" s="51"/>
    </row>
    <row r="14178" spans="9:19" x14ac:dyDescent="0.25">
      <c r="I14178" s="1"/>
      <c r="J14178" s="71"/>
      <c r="M14178" s="46"/>
      <c r="R14178" s="51"/>
      <c r="S14178" s="51"/>
    </row>
    <row r="14179" spans="9:19" x14ac:dyDescent="0.25">
      <c r="I14179" s="1"/>
      <c r="J14179" s="71"/>
      <c r="M14179" s="46"/>
      <c r="R14179" s="51"/>
      <c r="S14179" s="51"/>
    </row>
    <row r="14180" spans="9:19" x14ac:dyDescent="0.25">
      <c r="I14180" s="1"/>
      <c r="J14180" s="71"/>
      <c r="M14180" s="46"/>
      <c r="R14180" s="51"/>
      <c r="S14180" s="51"/>
    </row>
    <row r="14181" spans="9:19" x14ac:dyDescent="0.25">
      <c r="I14181" s="1"/>
      <c r="J14181" s="71"/>
      <c r="M14181" s="46"/>
      <c r="R14181" s="51"/>
      <c r="S14181" s="51"/>
    </row>
    <row r="14182" spans="9:19" x14ac:dyDescent="0.25">
      <c r="I14182" s="1"/>
      <c r="J14182" s="71"/>
      <c r="M14182" s="46"/>
      <c r="R14182" s="51"/>
      <c r="S14182" s="51"/>
    </row>
    <row r="14183" spans="9:19" x14ac:dyDescent="0.25">
      <c r="I14183" s="1"/>
      <c r="J14183" s="71"/>
      <c r="M14183" s="46"/>
      <c r="R14183" s="51"/>
      <c r="S14183" s="51"/>
    </row>
    <row r="14184" spans="9:19" x14ac:dyDescent="0.25">
      <c r="I14184" s="1"/>
      <c r="J14184" s="71"/>
      <c r="M14184" s="46"/>
      <c r="R14184" s="51"/>
      <c r="S14184" s="51"/>
    </row>
    <row r="14185" spans="9:19" x14ac:dyDescent="0.25">
      <c r="I14185" s="1"/>
      <c r="J14185" s="71"/>
      <c r="M14185" s="46"/>
      <c r="R14185" s="51"/>
      <c r="S14185" s="51"/>
    </row>
    <row r="14186" spans="9:19" x14ac:dyDescent="0.25">
      <c r="I14186" s="1"/>
      <c r="J14186" s="71"/>
      <c r="M14186" s="46"/>
      <c r="R14186" s="51"/>
      <c r="S14186" s="51"/>
    </row>
    <row r="14187" spans="9:19" x14ac:dyDescent="0.25">
      <c r="I14187" s="1"/>
      <c r="J14187" s="71"/>
      <c r="M14187" s="46"/>
      <c r="R14187" s="51"/>
      <c r="S14187" s="51"/>
    </row>
    <row r="14188" spans="9:19" x14ac:dyDescent="0.25">
      <c r="I14188" s="1"/>
      <c r="J14188" s="71"/>
      <c r="M14188" s="46"/>
      <c r="R14188" s="51"/>
      <c r="S14188" s="51"/>
    </row>
    <row r="14189" spans="9:19" x14ac:dyDescent="0.25">
      <c r="I14189" s="1"/>
      <c r="J14189" s="71"/>
      <c r="M14189" s="46"/>
      <c r="R14189" s="51"/>
      <c r="S14189" s="51"/>
    </row>
    <row r="14190" spans="9:19" x14ac:dyDescent="0.25">
      <c r="I14190" s="1"/>
      <c r="J14190" s="71"/>
      <c r="M14190" s="46"/>
      <c r="R14190" s="51"/>
      <c r="S14190" s="51"/>
    </row>
    <row r="14191" spans="9:19" x14ac:dyDescent="0.25">
      <c r="I14191" s="1"/>
      <c r="J14191" s="71"/>
      <c r="M14191" s="46"/>
      <c r="R14191" s="51"/>
      <c r="S14191" s="51"/>
    </row>
    <row r="14192" spans="9:19" x14ac:dyDescent="0.25">
      <c r="I14192" s="1"/>
      <c r="J14192" s="71"/>
      <c r="M14192" s="46"/>
      <c r="R14192" s="51"/>
      <c r="S14192" s="51"/>
    </row>
    <row r="14193" spans="9:19" x14ac:dyDescent="0.25">
      <c r="I14193" s="1"/>
      <c r="J14193" s="71"/>
      <c r="M14193" s="46"/>
      <c r="R14193" s="51"/>
      <c r="S14193" s="51"/>
    </row>
    <row r="14194" spans="9:19" x14ac:dyDescent="0.25">
      <c r="I14194" s="1"/>
      <c r="J14194" s="71"/>
      <c r="M14194" s="46"/>
      <c r="R14194" s="51"/>
      <c r="S14194" s="51"/>
    </row>
    <row r="14195" spans="9:19" x14ac:dyDescent="0.25">
      <c r="I14195" s="1"/>
      <c r="J14195" s="71"/>
      <c r="M14195" s="46"/>
      <c r="R14195" s="51"/>
      <c r="S14195" s="51"/>
    </row>
    <row r="14196" spans="9:19" x14ac:dyDescent="0.25">
      <c r="I14196" s="1"/>
      <c r="J14196" s="71"/>
      <c r="M14196" s="46"/>
      <c r="R14196" s="51"/>
      <c r="S14196" s="51"/>
    </row>
    <row r="14197" spans="9:19" x14ac:dyDescent="0.25">
      <c r="I14197" s="1"/>
      <c r="J14197" s="71"/>
      <c r="M14197" s="46"/>
      <c r="R14197" s="51"/>
      <c r="S14197" s="51"/>
    </row>
    <row r="14198" spans="9:19" x14ac:dyDescent="0.25">
      <c r="I14198" s="1"/>
      <c r="J14198" s="71"/>
      <c r="M14198" s="46"/>
      <c r="R14198" s="51"/>
      <c r="S14198" s="51"/>
    </row>
    <row r="14199" spans="9:19" x14ac:dyDescent="0.25">
      <c r="I14199" s="1"/>
      <c r="J14199" s="71"/>
      <c r="M14199" s="46"/>
      <c r="R14199" s="51"/>
      <c r="S14199" s="51"/>
    </row>
    <row r="14200" spans="9:19" x14ac:dyDescent="0.25">
      <c r="I14200" s="1"/>
      <c r="J14200" s="71"/>
      <c r="M14200" s="46"/>
      <c r="R14200" s="51"/>
      <c r="S14200" s="51"/>
    </row>
    <row r="14201" spans="9:19" x14ac:dyDescent="0.25">
      <c r="I14201" s="1"/>
      <c r="J14201" s="71"/>
      <c r="M14201" s="46"/>
      <c r="R14201" s="51"/>
      <c r="S14201" s="51"/>
    </row>
    <row r="14202" spans="9:19" x14ac:dyDescent="0.25">
      <c r="I14202" s="1"/>
      <c r="J14202" s="71"/>
      <c r="M14202" s="46"/>
      <c r="R14202" s="51"/>
      <c r="S14202" s="51"/>
    </row>
    <row r="14203" spans="9:19" x14ac:dyDescent="0.25">
      <c r="I14203" s="1"/>
      <c r="J14203" s="71"/>
      <c r="M14203" s="46"/>
      <c r="R14203" s="51"/>
      <c r="S14203" s="51"/>
    </row>
    <row r="14204" spans="9:19" x14ac:dyDescent="0.25">
      <c r="I14204" s="1"/>
      <c r="J14204" s="71"/>
      <c r="M14204" s="46"/>
      <c r="R14204" s="51"/>
      <c r="S14204" s="51"/>
    </row>
    <row r="14205" spans="9:19" x14ac:dyDescent="0.25">
      <c r="I14205" s="1"/>
      <c r="J14205" s="71"/>
      <c r="M14205" s="46"/>
      <c r="R14205" s="51"/>
      <c r="S14205" s="51"/>
    </row>
    <row r="14206" spans="9:19" x14ac:dyDescent="0.25">
      <c r="I14206" s="1"/>
      <c r="J14206" s="71"/>
      <c r="M14206" s="46"/>
      <c r="R14206" s="51"/>
      <c r="S14206" s="51"/>
    </row>
    <row r="14207" spans="9:19" x14ac:dyDescent="0.25">
      <c r="I14207" s="1"/>
      <c r="J14207" s="71"/>
      <c r="M14207" s="46"/>
      <c r="R14207" s="51"/>
      <c r="S14207" s="51"/>
    </row>
    <row r="14208" spans="9:19" x14ac:dyDescent="0.25">
      <c r="I14208" s="1"/>
      <c r="J14208" s="71"/>
      <c r="M14208" s="46"/>
      <c r="R14208" s="51"/>
      <c r="S14208" s="51"/>
    </row>
    <row r="14209" spans="9:19" x14ac:dyDescent="0.25">
      <c r="I14209" s="1"/>
      <c r="J14209" s="71"/>
      <c r="M14209" s="46"/>
      <c r="R14209" s="51"/>
      <c r="S14209" s="51"/>
    </row>
    <row r="14210" spans="9:19" x14ac:dyDescent="0.25">
      <c r="I14210" s="1"/>
      <c r="J14210" s="71"/>
      <c r="M14210" s="46"/>
      <c r="R14210" s="51"/>
      <c r="S14210" s="51"/>
    </row>
    <row r="14211" spans="9:19" x14ac:dyDescent="0.25">
      <c r="I14211" s="1"/>
      <c r="J14211" s="71"/>
      <c r="M14211" s="46"/>
      <c r="R14211" s="51"/>
      <c r="S14211" s="51"/>
    </row>
    <row r="14212" spans="9:19" x14ac:dyDescent="0.25">
      <c r="I14212" s="1"/>
      <c r="J14212" s="71"/>
      <c r="M14212" s="46"/>
      <c r="R14212" s="51"/>
      <c r="S14212" s="51"/>
    </row>
    <row r="14213" spans="9:19" x14ac:dyDescent="0.25">
      <c r="I14213" s="1"/>
      <c r="J14213" s="71"/>
      <c r="M14213" s="46"/>
      <c r="R14213" s="51"/>
      <c r="S14213" s="51"/>
    </row>
    <row r="14214" spans="9:19" x14ac:dyDescent="0.25">
      <c r="I14214" s="1"/>
      <c r="J14214" s="71"/>
      <c r="M14214" s="46"/>
      <c r="R14214" s="51"/>
      <c r="S14214" s="51"/>
    </row>
    <row r="14215" spans="9:19" x14ac:dyDescent="0.25">
      <c r="I14215" s="1"/>
      <c r="J14215" s="71"/>
      <c r="M14215" s="46"/>
      <c r="R14215" s="51"/>
      <c r="S14215" s="51"/>
    </row>
    <row r="14216" spans="9:19" x14ac:dyDescent="0.25">
      <c r="I14216" s="1"/>
      <c r="J14216" s="71"/>
      <c r="M14216" s="46"/>
      <c r="R14216" s="51"/>
      <c r="S14216" s="51"/>
    </row>
    <row r="14217" spans="9:19" x14ac:dyDescent="0.25">
      <c r="I14217" s="1"/>
      <c r="J14217" s="71"/>
      <c r="M14217" s="46"/>
      <c r="R14217" s="51"/>
      <c r="S14217" s="51"/>
    </row>
    <row r="14218" spans="9:19" x14ac:dyDescent="0.25">
      <c r="I14218" s="1"/>
      <c r="J14218" s="71"/>
      <c r="M14218" s="46"/>
      <c r="R14218" s="51"/>
      <c r="S14218" s="51"/>
    </row>
    <row r="14219" spans="9:19" x14ac:dyDescent="0.25">
      <c r="I14219" s="1"/>
      <c r="J14219" s="71"/>
      <c r="M14219" s="46"/>
      <c r="R14219" s="51"/>
      <c r="S14219" s="51"/>
    </row>
    <row r="14220" spans="9:19" x14ac:dyDescent="0.25">
      <c r="I14220" s="1"/>
      <c r="J14220" s="71"/>
      <c r="M14220" s="46"/>
      <c r="R14220" s="51"/>
      <c r="S14220" s="51"/>
    </row>
    <row r="14221" spans="9:19" x14ac:dyDescent="0.25">
      <c r="I14221" s="1"/>
      <c r="J14221" s="71"/>
      <c r="M14221" s="46"/>
      <c r="R14221" s="51"/>
      <c r="S14221" s="51"/>
    </row>
    <row r="14222" spans="9:19" x14ac:dyDescent="0.25">
      <c r="I14222" s="1"/>
      <c r="J14222" s="71"/>
      <c r="M14222" s="46"/>
      <c r="R14222" s="51"/>
      <c r="S14222" s="51"/>
    </row>
    <row r="14223" spans="9:19" x14ac:dyDescent="0.25">
      <c r="I14223" s="1"/>
      <c r="J14223" s="71"/>
      <c r="M14223" s="46"/>
      <c r="R14223" s="51"/>
      <c r="S14223" s="51"/>
    </row>
    <row r="14224" spans="9:19" x14ac:dyDescent="0.25">
      <c r="I14224" s="1"/>
      <c r="J14224" s="71"/>
      <c r="M14224" s="46"/>
      <c r="R14224" s="51"/>
      <c r="S14224" s="51"/>
    </row>
    <row r="14225" spans="9:19" x14ac:dyDescent="0.25">
      <c r="I14225" s="1"/>
      <c r="J14225" s="71"/>
      <c r="M14225" s="46"/>
      <c r="R14225" s="51"/>
      <c r="S14225" s="51"/>
    </row>
    <row r="14226" spans="9:19" x14ac:dyDescent="0.25">
      <c r="I14226" s="1"/>
      <c r="J14226" s="71"/>
      <c r="M14226" s="46"/>
      <c r="R14226" s="51"/>
      <c r="S14226" s="51"/>
    </row>
    <row r="14227" spans="9:19" x14ac:dyDescent="0.25">
      <c r="I14227" s="1"/>
      <c r="J14227" s="71"/>
      <c r="M14227" s="46"/>
      <c r="R14227" s="51"/>
      <c r="S14227" s="51"/>
    </row>
    <row r="14228" spans="9:19" x14ac:dyDescent="0.25">
      <c r="I14228" s="1"/>
      <c r="J14228" s="71"/>
      <c r="M14228" s="46"/>
      <c r="R14228" s="51"/>
      <c r="S14228" s="51"/>
    </row>
    <row r="14229" spans="9:19" x14ac:dyDescent="0.25">
      <c r="I14229" s="1"/>
      <c r="J14229" s="71"/>
      <c r="M14229" s="46"/>
      <c r="R14229" s="51"/>
      <c r="S14229" s="51"/>
    </row>
    <row r="14230" spans="9:19" x14ac:dyDescent="0.25">
      <c r="I14230" s="1"/>
      <c r="J14230" s="71"/>
      <c r="M14230" s="46"/>
      <c r="R14230" s="51"/>
      <c r="S14230" s="51"/>
    </row>
    <row r="14231" spans="9:19" x14ac:dyDescent="0.25">
      <c r="I14231" s="1"/>
      <c r="J14231" s="71"/>
      <c r="M14231" s="46"/>
      <c r="R14231" s="51"/>
      <c r="S14231" s="51"/>
    </row>
    <row r="14232" spans="9:19" x14ac:dyDescent="0.25">
      <c r="I14232" s="1"/>
      <c r="J14232" s="71"/>
      <c r="M14232" s="46"/>
      <c r="R14232" s="51"/>
      <c r="S14232" s="51"/>
    </row>
    <row r="14233" spans="9:19" x14ac:dyDescent="0.25">
      <c r="I14233" s="1"/>
      <c r="J14233" s="71"/>
      <c r="M14233" s="46"/>
      <c r="R14233" s="51"/>
      <c r="S14233" s="51"/>
    </row>
    <row r="14234" spans="9:19" x14ac:dyDescent="0.25">
      <c r="I14234" s="1"/>
      <c r="J14234" s="71"/>
      <c r="M14234" s="46"/>
      <c r="R14234" s="51"/>
      <c r="S14234" s="51"/>
    </row>
    <row r="14235" spans="9:19" x14ac:dyDescent="0.25">
      <c r="I14235" s="1"/>
      <c r="J14235" s="71"/>
      <c r="M14235" s="46"/>
      <c r="R14235" s="51"/>
      <c r="S14235" s="51"/>
    </row>
    <row r="14236" spans="9:19" x14ac:dyDescent="0.25">
      <c r="I14236" s="1"/>
      <c r="J14236" s="71"/>
      <c r="M14236" s="46"/>
      <c r="R14236" s="51"/>
      <c r="S14236" s="51"/>
    </row>
    <row r="14237" spans="9:19" x14ac:dyDescent="0.25">
      <c r="I14237" s="1"/>
      <c r="J14237" s="71"/>
      <c r="M14237" s="46"/>
      <c r="R14237" s="51"/>
      <c r="S14237" s="51"/>
    </row>
    <row r="14238" spans="9:19" x14ac:dyDescent="0.25">
      <c r="I14238" s="1"/>
      <c r="J14238" s="71"/>
      <c r="M14238" s="46"/>
      <c r="R14238" s="51"/>
      <c r="S14238" s="51"/>
    </row>
    <row r="14239" spans="9:19" x14ac:dyDescent="0.25">
      <c r="I14239" s="1"/>
      <c r="J14239" s="71"/>
      <c r="M14239" s="46"/>
      <c r="R14239" s="51"/>
      <c r="S14239" s="51"/>
    </row>
    <row r="14240" spans="9:19" x14ac:dyDescent="0.25">
      <c r="I14240" s="1"/>
      <c r="J14240" s="71"/>
      <c r="M14240" s="46"/>
      <c r="R14240" s="51"/>
      <c r="S14240" s="51"/>
    </row>
    <row r="14241" spans="9:19" x14ac:dyDescent="0.25">
      <c r="I14241" s="1"/>
      <c r="J14241" s="71"/>
      <c r="M14241" s="46"/>
      <c r="R14241" s="51"/>
      <c r="S14241" s="51"/>
    </row>
    <row r="14242" spans="9:19" x14ac:dyDescent="0.25">
      <c r="I14242" s="1"/>
      <c r="J14242" s="71"/>
      <c r="M14242" s="46"/>
      <c r="R14242" s="51"/>
      <c r="S14242" s="51"/>
    </row>
    <row r="14243" spans="9:19" x14ac:dyDescent="0.25">
      <c r="I14243" s="1"/>
      <c r="J14243" s="71"/>
      <c r="M14243" s="46"/>
      <c r="R14243" s="51"/>
      <c r="S14243" s="51"/>
    </row>
    <row r="14244" spans="9:19" x14ac:dyDescent="0.25">
      <c r="I14244" s="1"/>
      <c r="J14244" s="71"/>
      <c r="M14244" s="46"/>
      <c r="R14244" s="51"/>
      <c r="S14244" s="51"/>
    </row>
    <row r="14245" spans="9:19" x14ac:dyDescent="0.25">
      <c r="I14245" s="1"/>
      <c r="J14245" s="71"/>
      <c r="M14245" s="46"/>
      <c r="R14245" s="51"/>
      <c r="S14245" s="51"/>
    </row>
    <row r="14246" spans="9:19" x14ac:dyDescent="0.25">
      <c r="I14246" s="1"/>
      <c r="J14246" s="71"/>
      <c r="M14246" s="46"/>
      <c r="R14246" s="51"/>
      <c r="S14246" s="51"/>
    </row>
    <row r="14247" spans="9:19" x14ac:dyDescent="0.25">
      <c r="I14247" s="1"/>
      <c r="J14247" s="71"/>
      <c r="M14247" s="46"/>
      <c r="R14247" s="51"/>
      <c r="S14247" s="51"/>
    </row>
    <row r="14248" spans="9:19" x14ac:dyDescent="0.25">
      <c r="I14248" s="1"/>
      <c r="J14248" s="71"/>
      <c r="M14248" s="46"/>
      <c r="R14248" s="51"/>
      <c r="S14248" s="51"/>
    </row>
    <row r="14249" spans="9:19" x14ac:dyDescent="0.25">
      <c r="I14249" s="1"/>
      <c r="J14249" s="71"/>
      <c r="M14249" s="46"/>
      <c r="R14249" s="51"/>
      <c r="S14249" s="51"/>
    </row>
    <row r="14250" spans="9:19" x14ac:dyDescent="0.25">
      <c r="I14250" s="1"/>
      <c r="J14250" s="71"/>
      <c r="M14250" s="46"/>
      <c r="R14250" s="51"/>
      <c r="S14250" s="51"/>
    </row>
    <row r="14251" spans="9:19" x14ac:dyDescent="0.25">
      <c r="I14251" s="1"/>
      <c r="J14251" s="71"/>
      <c r="M14251" s="46"/>
      <c r="R14251" s="51"/>
      <c r="S14251" s="51"/>
    </row>
    <row r="14252" spans="9:19" x14ac:dyDescent="0.25">
      <c r="I14252" s="1"/>
      <c r="J14252" s="71"/>
      <c r="M14252" s="46"/>
      <c r="R14252" s="51"/>
      <c r="S14252" s="51"/>
    </row>
    <row r="14253" spans="9:19" x14ac:dyDescent="0.25">
      <c r="I14253" s="1"/>
      <c r="J14253" s="71"/>
      <c r="M14253" s="46"/>
      <c r="R14253" s="51"/>
      <c r="S14253" s="51"/>
    </row>
    <row r="14254" spans="9:19" x14ac:dyDescent="0.25">
      <c r="I14254" s="1"/>
      <c r="J14254" s="71"/>
      <c r="M14254" s="46"/>
      <c r="R14254" s="51"/>
      <c r="S14254" s="51"/>
    </row>
    <row r="14255" spans="9:19" x14ac:dyDescent="0.25">
      <c r="I14255" s="1"/>
      <c r="J14255" s="71"/>
      <c r="M14255" s="46"/>
      <c r="R14255" s="51"/>
      <c r="S14255" s="51"/>
    </row>
    <row r="14256" spans="9:19" x14ac:dyDescent="0.25">
      <c r="I14256" s="1"/>
      <c r="J14256" s="71"/>
      <c r="M14256" s="46"/>
      <c r="R14256" s="51"/>
      <c r="S14256" s="51"/>
    </row>
    <row r="14257" spans="9:19" x14ac:dyDescent="0.25">
      <c r="I14257" s="1"/>
      <c r="J14257" s="71"/>
      <c r="M14257" s="46"/>
      <c r="R14257" s="51"/>
      <c r="S14257" s="51"/>
    </row>
    <row r="14258" spans="9:19" x14ac:dyDescent="0.25">
      <c r="I14258" s="1"/>
      <c r="J14258" s="71"/>
      <c r="M14258" s="46"/>
      <c r="R14258" s="51"/>
      <c r="S14258" s="51"/>
    </row>
    <row r="14259" spans="9:19" x14ac:dyDescent="0.25">
      <c r="I14259" s="1"/>
      <c r="J14259" s="71"/>
      <c r="M14259" s="46"/>
      <c r="R14259" s="51"/>
      <c r="S14259" s="51"/>
    </row>
    <row r="14260" spans="9:19" x14ac:dyDescent="0.25">
      <c r="I14260" s="1"/>
      <c r="J14260" s="71"/>
      <c r="M14260" s="46"/>
      <c r="R14260" s="51"/>
      <c r="S14260" s="51"/>
    </row>
    <row r="14261" spans="9:19" x14ac:dyDescent="0.25">
      <c r="I14261" s="1"/>
      <c r="J14261" s="71"/>
      <c r="M14261" s="46"/>
      <c r="R14261" s="51"/>
      <c r="S14261" s="51"/>
    </row>
    <row r="14262" spans="9:19" x14ac:dyDescent="0.25">
      <c r="I14262" s="1"/>
      <c r="J14262" s="71"/>
      <c r="M14262" s="46"/>
      <c r="R14262" s="51"/>
      <c r="S14262" s="51"/>
    </row>
    <row r="14263" spans="9:19" x14ac:dyDescent="0.25">
      <c r="I14263" s="1"/>
      <c r="J14263" s="71"/>
      <c r="M14263" s="46"/>
      <c r="R14263" s="51"/>
      <c r="S14263" s="51"/>
    </row>
    <row r="14264" spans="9:19" x14ac:dyDescent="0.25">
      <c r="I14264" s="1"/>
      <c r="J14264" s="71"/>
      <c r="M14264" s="46"/>
      <c r="R14264" s="51"/>
      <c r="S14264" s="51"/>
    </row>
    <row r="14265" spans="9:19" x14ac:dyDescent="0.25">
      <c r="I14265" s="1"/>
      <c r="J14265" s="71"/>
      <c r="M14265" s="46"/>
      <c r="R14265" s="51"/>
      <c r="S14265" s="51"/>
    </row>
    <row r="14266" spans="9:19" x14ac:dyDescent="0.25">
      <c r="I14266" s="1"/>
      <c r="J14266" s="71"/>
      <c r="M14266" s="46"/>
      <c r="R14266" s="51"/>
      <c r="S14266" s="51"/>
    </row>
    <row r="14267" spans="9:19" x14ac:dyDescent="0.25">
      <c r="I14267" s="1"/>
      <c r="J14267" s="71"/>
      <c r="M14267" s="46"/>
      <c r="R14267" s="51"/>
      <c r="S14267" s="51"/>
    </row>
    <row r="14268" spans="9:19" x14ac:dyDescent="0.25">
      <c r="I14268" s="1"/>
      <c r="J14268" s="71"/>
      <c r="M14268" s="46"/>
      <c r="R14268" s="51"/>
      <c r="S14268" s="51"/>
    </row>
    <row r="14269" spans="9:19" x14ac:dyDescent="0.25">
      <c r="I14269" s="1"/>
      <c r="J14269" s="71"/>
      <c r="M14269" s="46"/>
      <c r="R14269" s="51"/>
      <c r="S14269" s="51"/>
    </row>
    <row r="14270" spans="9:19" x14ac:dyDescent="0.25">
      <c r="I14270" s="1"/>
      <c r="J14270" s="71"/>
      <c r="M14270" s="46"/>
      <c r="R14270" s="51"/>
      <c r="S14270" s="51"/>
    </row>
    <row r="14271" spans="9:19" x14ac:dyDescent="0.25">
      <c r="I14271" s="1"/>
      <c r="J14271" s="71"/>
      <c r="M14271" s="46"/>
      <c r="R14271" s="51"/>
      <c r="S14271" s="51"/>
    </row>
    <row r="14272" spans="9:19" x14ac:dyDescent="0.25">
      <c r="I14272" s="1"/>
      <c r="J14272" s="71"/>
      <c r="M14272" s="46"/>
      <c r="R14272" s="51"/>
      <c r="S14272" s="51"/>
    </row>
    <row r="14273" spans="9:19" x14ac:dyDescent="0.25">
      <c r="I14273" s="1"/>
      <c r="J14273" s="71"/>
      <c r="M14273" s="46"/>
      <c r="R14273" s="51"/>
      <c r="S14273" s="51"/>
    </row>
    <row r="14274" spans="9:19" x14ac:dyDescent="0.25">
      <c r="I14274" s="1"/>
      <c r="J14274" s="71"/>
      <c r="M14274" s="46"/>
      <c r="R14274" s="51"/>
      <c r="S14274" s="51"/>
    </row>
    <row r="14275" spans="9:19" x14ac:dyDescent="0.25">
      <c r="I14275" s="1"/>
      <c r="J14275" s="71"/>
      <c r="M14275" s="46"/>
      <c r="R14275" s="51"/>
      <c r="S14275" s="51"/>
    </row>
    <row r="14276" spans="9:19" x14ac:dyDescent="0.25">
      <c r="I14276" s="1"/>
      <c r="J14276" s="71"/>
      <c r="M14276" s="46"/>
      <c r="R14276" s="51"/>
      <c r="S14276" s="51"/>
    </row>
    <row r="14277" spans="9:19" x14ac:dyDescent="0.25">
      <c r="I14277" s="1"/>
      <c r="J14277" s="71"/>
      <c r="M14277" s="46"/>
      <c r="R14277" s="51"/>
      <c r="S14277" s="51"/>
    </row>
    <row r="14278" spans="9:19" x14ac:dyDescent="0.25">
      <c r="I14278" s="1"/>
      <c r="J14278" s="71"/>
      <c r="M14278" s="46"/>
      <c r="R14278" s="51"/>
      <c r="S14278" s="51"/>
    </row>
    <row r="14279" spans="9:19" x14ac:dyDescent="0.25">
      <c r="I14279" s="1"/>
      <c r="J14279" s="71"/>
      <c r="M14279" s="46"/>
      <c r="R14279" s="51"/>
      <c r="S14279" s="51"/>
    </row>
    <row r="14280" spans="9:19" x14ac:dyDescent="0.25">
      <c r="I14280" s="1"/>
      <c r="J14280" s="71"/>
      <c r="M14280" s="46"/>
      <c r="R14280" s="51"/>
      <c r="S14280" s="51"/>
    </row>
    <row r="14281" spans="9:19" x14ac:dyDescent="0.25">
      <c r="I14281" s="1"/>
      <c r="J14281" s="71"/>
      <c r="M14281" s="46"/>
      <c r="R14281" s="51"/>
      <c r="S14281" s="51"/>
    </row>
    <row r="14282" spans="9:19" x14ac:dyDescent="0.25">
      <c r="I14282" s="1"/>
      <c r="J14282" s="71"/>
      <c r="M14282" s="46"/>
      <c r="R14282" s="51"/>
      <c r="S14282" s="51"/>
    </row>
    <row r="14283" spans="9:19" x14ac:dyDescent="0.25">
      <c r="I14283" s="1"/>
      <c r="J14283" s="71"/>
      <c r="M14283" s="46"/>
      <c r="R14283" s="51"/>
      <c r="S14283" s="51"/>
    </row>
    <row r="14284" spans="9:19" x14ac:dyDescent="0.25">
      <c r="I14284" s="1"/>
      <c r="J14284" s="71"/>
      <c r="M14284" s="46"/>
      <c r="R14284" s="51"/>
      <c r="S14284" s="51"/>
    </row>
    <row r="14285" spans="9:19" x14ac:dyDescent="0.25">
      <c r="I14285" s="1"/>
      <c r="J14285" s="71"/>
      <c r="M14285" s="46"/>
      <c r="R14285" s="51"/>
      <c r="S14285" s="51"/>
    </row>
    <row r="14286" spans="9:19" x14ac:dyDescent="0.25">
      <c r="I14286" s="1"/>
      <c r="J14286" s="71"/>
      <c r="M14286" s="46"/>
      <c r="R14286" s="51"/>
      <c r="S14286" s="51"/>
    </row>
    <row r="14287" spans="9:19" x14ac:dyDescent="0.25">
      <c r="I14287" s="1"/>
      <c r="J14287" s="71"/>
      <c r="M14287" s="46"/>
      <c r="R14287" s="51"/>
      <c r="S14287" s="51"/>
    </row>
    <row r="14288" spans="9:19" x14ac:dyDescent="0.25">
      <c r="I14288" s="1"/>
      <c r="J14288" s="71"/>
      <c r="M14288" s="46"/>
      <c r="R14288" s="51"/>
      <c r="S14288" s="51"/>
    </row>
    <row r="14289" spans="9:19" x14ac:dyDescent="0.25">
      <c r="I14289" s="1"/>
      <c r="J14289" s="71"/>
      <c r="M14289" s="46"/>
      <c r="R14289" s="51"/>
      <c r="S14289" s="51"/>
    </row>
    <row r="14290" spans="9:19" x14ac:dyDescent="0.25">
      <c r="I14290" s="1"/>
      <c r="J14290" s="71"/>
      <c r="M14290" s="46"/>
      <c r="R14290" s="51"/>
      <c r="S14290" s="51"/>
    </row>
    <row r="14291" spans="9:19" x14ac:dyDescent="0.25">
      <c r="I14291" s="1"/>
      <c r="J14291" s="71"/>
      <c r="M14291" s="46"/>
      <c r="R14291" s="51"/>
      <c r="S14291" s="51"/>
    </row>
    <row r="14292" spans="9:19" x14ac:dyDescent="0.25">
      <c r="I14292" s="1"/>
      <c r="J14292" s="71"/>
      <c r="M14292" s="46"/>
      <c r="R14292" s="51"/>
      <c r="S14292" s="51"/>
    </row>
    <row r="14293" spans="9:19" x14ac:dyDescent="0.25">
      <c r="I14293" s="1"/>
      <c r="J14293" s="71"/>
      <c r="M14293" s="46"/>
      <c r="R14293" s="51"/>
      <c r="S14293" s="51"/>
    </row>
    <row r="14294" spans="9:19" x14ac:dyDescent="0.25">
      <c r="I14294" s="1"/>
      <c r="J14294" s="71"/>
      <c r="M14294" s="46"/>
      <c r="R14294" s="51"/>
      <c r="S14294" s="51"/>
    </row>
    <row r="14295" spans="9:19" x14ac:dyDescent="0.25">
      <c r="I14295" s="1"/>
      <c r="J14295" s="71"/>
      <c r="M14295" s="46"/>
      <c r="R14295" s="51"/>
      <c r="S14295" s="51"/>
    </row>
    <row r="14296" spans="9:19" x14ac:dyDescent="0.25">
      <c r="I14296" s="1"/>
      <c r="J14296" s="71"/>
      <c r="M14296" s="46"/>
      <c r="R14296" s="51"/>
      <c r="S14296" s="51"/>
    </row>
    <row r="14297" spans="9:19" x14ac:dyDescent="0.25">
      <c r="I14297" s="1"/>
      <c r="J14297" s="71"/>
      <c r="M14297" s="46"/>
      <c r="R14297" s="51"/>
      <c r="S14297" s="51"/>
    </row>
    <row r="14298" spans="9:19" x14ac:dyDescent="0.25">
      <c r="I14298" s="1"/>
      <c r="J14298" s="71"/>
      <c r="M14298" s="46"/>
      <c r="R14298" s="51"/>
      <c r="S14298" s="51"/>
    </row>
    <row r="14299" spans="9:19" x14ac:dyDescent="0.25">
      <c r="I14299" s="1"/>
      <c r="J14299" s="71"/>
      <c r="M14299" s="46"/>
      <c r="R14299" s="51"/>
      <c r="S14299" s="51"/>
    </row>
    <row r="14300" spans="9:19" x14ac:dyDescent="0.25">
      <c r="I14300" s="1"/>
      <c r="J14300" s="71"/>
      <c r="M14300" s="46"/>
      <c r="R14300" s="51"/>
      <c r="S14300" s="51"/>
    </row>
    <row r="14301" spans="9:19" x14ac:dyDescent="0.25">
      <c r="I14301" s="1"/>
      <c r="J14301" s="71"/>
      <c r="M14301" s="46"/>
      <c r="R14301" s="51"/>
      <c r="S14301" s="51"/>
    </row>
    <row r="14302" spans="9:19" x14ac:dyDescent="0.25">
      <c r="I14302" s="1"/>
      <c r="J14302" s="71"/>
      <c r="M14302" s="46"/>
      <c r="R14302" s="51"/>
      <c r="S14302" s="51"/>
    </row>
    <row r="14303" spans="9:19" x14ac:dyDescent="0.25">
      <c r="I14303" s="1"/>
      <c r="J14303" s="71"/>
      <c r="M14303" s="46"/>
      <c r="R14303" s="51"/>
      <c r="S14303" s="51"/>
    </row>
    <row r="14304" spans="9:19" x14ac:dyDescent="0.25">
      <c r="I14304" s="1"/>
      <c r="J14304" s="71"/>
      <c r="M14304" s="46"/>
      <c r="R14304" s="51"/>
      <c r="S14304" s="51"/>
    </row>
    <row r="14305" spans="9:19" x14ac:dyDescent="0.25">
      <c r="I14305" s="1"/>
      <c r="J14305" s="71"/>
      <c r="M14305" s="46"/>
      <c r="R14305" s="51"/>
      <c r="S14305" s="51"/>
    </row>
    <row r="14306" spans="9:19" x14ac:dyDescent="0.25">
      <c r="I14306" s="1"/>
      <c r="J14306" s="71"/>
      <c r="M14306" s="46"/>
      <c r="R14306" s="51"/>
      <c r="S14306" s="51"/>
    </row>
    <row r="14307" spans="9:19" x14ac:dyDescent="0.25">
      <c r="I14307" s="1"/>
      <c r="J14307" s="71"/>
      <c r="M14307" s="46"/>
      <c r="R14307" s="51"/>
      <c r="S14307" s="51"/>
    </row>
    <row r="14308" spans="9:19" x14ac:dyDescent="0.25">
      <c r="I14308" s="1"/>
      <c r="J14308" s="71"/>
      <c r="M14308" s="46"/>
      <c r="R14308" s="51"/>
      <c r="S14308" s="51"/>
    </row>
    <row r="14309" spans="9:19" x14ac:dyDescent="0.25">
      <c r="I14309" s="1"/>
      <c r="J14309" s="71"/>
      <c r="M14309" s="46"/>
      <c r="R14309" s="51"/>
      <c r="S14309" s="51"/>
    </row>
    <row r="14310" spans="9:19" x14ac:dyDescent="0.25">
      <c r="I14310" s="1"/>
      <c r="J14310" s="71"/>
      <c r="M14310" s="46"/>
      <c r="R14310" s="51"/>
      <c r="S14310" s="51"/>
    </row>
    <row r="14311" spans="9:19" x14ac:dyDescent="0.25">
      <c r="I14311" s="1"/>
      <c r="J14311" s="71"/>
      <c r="M14311" s="46"/>
      <c r="R14311" s="51"/>
      <c r="S14311" s="51"/>
    </row>
    <row r="14312" spans="9:19" x14ac:dyDescent="0.25">
      <c r="I14312" s="1"/>
      <c r="J14312" s="71"/>
      <c r="M14312" s="46"/>
      <c r="R14312" s="51"/>
      <c r="S14312" s="51"/>
    </row>
    <row r="14313" spans="9:19" x14ac:dyDescent="0.25">
      <c r="I14313" s="1"/>
      <c r="J14313" s="71"/>
      <c r="M14313" s="46"/>
      <c r="R14313" s="51"/>
      <c r="S14313" s="51"/>
    </row>
    <row r="14314" spans="9:19" x14ac:dyDescent="0.25">
      <c r="I14314" s="1"/>
      <c r="J14314" s="71"/>
      <c r="M14314" s="46"/>
      <c r="R14314" s="51"/>
      <c r="S14314" s="51"/>
    </row>
    <row r="14315" spans="9:19" x14ac:dyDescent="0.25">
      <c r="I14315" s="1"/>
      <c r="J14315" s="71"/>
      <c r="M14315" s="46"/>
      <c r="R14315" s="51"/>
      <c r="S14315" s="51"/>
    </row>
    <row r="14316" spans="9:19" x14ac:dyDescent="0.25">
      <c r="I14316" s="1"/>
      <c r="J14316" s="71"/>
      <c r="M14316" s="46"/>
      <c r="R14316" s="51"/>
      <c r="S14316" s="51"/>
    </row>
    <row r="14317" spans="9:19" x14ac:dyDescent="0.25">
      <c r="I14317" s="1"/>
      <c r="J14317" s="71"/>
      <c r="M14317" s="46"/>
      <c r="R14317" s="51"/>
      <c r="S14317" s="51"/>
    </row>
    <row r="14318" spans="9:19" x14ac:dyDescent="0.25">
      <c r="I14318" s="1"/>
      <c r="J14318" s="71"/>
      <c r="M14318" s="46"/>
      <c r="R14318" s="51"/>
      <c r="S14318" s="51"/>
    </row>
    <row r="14319" spans="9:19" x14ac:dyDescent="0.25">
      <c r="I14319" s="1"/>
      <c r="J14319" s="71"/>
      <c r="M14319" s="46"/>
      <c r="R14319" s="51"/>
      <c r="S14319" s="51"/>
    </row>
    <row r="14320" spans="9:19" x14ac:dyDescent="0.25">
      <c r="I14320" s="1"/>
      <c r="J14320" s="71"/>
      <c r="M14320" s="46"/>
      <c r="R14320" s="51"/>
      <c r="S14320" s="51"/>
    </row>
    <row r="14321" spans="9:19" x14ac:dyDescent="0.25">
      <c r="I14321" s="1"/>
      <c r="J14321" s="71"/>
      <c r="M14321" s="46"/>
      <c r="R14321" s="51"/>
      <c r="S14321" s="51"/>
    </row>
    <row r="14322" spans="9:19" x14ac:dyDescent="0.25">
      <c r="I14322" s="1"/>
      <c r="J14322" s="71"/>
      <c r="M14322" s="46"/>
      <c r="R14322" s="51"/>
      <c r="S14322" s="51"/>
    </row>
    <row r="14323" spans="9:19" x14ac:dyDescent="0.25">
      <c r="I14323" s="1"/>
      <c r="J14323" s="71"/>
      <c r="M14323" s="46"/>
      <c r="R14323" s="51"/>
      <c r="S14323" s="51"/>
    </row>
    <row r="14324" spans="9:19" x14ac:dyDescent="0.25">
      <c r="I14324" s="1"/>
      <c r="J14324" s="71"/>
      <c r="M14324" s="46"/>
      <c r="R14324" s="51"/>
      <c r="S14324" s="51"/>
    </row>
    <row r="14325" spans="9:19" x14ac:dyDescent="0.25">
      <c r="I14325" s="1"/>
      <c r="J14325" s="71"/>
      <c r="M14325" s="46"/>
      <c r="R14325" s="51"/>
      <c r="S14325" s="51"/>
    </row>
    <row r="14326" spans="9:19" x14ac:dyDescent="0.25">
      <c r="I14326" s="1"/>
      <c r="J14326" s="71"/>
      <c r="M14326" s="46"/>
      <c r="R14326" s="51"/>
      <c r="S14326" s="51"/>
    </row>
    <row r="14327" spans="9:19" x14ac:dyDescent="0.25">
      <c r="I14327" s="1"/>
      <c r="J14327" s="71"/>
      <c r="M14327" s="46"/>
      <c r="R14327" s="51"/>
      <c r="S14327" s="51"/>
    </row>
    <row r="14328" spans="9:19" x14ac:dyDescent="0.25">
      <c r="I14328" s="1"/>
      <c r="J14328" s="71"/>
      <c r="M14328" s="46"/>
      <c r="R14328" s="51"/>
      <c r="S14328" s="51"/>
    </row>
    <row r="14329" spans="9:19" x14ac:dyDescent="0.25">
      <c r="I14329" s="1"/>
      <c r="J14329" s="71"/>
      <c r="M14329" s="46"/>
      <c r="R14329" s="51"/>
      <c r="S14329" s="51"/>
    </row>
    <row r="14330" spans="9:19" x14ac:dyDescent="0.25">
      <c r="I14330" s="1"/>
      <c r="J14330" s="71"/>
      <c r="M14330" s="46"/>
      <c r="R14330" s="51"/>
      <c r="S14330" s="51"/>
    </row>
    <row r="14331" spans="9:19" x14ac:dyDescent="0.25">
      <c r="I14331" s="1"/>
      <c r="J14331" s="71"/>
      <c r="M14331" s="46"/>
      <c r="R14331" s="51"/>
      <c r="S14331" s="51"/>
    </row>
    <row r="14332" spans="9:19" x14ac:dyDescent="0.25">
      <c r="I14332" s="1"/>
      <c r="J14332" s="71"/>
      <c r="M14332" s="46"/>
      <c r="R14332" s="51"/>
      <c r="S14332" s="51"/>
    </row>
    <row r="14333" spans="9:19" x14ac:dyDescent="0.25">
      <c r="I14333" s="1"/>
      <c r="J14333" s="71"/>
      <c r="M14333" s="46"/>
      <c r="R14333" s="51"/>
      <c r="S14333" s="51"/>
    </row>
    <row r="14334" spans="9:19" x14ac:dyDescent="0.25">
      <c r="I14334" s="1"/>
      <c r="J14334" s="71"/>
      <c r="M14334" s="46"/>
      <c r="R14334" s="51"/>
      <c r="S14334" s="51"/>
    </row>
    <row r="14335" spans="9:19" x14ac:dyDescent="0.25">
      <c r="I14335" s="1"/>
      <c r="J14335" s="71"/>
      <c r="M14335" s="46"/>
      <c r="R14335" s="51"/>
      <c r="S14335" s="51"/>
    </row>
    <row r="14336" spans="9:19" x14ac:dyDescent="0.25">
      <c r="I14336" s="1"/>
      <c r="J14336" s="71"/>
      <c r="M14336" s="46"/>
      <c r="R14336" s="51"/>
      <c r="S14336" s="51"/>
    </row>
    <row r="14337" spans="9:19" x14ac:dyDescent="0.25">
      <c r="I14337" s="1"/>
      <c r="J14337" s="71"/>
      <c r="M14337" s="46"/>
      <c r="R14337" s="51"/>
      <c r="S14337" s="51"/>
    </row>
    <row r="14338" spans="9:19" x14ac:dyDescent="0.25">
      <c r="I14338" s="1"/>
      <c r="J14338" s="71"/>
      <c r="M14338" s="46"/>
      <c r="R14338" s="51"/>
      <c r="S14338" s="51"/>
    </row>
    <row r="14339" spans="9:19" x14ac:dyDescent="0.25">
      <c r="I14339" s="1"/>
      <c r="J14339" s="71"/>
      <c r="M14339" s="46"/>
      <c r="R14339" s="51"/>
      <c r="S14339" s="51"/>
    </row>
    <row r="14340" spans="9:19" x14ac:dyDescent="0.25">
      <c r="I14340" s="1"/>
      <c r="J14340" s="71"/>
      <c r="M14340" s="46"/>
      <c r="R14340" s="51"/>
      <c r="S14340" s="51"/>
    </row>
    <row r="14341" spans="9:19" x14ac:dyDescent="0.25">
      <c r="I14341" s="1"/>
      <c r="J14341" s="71"/>
      <c r="M14341" s="46"/>
      <c r="R14341" s="51"/>
      <c r="S14341" s="51"/>
    </row>
    <row r="14342" spans="9:19" x14ac:dyDescent="0.25">
      <c r="I14342" s="1"/>
      <c r="J14342" s="71"/>
      <c r="M14342" s="46"/>
      <c r="R14342" s="51"/>
      <c r="S14342" s="51"/>
    </row>
    <row r="14343" spans="9:19" x14ac:dyDescent="0.25">
      <c r="I14343" s="1"/>
      <c r="J14343" s="71"/>
      <c r="M14343" s="46"/>
      <c r="R14343" s="51"/>
      <c r="S14343" s="51"/>
    </row>
    <row r="14344" spans="9:19" x14ac:dyDescent="0.25">
      <c r="I14344" s="1"/>
      <c r="J14344" s="71"/>
      <c r="M14344" s="46"/>
      <c r="R14344" s="51"/>
      <c r="S14344" s="51"/>
    </row>
    <row r="14345" spans="9:19" x14ac:dyDescent="0.25">
      <c r="I14345" s="1"/>
      <c r="J14345" s="71"/>
      <c r="M14345" s="46"/>
      <c r="R14345" s="51"/>
      <c r="S14345" s="51"/>
    </row>
    <row r="14346" spans="9:19" x14ac:dyDescent="0.25">
      <c r="I14346" s="1"/>
      <c r="J14346" s="71"/>
      <c r="M14346" s="46"/>
      <c r="R14346" s="51"/>
      <c r="S14346" s="51"/>
    </row>
    <row r="14347" spans="9:19" x14ac:dyDescent="0.25">
      <c r="I14347" s="1"/>
      <c r="J14347" s="71"/>
      <c r="M14347" s="46"/>
      <c r="R14347" s="51"/>
      <c r="S14347" s="51"/>
    </row>
    <row r="14348" spans="9:19" x14ac:dyDescent="0.25">
      <c r="I14348" s="1"/>
      <c r="J14348" s="71"/>
      <c r="M14348" s="46"/>
      <c r="R14348" s="51"/>
      <c r="S14348" s="51"/>
    </row>
    <row r="14349" spans="9:19" x14ac:dyDescent="0.25">
      <c r="I14349" s="1"/>
      <c r="J14349" s="71"/>
      <c r="M14349" s="46"/>
      <c r="R14349" s="51"/>
      <c r="S14349" s="51"/>
    </row>
    <row r="14350" spans="9:19" x14ac:dyDescent="0.25">
      <c r="I14350" s="1"/>
      <c r="J14350" s="71"/>
      <c r="M14350" s="46"/>
      <c r="R14350" s="51"/>
      <c r="S14350" s="51"/>
    </row>
    <row r="14351" spans="9:19" x14ac:dyDescent="0.25">
      <c r="I14351" s="1"/>
      <c r="J14351" s="71"/>
      <c r="M14351" s="46"/>
      <c r="R14351" s="51"/>
      <c r="S14351" s="51"/>
    </row>
    <row r="14352" spans="9:19" x14ac:dyDescent="0.25">
      <c r="I14352" s="1"/>
      <c r="J14352" s="71"/>
      <c r="M14352" s="46"/>
      <c r="R14352" s="51"/>
      <c r="S14352" s="51"/>
    </row>
    <row r="14353" spans="9:19" x14ac:dyDescent="0.25">
      <c r="I14353" s="1"/>
      <c r="J14353" s="71"/>
      <c r="M14353" s="46"/>
      <c r="R14353" s="51"/>
      <c r="S14353" s="51"/>
    </row>
    <row r="14354" spans="9:19" x14ac:dyDescent="0.25">
      <c r="I14354" s="1"/>
      <c r="J14354" s="71"/>
      <c r="M14354" s="46"/>
      <c r="R14354" s="51"/>
      <c r="S14354" s="51"/>
    </row>
    <row r="14355" spans="9:19" x14ac:dyDescent="0.25">
      <c r="I14355" s="1"/>
      <c r="J14355" s="71"/>
      <c r="M14355" s="46"/>
      <c r="R14355" s="51"/>
      <c r="S14355" s="51"/>
    </row>
    <row r="14356" spans="9:19" x14ac:dyDescent="0.25">
      <c r="I14356" s="1"/>
      <c r="J14356" s="71"/>
      <c r="M14356" s="46"/>
      <c r="R14356" s="51"/>
      <c r="S14356" s="51"/>
    </row>
    <row r="14357" spans="9:19" x14ac:dyDescent="0.25">
      <c r="I14357" s="1"/>
      <c r="J14357" s="71"/>
      <c r="M14357" s="46"/>
      <c r="R14357" s="51"/>
      <c r="S14357" s="51"/>
    </row>
    <row r="14358" spans="9:19" x14ac:dyDescent="0.25">
      <c r="I14358" s="1"/>
      <c r="J14358" s="71"/>
      <c r="M14358" s="46"/>
      <c r="R14358" s="51"/>
      <c r="S14358" s="51"/>
    </row>
    <row r="14359" spans="9:19" x14ac:dyDescent="0.25">
      <c r="I14359" s="1"/>
      <c r="J14359" s="71"/>
      <c r="M14359" s="46"/>
      <c r="R14359" s="51"/>
      <c r="S14359" s="51"/>
    </row>
    <row r="14360" spans="9:19" x14ac:dyDescent="0.25">
      <c r="I14360" s="1"/>
      <c r="J14360" s="71"/>
      <c r="M14360" s="46"/>
      <c r="R14360" s="51"/>
      <c r="S14360" s="51"/>
    </row>
    <row r="14361" spans="9:19" x14ac:dyDescent="0.25">
      <c r="I14361" s="1"/>
      <c r="J14361" s="71"/>
      <c r="M14361" s="46"/>
      <c r="R14361" s="51"/>
      <c r="S14361" s="51"/>
    </row>
    <row r="14362" spans="9:19" x14ac:dyDescent="0.25">
      <c r="I14362" s="1"/>
      <c r="J14362" s="71"/>
      <c r="M14362" s="46"/>
      <c r="R14362" s="51"/>
      <c r="S14362" s="51"/>
    </row>
    <row r="14363" spans="9:19" x14ac:dyDescent="0.25">
      <c r="I14363" s="1"/>
      <c r="J14363" s="71"/>
      <c r="M14363" s="46"/>
      <c r="R14363" s="51"/>
      <c r="S14363" s="51"/>
    </row>
    <row r="14364" spans="9:19" x14ac:dyDescent="0.25">
      <c r="I14364" s="1"/>
      <c r="J14364" s="71"/>
      <c r="M14364" s="46"/>
      <c r="R14364" s="51"/>
      <c r="S14364" s="51"/>
    </row>
    <row r="14365" spans="9:19" x14ac:dyDescent="0.25">
      <c r="I14365" s="1"/>
      <c r="J14365" s="71"/>
      <c r="M14365" s="46"/>
      <c r="R14365" s="51"/>
      <c r="S14365" s="51"/>
    </row>
    <row r="14366" spans="9:19" x14ac:dyDescent="0.25">
      <c r="I14366" s="1"/>
      <c r="J14366" s="71"/>
      <c r="M14366" s="46"/>
      <c r="R14366" s="51"/>
      <c r="S14366" s="51"/>
    </row>
    <row r="14367" spans="9:19" x14ac:dyDescent="0.25">
      <c r="I14367" s="1"/>
      <c r="J14367" s="71"/>
      <c r="M14367" s="46"/>
      <c r="R14367" s="51"/>
      <c r="S14367" s="51"/>
    </row>
    <row r="14368" spans="9:19" x14ac:dyDescent="0.25">
      <c r="I14368" s="1"/>
      <c r="J14368" s="71"/>
      <c r="M14368" s="46"/>
      <c r="R14368" s="51"/>
      <c r="S14368" s="51"/>
    </row>
    <row r="14369" spans="9:19" x14ac:dyDescent="0.25">
      <c r="I14369" s="1"/>
      <c r="J14369" s="71"/>
      <c r="M14369" s="46"/>
      <c r="R14369" s="51"/>
      <c r="S14369" s="51"/>
    </row>
    <row r="14370" spans="9:19" x14ac:dyDescent="0.25">
      <c r="I14370" s="1"/>
      <c r="J14370" s="71"/>
      <c r="M14370" s="46"/>
      <c r="R14370" s="51"/>
      <c r="S14370" s="51"/>
    </row>
    <row r="14371" spans="9:19" x14ac:dyDescent="0.25">
      <c r="I14371" s="1"/>
      <c r="J14371" s="71"/>
      <c r="M14371" s="46"/>
      <c r="R14371" s="51"/>
      <c r="S14371" s="51"/>
    </row>
    <row r="14372" spans="9:19" x14ac:dyDescent="0.25">
      <c r="I14372" s="1"/>
      <c r="J14372" s="71"/>
      <c r="M14372" s="46"/>
      <c r="R14372" s="51"/>
      <c r="S14372" s="51"/>
    </row>
    <row r="14373" spans="9:19" x14ac:dyDescent="0.25">
      <c r="I14373" s="1"/>
      <c r="J14373" s="71"/>
      <c r="M14373" s="46"/>
      <c r="R14373" s="51"/>
      <c r="S14373" s="51"/>
    </row>
    <row r="14374" spans="9:19" x14ac:dyDescent="0.25">
      <c r="I14374" s="1"/>
      <c r="J14374" s="71"/>
      <c r="M14374" s="46"/>
      <c r="R14374" s="51"/>
      <c r="S14374" s="51"/>
    </row>
    <row r="14375" spans="9:19" x14ac:dyDescent="0.25">
      <c r="I14375" s="1"/>
      <c r="J14375" s="71"/>
      <c r="M14375" s="46"/>
      <c r="R14375" s="51"/>
      <c r="S14375" s="51"/>
    </row>
    <row r="14376" spans="9:19" x14ac:dyDescent="0.25">
      <c r="I14376" s="1"/>
      <c r="J14376" s="71"/>
      <c r="M14376" s="46"/>
      <c r="R14376" s="51"/>
      <c r="S14376" s="51"/>
    </row>
    <row r="14377" spans="9:19" x14ac:dyDescent="0.25">
      <c r="I14377" s="1"/>
      <c r="J14377" s="71"/>
      <c r="M14377" s="46"/>
      <c r="R14377" s="51"/>
      <c r="S14377" s="51"/>
    </row>
    <row r="14378" spans="9:19" x14ac:dyDescent="0.25">
      <c r="I14378" s="1"/>
      <c r="J14378" s="71"/>
      <c r="M14378" s="46"/>
      <c r="R14378" s="51"/>
      <c r="S14378" s="51"/>
    </row>
    <row r="14379" spans="9:19" x14ac:dyDescent="0.25">
      <c r="I14379" s="1"/>
      <c r="J14379" s="71"/>
      <c r="M14379" s="46"/>
      <c r="R14379" s="51"/>
      <c r="S14379" s="51"/>
    </row>
    <row r="14380" spans="9:19" x14ac:dyDescent="0.25">
      <c r="I14380" s="1"/>
      <c r="J14380" s="71"/>
      <c r="M14380" s="46"/>
      <c r="R14380" s="51"/>
      <c r="S14380" s="51"/>
    </row>
    <row r="14381" spans="9:19" x14ac:dyDescent="0.25">
      <c r="I14381" s="1"/>
      <c r="J14381" s="71"/>
      <c r="M14381" s="46"/>
      <c r="R14381" s="51"/>
      <c r="S14381" s="51"/>
    </row>
    <row r="14382" spans="9:19" x14ac:dyDescent="0.25">
      <c r="I14382" s="1"/>
      <c r="J14382" s="71"/>
      <c r="M14382" s="46"/>
      <c r="R14382" s="51"/>
      <c r="S14382" s="51"/>
    </row>
    <row r="14383" spans="9:19" x14ac:dyDescent="0.25">
      <c r="I14383" s="1"/>
      <c r="J14383" s="71"/>
      <c r="M14383" s="46"/>
      <c r="R14383" s="51"/>
      <c r="S14383" s="51"/>
    </row>
    <row r="14384" spans="9:19" x14ac:dyDescent="0.25">
      <c r="I14384" s="1"/>
      <c r="J14384" s="71"/>
      <c r="M14384" s="46"/>
      <c r="R14384" s="51"/>
      <c r="S14384" s="51"/>
    </row>
    <row r="14385" spans="9:19" x14ac:dyDescent="0.25">
      <c r="I14385" s="1"/>
      <c r="J14385" s="71"/>
      <c r="M14385" s="46"/>
      <c r="R14385" s="51"/>
      <c r="S14385" s="51"/>
    </row>
    <row r="14386" spans="9:19" x14ac:dyDescent="0.25">
      <c r="I14386" s="1"/>
      <c r="J14386" s="71"/>
      <c r="M14386" s="46"/>
      <c r="R14386" s="51"/>
      <c r="S14386" s="51"/>
    </row>
    <row r="14387" spans="9:19" x14ac:dyDescent="0.25">
      <c r="I14387" s="1"/>
      <c r="J14387" s="71"/>
      <c r="M14387" s="46"/>
      <c r="R14387" s="51"/>
      <c r="S14387" s="51"/>
    </row>
    <row r="14388" spans="9:19" x14ac:dyDescent="0.25">
      <c r="I14388" s="1"/>
      <c r="J14388" s="71"/>
      <c r="M14388" s="46"/>
      <c r="R14388" s="51"/>
      <c r="S14388" s="51"/>
    </row>
    <row r="14389" spans="9:19" x14ac:dyDescent="0.25">
      <c r="I14389" s="1"/>
      <c r="J14389" s="71"/>
      <c r="M14389" s="46"/>
      <c r="R14389" s="51"/>
      <c r="S14389" s="51"/>
    </row>
    <row r="14390" spans="9:19" x14ac:dyDescent="0.25">
      <c r="I14390" s="1"/>
      <c r="J14390" s="71"/>
      <c r="M14390" s="46"/>
      <c r="R14390" s="51"/>
      <c r="S14390" s="51"/>
    </row>
    <row r="14391" spans="9:19" x14ac:dyDescent="0.25">
      <c r="I14391" s="1"/>
      <c r="J14391" s="71"/>
      <c r="M14391" s="46"/>
      <c r="R14391" s="51"/>
      <c r="S14391" s="51"/>
    </row>
    <row r="14392" spans="9:19" x14ac:dyDescent="0.25">
      <c r="I14392" s="1"/>
      <c r="J14392" s="71"/>
      <c r="M14392" s="46"/>
      <c r="R14392" s="51"/>
      <c r="S14392" s="51"/>
    </row>
    <row r="14393" spans="9:19" x14ac:dyDescent="0.25">
      <c r="I14393" s="1"/>
      <c r="J14393" s="71"/>
      <c r="M14393" s="46"/>
      <c r="R14393" s="51"/>
      <c r="S14393" s="51"/>
    </row>
    <row r="14394" spans="9:19" x14ac:dyDescent="0.25">
      <c r="I14394" s="1"/>
      <c r="J14394" s="71"/>
      <c r="M14394" s="46"/>
      <c r="R14394" s="51"/>
      <c r="S14394" s="51"/>
    </row>
    <row r="14395" spans="9:19" x14ac:dyDescent="0.25">
      <c r="I14395" s="1"/>
      <c r="J14395" s="71"/>
      <c r="M14395" s="46"/>
      <c r="R14395" s="51"/>
      <c r="S14395" s="51"/>
    </row>
    <row r="14396" spans="9:19" x14ac:dyDescent="0.25">
      <c r="I14396" s="1"/>
      <c r="J14396" s="71"/>
      <c r="M14396" s="46"/>
      <c r="R14396" s="51"/>
      <c r="S14396" s="51"/>
    </row>
    <row r="14397" spans="9:19" x14ac:dyDescent="0.25">
      <c r="I14397" s="1"/>
      <c r="J14397" s="71"/>
      <c r="M14397" s="46"/>
      <c r="R14397" s="51"/>
      <c r="S14397" s="51"/>
    </row>
    <row r="14398" spans="9:19" x14ac:dyDescent="0.25">
      <c r="I14398" s="1"/>
      <c r="J14398" s="71"/>
      <c r="M14398" s="46"/>
      <c r="R14398" s="51"/>
      <c r="S14398" s="51"/>
    </row>
    <row r="14399" spans="9:19" x14ac:dyDescent="0.25">
      <c r="I14399" s="1"/>
      <c r="J14399" s="71"/>
      <c r="M14399" s="46"/>
      <c r="R14399" s="51"/>
      <c r="S14399" s="51"/>
    </row>
    <row r="14400" spans="9:19" x14ac:dyDescent="0.25">
      <c r="I14400" s="1"/>
      <c r="J14400" s="71"/>
      <c r="M14400" s="46"/>
      <c r="R14400" s="51"/>
      <c r="S14400" s="51"/>
    </row>
    <row r="14401" spans="9:19" x14ac:dyDescent="0.25">
      <c r="I14401" s="1"/>
      <c r="J14401" s="71"/>
      <c r="M14401" s="46"/>
      <c r="R14401" s="51"/>
      <c r="S14401" s="51"/>
    </row>
    <row r="14402" spans="9:19" x14ac:dyDescent="0.25">
      <c r="I14402" s="1"/>
      <c r="J14402" s="71"/>
      <c r="M14402" s="46"/>
      <c r="R14402" s="51"/>
      <c r="S14402" s="51"/>
    </row>
    <row r="14403" spans="9:19" x14ac:dyDescent="0.25">
      <c r="I14403" s="1"/>
      <c r="J14403" s="71"/>
      <c r="M14403" s="46"/>
      <c r="R14403" s="51"/>
      <c r="S14403" s="51"/>
    </row>
    <row r="14404" spans="9:19" x14ac:dyDescent="0.25">
      <c r="I14404" s="1"/>
      <c r="J14404" s="71"/>
      <c r="M14404" s="46"/>
      <c r="R14404" s="51"/>
      <c r="S14404" s="51"/>
    </row>
    <row r="14405" spans="9:19" x14ac:dyDescent="0.25">
      <c r="I14405" s="1"/>
      <c r="J14405" s="71"/>
      <c r="M14405" s="46"/>
      <c r="R14405" s="51"/>
      <c r="S14405" s="51"/>
    </row>
    <row r="14406" spans="9:19" x14ac:dyDescent="0.25">
      <c r="I14406" s="1"/>
      <c r="J14406" s="71"/>
      <c r="M14406" s="46"/>
      <c r="R14406" s="51"/>
      <c r="S14406" s="51"/>
    </row>
    <row r="14407" spans="9:19" x14ac:dyDescent="0.25">
      <c r="I14407" s="1"/>
      <c r="J14407" s="71"/>
      <c r="M14407" s="46"/>
      <c r="R14407" s="51"/>
      <c r="S14407" s="51"/>
    </row>
    <row r="14408" spans="9:19" x14ac:dyDescent="0.25">
      <c r="I14408" s="1"/>
      <c r="J14408" s="71"/>
      <c r="M14408" s="46"/>
      <c r="R14408" s="51"/>
      <c r="S14408" s="51"/>
    </row>
    <row r="14409" spans="9:19" x14ac:dyDescent="0.25">
      <c r="I14409" s="1"/>
      <c r="J14409" s="71"/>
      <c r="M14409" s="46"/>
      <c r="R14409" s="51"/>
      <c r="S14409" s="51"/>
    </row>
    <row r="14410" spans="9:19" x14ac:dyDescent="0.25">
      <c r="I14410" s="1"/>
      <c r="J14410" s="71"/>
      <c r="M14410" s="46"/>
      <c r="R14410" s="51"/>
      <c r="S14410" s="51"/>
    </row>
    <row r="14411" spans="9:19" x14ac:dyDescent="0.25">
      <c r="I14411" s="1"/>
      <c r="J14411" s="71"/>
      <c r="M14411" s="46"/>
      <c r="R14411" s="51"/>
      <c r="S14411" s="51"/>
    </row>
    <row r="14412" spans="9:19" x14ac:dyDescent="0.25">
      <c r="I14412" s="1"/>
      <c r="J14412" s="71"/>
      <c r="M14412" s="46"/>
      <c r="R14412" s="51"/>
      <c r="S14412" s="51"/>
    </row>
    <row r="14413" spans="9:19" x14ac:dyDescent="0.25">
      <c r="I14413" s="1"/>
      <c r="J14413" s="71"/>
      <c r="M14413" s="46"/>
      <c r="R14413" s="51"/>
      <c r="S14413" s="51"/>
    </row>
    <row r="14414" spans="9:19" x14ac:dyDescent="0.25">
      <c r="I14414" s="1"/>
      <c r="J14414" s="71"/>
      <c r="M14414" s="46"/>
      <c r="R14414" s="51"/>
      <c r="S14414" s="51"/>
    </row>
    <row r="14415" spans="9:19" x14ac:dyDescent="0.25">
      <c r="I14415" s="1"/>
      <c r="J14415" s="71"/>
      <c r="M14415" s="46"/>
      <c r="R14415" s="51"/>
      <c r="S14415" s="51"/>
    </row>
    <row r="14416" spans="9:19" x14ac:dyDescent="0.25">
      <c r="I14416" s="1"/>
      <c r="J14416" s="71"/>
      <c r="M14416" s="46"/>
      <c r="R14416" s="51"/>
      <c r="S14416" s="51"/>
    </row>
    <row r="14417" spans="9:19" x14ac:dyDescent="0.25">
      <c r="I14417" s="1"/>
      <c r="J14417" s="71"/>
      <c r="M14417" s="46"/>
      <c r="R14417" s="51"/>
      <c r="S14417" s="51"/>
    </row>
    <row r="14418" spans="9:19" x14ac:dyDescent="0.25">
      <c r="I14418" s="1"/>
      <c r="J14418" s="71"/>
      <c r="M14418" s="46"/>
      <c r="R14418" s="51"/>
      <c r="S14418" s="51"/>
    </row>
    <row r="14419" spans="9:19" x14ac:dyDescent="0.25">
      <c r="I14419" s="1"/>
      <c r="J14419" s="71"/>
      <c r="M14419" s="46"/>
      <c r="R14419" s="51"/>
      <c r="S14419" s="51"/>
    </row>
    <row r="14420" spans="9:19" x14ac:dyDescent="0.25">
      <c r="I14420" s="1"/>
      <c r="J14420" s="71"/>
      <c r="M14420" s="46"/>
      <c r="R14420" s="51"/>
      <c r="S14420" s="51"/>
    </row>
    <row r="14421" spans="9:19" x14ac:dyDescent="0.25">
      <c r="I14421" s="1"/>
      <c r="J14421" s="71"/>
      <c r="M14421" s="46"/>
      <c r="R14421" s="51"/>
      <c r="S14421" s="51"/>
    </row>
    <row r="14422" spans="9:19" x14ac:dyDescent="0.25">
      <c r="I14422" s="1"/>
      <c r="J14422" s="71"/>
      <c r="M14422" s="46"/>
      <c r="R14422" s="51"/>
      <c r="S14422" s="51"/>
    </row>
    <row r="14423" spans="9:19" x14ac:dyDescent="0.25">
      <c r="I14423" s="1"/>
      <c r="J14423" s="71"/>
      <c r="M14423" s="46"/>
      <c r="R14423" s="51"/>
      <c r="S14423" s="51"/>
    </row>
    <row r="14424" spans="9:19" x14ac:dyDescent="0.25">
      <c r="I14424" s="1"/>
      <c r="J14424" s="71"/>
      <c r="M14424" s="46"/>
      <c r="R14424" s="51"/>
      <c r="S14424" s="51"/>
    </row>
    <row r="14425" spans="9:19" x14ac:dyDescent="0.25">
      <c r="I14425" s="1"/>
      <c r="J14425" s="71"/>
      <c r="M14425" s="46"/>
      <c r="R14425" s="51"/>
      <c r="S14425" s="51"/>
    </row>
    <row r="14426" spans="9:19" x14ac:dyDescent="0.25">
      <c r="I14426" s="1"/>
      <c r="J14426" s="71"/>
      <c r="M14426" s="46"/>
      <c r="R14426" s="51"/>
      <c r="S14426" s="51"/>
    </row>
    <row r="14427" spans="9:19" x14ac:dyDescent="0.25">
      <c r="I14427" s="1"/>
      <c r="J14427" s="71"/>
      <c r="M14427" s="46"/>
      <c r="R14427" s="51"/>
      <c r="S14427" s="51"/>
    </row>
    <row r="14428" spans="9:19" x14ac:dyDescent="0.25">
      <c r="I14428" s="1"/>
      <c r="J14428" s="71"/>
      <c r="M14428" s="46"/>
      <c r="R14428" s="51"/>
      <c r="S14428" s="51"/>
    </row>
    <row r="14429" spans="9:19" x14ac:dyDescent="0.25">
      <c r="I14429" s="1"/>
      <c r="J14429" s="71"/>
      <c r="M14429" s="46"/>
      <c r="R14429" s="51"/>
      <c r="S14429" s="51"/>
    </row>
    <row r="14430" spans="9:19" x14ac:dyDescent="0.25">
      <c r="I14430" s="1"/>
      <c r="J14430" s="71"/>
      <c r="M14430" s="46"/>
      <c r="R14430" s="51"/>
      <c r="S14430" s="51"/>
    </row>
    <row r="14431" spans="9:19" x14ac:dyDescent="0.25">
      <c r="I14431" s="1"/>
      <c r="J14431" s="71"/>
      <c r="M14431" s="46"/>
      <c r="R14431" s="51"/>
      <c r="S14431" s="51"/>
    </row>
    <row r="14432" spans="9:19" x14ac:dyDescent="0.25">
      <c r="I14432" s="1"/>
      <c r="J14432" s="71"/>
      <c r="M14432" s="46"/>
      <c r="R14432" s="51"/>
      <c r="S14432" s="51"/>
    </row>
    <row r="14433" spans="9:19" x14ac:dyDescent="0.25">
      <c r="I14433" s="1"/>
      <c r="J14433" s="71"/>
      <c r="M14433" s="46"/>
      <c r="R14433" s="51"/>
      <c r="S14433" s="51"/>
    </row>
    <row r="14434" spans="9:19" x14ac:dyDescent="0.25">
      <c r="I14434" s="1"/>
      <c r="J14434" s="71"/>
      <c r="M14434" s="46"/>
      <c r="R14434" s="51"/>
      <c r="S14434" s="51"/>
    </row>
    <row r="14435" spans="9:19" x14ac:dyDescent="0.25">
      <c r="I14435" s="1"/>
      <c r="J14435" s="71"/>
      <c r="M14435" s="46"/>
      <c r="R14435" s="51"/>
      <c r="S14435" s="51"/>
    </row>
    <row r="14436" spans="9:19" x14ac:dyDescent="0.25">
      <c r="I14436" s="1"/>
      <c r="J14436" s="71"/>
      <c r="M14436" s="46"/>
      <c r="R14436" s="51"/>
      <c r="S14436" s="51"/>
    </row>
    <row r="14437" spans="9:19" x14ac:dyDescent="0.25">
      <c r="I14437" s="1"/>
      <c r="J14437" s="71"/>
      <c r="M14437" s="46"/>
      <c r="R14437" s="51"/>
      <c r="S14437" s="51"/>
    </row>
    <row r="14438" spans="9:19" x14ac:dyDescent="0.25">
      <c r="I14438" s="1"/>
      <c r="J14438" s="71"/>
      <c r="M14438" s="46"/>
      <c r="R14438" s="51"/>
      <c r="S14438" s="51"/>
    </row>
    <row r="14439" spans="9:19" x14ac:dyDescent="0.25">
      <c r="I14439" s="1"/>
      <c r="J14439" s="71"/>
      <c r="M14439" s="46"/>
      <c r="R14439" s="51"/>
      <c r="S14439" s="51"/>
    </row>
    <row r="14440" spans="9:19" x14ac:dyDescent="0.25">
      <c r="I14440" s="1"/>
      <c r="J14440" s="71"/>
      <c r="M14440" s="46"/>
      <c r="R14440" s="51"/>
      <c r="S14440" s="51"/>
    </row>
    <row r="14441" spans="9:19" x14ac:dyDescent="0.25">
      <c r="I14441" s="1"/>
      <c r="J14441" s="71"/>
      <c r="M14441" s="46"/>
      <c r="R14441" s="51"/>
      <c r="S14441" s="51"/>
    </row>
    <row r="14442" spans="9:19" x14ac:dyDescent="0.25">
      <c r="I14442" s="1"/>
      <c r="J14442" s="71"/>
      <c r="M14442" s="46"/>
      <c r="R14442" s="51"/>
      <c r="S14442" s="51"/>
    </row>
    <row r="14443" spans="9:19" x14ac:dyDescent="0.25">
      <c r="I14443" s="1"/>
      <c r="J14443" s="71"/>
      <c r="M14443" s="46"/>
      <c r="R14443" s="51"/>
      <c r="S14443" s="51"/>
    </row>
    <row r="14444" spans="9:19" x14ac:dyDescent="0.25">
      <c r="I14444" s="1"/>
      <c r="J14444" s="71"/>
      <c r="M14444" s="46"/>
      <c r="R14444" s="51"/>
      <c r="S14444" s="51"/>
    </row>
    <row r="14445" spans="9:19" x14ac:dyDescent="0.25">
      <c r="I14445" s="1"/>
      <c r="J14445" s="71"/>
      <c r="M14445" s="46"/>
      <c r="R14445" s="51"/>
      <c r="S14445" s="51"/>
    </row>
    <row r="14446" spans="9:19" x14ac:dyDescent="0.25">
      <c r="I14446" s="1"/>
      <c r="J14446" s="71"/>
      <c r="M14446" s="46"/>
      <c r="R14446" s="51"/>
      <c r="S14446" s="51"/>
    </row>
    <row r="14447" spans="9:19" x14ac:dyDescent="0.25">
      <c r="I14447" s="1"/>
      <c r="J14447" s="71"/>
      <c r="M14447" s="46"/>
      <c r="R14447" s="51"/>
      <c r="S14447" s="51"/>
    </row>
    <row r="14448" spans="9:19" x14ac:dyDescent="0.25">
      <c r="I14448" s="1"/>
      <c r="J14448" s="71"/>
      <c r="M14448" s="46"/>
      <c r="R14448" s="51"/>
      <c r="S14448" s="51"/>
    </row>
    <row r="14449" spans="9:19" x14ac:dyDescent="0.25">
      <c r="I14449" s="1"/>
      <c r="J14449" s="71"/>
      <c r="M14449" s="46"/>
      <c r="R14449" s="51"/>
      <c r="S14449" s="51"/>
    </row>
    <row r="14450" spans="9:19" x14ac:dyDescent="0.25">
      <c r="I14450" s="1"/>
      <c r="J14450" s="71"/>
      <c r="M14450" s="46"/>
      <c r="R14450" s="51"/>
      <c r="S14450" s="51"/>
    </row>
    <row r="14451" spans="9:19" x14ac:dyDescent="0.25">
      <c r="I14451" s="1"/>
      <c r="J14451" s="71"/>
      <c r="M14451" s="46"/>
      <c r="R14451" s="51"/>
      <c r="S14451" s="51"/>
    </row>
    <row r="14452" spans="9:19" x14ac:dyDescent="0.25">
      <c r="I14452" s="1"/>
      <c r="J14452" s="71"/>
      <c r="M14452" s="46"/>
      <c r="R14452" s="51"/>
      <c r="S14452" s="51"/>
    </row>
    <row r="14453" spans="9:19" x14ac:dyDescent="0.25">
      <c r="I14453" s="1"/>
      <c r="J14453" s="71"/>
      <c r="M14453" s="46"/>
      <c r="R14453" s="51"/>
      <c r="S14453" s="51"/>
    </row>
    <row r="14454" spans="9:19" x14ac:dyDescent="0.25">
      <c r="I14454" s="1"/>
      <c r="J14454" s="71"/>
      <c r="M14454" s="46"/>
      <c r="R14454" s="51"/>
      <c r="S14454" s="51"/>
    </row>
    <row r="14455" spans="9:19" x14ac:dyDescent="0.25">
      <c r="I14455" s="1"/>
      <c r="J14455" s="71"/>
      <c r="M14455" s="46"/>
      <c r="R14455" s="51"/>
      <c r="S14455" s="51"/>
    </row>
    <row r="14456" spans="9:19" x14ac:dyDescent="0.25">
      <c r="I14456" s="1"/>
      <c r="J14456" s="71"/>
      <c r="M14456" s="46"/>
      <c r="R14456" s="51"/>
      <c r="S14456" s="51"/>
    </row>
    <row r="14457" spans="9:19" x14ac:dyDescent="0.25">
      <c r="I14457" s="1"/>
      <c r="J14457" s="71"/>
      <c r="M14457" s="46"/>
      <c r="R14457" s="51"/>
      <c r="S14457" s="51"/>
    </row>
    <row r="14458" spans="9:19" x14ac:dyDescent="0.25">
      <c r="I14458" s="1"/>
      <c r="J14458" s="71"/>
      <c r="M14458" s="46"/>
      <c r="R14458" s="51"/>
      <c r="S14458" s="51"/>
    </row>
    <row r="14459" spans="9:19" x14ac:dyDescent="0.25">
      <c r="I14459" s="1"/>
      <c r="J14459" s="71"/>
      <c r="M14459" s="46"/>
      <c r="R14459" s="51"/>
      <c r="S14459" s="51"/>
    </row>
    <row r="14460" spans="9:19" x14ac:dyDescent="0.25">
      <c r="I14460" s="1"/>
      <c r="J14460" s="71"/>
      <c r="M14460" s="46"/>
      <c r="R14460" s="51"/>
      <c r="S14460" s="51"/>
    </row>
    <row r="14461" spans="9:19" x14ac:dyDescent="0.25">
      <c r="I14461" s="1"/>
      <c r="J14461" s="71"/>
      <c r="M14461" s="46"/>
      <c r="R14461" s="51"/>
      <c r="S14461" s="51"/>
    </row>
    <row r="14462" spans="9:19" x14ac:dyDescent="0.25">
      <c r="I14462" s="1"/>
      <c r="J14462" s="71"/>
      <c r="M14462" s="46"/>
      <c r="R14462" s="51"/>
      <c r="S14462" s="51"/>
    </row>
    <row r="14463" spans="9:19" x14ac:dyDescent="0.25">
      <c r="I14463" s="1"/>
      <c r="J14463" s="71"/>
      <c r="M14463" s="46"/>
      <c r="R14463" s="51"/>
      <c r="S14463" s="51"/>
    </row>
    <row r="14464" spans="9:19" x14ac:dyDescent="0.25">
      <c r="I14464" s="1"/>
      <c r="J14464" s="71"/>
      <c r="M14464" s="46"/>
      <c r="R14464" s="51"/>
      <c r="S14464" s="51"/>
    </row>
    <row r="14465" spans="9:19" x14ac:dyDescent="0.25">
      <c r="I14465" s="1"/>
      <c r="J14465" s="71"/>
      <c r="M14465" s="46"/>
      <c r="R14465" s="51"/>
      <c r="S14465" s="51"/>
    </row>
    <row r="14466" spans="9:19" x14ac:dyDescent="0.25">
      <c r="I14466" s="1"/>
      <c r="J14466" s="71"/>
      <c r="M14466" s="46"/>
      <c r="R14466" s="51"/>
      <c r="S14466" s="51"/>
    </row>
    <row r="14467" spans="9:19" x14ac:dyDescent="0.25">
      <c r="I14467" s="1"/>
      <c r="J14467" s="71"/>
      <c r="M14467" s="46"/>
      <c r="R14467" s="51"/>
      <c r="S14467" s="51"/>
    </row>
    <row r="14468" spans="9:19" x14ac:dyDescent="0.25">
      <c r="I14468" s="1"/>
      <c r="J14468" s="71"/>
      <c r="M14468" s="46"/>
      <c r="R14468" s="51"/>
      <c r="S14468" s="51"/>
    </row>
    <row r="14469" spans="9:19" x14ac:dyDescent="0.25">
      <c r="I14469" s="1"/>
      <c r="J14469" s="71"/>
      <c r="M14469" s="46"/>
      <c r="R14469" s="51"/>
      <c r="S14469" s="51"/>
    </row>
    <row r="14470" spans="9:19" x14ac:dyDescent="0.25">
      <c r="I14470" s="1"/>
      <c r="J14470" s="71"/>
      <c r="M14470" s="46"/>
      <c r="R14470" s="51"/>
      <c r="S14470" s="51"/>
    </row>
    <row r="14471" spans="9:19" x14ac:dyDescent="0.25">
      <c r="I14471" s="1"/>
      <c r="J14471" s="71"/>
      <c r="M14471" s="46"/>
      <c r="R14471" s="51"/>
      <c r="S14471" s="51"/>
    </row>
    <row r="14472" spans="9:19" x14ac:dyDescent="0.25">
      <c r="I14472" s="1"/>
      <c r="J14472" s="71"/>
      <c r="M14472" s="46"/>
      <c r="R14472" s="51"/>
      <c r="S14472" s="51"/>
    </row>
    <row r="14473" spans="9:19" x14ac:dyDescent="0.25">
      <c r="I14473" s="1"/>
      <c r="J14473" s="71"/>
      <c r="M14473" s="46"/>
      <c r="R14473" s="51"/>
      <c r="S14473" s="51"/>
    </row>
    <row r="14474" spans="9:19" x14ac:dyDescent="0.25">
      <c r="I14474" s="1"/>
      <c r="J14474" s="71"/>
      <c r="M14474" s="46"/>
      <c r="R14474" s="51"/>
      <c r="S14474" s="51"/>
    </row>
    <row r="14475" spans="9:19" x14ac:dyDescent="0.25">
      <c r="I14475" s="1"/>
      <c r="J14475" s="71"/>
      <c r="M14475" s="46"/>
      <c r="R14475" s="51"/>
      <c r="S14475" s="51"/>
    </row>
    <row r="14476" spans="9:19" x14ac:dyDescent="0.25">
      <c r="I14476" s="1"/>
      <c r="J14476" s="71"/>
      <c r="M14476" s="46"/>
      <c r="R14476" s="51"/>
      <c r="S14476" s="51"/>
    </row>
    <row r="14477" spans="9:19" x14ac:dyDescent="0.25">
      <c r="I14477" s="1"/>
      <c r="J14477" s="71"/>
      <c r="M14477" s="46"/>
      <c r="R14477" s="51"/>
      <c r="S14477" s="51"/>
    </row>
    <row r="14478" spans="9:19" x14ac:dyDescent="0.25">
      <c r="I14478" s="1"/>
      <c r="J14478" s="71"/>
      <c r="M14478" s="46"/>
      <c r="R14478" s="51"/>
      <c r="S14478" s="51"/>
    </row>
    <row r="14479" spans="9:19" x14ac:dyDescent="0.25">
      <c r="I14479" s="1"/>
      <c r="J14479" s="71"/>
      <c r="M14479" s="46"/>
      <c r="R14479" s="51"/>
      <c r="S14479" s="51"/>
    </row>
    <row r="14480" spans="9:19" x14ac:dyDescent="0.25">
      <c r="I14480" s="1"/>
      <c r="J14480" s="71"/>
      <c r="M14480" s="46"/>
      <c r="R14480" s="51"/>
      <c r="S14480" s="51"/>
    </row>
    <row r="14481" spans="9:19" x14ac:dyDescent="0.25">
      <c r="I14481" s="1"/>
      <c r="J14481" s="71"/>
      <c r="M14481" s="46"/>
      <c r="R14481" s="51"/>
      <c r="S14481" s="51"/>
    </row>
    <row r="14482" spans="9:19" x14ac:dyDescent="0.25">
      <c r="I14482" s="1"/>
      <c r="J14482" s="71"/>
      <c r="M14482" s="46"/>
      <c r="R14482" s="51"/>
      <c r="S14482" s="51"/>
    </row>
    <row r="14483" spans="9:19" x14ac:dyDescent="0.25">
      <c r="I14483" s="1"/>
      <c r="J14483" s="71"/>
      <c r="M14483" s="46"/>
      <c r="R14483" s="51"/>
      <c r="S14483" s="51"/>
    </row>
    <row r="14484" spans="9:19" x14ac:dyDescent="0.25">
      <c r="I14484" s="1"/>
      <c r="J14484" s="71"/>
      <c r="M14484" s="46"/>
      <c r="R14484" s="51"/>
      <c r="S14484" s="51"/>
    </row>
    <row r="14485" spans="9:19" x14ac:dyDescent="0.25">
      <c r="I14485" s="1"/>
      <c r="J14485" s="71"/>
      <c r="M14485" s="46"/>
      <c r="R14485" s="51"/>
      <c r="S14485" s="51"/>
    </row>
    <row r="14486" spans="9:19" x14ac:dyDescent="0.25">
      <c r="I14486" s="1"/>
      <c r="J14486" s="71"/>
      <c r="M14486" s="46"/>
      <c r="R14486" s="51"/>
      <c r="S14486" s="51"/>
    </row>
    <row r="14487" spans="9:19" x14ac:dyDescent="0.25">
      <c r="I14487" s="1"/>
      <c r="J14487" s="71"/>
      <c r="M14487" s="46"/>
      <c r="R14487" s="51"/>
      <c r="S14487" s="51"/>
    </row>
    <row r="14488" spans="9:19" x14ac:dyDescent="0.25">
      <c r="I14488" s="1"/>
      <c r="J14488" s="71"/>
      <c r="M14488" s="46"/>
      <c r="R14488" s="51"/>
      <c r="S14488" s="51"/>
    </row>
    <row r="14489" spans="9:19" x14ac:dyDescent="0.25">
      <c r="I14489" s="1"/>
      <c r="J14489" s="71"/>
      <c r="M14489" s="46"/>
      <c r="R14489" s="51"/>
      <c r="S14489" s="51"/>
    </row>
    <row r="14490" spans="9:19" x14ac:dyDescent="0.25">
      <c r="I14490" s="1"/>
      <c r="J14490" s="71"/>
      <c r="M14490" s="46"/>
      <c r="R14490" s="51"/>
      <c r="S14490" s="51"/>
    </row>
    <row r="14491" spans="9:19" x14ac:dyDescent="0.25">
      <c r="I14491" s="1"/>
      <c r="J14491" s="71"/>
      <c r="M14491" s="46"/>
      <c r="R14491" s="51"/>
      <c r="S14491" s="51"/>
    </row>
    <row r="14492" spans="9:19" x14ac:dyDescent="0.25">
      <c r="I14492" s="1"/>
      <c r="J14492" s="71"/>
      <c r="M14492" s="46"/>
      <c r="R14492" s="51"/>
      <c r="S14492" s="51"/>
    </row>
    <row r="14493" spans="9:19" x14ac:dyDescent="0.25">
      <c r="I14493" s="1"/>
      <c r="J14493" s="71"/>
      <c r="M14493" s="46"/>
      <c r="R14493" s="51"/>
      <c r="S14493" s="51"/>
    </row>
    <row r="14494" spans="9:19" x14ac:dyDescent="0.25">
      <c r="I14494" s="1"/>
      <c r="J14494" s="71"/>
      <c r="M14494" s="46"/>
      <c r="R14494" s="51"/>
      <c r="S14494" s="51"/>
    </row>
    <row r="14495" spans="9:19" x14ac:dyDescent="0.25">
      <c r="I14495" s="1"/>
      <c r="J14495" s="71"/>
      <c r="M14495" s="46"/>
      <c r="R14495" s="51"/>
      <c r="S14495" s="51"/>
    </row>
    <row r="14496" spans="9:19" x14ac:dyDescent="0.25">
      <c r="I14496" s="1"/>
      <c r="J14496" s="71"/>
      <c r="M14496" s="46"/>
      <c r="R14496" s="51"/>
      <c r="S14496" s="51"/>
    </row>
    <row r="14497" spans="9:19" x14ac:dyDescent="0.25">
      <c r="I14497" s="1"/>
      <c r="J14497" s="71"/>
      <c r="M14497" s="46"/>
      <c r="R14497" s="51"/>
      <c r="S14497" s="51"/>
    </row>
    <row r="14498" spans="9:19" x14ac:dyDescent="0.25">
      <c r="I14498" s="1"/>
      <c r="J14498" s="71"/>
      <c r="M14498" s="46"/>
      <c r="R14498" s="51"/>
      <c r="S14498" s="51"/>
    </row>
    <row r="14499" spans="9:19" x14ac:dyDescent="0.25">
      <c r="I14499" s="1"/>
      <c r="J14499" s="71"/>
      <c r="M14499" s="46"/>
      <c r="R14499" s="51"/>
      <c r="S14499" s="51"/>
    </row>
    <row r="14500" spans="9:19" x14ac:dyDescent="0.25">
      <c r="I14500" s="1"/>
      <c r="J14500" s="71"/>
      <c r="M14500" s="46"/>
      <c r="R14500" s="51"/>
      <c r="S14500" s="51"/>
    </row>
    <row r="14501" spans="9:19" x14ac:dyDescent="0.25">
      <c r="I14501" s="1"/>
      <c r="J14501" s="71"/>
      <c r="M14501" s="46"/>
      <c r="R14501" s="51"/>
      <c r="S14501" s="51"/>
    </row>
    <row r="14502" spans="9:19" x14ac:dyDescent="0.25">
      <c r="I14502" s="1"/>
      <c r="J14502" s="71"/>
      <c r="M14502" s="46"/>
      <c r="R14502" s="51"/>
      <c r="S14502" s="51"/>
    </row>
    <row r="14503" spans="9:19" x14ac:dyDescent="0.25">
      <c r="I14503" s="1"/>
      <c r="J14503" s="71"/>
      <c r="M14503" s="46"/>
      <c r="R14503" s="51"/>
      <c r="S14503" s="51"/>
    </row>
    <row r="14504" spans="9:19" x14ac:dyDescent="0.25">
      <c r="I14504" s="1"/>
      <c r="J14504" s="71"/>
      <c r="M14504" s="46"/>
      <c r="R14504" s="51"/>
      <c r="S14504" s="51"/>
    </row>
    <row r="14505" spans="9:19" x14ac:dyDescent="0.25">
      <c r="I14505" s="1"/>
      <c r="J14505" s="71"/>
      <c r="M14505" s="46"/>
      <c r="R14505" s="51"/>
      <c r="S14505" s="51"/>
    </row>
    <row r="14506" spans="9:19" x14ac:dyDescent="0.25">
      <c r="I14506" s="1"/>
      <c r="J14506" s="71"/>
      <c r="M14506" s="46"/>
      <c r="R14506" s="51"/>
      <c r="S14506" s="51"/>
    </row>
    <row r="14507" spans="9:19" x14ac:dyDescent="0.25">
      <c r="I14507" s="1"/>
      <c r="J14507" s="71"/>
      <c r="M14507" s="46"/>
      <c r="R14507" s="51"/>
      <c r="S14507" s="51"/>
    </row>
    <row r="14508" spans="9:19" x14ac:dyDescent="0.25">
      <c r="I14508" s="1"/>
      <c r="J14508" s="71"/>
      <c r="M14508" s="46"/>
      <c r="R14508" s="51"/>
      <c r="S14508" s="51"/>
    </row>
    <row r="14509" spans="9:19" x14ac:dyDescent="0.25">
      <c r="I14509" s="1"/>
      <c r="J14509" s="71"/>
      <c r="M14509" s="46"/>
      <c r="R14509" s="51"/>
      <c r="S14509" s="51"/>
    </row>
    <row r="14510" spans="9:19" x14ac:dyDescent="0.25">
      <c r="I14510" s="1"/>
      <c r="J14510" s="71"/>
      <c r="M14510" s="46"/>
      <c r="R14510" s="51"/>
      <c r="S14510" s="51"/>
    </row>
    <row r="14511" spans="9:19" x14ac:dyDescent="0.25">
      <c r="I14511" s="1"/>
      <c r="J14511" s="71"/>
      <c r="M14511" s="46"/>
      <c r="R14511" s="51"/>
      <c r="S14511" s="51"/>
    </row>
    <row r="14512" spans="9:19" x14ac:dyDescent="0.25">
      <c r="I14512" s="1"/>
      <c r="J14512" s="71"/>
      <c r="M14512" s="46"/>
      <c r="R14512" s="51"/>
      <c r="S14512" s="51"/>
    </row>
    <row r="14513" spans="9:19" x14ac:dyDescent="0.25">
      <c r="I14513" s="1"/>
      <c r="J14513" s="71"/>
      <c r="M14513" s="46"/>
      <c r="R14513" s="51"/>
      <c r="S14513" s="51"/>
    </row>
    <row r="14514" spans="9:19" x14ac:dyDescent="0.25">
      <c r="I14514" s="1"/>
      <c r="J14514" s="71"/>
      <c r="M14514" s="46"/>
      <c r="R14514" s="51"/>
      <c r="S14514" s="51"/>
    </row>
    <row r="14515" spans="9:19" x14ac:dyDescent="0.25">
      <c r="I14515" s="1"/>
      <c r="J14515" s="71"/>
      <c r="M14515" s="46"/>
      <c r="R14515" s="51"/>
      <c r="S14515" s="51"/>
    </row>
    <row r="14516" spans="9:19" x14ac:dyDescent="0.25">
      <c r="I14516" s="1"/>
      <c r="J14516" s="71"/>
      <c r="M14516" s="46"/>
      <c r="R14516" s="51"/>
      <c r="S14516" s="51"/>
    </row>
    <row r="14517" spans="9:19" x14ac:dyDescent="0.25">
      <c r="I14517" s="1"/>
      <c r="J14517" s="71"/>
      <c r="M14517" s="46"/>
      <c r="R14517" s="51"/>
      <c r="S14517" s="51"/>
    </row>
    <row r="14518" spans="9:19" x14ac:dyDescent="0.25">
      <c r="I14518" s="1"/>
      <c r="J14518" s="71"/>
      <c r="M14518" s="46"/>
      <c r="R14518" s="51"/>
      <c r="S14518" s="51"/>
    </row>
    <row r="14519" spans="9:19" x14ac:dyDescent="0.25">
      <c r="I14519" s="1"/>
      <c r="J14519" s="71"/>
      <c r="M14519" s="46"/>
      <c r="R14519" s="51"/>
      <c r="S14519" s="51"/>
    </row>
    <row r="14520" spans="9:19" x14ac:dyDescent="0.25">
      <c r="I14520" s="1"/>
      <c r="J14520" s="71"/>
      <c r="M14520" s="46"/>
      <c r="R14520" s="51"/>
      <c r="S14520" s="51"/>
    </row>
    <row r="14521" spans="9:19" x14ac:dyDescent="0.25">
      <c r="I14521" s="1"/>
      <c r="J14521" s="71"/>
      <c r="M14521" s="46"/>
      <c r="R14521" s="51"/>
      <c r="S14521" s="51"/>
    </row>
    <row r="14522" spans="9:19" x14ac:dyDescent="0.25">
      <c r="I14522" s="1"/>
      <c r="J14522" s="71"/>
      <c r="M14522" s="46"/>
      <c r="R14522" s="51"/>
      <c r="S14522" s="51"/>
    </row>
    <row r="14523" spans="9:19" x14ac:dyDescent="0.25">
      <c r="I14523" s="1"/>
      <c r="J14523" s="71"/>
      <c r="M14523" s="46"/>
      <c r="R14523" s="51"/>
      <c r="S14523" s="51"/>
    </row>
    <row r="14524" spans="9:19" x14ac:dyDescent="0.25">
      <c r="I14524" s="1"/>
      <c r="J14524" s="71"/>
      <c r="M14524" s="46"/>
      <c r="R14524" s="51"/>
      <c r="S14524" s="51"/>
    </row>
    <row r="14525" spans="9:19" x14ac:dyDescent="0.25">
      <c r="I14525" s="1"/>
      <c r="J14525" s="71"/>
      <c r="M14525" s="46"/>
      <c r="R14525" s="51"/>
      <c r="S14525" s="51"/>
    </row>
    <row r="14526" spans="9:19" x14ac:dyDescent="0.25">
      <c r="I14526" s="1"/>
      <c r="J14526" s="71"/>
      <c r="M14526" s="46"/>
      <c r="R14526" s="51"/>
      <c r="S14526" s="51"/>
    </row>
    <row r="14527" spans="9:19" x14ac:dyDescent="0.25">
      <c r="I14527" s="1"/>
      <c r="J14527" s="71"/>
      <c r="M14527" s="46"/>
      <c r="R14527" s="51"/>
      <c r="S14527" s="51"/>
    </row>
    <row r="14528" spans="9:19" x14ac:dyDescent="0.25">
      <c r="I14528" s="1"/>
      <c r="J14528" s="71"/>
      <c r="M14528" s="46"/>
      <c r="R14528" s="51"/>
      <c r="S14528" s="51"/>
    </row>
    <row r="14529" spans="9:19" x14ac:dyDescent="0.25">
      <c r="I14529" s="1"/>
      <c r="J14529" s="71"/>
      <c r="M14529" s="46"/>
      <c r="R14529" s="51"/>
      <c r="S14529" s="51"/>
    </row>
    <row r="14530" spans="9:19" x14ac:dyDescent="0.25">
      <c r="I14530" s="1"/>
      <c r="J14530" s="71"/>
      <c r="M14530" s="46"/>
      <c r="R14530" s="51"/>
      <c r="S14530" s="51"/>
    </row>
    <row r="14531" spans="9:19" x14ac:dyDescent="0.25">
      <c r="I14531" s="1"/>
      <c r="J14531" s="71"/>
      <c r="M14531" s="46"/>
      <c r="R14531" s="51"/>
      <c r="S14531" s="51"/>
    </row>
    <row r="14532" spans="9:19" x14ac:dyDescent="0.25">
      <c r="I14532" s="1"/>
      <c r="J14532" s="71"/>
      <c r="M14532" s="46"/>
      <c r="R14532" s="51"/>
      <c r="S14532" s="51"/>
    </row>
    <row r="14533" spans="9:19" x14ac:dyDescent="0.25">
      <c r="I14533" s="1"/>
      <c r="J14533" s="71"/>
      <c r="M14533" s="46"/>
      <c r="R14533" s="51"/>
      <c r="S14533" s="51"/>
    </row>
    <row r="14534" spans="9:19" x14ac:dyDescent="0.25">
      <c r="I14534" s="1"/>
      <c r="J14534" s="71"/>
      <c r="M14534" s="46"/>
      <c r="R14534" s="51"/>
      <c r="S14534" s="51"/>
    </row>
    <row r="14535" spans="9:19" x14ac:dyDescent="0.25">
      <c r="I14535" s="1"/>
      <c r="J14535" s="71"/>
      <c r="M14535" s="46"/>
      <c r="R14535" s="51"/>
      <c r="S14535" s="51"/>
    </row>
    <row r="14536" spans="9:19" x14ac:dyDescent="0.25">
      <c r="I14536" s="1"/>
      <c r="J14536" s="71"/>
      <c r="M14536" s="46"/>
      <c r="R14536" s="51"/>
      <c r="S14536" s="51"/>
    </row>
    <row r="14537" spans="9:19" x14ac:dyDescent="0.25">
      <c r="I14537" s="1"/>
      <c r="J14537" s="71"/>
      <c r="M14537" s="46"/>
      <c r="R14537" s="51"/>
      <c r="S14537" s="51"/>
    </row>
    <row r="14538" spans="9:19" x14ac:dyDescent="0.25">
      <c r="I14538" s="1"/>
      <c r="J14538" s="71"/>
      <c r="M14538" s="46"/>
      <c r="R14538" s="51"/>
      <c r="S14538" s="51"/>
    </row>
    <row r="14539" spans="9:19" x14ac:dyDescent="0.25">
      <c r="I14539" s="1"/>
      <c r="J14539" s="71"/>
      <c r="M14539" s="46"/>
      <c r="R14539" s="51"/>
      <c r="S14539" s="51"/>
    </row>
    <row r="14540" spans="9:19" x14ac:dyDescent="0.25">
      <c r="I14540" s="1"/>
      <c r="J14540" s="71"/>
      <c r="M14540" s="46"/>
      <c r="R14540" s="51"/>
      <c r="S14540" s="51"/>
    </row>
    <row r="14541" spans="9:19" x14ac:dyDescent="0.25">
      <c r="I14541" s="1"/>
      <c r="J14541" s="71"/>
      <c r="M14541" s="46"/>
      <c r="R14541" s="51"/>
      <c r="S14541" s="51"/>
    </row>
    <row r="14542" spans="9:19" x14ac:dyDescent="0.25">
      <c r="I14542" s="1"/>
      <c r="J14542" s="71"/>
      <c r="M14542" s="46"/>
      <c r="R14542" s="51"/>
      <c r="S14542" s="51"/>
    </row>
    <row r="14543" spans="9:19" x14ac:dyDescent="0.25">
      <c r="I14543" s="1"/>
      <c r="J14543" s="71"/>
      <c r="M14543" s="46"/>
      <c r="R14543" s="51"/>
      <c r="S14543" s="51"/>
    </row>
    <row r="14544" spans="9:19" x14ac:dyDescent="0.25">
      <c r="I14544" s="1"/>
      <c r="J14544" s="71"/>
      <c r="M14544" s="46"/>
      <c r="R14544" s="51"/>
      <c r="S14544" s="51"/>
    </row>
    <row r="14545" spans="9:19" x14ac:dyDescent="0.25">
      <c r="I14545" s="1"/>
      <c r="J14545" s="71"/>
      <c r="M14545" s="46"/>
      <c r="R14545" s="51"/>
      <c r="S14545" s="51"/>
    </row>
    <row r="14546" spans="9:19" x14ac:dyDescent="0.25">
      <c r="I14546" s="1"/>
      <c r="J14546" s="71"/>
      <c r="M14546" s="46"/>
      <c r="R14546" s="51"/>
      <c r="S14546" s="51"/>
    </row>
    <row r="14547" spans="9:19" x14ac:dyDescent="0.25">
      <c r="I14547" s="1"/>
      <c r="J14547" s="71"/>
      <c r="M14547" s="46"/>
      <c r="R14547" s="51"/>
      <c r="S14547" s="51"/>
    </row>
    <row r="14548" spans="9:19" x14ac:dyDescent="0.25">
      <c r="I14548" s="1"/>
      <c r="J14548" s="71"/>
      <c r="M14548" s="46"/>
      <c r="R14548" s="51"/>
      <c r="S14548" s="51"/>
    </row>
    <row r="14549" spans="9:19" x14ac:dyDescent="0.25">
      <c r="I14549" s="1"/>
      <c r="J14549" s="71"/>
      <c r="M14549" s="46"/>
      <c r="R14549" s="51"/>
      <c r="S14549" s="51"/>
    </row>
    <row r="14550" spans="9:19" x14ac:dyDescent="0.25">
      <c r="I14550" s="1"/>
      <c r="J14550" s="71"/>
      <c r="M14550" s="46"/>
      <c r="R14550" s="51"/>
      <c r="S14550" s="51"/>
    </row>
    <row r="14551" spans="9:19" x14ac:dyDescent="0.25">
      <c r="I14551" s="1"/>
      <c r="J14551" s="71"/>
      <c r="M14551" s="46"/>
      <c r="R14551" s="51"/>
      <c r="S14551" s="51"/>
    </row>
    <row r="14552" spans="9:19" x14ac:dyDescent="0.25">
      <c r="I14552" s="1"/>
      <c r="J14552" s="71"/>
      <c r="M14552" s="46"/>
      <c r="R14552" s="51"/>
      <c r="S14552" s="51"/>
    </row>
    <row r="14553" spans="9:19" x14ac:dyDescent="0.25">
      <c r="I14553" s="1"/>
      <c r="J14553" s="71"/>
      <c r="M14553" s="46"/>
      <c r="R14553" s="51"/>
      <c r="S14553" s="51"/>
    </row>
    <row r="14554" spans="9:19" x14ac:dyDescent="0.25">
      <c r="I14554" s="1"/>
      <c r="J14554" s="71"/>
      <c r="M14554" s="46"/>
      <c r="R14554" s="51"/>
      <c r="S14554" s="51"/>
    </row>
    <row r="14555" spans="9:19" x14ac:dyDescent="0.25">
      <c r="I14555" s="1"/>
      <c r="J14555" s="71"/>
      <c r="M14555" s="46"/>
      <c r="R14555" s="51"/>
      <c r="S14555" s="51"/>
    </row>
    <row r="14556" spans="9:19" x14ac:dyDescent="0.25">
      <c r="I14556" s="1"/>
      <c r="J14556" s="71"/>
      <c r="M14556" s="46"/>
      <c r="R14556" s="51"/>
      <c r="S14556" s="51"/>
    </row>
    <row r="14557" spans="9:19" x14ac:dyDescent="0.25">
      <c r="I14557" s="1"/>
      <c r="J14557" s="71"/>
      <c r="M14557" s="46"/>
      <c r="R14557" s="51"/>
      <c r="S14557" s="51"/>
    </row>
    <row r="14558" spans="9:19" x14ac:dyDescent="0.25">
      <c r="I14558" s="1"/>
      <c r="J14558" s="71"/>
      <c r="M14558" s="46"/>
      <c r="R14558" s="51"/>
      <c r="S14558" s="51"/>
    </row>
    <row r="14559" spans="9:19" x14ac:dyDescent="0.25">
      <c r="I14559" s="1"/>
      <c r="J14559" s="71"/>
      <c r="M14559" s="46"/>
      <c r="R14559" s="51"/>
      <c r="S14559" s="51"/>
    </row>
    <row r="14560" spans="9:19" x14ac:dyDescent="0.25">
      <c r="I14560" s="1"/>
      <c r="J14560" s="71"/>
      <c r="M14560" s="46"/>
      <c r="R14560" s="51"/>
      <c r="S14560" s="51"/>
    </row>
    <row r="14561" spans="9:19" x14ac:dyDescent="0.25">
      <c r="I14561" s="1"/>
      <c r="J14561" s="71"/>
      <c r="M14561" s="46"/>
      <c r="R14561" s="51"/>
      <c r="S14561" s="51"/>
    </row>
    <row r="14562" spans="9:19" x14ac:dyDescent="0.25">
      <c r="I14562" s="1"/>
      <c r="J14562" s="71"/>
      <c r="M14562" s="46"/>
      <c r="R14562" s="51"/>
      <c r="S14562" s="51"/>
    </row>
    <row r="14563" spans="9:19" x14ac:dyDescent="0.25">
      <c r="I14563" s="1"/>
      <c r="J14563" s="71"/>
      <c r="M14563" s="46"/>
      <c r="R14563" s="51"/>
      <c r="S14563" s="51"/>
    </row>
    <row r="14564" spans="9:19" x14ac:dyDescent="0.25">
      <c r="I14564" s="1"/>
      <c r="J14564" s="71"/>
      <c r="M14564" s="46"/>
      <c r="R14564" s="51"/>
      <c r="S14564" s="51"/>
    </row>
    <row r="14565" spans="9:19" x14ac:dyDescent="0.25">
      <c r="I14565" s="1"/>
      <c r="J14565" s="71"/>
      <c r="M14565" s="46"/>
      <c r="R14565" s="51"/>
      <c r="S14565" s="51"/>
    </row>
    <row r="14566" spans="9:19" x14ac:dyDescent="0.25">
      <c r="I14566" s="1"/>
      <c r="J14566" s="71"/>
      <c r="M14566" s="46"/>
      <c r="R14566" s="51"/>
      <c r="S14566" s="51"/>
    </row>
    <row r="14567" spans="9:19" x14ac:dyDescent="0.25">
      <c r="I14567" s="1"/>
      <c r="J14567" s="71"/>
      <c r="M14567" s="46"/>
      <c r="R14567" s="51"/>
      <c r="S14567" s="51"/>
    </row>
    <row r="14568" spans="9:19" x14ac:dyDescent="0.25">
      <c r="I14568" s="1"/>
      <c r="J14568" s="71"/>
      <c r="M14568" s="46"/>
      <c r="R14568" s="51"/>
      <c r="S14568" s="51"/>
    </row>
    <row r="14569" spans="9:19" x14ac:dyDescent="0.25">
      <c r="I14569" s="1"/>
      <c r="J14569" s="71"/>
      <c r="M14569" s="46"/>
      <c r="R14569" s="51"/>
      <c r="S14569" s="51"/>
    </row>
    <row r="14570" spans="9:19" x14ac:dyDescent="0.25">
      <c r="I14570" s="1"/>
      <c r="J14570" s="71"/>
      <c r="M14570" s="46"/>
      <c r="R14570" s="51"/>
      <c r="S14570" s="51"/>
    </row>
    <row r="14571" spans="9:19" x14ac:dyDescent="0.25">
      <c r="I14571" s="1"/>
      <c r="J14571" s="71"/>
      <c r="M14571" s="46"/>
      <c r="R14571" s="51"/>
      <c r="S14571" s="51"/>
    </row>
    <row r="14572" spans="9:19" x14ac:dyDescent="0.25">
      <c r="I14572" s="1"/>
      <c r="J14572" s="71"/>
      <c r="M14572" s="46"/>
      <c r="R14572" s="51"/>
      <c r="S14572" s="51"/>
    </row>
    <row r="14573" spans="9:19" x14ac:dyDescent="0.25">
      <c r="I14573" s="1"/>
      <c r="J14573" s="71"/>
      <c r="M14573" s="46"/>
      <c r="R14573" s="51"/>
      <c r="S14573" s="51"/>
    </row>
    <row r="14574" spans="9:19" x14ac:dyDescent="0.25">
      <c r="I14574" s="1"/>
      <c r="J14574" s="71"/>
      <c r="M14574" s="46"/>
      <c r="R14574" s="51"/>
      <c r="S14574" s="51"/>
    </row>
    <row r="14575" spans="9:19" x14ac:dyDescent="0.25">
      <c r="I14575" s="1"/>
      <c r="J14575" s="71"/>
      <c r="M14575" s="46"/>
      <c r="R14575" s="51"/>
      <c r="S14575" s="51"/>
    </row>
    <row r="14576" spans="9:19" x14ac:dyDescent="0.25">
      <c r="I14576" s="1"/>
      <c r="J14576" s="71"/>
      <c r="M14576" s="46"/>
      <c r="R14576" s="51"/>
      <c r="S14576" s="51"/>
    </row>
    <row r="14577" spans="9:19" x14ac:dyDescent="0.25">
      <c r="I14577" s="1"/>
      <c r="J14577" s="71"/>
      <c r="M14577" s="46"/>
      <c r="R14577" s="51"/>
      <c r="S14577" s="51"/>
    </row>
    <row r="14578" spans="9:19" x14ac:dyDescent="0.25">
      <c r="I14578" s="1"/>
      <c r="J14578" s="71"/>
      <c r="M14578" s="46"/>
      <c r="R14578" s="51"/>
      <c r="S14578" s="51"/>
    </row>
    <row r="14579" spans="9:19" x14ac:dyDescent="0.25">
      <c r="I14579" s="1"/>
      <c r="J14579" s="71"/>
      <c r="M14579" s="46"/>
      <c r="R14579" s="51"/>
      <c r="S14579" s="51"/>
    </row>
    <row r="14580" spans="9:19" x14ac:dyDescent="0.25">
      <c r="I14580" s="1"/>
      <c r="J14580" s="71"/>
      <c r="M14580" s="46"/>
      <c r="R14580" s="51"/>
      <c r="S14580" s="51"/>
    </row>
    <row r="14581" spans="9:19" x14ac:dyDescent="0.25">
      <c r="I14581" s="1"/>
      <c r="J14581" s="71"/>
      <c r="M14581" s="46"/>
      <c r="R14581" s="51"/>
      <c r="S14581" s="51"/>
    </row>
    <row r="14582" spans="9:19" x14ac:dyDescent="0.25">
      <c r="I14582" s="1"/>
      <c r="J14582" s="71"/>
      <c r="M14582" s="46"/>
      <c r="R14582" s="51"/>
      <c r="S14582" s="51"/>
    </row>
    <row r="14583" spans="9:19" x14ac:dyDescent="0.25">
      <c r="I14583" s="1"/>
      <c r="J14583" s="71"/>
      <c r="M14583" s="46"/>
      <c r="R14583" s="51"/>
      <c r="S14583" s="51"/>
    </row>
    <row r="14584" spans="9:19" x14ac:dyDescent="0.25">
      <c r="I14584" s="1"/>
      <c r="J14584" s="71"/>
      <c r="M14584" s="46"/>
      <c r="R14584" s="51"/>
      <c r="S14584" s="51"/>
    </row>
    <row r="14585" spans="9:19" x14ac:dyDescent="0.25">
      <c r="I14585" s="1"/>
      <c r="J14585" s="71"/>
      <c r="M14585" s="46"/>
      <c r="R14585" s="51"/>
      <c r="S14585" s="51"/>
    </row>
    <row r="14586" spans="9:19" x14ac:dyDescent="0.25">
      <c r="I14586" s="1"/>
      <c r="J14586" s="71"/>
      <c r="M14586" s="46"/>
      <c r="R14586" s="51"/>
      <c r="S14586" s="51"/>
    </row>
    <row r="14587" spans="9:19" x14ac:dyDescent="0.25">
      <c r="I14587" s="1"/>
      <c r="J14587" s="71"/>
      <c r="M14587" s="46"/>
      <c r="R14587" s="51"/>
      <c r="S14587" s="51"/>
    </row>
    <row r="14588" spans="9:19" x14ac:dyDescent="0.25">
      <c r="I14588" s="1"/>
      <c r="J14588" s="71"/>
      <c r="M14588" s="46"/>
      <c r="R14588" s="51"/>
      <c r="S14588" s="51"/>
    </row>
    <row r="14589" spans="9:19" x14ac:dyDescent="0.25">
      <c r="I14589" s="1"/>
      <c r="J14589" s="71"/>
      <c r="M14589" s="46"/>
      <c r="R14589" s="51"/>
      <c r="S14589" s="51"/>
    </row>
    <row r="14590" spans="9:19" x14ac:dyDescent="0.25">
      <c r="I14590" s="1"/>
      <c r="J14590" s="71"/>
      <c r="M14590" s="46"/>
      <c r="R14590" s="51"/>
      <c r="S14590" s="51"/>
    </row>
    <row r="14591" spans="9:19" x14ac:dyDescent="0.25">
      <c r="I14591" s="1"/>
      <c r="J14591" s="71"/>
      <c r="M14591" s="46"/>
      <c r="R14591" s="51"/>
      <c r="S14591" s="51"/>
    </row>
    <row r="14592" spans="9:19" x14ac:dyDescent="0.25">
      <c r="I14592" s="1"/>
      <c r="J14592" s="71"/>
      <c r="M14592" s="46"/>
      <c r="R14592" s="51"/>
      <c r="S14592" s="51"/>
    </row>
    <row r="14593" spans="9:19" x14ac:dyDescent="0.25">
      <c r="I14593" s="1"/>
      <c r="J14593" s="71"/>
      <c r="M14593" s="46"/>
      <c r="R14593" s="51"/>
      <c r="S14593" s="51"/>
    </row>
    <row r="14594" spans="9:19" x14ac:dyDescent="0.25">
      <c r="I14594" s="1"/>
      <c r="J14594" s="71"/>
      <c r="M14594" s="46"/>
      <c r="R14594" s="51"/>
      <c r="S14594" s="51"/>
    </row>
    <row r="14595" spans="9:19" x14ac:dyDescent="0.25">
      <c r="I14595" s="1"/>
      <c r="J14595" s="71"/>
      <c r="M14595" s="46"/>
      <c r="R14595" s="51"/>
      <c r="S14595" s="51"/>
    </row>
    <row r="14596" spans="9:19" x14ac:dyDescent="0.25">
      <c r="I14596" s="1"/>
      <c r="J14596" s="71"/>
      <c r="M14596" s="46"/>
      <c r="R14596" s="51"/>
      <c r="S14596" s="51"/>
    </row>
    <row r="14597" spans="9:19" x14ac:dyDescent="0.25">
      <c r="I14597" s="1"/>
      <c r="J14597" s="71"/>
      <c r="M14597" s="46"/>
      <c r="R14597" s="51"/>
      <c r="S14597" s="51"/>
    </row>
    <row r="14598" spans="9:19" x14ac:dyDescent="0.25">
      <c r="I14598" s="1"/>
      <c r="J14598" s="71"/>
      <c r="M14598" s="46"/>
      <c r="R14598" s="51"/>
      <c r="S14598" s="51"/>
    </row>
    <row r="14599" spans="9:19" x14ac:dyDescent="0.25">
      <c r="I14599" s="1"/>
      <c r="J14599" s="71"/>
      <c r="M14599" s="46"/>
      <c r="R14599" s="51"/>
      <c r="S14599" s="51"/>
    </row>
    <row r="14600" spans="9:19" x14ac:dyDescent="0.25">
      <c r="I14600" s="1"/>
      <c r="J14600" s="71"/>
      <c r="M14600" s="46"/>
      <c r="R14600" s="51"/>
      <c r="S14600" s="51"/>
    </row>
    <row r="14601" spans="9:19" x14ac:dyDescent="0.25">
      <c r="I14601" s="1"/>
      <c r="J14601" s="71"/>
      <c r="M14601" s="46"/>
      <c r="R14601" s="51"/>
      <c r="S14601" s="51"/>
    </row>
    <row r="14602" spans="9:19" x14ac:dyDescent="0.25">
      <c r="I14602" s="1"/>
      <c r="J14602" s="71"/>
      <c r="M14602" s="46"/>
      <c r="R14602" s="51"/>
      <c r="S14602" s="51"/>
    </row>
    <row r="14603" spans="9:19" x14ac:dyDescent="0.25">
      <c r="I14603" s="1"/>
      <c r="J14603" s="71"/>
      <c r="M14603" s="46"/>
      <c r="R14603" s="51"/>
      <c r="S14603" s="51"/>
    </row>
    <row r="14604" spans="9:19" x14ac:dyDescent="0.25">
      <c r="I14604" s="1"/>
      <c r="J14604" s="71"/>
      <c r="M14604" s="46"/>
      <c r="R14604" s="51"/>
      <c r="S14604" s="51"/>
    </row>
    <row r="14605" spans="9:19" x14ac:dyDescent="0.25">
      <c r="I14605" s="1"/>
      <c r="J14605" s="71"/>
      <c r="M14605" s="46"/>
      <c r="R14605" s="51"/>
      <c r="S14605" s="51"/>
    </row>
    <row r="14606" spans="9:19" x14ac:dyDescent="0.25">
      <c r="I14606" s="1"/>
      <c r="J14606" s="71"/>
      <c r="M14606" s="46"/>
      <c r="R14606" s="51"/>
      <c r="S14606" s="51"/>
    </row>
    <row r="14607" spans="9:19" x14ac:dyDescent="0.25">
      <c r="I14607" s="1"/>
      <c r="J14607" s="71"/>
      <c r="M14607" s="46"/>
      <c r="R14607" s="51"/>
      <c r="S14607" s="51"/>
    </row>
    <row r="14608" spans="9:19" x14ac:dyDescent="0.25">
      <c r="I14608" s="1"/>
      <c r="J14608" s="71"/>
      <c r="M14608" s="46"/>
      <c r="R14608" s="51"/>
      <c r="S14608" s="51"/>
    </row>
    <row r="14609" spans="9:19" x14ac:dyDescent="0.25">
      <c r="I14609" s="1"/>
      <c r="J14609" s="71"/>
      <c r="M14609" s="46"/>
      <c r="R14609" s="51"/>
      <c r="S14609" s="51"/>
    </row>
    <row r="14610" spans="9:19" x14ac:dyDescent="0.25">
      <c r="I14610" s="1"/>
      <c r="J14610" s="71"/>
      <c r="M14610" s="46"/>
      <c r="R14610" s="51"/>
      <c r="S14610" s="51"/>
    </row>
    <row r="14611" spans="9:19" x14ac:dyDescent="0.25">
      <c r="I14611" s="1"/>
      <c r="J14611" s="71"/>
      <c r="M14611" s="46"/>
      <c r="R14611" s="51"/>
      <c r="S14611" s="51"/>
    </row>
    <row r="14612" spans="9:19" x14ac:dyDescent="0.25">
      <c r="I14612" s="1"/>
      <c r="J14612" s="71"/>
      <c r="M14612" s="46"/>
      <c r="R14612" s="51"/>
      <c r="S14612" s="51"/>
    </row>
    <row r="14613" spans="9:19" x14ac:dyDescent="0.25">
      <c r="I14613" s="1"/>
      <c r="J14613" s="71"/>
      <c r="M14613" s="46"/>
      <c r="R14613" s="51"/>
      <c r="S14613" s="51"/>
    </row>
    <row r="14614" spans="9:19" x14ac:dyDescent="0.25">
      <c r="I14614" s="1"/>
      <c r="J14614" s="71"/>
      <c r="M14614" s="46"/>
      <c r="R14614" s="51"/>
      <c r="S14614" s="51"/>
    </row>
    <row r="14615" spans="9:19" x14ac:dyDescent="0.25">
      <c r="I14615" s="1"/>
      <c r="J14615" s="71"/>
      <c r="M14615" s="46"/>
      <c r="R14615" s="51"/>
      <c r="S14615" s="51"/>
    </row>
    <row r="14616" spans="9:19" x14ac:dyDescent="0.25">
      <c r="I14616" s="1"/>
      <c r="J14616" s="71"/>
      <c r="M14616" s="46"/>
      <c r="R14616" s="51"/>
      <c r="S14616" s="51"/>
    </row>
    <row r="14617" spans="9:19" x14ac:dyDescent="0.25">
      <c r="I14617" s="1"/>
      <c r="J14617" s="71"/>
      <c r="M14617" s="46"/>
      <c r="R14617" s="51"/>
      <c r="S14617" s="51"/>
    </row>
    <row r="14618" spans="9:19" x14ac:dyDescent="0.25">
      <c r="I14618" s="1"/>
      <c r="J14618" s="71"/>
      <c r="M14618" s="46"/>
      <c r="R14618" s="51"/>
      <c r="S14618" s="51"/>
    </row>
    <row r="14619" spans="9:19" x14ac:dyDescent="0.25">
      <c r="I14619" s="1"/>
      <c r="J14619" s="71"/>
      <c r="M14619" s="46"/>
      <c r="R14619" s="51"/>
      <c r="S14619" s="51"/>
    </row>
    <row r="14620" spans="9:19" x14ac:dyDescent="0.25">
      <c r="I14620" s="1"/>
      <c r="J14620" s="71"/>
      <c r="M14620" s="46"/>
      <c r="R14620" s="51"/>
      <c r="S14620" s="51"/>
    </row>
    <row r="14621" spans="9:19" x14ac:dyDescent="0.25">
      <c r="I14621" s="1"/>
      <c r="J14621" s="71"/>
      <c r="M14621" s="46"/>
      <c r="R14621" s="51"/>
      <c r="S14621" s="51"/>
    </row>
    <row r="14622" spans="9:19" x14ac:dyDescent="0.25">
      <c r="I14622" s="1"/>
      <c r="J14622" s="71"/>
      <c r="M14622" s="46"/>
      <c r="R14622" s="51"/>
      <c r="S14622" s="51"/>
    </row>
    <row r="14623" spans="9:19" x14ac:dyDescent="0.25">
      <c r="I14623" s="1"/>
      <c r="J14623" s="71"/>
      <c r="M14623" s="46"/>
      <c r="R14623" s="51"/>
      <c r="S14623" s="51"/>
    </row>
    <row r="14624" spans="9:19" x14ac:dyDescent="0.25">
      <c r="I14624" s="1"/>
      <c r="J14624" s="71"/>
      <c r="M14624" s="46"/>
      <c r="R14624" s="51"/>
      <c r="S14624" s="51"/>
    </row>
    <row r="14625" spans="9:19" x14ac:dyDescent="0.25">
      <c r="I14625" s="1"/>
      <c r="J14625" s="71"/>
      <c r="M14625" s="46"/>
      <c r="R14625" s="51"/>
      <c r="S14625" s="51"/>
    </row>
    <row r="14626" spans="9:19" x14ac:dyDescent="0.25">
      <c r="I14626" s="1"/>
      <c r="J14626" s="71"/>
      <c r="M14626" s="46"/>
      <c r="R14626" s="51"/>
      <c r="S14626" s="51"/>
    </row>
    <row r="14627" spans="9:19" x14ac:dyDescent="0.25">
      <c r="I14627" s="1"/>
      <c r="J14627" s="71"/>
      <c r="M14627" s="46"/>
      <c r="R14627" s="51"/>
      <c r="S14627" s="51"/>
    </row>
    <row r="14628" spans="9:19" x14ac:dyDescent="0.25">
      <c r="I14628" s="1"/>
      <c r="J14628" s="71"/>
      <c r="M14628" s="46"/>
      <c r="R14628" s="51"/>
      <c r="S14628" s="51"/>
    </row>
    <row r="14629" spans="9:19" x14ac:dyDescent="0.25">
      <c r="I14629" s="1"/>
      <c r="J14629" s="71"/>
      <c r="M14629" s="46"/>
      <c r="R14629" s="51"/>
      <c r="S14629" s="51"/>
    </row>
    <row r="14630" spans="9:19" x14ac:dyDescent="0.25">
      <c r="I14630" s="1"/>
      <c r="J14630" s="71"/>
      <c r="M14630" s="46"/>
      <c r="R14630" s="51"/>
      <c r="S14630" s="51"/>
    </row>
    <row r="14631" spans="9:19" x14ac:dyDescent="0.25">
      <c r="I14631" s="1"/>
      <c r="J14631" s="71"/>
      <c r="M14631" s="46"/>
      <c r="R14631" s="51"/>
      <c r="S14631" s="51"/>
    </row>
    <row r="14632" spans="9:19" x14ac:dyDescent="0.25">
      <c r="I14632" s="1"/>
      <c r="J14632" s="71"/>
      <c r="M14632" s="46"/>
      <c r="R14632" s="51"/>
      <c r="S14632" s="51"/>
    </row>
    <row r="14633" spans="9:19" x14ac:dyDescent="0.25">
      <c r="I14633" s="1"/>
      <c r="J14633" s="71"/>
      <c r="M14633" s="46"/>
      <c r="R14633" s="51"/>
      <c r="S14633" s="51"/>
    </row>
    <row r="14634" spans="9:19" x14ac:dyDescent="0.25">
      <c r="I14634" s="1"/>
      <c r="J14634" s="71"/>
      <c r="M14634" s="46"/>
      <c r="R14634" s="51"/>
      <c r="S14634" s="51"/>
    </row>
    <row r="14635" spans="9:19" x14ac:dyDescent="0.25">
      <c r="I14635" s="1"/>
      <c r="J14635" s="71"/>
      <c r="M14635" s="46"/>
      <c r="R14635" s="51"/>
      <c r="S14635" s="51"/>
    </row>
    <row r="14636" spans="9:19" x14ac:dyDescent="0.25">
      <c r="I14636" s="1"/>
      <c r="J14636" s="71"/>
      <c r="M14636" s="46"/>
      <c r="R14636" s="51"/>
      <c r="S14636" s="51"/>
    </row>
    <row r="14637" spans="9:19" x14ac:dyDescent="0.25">
      <c r="I14637" s="1"/>
      <c r="J14637" s="71"/>
      <c r="M14637" s="46"/>
      <c r="R14637" s="51"/>
      <c r="S14637" s="51"/>
    </row>
    <row r="14638" spans="9:19" x14ac:dyDescent="0.25">
      <c r="I14638" s="1"/>
      <c r="J14638" s="71"/>
      <c r="M14638" s="46"/>
      <c r="R14638" s="51"/>
      <c r="S14638" s="51"/>
    </row>
    <row r="14639" spans="9:19" x14ac:dyDescent="0.25">
      <c r="I14639" s="1"/>
      <c r="J14639" s="71"/>
      <c r="M14639" s="46"/>
      <c r="R14639" s="51"/>
      <c r="S14639" s="51"/>
    </row>
    <row r="14640" spans="9:19" x14ac:dyDescent="0.25">
      <c r="I14640" s="1"/>
      <c r="J14640" s="71"/>
      <c r="M14640" s="46"/>
      <c r="R14640" s="51"/>
      <c r="S14640" s="51"/>
    </row>
    <row r="14641" spans="9:19" x14ac:dyDescent="0.25">
      <c r="I14641" s="1"/>
      <c r="J14641" s="71"/>
      <c r="M14641" s="46"/>
      <c r="R14641" s="51"/>
      <c r="S14641" s="51"/>
    </row>
    <row r="14642" spans="9:19" x14ac:dyDescent="0.25">
      <c r="I14642" s="1"/>
      <c r="J14642" s="71"/>
      <c r="M14642" s="46"/>
      <c r="R14642" s="51"/>
      <c r="S14642" s="51"/>
    </row>
    <row r="14643" spans="9:19" x14ac:dyDescent="0.25">
      <c r="I14643" s="1"/>
      <c r="J14643" s="71"/>
      <c r="M14643" s="46"/>
      <c r="R14643" s="51"/>
      <c r="S14643" s="51"/>
    </row>
    <row r="14644" spans="9:19" x14ac:dyDescent="0.25">
      <c r="I14644" s="1"/>
      <c r="J14644" s="71"/>
      <c r="M14644" s="46"/>
      <c r="R14644" s="51"/>
      <c r="S14644" s="51"/>
    </row>
    <row r="14645" spans="9:19" x14ac:dyDescent="0.25">
      <c r="I14645" s="1"/>
      <c r="J14645" s="71"/>
      <c r="M14645" s="46"/>
      <c r="R14645" s="51"/>
      <c r="S14645" s="51"/>
    </row>
    <row r="14646" spans="9:19" x14ac:dyDescent="0.25">
      <c r="I14646" s="1"/>
      <c r="J14646" s="71"/>
      <c r="M14646" s="46"/>
      <c r="R14646" s="51"/>
      <c r="S14646" s="51"/>
    </row>
    <row r="14647" spans="9:19" x14ac:dyDescent="0.25">
      <c r="I14647" s="1"/>
      <c r="J14647" s="71"/>
      <c r="M14647" s="46"/>
      <c r="R14647" s="51"/>
      <c r="S14647" s="51"/>
    </row>
    <row r="14648" spans="9:19" x14ac:dyDescent="0.25">
      <c r="I14648" s="1"/>
      <c r="J14648" s="71"/>
      <c r="M14648" s="46"/>
      <c r="R14648" s="51"/>
      <c r="S14648" s="51"/>
    </row>
    <row r="14649" spans="9:19" x14ac:dyDescent="0.25">
      <c r="I14649" s="1"/>
      <c r="J14649" s="71"/>
      <c r="M14649" s="46"/>
      <c r="R14649" s="51"/>
      <c r="S14649" s="51"/>
    </row>
    <row r="14650" spans="9:19" x14ac:dyDescent="0.25">
      <c r="I14650" s="1"/>
      <c r="J14650" s="71"/>
      <c r="M14650" s="46"/>
      <c r="R14650" s="51"/>
      <c r="S14650" s="51"/>
    </row>
    <row r="14651" spans="9:19" x14ac:dyDescent="0.25">
      <c r="I14651" s="1"/>
      <c r="J14651" s="71"/>
      <c r="M14651" s="46"/>
      <c r="R14651" s="51"/>
      <c r="S14651" s="51"/>
    </row>
    <row r="14652" spans="9:19" x14ac:dyDescent="0.25">
      <c r="I14652" s="1"/>
      <c r="J14652" s="71"/>
      <c r="M14652" s="46"/>
      <c r="R14652" s="51"/>
      <c r="S14652" s="51"/>
    </row>
    <row r="14653" spans="9:19" x14ac:dyDescent="0.25">
      <c r="I14653" s="1"/>
      <c r="J14653" s="71"/>
      <c r="M14653" s="46"/>
      <c r="R14653" s="51"/>
      <c r="S14653" s="51"/>
    </row>
    <row r="14654" spans="9:19" x14ac:dyDescent="0.25">
      <c r="I14654" s="1"/>
      <c r="J14654" s="71"/>
      <c r="M14654" s="46"/>
      <c r="R14654" s="51"/>
      <c r="S14654" s="51"/>
    </row>
    <row r="14655" spans="9:19" x14ac:dyDescent="0.25">
      <c r="I14655" s="1"/>
      <c r="J14655" s="71"/>
      <c r="M14655" s="46"/>
      <c r="R14655" s="51"/>
      <c r="S14655" s="51"/>
    </row>
    <row r="14656" spans="9:19" x14ac:dyDescent="0.25">
      <c r="I14656" s="1"/>
      <c r="J14656" s="71"/>
      <c r="M14656" s="46"/>
      <c r="R14656" s="51"/>
      <c r="S14656" s="51"/>
    </row>
    <row r="14657" spans="9:19" x14ac:dyDescent="0.25">
      <c r="I14657" s="1"/>
      <c r="J14657" s="71"/>
      <c r="M14657" s="46"/>
      <c r="R14657" s="51"/>
      <c r="S14657" s="51"/>
    </row>
    <row r="14658" spans="9:19" x14ac:dyDescent="0.25">
      <c r="I14658" s="1"/>
      <c r="J14658" s="71"/>
      <c r="M14658" s="46"/>
      <c r="R14658" s="51"/>
      <c r="S14658" s="51"/>
    </row>
    <row r="14659" spans="9:19" x14ac:dyDescent="0.25">
      <c r="I14659" s="1"/>
      <c r="J14659" s="71"/>
      <c r="M14659" s="46"/>
      <c r="R14659" s="51"/>
      <c r="S14659" s="51"/>
    </row>
    <row r="14660" spans="9:19" x14ac:dyDescent="0.25">
      <c r="I14660" s="1"/>
      <c r="J14660" s="71"/>
      <c r="M14660" s="46"/>
      <c r="R14660" s="51"/>
      <c r="S14660" s="51"/>
    </row>
    <row r="14661" spans="9:19" x14ac:dyDescent="0.25">
      <c r="I14661" s="1"/>
      <c r="J14661" s="71"/>
      <c r="M14661" s="46"/>
      <c r="R14661" s="51"/>
      <c r="S14661" s="51"/>
    </row>
    <row r="14662" spans="9:19" x14ac:dyDescent="0.25">
      <c r="I14662" s="1"/>
      <c r="J14662" s="71"/>
      <c r="M14662" s="46"/>
      <c r="R14662" s="51"/>
      <c r="S14662" s="51"/>
    </row>
    <row r="14663" spans="9:19" x14ac:dyDescent="0.25">
      <c r="I14663" s="1"/>
      <c r="J14663" s="71"/>
      <c r="M14663" s="46"/>
      <c r="R14663" s="51"/>
      <c r="S14663" s="51"/>
    </row>
    <row r="14664" spans="9:19" x14ac:dyDescent="0.25">
      <c r="I14664" s="1"/>
      <c r="J14664" s="71"/>
      <c r="M14664" s="46"/>
      <c r="R14664" s="51"/>
      <c r="S14664" s="51"/>
    </row>
    <row r="14665" spans="9:19" x14ac:dyDescent="0.25">
      <c r="I14665" s="1"/>
      <c r="J14665" s="71"/>
      <c r="M14665" s="46"/>
      <c r="R14665" s="51"/>
      <c r="S14665" s="51"/>
    </row>
    <row r="14666" spans="9:19" x14ac:dyDescent="0.25">
      <c r="I14666" s="1"/>
      <c r="J14666" s="71"/>
      <c r="M14666" s="46"/>
      <c r="R14666" s="51"/>
      <c r="S14666" s="51"/>
    </row>
    <row r="14667" spans="9:19" x14ac:dyDescent="0.25">
      <c r="I14667" s="1"/>
      <c r="J14667" s="71"/>
      <c r="M14667" s="46"/>
      <c r="R14667" s="51"/>
      <c r="S14667" s="51"/>
    </row>
    <row r="14668" spans="9:19" x14ac:dyDescent="0.25">
      <c r="I14668" s="1"/>
      <c r="J14668" s="71"/>
      <c r="M14668" s="46"/>
      <c r="R14668" s="51"/>
      <c r="S14668" s="51"/>
    </row>
    <row r="14669" spans="9:19" x14ac:dyDescent="0.25">
      <c r="I14669" s="1"/>
      <c r="J14669" s="71"/>
      <c r="M14669" s="46"/>
      <c r="R14669" s="51"/>
      <c r="S14669" s="51"/>
    </row>
    <row r="14670" spans="9:19" x14ac:dyDescent="0.25">
      <c r="I14670" s="1"/>
      <c r="J14670" s="71"/>
      <c r="M14670" s="46"/>
      <c r="R14670" s="51"/>
      <c r="S14670" s="51"/>
    </row>
    <row r="14671" spans="9:19" x14ac:dyDescent="0.25">
      <c r="I14671" s="1"/>
      <c r="J14671" s="71"/>
      <c r="M14671" s="46"/>
      <c r="R14671" s="51"/>
      <c r="S14671" s="51"/>
    </row>
    <row r="14672" spans="9:19" x14ac:dyDescent="0.25">
      <c r="I14672" s="1"/>
      <c r="J14672" s="71"/>
      <c r="M14672" s="46"/>
      <c r="R14672" s="51"/>
      <c r="S14672" s="51"/>
    </row>
    <row r="14673" spans="9:19" x14ac:dyDescent="0.25">
      <c r="I14673" s="1"/>
      <c r="J14673" s="71"/>
      <c r="M14673" s="46"/>
      <c r="R14673" s="51"/>
      <c r="S14673" s="51"/>
    </row>
    <row r="14674" spans="9:19" x14ac:dyDescent="0.25">
      <c r="I14674" s="1"/>
      <c r="J14674" s="71"/>
      <c r="M14674" s="46"/>
      <c r="R14674" s="51"/>
      <c r="S14674" s="51"/>
    </row>
    <row r="14675" spans="9:19" x14ac:dyDescent="0.25">
      <c r="I14675" s="1"/>
      <c r="J14675" s="71"/>
      <c r="M14675" s="46"/>
      <c r="R14675" s="51"/>
      <c r="S14675" s="51"/>
    </row>
    <row r="14676" spans="9:19" x14ac:dyDescent="0.25">
      <c r="I14676" s="1"/>
      <c r="J14676" s="71"/>
      <c r="M14676" s="46"/>
      <c r="R14676" s="51"/>
      <c r="S14676" s="51"/>
    </row>
    <row r="14677" spans="9:19" x14ac:dyDescent="0.25">
      <c r="I14677" s="1"/>
      <c r="J14677" s="71"/>
      <c r="M14677" s="46"/>
      <c r="R14677" s="51"/>
      <c r="S14677" s="51"/>
    </row>
    <row r="14678" spans="9:19" x14ac:dyDescent="0.25">
      <c r="I14678" s="1"/>
      <c r="J14678" s="71"/>
      <c r="M14678" s="46"/>
      <c r="R14678" s="51"/>
      <c r="S14678" s="51"/>
    </row>
    <row r="14679" spans="9:19" x14ac:dyDescent="0.25">
      <c r="I14679" s="1"/>
      <c r="J14679" s="71"/>
      <c r="M14679" s="46"/>
      <c r="R14679" s="51"/>
      <c r="S14679" s="51"/>
    </row>
    <row r="14680" spans="9:19" x14ac:dyDescent="0.25">
      <c r="I14680" s="1"/>
      <c r="J14680" s="71"/>
      <c r="M14680" s="46"/>
      <c r="R14680" s="51"/>
      <c r="S14680" s="51"/>
    </row>
    <row r="14681" spans="9:19" x14ac:dyDescent="0.25">
      <c r="I14681" s="1"/>
      <c r="J14681" s="71"/>
      <c r="M14681" s="46"/>
      <c r="R14681" s="51"/>
      <c r="S14681" s="51"/>
    </row>
    <row r="14682" spans="9:19" x14ac:dyDescent="0.25">
      <c r="I14682" s="1"/>
      <c r="J14682" s="71"/>
      <c r="M14682" s="46"/>
      <c r="R14682" s="51"/>
      <c r="S14682" s="51"/>
    </row>
    <row r="14683" spans="9:19" x14ac:dyDescent="0.25">
      <c r="I14683" s="1"/>
      <c r="J14683" s="71"/>
      <c r="M14683" s="46"/>
      <c r="R14683" s="51"/>
      <c r="S14683" s="51"/>
    </row>
    <row r="14684" spans="9:19" x14ac:dyDescent="0.25">
      <c r="I14684" s="1"/>
      <c r="J14684" s="71"/>
      <c r="M14684" s="46"/>
      <c r="R14684" s="51"/>
      <c r="S14684" s="51"/>
    </row>
    <row r="14685" spans="9:19" x14ac:dyDescent="0.25">
      <c r="I14685" s="1"/>
      <c r="J14685" s="71"/>
      <c r="M14685" s="46"/>
      <c r="R14685" s="51"/>
      <c r="S14685" s="51"/>
    </row>
    <row r="14686" spans="9:19" x14ac:dyDescent="0.25">
      <c r="I14686" s="1"/>
      <c r="J14686" s="71"/>
      <c r="M14686" s="46"/>
      <c r="R14686" s="51"/>
      <c r="S14686" s="51"/>
    </row>
    <row r="14687" spans="9:19" x14ac:dyDescent="0.25">
      <c r="I14687" s="1"/>
      <c r="J14687" s="71"/>
      <c r="M14687" s="46"/>
      <c r="R14687" s="51"/>
      <c r="S14687" s="51"/>
    </row>
    <row r="14688" spans="9:19" x14ac:dyDescent="0.25">
      <c r="I14688" s="1"/>
      <c r="J14688" s="71"/>
      <c r="M14688" s="46"/>
      <c r="R14688" s="51"/>
      <c r="S14688" s="51"/>
    </row>
    <row r="14689" spans="9:19" x14ac:dyDescent="0.25">
      <c r="I14689" s="1"/>
      <c r="J14689" s="71"/>
      <c r="M14689" s="46"/>
      <c r="R14689" s="51"/>
      <c r="S14689" s="51"/>
    </row>
    <row r="14690" spans="9:19" x14ac:dyDescent="0.25">
      <c r="I14690" s="1"/>
      <c r="J14690" s="71"/>
      <c r="M14690" s="46"/>
      <c r="R14690" s="51"/>
      <c r="S14690" s="51"/>
    </row>
    <row r="14691" spans="9:19" x14ac:dyDescent="0.25">
      <c r="I14691" s="1"/>
      <c r="J14691" s="71"/>
      <c r="M14691" s="46"/>
      <c r="R14691" s="51"/>
      <c r="S14691" s="51"/>
    </row>
    <row r="14692" spans="9:19" x14ac:dyDescent="0.25">
      <c r="I14692" s="1"/>
      <c r="J14692" s="71"/>
      <c r="M14692" s="46"/>
      <c r="R14692" s="51"/>
      <c r="S14692" s="51"/>
    </row>
    <row r="14693" spans="9:19" x14ac:dyDescent="0.25">
      <c r="I14693" s="1"/>
      <c r="J14693" s="71"/>
      <c r="M14693" s="46"/>
      <c r="R14693" s="51"/>
      <c r="S14693" s="51"/>
    </row>
    <row r="14694" spans="9:19" x14ac:dyDescent="0.25">
      <c r="I14694" s="1"/>
      <c r="J14694" s="71"/>
      <c r="M14694" s="46"/>
      <c r="R14694" s="51"/>
      <c r="S14694" s="51"/>
    </row>
    <row r="14695" spans="9:19" x14ac:dyDescent="0.25">
      <c r="I14695" s="1"/>
      <c r="J14695" s="71"/>
      <c r="M14695" s="46"/>
      <c r="R14695" s="51"/>
      <c r="S14695" s="51"/>
    </row>
    <row r="14696" spans="9:19" x14ac:dyDescent="0.25">
      <c r="I14696" s="1"/>
      <c r="J14696" s="71"/>
      <c r="M14696" s="46"/>
      <c r="R14696" s="51"/>
      <c r="S14696" s="51"/>
    </row>
    <row r="14697" spans="9:19" x14ac:dyDescent="0.25">
      <c r="I14697" s="1"/>
      <c r="J14697" s="71"/>
      <c r="M14697" s="46"/>
      <c r="R14697" s="51"/>
      <c r="S14697" s="51"/>
    </row>
    <row r="14698" spans="9:19" x14ac:dyDescent="0.25">
      <c r="I14698" s="1"/>
      <c r="J14698" s="71"/>
      <c r="M14698" s="46"/>
      <c r="R14698" s="51"/>
      <c r="S14698" s="51"/>
    </row>
    <row r="14699" spans="9:19" x14ac:dyDescent="0.25">
      <c r="I14699" s="1"/>
      <c r="J14699" s="71"/>
      <c r="M14699" s="46"/>
      <c r="R14699" s="51"/>
      <c r="S14699" s="51"/>
    </row>
    <row r="14700" spans="9:19" x14ac:dyDescent="0.25">
      <c r="I14700" s="1"/>
      <c r="J14700" s="71"/>
      <c r="M14700" s="46"/>
      <c r="R14700" s="51"/>
      <c r="S14700" s="51"/>
    </row>
    <row r="14701" spans="9:19" x14ac:dyDescent="0.25">
      <c r="I14701" s="1"/>
      <c r="J14701" s="71"/>
      <c r="M14701" s="46"/>
      <c r="R14701" s="51"/>
      <c r="S14701" s="51"/>
    </row>
    <row r="14702" spans="9:19" x14ac:dyDescent="0.25">
      <c r="I14702" s="1"/>
      <c r="J14702" s="71"/>
      <c r="M14702" s="46"/>
      <c r="R14702" s="51"/>
      <c r="S14702" s="51"/>
    </row>
    <row r="14703" spans="9:19" x14ac:dyDescent="0.25">
      <c r="I14703" s="1"/>
      <c r="J14703" s="71"/>
      <c r="M14703" s="46"/>
      <c r="R14703" s="51"/>
      <c r="S14703" s="51"/>
    </row>
    <row r="14704" spans="9:19" x14ac:dyDescent="0.25">
      <c r="I14704" s="1"/>
      <c r="J14704" s="71"/>
      <c r="M14704" s="46"/>
      <c r="R14704" s="51"/>
      <c r="S14704" s="51"/>
    </row>
    <row r="14705" spans="9:19" x14ac:dyDescent="0.25">
      <c r="I14705" s="1"/>
      <c r="J14705" s="71"/>
      <c r="M14705" s="46"/>
      <c r="R14705" s="51"/>
      <c r="S14705" s="51"/>
    </row>
    <row r="14706" spans="9:19" x14ac:dyDescent="0.25">
      <c r="I14706" s="1"/>
      <c r="J14706" s="71"/>
      <c r="M14706" s="46"/>
      <c r="R14706" s="51"/>
      <c r="S14706" s="51"/>
    </row>
    <row r="14707" spans="9:19" x14ac:dyDescent="0.25">
      <c r="I14707" s="1"/>
      <c r="J14707" s="71"/>
      <c r="M14707" s="46"/>
      <c r="R14707" s="51"/>
      <c r="S14707" s="51"/>
    </row>
    <row r="14708" spans="9:19" x14ac:dyDescent="0.25">
      <c r="I14708" s="1"/>
      <c r="J14708" s="71"/>
      <c r="M14708" s="46"/>
      <c r="R14708" s="51"/>
      <c r="S14708" s="51"/>
    </row>
    <row r="14709" spans="9:19" x14ac:dyDescent="0.25">
      <c r="I14709" s="1"/>
      <c r="J14709" s="71"/>
      <c r="M14709" s="46"/>
      <c r="R14709" s="51"/>
      <c r="S14709" s="51"/>
    </row>
    <row r="14710" spans="9:19" x14ac:dyDescent="0.25">
      <c r="I14710" s="1"/>
      <c r="J14710" s="71"/>
      <c r="M14710" s="46"/>
      <c r="R14710" s="51"/>
      <c r="S14710" s="51"/>
    </row>
    <row r="14711" spans="9:19" x14ac:dyDescent="0.25">
      <c r="I14711" s="1"/>
      <c r="J14711" s="71"/>
      <c r="M14711" s="46"/>
      <c r="R14711" s="51"/>
      <c r="S14711" s="51"/>
    </row>
    <row r="14712" spans="9:19" x14ac:dyDescent="0.25">
      <c r="I14712" s="1"/>
      <c r="J14712" s="71"/>
      <c r="M14712" s="46"/>
      <c r="R14712" s="51"/>
      <c r="S14712" s="51"/>
    </row>
    <row r="14713" spans="9:19" x14ac:dyDescent="0.25">
      <c r="I14713" s="1"/>
      <c r="J14713" s="71"/>
      <c r="M14713" s="46"/>
      <c r="R14713" s="51"/>
      <c r="S14713" s="51"/>
    </row>
    <row r="14714" spans="9:19" x14ac:dyDescent="0.25">
      <c r="I14714" s="1"/>
      <c r="J14714" s="71"/>
      <c r="M14714" s="46"/>
      <c r="R14714" s="51"/>
      <c r="S14714" s="51"/>
    </row>
    <row r="14715" spans="9:19" x14ac:dyDescent="0.25">
      <c r="I14715" s="1"/>
      <c r="J14715" s="71"/>
      <c r="M14715" s="46"/>
      <c r="R14715" s="51"/>
      <c r="S14715" s="51"/>
    </row>
    <row r="14716" spans="9:19" x14ac:dyDescent="0.25">
      <c r="I14716" s="1"/>
      <c r="J14716" s="71"/>
      <c r="M14716" s="46"/>
      <c r="R14716" s="51"/>
      <c r="S14716" s="51"/>
    </row>
    <row r="14717" spans="9:19" x14ac:dyDescent="0.25">
      <c r="I14717" s="1"/>
      <c r="J14717" s="71"/>
      <c r="M14717" s="46"/>
      <c r="R14717" s="51"/>
      <c r="S14717" s="51"/>
    </row>
    <row r="14718" spans="9:19" x14ac:dyDescent="0.25">
      <c r="I14718" s="1"/>
      <c r="J14718" s="71"/>
      <c r="M14718" s="46"/>
      <c r="R14718" s="51"/>
      <c r="S14718" s="51"/>
    </row>
    <row r="14719" spans="9:19" x14ac:dyDescent="0.25">
      <c r="I14719" s="1"/>
      <c r="J14719" s="71"/>
      <c r="M14719" s="46"/>
      <c r="R14719" s="51"/>
      <c r="S14719" s="51"/>
    </row>
    <row r="14720" spans="9:19" x14ac:dyDescent="0.25">
      <c r="I14720" s="1"/>
      <c r="J14720" s="71"/>
      <c r="M14720" s="46"/>
      <c r="R14720" s="51"/>
      <c r="S14720" s="51"/>
    </row>
    <row r="14721" spans="9:19" x14ac:dyDescent="0.25">
      <c r="I14721" s="1"/>
      <c r="J14721" s="71"/>
      <c r="M14721" s="46"/>
      <c r="R14721" s="51"/>
      <c r="S14721" s="51"/>
    </row>
    <row r="14722" spans="9:19" x14ac:dyDescent="0.25">
      <c r="I14722" s="1"/>
      <c r="J14722" s="71"/>
      <c r="M14722" s="46"/>
      <c r="R14722" s="51"/>
      <c r="S14722" s="51"/>
    </row>
    <row r="14723" spans="9:19" x14ac:dyDescent="0.25">
      <c r="I14723" s="1"/>
      <c r="J14723" s="71"/>
      <c r="M14723" s="46"/>
      <c r="R14723" s="51"/>
      <c r="S14723" s="51"/>
    </row>
    <row r="14724" spans="9:19" x14ac:dyDescent="0.25">
      <c r="I14724" s="1"/>
      <c r="J14724" s="71"/>
      <c r="M14724" s="46"/>
      <c r="R14724" s="51"/>
      <c r="S14724" s="51"/>
    </row>
    <row r="14725" spans="9:19" x14ac:dyDescent="0.25">
      <c r="I14725" s="1"/>
      <c r="J14725" s="71"/>
      <c r="M14725" s="46"/>
      <c r="R14725" s="51"/>
      <c r="S14725" s="51"/>
    </row>
    <row r="14726" spans="9:19" x14ac:dyDescent="0.25">
      <c r="I14726" s="1"/>
      <c r="J14726" s="71"/>
      <c r="M14726" s="46"/>
      <c r="R14726" s="51"/>
      <c r="S14726" s="51"/>
    </row>
    <row r="14727" spans="9:19" x14ac:dyDescent="0.25">
      <c r="I14727" s="1"/>
      <c r="J14727" s="71"/>
      <c r="M14727" s="46"/>
      <c r="R14727" s="51"/>
      <c r="S14727" s="51"/>
    </row>
    <row r="14728" spans="9:19" x14ac:dyDescent="0.25">
      <c r="I14728" s="1"/>
      <c r="J14728" s="71"/>
      <c r="M14728" s="46"/>
      <c r="R14728" s="51"/>
      <c r="S14728" s="51"/>
    </row>
    <row r="14729" spans="9:19" x14ac:dyDescent="0.25">
      <c r="I14729" s="1"/>
      <c r="J14729" s="71"/>
      <c r="M14729" s="46"/>
      <c r="R14729" s="51"/>
      <c r="S14729" s="51"/>
    </row>
    <row r="14730" spans="9:19" x14ac:dyDescent="0.25">
      <c r="I14730" s="1"/>
      <c r="J14730" s="71"/>
      <c r="M14730" s="46"/>
      <c r="R14730" s="51"/>
      <c r="S14730" s="51"/>
    </row>
    <row r="14731" spans="9:19" x14ac:dyDescent="0.25">
      <c r="I14731" s="1"/>
      <c r="J14731" s="71"/>
      <c r="M14731" s="46"/>
      <c r="R14731" s="51"/>
      <c r="S14731" s="51"/>
    </row>
    <row r="14732" spans="9:19" x14ac:dyDescent="0.25">
      <c r="I14732" s="1"/>
      <c r="J14732" s="71"/>
      <c r="M14732" s="46"/>
      <c r="R14732" s="51"/>
      <c r="S14732" s="51"/>
    </row>
    <row r="14733" spans="9:19" x14ac:dyDescent="0.25">
      <c r="I14733" s="1"/>
      <c r="J14733" s="71"/>
      <c r="M14733" s="46"/>
      <c r="R14733" s="51"/>
      <c r="S14733" s="51"/>
    </row>
    <row r="14734" spans="9:19" x14ac:dyDescent="0.25">
      <c r="I14734" s="1"/>
      <c r="J14734" s="71"/>
      <c r="M14734" s="46"/>
      <c r="R14734" s="51"/>
      <c r="S14734" s="51"/>
    </row>
    <row r="14735" spans="9:19" x14ac:dyDescent="0.25">
      <c r="I14735" s="1"/>
      <c r="J14735" s="71"/>
      <c r="M14735" s="46"/>
      <c r="R14735" s="51"/>
      <c r="S14735" s="51"/>
    </row>
    <row r="14736" spans="9:19" x14ac:dyDescent="0.25">
      <c r="I14736" s="1"/>
      <c r="J14736" s="71"/>
      <c r="M14736" s="46"/>
      <c r="R14736" s="51"/>
      <c r="S14736" s="51"/>
    </row>
    <row r="14737" spans="9:19" x14ac:dyDescent="0.25">
      <c r="I14737" s="1"/>
      <c r="J14737" s="71"/>
      <c r="M14737" s="46"/>
      <c r="R14737" s="51"/>
      <c r="S14737" s="51"/>
    </row>
    <row r="14738" spans="9:19" x14ac:dyDescent="0.25">
      <c r="I14738" s="1"/>
      <c r="J14738" s="71"/>
      <c r="M14738" s="46"/>
      <c r="R14738" s="51"/>
      <c r="S14738" s="51"/>
    </row>
    <row r="14739" spans="9:19" x14ac:dyDescent="0.25">
      <c r="I14739" s="1"/>
      <c r="J14739" s="71"/>
      <c r="M14739" s="46"/>
      <c r="R14739" s="51"/>
      <c r="S14739" s="51"/>
    </row>
    <row r="14740" spans="9:19" x14ac:dyDescent="0.25">
      <c r="I14740" s="1"/>
      <c r="J14740" s="71"/>
      <c r="M14740" s="46"/>
      <c r="R14740" s="51"/>
      <c r="S14740" s="51"/>
    </row>
    <row r="14741" spans="9:19" x14ac:dyDescent="0.25">
      <c r="I14741" s="1"/>
      <c r="J14741" s="71"/>
      <c r="M14741" s="46"/>
      <c r="R14741" s="51"/>
      <c r="S14741" s="51"/>
    </row>
    <row r="14742" spans="9:19" x14ac:dyDescent="0.25">
      <c r="I14742" s="1"/>
      <c r="J14742" s="71"/>
      <c r="M14742" s="46"/>
      <c r="R14742" s="51"/>
      <c r="S14742" s="51"/>
    </row>
    <row r="14743" spans="9:19" x14ac:dyDescent="0.25">
      <c r="I14743" s="1"/>
      <c r="J14743" s="71"/>
      <c r="M14743" s="46"/>
      <c r="R14743" s="51"/>
      <c r="S14743" s="51"/>
    </row>
    <row r="14744" spans="9:19" x14ac:dyDescent="0.25">
      <c r="I14744" s="1"/>
      <c r="J14744" s="71"/>
      <c r="M14744" s="46"/>
      <c r="R14744" s="51"/>
      <c r="S14744" s="51"/>
    </row>
    <row r="14745" spans="9:19" x14ac:dyDescent="0.25">
      <c r="I14745" s="1"/>
      <c r="J14745" s="71"/>
      <c r="M14745" s="46"/>
      <c r="R14745" s="51"/>
      <c r="S14745" s="51"/>
    </row>
    <row r="14746" spans="9:19" x14ac:dyDescent="0.25">
      <c r="I14746" s="1"/>
      <c r="J14746" s="71"/>
      <c r="M14746" s="46"/>
      <c r="R14746" s="51"/>
      <c r="S14746" s="51"/>
    </row>
    <row r="14747" spans="9:19" x14ac:dyDescent="0.25">
      <c r="I14747" s="1"/>
      <c r="J14747" s="71"/>
      <c r="M14747" s="46"/>
      <c r="R14747" s="51"/>
      <c r="S14747" s="51"/>
    </row>
    <row r="14748" spans="9:19" x14ac:dyDescent="0.25">
      <c r="I14748" s="1"/>
      <c r="J14748" s="71"/>
      <c r="M14748" s="46"/>
      <c r="R14748" s="51"/>
      <c r="S14748" s="51"/>
    </row>
    <row r="14749" spans="9:19" x14ac:dyDescent="0.25">
      <c r="I14749" s="1"/>
      <c r="J14749" s="71"/>
      <c r="M14749" s="46"/>
      <c r="R14749" s="51"/>
      <c r="S14749" s="51"/>
    </row>
    <row r="14750" spans="9:19" x14ac:dyDescent="0.25">
      <c r="I14750" s="1"/>
      <c r="J14750" s="71"/>
      <c r="M14750" s="46"/>
      <c r="R14750" s="51"/>
      <c r="S14750" s="51"/>
    </row>
    <row r="14751" spans="9:19" x14ac:dyDescent="0.25">
      <c r="I14751" s="1"/>
      <c r="J14751" s="71"/>
      <c r="M14751" s="46"/>
      <c r="R14751" s="51"/>
      <c r="S14751" s="51"/>
    </row>
    <row r="14752" spans="9:19" x14ac:dyDescent="0.25">
      <c r="I14752" s="1"/>
      <c r="J14752" s="71"/>
      <c r="M14752" s="46"/>
      <c r="R14752" s="51"/>
      <c r="S14752" s="51"/>
    </row>
    <row r="14753" spans="9:19" x14ac:dyDescent="0.25">
      <c r="I14753" s="1"/>
      <c r="J14753" s="71"/>
      <c r="M14753" s="46"/>
      <c r="R14753" s="51"/>
      <c r="S14753" s="51"/>
    </row>
    <row r="14754" spans="9:19" x14ac:dyDescent="0.25">
      <c r="I14754" s="1"/>
      <c r="J14754" s="71"/>
      <c r="M14754" s="46"/>
      <c r="R14754" s="51"/>
      <c r="S14754" s="51"/>
    </row>
    <row r="14755" spans="9:19" x14ac:dyDescent="0.25">
      <c r="I14755" s="1"/>
      <c r="J14755" s="71"/>
      <c r="M14755" s="46"/>
      <c r="R14755" s="51"/>
      <c r="S14755" s="51"/>
    </row>
    <row r="14756" spans="9:19" x14ac:dyDescent="0.25">
      <c r="I14756" s="1"/>
      <c r="J14756" s="71"/>
      <c r="M14756" s="46"/>
      <c r="R14756" s="51"/>
      <c r="S14756" s="51"/>
    </row>
    <row r="14757" spans="9:19" x14ac:dyDescent="0.25">
      <c r="I14757" s="1"/>
      <c r="J14757" s="71"/>
      <c r="M14757" s="46"/>
      <c r="R14757" s="51"/>
      <c r="S14757" s="51"/>
    </row>
    <row r="14758" spans="9:19" x14ac:dyDescent="0.25">
      <c r="I14758" s="1"/>
      <c r="J14758" s="71"/>
      <c r="M14758" s="46"/>
      <c r="R14758" s="51"/>
      <c r="S14758" s="51"/>
    </row>
    <row r="14759" spans="9:19" x14ac:dyDescent="0.25">
      <c r="I14759" s="1"/>
      <c r="J14759" s="71"/>
      <c r="M14759" s="46"/>
      <c r="R14759" s="51"/>
      <c r="S14759" s="51"/>
    </row>
    <row r="14760" spans="9:19" x14ac:dyDescent="0.25">
      <c r="I14760" s="1"/>
      <c r="J14760" s="71"/>
      <c r="M14760" s="46"/>
      <c r="R14760" s="51"/>
      <c r="S14760" s="51"/>
    </row>
    <row r="14761" spans="9:19" x14ac:dyDescent="0.25">
      <c r="I14761" s="1"/>
      <c r="J14761" s="71"/>
      <c r="M14761" s="46"/>
      <c r="R14761" s="51"/>
      <c r="S14761" s="51"/>
    </row>
    <row r="14762" spans="9:19" x14ac:dyDescent="0.25">
      <c r="I14762" s="1"/>
      <c r="J14762" s="71"/>
      <c r="M14762" s="46"/>
      <c r="R14762" s="51"/>
      <c r="S14762" s="51"/>
    </row>
    <row r="14763" spans="9:19" x14ac:dyDescent="0.25">
      <c r="I14763" s="1"/>
      <c r="J14763" s="71"/>
      <c r="M14763" s="46"/>
      <c r="R14763" s="51"/>
      <c r="S14763" s="51"/>
    </row>
    <row r="14764" spans="9:19" x14ac:dyDescent="0.25">
      <c r="I14764" s="1"/>
      <c r="J14764" s="71"/>
      <c r="M14764" s="46"/>
      <c r="R14764" s="51"/>
      <c r="S14764" s="51"/>
    </row>
    <row r="14765" spans="9:19" x14ac:dyDescent="0.25">
      <c r="I14765" s="1"/>
      <c r="J14765" s="71"/>
      <c r="M14765" s="46"/>
      <c r="R14765" s="51"/>
      <c r="S14765" s="51"/>
    </row>
    <row r="14766" spans="9:19" x14ac:dyDescent="0.25">
      <c r="I14766" s="1"/>
      <c r="J14766" s="71"/>
      <c r="M14766" s="46"/>
      <c r="R14766" s="51"/>
      <c r="S14766" s="51"/>
    </row>
    <row r="14767" spans="9:19" x14ac:dyDescent="0.25">
      <c r="I14767" s="1"/>
      <c r="J14767" s="71"/>
      <c r="M14767" s="46"/>
      <c r="R14767" s="51"/>
      <c r="S14767" s="51"/>
    </row>
    <row r="14768" spans="9:19" x14ac:dyDescent="0.25">
      <c r="I14768" s="1"/>
      <c r="J14768" s="71"/>
      <c r="M14768" s="46"/>
      <c r="R14768" s="51"/>
      <c r="S14768" s="51"/>
    </row>
    <row r="14769" spans="9:19" x14ac:dyDescent="0.25">
      <c r="I14769" s="1"/>
      <c r="J14769" s="71"/>
      <c r="M14769" s="46"/>
      <c r="R14769" s="51"/>
      <c r="S14769" s="51"/>
    </row>
    <row r="14770" spans="9:19" x14ac:dyDescent="0.25">
      <c r="I14770" s="1"/>
      <c r="J14770" s="71"/>
      <c r="M14770" s="46"/>
      <c r="R14770" s="51"/>
      <c r="S14770" s="51"/>
    </row>
    <row r="14771" spans="9:19" x14ac:dyDescent="0.25">
      <c r="I14771" s="1"/>
      <c r="J14771" s="71"/>
      <c r="M14771" s="46"/>
      <c r="R14771" s="51"/>
      <c r="S14771" s="51"/>
    </row>
    <row r="14772" spans="9:19" x14ac:dyDescent="0.25">
      <c r="I14772" s="1"/>
      <c r="J14772" s="71"/>
      <c r="M14772" s="46"/>
      <c r="R14772" s="51"/>
      <c r="S14772" s="51"/>
    </row>
    <row r="14773" spans="9:19" x14ac:dyDescent="0.25">
      <c r="I14773" s="1"/>
      <c r="J14773" s="71"/>
      <c r="M14773" s="46"/>
      <c r="R14773" s="51"/>
      <c r="S14773" s="51"/>
    </row>
    <row r="14774" spans="9:19" x14ac:dyDescent="0.25">
      <c r="I14774" s="1"/>
      <c r="J14774" s="71"/>
      <c r="M14774" s="46"/>
      <c r="R14774" s="51"/>
      <c r="S14774" s="51"/>
    </row>
    <row r="14775" spans="9:19" x14ac:dyDescent="0.25">
      <c r="I14775" s="1"/>
      <c r="J14775" s="71"/>
      <c r="M14775" s="46"/>
      <c r="R14775" s="51"/>
      <c r="S14775" s="51"/>
    </row>
    <row r="14776" spans="9:19" x14ac:dyDescent="0.25">
      <c r="I14776" s="1"/>
      <c r="J14776" s="71"/>
      <c r="M14776" s="46"/>
      <c r="R14776" s="51"/>
      <c r="S14776" s="51"/>
    </row>
    <row r="14777" spans="9:19" x14ac:dyDescent="0.25">
      <c r="I14777" s="1"/>
      <c r="J14777" s="71"/>
      <c r="M14777" s="46"/>
      <c r="R14777" s="51"/>
      <c r="S14777" s="51"/>
    </row>
    <row r="14778" spans="9:19" x14ac:dyDescent="0.25">
      <c r="I14778" s="1"/>
      <c r="J14778" s="71"/>
      <c r="M14778" s="46"/>
      <c r="R14778" s="51"/>
      <c r="S14778" s="51"/>
    </row>
    <row r="14779" spans="9:19" x14ac:dyDescent="0.25">
      <c r="I14779" s="1"/>
      <c r="J14779" s="71"/>
      <c r="M14779" s="46"/>
      <c r="R14779" s="51"/>
      <c r="S14779" s="51"/>
    </row>
    <row r="14780" spans="9:19" x14ac:dyDescent="0.25">
      <c r="I14780" s="1"/>
      <c r="J14780" s="71"/>
      <c r="M14780" s="46"/>
      <c r="R14780" s="51"/>
      <c r="S14780" s="51"/>
    </row>
    <row r="14781" spans="9:19" x14ac:dyDescent="0.25">
      <c r="I14781" s="1"/>
      <c r="J14781" s="71"/>
      <c r="M14781" s="46"/>
      <c r="R14781" s="51"/>
      <c r="S14781" s="51"/>
    </row>
    <row r="14782" spans="9:19" x14ac:dyDescent="0.25">
      <c r="I14782" s="1"/>
      <c r="J14782" s="71"/>
      <c r="M14782" s="46"/>
      <c r="R14782" s="51"/>
      <c r="S14782" s="51"/>
    </row>
    <row r="14783" spans="9:19" x14ac:dyDescent="0.25">
      <c r="I14783" s="1"/>
      <c r="J14783" s="71"/>
      <c r="M14783" s="46"/>
      <c r="R14783" s="51"/>
      <c r="S14783" s="51"/>
    </row>
    <row r="14784" spans="9:19" x14ac:dyDescent="0.25">
      <c r="I14784" s="1"/>
      <c r="J14784" s="71"/>
      <c r="M14784" s="46"/>
      <c r="R14784" s="51"/>
      <c r="S14784" s="51"/>
    </row>
    <row r="14785" spans="9:19" x14ac:dyDescent="0.25">
      <c r="I14785" s="1"/>
      <c r="J14785" s="71"/>
      <c r="M14785" s="46"/>
      <c r="R14785" s="51"/>
      <c r="S14785" s="51"/>
    </row>
    <row r="14786" spans="9:19" x14ac:dyDescent="0.25">
      <c r="I14786" s="1"/>
      <c r="J14786" s="71"/>
      <c r="M14786" s="46"/>
      <c r="R14786" s="51"/>
      <c r="S14786" s="51"/>
    </row>
    <row r="14787" spans="9:19" x14ac:dyDescent="0.25">
      <c r="I14787" s="1"/>
      <c r="J14787" s="71"/>
      <c r="M14787" s="46"/>
      <c r="R14787" s="51"/>
      <c r="S14787" s="51"/>
    </row>
    <row r="14788" spans="9:19" x14ac:dyDescent="0.25">
      <c r="I14788" s="1"/>
      <c r="J14788" s="71"/>
      <c r="M14788" s="46"/>
      <c r="R14788" s="51"/>
      <c r="S14788" s="51"/>
    </row>
    <row r="14789" spans="9:19" x14ac:dyDescent="0.25">
      <c r="I14789" s="1"/>
      <c r="J14789" s="71"/>
      <c r="M14789" s="46"/>
      <c r="R14789" s="51"/>
      <c r="S14789" s="51"/>
    </row>
    <row r="14790" spans="9:19" x14ac:dyDescent="0.25">
      <c r="I14790" s="1"/>
      <c r="J14790" s="71"/>
      <c r="M14790" s="46"/>
      <c r="R14790" s="51"/>
      <c r="S14790" s="51"/>
    </row>
    <row r="14791" spans="9:19" x14ac:dyDescent="0.25">
      <c r="I14791" s="1"/>
      <c r="J14791" s="71"/>
      <c r="M14791" s="46"/>
      <c r="R14791" s="51"/>
      <c r="S14791" s="51"/>
    </row>
    <row r="14792" spans="9:19" x14ac:dyDescent="0.25">
      <c r="I14792" s="1"/>
      <c r="J14792" s="71"/>
      <c r="M14792" s="46"/>
      <c r="R14792" s="51"/>
      <c r="S14792" s="51"/>
    </row>
    <row r="14793" spans="9:19" x14ac:dyDescent="0.25">
      <c r="I14793" s="1"/>
      <c r="J14793" s="71"/>
      <c r="M14793" s="46"/>
      <c r="R14793" s="51"/>
      <c r="S14793" s="51"/>
    </row>
    <row r="14794" spans="9:19" x14ac:dyDescent="0.25">
      <c r="I14794" s="1"/>
      <c r="J14794" s="71"/>
      <c r="M14794" s="46"/>
      <c r="R14794" s="51"/>
      <c r="S14794" s="51"/>
    </row>
    <row r="14795" spans="9:19" x14ac:dyDescent="0.25">
      <c r="I14795" s="1"/>
      <c r="J14795" s="71"/>
      <c r="M14795" s="46"/>
      <c r="R14795" s="51"/>
      <c r="S14795" s="51"/>
    </row>
    <row r="14796" spans="9:19" x14ac:dyDescent="0.25">
      <c r="I14796" s="1"/>
      <c r="J14796" s="71"/>
      <c r="M14796" s="46"/>
      <c r="R14796" s="51"/>
      <c r="S14796" s="51"/>
    </row>
    <row r="14797" spans="9:19" x14ac:dyDescent="0.25">
      <c r="I14797" s="1"/>
      <c r="J14797" s="71"/>
      <c r="M14797" s="46"/>
      <c r="R14797" s="51"/>
      <c r="S14797" s="51"/>
    </row>
    <row r="14798" spans="9:19" x14ac:dyDescent="0.25">
      <c r="I14798" s="1"/>
      <c r="J14798" s="71"/>
      <c r="M14798" s="46"/>
      <c r="R14798" s="51"/>
      <c r="S14798" s="51"/>
    </row>
    <row r="14799" spans="9:19" x14ac:dyDescent="0.25">
      <c r="I14799" s="1"/>
      <c r="J14799" s="71"/>
      <c r="M14799" s="46"/>
      <c r="R14799" s="51"/>
      <c r="S14799" s="51"/>
    </row>
    <row r="14800" spans="9:19" x14ac:dyDescent="0.25">
      <c r="I14800" s="1"/>
      <c r="J14800" s="71"/>
      <c r="M14800" s="46"/>
      <c r="R14800" s="51"/>
      <c r="S14800" s="51"/>
    </row>
    <row r="14801" spans="9:19" x14ac:dyDescent="0.25">
      <c r="I14801" s="1"/>
      <c r="J14801" s="71"/>
      <c r="M14801" s="46"/>
      <c r="R14801" s="51"/>
      <c r="S14801" s="51"/>
    </row>
    <row r="14802" spans="9:19" x14ac:dyDescent="0.25">
      <c r="I14802" s="1"/>
      <c r="J14802" s="71"/>
      <c r="M14802" s="46"/>
      <c r="R14802" s="51"/>
      <c r="S14802" s="51"/>
    </row>
    <row r="14803" spans="9:19" x14ac:dyDescent="0.25">
      <c r="I14803" s="1"/>
      <c r="J14803" s="71"/>
      <c r="M14803" s="46"/>
      <c r="R14803" s="51"/>
      <c r="S14803" s="51"/>
    </row>
    <row r="14804" spans="9:19" x14ac:dyDescent="0.25">
      <c r="I14804" s="1"/>
      <c r="J14804" s="71"/>
      <c r="M14804" s="46"/>
      <c r="R14804" s="51"/>
      <c r="S14804" s="51"/>
    </row>
    <row r="14805" spans="9:19" x14ac:dyDescent="0.25">
      <c r="I14805" s="1"/>
      <c r="J14805" s="71"/>
      <c r="M14805" s="46"/>
      <c r="R14805" s="51"/>
      <c r="S14805" s="51"/>
    </row>
    <row r="14806" spans="9:19" x14ac:dyDescent="0.25">
      <c r="I14806" s="1"/>
      <c r="J14806" s="71"/>
      <c r="M14806" s="46"/>
      <c r="R14806" s="51"/>
      <c r="S14806" s="51"/>
    </row>
    <row r="14807" spans="9:19" x14ac:dyDescent="0.25">
      <c r="I14807" s="1"/>
      <c r="J14807" s="71"/>
      <c r="M14807" s="46"/>
      <c r="R14807" s="51"/>
      <c r="S14807" s="51"/>
    </row>
    <row r="14808" spans="9:19" x14ac:dyDescent="0.25">
      <c r="I14808" s="1"/>
      <c r="J14808" s="71"/>
      <c r="M14808" s="46"/>
      <c r="R14808" s="51"/>
      <c r="S14808" s="51"/>
    </row>
    <row r="14809" spans="9:19" x14ac:dyDescent="0.25">
      <c r="I14809" s="1"/>
      <c r="J14809" s="71"/>
      <c r="M14809" s="46"/>
      <c r="R14809" s="51"/>
      <c r="S14809" s="51"/>
    </row>
    <row r="14810" spans="9:19" x14ac:dyDescent="0.25">
      <c r="I14810" s="1"/>
      <c r="J14810" s="71"/>
      <c r="M14810" s="46"/>
      <c r="R14810" s="51"/>
      <c r="S14810" s="51"/>
    </row>
    <row r="14811" spans="9:19" x14ac:dyDescent="0.25">
      <c r="I14811" s="1"/>
      <c r="J14811" s="71"/>
      <c r="M14811" s="46"/>
      <c r="R14811" s="51"/>
      <c r="S14811" s="51"/>
    </row>
    <row r="14812" spans="9:19" x14ac:dyDescent="0.25">
      <c r="I14812" s="1"/>
      <c r="J14812" s="71"/>
      <c r="M14812" s="46"/>
      <c r="R14812" s="51"/>
      <c r="S14812" s="51"/>
    </row>
    <row r="14813" spans="9:19" x14ac:dyDescent="0.25">
      <c r="I14813" s="1"/>
      <c r="J14813" s="71"/>
      <c r="M14813" s="46"/>
      <c r="R14813" s="51"/>
      <c r="S14813" s="51"/>
    </row>
    <row r="14814" spans="9:19" x14ac:dyDescent="0.25">
      <c r="I14814" s="1"/>
      <c r="J14814" s="71"/>
      <c r="M14814" s="46"/>
      <c r="R14814" s="51"/>
      <c r="S14814" s="51"/>
    </row>
    <row r="14815" spans="9:19" x14ac:dyDescent="0.25">
      <c r="I14815" s="1"/>
      <c r="J14815" s="71"/>
      <c r="M14815" s="46"/>
      <c r="R14815" s="51"/>
      <c r="S14815" s="51"/>
    </row>
    <row r="14816" spans="9:19" x14ac:dyDescent="0.25">
      <c r="I14816" s="1"/>
      <c r="J14816" s="71"/>
      <c r="M14816" s="46"/>
      <c r="R14816" s="51"/>
      <c r="S14816" s="51"/>
    </row>
    <row r="14817" spans="9:19" x14ac:dyDescent="0.25">
      <c r="I14817" s="1"/>
      <c r="J14817" s="71"/>
      <c r="M14817" s="46"/>
      <c r="R14817" s="51"/>
      <c r="S14817" s="51"/>
    </row>
    <row r="14818" spans="9:19" x14ac:dyDescent="0.25">
      <c r="I14818" s="1"/>
      <c r="J14818" s="71"/>
      <c r="M14818" s="46"/>
      <c r="R14818" s="51"/>
      <c r="S14818" s="51"/>
    </row>
    <row r="14819" spans="9:19" x14ac:dyDescent="0.25">
      <c r="I14819" s="1"/>
      <c r="J14819" s="71"/>
      <c r="M14819" s="46"/>
      <c r="R14819" s="51"/>
      <c r="S14819" s="51"/>
    </row>
    <row r="14820" spans="9:19" x14ac:dyDescent="0.25">
      <c r="I14820" s="1"/>
      <c r="J14820" s="71"/>
      <c r="M14820" s="46"/>
      <c r="R14820" s="51"/>
      <c r="S14820" s="51"/>
    </row>
    <row r="14821" spans="9:19" x14ac:dyDescent="0.25">
      <c r="I14821" s="1"/>
      <c r="J14821" s="71"/>
      <c r="M14821" s="46"/>
      <c r="R14821" s="51"/>
      <c r="S14821" s="51"/>
    </row>
    <row r="14822" spans="9:19" x14ac:dyDescent="0.25">
      <c r="I14822" s="1"/>
      <c r="J14822" s="71"/>
      <c r="M14822" s="46"/>
      <c r="R14822" s="51"/>
      <c r="S14822" s="51"/>
    </row>
    <row r="14823" spans="9:19" x14ac:dyDescent="0.25">
      <c r="I14823" s="1"/>
      <c r="J14823" s="71"/>
      <c r="M14823" s="46"/>
      <c r="R14823" s="51"/>
      <c r="S14823" s="51"/>
    </row>
    <row r="14824" spans="9:19" x14ac:dyDescent="0.25">
      <c r="I14824" s="1"/>
      <c r="J14824" s="71"/>
      <c r="M14824" s="46"/>
      <c r="R14824" s="51"/>
      <c r="S14824" s="51"/>
    </row>
    <row r="14825" spans="9:19" x14ac:dyDescent="0.25">
      <c r="I14825" s="1"/>
      <c r="J14825" s="71"/>
      <c r="M14825" s="46"/>
      <c r="R14825" s="51"/>
      <c r="S14825" s="51"/>
    </row>
    <row r="14826" spans="9:19" x14ac:dyDescent="0.25">
      <c r="I14826" s="1"/>
      <c r="J14826" s="71"/>
      <c r="M14826" s="46"/>
      <c r="R14826" s="51"/>
      <c r="S14826" s="51"/>
    </row>
    <row r="14827" spans="9:19" x14ac:dyDescent="0.25">
      <c r="I14827" s="1"/>
      <c r="J14827" s="71"/>
      <c r="M14827" s="46"/>
      <c r="R14827" s="51"/>
      <c r="S14827" s="51"/>
    </row>
    <row r="14828" spans="9:19" x14ac:dyDescent="0.25">
      <c r="I14828" s="1"/>
      <c r="J14828" s="71"/>
      <c r="M14828" s="46"/>
      <c r="R14828" s="51"/>
      <c r="S14828" s="51"/>
    </row>
    <row r="14829" spans="9:19" x14ac:dyDescent="0.25">
      <c r="I14829" s="1"/>
      <c r="J14829" s="71"/>
      <c r="M14829" s="46"/>
      <c r="R14829" s="51"/>
      <c r="S14829" s="51"/>
    </row>
    <row r="14830" spans="9:19" x14ac:dyDescent="0.25">
      <c r="I14830" s="1"/>
      <c r="J14830" s="71"/>
      <c r="M14830" s="46"/>
      <c r="R14830" s="51"/>
      <c r="S14830" s="51"/>
    </row>
    <row r="14831" spans="9:19" x14ac:dyDescent="0.25">
      <c r="I14831" s="1"/>
      <c r="J14831" s="71"/>
      <c r="M14831" s="46"/>
      <c r="R14831" s="51"/>
      <c r="S14831" s="51"/>
    </row>
    <row r="14832" spans="9:19" x14ac:dyDescent="0.25">
      <c r="I14832" s="1"/>
      <c r="J14832" s="71"/>
      <c r="M14832" s="46"/>
      <c r="R14832" s="51"/>
      <c r="S14832" s="51"/>
    </row>
    <row r="14833" spans="9:19" x14ac:dyDescent="0.25">
      <c r="I14833" s="1"/>
      <c r="J14833" s="71"/>
      <c r="M14833" s="46"/>
      <c r="R14833" s="51"/>
      <c r="S14833" s="51"/>
    </row>
    <row r="14834" spans="9:19" x14ac:dyDescent="0.25">
      <c r="I14834" s="1"/>
      <c r="J14834" s="71"/>
      <c r="M14834" s="46"/>
      <c r="R14834" s="51"/>
      <c r="S14834" s="51"/>
    </row>
    <row r="14835" spans="9:19" x14ac:dyDescent="0.25">
      <c r="I14835" s="1"/>
      <c r="J14835" s="71"/>
      <c r="M14835" s="46"/>
      <c r="R14835" s="51"/>
      <c r="S14835" s="51"/>
    </row>
    <row r="14836" spans="9:19" x14ac:dyDescent="0.25">
      <c r="I14836" s="1"/>
      <c r="J14836" s="71"/>
      <c r="M14836" s="46"/>
      <c r="R14836" s="51"/>
      <c r="S14836" s="51"/>
    </row>
    <row r="14837" spans="9:19" x14ac:dyDescent="0.25">
      <c r="I14837" s="1"/>
      <c r="J14837" s="71"/>
      <c r="M14837" s="46"/>
      <c r="R14837" s="51"/>
      <c r="S14837" s="51"/>
    </row>
    <row r="14838" spans="9:19" x14ac:dyDescent="0.25">
      <c r="I14838" s="1"/>
      <c r="J14838" s="71"/>
      <c r="M14838" s="46"/>
      <c r="R14838" s="51"/>
      <c r="S14838" s="51"/>
    </row>
    <row r="14839" spans="9:19" x14ac:dyDescent="0.25">
      <c r="I14839" s="1"/>
      <c r="J14839" s="71"/>
      <c r="M14839" s="46"/>
      <c r="R14839" s="51"/>
      <c r="S14839" s="51"/>
    </row>
    <row r="14840" spans="9:19" x14ac:dyDescent="0.25">
      <c r="I14840" s="1"/>
      <c r="J14840" s="71"/>
      <c r="M14840" s="46"/>
      <c r="R14840" s="51"/>
      <c r="S14840" s="51"/>
    </row>
    <row r="14841" spans="9:19" x14ac:dyDescent="0.25">
      <c r="I14841" s="1"/>
      <c r="J14841" s="71"/>
      <c r="M14841" s="46"/>
      <c r="R14841" s="51"/>
      <c r="S14841" s="51"/>
    </row>
    <row r="14842" spans="9:19" x14ac:dyDescent="0.25">
      <c r="I14842" s="1"/>
      <c r="J14842" s="71"/>
      <c r="M14842" s="46"/>
      <c r="R14842" s="51"/>
      <c r="S14842" s="51"/>
    </row>
    <row r="14843" spans="9:19" x14ac:dyDescent="0.25">
      <c r="I14843" s="1"/>
      <c r="J14843" s="71"/>
      <c r="M14843" s="46"/>
      <c r="R14843" s="51"/>
      <c r="S14843" s="51"/>
    </row>
    <row r="14844" spans="9:19" x14ac:dyDescent="0.25">
      <c r="I14844" s="1"/>
      <c r="J14844" s="71"/>
      <c r="M14844" s="46"/>
      <c r="R14844" s="51"/>
      <c r="S14844" s="51"/>
    </row>
    <row r="14845" spans="9:19" x14ac:dyDescent="0.25">
      <c r="I14845" s="1"/>
      <c r="J14845" s="71"/>
      <c r="M14845" s="46"/>
      <c r="R14845" s="51"/>
      <c r="S14845" s="51"/>
    </row>
    <row r="14846" spans="9:19" x14ac:dyDescent="0.25">
      <c r="I14846" s="1"/>
      <c r="J14846" s="71"/>
      <c r="M14846" s="46"/>
      <c r="R14846" s="51"/>
      <c r="S14846" s="51"/>
    </row>
    <row r="14847" spans="9:19" x14ac:dyDescent="0.25">
      <c r="I14847" s="1"/>
      <c r="J14847" s="71"/>
      <c r="M14847" s="46"/>
      <c r="R14847" s="51"/>
      <c r="S14847" s="51"/>
    </row>
    <row r="14848" spans="9:19" x14ac:dyDescent="0.25">
      <c r="I14848" s="1"/>
      <c r="J14848" s="71"/>
      <c r="M14848" s="46"/>
      <c r="R14848" s="51"/>
      <c r="S14848" s="51"/>
    </row>
    <row r="14849" spans="9:19" x14ac:dyDescent="0.25">
      <c r="I14849" s="1"/>
      <c r="J14849" s="71"/>
      <c r="M14849" s="46"/>
      <c r="R14849" s="51"/>
      <c r="S14849" s="51"/>
    </row>
    <row r="14850" spans="9:19" x14ac:dyDescent="0.25">
      <c r="I14850" s="1"/>
      <c r="J14850" s="71"/>
      <c r="M14850" s="46"/>
      <c r="R14850" s="51"/>
      <c r="S14850" s="51"/>
    </row>
    <row r="14851" spans="9:19" x14ac:dyDescent="0.25">
      <c r="I14851" s="1"/>
      <c r="J14851" s="71"/>
      <c r="M14851" s="46"/>
      <c r="R14851" s="51"/>
      <c r="S14851" s="51"/>
    </row>
    <row r="14852" spans="9:19" x14ac:dyDescent="0.25">
      <c r="I14852" s="1"/>
      <c r="J14852" s="71"/>
      <c r="M14852" s="46"/>
      <c r="R14852" s="51"/>
      <c r="S14852" s="51"/>
    </row>
    <row r="14853" spans="9:19" x14ac:dyDescent="0.25">
      <c r="I14853" s="1"/>
      <c r="J14853" s="71"/>
      <c r="M14853" s="46"/>
      <c r="R14853" s="51"/>
      <c r="S14853" s="51"/>
    </row>
    <row r="14854" spans="9:19" x14ac:dyDescent="0.25">
      <c r="I14854" s="1"/>
      <c r="J14854" s="71"/>
      <c r="M14854" s="46"/>
      <c r="R14854" s="51"/>
      <c r="S14854" s="51"/>
    </row>
    <row r="14855" spans="9:19" x14ac:dyDescent="0.25">
      <c r="I14855" s="1"/>
      <c r="J14855" s="71"/>
      <c r="M14855" s="46"/>
      <c r="R14855" s="51"/>
      <c r="S14855" s="51"/>
    </row>
    <row r="14856" spans="9:19" x14ac:dyDescent="0.25">
      <c r="I14856" s="1"/>
      <c r="J14856" s="71"/>
      <c r="M14856" s="46"/>
      <c r="R14856" s="51"/>
      <c r="S14856" s="51"/>
    </row>
    <row r="14857" spans="9:19" x14ac:dyDescent="0.25">
      <c r="I14857" s="1"/>
      <c r="J14857" s="71"/>
      <c r="M14857" s="46"/>
      <c r="R14857" s="51"/>
      <c r="S14857" s="51"/>
    </row>
    <row r="14858" spans="9:19" x14ac:dyDescent="0.25">
      <c r="I14858" s="1"/>
      <c r="J14858" s="71"/>
      <c r="M14858" s="46"/>
      <c r="R14858" s="51"/>
      <c r="S14858" s="51"/>
    </row>
    <row r="14859" spans="9:19" x14ac:dyDescent="0.25">
      <c r="I14859" s="1"/>
      <c r="J14859" s="71"/>
      <c r="M14859" s="46"/>
      <c r="R14859" s="51"/>
      <c r="S14859" s="51"/>
    </row>
    <row r="14860" spans="9:19" x14ac:dyDescent="0.25">
      <c r="I14860" s="1"/>
      <c r="J14860" s="71"/>
      <c r="M14860" s="46"/>
      <c r="R14860" s="51"/>
      <c r="S14860" s="51"/>
    </row>
    <row r="14861" spans="9:19" x14ac:dyDescent="0.25">
      <c r="I14861" s="1"/>
      <c r="J14861" s="71"/>
      <c r="M14861" s="46"/>
      <c r="R14861" s="51"/>
      <c r="S14861" s="51"/>
    </row>
    <row r="14862" spans="9:19" x14ac:dyDescent="0.25">
      <c r="I14862" s="1"/>
      <c r="J14862" s="71"/>
      <c r="M14862" s="46"/>
      <c r="R14862" s="51"/>
      <c r="S14862" s="51"/>
    </row>
    <row r="14863" spans="9:19" x14ac:dyDescent="0.25">
      <c r="I14863" s="1"/>
      <c r="J14863" s="71"/>
      <c r="M14863" s="46"/>
      <c r="R14863" s="51"/>
      <c r="S14863" s="51"/>
    </row>
    <row r="14864" spans="9:19" x14ac:dyDescent="0.25">
      <c r="I14864" s="1"/>
      <c r="J14864" s="71"/>
      <c r="M14864" s="46"/>
      <c r="R14864" s="51"/>
      <c r="S14864" s="51"/>
    </row>
    <row r="14865" spans="9:19" x14ac:dyDescent="0.25">
      <c r="I14865" s="1"/>
      <c r="J14865" s="71"/>
      <c r="M14865" s="46"/>
      <c r="R14865" s="51"/>
      <c r="S14865" s="51"/>
    </row>
    <row r="14866" spans="9:19" x14ac:dyDescent="0.25">
      <c r="I14866" s="1"/>
      <c r="J14866" s="71"/>
      <c r="M14866" s="46"/>
      <c r="R14866" s="51"/>
      <c r="S14866" s="51"/>
    </row>
    <row r="14867" spans="9:19" x14ac:dyDescent="0.25">
      <c r="I14867" s="1"/>
      <c r="J14867" s="71"/>
      <c r="M14867" s="46"/>
      <c r="R14867" s="51"/>
      <c r="S14867" s="51"/>
    </row>
    <row r="14868" spans="9:19" x14ac:dyDescent="0.25">
      <c r="I14868" s="1"/>
      <c r="J14868" s="71"/>
      <c r="M14868" s="46"/>
      <c r="R14868" s="51"/>
      <c r="S14868" s="51"/>
    </row>
    <row r="14869" spans="9:19" x14ac:dyDescent="0.25">
      <c r="I14869" s="1"/>
      <c r="J14869" s="71"/>
      <c r="M14869" s="46"/>
      <c r="R14869" s="51"/>
      <c r="S14869" s="51"/>
    </row>
    <row r="14870" spans="9:19" x14ac:dyDescent="0.25">
      <c r="I14870" s="1"/>
      <c r="J14870" s="71"/>
      <c r="M14870" s="46"/>
      <c r="R14870" s="51"/>
      <c r="S14870" s="51"/>
    </row>
    <row r="14871" spans="9:19" x14ac:dyDescent="0.25">
      <c r="I14871" s="1"/>
      <c r="J14871" s="71"/>
      <c r="M14871" s="46"/>
      <c r="R14871" s="51"/>
      <c r="S14871" s="51"/>
    </row>
    <row r="14872" spans="9:19" x14ac:dyDescent="0.25">
      <c r="I14872" s="1"/>
      <c r="J14872" s="71"/>
      <c r="M14872" s="46"/>
      <c r="R14872" s="51"/>
      <c r="S14872" s="51"/>
    </row>
    <row r="14873" spans="9:19" x14ac:dyDescent="0.25">
      <c r="I14873" s="1"/>
      <c r="J14873" s="71"/>
      <c r="M14873" s="46"/>
      <c r="R14873" s="51"/>
      <c r="S14873" s="51"/>
    </row>
    <row r="14874" spans="9:19" x14ac:dyDescent="0.25">
      <c r="I14874" s="1"/>
      <c r="J14874" s="71"/>
      <c r="M14874" s="46"/>
      <c r="R14874" s="51"/>
      <c r="S14874" s="51"/>
    </row>
    <row r="14875" spans="9:19" x14ac:dyDescent="0.25">
      <c r="I14875" s="1"/>
      <c r="J14875" s="71"/>
      <c r="M14875" s="46"/>
      <c r="R14875" s="51"/>
      <c r="S14875" s="51"/>
    </row>
    <row r="14876" spans="9:19" x14ac:dyDescent="0.25">
      <c r="I14876" s="1"/>
      <c r="J14876" s="71"/>
      <c r="M14876" s="46"/>
      <c r="R14876" s="51"/>
      <c r="S14876" s="51"/>
    </row>
    <row r="14877" spans="9:19" x14ac:dyDescent="0.25">
      <c r="I14877" s="1"/>
      <c r="J14877" s="71"/>
      <c r="M14877" s="46"/>
      <c r="R14877" s="51"/>
      <c r="S14877" s="51"/>
    </row>
    <row r="14878" spans="9:19" x14ac:dyDescent="0.25">
      <c r="I14878" s="1"/>
      <c r="J14878" s="71"/>
      <c r="M14878" s="46"/>
      <c r="R14878" s="51"/>
      <c r="S14878" s="51"/>
    </row>
    <row r="14879" spans="9:19" x14ac:dyDescent="0.25">
      <c r="I14879" s="1"/>
      <c r="J14879" s="71"/>
      <c r="M14879" s="46"/>
      <c r="R14879" s="51"/>
      <c r="S14879" s="51"/>
    </row>
    <row r="14880" spans="9:19" x14ac:dyDescent="0.25">
      <c r="I14880" s="1"/>
      <c r="J14880" s="71"/>
      <c r="M14880" s="46"/>
      <c r="R14880" s="51"/>
      <c r="S14880" s="51"/>
    </row>
    <row r="14881" spans="9:19" x14ac:dyDescent="0.25">
      <c r="I14881" s="1"/>
      <c r="J14881" s="71"/>
      <c r="M14881" s="46"/>
      <c r="R14881" s="51"/>
      <c r="S14881" s="51"/>
    </row>
    <row r="14882" spans="9:19" x14ac:dyDescent="0.25">
      <c r="I14882" s="1"/>
      <c r="J14882" s="71"/>
      <c r="M14882" s="46"/>
      <c r="R14882" s="51"/>
      <c r="S14882" s="51"/>
    </row>
    <row r="14883" spans="9:19" x14ac:dyDescent="0.25">
      <c r="I14883" s="1"/>
      <c r="J14883" s="71"/>
      <c r="M14883" s="46"/>
      <c r="R14883" s="51"/>
      <c r="S14883" s="51"/>
    </row>
    <row r="14884" spans="9:19" x14ac:dyDescent="0.25">
      <c r="I14884" s="1"/>
      <c r="J14884" s="71"/>
      <c r="M14884" s="46"/>
      <c r="R14884" s="51"/>
      <c r="S14884" s="51"/>
    </row>
    <row r="14885" spans="9:19" x14ac:dyDescent="0.25">
      <c r="I14885" s="1"/>
      <c r="J14885" s="71"/>
      <c r="M14885" s="46"/>
      <c r="R14885" s="51"/>
      <c r="S14885" s="51"/>
    </row>
    <row r="14886" spans="9:19" x14ac:dyDescent="0.25">
      <c r="I14886" s="1"/>
      <c r="J14886" s="71"/>
      <c r="M14886" s="46"/>
      <c r="R14886" s="51"/>
      <c r="S14886" s="51"/>
    </row>
    <row r="14887" spans="9:19" x14ac:dyDescent="0.25">
      <c r="I14887" s="1"/>
      <c r="J14887" s="71"/>
      <c r="M14887" s="46"/>
      <c r="R14887" s="51"/>
      <c r="S14887" s="51"/>
    </row>
    <row r="14888" spans="9:19" x14ac:dyDescent="0.25">
      <c r="I14888" s="1"/>
      <c r="J14888" s="71"/>
      <c r="M14888" s="46"/>
      <c r="R14888" s="51"/>
      <c r="S14888" s="51"/>
    </row>
    <row r="14889" spans="9:19" x14ac:dyDescent="0.25">
      <c r="I14889" s="1"/>
      <c r="J14889" s="71"/>
      <c r="M14889" s="46"/>
      <c r="R14889" s="51"/>
      <c r="S14889" s="51"/>
    </row>
    <row r="14890" spans="9:19" x14ac:dyDescent="0.25">
      <c r="I14890" s="1"/>
      <c r="J14890" s="71"/>
      <c r="M14890" s="46"/>
      <c r="R14890" s="51"/>
      <c r="S14890" s="51"/>
    </row>
    <row r="14891" spans="9:19" x14ac:dyDescent="0.25">
      <c r="I14891" s="1"/>
      <c r="J14891" s="71"/>
      <c r="M14891" s="46"/>
      <c r="R14891" s="51"/>
      <c r="S14891" s="51"/>
    </row>
    <row r="14892" spans="9:19" x14ac:dyDescent="0.25">
      <c r="I14892" s="1"/>
      <c r="J14892" s="71"/>
      <c r="M14892" s="46"/>
      <c r="R14892" s="51"/>
      <c r="S14892" s="51"/>
    </row>
    <row r="14893" spans="9:19" x14ac:dyDescent="0.25">
      <c r="I14893" s="1"/>
      <c r="J14893" s="71"/>
      <c r="M14893" s="46"/>
      <c r="R14893" s="51"/>
      <c r="S14893" s="51"/>
    </row>
    <row r="14894" spans="9:19" x14ac:dyDescent="0.25">
      <c r="I14894" s="1"/>
      <c r="J14894" s="71"/>
      <c r="M14894" s="46"/>
      <c r="R14894" s="51"/>
      <c r="S14894" s="51"/>
    </row>
    <row r="14895" spans="9:19" x14ac:dyDescent="0.25">
      <c r="I14895" s="1"/>
      <c r="J14895" s="71"/>
      <c r="M14895" s="46"/>
      <c r="R14895" s="51"/>
      <c r="S14895" s="51"/>
    </row>
    <row r="14896" spans="9:19" x14ac:dyDescent="0.25">
      <c r="I14896" s="1"/>
      <c r="J14896" s="71"/>
      <c r="M14896" s="46"/>
      <c r="R14896" s="51"/>
      <c r="S14896" s="51"/>
    </row>
    <row r="14897" spans="9:19" x14ac:dyDescent="0.25">
      <c r="I14897" s="1"/>
      <c r="J14897" s="71"/>
      <c r="M14897" s="46"/>
      <c r="R14897" s="51"/>
      <c r="S14897" s="51"/>
    </row>
    <row r="14898" spans="9:19" x14ac:dyDescent="0.25">
      <c r="I14898" s="1"/>
      <c r="J14898" s="71"/>
      <c r="M14898" s="46"/>
      <c r="R14898" s="51"/>
      <c r="S14898" s="51"/>
    </row>
    <row r="14899" spans="9:19" x14ac:dyDescent="0.25">
      <c r="I14899" s="1"/>
      <c r="J14899" s="71"/>
      <c r="M14899" s="46"/>
      <c r="R14899" s="51"/>
      <c r="S14899" s="51"/>
    </row>
    <row r="14900" spans="9:19" x14ac:dyDescent="0.25">
      <c r="I14900" s="1"/>
      <c r="J14900" s="71"/>
      <c r="M14900" s="46"/>
      <c r="R14900" s="51"/>
      <c r="S14900" s="51"/>
    </row>
    <row r="14901" spans="9:19" x14ac:dyDescent="0.25">
      <c r="I14901" s="1"/>
      <c r="J14901" s="71"/>
      <c r="M14901" s="46"/>
      <c r="R14901" s="51"/>
      <c r="S14901" s="51"/>
    </row>
    <row r="14902" spans="9:19" x14ac:dyDescent="0.25">
      <c r="I14902" s="1"/>
      <c r="J14902" s="71"/>
      <c r="M14902" s="46"/>
      <c r="R14902" s="51"/>
      <c r="S14902" s="51"/>
    </row>
    <row r="14903" spans="9:19" x14ac:dyDescent="0.25">
      <c r="I14903" s="1"/>
      <c r="J14903" s="71"/>
      <c r="M14903" s="46"/>
      <c r="R14903" s="51"/>
      <c r="S14903" s="51"/>
    </row>
    <row r="14904" spans="9:19" x14ac:dyDescent="0.25">
      <c r="I14904" s="1"/>
      <c r="J14904" s="71"/>
      <c r="M14904" s="46"/>
      <c r="R14904" s="51"/>
      <c r="S14904" s="51"/>
    </row>
    <row r="14905" spans="9:19" x14ac:dyDescent="0.25">
      <c r="I14905" s="1"/>
      <c r="J14905" s="71"/>
      <c r="M14905" s="46"/>
      <c r="R14905" s="51"/>
      <c r="S14905" s="51"/>
    </row>
    <row r="14906" spans="9:19" x14ac:dyDescent="0.25">
      <c r="I14906" s="1"/>
      <c r="J14906" s="71"/>
      <c r="M14906" s="46"/>
      <c r="R14906" s="51"/>
      <c r="S14906" s="51"/>
    </row>
    <row r="14907" spans="9:19" x14ac:dyDescent="0.25">
      <c r="I14907" s="1"/>
      <c r="J14907" s="71"/>
      <c r="M14907" s="46"/>
      <c r="R14907" s="51"/>
      <c r="S14907" s="51"/>
    </row>
    <row r="14908" spans="9:19" x14ac:dyDescent="0.25">
      <c r="I14908" s="1"/>
      <c r="J14908" s="71"/>
      <c r="M14908" s="46"/>
      <c r="R14908" s="51"/>
      <c r="S14908" s="51"/>
    </row>
    <row r="14909" spans="9:19" x14ac:dyDescent="0.25">
      <c r="I14909" s="1"/>
      <c r="J14909" s="71"/>
      <c r="M14909" s="46"/>
      <c r="R14909" s="51"/>
      <c r="S14909" s="51"/>
    </row>
    <row r="14910" spans="9:19" x14ac:dyDescent="0.25">
      <c r="I14910" s="1"/>
      <c r="J14910" s="71"/>
      <c r="M14910" s="46"/>
      <c r="R14910" s="51"/>
      <c r="S14910" s="51"/>
    </row>
    <row r="14911" spans="9:19" x14ac:dyDescent="0.25">
      <c r="I14911" s="1"/>
      <c r="J14911" s="71"/>
      <c r="M14911" s="46"/>
      <c r="R14911" s="51"/>
      <c r="S14911" s="51"/>
    </row>
    <row r="14912" spans="9:19" x14ac:dyDescent="0.25">
      <c r="I14912" s="1"/>
      <c r="J14912" s="71"/>
      <c r="M14912" s="46"/>
      <c r="R14912" s="51"/>
      <c r="S14912" s="51"/>
    </row>
    <row r="14913" spans="9:19" x14ac:dyDescent="0.25">
      <c r="I14913" s="1"/>
      <c r="J14913" s="71"/>
      <c r="M14913" s="46"/>
      <c r="R14913" s="51"/>
      <c r="S14913" s="51"/>
    </row>
    <row r="14914" spans="9:19" x14ac:dyDescent="0.25">
      <c r="I14914" s="1"/>
      <c r="J14914" s="71"/>
      <c r="M14914" s="46"/>
      <c r="R14914" s="51"/>
      <c r="S14914" s="51"/>
    </row>
    <row r="14915" spans="9:19" x14ac:dyDescent="0.25">
      <c r="I14915" s="1"/>
      <c r="J14915" s="71"/>
      <c r="M14915" s="46"/>
      <c r="R14915" s="51"/>
      <c r="S14915" s="51"/>
    </row>
    <row r="14916" spans="9:19" x14ac:dyDescent="0.25">
      <c r="I14916" s="1"/>
      <c r="J14916" s="71"/>
      <c r="M14916" s="46"/>
      <c r="R14916" s="51"/>
      <c r="S14916" s="51"/>
    </row>
    <row r="14917" spans="9:19" x14ac:dyDescent="0.25">
      <c r="I14917" s="1"/>
      <c r="J14917" s="71"/>
      <c r="M14917" s="46"/>
      <c r="R14917" s="51"/>
      <c r="S14917" s="51"/>
    </row>
    <row r="14918" spans="9:19" x14ac:dyDescent="0.25">
      <c r="I14918" s="1"/>
      <c r="J14918" s="71"/>
      <c r="M14918" s="46"/>
      <c r="R14918" s="51"/>
      <c r="S14918" s="51"/>
    </row>
    <row r="14919" spans="9:19" x14ac:dyDescent="0.25">
      <c r="I14919" s="1"/>
      <c r="J14919" s="71"/>
      <c r="M14919" s="46"/>
      <c r="R14919" s="51"/>
      <c r="S14919" s="51"/>
    </row>
    <row r="14920" spans="9:19" x14ac:dyDescent="0.25">
      <c r="I14920" s="1"/>
      <c r="J14920" s="71"/>
      <c r="M14920" s="46"/>
      <c r="R14920" s="51"/>
      <c r="S14920" s="51"/>
    </row>
    <row r="14921" spans="9:19" x14ac:dyDescent="0.25">
      <c r="I14921" s="1"/>
      <c r="J14921" s="71"/>
      <c r="M14921" s="46"/>
      <c r="R14921" s="51"/>
      <c r="S14921" s="51"/>
    </row>
    <row r="14922" spans="9:19" x14ac:dyDescent="0.25">
      <c r="I14922" s="1"/>
      <c r="J14922" s="71"/>
      <c r="M14922" s="46"/>
      <c r="R14922" s="51"/>
      <c r="S14922" s="51"/>
    </row>
    <row r="14923" spans="9:19" x14ac:dyDescent="0.25">
      <c r="I14923" s="1"/>
      <c r="J14923" s="71"/>
      <c r="M14923" s="46"/>
      <c r="R14923" s="51"/>
      <c r="S14923" s="51"/>
    </row>
    <row r="14924" spans="9:19" x14ac:dyDescent="0.25">
      <c r="I14924" s="1"/>
      <c r="J14924" s="71"/>
      <c r="M14924" s="46"/>
      <c r="R14924" s="51"/>
      <c r="S14924" s="51"/>
    </row>
    <row r="14925" spans="9:19" x14ac:dyDescent="0.25">
      <c r="I14925" s="1"/>
      <c r="J14925" s="71"/>
      <c r="M14925" s="46"/>
      <c r="R14925" s="51"/>
      <c r="S14925" s="51"/>
    </row>
    <row r="14926" spans="9:19" x14ac:dyDescent="0.25">
      <c r="I14926" s="1"/>
      <c r="J14926" s="71"/>
      <c r="M14926" s="46"/>
      <c r="R14926" s="51"/>
      <c r="S14926" s="51"/>
    </row>
    <row r="14927" spans="9:19" x14ac:dyDescent="0.25">
      <c r="I14927" s="1"/>
      <c r="J14927" s="71"/>
      <c r="M14927" s="46"/>
      <c r="R14927" s="51"/>
      <c r="S14927" s="51"/>
    </row>
    <row r="14928" spans="9:19" x14ac:dyDescent="0.25">
      <c r="I14928" s="1"/>
      <c r="J14928" s="71"/>
      <c r="M14928" s="46"/>
      <c r="R14928" s="51"/>
      <c r="S14928" s="51"/>
    </row>
    <row r="14929" spans="9:19" x14ac:dyDescent="0.25">
      <c r="I14929" s="1"/>
      <c r="J14929" s="71"/>
      <c r="M14929" s="46"/>
      <c r="R14929" s="51"/>
      <c r="S14929" s="51"/>
    </row>
    <row r="14930" spans="9:19" x14ac:dyDescent="0.25">
      <c r="I14930" s="1"/>
      <c r="J14930" s="71"/>
      <c r="M14930" s="46"/>
      <c r="R14930" s="51"/>
      <c r="S14930" s="51"/>
    </row>
    <row r="14931" spans="9:19" x14ac:dyDescent="0.25">
      <c r="I14931" s="1"/>
      <c r="J14931" s="71"/>
      <c r="M14931" s="46"/>
      <c r="R14931" s="51"/>
      <c r="S14931" s="51"/>
    </row>
    <row r="14932" spans="9:19" x14ac:dyDescent="0.25">
      <c r="I14932" s="1"/>
      <c r="J14932" s="71"/>
      <c r="M14932" s="46"/>
      <c r="R14932" s="51"/>
      <c r="S14932" s="51"/>
    </row>
    <row r="14933" spans="9:19" x14ac:dyDescent="0.25">
      <c r="I14933" s="1"/>
      <c r="J14933" s="71"/>
      <c r="M14933" s="46"/>
      <c r="R14933" s="51"/>
      <c r="S14933" s="51"/>
    </row>
    <row r="14934" spans="9:19" x14ac:dyDescent="0.25">
      <c r="I14934" s="1"/>
      <c r="J14934" s="71"/>
      <c r="M14934" s="46"/>
      <c r="R14934" s="51"/>
      <c r="S14934" s="51"/>
    </row>
    <row r="14935" spans="9:19" x14ac:dyDescent="0.25">
      <c r="I14935" s="1"/>
      <c r="J14935" s="71"/>
      <c r="M14935" s="46"/>
      <c r="R14935" s="51"/>
      <c r="S14935" s="51"/>
    </row>
    <row r="14936" spans="9:19" x14ac:dyDescent="0.25">
      <c r="I14936" s="1"/>
      <c r="J14936" s="71"/>
      <c r="M14936" s="46"/>
      <c r="R14936" s="51"/>
      <c r="S14936" s="51"/>
    </row>
    <row r="14937" spans="9:19" x14ac:dyDescent="0.25">
      <c r="I14937" s="1"/>
      <c r="J14937" s="71"/>
      <c r="M14937" s="46"/>
      <c r="R14937" s="51"/>
      <c r="S14937" s="51"/>
    </row>
    <row r="14938" spans="9:19" x14ac:dyDescent="0.25">
      <c r="I14938" s="1"/>
      <c r="J14938" s="71"/>
      <c r="M14938" s="46"/>
      <c r="R14938" s="51"/>
      <c r="S14938" s="51"/>
    </row>
    <row r="14939" spans="9:19" x14ac:dyDescent="0.25">
      <c r="I14939" s="1"/>
      <c r="J14939" s="71"/>
      <c r="M14939" s="46"/>
      <c r="R14939" s="51"/>
      <c r="S14939" s="51"/>
    </row>
    <row r="14940" spans="9:19" x14ac:dyDescent="0.25">
      <c r="I14940" s="1"/>
      <c r="J14940" s="71"/>
      <c r="M14940" s="46"/>
      <c r="R14940" s="51"/>
      <c r="S14940" s="51"/>
    </row>
    <row r="14941" spans="9:19" x14ac:dyDescent="0.25">
      <c r="I14941" s="1"/>
      <c r="J14941" s="71"/>
      <c r="M14941" s="46"/>
      <c r="R14941" s="51"/>
      <c r="S14941" s="51"/>
    </row>
    <row r="14942" spans="9:19" x14ac:dyDescent="0.25">
      <c r="I14942" s="1"/>
      <c r="J14942" s="71"/>
      <c r="M14942" s="46"/>
      <c r="R14942" s="51"/>
      <c r="S14942" s="51"/>
    </row>
    <row r="14943" spans="9:19" x14ac:dyDescent="0.25">
      <c r="I14943" s="1"/>
      <c r="J14943" s="71"/>
      <c r="M14943" s="46"/>
      <c r="R14943" s="51"/>
      <c r="S14943" s="51"/>
    </row>
    <row r="14944" spans="9:19" x14ac:dyDescent="0.25">
      <c r="I14944" s="1"/>
      <c r="J14944" s="71"/>
      <c r="M14944" s="46"/>
      <c r="R14944" s="51"/>
      <c r="S14944" s="51"/>
    </row>
    <row r="14945" spans="9:19" x14ac:dyDescent="0.25">
      <c r="I14945" s="1"/>
      <c r="J14945" s="71"/>
      <c r="M14945" s="46"/>
      <c r="R14945" s="51"/>
      <c r="S14945" s="51"/>
    </row>
    <row r="14946" spans="9:19" x14ac:dyDescent="0.25">
      <c r="I14946" s="1"/>
      <c r="J14946" s="71"/>
      <c r="M14946" s="46"/>
      <c r="R14946" s="51"/>
      <c r="S14946" s="51"/>
    </row>
    <row r="14947" spans="9:19" x14ac:dyDescent="0.25">
      <c r="I14947" s="1"/>
      <c r="J14947" s="71"/>
      <c r="M14947" s="46"/>
      <c r="R14947" s="51"/>
      <c r="S14947" s="51"/>
    </row>
    <row r="14948" spans="9:19" x14ac:dyDescent="0.25">
      <c r="I14948" s="1"/>
      <c r="J14948" s="71"/>
      <c r="M14948" s="46"/>
      <c r="R14948" s="51"/>
      <c r="S14948" s="51"/>
    </row>
    <row r="14949" spans="9:19" x14ac:dyDescent="0.25">
      <c r="I14949" s="1"/>
      <c r="J14949" s="71"/>
      <c r="M14949" s="46"/>
      <c r="R14949" s="51"/>
      <c r="S14949" s="51"/>
    </row>
    <row r="14950" spans="9:19" x14ac:dyDescent="0.25">
      <c r="I14950" s="1"/>
      <c r="J14950" s="71"/>
      <c r="M14950" s="46"/>
      <c r="R14950" s="51"/>
      <c r="S14950" s="51"/>
    </row>
    <row r="14951" spans="9:19" x14ac:dyDescent="0.25">
      <c r="I14951" s="1"/>
      <c r="J14951" s="71"/>
      <c r="M14951" s="46"/>
      <c r="R14951" s="51"/>
      <c r="S14951" s="51"/>
    </row>
    <row r="14952" spans="9:19" x14ac:dyDescent="0.25">
      <c r="I14952" s="1"/>
      <c r="J14952" s="71"/>
      <c r="M14952" s="46"/>
      <c r="R14952" s="51"/>
      <c r="S14952" s="51"/>
    </row>
    <row r="14953" spans="9:19" x14ac:dyDescent="0.25">
      <c r="I14953" s="1"/>
      <c r="J14953" s="71"/>
      <c r="M14953" s="46"/>
      <c r="R14953" s="51"/>
      <c r="S14953" s="51"/>
    </row>
    <row r="14954" spans="9:19" x14ac:dyDescent="0.25">
      <c r="I14954" s="1"/>
      <c r="J14954" s="71"/>
      <c r="M14954" s="46"/>
      <c r="R14954" s="51"/>
      <c r="S14954" s="51"/>
    </row>
    <row r="14955" spans="9:19" x14ac:dyDescent="0.25">
      <c r="I14955" s="1"/>
      <c r="J14955" s="71"/>
      <c r="M14955" s="46"/>
      <c r="R14955" s="51"/>
      <c r="S14955" s="51"/>
    </row>
    <row r="14956" spans="9:19" x14ac:dyDescent="0.25">
      <c r="I14956" s="1"/>
      <c r="J14956" s="71"/>
      <c r="M14956" s="46"/>
      <c r="R14956" s="51"/>
      <c r="S14956" s="51"/>
    </row>
    <row r="14957" spans="9:19" x14ac:dyDescent="0.25">
      <c r="I14957" s="1"/>
      <c r="J14957" s="71"/>
      <c r="M14957" s="46"/>
      <c r="R14957" s="51"/>
      <c r="S14957" s="51"/>
    </row>
    <row r="14958" spans="9:19" x14ac:dyDescent="0.25">
      <c r="I14958" s="1"/>
      <c r="J14958" s="71"/>
      <c r="M14958" s="46"/>
      <c r="R14958" s="51"/>
      <c r="S14958" s="51"/>
    </row>
    <row r="14959" spans="9:19" x14ac:dyDescent="0.25">
      <c r="I14959" s="1"/>
      <c r="J14959" s="71"/>
      <c r="M14959" s="46"/>
      <c r="R14959" s="51"/>
      <c r="S14959" s="51"/>
    </row>
    <row r="14960" spans="9:19" x14ac:dyDescent="0.25">
      <c r="I14960" s="1"/>
      <c r="J14960" s="71"/>
      <c r="M14960" s="46"/>
      <c r="R14960" s="51"/>
      <c r="S14960" s="51"/>
    </row>
    <row r="14961" spans="9:19" x14ac:dyDescent="0.25">
      <c r="I14961" s="1"/>
      <c r="J14961" s="71"/>
      <c r="M14961" s="46"/>
      <c r="R14961" s="51"/>
      <c r="S14961" s="51"/>
    </row>
    <row r="14962" spans="9:19" x14ac:dyDescent="0.25">
      <c r="I14962" s="1"/>
      <c r="J14962" s="71"/>
      <c r="M14962" s="46"/>
      <c r="R14962" s="51"/>
      <c r="S14962" s="51"/>
    </row>
    <row r="14963" spans="9:19" x14ac:dyDescent="0.25">
      <c r="I14963" s="1"/>
      <c r="J14963" s="71"/>
      <c r="M14963" s="46"/>
      <c r="R14963" s="51"/>
      <c r="S14963" s="51"/>
    </row>
    <row r="14964" spans="9:19" x14ac:dyDescent="0.25">
      <c r="I14964" s="1"/>
      <c r="J14964" s="71"/>
      <c r="M14964" s="46"/>
      <c r="R14964" s="51"/>
      <c r="S14964" s="51"/>
    </row>
    <row r="14965" spans="9:19" x14ac:dyDescent="0.25">
      <c r="I14965" s="1"/>
      <c r="J14965" s="71"/>
      <c r="M14965" s="46"/>
      <c r="R14965" s="51"/>
      <c r="S14965" s="51"/>
    </row>
    <row r="14966" spans="9:19" x14ac:dyDescent="0.25">
      <c r="I14966" s="1"/>
      <c r="J14966" s="71"/>
      <c r="M14966" s="46"/>
      <c r="R14966" s="51"/>
      <c r="S14966" s="51"/>
    </row>
    <row r="14967" spans="9:19" x14ac:dyDescent="0.25">
      <c r="I14967" s="1"/>
      <c r="J14967" s="71"/>
      <c r="M14967" s="46"/>
      <c r="R14967" s="51"/>
      <c r="S14967" s="51"/>
    </row>
    <row r="14968" spans="9:19" x14ac:dyDescent="0.25">
      <c r="I14968" s="1"/>
      <c r="J14968" s="71"/>
      <c r="M14968" s="46"/>
      <c r="R14968" s="51"/>
      <c r="S14968" s="51"/>
    </row>
    <row r="14969" spans="9:19" x14ac:dyDescent="0.25">
      <c r="I14969" s="1"/>
      <c r="J14969" s="71"/>
      <c r="M14969" s="46"/>
      <c r="R14969" s="51"/>
      <c r="S14969" s="51"/>
    </row>
    <row r="14970" spans="9:19" x14ac:dyDescent="0.25">
      <c r="I14970" s="1"/>
      <c r="J14970" s="71"/>
      <c r="M14970" s="46"/>
      <c r="R14970" s="51"/>
      <c r="S14970" s="51"/>
    </row>
    <row r="14971" spans="9:19" x14ac:dyDescent="0.25">
      <c r="I14971" s="1"/>
      <c r="J14971" s="71"/>
      <c r="M14971" s="46"/>
      <c r="R14971" s="51"/>
      <c r="S14971" s="51"/>
    </row>
    <row r="14972" spans="9:19" x14ac:dyDescent="0.25">
      <c r="I14972" s="1"/>
      <c r="J14972" s="71"/>
      <c r="M14972" s="46"/>
      <c r="R14972" s="51"/>
      <c r="S14972" s="51"/>
    </row>
    <row r="14973" spans="9:19" x14ac:dyDescent="0.25">
      <c r="I14973" s="1"/>
      <c r="J14973" s="71"/>
      <c r="M14973" s="46"/>
      <c r="R14973" s="51"/>
      <c r="S14973" s="51"/>
    </row>
    <row r="14974" spans="9:19" x14ac:dyDescent="0.25">
      <c r="I14974" s="1"/>
      <c r="J14974" s="71"/>
      <c r="M14974" s="46"/>
      <c r="R14974" s="51"/>
      <c r="S14974" s="51"/>
    </row>
    <row r="14975" spans="9:19" x14ac:dyDescent="0.25">
      <c r="I14975" s="1"/>
      <c r="J14975" s="71"/>
      <c r="M14975" s="46"/>
      <c r="R14975" s="51"/>
      <c r="S14975" s="51"/>
    </row>
    <row r="14976" spans="9:19" x14ac:dyDescent="0.25">
      <c r="I14976" s="1"/>
      <c r="J14976" s="71"/>
      <c r="M14976" s="46"/>
      <c r="R14976" s="51"/>
      <c r="S14976" s="51"/>
    </row>
    <row r="14977" spans="9:19" x14ac:dyDescent="0.25">
      <c r="I14977" s="1"/>
      <c r="J14977" s="71"/>
      <c r="M14977" s="46"/>
      <c r="R14977" s="51"/>
      <c r="S14977" s="51"/>
    </row>
    <row r="14978" spans="9:19" x14ac:dyDescent="0.25">
      <c r="I14978" s="1"/>
      <c r="J14978" s="71"/>
      <c r="M14978" s="46"/>
      <c r="R14978" s="51"/>
      <c r="S14978" s="51"/>
    </row>
    <row r="14979" spans="9:19" x14ac:dyDescent="0.25">
      <c r="I14979" s="1"/>
      <c r="J14979" s="71"/>
      <c r="M14979" s="46"/>
      <c r="R14979" s="51"/>
      <c r="S14979" s="51"/>
    </row>
    <row r="14980" spans="9:19" x14ac:dyDescent="0.25">
      <c r="I14980" s="1"/>
      <c r="J14980" s="71"/>
      <c r="M14980" s="46"/>
      <c r="R14980" s="51"/>
      <c r="S14980" s="51"/>
    </row>
    <row r="14981" spans="9:19" x14ac:dyDescent="0.25">
      <c r="I14981" s="1"/>
      <c r="J14981" s="71"/>
      <c r="M14981" s="46"/>
      <c r="R14981" s="51"/>
      <c r="S14981" s="51"/>
    </row>
    <row r="14982" spans="9:19" x14ac:dyDescent="0.25">
      <c r="I14982" s="1"/>
      <c r="J14982" s="71"/>
      <c r="M14982" s="46"/>
      <c r="R14982" s="51"/>
      <c r="S14982" s="51"/>
    </row>
    <row r="14983" spans="9:19" x14ac:dyDescent="0.25">
      <c r="I14983" s="1"/>
      <c r="J14983" s="71"/>
      <c r="M14983" s="46"/>
      <c r="R14983" s="51"/>
      <c r="S14983" s="51"/>
    </row>
    <row r="14984" spans="9:19" x14ac:dyDescent="0.25">
      <c r="I14984" s="1"/>
      <c r="J14984" s="71"/>
      <c r="M14984" s="46"/>
      <c r="R14984" s="51"/>
      <c r="S14984" s="51"/>
    </row>
    <row r="14985" spans="9:19" x14ac:dyDescent="0.25">
      <c r="I14985" s="1"/>
      <c r="J14985" s="71"/>
      <c r="M14985" s="46"/>
      <c r="R14985" s="51"/>
      <c r="S14985" s="51"/>
    </row>
    <row r="14986" spans="9:19" x14ac:dyDescent="0.25">
      <c r="I14986" s="1"/>
      <c r="J14986" s="71"/>
      <c r="M14986" s="46"/>
      <c r="R14986" s="51"/>
      <c r="S14986" s="51"/>
    </row>
    <row r="14987" spans="9:19" x14ac:dyDescent="0.25">
      <c r="I14987" s="1"/>
      <c r="J14987" s="71"/>
      <c r="M14987" s="46"/>
      <c r="R14987" s="51"/>
      <c r="S14987" s="51"/>
    </row>
    <row r="14988" spans="9:19" x14ac:dyDescent="0.25">
      <c r="I14988" s="1"/>
      <c r="J14988" s="71"/>
      <c r="M14988" s="46"/>
      <c r="R14988" s="51"/>
      <c r="S14988" s="51"/>
    </row>
    <row r="14989" spans="9:19" x14ac:dyDescent="0.25">
      <c r="I14989" s="1"/>
      <c r="J14989" s="71"/>
      <c r="M14989" s="46"/>
      <c r="R14989" s="51"/>
      <c r="S14989" s="51"/>
    </row>
    <row r="14990" spans="9:19" x14ac:dyDescent="0.25">
      <c r="I14990" s="1"/>
      <c r="J14990" s="71"/>
      <c r="M14990" s="46"/>
      <c r="R14990" s="51"/>
      <c r="S14990" s="51"/>
    </row>
    <row r="14991" spans="9:19" x14ac:dyDescent="0.25">
      <c r="I14991" s="1"/>
      <c r="J14991" s="71"/>
      <c r="M14991" s="46"/>
      <c r="R14991" s="51"/>
      <c r="S14991" s="51"/>
    </row>
    <row r="14992" spans="9:19" x14ac:dyDescent="0.25">
      <c r="I14992" s="1"/>
      <c r="J14992" s="71"/>
      <c r="M14992" s="46"/>
      <c r="R14992" s="51"/>
      <c r="S14992" s="51"/>
    </row>
    <row r="14993" spans="9:19" x14ac:dyDescent="0.25">
      <c r="I14993" s="1"/>
      <c r="J14993" s="71"/>
      <c r="M14993" s="46"/>
      <c r="R14993" s="51"/>
      <c r="S14993" s="51"/>
    </row>
    <row r="14994" spans="9:19" x14ac:dyDescent="0.25">
      <c r="I14994" s="1"/>
      <c r="J14994" s="71"/>
      <c r="M14994" s="46"/>
      <c r="R14994" s="51"/>
      <c r="S14994" s="51"/>
    </row>
    <row r="14995" spans="9:19" x14ac:dyDescent="0.25">
      <c r="I14995" s="1"/>
      <c r="J14995" s="71"/>
      <c r="M14995" s="46"/>
      <c r="R14995" s="51"/>
      <c r="S14995" s="51"/>
    </row>
    <row r="14996" spans="9:19" x14ac:dyDescent="0.25">
      <c r="I14996" s="1"/>
      <c r="J14996" s="71"/>
      <c r="M14996" s="46"/>
      <c r="R14996" s="51"/>
      <c r="S14996" s="51"/>
    </row>
    <row r="14997" spans="9:19" x14ac:dyDescent="0.25">
      <c r="I14997" s="1"/>
      <c r="J14997" s="71"/>
      <c r="M14997" s="46"/>
      <c r="R14997" s="51"/>
      <c r="S14997" s="51"/>
    </row>
    <row r="14998" spans="9:19" x14ac:dyDescent="0.25">
      <c r="I14998" s="1"/>
      <c r="J14998" s="71"/>
      <c r="M14998" s="46"/>
      <c r="R14998" s="51"/>
      <c r="S14998" s="51"/>
    </row>
    <row r="14999" spans="9:19" x14ac:dyDescent="0.25">
      <c r="I14999" s="1"/>
      <c r="J14999" s="71"/>
      <c r="M14999" s="46"/>
      <c r="R14999" s="51"/>
      <c r="S14999" s="51"/>
    </row>
    <row r="15000" spans="9:19" x14ac:dyDescent="0.25">
      <c r="I15000" s="1"/>
      <c r="J15000" s="71"/>
      <c r="M15000" s="46"/>
      <c r="R15000" s="51"/>
      <c r="S15000" s="51"/>
    </row>
    <row r="15001" spans="9:19" x14ac:dyDescent="0.25">
      <c r="I15001" s="1"/>
      <c r="J15001" s="71"/>
      <c r="M15001" s="46"/>
      <c r="R15001" s="51"/>
      <c r="S15001" s="51"/>
    </row>
    <row r="15002" spans="9:19" x14ac:dyDescent="0.25">
      <c r="I15002" s="1"/>
      <c r="J15002" s="71"/>
      <c r="M15002" s="46"/>
      <c r="R15002" s="51"/>
      <c r="S15002" s="51"/>
    </row>
    <row r="15003" spans="9:19" x14ac:dyDescent="0.25">
      <c r="I15003" s="1"/>
      <c r="J15003" s="71"/>
      <c r="M15003" s="46"/>
      <c r="R15003" s="51"/>
      <c r="S15003" s="51"/>
    </row>
    <row r="15004" spans="9:19" x14ac:dyDescent="0.25">
      <c r="I15004" s="1"/>
      <c r="J15004" s="71"/>
      <c r="M15004" s="46"/>
      <c r="R15004" s="51"/>
      <c r="S15004" s="51"/>
    </row>
    <row r="15005" spans="9:19" x14ac:dyDescent="0.25">
      <c r="I15005" s="1"/>
      <c r="J15005" s="71"/>
      <c r="M15005" s="46"/>
      <c r="R15005" s="51"/>
      <c r="S15005" s="51"/>
    </row>
    <row r="15006" spans="9:19" x14ac:dyDescent="0.25">
      <c r="I15006" s="1"/>
      <c r="J15006" s="71"/>
      <c r="M15006" s="46"/>
      <c r="R15006" s="51"/>
      <c r="S15006" s="51"/>
    </row>
    <row r="15007" spans="9:19" x14ac:dyDescent="0.25">
      <c r="I15007" s="1"/>
      <c r="J15007" s="71"/>
      <c r="M15007" s="46"/>
      <c r="R15007" s="51"/>
      <c r="S15007" s="51"/>
    </row>
    <row r="15008" spans="9:19" x14ac:dyDescent="0.25">
      <c r="I15008" s="1"/>
      <c r="J15008" s="71"/>
      <c r="M15008" s="46"/>
      <c r="R15008" s="51"/>
      <c r="S15008" s="51"/>
    </row>
    <row r="15009" spans="9:19" x14ac:dyDescent="0.25">
      <c r="I15009" s="1"/>
      <c r="J15009" s="71"/>
      <c r="M15009" s="46"/>
      <c r="R15009" s="51"/>
      <c r="S15009" s="51"/>
    </row>
    <row r="15010" spans="9:19" x14ac:dyDescent="0.25">
      <c r="I15010" s="1"/>
      <c r="J15010" s="71"/>
      <c r="M15010" s="46"/>
      <c r="R15010" s="51"/>
      <c r="S15010" s="51"/>
    </row>
    <row r="15011" spans="9:19" x14ac:dyDescent="0.25">
      <c r="I15011" s="1"/>
      <c r="J15011" s="71"/>
      <c r="M15011" s="46"/>
      <c r="R15011" s="51"/>
      <c r="S15011" s="51"/>
    </row>
    <row r="15012" spans="9:19" x14ac:dyDescent="0.25">
      <c r="I15012" s="1"/>
      <c r="J15012" s="71"/>
      <c r="M15012" s="46"/>
      <c r="R15012" s="51"/>
      <c r="S15012" s="51"/>
    </row>
    <row r="15013" spans="9:19" x14ac:dyDescent="0.25">
      <c r="I15013" s="1"/>
      <c r="J15013" s="71"/>
      <c r="M15013" s="46"/>
      <c r="R15013" s="51"/>
      <c r="S15013" s="51"/>
    </row>
    <row r="15014" spans="9:19" x14ac:dyDescent="0.25">
      <c r="I15014" s="1"/>
      <c r="J15014" s="71"/>
      <c r="M15014" s="46"/>
      <c r="R15014" s="51"/>
      <c r="S15014" s="51"/>
    </row>
    <row r="15015" spans="9:19" x14ac:dyDescent="0.25">
      <c r="I15015" s="1"/>
      <c r="J15015" s="71"/>
      <c r="M15015" s="46"/>
      <c r="R15015" s="51"/>
      <c r="S15015" s="51"/>
    </row>
    <row r="15016" spans="9:19" x14ac:dyDescent="0.25">
      <c r="I15016" s="1"/>
      <c r="J15016" s="71"/>
      <c r="M15016" s="46"/>
      <c r="R15016" s="51"/>
      <c r="S15016" s="51"/>
    </row>
    <row r="15017" spans="9:19" x14ac:dyDescent="0.25">
      <c r="I15017" s="1"/>
      <c r="J15017" s="71"/>
      <c r="M15017" s="46"/>
      <c r="R15017" s="51"/>
      <c r="S15017" s="51"/>
    </row>
    <row r="15018" spans="9:19" x14ac:dyDescent="0.25">
      <c r="I15018" s="1"/>
      <c r="J15018" s="71"/>
      <c r="M15018" s="46"/>
      <c r="R15018" s="51"/>
      <c r="S15018" s="51"/>
    </row>
    <row r="15019" spans="9:19" x14ac:dyDescent="0.25">
      <c r="I15019" s="1"/>
      <c r="J15019" s="71"/>
      <c r="M15019" s="46"/>
      <c r="R15019" s="51"/>
      <c r="S15019" s="51"/>
    </row>
    <row r="15020" spans="9:19" x14ac:dyDescent="0.25">
      <c r="I15020" s="1"/>
      <c r="J15020" s="71"/>
      <c r="M15020" s="46"/>
      <c r="R15020" s="51"/>
      <c r="S15020" s="51"/>
    </row>
    <row r="15021" spans="9:19" x14ac:dyDescent="0.25">
      <c r="I15021" s="1"/>
      <c r="J15021" s="71"/>
      <c r="M15021" s="46"/>
      <c r="R15021" s="51"/>
      <c r="S15021" s="51"/>
    </row>
    <row r="15022" spans="9:19" x14ac:dyDescent="0.25">
      <c r="I15022" s="1"/>
      <c r="J15022" s="71"/>
      <c r="M15022" s="46"/>
      <c r="R15022" s="51"/>
      <c r="S15022" s="51"/>
    </row>
    <row r="15023" spans="9:19" x14ac:dyDescent="0.25">
      <c r="I15023" s="1"/>
      <c r="J15023" s="71"/>
      <c r="M15023" s="46"/>
      <c r="R15023" s="51"/>
      <c r="S15023" s="51"/>
    </row>
    <row r="15024" spans="9:19" x14ac:dyDescent="0.25">
      <c r="I15024" s="1"/>
      <c r="J15024" s="71"/>
      <c r="M15024" s="46"/>
      <c r="R15024" s="51"/>
      <c r="S15024" s="51"/>
    </row>
    <row r="15025" spans="9:19" x14ac:dyDescent="0.25">
      <c r="I15025" s="1"/>
      <c r="J15025" s="71"/>
      <c r="M15025" s="46"/>
      <c r="R15025" s="51"/>
      <c r="S15025" s="51"/>
    </row>
    <row r="15026" spans="9:19" x14ac:dyDescent="0.25">
      <c r="I15026" s="1"/>
      <c r="J15026" s="71"/>
      <c r="M15026" s="46"/>
      <c r="R15026" s="51"/>
      <c r="S15026" s="51"/>
    </row>
    <row r="15027" spans="9:19" x14ac:dyDescent="0.25">
      <c r="I15027" s="1"/>
      <c r="J15027" s="71"/>
      <c r="M15027" s="46"/>
      <c r="R15027" s="51"/>
      <c r="S15027" s="51"/>
    </row>
    <row r="15028" spans="9:19" x14ac:dyDescent="0.25">
      <c r="I15028" s="1"/>
      <c r="J15028" s="71"/>
      <c r="M15028" s="46"/>
      <c r="R15028" s="51"/>
      <c r="S15028" s="51"/>
    </row>
    <row r="15029" spans="9:19" x14ac:dyDescent="0.25">
      <c r="I15029" s="1"/>
      <c r="J15029" s="71"/>
      <c r="M15029" s="46"/>
      <c r="R15029" s="51"/>
      <c r="S15029" s="51"/>
    </row>
    <row r="15030" spans="9:19" x14ac:dyDescent="0.25">
      <c r="I15030" s="1"/>
      <c r="J15030" s="71"/>
      <c r="M15030" s="46"/>
      <c r="R15030" s="51"/>
      <c r="S15030" s="51"/>
    </row>
    <row r="15031" spans="9:19" x14ac:dyDescent="0.25">
      <c r="I15031" s="1"/>
      <c r="J15031" s="71"/>
      <c r="M15031" s="46"/>
      <c r="R15031" s="51"/>
      <c r="S15031" s="51"/>
    </row>
    <row r="15032" spans="9:19" x14ac:dyDescent="0.25">
      <c r="I15032" s="1"/>
      <c r="J15032" s="71"/>
      <c r="M15032" s="46"/>
      <c r="R15032" s="51"/>
      <c r="S15032" s="51"/>
    </row>
    <row r="15033" spans="9:19" x14ac:dyDescent="0.25">
      <c r="I15033" s="1"/>
      <c r="J15033" s="71"/>
      <c r="M15033" s="46"/>
      <c r="R15033" s="51"/>
      <c r="S15033" s="51"/>
    </row>
    <row r="15034" spans="9:19" x14ac:dyDescent="0.25">
      <c r="I15034" s="1"/>
      <c r="J15034" s="71"/>
      <c r="M15034" s="46"/>
      <c r="R15034" s="51"/>
      <c r="S15034" s="51"/>
    </row>
    <row r="15035" spans="9:19" x14ac:dyDescent="0.25">
      <c r="I15035" s="1"/>
      <c r="J15035" s="71"/>
      <c r="M15035" s="46"/>
      <c r="R15035" s="51"/>
      <c r="S15035" s="51"/>
    </row>
    <row r="15036" spans="9:19" x14ac:dyDescent="0.25">
      <c r="I15036" s="1"/>
      <c r="J15036" s="71"/>
      <c r="M15036" s="46"/>
      <c r="R15036" s="51"/>
      <c r="S15036" s="51"/>
    </row>
    <row r="15037" spans="9:19" x14ac:dyDescent="0.25">
      <c r="I15037" s="1"/>
      <c r="J15037" s="71"/>
      <c r="M15037" s="46"/>
      <c r="R15037" s="51"/>
      <c r="S15037" s="51"/>
    </row>
    <row r="15038" spans="9:19" x14ac:dyDescent="0.25">
      <c r="I15038" s="1"/>
      <c r="J15038" s="71"/>
      <c r="M15038" s="46"/>
      <c r="R15038" s="51"/>
      <c r="S15038" s="51"/>
    </row>
    <row r="15039" spans="9:19" x14ac:dyDescent="0.25">
      <c r="I15039" s="1"/>
      <c r="J15039" s="71"/>
      <c r="M15039" s="46"/>
      <c r="R15039" s="51"/>
      <c r="S15039" s="51"/>
    </row>
    <row r="15040" spans="9:19" x14ac:dyDescent="0.25">
      <c r="I15040" s="1"/>
      <c r="J15040" s="71"/>
      <c r="M15040" s="46"/>
      <c r="R15040" s="51"/>
      <c r="S15040" s="51"/>
    </row>
    <row r="15041" spans="9:19" x14ac:dyDescent="0.25">
      <c r="I15041" s="1"/>
      <c r="J15041" s="71"/>
      <c r="M15041" s="46"/>
      <c r="R15041" s="51"/>
      <c r="S15041" s="51"/>
    </row>
    <row r="15042" spans="9:19" x14ac:dyDescent="0.25">
      <c r="I15042" s="1"/>
      <c r="J15042" s="71"/>
      <c r="M15042" s="46"/>
      <c r="R15042" s="51"/>
      <c r="S15042" s="51"/>
    </row>
    <row r="15043" spans="9:19" x14ac:dyDescent="0.25">
      <c r="I15043" s="1"/>
      <c r="J15043" s="71"/>
      <c r="M15043" s="46"/>
      <c r="R15043" s="51"/>
      <c r="S15043" s="51"/>
    </row>
    <row r="15044" spans="9:19" x14ac:dyDescent="0.25">
      <c r="I15044" s="1"/>
      <c r="J15044" s="71"/>
      <c r="M15044" s="46"/>
      <c r="R15044" s="51"/>
      <c r="S15044" s="51"/>
    </row>
    <row r="15045" spans="9:19" x14ac:dyDescent="0.25">
      <c r="I15045" s="1"/>
      <c r="J15045" s="71"/>
      <c r="M15045" s="46"/>
      <c r="R15045" s="51"/>
      <c r="S15045" s="51"/>
    </row>
    <row r="15046" spans="9:19" x14ac:dyDescent="0.25">
      <c r="I15046" s="1"/>
      <c r="J15046" s="71"/>
      <c r="M15046" s="46"/>
      <c r="R15046" s="51"/>
      <c r="S15046" s="51"/>
    </row>
    <row r="15047" spans="9:19" x14ac:dyDescent="0.25">
      <c r="I15047" s="1"/>
      <c r="J15047" s="71"/>
      <c r="M15047" s="46"/>
      <c r="R15047" s="51"/>
      <c r="S15047" s="51"/>
    </row>
    <row r="15048" spans="9:19" x14ac:dyDescent="0.25">
      <c r="I15048" s="1"/>
      <c r="J15048" s="71"/>
      <c r="M15048" s="46"/>
      <c r="R15048" s="51"/>
      <c r="S15048" s="51"/>
    </row>
    <row r="15049" spans="9:19" x14ac:dyDescent="0.25">
      <c r="I15049" s="1"/>
      <c r="J15049" s="71"/>
      <c r="M15049" s="46"/>
      <c r="R15049" s="51"/>
      <c r="S15049" s="51"/>
    </row>
    <row r="15050" spans="9:19" x14ac:dyDescent="0.25">
      <c r="I15050" s="1"/>
      <c r="J15050" s="71"/>
      <c r="M15050" s="46"/>
      <c r="R15050" s="51"/>
      <c r="S15050" s="51"/>
    </row>
    <row r="15051" spans="9:19" x14ac:dyDescent="0.25">
      <c r="I15051" s="1"/>
      <c r="J15051" s="71"/>
      <c r="M15051" s="46"/>
      <c r="R15051" s="51"/>
      <c r="S15051" s="51"/>
    </row>
    <row r="15052" spans="9:19" x14ac:dyDescent="0.25">
      <c r="I15052" s="1"/>
      <c r="J15052" s="71"/>
      <c r="M15052" s="46"/>
      <c r="R15052" s="51"/>
      <c r="S15052" s="51"/>
    </row>
    <row r="15053" spans="9:19" x14ac:dyDescent="0.25">
      <c r="I15053" s="1"/>
      <c r="J15053" s="71"/>
      <c r="M15053" s="46"/>
      <c r="R15053" s="51"/>
      <c r="S15053" s="51"/>
    </row>
    <row r="15054" spans="9:19" x14ac:dyDescent="0.25">
      <c r="I15054" s="1"/>
      <c r="J15054" s="71"/>
      <c r="M15054" s="46"/>
      <c r="R15054" s="51"/>
      <c r="S15054" s="51"/>
    </row>
    <row r="15055" spans="9:19" x14ac:dyDescent="0.25">
      <c r="I15055" s="1"/>
      <c r="J15055" s="71"/>
      <c r="M15055" s="46"/>
      <c r="R15055" s="51"/>
      <c r="S15055" s="51"/>
    </row>
    <row r="15056" spans="9:19" x14ac:dyDescent="0.25">
      <c r="I15056" s="1"/>
      <c r="J15056" s="71"/>
      <c r="M15056" s="46"/>
      <c r="R15056" s="51"/>
      <c r="S15056" s="51"/>
    </row>
    <row r="15057" spans="9:19" x14ac:dyDescent="0.25">
      <c r="I15057" s="1"/>
      <c r="J15057" s="71"/>
      <c r="M15057" s="46"/>
      <c r="R15057" s="51"/>
      <c r="S15057" s="51"/>
    </row>
    <row r="15058" spans="9:19" x14ac:dyDescent="0.25">
      <c r="I15058" s="1"/>
      <c r="J15058" s="71"/>
      <c r="M15058" s="46"/>
      <c r="R15058" s="51"/>
      <c r="S15058" s="51"/>
    </row>
    <row r="15059" spans="9:19" x14ac:dyDescent="0.25">
      <c r="I15059" s="1"/>
      <c r="J15059" s="71"/>
      <c r="M15059" s="46"/>
      <c r="R15059" s="51"/>
      <c r="S15059" s="51"/>
    </row>
    <row r="15060" spans="9:19" x14ac:dyDescent="0.25">
      <c r="I15060" s="1"/>
      <c r="J15060" s="71"/>
      <c r="M15060" s="46"/>
      <c r="R15060" s="51"/>
      <c r="S15060" s="51"/>
    </row>
    <row r="15061" spans="9:19" x14ac:dyDescent="0.25">
      <c r="I15061" s="1"/>
      <c r="J15061" s="71"/>
      <c r="M15061" s="46"/>
      <c r="R15061" s="51"/>
      <c r="S15061" s="51"/>
    </row>
    <row r="15062" spans="9:19" x14ac:dyDescent="0.25">
      <c r="I15062" s="1"/>
      <c r="J15062" s="71"/>
      <c r="M15062" s="46"/>
      <c r="R15062" s="51"/>
      <c r="S15062" s="51"/>
    </row>
    <row r="15063" spans="9:19" x14ac:dyDescent="0.25">
      <c r="I15063" s="1"/>
      <c r="J15063" s="71"/>
      <c r="M15063" s="46"/>
      <c r="R15063" s="51"/>
      <c r="S15063" s="51"/>
    </row>
    <row r="15064" spans="9:19" x14ac:dyDescent="0.25">
      <c r="I15064" s="1"/>
      <c r="J15064" s="71"/>
      <c r="M15064" s="46"/>
      <c r="R15064" s="51"/>
      <c r="S15064" s="51"/>
    </row>
    <row r="15065" spans="9:19" x14ac:dyDescent="0.25">
      <c r="I15065" s="1"/>
      <c r="J15065" s="71"/>
      <c r="M15065" s="46"/>
      <c r="R15065" s="51"/>
      <c r="S15065" s="51"/>
    </row>
    <row r="15066" spans="9:19" x14ac:dyDescent="0.25">
      <c r="I15066" s="1"/>
      <c r="J15066" s="71"/>
      <c r="M15066" s="46"/>
      <c r="R15066" s="51"/>
      <c r="S15066" s="51"/>
    </row>
    <row r="15067" spans="9:19" x14ac:dyDescent="0.25">
      <c r="I15067" s="1"/>
      <c r="J15067" s="71"/>
      <c r="M15067" s="46"/>
      <c r="R15067" s="51"/>
      <c r="S15067" s="51"/>
    </row>
    <row r="15068" spans="9:19" x14ac:dyDescent="0.25">
      <c r="I15068" s="1"/>
      <c r="J15068" s="71"/>
      <c r="M15068" s="46"/>
      <c r="R15068" s="51"/>
      <c r="S15068" s="51"/>
    </row>
    <row r="15069" spans="9:19" x14ac:dyDescent="0.25">
      <c r="I15069" s="1"/>
      <c r="J15069" s="71"/>
      <c r="M15069" s="46"/>
      <c r="R15069" s="51"/>
      <c r="S15069" s="51"/>
    </row>
    <row r="15070" spans="9:19" x14ac:dyDescent="0.25">
      <c r="I15070" s="1"/>
      <c r="J15070" s="71"/>
      <c r="M15070" s="46"/>
      <c r="R15070" s="51"/>
      <c r="S15070" s="51"/>
    </row>
    <row r="15071" spans="9:19" x14ac:dyDescent="0.25">
      <c r="I15071" s="1"/>
      <c r="J15071" s="71"/>
      <c r="M15071" s="46"/>
      <c r="R15071" s="51"/>
      <c r="S15071" s="51"/>
    </row>
    <row r="15072" spans="9:19" x14ac:dyDescent="0.25">
      <c r="I15072" s="1"/>
      <c r="J15072" s="71"/>
      <c r="M15072" s="46"/>
      <c r="R15072" s="51"/>
      <c r="S15072" s="51"/>
    </row>
    <row r="15073" spans="9:19" x14ac:dyDescent="0.25">
      <c r="I15073" s="1"/>
      <c r="J15073" s="71"/>
      <c r="M15073" s="46"/>
      <c r="R15073" s="51"/>
      <c r="S15073" s="51"/>
    </row>
    <row r="15074" spans="9:19" x14ac:dyDescent="0.25">
      <c r="I15074" s="1"/>
      <c r="J15074" s="71"/>
      <c r="M15074" s="46"/>
      <c r="R15074" s="51"/>
      <c r="S15074" s="51"/>
    </row>
    <row r="15075" spans="9:19" x14ac:dyDescent="0.25">
      <c r="I15075" s="1"/>
      <c r="J15075" s="71"/>
      <c r="M15075" s="46"/>
      <c r="R15075" s="51"/>
      <c r="S15075" s="51"/>
    </row>
    <row r="15076" spans="9:19" x14ac:dyDescent="0.25">
      <c r="I15076" s="1"/>
      <c r="J15076" s="71"/>
      <c r="M15076" s="46"/>
      <c r="R15076" s="51"/>
      <c r="S15076" s="51"/>
    </row>
    <row r="15077" spans="9:19" x14ac:dyDescent="0.25">
      <c r="I15077" s="1"/>
      <c r="J15077" s="71"/>
      <c r="M15077" s="46"/>
      <c r="R15077" s="51"/>
      <c r="S15077" s="51"/>
    </row>
    <row r="15078" spans="9:19" x14ac:dyDescent="0.25">
      <c r="I15078" s="1"/>
      <c r="J15078" s="71"/>
      <c r="M15078" s="46"/>
      <c r="R15078" s="51"/>
      <c r="S15078" s="51"/>
    </row>
    <row r="15079" spans="9:19" x14ac:dyDescent="0.25">
      <c r="I15079" s="1"/>
      <c r="J15079" s="71"/>
      <c r="M15079" s="46"/>
      <c r="R15079" s="51"/>
      <c r="S15079" s="51"/>
    </row>
    <row r="15080" spans="9:19" x14ac:dyDescent="0.25">
      <c r="I15080" s="1"/>
      <c r="J15080" s="71"/>
      <c r="M15080" s="46"/>
      <c r="R15080" s="51"/>
      <c r="S15080" s="51"/>
    </row>
    <row r="15081" spans="9:19" x14ac:dyDescent="0.25">
      <c r="I15081" s="1"/>
      <c r="J15081" s="71"/>
      <c r="M15081" s="46"/>
      <c r="R15081" s="51"/>
      <c r="S15081" s="51"/>
    </row>
    <row r="15082" spans="9:19" x14ac:dyDescent="0.25">
      <c r="I15082" s="1"/>
      <c r="J15082" s="71"/>
      <c r="M15082" s="46"/>
      <c r="R15082" s="51"/>
      <c r="S15082" s="51"/>
    </row>
    <row r="15083" spans="9:19" x14ac:dyDescent="0.25">
      <c r="I15083" s="1"/>
      <c r="J15083" s="71"/>
      <c r="M15083" s="46"/>
      <c r="R15083" s="51"/>
      <c r="S15083" s="51"/>
    </row>
    <row r="15084" spans="9:19" x14ac:dyDescent="0.25">
      <c r="I15084" s="1"/>
      <c r="J15084" s="71"/>
      <c r="M15084" s="46"/>
      <c r="R15084" s="51"/>
      <c r="S15084" s="51"/>
    </row>
    <row r="15085" spans="9:19" x14ac:dyDescent="0.25">
      <c r="I15085" s="1"/>
      <c r="J15085" s="71"/>
      <c r="M15085" s="46"/>
      <c r="R15085" s="51"/>
      <c r="S15085" s="51"/>
    </row>
    <row r="15086" spans="9:19" x14ac:dyDescent="0.25">
      <c r="I15086" s="1"/>
      <c r="J15086" s="71"/>
      <c r="M15086" s="46"/>
      <c r="R15086" s="51"/>
      <c r="S15086" s="51"/>
    </row>
    <row r="15087" spans="9:19" x14ac:dyDescent="0.25">
      <c r="I15087" s="1"/>
      <c r="J15087" s="71"/>
      <c r="M15087" s="46"/>
      <c r="R15087" s="51"/>
      <c r="S15087" s="51"/>
    </row>
    <row r="15088" spans="9:19" x14ac:dyDescent="0.25">
      <c r="I15088" s="1"/>
      <c r="J15088" s="71"/>
      <c r="M15088" s="46"/>
      <c r="R15088" s="51"/>
      <c r="S15088" s="51"/>
    </row>
    <row r="15089" spans="9:19" x14ac:dyDescent="0.25">
      <c r="I15089" s="1"/>
      <c r="J15089" s="71"/>
      <c r="M15089" s="46"/>
      <c r="R15089" s="51"/>
      <c r="S15089" s="51"/>
    </row>
    <row r="15090" spans="9:19" x14ac:dyDescent="0.25">
      <c r="I15090" s="1"/>
      <c r="J15090" s="71"/>
      <c r="M15090" s="46"/>
      <c r="R15090" s="51"/>
      <c r="S15090" s="51"/>
    </row>
    <row r="15091" spans="9:19" x14ac:dyDescent="0.25">
      <c r="I15091" s="1"/>
      <c r="J15091" s="71"/>
      <c r="M15091" s="46"/>
      <c r="R15091" s="51"/>
      <c r="S15091" s="51"/>
    </row>
    <row r="15092" spans="9:19" x14ac:dyDescent="0.25">
      <c r="I15092" s="1"/>
      <c r="J15092" s="71"/>
      <c r="M15092" s="46"/>
      <c r="R15092" s="51"/>
      <c r="S15092" s="51"/>
    </row>
    <row r="15093" spans="9:19" x14ac:dyDescent="0.25">
      <c r="I15093" s="1"/>
      <c r="J15093" s="71"/>
      <c r="M15093" s="46"/>
      <c r="R15093" s="51"/>
      <c r="S15093" s="51"/>
    </row>
    <row r="15094" spans="9:19" x14ac:dyDescent="0.25">
      <c r="I15094" s="1"/>
      <c r="J15094" s="71"/>
      <c r="M15094" s="46"/>
      <c r="R15094" s="51"/>
      <c r="S15094" s="51"/>
    </row>
    <row r="15095" spans="9:19" x14ac:dyDescent="0.25">
      <c r="I15095" s="1"/>
      <c r="J15095" s="71"/>
      <c r="M15095" s="46"/>
      <c r="R15095" s="51"/>
      <c r="S15095" s="51"/>
    </row>
    <row r="15096" spans="9:19" x14ac:dyDescent="0.25">
      <c r="I15096" s="1"/>
      <c r="J15096" s="71"/>
      <c r="M15096" s="46"/>
      <c r="R15096" s="51"/>
      <c r="S15096" s="51"/>
    </row>
    <row r="15097" spans="9:19" x14ac:dyDescent="0.25">
      <c r="I15097" s="1"/>
      <c r="J15097" s="71"/>
      <c r="M15097" s="46"/>
      <c r="R15097" s="51"/>
      <c r="S15097" s="51"/>
    </row>
    <row r="15098" spans="9:19" x14ac:dyDescent="0.25">
      <c r="I15098" s="1"/>
      <c r="J15098" s="71"/>
      <c r="M15098" s="46"/>
      <c r="R15098" s="51"/>
      <c r="S15098" s="51"/>
    </row>
    <row r="15099" spans="9:19" x14ac:dyDescent="0.25">
      <c r="I15099" s="1"/>
      <c r="J15099" s="71"/>
      <c r="M15099" s="46"/>
      <c r="R15099" s="51"/>
      <c r="S15099" s="51"/>
    </row>
    <row r="15100" spans="9:19" x14ac:dyDescent="0.25">
      <c r="I15100" s="1"/>
      <c r="J15100" s="71"/>
      <c r="M15100" s="46"/>
      <c r="R15100" s="51"/>
      <c r="S15100" s="51"/>
    </row>
    <row r="15101" spans="9:19" x14ac:dyDescent="0.25">
      <c r="I15101" s="1"/>
      <c r="J15101" s="71"/>
      <c r="M15101" s="46"/>
      <c r="R15101" s="51"/>
      <c r="S15101" s="51"/>
    </row>
    <row r="15102" spans="9:19" x14ac:dyDescent="0.25">
      <c r="I15102" s="1"/>
      <c r="J15102" s="71"/>
      <c r="M15102" s="46"/>
      <c r="R15102" s="51"/>
      <c r="S15102" s="51"/>
    </row>
    <row r="15103" spans="9:19" x14ac:dyDescent="0.25">
      <c r="I15103" s="1"/>
      <c r="J15103" s="71"/>
      <c r="M15103" s="46"/>
      <c r="R15103" s="51"/>
      <c r="S15103" s="51"/>
    </row>
    <row r="15104" spans="9:19" x14ac:dyDescent="0.25">
      <c r="I15104" s="1"/>
      <c r="J15104" s="71"/>
      <c r="M15104" s="46"/>
      <c r="R15104" s="51"/>
      <c r="S15104" s="51"/>
    </row>
    <row r="15105" spans="9:19" x14ac:dyDescent="0.25">
      <c r="I15105" s="1"/>
      <c r="J15105" s="71"/>
      <c r="M15105" s="46"/>
      <c r="R15105" s="51"/>
      <c r="S15105" s="51"/>
    </row>
    <row r="15106" spans="9:19" x14ac:dyDescent="0.25">
      <c r="I15106" s="1"/>
      <c r="J15106" s="71"/>
      <c r="M15106" s="46"/>
      <c r="R15106" s="51"/>
      <c r="S15106" s="51"/>
    </row>
    <row r="15107" spans="9:19" x14ac:dyDescent="0.25">
      <c r="I15107" s="1"/>
      <c r="J15107" s="71"/>
      <c r="M15107" s="46"/>
      <c r="R15107" s="51"/>
      <c r="S15107" s="51"/>
    </row>
    <row r="15108" spans="9:19" x14ac:dyDescent="0.25">
      <c r="I15108" s="1"/>
      <c r="J15108" s="71"/>
      <c r="M15108" s="46"/>
      <c r="R15108" s="51"/>
      <c r="S15108" s="51"/>
    </row>
    <row r="15109" spans="9:19" x14ac:dyDescent="0.25">
      <c r="I15109" s="1"/>
      <c r="J15109" s="71"/>
      <c r="M15109" s="46"/>
      <c r="R15109" s="51"/>
      <c r="S15109" s="51"/>
    </row>
    <row r="15110" spans="9:19" x14ac:dyDescent="0.25">
      <c r="I15110" s="1"/>
      <c r="J15110" s="71"/>
      <c r="M15110" s="46"/>
      <c r="R15110" s="51"/>
      <c r="S15110" s="51"/>
    </row>
    <row r="15111" spans="9:19" x14ac:dyDescent="0.25">
      <c r="I15111" s="1"/>
      <c r="J15111" s="71"/>
      <c r="M15111" s="46"/>
      <c r="R15111" s="51"/>
      <c r="S15111" s="51"/>
    </row>
    <row r="15112" spans="9:19" x14ac:dyDescent="0.25">
      <c r="I15112" s="1"/>
      <c r="J15112" s="71"/>
      <c r="M15112" s="46"/>
      <c r="R15112" s="51"/>
      <c r="S15112" s="51"/>
    </row>
    <row r="15113" spans="9:19" x14ac:dyDescent="0.25">
      <c r="I15113" s="1"/>
      <c r="J15113" s="71"/>
      <c r="M15113" s="46"/>
      <c r="R15113" s="51"/>
      <c r="S15113" s="51"/>
    </row>
    <row r="15114" spans="9:19" x14ac:dyDescent="0.25">
      <c r="I15114" s="1"/>
      <c r="J15114" s="71"/>
      <c r="M15114" s="46"/>
      <c r="R15114" s="51"/>
      <c r="S15114" s="51"/>
    </row>
    <row r="15115" spans="9:19" x14ac:dyDescent="0.25">
      <c r="I15115" s="1"/>
      <c r="J15115" s="71"/>
      <c r="M15115" s="46"/>
      <c r="R15115" s="51"/>
      <c r="S15115" s="51"/>
    </row>
    <row r="15116" spans="9:19" x14ac:dyDescent="0.25">
      <c r="I15116" s="1"/>
      <c r="J15116" s="71"/>
      <c r="M15116" s="46"/>
      <c r="R15116" s="51"/>
      <c r="S15116" s="51"/>
    </row>
    <row r="15117" spans="9:19" x14ac:dyDescent="0.25">
      <c r="I15117" s="1"/>
      <c r="J15117" s="71"/>
      <c r="M15117" s="46"/>
      <c r="R15117" s="51"/>
      <c r="S15117" s="51"/>
    </row>
    <row r="15118" spans="9:19" x14ac:dyDescent="0.25">
      <c r="I15118" s="1"/>
      <c r="J15118" s="71"/>
      <c r="M15118" s="46"/>
      <c r="R15118" s="51"/>
      <c r="S15118" s="51"/>
    </row>
    <row r="15119" spans="9:19" x14ac:dyDescent="0.25">
      <c r="I15119" s="1"/>
      <c r="J15119" s="71"/>
      <c r="M15119" s="46"/>
      <c r="R15119" s="51"/>
      <c r="S15119" s="51"/>
    </row>
    <row r="15120" spans="9:19" x14ac:dyDescent="0.25">
      <c r="I15120" s="1"/>
      <c r="J15120" s="71"/>
      <c r="M15120" s="46"/>
      <c r="R15120" s="51"/>
      <c r="S15120" s="51"/>
    </row>
    <row r="15121" spans="9:19" x14ac:dyDescent="0.25">
      <c r="I15121" s="1"/>
      <c r="J15121" s="71"/>
      <c r="M15121" s="46"/>
      <c r="R15121" s="51"/>
      <c r="S15121" s="51"/>
    </row>
    <row r="15122" spans="9:19" x14ac:dyDescent="0.25">
      <c r="I15122" s="1"/>
      <c r="J15122" s="71"/>
      <c r="M15122" s="46"/>
      <c r="R15122" s="51"/>
      <c r="S15122" s="51"/>
    </row>
    <row r="15123" spans="9:19" x14ac:dyDescent="0.25">
      <c r="I15123" s="1"/>
      <c r="J15123" s="71"/>
      <c r="M15123" s="46"/>
      <c r="R15123" s="51"/>
      <c r="S15123" s="51"/>
    </row>
    <row r="15124" spans="9:19" x14ac:dyDescent="0.25">
      <c r="I15124" s="1"/>
      <c r="J15124" s="71"/>
      <c r="M15124" s="46"/>
      <c r="R15124" s="51"/>
      <c r="S15124" s="51"/>
    </row>
    <row r="15125" spans="9:19" x14ac:dyDescent="0.25">
      <c r="I15125" s="1"/>
      <c r="J15125" s="71"/>
      <c r="M15125" s="46"/>
      <c r="R15125" s="51"/>
      <c r="S15125" s="51"/>
    </row>
    <row r="15126" spans="9:19" x14ac:dyDescent="0.25">
      <c r="I15126" s="1"/>
      <c r="J15126" s="71"/>
      <c r="M15126" s="46"/>
      <c r="R15126" s="51"/>
      <c r="S15126" s="51"/>
    </row>
    <row r="15127" spans="9:19" x14ac:dyDescent="0.25">
      <c r="I15127" s="1"/>
      <c r="J15127" s="71"/>
      <c r="M15127" s="46"/>
      <c r="R15127" s="51"/>
      <c r="S15127" s="51"/>
    </row>
    <row r="15128" spans="9:19" x14ac:dyDescent="0.25">
      <c r="I15128" s="1"/>
      <c r="J15128" s="71"/>
      <c r="M15128" s="46"/>
      <c r="R15128" s="51"/>
      <c r="S15128" s="51"/>
    </row>
    <row r="15129" spans="9:19" x14ac:dyDescent="0.25">
      <c r="I15129" s="1"/>
      <c r="J15129" s="71"/>
      <c r="M15129" s="46"/>
      <c r="R15129" s="51"/>
      <c r="S15129" s="51"/>
    </row>
    <row r="15130" spans="9:19" x14ac:dyDescent="0.25">
      <c r="I15130" s="1"/>
      <c r="J15130" s="71"/>
      <c r="M15130" s="46"/>
      <c r="R15130" s="51"/>
      <c r="S15130" s="51"/>
    </row>
    <row r="15131" spans="9:19" x14ac:dyDescent="0.25">
      <c r="I15131" s="1"/>
      <c r="J15131" s="71"/>
      <c r="M15131" s="46"/>
      <c r="R15131" s="51"/>
      <c r="S15131" s="51"/>
    </row>
    <row r="15132" spans="9:19" x14ac:dyDescent="0.25">
      <c r="I15132" s="1"/>
      <c r="J15132" s="71"/>
      <c r="M15132" s="46"/>
      <c r="R15132" s="51"/>
      <c r="S15132" s="51"/>
    </row>
    <row r="15133" spans="9:19" x14ac:dyDescent="0.25">
      <c r="I15133" s="1"/>
      <c r="J15133" s="71"/>
      <c r="M15133" s="46"/>
      <c r="R15133" s="51"/>
      <c r="S15133" s="51"/>
    </row>
    <row r="15134" spans="9:19" x14ac:dyDescent="0.25">
      <c r="I15134" s="1"/>
      <c r="J15134" s="71"/>
      <c r="M15134" s="46"/>
      <c r="R15134" s="51"/>
      <c r="S15134" s="51"/>
    </row>
    <row r="15135" spans="9:19" x14ac:dyDescent="0.25">
      <c r="I15135" s="1"/>
      <c r="J15135" s="71"/>
      <c r="M15135" s="46"/>
      <c r="R15135" s="51"/>
      <c r="S15135" s="51"/>
    </row>
    <row r="15136" spans="9:19" x14ac:dyDescent="0.25">
      <c r="I15136" s="1"/>
      <c r="J15136" s="71"/>
      <c r="M15136" s="46"/>
      <c r="R15136" s="51"/>
      <c r="S15136" s="51"/>
    </row>
    <row r="15137" spans="9:19" x14ac:dyDescent="0.25">
      <c r="I15137" s="1"/>
      <c r="J15137" s="71"/>
      <c r="M15137" s="46"/>
      <c r="R15137" s="51"/>
      <c r="S15137" s="51"/>
    </row>
    <row r="15138" spans="9:19" x14ac:dyDescent="0.25">
      <c r="I15138" s="1"/>
      <c r="J15138" s="71"/>
      <c r="M15138" s="46"/>
      <c r="R15138" s="51"/>
      <c r="S15138" s="51"/>
    </row>
    <row r="15139" spans="9:19" x14ac:dyDescent="0.25">
      <c r="I15139" s="1"/>
      <c r="J15139" s="71"/>
      <c r="M15139" s="46"/>
      <c r="R15139" s="51"/>
      <c r="S15139" s="51"/>
    </row>
    <row r="15140" spans="9:19" x14ac:dyDescent="0.25">
      <c r="I15140" s="1"/>
      <c r="J15140" s="71"/>
      <c r="M15140" s="46"/>
      <c r="R15140" s="51"/>
      <c r="S15140" s="51"/>
    </row>
    <row r="15141" spans="9:19" x14ac:dyDescent="0.25">
      <c r="I15141" s="1"/>
      <c r="J15141" s="71"/>
      <c r="M15141" s="46"/>
      <c r="R15141" s="51"/>
      <c r="S15141" s="51"/>
    </row>
    <row r="15142" spans="9:19" x14ac:dyDescent="0.25">
      <c r="I15142" s="1"/>
      <c r="J15142" s="71"/>
      <c r="M15142" s="46"/>
      <c r="R15142" s="51"/>
      <c r="S15142" s="51"/>
    </row>
    <row r="15143" spans="9:19" x14ac:dyDescent="0.25">
      <c r="I15143" s="1"/>
      <c r="J15143" s="71"/>
      <c r="M15143" s="46"/>
      <c r="R15143" s="51"/>
      <c r="S15143" s="51"/>
    </row>
    <row r="15144" spans="9:19" x14ac:dyDescent="0.25">
      <c r="I15144" s="1"/>
      <c r="J15144" s="71"/>
      <c r="M15144" s="46"/>
      <c r="R15144" s="51"/>
      <c r="S15144" s="51"/>
    </row>
    <row r="15145" spans="9:19" x14ac:dyDescent="0.25">
      <c r="I15145" s="1"/>
      <c r="J15145" s="71"/>
      <c r="M15145" s="46"/>
      <c r="R15145" s="51"/>
      <c r="S15145" s="51"/>
    </row>
    <row r="15146" spans="9:19" x14ac:dyDescent="0.25">
      <c r="I15146" s="1"/>
      <c r="J15146" s="71"/>
      <c r="M15146" s="46"/>
      <c r="R15146" s="51"/>
      <c r="S15146" s="51"/>
    </row>
    <row r="15147" spans="9:19" x14ac:dyDescent="0.25">
      <c r="I15147" s="1"/>
      <c r="J15147" s="71"/>
      <c r="M15147" s="46"/>
      <c r="R15147" s="51"/>
      <c r="S15147" s="51"/>
    </row>
    <row r="15148" spans="9:19" x14ac:dyDescent="0.25">
      <c r="I15148" s="1"/>
      <c r="J15148" s="71"/>
      <c r="M15148" s="46"/>
      <c r="R15148" s="51"/>
      <c r="S15148" s="51"/>
    </row>
    <row r="15149" spans="9:19" x14ac:dyDescent="0.25">
      <c r="I15149" s="1"/>
      <c r="J15149" s="71"/>
      <c r="M15149" s="46"/>
      <c r="R15149" s="51"/>
      <c r="S15149" s="51"/>
    </row>
    <row r="15150" spans="9:19" x14ac:dyDescent="0.25">
      <c r="I15150" s="1"/>
      <c r="J15150" s="71"/>
      <c r="M15150" s="46"/>
      <c r="R15150" s="51"/>
      <c r="S15150" s="51"/>
    </row>
    <row r="15151" spans="9:19" x14ac:dyDescent="0.25">
      <c r="I15151" s="1"/>
      <c r="J15151" s="71"/>
      <c r="M15151" s="46"/>
      <c r="R15151" s="51"/>
      <c r="S15151" s="51"/>
    </row>
    <row r="15152" spans="9:19" x14ac:dyDescent="0.25">
      <c r="I15152" s="1"/>
      <c r="J15152" s="71"/>
      <c r="M15152" s="46"/>
      <c r="R15152" s="51"/>
      <c r="S15152" s="51"/>
    </row>
    <row r="15153" spans="9:19" x14ac:dyDescent="0.25">
      <c r="I15153" s="1"/>
      <c r="J15153" s="71"/>
      <c r="M15153" s="46"/>
      <c r="R15153" s="51"/>
      <c r="S15153" s="51"/>
    </row>
    <row r="15154" spans="9:19" x14ac:dyDescent="0.25">
      <c r="I15154" s="1"/>
      <c r="J15154" s="71"/>
      <c r="M15154" s="46"/>
      <c r="R15154" s="51"/>
      <c r="S15154" s="51"/>
    </row>
    <row r="15155" spans="9:19" x14ac:dyDescent="0.25">
      <c r="I15155" s="1"/>
      <c r="J15155" s="71"/>
      <c r="M15155" s="46"/>
      <c r="R15155" s="51"/>
      <c r="S15155" s="51"/>
    </row>
    <row r="15156" spans="9:19" x14ac:dyDescent="0.25">
      <c r="I15156" s="1"/>
      <c r="J15156" s="71"/>
      <c r="M15156" s="46"/>
      <c r="R15156" s="51"/>
      <c r="S15156" s="51"/>
    </row>
    <row r="15157" spans="9:19" x14ac:dyDescent="0.25">
      <c r="I15157" s="1"/>
      <c r="J15157" s="71"/>
      <c r="M15157" s="46"/>
      <c r="R15157" s="51"/>
      <c r="S15157" s="51"/>
    </row>
    <row r="15158" spans="9:19" x14ac:dyDescent="0.25">
      <c r="I15158" s="1"/>
      <c r="J15158" s="71"/>
      <c r="M15158" s="46"/>
      <c r="R15158" s="51"/>
      <c r="S15158" s="51"/>
    </row>
    <row r="15159" spans="9:19" x14ac:dyDescent="0.25">
      <c r="I15159" s="1"/>
      <c r="J15159" s="71"/>
      <c r="M15159" s="46"/>
      <c r="R15159" s="51"/>
      <c r="S15159" s="51"/>
    </row>
    <row r="15160" spans="9:19" x14ac:dyDescent="0.25">
      <c r="I15160" s="1"/>
      <c r="J15160" s="71"/>
      <c r="M15160" s="46"/>
      <c r="R15160" s="51"/>
      <c r="S15160" s="51"/>
    </row>
    <row r="15161" spans="9:19" x14ac:dyDescent="0.25">
      <c r="I15161" s="1"/>
      <c r="J15161" s="71"/>
      <c r="M15161" s="46"/>
      <c r="R15161" s="51"/>
      <c r="S15161" s="51"/>
    </row>
    <row r="15162" spans="9:19" x14ac:dyDescent="0.25">
      <c r="I15162" s="1"/>
      <c r="J15162" s="71"/>
      <c r="M15162" s="46"/>
      <c r="R15162" s="51"/>
      <c r="S15162" s="51"/>
    </row>
    <row r="15163" spans="9:19" x14ac:dyDescent="0.25">
      <c r="I15163" s="1"/>
      <c r="J15163" s="71"/>
      <c r="M15163" s="46"/>
      <c r="R15163" s="51"/>
      <c r="S15163" s="51"/>
    </row>
    <row r="15164" spans="9:19" x14ac:dyDescent="0.25">
      <c r="I15164" s="1"/>
      <c r="J15164" s="71"/>
      <c r="M15164" s="46"/>
      <c r="R15164" s="51"/>
      <c r="S15164" s="51"/>
    </row>
    <row r="15165" spans="9:19" x14ac:dyDescent="0.25">
      <c r="I15165" s="1"/>
      <c r="J15165" s="71"/>
      <c r="M15165" s="46"/>
      <c r="R15165" s="51"/>
      <c r="S15165" s="51"/>
    </row>
    <row r="15166" spans="9:19" x14ac:dyDescent="0.25">
      <c r="I15166" s="1"/>
      <c r="J15166" s="71"/>
      <c r="M15166" s="46"/>
      <c r="R15166" s="51"/>
      <c r="S15166" s="51"/>
    </row>
    <row r="15167" spans="9:19" x14ac:dyDescent="0.25">
      <c r="I15167" s="1"/>
      <c r="J15167" s="71"/>
      <c r="M15167" s="46"/>
      <c r="R15167" s="51"/>
      <c r="S15167" s="51"/>
    </row>
    <row r="15168" spans="9:19" x14ac:dyDescent="0.25">
      <c r="I15168" s="1"/>
      <c r="J15168" s="71"/>
      <c r="M15168" s="46"/>
      <c r="R15168" s="51"/>
      <c r="S15168" s="51"/>
    </row>
    <row r="15169" spans="9:19" x14ac:dyDescent="0.25">
      <c r="I15169" s="1"/>
      <c r="J15169" s="71"/>
      <c r="M15169" s="46"/>
      <c r="R15169" s="51"/>
      <c r="S15169" s="51"/>
    </row>
    <row r="15170" spans="9:19" x14ac:dyDescent="0.25">
      <c r="I15170" s="1"/>
      <c r="J15170" s="71"/>
      <c r="M15170" s="46"/>
      <c r="R15170" s="51"/>
      <c r="S15170" s="51"/>
    </row>
    <row r="15171" spans="9:19" x14ac:dyDescent="0.25">
      <c r="I15171" s="1"/>
      <c r="J15171" s="71"/>
      <c r="M15171" s="46"/>
      <c r="R15171" s="51"/>
      <c r="S15171" s="51"/>
    </row>
    <row r="15172" spans="9:19" x14ac:dyDescent="0.25">
      <c r="I15172" s="1"/>
      <c r="J15172" s="71"/>
      <c r="M15172" s="46"/>
      <c r="R15172" s="51"/>
      <c r="S15172" s="51"/>
    </row>
    <row r="15173" spans="9:19" x14ac:dyDescent="0.25">
      <c r="I15173" s="1"/>
      <c r="J15173" s="71"/>
      <c r="M15173" s="46"/>
      <c r="R15173" s="51"/>
      <c r="S15173" s="51"/>
    </row>
    <row r="15174" spans="9:19" x14ac:dyDescent="0.25">
      <c r="I15174" s="1"/>
      <c r="J15174" s="71"/>
      <c r="M15174" s="46"/>
      <c r="R15174" s="51"/>
      <c r="S15174" s="51"/>
    </row>
    <row r="15175" spans="9:19" x14ac:dyDescent="0.25">
      <c r="I15175" s="1"/>
      <c r="J15175" s="71"/>
      <c r="M15175" s="46"/>
      <c r="R15175" s="51"/>
      <c r="S15175" s="51"/>
    </row>
    <row r="15176" spans="9:19" x14ac:dyDescent="0.25">
      <c r="I15176" s="1"/>
      <c r="J15176" s="71"/>
      <c r="M15176" s="46"/>
      <c r="R15176" s="51"/>
      <c r="S15176" s="51"/>
    </row>
    <row r="15177" spans="9:19" x14ac:dyDescent="0.25">
      <c r="I15177" s="1"/>
      <c r="J15177" s="71"/>
      <c r="M15177" s="46"/>
      <c r="R15177" s="51"/>
      <c r="S15177" s="51"/>
    </row>
    <row r="15178" spans="9:19" x14ac:dyDescent="0.25">
      <c r="I15178" s="1"/>
      <c r="J15178" s="71"/>
      <c r="M15178" s="46"/>
      <c r="R15178" s="51"/>
      <c r="S15178" s="51"/>
    </row>
    <row r="15179" spans="9:19" x14ac:dyDescent="0.25">
      <c r="I15179" s="1"/>
      <c r="J15179" s="71"/>
      <c r="M15179" s="46"/>
      <c r="R15179" s="51"/>
      <c r="S15179" s="51"/>
    </row>
    <row r="15180" spans="9:19" x14ac:dyDescent="0.25">
      <c r="I15180" s="1"/>
      <c r="J15180" s="71"/>
      <c r="M15180" s="46"/>
      <c r="R15180" s="51"/>
      <c r="S15180" s="51"/>
    </row>
    <row r="15181" spans="9:19" x14ac:dyDescent="0.25">
      <c r="I15181" s="1"/>
      <c r="J15181" s="71"/>
      <c r="M15181" s="46"/>
      <c r="R15181" s="51"/>
      <c r="S15181" s="51"/>
    </row>
    <row r="15182" spans="9:19" x14ac:dyDescent="0.25">
      <c r="I15182" s="1"/>
      <c r="J15182" s="71"/>
      <c r="M15182" s="46"/>
      <c r="R15182" s="51"/>
      <c r="S15182" s="51"/>
    </row>
    <row r="15183" spans="9:19" x14ac:dyDescent="0.25">
      <c r="I15183" s="1"/>
      <c r="J15183" s="71"/>
      <c r="M15183" s="46"/>
      <c r="R15183" s="51"/>
      <c r="S15183" s="51"/>
    </row>
    <row r="15184" spans="9:19" x14ac:dyDescent="0.25">
      <c r="I15184" s="1"/>
      <c r="J15184" s="71"/>
      <c r="M15184" s="46"/>
      <c r="R15184" s="51"/>
      <c r="S15184" s="51"/>
    </row>
    <row r="15185" spans="9:19" x14ac:dyDescent="0.25">
      <c r="I15185" s="1"/>
      <c r="J15185" s="71"/>
      <c r="M15185" s="46"/>
      <c r="R15185" s="51"/>
      <c r="S15185" s="51"/>
    </row>
    <row r="15186" spans="9:19" x14ac:dyDescent="0.25">
      <c r="I15186" s="1"/>
      <c r="J15186" s="71"/>
      <c r="M15186" s="46"/>
      <c r="R15186" s="51"/>
      <c r="S15186" s="51"/>
    </row>
    <row r="15187" spans="9:19" x14ac:dyDescent="0.25">
      <c r="I15187" s="1"/>
      <c r="J15187" s="71"/>
      <c r="M15187" s="46"/>
      <c r="R15187" s="51"/>
      <c r="S15187" s="51"/>
    </row>
    <row r="15188" spans="9:19" x14ac:dyDescent="0.25">
      <c r="I15188" s="1"/>
      <c r="J15188" s="71"/>
      <c r="M15188" s="46"/>
      <c r="R15188" s="51"/>
      <c r="S15188" s="51"/>
    </row>
    <row r="15189" spans="9:19" x14ac:dyDescent="0.25">
      <c r="I15189" s="1"/>
      <c r="J15189" s="71"/>
      <c r="M15189" s="46"/>
      <c r="R15189" s="51"/>
      <c r="S15189" s="51"/>
    </row>
    <row r="15190" spans="9:19" x14ac:dyDescent="0.25">
      <c r="I15190" s="1"/>
      <c r="J15190" s="71"/>
      <c r="M15190" s="46"/>
      <c r="R15190" s="51"/>
      <c r="S15190" s="51"/>
    </row>
    <row r="15191" spans="9:19" x14ac:dyDescent="0.25">
      <c r="I15191" s="1"/>
      <c r="J15191" s="71"/>
      <c r="M15191" s="46"/>
      <c r="R15191" s="51"/>
      <c r="S15191" s="51"/>
    </row>
    <row r="15192" spans="9:19" x14ac:dyDescent="0.25">
      <c r="I15192" s="1"/>
      <c r="J15192" s="71"/>
      <c r="M15192" s="46"/>
      <c r="R15192" s="51"/>
      <c r="S15192" s="51"/>
    </row>
    <row r="15193" spans="9:19" x14ac:dyDescent="0.25">
      <c r="I15193" s="1"/>
      <c r="J15193" s="71"/>
      <c r="M15193" s="46"/>
      <c r="R15193" s="51"/>
      <c r="S15193" s="51"/>
    </row>
    <row r="15194" spans="9:19" x14ac:dyDescent="0.25">
      <c r="I15194" s="1"/>
      <c r="J15194" s="71"/>
      <c r="M15194" s="46"/>
      <c r="R15194" s="51"/>
      <c r="S15194" s="51"/>
    </row>
    <row r="15195" spans="9:19" x14ac:dyDescent="0.25">
      <c r="I15195" s="1"/>
      <c r="J15195" s="71"/>
      <c r="M15195" s="46"/>
      <c r="R15195" s="51"/>
      <c r="S15195" s="51"/>
    </row>
    <row r="15196" spans="9:19" x14ac:dyDescent="0.25">
      <c r="I15196" s="1"/>
      <c r="J15196" s="71"/>
      <c r="M15196" s="46"/>
      <c r="R15196" s="51"/>
      <c r="S15196" s="51"/>
    </row>
    <row r="15197" spans="9:19" x14ac:dyDescent="0.25">
      <c r="I15197" s="1"/>
      <c r="J15197" s="71"/>
      <c r="M15197" s="46"/>
      <c r="R15197" s="51"/>
      <c r="S15197" s="51"/>
    </row>
    <row r="15198" spans="9:19" x14ac:dyDescent="0.25">
      <c r="I15198" s="1"/>
      <c r="J15198" s="71"/>
      <c r="M15198" s="46"/>
      <c r="R15198" s="51"/>
      <c r="S15198" s="51"/>
    </row>
    <row r="15199" spans="9:19" x14ac:dyDescent="0.25">
      <c r="I15199" s="1"/>
      <c r="J15199" s="71"/>
      <c r="M15199" s="46"/>
      <c r="R15199" s="51"/>
      <c r="S15199" s="51"/>
    </row>
    <row r="15200" spans="9:19" x14ac:dyDescent="0.25">
      <c r="I15200" s="1"/>
      <c r="J15200" s="71"/>
      <c r="M15200" s="46"/>
      <c r="R15200" s="51"/>
      <c r="S15200" s="51"/>
    </row>
    <row r="15201" spans="9:19" x14ac:dyDescent="0.25">
      <c r="I15201" s="1"/>
      <c r="J15201" s="71"/>
      <c r="M15201" s="46"/>
      <c r="R15201" s="51"/>
      <c r="S15201" s="51"/>
    </row>
    <row r="15202" spans="9:19" x14ac:dyDescent="0.25">
      <c r="I15202" s="1"/>
      <c r="J15202" s="71"/>
      <c r="M15202" s="46"/>
      <c r="R15202" s="51"/>
      <c r="S15202" s="51"/>
    </row>
    <row r="15203" spans="9:19" x14ac:dyDescent="0.25">
      <c r="I15203" s="1"/>
      <c r="J15203" s="71"/>
      <c r="M15203" s="46"/>
      <c r="R15203" s="51"/>
      <c r="S15203" s="51"/>
    </row>
    <row r="15204" spans="9:19" x14ac:dyDescent="0.25">
      <c r="I15204" s="1"/>
      <c r="J15204" s="71"/>
      <c r="M15204" s="46"/>
      <c r="R15204" s="51"/>
      <c r="S15204" s="51"/>
    </row>
    <row r="15205" spans="9:19" x14ac:dyDescent="0.25">
      <c r="I15205" s="1"/>
      <c r="J15205" s="71"/>
      <c r="M15205" s="46"/>
      <c r="R15205" s="51"/>
      <c r="S15205" s="51"/>
    </row>
    <row r="15206" spans="9:19" x14ac:dyDescent="0.25">
      <c r="I15206" s="1"/>
      <c r="J15206" s="71"/>
      <c r="M15206" s="46"/>
      <c r="R15206" s="51"/>
      <c r="S15206" s="51"/>
    </row>
    <row r="15207" spans="9:19" x14ac:dyDescent="0.25">
      <c r="I15207" s="1"/>
      <c r="J15207" s="71"/>
      <c r="M15207" s="46"/>
      <c r="R15207" s="51"/>
      <c r="S15207" s="51"/>
    </row>
    <row r="15208" spans="9:19" x14ac:dyDescent="0.25">
      <c r="I15208" s="1"/>
      <c r="J15208" s="71"/>
      <c r="M15208" s="46"/>
      <c r="R15208" s="51"/>
      <c r="S15208" s="51"/>
    </row>
    <row r="15209" spans="9:19" x14ac:dyDescent="0.25">
      <c r="I15209" s="1"/>
      <c r="J15209" s="71"/>
      <c r="M15209" s="46"/>
      <c r="R15209" s="51"/>
      <c r="S15209" s="51"/>
    </row>
    <row r="15210" spans="9:19" x14ac:dyDescent="0.25">
      <c r="I15210" s="1"/>
      <c r="J15210" s="71"/>
      <c r="M15210" s="46"/>
      <c r="R15210" s="51"/>
      <c r="S15210" s="51"/>
    </row>
    <row r="15211" spans="9:19" x14ac:dyDescent="0.25">
      <c r="I15211" s="1"/>
      <c r="J15211" s="71"/>
      <c r="M15211" s="46"/>
      <c r="R15211" s="51"/>
      <c r="S15211" s="51"/>
    </row>
    <row r="15212" spans="9:19" x14ac:dyDescent="0.25">
      <c r="I15212" s="1"/>
      <c r="J15212" s="71"/>
      <c r="M15212" s="46"/>
      <c r="R15212" s="51"/>
      <c r="S15212" s="51"/>
    </row>
    <row r="15213" spans="9:19" x14ac:dyDescent="0.25">
      <c r="I15213" s="1"/>
      <c r="J15213" s="71"/>
      <c r="M15213" s="46"/>
      <c r="R15213" s="51"/>
      <c r="S15213" s="51"/>
    </row>
    <row r="15214" spans="9:19" x14ac:dyDescent="0.25">
      <c r="I15214" s="1"/>
      <c r="J15214" s="71"/>
      <c r="M15214" s="46"/>
      <c r="R15214" s="51"/>
      <c r="S15214" s="51"/>
    </row>
    <row r="15215" spans="9:19" x14ac:dyDescent="0.25">
      <c r="I15215" s="1"/>
      <c r="J15215" s="71"/>
      <c r="M15215" s="46"/>
      <c r="R15215" s="51"/>
      <c r="S15215" s="51"/>
    </row>
    <row r="15216" spans="9:19" x14ac:dyDescent="0.25">
      <c r="I15216" s="1"/>
      <c r="J15216" s="71"/>
      <c r="M15216" s="46"/>
      <c r="R15216" s="51"/>
      <c r="S15216" s="51"/>
    </row>
    <row r="15217" spans="9:19" x14ac:dyDescent="0.25">
      <c r="I15217" s="1"/>
      <c r="J15217" s="71"/>
      <c r="M15217" s="46"/>
      <c r="R15217" s="51"/>
      <c r="S15217" s="51"/>
    </row>
    <row r="15218" spans="9:19" x14ac:dyDescent="0.25">
      <c r="I15218" s="1"/>
      <c r="J15218" s="71"/>
      <c r="M15218" s="46"/>
      <c r="R15218" s="51"/>
      <c r="S15218" s="51"/>
    </row>
    <row r="15219" spans="9:19" x14ac:dyDescent="0.25">
      <c r="I15219" s="1"/>
      <c r="J15219" s="71"/>
      <c r="M15219" s="46"/>
      <c r="R15219" s="51"/>
      <c r="S15219" s="51"/>
    </row>
    <row r="15220" spans="9:19" x14ac:dyDescent="0.25">
      <c r="I15220" s="1"/>
      <c r="J15220" s="71"/>
      <c r="M15220" s="46"/>
      <c r="R15220" s="51"/>
      <c r="S15220" s="51"/>
    </row>
    <row r="15221" spans="9:19" x14ac:dyDescent="0.25">
      <c r="I15221" s="1"/>
      <c r="J15221" s="71"/>
      <c r="M15221" s="46"/>
      <c r="R15221" s="51"/>
      <c r="S15221" s="51"/>
    </row>
    <row r="15222" spans="9:19" x14ac:dyDescent="0.25">
      <c r="I15222" s="1"/>
      <c r="J15222" s="71"/>
      <c r="M15222" s="46"/>
      <c r="R15222" s="51"/>
      <c r="S15222" s="51"/>
    </row>
    <row r="15223" spans="9:19" x14ac:dyDescent="0.25">
      <c r="I15223" s="1"/>
      <c r="J15223" s="71"/>
      <c r="M15223" s="46"/>
      <c r="R15223" s="51"/>
      <c r="S15223" s="51"/>
    </row>
    <row r="15224" spans="9:19" x14ac:dyDescent="0.25">
      <c r="I15224" s="1"/>
      <c r="J15224" s="71"/>
      <c r="M15224" s="46"/>
      <c r="R15224" s="51"/>
      <c r="S15224" s="51"/>
    </row>
    <row r="15225" spans="9:19" x14ac:dyDescent="0.25">
      <c r="I15225" s="1"/>
      <c r="J15225" s="71"/>
      <c r="M15225" s="46"/>
      <c r="R15225" s="51"/>
      <c r="S15225" s="51"/>
    </row>
    <row r="15226" spans="9:19" x14ac:dyDescent="0.25">
      <c r="I15226" s="1"/>
      <c r="J15226" s="71"/>
      <c r="M15226" s="46"/>
      <c r="R15226" s="51"/>
      <c r="S15226" s="51"/>
    </row>
    <row r="15227" spans="9:19" x14ac:dyDescent="0.25">
      <c r="I15227" s="1"/>
      <c r="J15227" s="71"/>
      <c r="M15227" s="46"/>
      <c r="R15227" s="51"/>
      <c r="S15227" s="51"/>
    </row>
    <row r="15228" spans="9:19" x14ac:dyDescent="0.25">
      <c r="I15228" s="1"/>
      <c r="J15228" s="71"/>
      <c r="M15228" s="46"/>
      <c r="R15228" s="51"/>
      <c r="S15228" s="51"/>
    </row>
    <row r="15229" spans="9:19" x14ac:dyDescent="0.25">
      <c r="I15229" s="1"/>
      <c r="J15229" s="71"/>
      <c r="M15229" s="46"/>
      <c r="R15229" s="51"/>
      <c r="S15229" s="51"/>
    </row>
    <row r="15230" spans="9:19" x14ac:dyDescent="0.25">
      <c r="I15230" s="1"/>
      <c r="J15230" s="71"/>
      <c r="M15230" s="46"/>
      <c r="R15230" s="51"/>
      <c r="S15230" s="51"/>
    </row>
    <row r="15231" spans="9:19" x14ac:dyDescent="0.25">
      <c r="I15231" s="1"/>
      <c r="J15231" s="71"/>
      <c r="M15231" s="46"/>
      <c r="R15231" s="51"/>
      <c r="S15231" s="51"/>
    </row>
    <row r="15232" spans="9:19" x14ac:dyDescent="0.25">
      <c r="I15232" s="1"/>
      <c r="J15232" s="71"/>
      <c r="M15232" s="46"/>
      <c r="R15232" s="51"/>
      <c r="S15232" s="51"/>
    </row>
    <row r="15233" spans="9:19" x14ac:dyDescent="0.25">
      <c r="I15233" s="1"/>
      <c r="J15233" s="71"/>
      <c r="M15233" s="46"/>
      <c r="R15233" s="51"/>
      <c r="S15233" s="51"/>
    </row>
    <row r="15234" spans="9:19" x14ac:dyDescent="0.25">
      <c r="I15234" s="1"/>
      <c r="J15234" s="71"/>
      <c r="M15234" s="46"/>
      <c r="R15234" s="51"/>
      <c r="S15234" s="51"/>
    </row>
    <row r="15235" spans="9:19" x14ac:dyDescent="0.25">
      <c r="I15235" s="1"/>
      <c r="J15235" s="71"/>
      <c r="M15235" s="46"/>
      <c r="R15235" s="51"/>
      <c r="S15235" s="51"/>
    </row>
    <row r="15236" spans="9:19" x14ac:dyDescent="0.25">
      <c r="I15236" s="1"/>
      <c r="J15236" s="71"/>
      <c r="M15236" s="46"/>
      <c r="R15236" s="51"/>
      <c r="S15236" s="51"/>
    </row>
    <row r="15237" spans="9:19" x14ac:dyDescent="0.25">
      <c r="I15237" s="1"/>
      <c r="J15237" s="71"/>
      <c r="M15237" s="46"/>
      <c r="R15237" s="51"/>
      <c r="S15237" s="51"/>
    </row>
    <row r="15238" spans="9:19" x14ac:dyDescent="0.25">
      <c r="I15238" s="1"/>
      <c r="J15238" s="71"/>
      <c r="M15238" s="46"/>
      <c r="R15238" s="51"/>
      <c r="S15238" s="51"/>
    </row>
    <row r="15239" spans="9:19" x14ac:dyDescent="0.25">
      <c r="I15239" s="1"/>
      <c r="J15239" s="71"/>
      <c r="M15239" s="46"/>
      <c r="R15239" s="51"/>
      <c r="S15239" s="51"/>
    </row>
    <row r="15240" spans="9:19" x14ac:dyDescent="0.25">
      <c r="I15240" s="1"/>
      <c r="J15240" s="71"/>
      <c r="M15240" s="46"/>
      <c r="R15240" s="51"/>
      <c r="S15240" s="51"/>
    </row>
    <row r="15241" spans="9:19" x14ac:dyDescent="0.25">
      <c r="I15241" s="1"/>
      <c r="J15241" s="71"/>
      <c r="M15241" s="46"/>
      <c r="R15241" s="51"/>
      <c r="S15241" s="51"/>
    </row>
    <row r="15242" spans="9:19" x14ac:dyDescent="0.25">
      <c r="I15242" s="1"/>
      <c r="J15242" s="71"/>
      <c r="M15242" s="46"/>
      <c r="R15242" s="51"/>
      <c r="S15242" s="51"/>
    </row>
    <row r="15243" spans="9:19" x14ac:dyDescent="0.25">
      <c r="I15243" s="1"/>
      <c r="J15243" s="71"/>
      <c r="M15243" s="46"/>
      <c r="R15243" s="51"/>
      <c r="S15243" s="51"/>
    </row>
    <row r="15244" spans="9:19" x14ac:dyDescent="0.25">
      <c r="I15244" s="1"/>
      <c r="J15244" s="71"/>
      <c r="M15244" s="46"/>
      <c r="R15244" s="51"/>
      <c r="S15244" s="51"/>
    </row>
    <row r="15245" spans="9:19" x14ac:dyDescent="0.25">
      <c r="I15245" s="1"/>
      <c r="J15245" s="71"/>
      <c r="M15245" s="46"/>
      <c r="R15245" s="51"/>
      <c r="S15245" s="51"/>
    </row>
    <row r="15246" spans="9:19" x14ac:dyDescent="0.25">
      <c r="I15246" s="1"/>
      <c r="J15246" s="71"/>
      <c r="M15246" s="46"/>
      <c r="R15246" s="51"/>
      <c r="S15246" s="51"/>
    </row>
    <row r="15247" spans="9:19" x14ac:dyDescent="0.25">
      <c r="I15247" s="1"/>
      <c r="J15247" s="71"/>
      <c r="M15247" s="46"/>
      <c r="R15247" s="51"/>
      <c r="S15247" s="51"/>
    </row>
    <row r="15248" spans="9:19" x14ac:dyDescent="0.25">
      <c r="I15248" s="1"/>
      <c r="J15248" s="71"/>
      <c r="M15248" s="46"/>
      <c r="R15248" s="51"/>
      <c r="S15248" s="51"/>
    </row>
    <row r="15249" spans="9:19" x14ac:dyDescent="0.25">
      <c r="I15249" s="1"/>
      <c r="J15249" s="71"/>
      <c r="M15249" s="46"/>
      <c r="R15249" s="51"/>
      <c r="S15249" s="51"/>
    </row>
    <row r="15250" spans="9:19" x14ac:dyDescent="0.25">
      <c r="I15250" s="1"/>
      <c r="J15250" s="71"/>
      <c r="M15250" s="46"/>
      <c r="R15250" s="51"/>
      <c r="S15250" s="51"/>
    </row>
    <row r="15251" spans="9:19" x14ac:dyDescent="0.25">
      <c r="I15251" s="1"/>
      <c r="J15251" s="71"/>
      <c r="M15251" s="46"/>
      <c r="R15251" s="51"/>
      <c r="S15251" s="51"/>
    </row>
    <row r="15252" spans="9:19" x14ac:dyDescent="0.25">
      <c r="I15252" s="1"/>
      <c r="J15252" s="71"/>
      <c r="M15252" s="46"/>
      <c r="R15252" s="51"/>
      <c r="S15252" s="51"/>
    </row>
    <row r="15253" spans="9:19" x14ac:dyDescent="0.25">
      <c r="I15253" s="1"/>
      <c r="J15253" s="71"/>
      <c r="M15253" s="46"/>
      <c r="R15253" s="51"/>
      <c r="S15253" s="51"/>
    </row>
    <row r="15254" spans="9:19" x14ac:dyDescent="0.25">
      <c r="I15254" s="1"/>
      <c r="J15254" s="71"/>
      <c r="M15254" s="46"/>
      <c r="R15254" s="51"/>
      <c r="S15254" s="51"/>
    </row>
    <row r="15255" spans="9:19" x14ac:dyDescent="0.25">
      <c r="I15255" s="1"/>
      <c r="J15255" s="71"/>
      <c r="M15255" s="46"/>
      <c r="R15255" s="51"/>
      <c r="S15255" s="51"/>
    </row>
    <row r="15256" spans="9:19" x14ac:dyDescent="0.25">
      <c r="I15256" s="1"/>
      <c r="J15256" s="71"/>
      <c r="M15256" s="46"/>
      <c r="R15256" s="51"/>
      <c r="S15256" s="51"/>
    </row>
    <row r="15257" spans="9:19" x14ac:dyDescent="0.25">
      <c r="I15257" s="1"/>
      <c r="J15257" s="71"/>
      <c r="M15257" s="46"/>
      <c r="R15257" s="51"/>
      <c r="S15257" s="51"/>
    </row>
    <row r="15258" spans="9:19" x14ac:dyDescent="0.25">
      <c r="I15258" s="1"/>
      <c r="J15258" s="71"/>
      <c r="M15258" s="46"/>
      <c r="R15258" s="51"/>
      <c r="S15258" s="51"/>
    </row>
    <row r="15259" spans="9:19" x14ac:dyDescent="0.25">
      <c r="I15259" s="1"/>
      <c r="J15259" s="71"/>
      <c r="M15259" s="46"/>
      <c r="R15259" s="51"/>
      <c r="S15259" s="51"/>
    </row>
    <row r="15260" spans="9:19" x14ac:dyDescent="0.25">
      <c r="I15260" s="1"/>
      <c r="J15260" s="71"/>
      <c r="M15260" s="46"/>
      <c r="R15260" s="51"/>
      <c r="S15260" s="51"/>
    </row>
    <row r="15261" spans="9:19" x14ac:dyDescent="0.25">
      <c r="I15261" s="1"/>
      <c r="J15261" s="71"/>
      <c r="M15261" s="46"/>
      <c r="R15261" s="51"/>
      <c r="S15261" s="51"/>
    </row>
    <row r="15262" spans="9:19" x14ac:dyDescent="0.25">
      <c r="I15262" s="1"/>
      <c r="J15262" s="71"/>
      <c r="M15262" s="46"/>
      <c r="R15262" s="51"/>
      <c r="S15262" s="51"/>
    </row>
    <row r="15263" spans="9:19" x14ac:dyDescent="0.25">
      <c r="I15263" s="1"/>
      <c r="J15263" s="71"/>
      <c r="M15263" s="46"/>
      <c r="R15263" s="51"/>
      <c r="S15263" s="51"/>
    </row>
    <row r="15264" spans="9:19" x14ac:dyDescent="0.25">
      <c r="I15264" s="1"/>
      <c r="J15264" s="71"/>
      <c r="M15264" s="46"/>
      <c r="R15264" s="51"/>
      <c r="S15264" s="51"/>
    </row>
    <row r="15265" spans="9:19" x14ac:dyDescent="0.25">
      <c r="I15265" s="1"/>
      <c r="J15265" s="71"/>
      <c r="M15265" s="46"/>
      <c r="R15265" s="51"/>
      <c r="S15265" s="51"/>
    </row>
    <row r="15266" spans="9:19" x14ac:dyDescent="0.25">
      <c r="I15266" s="1"/>
      <c r="J15266" s="71"/>
      <c r="M15266" s="46"/>
      <c r="R15266" s="51"/>
      <c r="S15266" s="51"/>
    </row>
    <row r="15267" spans="9:19" x14ac:dyDescent="0.25">
      <c r="I15267" s="1"/>
      <c r="J15267" s="71"/>
      <c r="M15267" s="46"/>
      <c r="R15267" s="51"/>
      <c r="S15267" s="51"/>
    </row>
    <row r="15268" spans="9:19" x14ac:dyDescent="0.25">
      <c r="I15268" s="1"/>
      <c r="J15268" s="71"/>
      <c r="M15268" s="46"/>
      <c r="R15268" s="51"/>
      <c r="S15268" s="51"/>
    </row>
    <row r="15269" spans="9:19" x14ac:dyDescent="0.25">
      <c r="I15269" s="1"/>
      <c r="J15269" s="71"/>
      <c r="M15269" s="46"/>
      <c r="R15269" s="51"/>
      <c r="S15269" s="51"/>
    </row>
    <row r="15270" spans="9:19" x14ac:dyDescent="0.25">
      <c r="I15270" s="1"/>
      <c r="J15270" s="71"/>
      <c r="M15270" s="46"/>
      <c r="R15270" s="51"/>
      <c r="S15270" s="51"/>
    </row>
    <row r="15271" spans="9:19" x14ac:dyDescent="0.25">
      <c r="I15271" s="1"/>
      <c r="J15271" s="71"/>
      <c r="M15271" s="46"/>
      <c r="R15271" s="51"/>
      <c r="S15271" s="51"/>
    </row>
    <row r="15272" spans="9:19" x14ac:dyDescent="0.25">
      <c r="I15272" s="1"/>
      <c r="J15272" s="71"/>
      <c r="M15272" s="46"/>
      <c r="R15272" s="51"/>
      <c r="S15272" s="51"/>
    </row>
    <row r="15273" spans="9:19" x14ac:dyDescent="0.25">
      <c r="I15273" s="1"/>
      <c r="J15273" s="71"/>
      <c r="M15273" s="46"/>
      <c r="R15273" s="51"/>
      <c r="S15273" s="51"/>
    </row>
    <row r="15274" spans="9:19" x14ac:dyDescent="0.25">
      <c r="I15274" s="1"/>
      <c r="J15274" s="71"/>
      <c r="M15274" s="46"/>
      <c r="R15274" s="51"/>
      <c r="S15274" s="51"/>
    </row>
    <row r="15275" spans="9:19" x14ac:dyDescent="0.25">
      <c r="I15275" s="1"/>
      <c r="J15275" s="71"/>
      <c r="M15275" s="46"/>
      <c r="R15275" s="51"/>
      <c r="S15275" s="51"/>
    </row>
    <row r="15276" spans="9:19" x14ac:dyDescent="0.25">
      <c r="I15276" s="1"/>
      <c r="J15276" s="71"/>
      <c r="M15276" s="46"/>
      <c r="R15276" s="51"/>
      <c r="S15276" s="51"/>
    </row>
    <row r="15277" spans="9:19" x14ac:dyDescent="0.25">
      <c r="I15277" s="1"/>
      <c r="J15277" s="71"/>
      <c r="M15277" s="46"/>
      <c r="R15277" s="51"/>
      <c r="S15277" s="51"/>
    </row>
    <row r="15278" spans="9:19" x14ac:dyDescent="0.25">
      <c r="I15278" s="1"/>
      <c r="J15278" s="71"/>
      <c r="M15278" s="46"/>
      <c r="R15278" s="51"/>
      <c r="S15278" s="51"/>
    </row>
    <row r="15279" spans="9:19" x14ac:dyDescent="0.25">
      <c r="I15279" s="1"/>
      <c r="J15279" s="71"/>
      <c r="M15279" s="46"/>
      <c r="R15279" s="51"/>
      <c r="S15279" s="51"/>
    </row>
    <row r="15280" spans="9:19" x14ac:dyDescent="0.25">
      <c r="I15280" s="1"/>
      <c r="J15280" s="71"/>
      <c r="M15280" s="46"/>
      <c r="R15280" s="51"/>
      <c r="S15280" s="51"/>
    </row>
    <row r="15281" spans="9:19" x14ac:dyDescent="0.25">
      <c r="I15281" s="1"/>
      <c r="J15281" s="71"/>
      <c r="M15281" s="46"/>
      <c r="R15281" s="51"/>
      <c r="S15281" s="51"/>
    </row>
    <row r="15282" spans="9:19" x14ac:dyDescent="0.25">
      <c r="I15282" s="1"/>
      <c r="J15282" s="71"/>
      <c r="M15282" s="46"/>
      <c r="R15282" s="51"/>
      <c r="S15282" s="51"/>
    </row>
    <row r="15283" spans="9:19" x14ac:dyDescent="0.25">
      <c r="I15283" s="1"/>
      <c r="J15283" s="71"/>
      <c r="M15283" s="46"/>
      <c r="R15283" s="51"/>
      <c r="S15283" s="51"/>
    </row>
    <row r="15284" spans="9:19" x14ac:dyDescent="0.25">
      <c r="I15284" s="1"/>
      <c r="J15284" s="71"/>
      <c r="M15284" s="46"/>
      <c r="R15284" s="51"/>
      <c r="S15284" s="51"/>
    </row>
    <row r="15285" spans="9:19" x14ac:dyDescent="0.25">
      <c r="I15285" s="1"/>
      <c r="J15285" s="71"/>
      <c r="M15285" s="46"/>
      <c r="R15285" s="51"/>
      <c r="S15285" s="51"/>
    </row>
    <row r="15286" spans="9:19" x14ac:dyDescent="0.25">
      <c r="I15286" s="1"/>
      <c r="J15286" s="71"/>
      <c r="M15286" s="46"/>
      <c r="R15286" s="51"/>
      <c r="S15286" s="51"/>
    </row>
    <row r="15287" spans="9:19" x14ac:dyDescent="0.25">
      <c r="I15287" s="1"/>
      <c r="J15287" s="71"/>
      <c r="M15287" s="46"/>
      <c r="R15287" s="51"/>
      <c r="S15287" s="51"/>
    </row>
    <row r="15288" spans="9:19" x14ac:dyDescent="0.25">
      <c r="I15288" s="1"/>
      <c r="J15288" s="71"/>
      <c r="M15288" s="46"/>
      <c r="R15288" s="51"/>
      <c r="S15288" s="51"/>
    </row>
    <row r="15289" spans="9:19" x14ac:dyDescent="0.25">
      <c r="I15289" s="1"/>
      <c r="J15289" s="71"/>
      <c r="M15289" s="46"/>
      <c r="R15289" s="51"/>
      <c r="S15289" s="51"/>
    </row>
    <row r="15290" spans="9:19" x14ac:dyDescent="0.25">
      <c r="I15290" s="1"/>
      <c r="J15290" s="71"/>
      <c r="M15290" s="46"/>
      <c r="R15290" s="51"/>
      <c r="S15290" s="51"/>
    </row>
    <row r="15291" spans="9:19" x14ac:dyDescent="0.25">
      <c r="I15291" s="1"/>
      <c r="J15291" s="71"/>
      <c r="M15291" s="46"/>
      <c r="R15291" s="51"/>
      <c r="S15291" s="51"/>
    </row>
    <row r="15292" spans="9:19" x14ac:dyDescent="0.25">
      <c r="I15292" s="1"/>
      <c r="J15292" s="71"/>
      <c r="M15292" s="46"/>
      <c r="R15292" s="51"/>
      <c r="S15292" s="51"/>
    </row>
    <row r="15293" spans="9:19" x14ac:dyDescent="0.25">
      <c r="I15293" s="1"/>
      <c r="J15293" s="71"/>
      <c r="M15293" s="46"/>
      <c r="R15293" s="51"/>
      <c r="S15293" s="51"/>
    </row>
    <row r="15294" spans="9:19" x14ac:dyDescent="0.25">
      <c r="I15294" s="1"/>
      <c r="J15294" s="71"/>
      <c r="M15294" s="46"/>
      <c r="R15294" s="51"/>
      <c r="S15294" s="51"/>
    </row>
    <row r="15295" spans="9:19" x14ac:dyDescent="0.25">
      <c r="I15295" s="1"/>
      <c r="J15295" s="71"/>
      <c r="M15295" s="46"/>
      <c r="R15295" s="51"/>
      <c r="S15295" s="51"/>
    </row>
    <row r="15296" spans="9:19" x14ac:dyDescent="0.25">
      <c r="I15296" s="1"/>
      <c r="J15296" s="71"/>
      <c r="M15296" s="46"/>
      <c r="R15296" s="51"/>
      <c r="S15296" s="51"/>
    </row>
    <row r="15297" spans="9:19" x14ac:dyDescent="0.25">
      <c r="I15297" s="1"/>
      <c r="J15297" s="71"/>
      <c r="M15297" s="46"/>
      <c r="R15297" s="51"/>
      <c r="S15297" s="51"/>
    </row>
    <row r="15298" spans="9:19" x14ac:dyDescent="0.25">
      <c r="I15298" s="1"/>
      <c r="J15298" s="71"/>
      <c r="M15298" s="46"/>
      <c r="R15298" s="51"/>
      <c r="S15298" s="51"/>
    </row>
    <row r="15299" spans="9:19" x14ac:dyDescent="0.25">
      <c r="I15299" s="1"/>
      <c r="J15299" s="71"/>
      <c r="M15299" s="46"/>
      <c r="R15299" s="51"/>
      <c r="S15299" s="51"/>
    </row>
    <row r="15300" spans="9:19" x14ac:dyDescent="0.25">
      <c r="I15300" s="1"/>
      <c r="J15300" s="71"/>
      <c r="M15300" s="46"/>
      <c r="R15300" s="51"/>
      <c r="S15300" s="51"/>
    </row>
    <row r="15301" spans="9:19" x14ac:dyDescent="0.25">
      <c r="I15301" s="1"/>
      <c r="J15301" s="71"/>
      <c r="M15301" s="46"/>
      <c r="R15301" s="51"/>
      <c r="S15301" s="51"/>
    </row>
    <row r="15302" spans="9:19" x14ac:dyDescent="0.25">
      <c r="I15302" s="1"/>
      <c r="J15302" s="71"/>
      <c r="M15302" s="46"/>
      <c r="R15302" s="51"/>
      <c r="S15302" s="51"/>
    </row>
    <row r="15303" spans="9:19" x14ac:dyDescent="0.25">
      <c r="I15303" s="1"/>
      <c r="J15303" s="71"/>
      <c r="M15303" s="46"/>
      <c r="R15303" s="51"/>
      <c r="S15303" s="51"/>
    </row>
    <row r="15304" spans="9:19" x14ac:dyDescent="0.25">
      <c r="I15304" s="1"/>
      <c r="J15304" s="71"/>
      <c r="M15304" s="46"/>
      <c r="R15304" s="51"/>
      <c r="S15304" s="51"/>
    </row>
    <row r="15305" spans="9:19" x14ac:dyDescent="0.25">
      <c r="I15305" s="1"/>
      <c r="J15305" s="71"/>
      <c r="M15305" s="46"/>
      <c r="R15305" s="51"/>
      <c r="S15305" s="51"/>
    </row>
    <row r="15306" spans="9:19" x14ac:dyDescent="0.25">
      <c r="I15306" s="1"/>
      <c r="J15306" s="71"/>
      <c r="M15306" s="46"/>
      <c r="R15306" s="51"/>
      <c r="S15306" s="51"/>
    </row>
    <row r="15307" spans="9:19" x14ac:dyDescent="0.25">
      <c r="I15307" s="1"/>
      <c r="J15307" s="71"/>
      <c r="M15307" s="46"/>
      <c r="R15307" s="51"/>
      <c r="S15307" s="51"/>
    </row>
    <row r="15308" spans="9:19" x14ac:dyDescent="0.25">
      <c r="I15308" s="1"/>
      <c r="J15308" s="71"/>
      <c r="M15308" s="46"/>
      <c r="R15308" s="51"/>
      <c r="S15308" s="51"/>
    </row>
    <row r="15309" spans="9:19" x14ac:dyDescent="0.25">
      <c r="I15309" s="1"/>
      <c r="J15309" s="71"/>
      <c r="M15309" s="46"/>
      <c r="R15309" s="51"/>
      <c r="S15309" s="51"/>
    </row>
    <row r="15310" spans="9:19" x14ac:dyDescent="0.25">
      <c r="I15310" s="1"/>
      <c r="J15310" s="71"/>
      <c r="M15310" s="46"/>
      <c r="R15310" s="51"/>
      <c r="S15310" s="51"/>
    </row>
    <row r="15311" spans="9:19" x14ac:dyDescent="0.25">
      <c r="I15311" s="1"/>
      <c r="J15311" s="71"/>
      <c r="M15311" s="46"/>
      <c r="R15311" s="51"/>
      <c r="S15311" s="51"/>
    </row>
    <row r="15312" spans="9:19" x14ac:dyDescent="0.25">
      <c r="I15312" s="1"/>
      <c r="J15312" s="71"/>
      <c r="M15312" s="46"/>
      <c r="R15312" s="51"/>
      <c r="S15312" s="51"/>
    </row>
    <row r="15313" spans="9:19" x14ac:dyDescent="0.25">
      <c r="I15313" s="1"/>
      <c r="J15313" s="71"/>
      <c r="M15313" s="46"/>
      <c r="R15313" s="51"/>
      <c r="S15313" s="51"/>
    </row>
    <row r="15314" spans="9:19" x14ac:dyDescent="0.25">
      <c r="I15314" s="1"/>
      <c r="J15314" s="71"/>
      <c r="M15314" s="46"/>
      <c r="R15314" s="51"/>
      <c r="S15314" s="51"/>
    </row>
    <row r="15315" spans="9:19" x14ac:dyDescent="0.25">
      <c r="I15315" s="1"/>
      <c r="J15315" s="71"/>
      <c r="M15315" s="46"/>
      <c r="R15315" s="51"/>
      <c r="S15315" s="51"/>
    </row>
    <row r="15316" spans="9:19" x14ac:dyDescent="0.25">
      <c r="I15316" s="1"/>
      <c r="J15316" s="71"/>
      <c r="M15316" s="46"/>
      <c r="R15316" s="51"/>
      <c r="S15316" s="51"/>
    </row>
    <row r="15317" spans="9:19" x14ac:dyDescent="0.25">
      <c r="I15317" s="1"/>
      <c r="J15317" s="71"/>
      <c r="M15317" s="46"/>
      <c r="R15317" s="51"/>
      <c r="S15317" s="51"/>
    </row>
    <row r="15318" spans="9:19" x14ac:dyDescent="0.25">
      <c r="I15318" s="1"/>
      <c r="J15318" s="71"/>
      <c r="M15318" s="46"/>
      <c r="R15318" s="51"/>
      <c r="S15318" s="51"/>
    </row>
    <row r="15319" spans="9:19" x14ac:dyDescent="0.25">
      <c r="I15319" s="1"/>
      <c r="J15319" s="71"/>
      <c r="M15319" s="46"/>
      <c r="R15319" s="51"/>
      <c r="S15319" s="51"/>
    </row>
    <row r="15320" spans="9:19" x14ac:dyDescent="0.25">
      <c r="I15320" s="1"/>
      <c r="J15320" s="71"/>
      <c r="M15320" s="46"/>
      <c r="R15320" s="51"/>
      <c r="S15320" s="51"/>
    </row>
    <row r="15321" spans="9:19" x14ac:dyDescent="0.25">
      <c r="I15321" s="1"/>
      <c r="J15321" s="71"/>
      <c r="M15321" s="46"/>
      <c r="R15321" s="51"/>
      <c r="S15321" s="51"/>
    </row>
    <row r="15322" spans="9:19" x14ac:dyDescent="0.25">
      <c r="I15322" s="1"/>
      <c r="J15322" s="71"/>
      <c r="M15322" s="46"/>
      <c r="R15322" s="51"/>
      <c r="S15322" s="51"/>
    </row>
    <row r="15323" spans="9:19" x14ac:dyDescent="0.25">
      <c r="I15323" s="1"/>
      <c r="J15323" s="71"/>
      <c r="M15323" s="46"/>
      <c r="R15323" s="51"/>
      <c r="S15323" s="51"/>
    </row>
    <row r="15324" spans="9:19" x14ac:dyDescent="0.25">
      <c r="I15324" s="1"/>
      <c r="J15324" s="71"/>
      <c r="M15324" s="46"/>
      <c r="R15324" s="51"/>
      <c r="S15324" s="51"/>
    </row>
    <row r="15325" spans="9:19" x14ac:dyDescent="0.25">
      <c r="I15325" s="1"/>
      <c r="J15325" s="71"/>
      <c r="M15325" s="46"/>
      <c r="R15325" s="51"/>
      <c r="S15325" s="51"/>
    </row>
    <row r="15326" spans="9:19" x14ac:dyDescent="0.25">
      <c r="I15326" s="1"/>
      <c r="J15326" s="71"/>
      <c r="M15326" s="46"/>
      <c r="R15326" s="51"/>
      <c r="S15326" s="51"/>
    </row>
    <row r="15327" spans="9:19" x14ac:dyDescent="0.25">
      <c r="I15327" s="1"/>
      <c r="J15327" s="71"/>
      <c r="M15327" s="46"/>
      <c r="R15327" s="51"/>
      <c r="S15327" s="51"/>
    </row>
    <row r="15328" spans="9:19" x14ac:dyDescent="0.25">
      <c r="I15328" s="1"/>
      <c r="J15328" s="71"/>
      <c r="M15328" s="46"/>
      <c r="R15328" s="51"/>
      <c r="S15328" s="51"/>
    </row>
    <row r="15329" spans="9:19" x14ac:dyDescent="0.25">
      <c r="I15329" s="1"/>
      <c r="J15329" s="71"/>
      <c r="M15329" s="46"/>
      <c r="R15329" s="51"/>
      <c r="S15329" s="51"/>
    </row>
    <row r="15330" spans="9:19" x14ac:dyDescent="0.25">
      <c r="I15330" s="1"/>
      <c r="J15330" s="71"/>
      <c r="M15330" s="46"/>
      <c r="R15330" s="51"/>
      <c r="S15330" s="51"/>
    </row>
    <row r="15331" spans="9:19" x14ac:dyDescent="0.25">
      <c r="I15331" s="1"/>
      <c r="J15331" s="71"/>
      <c r="M15331" s="46"/>
      <c r="R15331" s="51"/>
      <c r="S15331" s="51"/>
    </row>
    <row r="15332" spans="9:19" x14ac:dyDescent="0.25">
      <c r="I15332" s="1"/>
      <c r="J15332" s="71"/>
      <c r="M15332" s="46"/>
      <c r="R15332" s="51"/>
      <c r="S15332" s="51"/>
    </row>
    <row r="15333" spans="9:19" x14ac:dyDescent="0.25">
      <c r="I15333" s="1"/>
      <c r="J15333" s="71"/>
      <c r="M15333" s="46"/>
      <c r="R15333" s="51"/>
      <c r="S15333" s="51"/>
    </row>
    <row r="15334" spans="9:19" x14ac:dyDescent="0.25">
      <c r="I15334" s="1"/>
      <c r="J15334" s="71"/>
      <c r="M15334" s="46"/>
      <c r="R15334" s="51"/>
      <c r="S15334" s="51"/>
    </row>
    <row r="15335" spans="9:19" x14ac:dyDescent="0.25">
      <c r="I15335" s="1"/>
      <c r="J15335" s="71"/>
      <c r="M15335" s="46"/>
      <c r="R15335" s="51"/>
      <c r="S15335" s="51"/>
    </row>
    <row r="15336" spans="9:19" x14ac:dyDescent="0.25">
      <c r="I15336" s="1"/>
      <c r="J15336" s="71"/>
      <c r="M15336" s="46"/>
      <c r="R15336" s="51"/>
      <c r="S15336" s="51"/>
    </row>
    <row r="15337" spans="9:19" x14ac:dyDescent="0.25">
      <c r="I15337" s="1"/>
      <c r="J15337" s="71"/>
      <c r="M15337" s="46"/>
      <c r="R15337" s="51"/>
      <c r="S15337" s="51"/>
    </row>
    <row r="15338" spans="9:19" x14ac:dyDescent="0.25">
      <c r="I15338" s="1"/>
      <c r="J15338" s="71"/>
      <c r="M15338" s="46"/>
      <c r="R15338" s="51"/>
      <c r="S15338" s="51"/>
    </row>
    <row r="15339" spans="9:19" x14ac:dyDescent="0.25">
      <c r="I15339" s="1"/>
      <c r="J15339" s="71"/>
      <c r="M15339" s="46"/>
      <c r="R15339" s="51"/>
      <c r="S15339" s="51"/>
    </row>
    <row r="15340" spans="9:19" x14ac:dyDescent="0.25">
      <c r="I15340" s="1"/>
      <c r="J15340" s="71"/>
      <c r="M15340" s="46"/>
      <c r="R15340" s="51"/>
      <c r="S15340" s="51"/>
    </row>
    <row r="15341" spans="9:19" x14ac:dyDescent="0.25">
      <c r="I15341" s="1"/>
      <c r="J15341" s="71"/>
      <c r="M15341" s="46"/>
      <c r="R15341" s="51"/>
      <c r="S15341" s="51"/>
    </row>
    <row r="15342" spans="9:19" x14ac:dyDescent="0.25">
      <c r="I15342" s="1"/>
      <c r="J15342" s="71"/>
      <c r="M15342" s="46"/>
      <c r="R15342" s="51"/>
      <c r="S15342" s="51"/>
    </row>
    <row r="15343" spans="9:19" x14ac:dyDescent="0.25">
      <c r="I15343" s="1"/>
      <c r="J15343" s="71"/>
      <c r="M15343" s="46"/>
      <c r="R15343" s="51"/>
      <c r="S15343" s="51"/>
    </row>
    <row r="15344" spans="9:19" x14ac:dyDescent="0.25">
      <c r="I15344" s="1"/>
      <c r="J15344" s="71"/>
      <c r="M15344" s="46"/>
      <c r="R15344" s="51"/>
      <c r="S15344" s="51"/>
    </row>
    <row r="15345" spans="9:19" x14ac:dyDescent="0.25">
      <c r="I15345" s="1"/>
      <c r="J15345" s="71"/>
      <c r="M15345" s="46"/>
      <c r="R15345" s="51"/>
      <c r="S15345" s="51"/>
    </row>
    <row r="15346" spans="9:19" x14ac:dyDescent="0.25">
      <c r="I15346" s="1"/>
      <c r="J15346" s="71"/>
      <c r="M15346" s="46"/>
      <c r="R15346" s="51"/>
      <c r="S15346" s="51"/>
    </row>
    <row r="15347" spans="9:19" x14ac:dyDescent="0.25">
      <c r="I15347" s="1"/>
      <c r="J15347" s="71"/>
      <c r="M15347" s="46"/>
      <c r="R15347" s="51"/>
      <c r="S15347" s="51"/>
    </row>
    <row r="15348" spans="9:19" x14ac:dyDescent="0.25">
      <c r="I15348" s="1"/>
      <c r="J15348" s="71"/>
      <c r="M15348" s="46"/>
      <c r="R15348" s="51"/>
      <c r="S15348" s="51"/>
    </row>
    <row r="15349" spans="9:19" x14ac:dyDescent="0.25">
      <c r="I15349" s="1"/>
      <c r="J15349" s="71"/>
      <c r="M15349" s="46"/>
      <c r="R15349" s="51"/>
      <c r="S15349" s="51"/>
    </row>
    <row r="15350" spans="9:19" x14ac:dyDescent="0.25">
      <c r="I15350" s="1"/>
      <c r="J15350" s="71"/>
      <c r="M15350" s="46"/>
      <c r="R15350" s="51"/>
      <c r="S15350" s="51"/>
    </row>
    <row r="15351" spans="9:19" x14ac:dyDescent="0.25">
      <c r="I15351" s="1"/>
      <c r="J15351" s="71"/>
      <c r="M15351" s="46"/>
      <c r="R15351" s="51"/>
      <c r="S15351" s="51"/>
    </row>
    <row r="15352" spans="9:19" x14ac:dyDescent="0.25">
      <c r="I15352" s="1"/>
      <c r="J15352" s="71"/>
      <c r="M15352" s="46"/>
      <c r="R15352" s="51"/>
      <c r="S15352" s="51"/>
    </row>
    <row r="15353" spans="9:19" x14ac:dyDescent="0.25">
      <c r="I15353" s="1"/>
      <c r="J15353" s="71"/>
      <c r="M15353" s="46"/>
      <c r="R15353" s="51"/>
      <c r="S15353" s="51"/>
    </row>
    <row r="15354" spans="9:19" x14ac:dyDescent="0.25">
      <c r="I15354" s="1"/>
      <c r="J15354" s="71"/>
      <c r="M15354" s="46"/>
      <c r="R15354" s="51"/>
      <c r="S15354" s="51"/>
    </row>
    <row r="15355" spans="9:19" x14ac:dyDescent="0.25">
      <c r="I15355" s="1"/>
      <c r="J15355" s="71"/>
      <c r="M15355" s="46"/>
      <c r="R15355" s="51"/>
      <c r="S15355" s="51"/>
    </row>
    <row r="15356" spans="9:19" x14ac:dyDescent="0.25">
      <c r="I15356" s="1"/>
      <c r="J15356" s="71"/>
      <c r="M15356" s="46"/>
      <c r="R15356" s="51"/>
      <c r="S15356" s="51"/>
    </row>
    <row r="15357" spans="9:19" x14ac:dyDescent="0.25">
      <c r="I15357" s="1"/>
      <c r="J15357" s="71"/>
      <c r="M15357" s="46"/>
      <c r="R15357" s="51"/>
      <c r="S15357" s="51"/>
    </row>
    <row r="15358" spans="9:19" x14ac:dyDescent="0.25">
      <c r="I15358" s="1"/>
      <c r="J15358" s="71"/>
      <c r="M15358" s="46"/>
      <c r="R15358" s="51"/>
      <c r="S15358" s="51"/>
    </row>
    <row r="15359" spans="9:19" x14ac:dyDescent="0.25">
      <c r="I15359" s="1"/>
      <c r="J15359" s="71"/>
      <c r="M15359" s="46"/>
      <c r="R15359" s="51"/>
      <c r="S15359" s="51"/>
    </row>
    <row r="15360" spans="9:19" x14ac:dyDescent="0.25">
      <c r="I15360" s="1"/>
      <c r="J15360" s="71"/>
      <c r="M15360" s="46"/>
      <c r="R15360" s="51"/>
      <c r="S15360" s="51"/>
    </row>
    <row r="15361" spans="9:19" x14ac:dyDescent="0.25">
      <c r="I15361" s="1"/>
      <c r="J15361" s="71"/>
      <c r="M15361" s="46"/>
      <c r="R15361" s="51"/>
      <c r="S15361" s="51"/>
    </row>
    <row r="15362" spans="9:19" x14ac:dyDescent="0.25">
      <c r="I15362" s="1"/>
      <c r="J15362" s="71"/>
      <c r="M15362" s="46"/>
      <c r="R15362" s="51"/>
      <c r="S15362" s="51"/>
    </row>
    <row r="15363" spans="9:19" x14ac:dyDescent="0.25">
      <c r="I15363" s="1"/>
      <c r="J15363" s="71"/>
      <c r="M15363" s="46"/>
      <c r="R15363" s="51"/>
      <c r="S15363" s="51"/>
    </row>
    <row r="15364" spans="9:19" x14ac:dyDescent="0.25">
      <c r="I15364" s="1"/>
      <c r="J15364" s="71"/>
      <c r="M15364" s="46"/>
      <c r="R15364" s="51"/>
      <c r="S15364" s="51"/>
    </row>
    <row r="15365" spans="9:19" x14ac:dyDescent="0.25">
      <c r="I15365" s="1"/>
      <c r="J15365" s="71"/>
      <c r="M15365" s="46"/>
      <c r="R15365" s="51"/>
      <c r="S15365" s="51"/>
    </row>
    <row r="15366" spans="9:19" x14ac:dyDescent="0.25">
      <c r="I15366" s="1"/>
      <c r="J15366" s="71"/>
      <c r="M15366" s="46"/>
      <c r="R15366" s="51"/>
      <c r="S15366" s="51"/>
    </row>
    <row r="15367" spans="9:19" x14ac:dyDescent="0.25">
      <c r="I15367" s="1"/>
      <c r="J15367" s="71"/>
      <c r="M15367" s="46"/>
      <c r="R15367" s="51"/>
      <c r="S15367" s="51"/>
    </row>
    <row r="15368" spans="9:19" x14ac:dyDescent="0.25">
      <c r="I15368" s="1"/>
      <c r="J15368" s="71"/>
      <c r="M15368" s="46"/>
      <c r="R15368" s="51"/>
      <c r="S15368" s="51"/>
    </row>
    <row r="15369" spans="9:19" x14ac:dyDescent="0.25">
      <c r="I15369" s="1"/>
      <c r="J15369" s="71"/>
      <c r="M15369" s="46"/>
      <c r="R15369" s="51"/>
      <c r="S15369" s="51"/>
    </row>
    <row r="15370" spans="9:19" x14ac:dyDescent="0.25">
      <c r="I15370" s="1"/>
      <c r="J15370" s="71"/>
      <c r="M15370" s="46"/>
      <c r="R15370" s="51"/>
      <c r="S15370" s="51"/>
    </row>
    <row r="15371" spans="9:19" x14ac:dyDescent="0.25">
      <c r="I15371" s="1"/>
      <c r="J15371" s="71"/>
      <c r="M15371" s="46"/>
      <c r="R15371" s="51"/>
      <c r="S15371" s="51"/>
    </row>
    <row r="15372" spans="9:19" x14ac:dyDescent="0.25">
      <c r="I15372" s="1"/>
      <c r="J15372" s="71"/>
      <c r="M15372" s="46"/>
      <c r="R15372" s="51"/>
      <c r="S15372" s="51"/>
    </row>
    <row r="15373" spans="9:19" x14ac:dyDescent="0.25">
      <c r="I15373" s="1"/>
      <c r="J15373" s="71"/>
      <c r="M15373" s="46"/>
      <c r="R15373" s="51"/>
      <c r="S15373" s="51"/>
    </row>
    <row r="15374" spans="9:19" x14ac:dyDescent="0.25">
      <c r="I15374" s="1"/>
      <c r="J15374" s="71"/>
      <c r="M15374" s="46"/>
      <c r="R15374" s="51"/>
      <c r="S15374" s="51"/>
    </row>
    <row r="15375" spans="9:19" x14ac:dyDescent="0.25">
      <c r="I15375" s="1"/>
      <c r="J15375" s="71"/>
      <c r="M15375" s="46"/>
      <c r="R15375" s="51"/>
      <c r="S15375" s="51"/>
    </row>
    <row r="15376" spans="9:19" x14ac:dyDescent="0.25">
      <c r="I15376" s="1"/>
      <c r="J15376" s="71"/>
      <c r="M15376" s="46"/>
      <c r="R15376" s="51"/>
      <c r="S15376" s="51"/>
    </row>
    <row r="15377" spans="9:19" x14ac:dyDescent="0.25">
      <c r="I15377" s="1"/>
      <c r="J15377" s="71"/>
      <c r="M15377" s="46"/>
      <c r="R15377" s="51"/>
      <c r="S15377" s="51"/>
    </row>
    <row r="15378" spans="9:19" x14ac:dyDescent="0.25">
      <c r="I15378" s="1"/>
      <c r="J15378" s="71"/>
      <c r="M15378" s="46"/>
      <c r="R15378" s="51"/>
      <c r="S15378" s="51"/>
    </row>
    <row r="15379" spans="9:19" x14ac:dyDescent="0.25">
      <c r="I15379" s="1"/>
      <c r="J15379" s="71"/>
      <c r="M15379" s="46"/>
      <c r="R15379" s="51"/>
      <c r="S15379" s="51"/>
    </row>
    <row r="15380" spans="9:19" x14ac:dyDescent="0.25">
      <c r="I15380" s="1"/>
      <c r="J15380" s="71"/>
      <c r="M15380" s="46"/>
      <c r="R15380" s="51"/>
      <c r="S15380" s="51"/>
    </row>
    <row r="15381" spans="9:19" x14ac:dyDescent="0.25">
      <c r="I15381" s="1"/>
      <c r="J15381" s="71"/>
      <c r="M15381" s="46"/>
      <c r="R15381" s="51"/>
      <c r="S15381" s="51"/>
    </row>
    <row r="15382" spans="9:19" x14ac:dyDescent="0.25">
      <c r="I15382" s="1"/>
      <c r="J15382" s="71"/>
      <c r="M15382" s="46"/>
      <c r="R15382" s="51"/>
      <c r="S15382" s="51"/>
    </row>
    <row r="15383" spans="9:19" x14ac:dyDescent="0.25">
      <c r="I15383" s="1"/>
      <c r="J15383" s="71"/>
      <c r="M15383" s="46"/>
      <c r="R15383" s="51"/>
      <c r="S15383" s="51"/>
    </row>
    <row r="15384" spans="9:19" x14ac:dyDescent="0.25">
      <c r="I15384" s="1"/>
      <c r="J15384" s="71"/>
      <c r="M15384" s="46"/>
      <c r="R15384" s="51"/>
      <c r="S15384" s="51"/>
    </row>
    <row r="15385" spans="9:19" x14ac:dyDescent="0.25">
      <c r="I15385" s="1"/>
      <c r="J15385" s="71"/>
      <c r="M15385" s="46"/>
      <c r="R15385" s="51"/>
      <c r="S15385" s="51"/>
    </row>
    <row r="15386" spans="9:19" x14ac:dyDescent="0.25">
      <c r="I15386" s="1"/>
      <c r="J15386" s="71"/>
      <c r="M15386" s="46"/>
      <c r="R15386" s="51"/>
      <c r="S15386" s="51"/>
    </row>
    <row r="15387" spans="9:19" x14ac:dyDescent="0.25">
      <c r="I15387" s="1"/>
      <c r="J15387" s="71"/>
      <c r="M15387" s="46"/>
      <c r="R15387" s="51"/>
      <c r="S15387" s="51"/>
    </row>
    <row r="15388" spans="9:19" x14ac:dyDescent="0.25">
      <c r="I15388" s="1"/>
      <c r="J15388" s="71"/>
      <c r="M15388" s="46"/>
      <c r="R15388" s="51"/>
      <c r="S15388" s="51"/>
    </row>
    <row r="15389" spans="9:19" x14ac:dyDescent="0.25">
      <c r="I15389" s="1"/>
      <c r="J15389" s="71"/>
      <c r="M15389" s="46"/>
      <c r="R15389" s="51"/>
      <c r="S15389" s="51"/>
    </row>
    <row r="15390" spans="9:19" x14ac:dyDescent="0.25">
      <c r="I15390" s="1"/>
      <c r="J15390" s="71"/>
      <c r="M15390" s="46"/>
      <c r="R15390" s="51"/>
      <c r="S15390" s="51"/>
    </row>
    <row r="15391" spans="9:19" x14ac:dyDescent="0.25">
      <c r="I15391" s="1"/>
      <c r="J15391" s="71"/>
      <c r="M15391" s="46"/>
      <c r="R15391" s="51"/>
      <c r="S15391" s="51"/>
    </row>
    <row r="15392" spans="9:19" x14ac:dyDescent="0.25">
      <c r="I15392" s="1"/>
      <c r="J15392" s="71"/>
      <c r="M15392" s="46"/>
      <c r="R15392" s="51"/>
      <c r="S15392" s="51"/>
    </row>
    <row r="15393" spans="9:19" x14ac:dyDescent="0.25">
      <c r="I15393" s="1"/>
      <c r="J15393" s="71"/>
      <c r="M15393" s="46"/>
      <c r="R15393" s="51"/>
      <c r="S15393" s="51"/>
    </row>
    <row r="15394" spans="9:19" x14ac:dyDescent="0.25">
      <c r="I15394" s="1"/>
      <c r="J15394" s="71"/>
      <c r="M15394" s="46"/>
      <c r="R15394" s="51"/>
      <c r="S15394" s="51"/>
    </row>
    <row r="15395" spans="9:19" x14ac:dyDescent="0.25">
      <c r="I15395" s="1"/>
      <c r="J15395" s="71"/>
      <c r="M15395" s="46"/>
      <c r="R15395" s="51"/>
      <c r="S15395" s="51"/>
    </row>
    <row r="15396" spans="9:19" x14ac:dyDescent="0.25">
      <c r="I15396" s="1"/>
      <c r="J15396" s="71"/>
      <c r="M15396" s="46"/>
      <c r="R15396" s="51"/>
      <c r="S15396" s="51"/>
    </row>
    <row r="15397" spans="9:19" x14ac:dyDescent="0.25">
      <c r="I15397" s="1"/>
      <c r="J15397" s="71"/>
      <c r="M15397" s="46"/>
      <c r="R15397" s="51"/>
      <c r="S15397" s="51"/>
    </row>
    <row r="15398" spans="9:19" x14ac:dyDescent="0.25">
      <c r="I15398" s="1"/>
      <c r="J15398" s="71"/>
      <c r="M15398" s="46"/>
      <c r="R15398" s="51"/>
      <c r="S15398" s="51"/>
    </row>
    <row r="15399" spans="9:19" x14ac:dyDescent="0.25">
      <c r="I15399" s="1"/>
      <c r="J15399" s="71"/>
      <c r="M15399" s="46"/>
      <c r="R15399" s="51"/>
      <c r="S15399" s="51"/>
    </row>
    <row r="15400" spans="9:19" x14ac:dyDescent="0.25">
      <c r="I15400" s="1"/>
      <c r="J15400" s="71"/>
      <c r="M15400" s="46"/>
      <c r="R15400" s="51"/>
      <c r="S15400" s="51"/>
    </row>
    <row r="15401" spans="9:19" x14ac:dyDescent="0.25">
      <c r="I15401" s="1"/>
      <c r="J15401" s="71"/>
      <c r="M15401" s="46"/>
      <c r="R15401" s="51"/>
      <c r="S15401" s="51"/>
    </row>
    <row r="15402" spans="9:19" x14ac:dyDescent="0.25">
      <c r="I15402" s="1"/>
      <c r="J15402" s="71"/>
      <c r="M15402" s="46"/>
      <c r="R15402" s="51"/>
      <c r="S15402" s="51"/>
    </row>
    <row r="15403" spans="9:19" x14ac:dyDescent="0.25">
      <c r="I15403" s="1"/>
      <c r="J15403" s="71"/>
      <c r="M15403" s="46"/>
      <c r="R15403" s="51"/>
      <c r="S15403" s="51"/>
    </row>
    <row r="15404" spans="9:19" x14ac:dyDescent="0.25">
      <c r="I15404" s="1"/>
      <c r="J15404" s="71"/>
      <c r="M15404" s="46"/>
      <c r="R15404" s="51"/>
      <c r="S15404" s="51"/>
    </row>
    <row r="15405" spans="9:19" x14ac:dyDescent="0.25">
      <c r="I15405" s="1"/>
      <c r="J15405" s="71"/>
      <c r="M15405" s="46"/>
      <c r="R15405" s="51"/>
      <c r="S15405" s="51"/>
    </row>
    <row r="15406" spans="9:19" x14ac:dyDescent="0.25">
      <c r="I15406" s="1"/>
      <c r="J15406" s="71"/>
      <c r="M15406" s="46"/>
      <c r="R15406" s="51"/>
      <c r="S15406" s="51"/>
    </row>
    <row r="15407" spans="9:19" x14ac:dyDescent="0.25">
      <c r="I15407" s="1"/>
      <c r="J15407" s="71"/>
      <c r="M15407" s="46"/>
      <c r="R15407" s="51"/>
      <c r="S15407" s="51"/>
    </row>
    <row r="15408" spans="9:19" x14ac:dyDescent="0.25">
      <c r="I15408" s="1"/>
      <c r="J15408" s="71"/>
      <c r="M15408" s="46"/>
      <c r="R15408" s="51"/>
      <c r="S15408" s="51"/>
    </row>
    <row r="15409" spans="9:19" x14ac:dyDescent="0.25">
      <c r="I15409" s="1"/>
      <c r="J15409" s="71"/>
      <c r="M15409" s="46"/>
      <c r="R15409" s="51"/>
      <c r="S15409" s="51"/>
    </row>
    <row r="15410" spans="9:19" x14ac:dyDescent="0.25">
      <c r="I15410" s="1"/>
      <c r="J15410" s="71"/>
      <c r="M15410" s="46"/>
      <c r="R15410" s="51"/>
      <c r="S15410" s="51"/>
    </row>
    <row r="15411" spans="9:19" x14ac:dyDescent="0.25">
      <c r="I15411" s="1"/>
      <c r="J15411" s="71"/>
      <c r="M15411" s="46"/>
      <c r="R15411" s="51"/>
      <c r="S15411" s="51"/>
    </row>
    <row r="15412" spans="9:19" x14ac:dyDescent="0.25">
      <c r="I15412" s="1"/>
      <c r="J15412" s="71"/>
      <c r="M15412" s="46"/>
      <c r="R15412" s="51"/>
      <c r="S15412" s="51"/>
    </row>
    <row r="15413" spans="9:19" x14ac:dyDescent="0.25">
      <c r="I15413" s="1"/>
      <c r="J15413" s="71"/>
      <c r="M15413" s="46"/>
      <c r="R15413" s="51"/>
      <c r="S15413" s="51"/>
    </row>
    <row r="15414" spans="9:19" x14ac:dyDescent="0.25">
      <c r="I15414" s="1"/>
      <c r="J15414" s="71"/>
      <c r="M15414" s="46"/>
      <c r="R15414" s="51"/>
      <c r="S15414" s="51"/>
    </row>
    <row r="15415" spans="9:19" x14ac:dyDescent="0.25">
      <c r="I15415" s="1"/>
      <c r="J15415" s="71"/>
      <c r="M15415" s="46"/>
      <c r="R15415" s="51"/>
      <c r="S15415" s="51"/>
    </row>
    <row r="15416" spans="9:19" x14ac:dyDescent="0.25">
      <c r="I15416" s="1"/>
      <c r="J15416" s="71"/>
      <c r="M15416" s="46"/>
      <c r="R15416" s="51"/>
      <c r="S15416" s="51"/>
    </row>
    <row r="15417" spans="9:19" x14ac:dyDescent="0.25">
      <c r="I15417" s="1"/>
      <c r="J15417" s="71"/>
      <c r="M15417" s="46"/>
      <c r="R15417" s="51"/>
      <c r="S15417" s="51"/>
    </row>
    <row r="15418" spans="9:19" x14ac:dyDescent="0.25">
      <c r="I15418" s="1"/>
      <c r="J15418" s="71"/>
      <c r="M15418" s="46"/>
      <c r="R15418" s="51"/>
      <c r="S15418" s="51"/>
    </row>
    <row r="15419" spans="9:19" x14ac:dyDescent="0.25">
      <c r="I15419" s="1"/>
      <c r="J15419" s="71"/>
      <c r="M15419" s="46"/>
      <c r="R15419" s="51"/>
      <c r="S15419" s="51"/>
    </row>
    <row r="15420" spans="9:19" x14ac:dyDescent="0.25">
      <c r="I15420" s="1"/>
      <c r="J15420" s="71"/>
      <c r="M15420" s="46"/>
      <c r="R15420" s="51"/>
      <c r="S15420" s="51"/>
    </row>
    <row r="15421" spans="9:19" x14ac:dyDescent="0.25">
      <c r="I15421" s="1"/>
      <c r="J15421" s="71"/>
      <c r="M15421" s="46"/>
      <c r="R15421" s="51"/>
      <c r="S15421" s="51"/>
    </row>
    <row r="15422" spans="9:19" x14ac:dyDescent="0.25">
      <c r="I15422" s="1"/>
      <c r="J15422" s="71"/>
      <c r="M15422" s="46"/>
      <c r="R15422" s="51"/>
      <c r="S15422" s="51"/>
    </row>
    <row r="15423" spans="9:19" x14ac:dyDescent="0.25">
      <c r="I15423" s="1"/>
      <c r="J15423" s="71"/>
      <c r="M15423" s="46"/>
      <c r="R15423" s="51"/>
      <c r="S15423" s="51"/>
    </row>
    <row r="15424" spans="9:19" x14ac:dyDescent="0.25">
      <c r="I15424" s="1"/>
      <c r="J15424" s="71"/>
      <c r="M15424" s="46"/>
      <c r="R15424" s="51"/>
      <c r="S15424" s="51"/>
    </row>
    <row r="15425" spans="9:19" x14ac:dyDescent="0.25">
      <c r="I15425" s="1"/>
      <c r="J15425" s="71"/>
      <c r="M15425" s="46"/>
      <c r="R15425" s="51"/>
      <c r="S15425" s="51"/>
    </row>
    <row r="15426" spans="9:19" x14ac:dyDescent="0.25">
      <c r="I15426" s="1"/>
      <c r="J15426" s="71"/>
      <c r="M15426" s="46"/>
      <c r="R15426" s="51"/>
      <c r="S15426" s="51"/>
    </row>
    <row r="15427" spans="9:19" x14ac:dyDescent="0.25">
      <c r="I15427" s="1"/>
      <c r="J15427" s="71"/>
      <c r="M15427" s="46"/>
      <c r="R15427" s="51"/>
      <c r="S15427" s="51"/>
    </row>
    <row r="15428" spans="9:19" x14ac:dyDescent="0.25">
      <c r="I15428" s="1"/>
      <c r="J15428" s="71"/>
      <c r="M15428" s="46"/>
      <c r="R15428" s="51"/>
      <c r="S15428" s="51"/>
    </row>
    <row r="15429" spans="9:19" x14ac:dyDescent="0.25">
      <c r="I15429" s="1"/>
      <c r="J15429" s="71"/>
      <c r="M15429" s="46"/>
      <c r="R15429" s="51"/>
      <c r="S15429" s="51"/>
    </row>
    <row r="15430" spans="9:19" x14ac:dyDescent="0.25">
      <c r="I15430" s="1"/>
      <c r="J15430" s="71"/>
      <c r="M15430" s="46"/>
      <c r="R15430" s="51"/>
      <c r="S15430" s="51"/>
    </row>
    <row r="15431" spans="9:19" x14ac:dyDescent="0.25">
      <c r="I15431" s="1"/>
      <c r="J15431" s="71"/>
      <c r="M15431" s="46"/>
      <c r="R15431" s="51"/>
      <c r="S15431" s="51"/>
    </row>
    <row r="15432" spans="9:19" x14ac:dyDescent="0.25">
      <c r="I15432" s="1"/>
      <c r="J15432" s="71"/>
      <c r="M15432" s="46"/>
      <c r="R15432" s="51"/>
      <c r="S15432" s="51"/>
    </row>
    <row r="15433" spans="9:19" x14ac:dyDescent="0.25">
      <c r="I15433" s="1"/>
      <c r="J15433" s="71"/>
      <c r="M15433" s="46"/>
      <c r="R15433" s="51"/>
      <c r="S15433" s="51"/>
    </row>
    <row r="15434" spans="9:19" x14ac:dyDescent="0.25">
      <c r="I15434" s="1"/>
      <c r="J15434" s="71"/>
      <c r="M15434" s="46"/>
      <c r="R15434" s="51"/>
      <c r="S15434" s="51"/>
    </row>
    <row r="15435" spans="9:19" x14ac:dyDescent="0.25">
      <c r="I15435" s="1"/>
      <c r="J15435" s="71"/>
      <c r="M15435" s="46"/>
      <c r="R15435" s="51"/>
      <c r="S15435" s="51"/>
    </row>
    <row r="15436" spans="9:19" x14ac:dyDescent="0.25">
      <c r="I15436" s="1"/>
      <c r="J15436" s="71"/>
      <c r="M15436" s="46"/>
      <c r="R15436" s="51"/>
      <c r="S15436" s="51"/>
    </row>
    <row r="15437" spans="9:19" x14ac:dyDescent="0.25">
      <c r="I15437" s="1"/>
      <c r="J15437" s="71"/>
      <c r="M15437" s="46"/>
      <c r="R15437" s="51"/>
      <c r="S15437" s="51"/>
    </row>
    <row r="15438" spans="9:19" x14ac:dyDescent="0.25">
      <c r="I15438" s="1"/>
      <c r="J15438" s="71"/>
      <c r="M15438" s="46"/>
      <c r="R15438" s="51"/>
      <c r="S15438" s="51"/>
    </row>
    <row r="15439" spans="9:19" x14ac:dyDescent="0.25">
      <c r="I15439" s="1"/>
      <c r="J15439" s="71"/>
      <c r="M15439" s="46"/>
      <c r="R15439" s="51"/>
      <c r="S15439" s="51"/>
    </row>
    <row r="15440" spans="9:19" x14ac:dyDescent="0.25">
      <c r="I15440" s="1"/>
      <c r="J15440" s="71"/>
      <c r="M15440" s="46"/>
      <c r="R15440" s="51"/>
      <c r="S15440" s="51"/>
    </row>
    <row r="15441" spans="9:19" x14ac:dyDescent="0.25">
      <c r="I15441" s="1"/>
      <c r="J15441" s="71"/>
      <c r="M15441" s="46"/>
      <c r="R15441" s="51"/>
      <c r="S15441" s="51"/>
    </row>
    <row r="15442" spans="9:19" x14ac:dyDescent="0.25">
      <c r="I15442" s="1"/>
      <c r="J15442" s="71"/>
      <c r="M15442" s="46"/>
      <c r="R15442" s="51"/>
      <c r="S15442" s="51"/>
    </row>
    <row r="15443" spans="9:19" x14ac:dyDescent="0.25">
      <c r="I15443" s="1"/>
      <c r="J15443" s="71"/>
      <c r="M15443" s="46"/>
      <c r="R15443" s="51"/>
      <c r="S15443" s="51"/>
    </row>
    <row r="15444" spans="9:19" x14ac:dyDescent="0.25">
      <c r="I15444" s="1"/>
      <c r="J15444" s="71"/>
      <c r="M15444" s="46"/>
      <c r="R15444" s="51"/>
      <c r="S15444" s="51"/>
    </row>
    <row r="15445" spans="9:19" x14ac:dyDescent="0.25">
      <c r="I15445" s="1"/>
      <c r="J15445" s="71"/>
      <c r="M15445" s="46"/>
      <c r="R15445" s="51"/>
      <c r="S15445" s="51"/>
    </row>
    <row r="15446" spans="9:19" x14ac:dyDescent="0.25">
      <c r="I15446" s="1"/>
      <c r="J15446" s="71"/>
      <c r="M15446" s="46"/>
      <c r="R15446" s="51"/>
      <c r="S15446" s="51"/>
    </row>
    <row r="15447" spans="9:19" x14ac:dyDescent="0.25">
      <c r="I15447" s="1"/>
      <c r="J15447" s="71"/>
      <c r="M15447" s="46"/>
      <c r="R15447" s="51"/>
      <c r="S15447" s="51"/>
    </row>
    <row r="15448" spans="9:19" x14ac:dyDescent="0.25">
      <c r="I15448" s="1"/>
      <c r="J15448" s="71"/>
      <c r="M15448" s="46"/>
      <c r="R15448" s="51"/>
      <c r="S15448" s="51"/>
    </row>
    <row r="15449" spans="9:19" x14ac:dyDescent="0.25">
      <c r="I15449" s="1"/>
      <c r="J15449" s="71"/>
      <c r="M15449" s="46"/>
      <c r="R15449" s="51"/>
      <c r="S15449" s="51"/>
    </row>
    <row r="15450" spans="9:19" x14ac:dyDescent="0.25">
      <c r="I15450" s="1"/>
      <c r="J15450" s="71"/>
      <c r="M15450" s="46"/>
      <c r="R15450" s="51"/>
      <c r="S15450" s="51"/>
    </row>
    <row r="15451" spans="9:19" x14ac:dyDescent="0.25">
      <c r="I15451" s="1"/>
      <c r="J15451" s="71"/>
      <c r="M15451" s="46"/>
      <c r="R15451" s="51"/>
      <c r="S15451" s="51"/>
    </row>
    <row r="15452" spans="9:19" x14ac:dyDescent="0.25">
      <c r="I15452" s="1"/>
      <c r="J15452" s="71"/>
      <c r="M15452" s="46"/>
      <c r="R15452" s="51"/>
      <c r="S15452" s="51"/>
    </row>
    <row r="15453" spans="9:19" x14ac:dyDescent="0.25">
      <c r="I15453" s="1"/>
      <c r="J15453" s="71"/>
      <c r="M15453" s="46"/>
      <c r="R15453" s="51"/>
      <c r="S15453" s="51"/>
    </row>
    <row r="15454" spans="9:19" x14ac:dyDescent="0.25">
      <c r="I15454" s="1"/>
      <c r="J15454" s="71"/>
      <c r="M15454" s="46"/>
      <c r="R15454" s="51"/>
      <c r="S15454" s="51"/>
    </row>
    <row r="15455" spans="9:19" x14ac:dyDescent="0.25">
      <c r="I15455" s="1"/>
      <c r="J15455" s="71"/>
      <c r="M15455" s="46"/>
      <c r="R15455" s="51"/>
      <c r="S15455" s="51"/>
    </row>
    <row r="15456" spans="9:19" x14ac:dyDescent="0.25">
      <c r="I15456" s="1"/>
      <c r="J15456" s="71"/>
      <c r="M15456" s="46"/>
      <c r="R15456" s="51"/>
      <c r="S15456" s="51"/>
    </row>
    <row r="15457" spans="9:19" x14ac:dyDescent="0.25">
      <c r="I15457" s="1"/>
      <c r="J15457" s="71"/>
      <c r="M15457" s="46"/>
      <c r="R15457" s="51"/>
      <c r="S15457" s="51"/>
    </row>
    <row r="15458" spans="9:19" x14ac:dyDescent="0.25">
      <c r="I15458" s="1"/>
      <c r="J15458" s="71"/>
      <c r="M15458" s="46"/>
      <c r="R15458" s="51"/>
      <c r="S15458" s="51"/>
    </row>
    <row r="15459" spans="9:19" x14ac:dyDescent="0.25">
      <c r="I15459" s="1"/>
      <c r="J15459" s="71"/>
      <c r="M15459" s="46"/>
      <c r="R15459" s="51"/>
      <c r="S15459" s="51"/>
    </row>
    <row r="15460" spans="9:19" x14ac:dyDescent="0.25">
      <c r="I15460" s="1"/>
      <c r="J15460" s="71"/>
      <c r="M15460" s="46"/>
      <c r="R15460" s="51"/>
      <c r="S15460" s="51"/>
    </row>
    <row r="15461" spans="9:19" x14ac:dyDescent="0.25">
      <c r="I15461" s="1"/>
      <c r="J15461" s="71"/>
      <c r="M15461" s="46"/>
      <c r="R15461" s="51"/>
      <c r="S15461" s="51"/>
    </row>
    <row r="15462" spans="9:19" x14ac:dyDescent="0.25">
      <c r="I15462" s="1"/>
      <c r="J15462" s="71"/>
      <c r="M15462" s="46"/>
      <c r="R15462" s="51"/>
      <c r="S15462" s="51"/>
    </row>
    <row r="15463" spans="9:19" x14ac:dyDescent="0.25">
      <c r="I15463" s="1"/>
      <c r="J15463" s="71"/>
      <c r="M15463" s="46"/>
      <c r="R15463" s="51"/>
      <c r="S15463" s="51"/>
    </row>
    <row r="15464" spans="9:19" x14ac:dyDescent="0.25">
      <c r="I15464" s="1"/>
      <c r="J15464" s="71"/>
      <c r="M15464" s="46"/>
      <c r="R15464" s="51"/>
      <c r="S15464" s="51"/>
    </row>
    <row r="15465" spans="9:19" x14ac:dyDescent="0.25">
      <c r="I15465" s="1"/>
      <c r="J15465" s="71"/>
      <c r="M15465" s="46"/>
      <c r="R15465" s="51"/>
      <c r="S15465" s="51"/>
    </row>
    <row r="15466" spans="9:19" x14ac:dyDescent="0.25">
      <c r="I15466" s="1"/>
      <c r="J15466" s="71"/>
      <c r="M15466" s="46"/>
      <c r="R15466" s="51"/>
      <c r="S15466" s="51"/>
    </row>
    <row r="15467" spans="9:19" x14ac:dyDescent="0.25">
      <c r="I15467" s="1"/>
      <c r="J15467" s="71"/>
      <c r="M15467" s="46"/>
      <c r="R15467" s="51"/>
      <c r="S15467" s="51"/>
    </row>
    <row r="15468" spans="9:19" x14ac:dyDescent="0.25">
      <c r="I15468" s="1"/>
      <c r="J15468" s="71"/>
      <c r="M15468" s="46"/>
      <c r="R15468" s="51"/>
      <c r="S15468" s="51"/>
    </row>
    <row r="15469" spans="9:19" x14ac:dyDescent="0.25">
      <c r="I15469" s="1"/>
      <c r="J15469" s="71"/>
      <c r="M15469" s="46"/>
      <c r="R15469" s="51"/>
      <c r="S15469" s="51"/>
    </row>
    <row r="15470" spans="9:19" x14ac:dyDescent="0.25">
      <c r="I15470" s="1"/>
      <c r="J15470" s="71"/>
      <c r="M15470" s="46"/>
      <c r="R15470" s="51"/>
      <c r="S15470" s="51"/>
    </row>
    <row r="15471" spans="9:19" x14ac:dyDescent="0.25">
      <c r="I15471" s="1"/>
      <c r="J15471" s="71"/>
      <c r="M15471" s="46"/>
      <c r="R15471" s="51"/>
      <c r="S15471" s="51"/>
    </row>
    <row r="15472" spans="9:19" x14ac:dyDescent="0.25">
      <c r="I15472" s="1"/>
      <c r="J15472" s="71"/>
      <c r="M15472" s="46"/>
      <c r="R15472" s="51"/>
      <c r="S15472" s="51"/>
    </row>
    <row r="15473" spans="9:19" x14ac:dyDescent="0.25">
      <c r="I15473" s="1"/>
      <c r="J15473" s="71"/>
      <c r="M15473" s="46"/>
      <c r="R15473" s="51"/>
      <c r="S15473" s="51"/>
    </row>
    <row r="15474" spans="9:19" x14ac:dyDescent="0.25">
      <c r="I15474" s="1"/>
      <c r="J15474" s="71"/>
      <c r="M15474" s="46"/>
      <c r="R15474" s="51"/>
      <c r="S15474" s="51"/>
    </row>
    <row r="15475" spans="9:19" x14ac:dyDescent="0.25">
      <c r="I15475" s="1"/>
      <c r="J15475" s="71"/>
      <c r="M15475" s="46"/>
      <c r="R15475" s="51"/>
      <c r="S15475" s="51"/>
    </row>
    <row r="15476" spans="9:19" x14ac:dyDescent="0.25">
      <c r="I15476" s="1"/>
      <c r="J15476" s="71"/>
      <c r="M15476" s="46"/>
      <c r="R15476" s="51"/>
      <c r="S15476" s="51"/>
    </row>
    <row r="15477" spans="9:19" x14ac:dyDescent="0.25">
      <c r="I15477" s="1"/>
      <c r="J15477" s="71"/>
      <c r="M15477" s="46"/>
      <c r="R15477" s="51"/>
      <c r="S15477" s="51"/>
    </row>
    <row r="15478" spans="9:19" x14ac:dyDescent="0.25">
      <c r="I15478" s="1"/>
      <c r="J15478" s="71"/>
      <c r="M15478" s="46"/>
      <c r="R15478" s="51"/>
      <c r="S15478" s="51"/>
    </row>
    <row r="15479" spans="9:19" x14ac:dyDescent="0.25">
      <c r="I15479" s="1"/>
      <c r="J15479" s="71"/>
      <c r="M15479" s="46"/>
      <c r="R15479" s="51"/>
      <c r="S15479" s="51"/>
    </row>
    <row r="15480" spans="9:19" x14ac:dyDescent="0.25">
      <c r="I15480" s="1"/>
      <c r="J15480" s="71"/>
      <c r="M15480" s="46"/>
      <c r="R15480" s="51"/>
      <c r="S15480" s="51"/>
    </row>
    <row r="15481" spans="9:19" x14ac:dyDescent="0.25">
      <c r="I15481" s="1"/>
      <c r="J15481" s="71"/>
      <c r="M15481" s="46"/>
      <c r="R15481" s="51"/>
      <c r="S15481" s="51"/>
    </row>
    <row r="15482" spans="9:19" x14ac:dyDescent="0.25">
      <c r="I15482" s="1"/>
      <c r="J15482" s="71"/>
      <c r="M15482" s="46"/>
      <c r="R15482" s="51"/>
      <c r="S15482" s="51"/>
    </row>
    <row r="15483" spans="9:19" x14ac:dyDescent="0.25">
      <c r="I15483" s="1"/>
      <c r="J15483" s="71"/>
      <c r="M15483" s="46"/>
      <c r="R15483" s="51"/>
      <c r="S15483" s="51"/>
    </row>
    <row r="15484" spans="9:19" x14ac:dyDescent="0.25">
      <c r="I15484" s="1"/>
      <c r="J15484" s="71"/>
      <c r="M15484" s="46"/>
      <c r="R15484" s="51"/>
      <c r="S15484" s="51"/>
    </row>
    <row r="15485" spans="9:19" x14ac:dyDescent="0.25">
      <c r="I15485" s="1"/>
      <c r="J15485" s="71"/>
      <c r="M15485" s="46"/>
      <c r="R15485" s="51"/>
      <c r="S15485" s="51"/>
    </row>
    <row r="15486" spans="9:19" x14ac:dyDescent="0.25">
      <c r="I15486" s="1"/>
      <c r="J15486" s="71"/>
      <c r="M15486" s="46"/>
      <c r="R15486" s="51"/>
      <c r="S15486" s="51"/>
    </row>
    <row r="15487" spans="9:19" x14ac:dyDescent="0.25">
      <c r="I15487" s="1"/>
      <c r="J15487" s="71"/>
      <c r="M15487" s="46"/>
      <c r="R15487" s="51"/>
      <c r="S15487" s="51"/>
    </row>
    <row r="15488" spans="9:19" x14ac:dyDescent="0.25">
      <c r="I15488" s="1"/>
      <c r="J15488" s="71"/>
      <c r="M15488" s="46"/>
      <c r="R15488" s="51"/>
      <c r="S15488" s="51"/>
    </row>
    <row r="15489" spans="9:19" x14ac:dyDescent="0.25">
      <c r="I15489" s="1"/>
      <c r="J15489" s="71"/>
      <c r="M15489" s="46"/>
      <c r="R15489" s="51"/>
      <c r="S15489" s="51"/>
    </row>
    <row r="15490" spans="9:19" x14ac:dyDescent="0.25">
      <c r="I15490" s="1"/>
      <c r="J15490" s="71"/>
      <c r="M15490" s="46"/>
      <c r="R15490" s="51"/>
      <c r="S15490" s="51"/>
    </row>
    <row r="15491" spans="9:19" x14ac:dyDescent="0.25">
      <c r="I15491" s="1"/>
      <c r="J15491" s="71"/>
      <c r="M15491" s="46"/>
      <c r="R15491" s="51"/>
      <c r="S15491" s="51"/>
    </row>
    <row r="15492" spans="9:19" x14ac:dyDescent="0.25">
      <c r="I15492" s="1"/>
      <c r="J15492" s="71"/>
      <c r="M15492" s="46"/>
      <c r="R15492" s="51"/>
      <c r="S15492" s="51"/>
    </row>
    <row r="15493" spans="9:19" x14ac:dyDescent="0.25">
      <c r="I15493" s="1"/>
      <c r="J15493" s="71"/>
      <c r="M15493" s="46"/>
      <c r="R15493" s="51"/>
      <c r="S15493" s="51"/>
    </row>
    <row r="15494" spans="9:19" x14ac:dyDescent="0.25">
      <c r="I15494" s="1"/>
      <c r="J15494" s="71"/>
      <c r="M15494" s="46"/>
      <c r="R15494" s="51"/>
      <c r="S15494" s="51"/>
    </row>
    <row r="15495" spans="9:19" x14ac:dyDescent="0.25">
      <c r="I15495" s="1"/>
      <c r="J15495" s="71"/>
      <c r="M15495" s="46"/>
      <c r="R15495" s="51"/>
      <c r="S15495" s="51"/>
    </row>
    <row r="15496" spans="9:19" x14ac:dyDescent="0.25">
      <c r="I15496" s="1"/>
      <c r="J15496" s="71"/>
      <c r="M15496" s="46"/>
      <c r="R15496" s="51"/>
      <c r="S15496" s="51"/>
    </row>
    <row r="15497" spans="9:19" x14ac:dyDescent="0.25">
      <c r="I15497" s="1"/>
      <c r="J15497" s="71"/>
      <c r="M15497" s="46"/>
      <c r="R15497" s="51"/>
      <c r="S15497" s="51"/>
    </row>
    <row r="15498" spans="9:19" x14ac:dyDescent="0.25">
      <c r="I15498" s="1"/>
      <c r="J15498" s="71"/>
      <c r="M15498" s="46"/>
      <c r="R15498" s="51"/>
      <c r="S15498" s="51"/>
    </row>
    <row r="15499" spans="9:19" x14ac:dyDescent="0.25">
      <c r="I15499" s="1"/>
      <c r="J15499" s="71"/>
      <c r="M15499" s="46"/>
      <c r="R15499" s="51"/>
      <c r="S15499" s="51"/>
    </row>
    <row r="15500" spans="9:19" x14ac:dyDescent="0.25">
      <c r="I15500" s="1"/>
      <c r="J15500" s="71"/>
      <c r="M15500" s="46"/>
      <c r="R15500" s="51"/>
      <c r="S15500" s="51"/>
    </row>
    <row r="15501" spans="9:19" x14ac:dyDescent="0.25">
      <c r="I15501" s="1"/>
      <c r="J15501" s="71"/>
      <c r="M15501" s="46"/>
      <c r="R15501" s="51"/>
      <c r="S15501" s="51"/>
    </row>
    <row r="15502" spans="9:19" x14ac:dyDescent="0.25">
      <c r="I15502" s="1"/>
      <c r="J15502" s="71"/>
      <c r="M15502" s="46"/>
      <c r="R15502" s="51"/>
      <c r="S15502" s="51"/>
    </row>
    <row r="15503" spans="9:19" x14ac:dyDescent="0.25">
      <c r="I15503" s="1"/>
      <c r="J15503" s="71"/>
      <c r="M15503" s="46"/>
      <c r="R15503" s="51"/>
      <c r="S15503" s="51"/>
    </row>
    <row r="15504" spans="9:19" x14ac:dyDescent="0.25">
      <c r="I15504" s="1"/>
      <c r="J15504" s="71"/>
      <c r="M15504" s="46"/>
      <c r="R15504" s="51"/>
      <c r="S15504" s="51"/>
    </row>
    <row r="15505" spans="9:19" x14ac:dyDescent="0.25">
      <c r="I15505" s="1"/>
      <c r="J15505" s="71"/>
      <c r="M15505" s="46"/>
      <c r="R15505" s="51"/>
      <c r="S15505" s="51"/>
    </row>
    <row r="15506" spans="9:19" x14ac:dyDescent="0.25">
      <c r="I15506" s="1"/>
      <c r="J15506" s="71"/>
      <c r="M15506" s="46"/>
      <c r="R15506" s="51"/>
      <c r="S15506" s="51"/>
    </row>
    <row r="15507" spans="9:19" x14ac:dyDescent="0.25">
      <c r="I15507" s="1"/>
      <c r="J15507" s="71"/>
      <c r="M15507" s="46"/>
      <c r="R15507" s="51"/>
      <c r="S15507" s="51"/>
    </row>
    <row r="15508" spans="9:19" x14ac:dyDescent="0.25">
      <c r="I15508" s="1"/>
      <c r="J15508" s="71"/>
      <c r="M15508" s="46"/>
      <c r="R15508" s="51"/>
      <c r="S15508" s="51"/>
    </row>
    <row r="15509" spans="9:19" x14ac:dyDescent="0.25">
      <c r="I15509" s="1"/>
      <c r="J15509" s="71"/>
      <c r="M15509" s="46"/>
      <c r="R15509" s="51"/>
      <c r="S15509" s="51"/>
    </row>
    <row r="15510" spans="9:19" x14ac:dyDescent="0.25">
      <c r="I15510" s="1"/>
      <c r="J15510" s="71"/>
      <c r="M15510" s="46"/>
      <c r="R15510" s="51"/>
      <c r="S15510" s="51"/>
    </row>
    <row r="15511" spans="9:19" x14ac:dyDescent="0.25">
      <c r="I15511" s="1"/>
      <c r="J15511" s="71"/>
      <c r="M15511" s="46"/>
      <c r="R15511" s="51"/>
      <c r="S15511" s="51"/>
    </row>
    <row r="15512" spans="9:19" x14ac:dyDescent="0.25">
      <c r="I15512" s="1"/>
      <c r="J15512" s="71"/>
      <c r="M15512" s="46"/>
      <c r="R15512" s="51"/>
      <c r="S15512" s="51"/>
    </row>
    <row r="15513" spans="9:19" x14ac:dyDescent="0.25">
      <c r="I15513" s="1"/>
      <c r="J15513" s="71"/>
      <c r="M15513" s="46"/>
      <c r="R15513" s="51"/>
      <c r="S15513" s="51"/>
    </row>
    <row r="15514" spans="9:19" x14ac:dyDescent="0.25">
      <c r="I15514" s="1"/>
      <c r="J15514" s="71"/>
      <c r="M15514" s="46"/>
      <c r="R15514" s="51"/>
      <c r="S15514" s="51"/>
    </row>
    <row r="15515" spans="9:19" x14ac:dyDescent="0.25">
      <c r="I15515" s="1"/>
      <c r="J15515" s="71"/>
      <c r="M15515" s="46"/>
      <c r="R15515" s="51"/>
      <c r="S15515" s="51"/>
    </row>
    <row r="15516" spans="9:19" x14ac:dyDescent="0.25">
      <c r="I15516" s="1"/>
      <c r="J15516" s="71"/>
      <c r="M15516" s="46"/>
      <c r="R15516" s="51"/>
      <c r="S15516" s="51"/>
    </row>
    <row r="15517" spans="9:19" x14ac:dyDescent="0.25">
      <c r="I15517" s="1"/>
      <c r="J15517" s="71"/>
      <c r="M15517" s="46"/>
      <c r="R15517" s="51"/>
      <c r="S15517" s="51"/>
    </row>
    <row r="15518" spans="9:19" x14ac:dyDescent="0.25">
      <c r="I15518" s="1"/>
      <c r="J15518" s="71"/>
      <c r="M15518" s="46"/>
      <c r="R15518" s="51"/>
      <c r="S15518" s="51"/>
    </row>
    <row r="15519" spans="9:19" x14ac:dyDescent="0.25">
      <c r="I15519" s="1"/>
      <c r="J15519" s="71"/>
      <c r="M15519" s="46"/>
      <c r="R15519" s="51"/>
      <c r="S15519" s="51"/>
    </row>
    <row r="15520" spans="9:19" x14ac:dyDescent="0.25">
      <c r="I15520" s="1"/>
      <c r="J15520" s="71"/>
      <c r="M15520" s="46"/>
      <c r="R15520" s="51"/>
      <c r="S15520" s="51"/>
    </row>
    <row r="15521" spans="9:19" x14ac:dyDescent="0.25">
      <c r="I15521" s="1"/>
      <c r="J15521" s="71"/>
      <c r="M15521" s="46"/>
      <c r="R15521" s="51"/>
      <c r="S15521" s="51"/>
    </row>
    <row r="15522" spans="9:19" x14ac:dyDescent="0.25">
      <c r="I15522" s="1"/>
      <c r="J15522" s="71"/>
      <c r="M15522" s="46"/>
      <c r="R15522" s="51"/>
      <c r="S15522" s="51"/>
    </row>
    <row r="15523" spans="9:19" x14ac:dyDescent="0.25">
      <c r="I15523" s="1"/>
      <c r="J15523" s="71"/>
      <c r="M15523" s="46"/>
      <c r="R15523" s="51"/>
      <c r="S15523" s="51"/>
    </row>
    <row r="15524" spans="9:19" x14ac:dyDescent="0.25">
      <c r="I15524" s="1"/>
      <c r="J15524" s="71"/>
      <c r="M15524" s="46"/>
      <c r="R15524" s="51"/>
      <c r="S15524" s="51"/>
    </row>
    <row r="15525" spans="9:19" x14ac:dyDescent="0.25">
      <c r="I15525" s="1"/>
      <c r="J15525" s="71"/>
      <c r="M15525" s="46"/>
      <c r="R15525" s="51"/>
      <c r="S15525" s="51"/>
    </row>
    <row r="15526" spans="9:19" x14ac:dyDescent="0.25">
      <c r="I15526" s="1"/>
      <c r="J15526" s="71"/>
      <c r="M15526" s="46"/>
      <c r="R15526" s="51"/>
      <c r="S15526" s="51"/>
    </row>
    <row r="15527" spans="9:19" x14ac:dyDescent="0.25">
      <c r="I15527" s="1"/>
      <c r="J15527" s="71"/>
      <c r="M15527" s="46"/>
      <c r="R15527" s="51"/>
      <c r="S15527" s="51"/>
    </row>
    <row r="15528" spans="9:19" x14ac:dyDescent="0.25">
      <c r="I15528" s="1"/>
      <c r="J15528" s="71"/>
      <c r="M15528" s="46"/>
      <c r="R15528" s="51"/>
      <c r="S15528" s="51"/>
    </row>
    <row r="15529" spans="9:19" x14ac:dyDescent="0.25">
      <c r="I15529" s="1"/>
      <c r="J15529" s="71"/>
      <c r="M15529" s="46"/>
      <c r="R15529" s="51"/>
      <c r="S15529" s="51"/>
    </row>
    <row r="15530" spans="9:19" x14ac:dyDescent="0.25">
      <c r="I15530" s="1"/>
      <c r="J15530" s="71"/>
      <c r="M15530" s="46"/>
      <c r="R15530" s="51"/>
      <c r="S15530" s="51"/>
    </row>
    <row r="15531" spans="9:19" x14ac:dyDescent="0.25">
      <c r="I15531" s="1"/>
      <c r="J15531" s="71"/>
      <c r="M15531" s="46"/>
      <c r="R15531" s="51"/>
      <c r="S15531" s="51"/>
    </row>
    <row r="15532" spans="9:19" x14ac:dyDescent="0.25">
      <c r="I15532" s="1"/>
      <c r="J15532" s="71"/>
      <c r="M15532" s="46"/>
      <c r="R15532" s="51"/>
      <c r="S15532" s="51"/>
    </row>
    <row r="15533" spans="9:19" x14ac:dyDescent="0.25">
      <c r="I15533" s="1"/>
      <c r="J15533" s="71"/>
      <c r="M15533" s="46"/>
      <c r="R15533" s="51"/>
      <c r="S15533" s="51"/>
    </row>
    <row r="15534" spans="9:19" x14ac:dyDescent="0.25">
      <c r="I15534" s="1"/>
      <c r="J15534" s="71"/>
      <c r="M15534" s="46"/>
      <c r="R15534" s="51"/>
      <c r="S15534" s="51"/>
    </row>
    <row r="15535" spans="9:19" x14ac:dyDescent="0.25">
      <c r="I15535" s="1"/>
      <c r="J15535" s="71"/>
      <c r="M15535" s="46"/>
      <c r="R15535" s="51"/>
      <c r="S15535" s="51"/>
    </row>
    <row r="15536" spans="9:19" x14ac:dyDescent="0.25">
      <c r="I15536" s="1"/>
      <c r="J15536" s="71"/>
      <c r="M15536" s="46"/>
      <c r="R15536" s="51"/>
      <c r="S15536" s="51"/>
    </row>
    <row r="15537" spans="9:19" x14ac:dyDescent="0.25">
      <c r="I15537" s="1"/>
      <c r="J15537" s="71"/>
      <c r="M15537" s="46"/>
      <c r="R15537" s="51"/>
      <c r="S15537" s="51"/>
    </row>
    <row r="15538" spans="9:19" x14ac:dyDescent="0.25">
      <c r="I15538" s="1"/>
      <c r="J15538" s="71"/>
      <c r="M15538" s="46"/>
      <c r="R15538" s="51"/>
      <c r="S15538" s="51"/>
    </row>
    <row r="15539" spans="9:19" x14ac:dyDescent="0.25">
      <c r="I15539" s="1"/>
      <c r="J15539" s="71"/>
      <c r="M15539" s="46"/>
      <c r="R15539" s="51"/>
      <c r="S15539" s="51"/>
    </row>
    <row r="15540" spans="9:19" x14ac:dyDescent="0.25">
      <c r="I15540" s="1"/>
      <c r="J15540" s="71"/>
      <c r="M15540" s="46"/>
      <c r="R15540" s="51"/>
      <c r="S15540" s="51"/>
    </row>
    <row r="15541" spans="9:19" x14ac:dyDescent="0.25">
      <c r="I15541" s="1"/>
      <c r="J15541" s="71"/>
      <c r="M15541" s="46"/>
      <c r="R15541" s="51"/>
      <c r="S15541" s="51"/>
    </row>
    <row r="15542" spans="9:19" x14ac:dyDescent="0.25">
      <c r="I15542" s="1"/>
      <c r="J15542" s="71"/>
      <c r="M15542" s="46"/>
      <c r="R15542" s="51"/>
      <c r="S15542" s="51"/>
    </row>
    <row r="15543" spans="9:19" x14ac:dyDescent="0.25">
      <c r="I15543" s="1"/>
      <c r="J15543" s="71"/>
      <c r="M15543" s="46"/>
      <c r="R15543" s="51"/>
      <c r="S15543" s="51"/>
    </row>
    <row r="15544" spans="9:19" x14ac:dyDescent="0.25">
      <c r="I15544" s="1"/>
      <c r="J15544" s="71"/>
      <c r="M15544" s="46"/>
      <c r="R15544" s="51"/>
      <c r="S15544" s="51"/>
    </row>
    <row r="15545" spans="9:19" x14ac:dyDescent="0.25">
      <c r="I15545" s="1"/>
      <c r="J15545" s="71"/>
      <c r="M15545" s="46"/>
      <c r="R15545" s="51"/>
      <c r="S15545" s="51"/>
    </row>
    <row r="15546" spans="9:19" x14ac:dyDescent="0.25">
      <c r="I15546" s="1"/>
      <c r="J15546" s="71"/>
      <c r="M15546" s="46"/>
      <c r="R15546" s="51"/>
      <c r="S15546" s="51"/>
    </row>
    <row r="15547" spans="9:19" x14ac:dyDescent="0.25">
      <c r="I15547" s="1"/>
      <c r="J15547" s="71"/>
      <c r="M15547" s="46"/>
      <c r="R15547" s="51"/>
      <c r="S15547" s="51"/>
    </row>
    <row r="15548" spans="9:19" x14ac:dyDescent="0.25">
      <c r="I15548" s="1"/>
      <c r="J15548" s="71"/>
      <c r="M15548" s="46"/>
      <c r="R15548" s="51"/>
      <c r="S15548" s="51"/>
    </row>
    <row r="15549" spans="9:19" x14ac:dyDescent="0.25">
      <c r="I15549" s="1"/>
      <c r="J15549" s="71"/>
      <c r="M15549" s="46"/>
      <c r="R15549" s="51"/>
      <c r="S15549" s="51"/>
    </row>
    <row r="15550" spans="9:19" x14ac:dyDescent="0.25">
      <c r="I15550" s="1"/>
      <c r="J15550" s="71"/>
      <c r="M15550" s="46"/>
      <c r="R15550" s="51"/>
      <c r="S15550" s="51"/>
    </row>
    <row r="15551" spans="9:19" x14ac:dyDescent="0.25">
      <c r="I15551" s="1"/>
      <c r="J15551" s="71"/>
      <c r="M15551" s="46"/>
      <c r="R15551" s="51"/>
      <c r="S15551" s="51"/>
    </row>
    <row r="15552" spans="9:19" x14ac:dyDescent="0.25">
      <c r="I15552" s="1"/>
      <c r="J15552" s="71"/>
      <c r="M15552" s="46"/>
      <c r="R15552" s="51"/>
      <c r="S15552" s="51"/>
    </row>
    <row r="15553" spans="9:19" x14ac:dyDescent="0.25">
      <c r="I15553" s="1"/>
      <c r="J15553" s="71"/>
      <c r="M15553" s="46"/>
      <c r="R15553" s="51"/>
      <c r="S15553" s="51"/>
    </row>
    <row r="15554" spans="9:19" x14ac:dyDescent="0.25">
      <c r="I15554" s="1"/>
      <c r="J15554" s="71"/>
      <c r="M15554" s="46"/>
      <c r="R15554" s="51"/>
      <c r="S15554" s="51"/>
    </row>
    <row r="15555" spans="9:19" x14ac:dyDescent="0.25">
      <c r="I15555" s="1"/>
      <c r="J15555" s="71"/>
      <c r="M15555" s="46"/>
      <c r="R15555" s="51"/>
      <c r="S15555" s="51"/>
    </row>
    <row r="15556" spans="9:19" x14ac:dyDescent="0.25">
      <c r="I15556" s="1"/>
      <c r="J15556" s="71"/>
      <c r="M15556" s="46"/>
      <c r="R15556" s="51"/>
      <c r="S15556" s="51"/>
    </row>
    <row r="15557" spans="9:19" x14ac:dyDescent="0.25">
      <c r="I15557" s="1"/>
      <c r="J15557" s="71"/>
      <c r="M15557" s="46"/>
      <c r="R15557" s="51"/>
      <c r="S15557" s="51"/>
    </row>
    <row r="15558" spans="9:19" x14ac:dyDescent="0.25">
      <c r="I15558" s="1"/>
      <c r="J15558" s="71"/>
      <c r="M15558" s="46"/>
      <c r="R15558" s="51"/>
      <c r="S15558" s="51"/>
    </row>
    <row r="15559" spans="9:19" x14ac:dyDescent="0.25">
      <c r="I15559" s="1"/>
      <c r="J15559" s="71"/>
      <c r="M15559" s="46"/>
      <c r="R15559" s="51"/>
      <c r="S15559" s="51"/>
    </row>
    <row r="15560" spans="9:19" x14ac:dyDescent="0.25">
      <c r="I15560" s="1"/>
      <c r="J15560" s="71"/>
      <c r="M15560" s="46"/>
      <c r="R15560" s="51"/>
      <c r="S15560" s="51"/>
    </row>
    <row r="15561" spans="9:19" x14ac:dyDescent="0.25">
      <c r="I15561" s="1"/>
      <c r="J15561" s="71"/>
      <c r="M15561" s="46"/>
      <c r="R15561" s="51"/>
      <c r="S15561" s="51"/>
    </row>
    <row r="15562" spans="9:19" x14ac:dyDescent="0.25">
      <c r="I15562" s="1"/>
      <c r="J15562" s="71"/>
      <c r="M15562" s="46"/>
      <c r="R15562" s="51"/>
      <c r="S15562" s="51"/>
    </row>
    <row r="15563" spans="9:19" x14ac:dyDescent="0.25">
      <c r="I15563" s="1"/>
      <c r="J15563" s="71"/>
      <c r="M15563" s="46"/>
      <c r="R15563" s="51"/>
      <c r="S15563" s="51"/>
    </row>
    <row r="15564" spans="9:19" x14ac:dyDescent="0.25">
      <c r="I15564" s="1"/>
      <c r="J15564" s="71"/>
      <c r="M15564" s="46"/>
      <c r="R15564" s="51"/>
      <c r="S15564" s="51"/>
    </row>
    <row r="15565" spans="9:19" x14ac:dyDescent="0.25">
      <c r="I15565" s="1"/>
      <c r="J15565" s="71"/>
      <c r="M15565" s="46"/>
      <c r="R15565" s="51"/>
      <c r="S15565" s="51"/>
    </row>
    <row r="15566" spans="9:19" x14ac:dyDescent="0.25">
      <c r="I15566" s="1"/>
      <c r="J15566" s="71"/>
      <c r="M15566" s="46"/>
      <c r="R15566" s="51"/>
      <c r="S15566" s="51"/>
    </row>
    <row r="15567" spans="9:19" x14ac:dyDescent="0.25">
      <c r="I15567" s="1"/>
      <c r="J15567" s="71"/>
      <c r="M15567" s="46"/>
      <c r="R15567" s="51"/>
      <c r="S15567" s="51"/>
    </row>
    <row r="15568" spans="9:19" x14ac:dyDescent="0.25">
      <c r="I15568" s="1"/>
      <c r="J15568" s="71"/>
      <c r="M15568" s="46"/>
      <c r="R15568" s="51"/>
      <c r="S15568" s="51"/>
    </row>
    <row r="15569" spans="9:19" x14ac:dyDescent="0.25">
      <c r="I15569" s="1"/>
      <c r="J15569" s="71"/>
      <c r="M15569" s="46"/>
      <c r="R15569" s="51"/>
      <c r="S15569" s="51"/>
    </row>
    <row r="15570" spans="9:19" x14ac:dyDescent="0.25">
      <c r="I15570" s="1"/>
      <c r="J15570" s="71"/>
      <c r="M15570" s="46"/>
      <c r="R15570" s="51"/>
      <c r="S15570" s="51"/>
    </row>
    <row r="15571" spans="9:19" x14ac:dyDescent="0.25">
      <c r="I15571" s="1"/>
      <c r="J15571" s="71"/>
      <c r="M15571" s="46"/>
      <c r="R15571" s="51"/>
      <c r="S15571" s="51"/>
    </row>
    <row r="15572" spans="9:19" x14ac:dyDescent="0.25">
      <c r="I15572" s="1"/>
      <c r="J15572" s="71"/>
      <c r="M15572" s="46"/>
      <c r="R15572" s="51"/>
      <c r="S15572" s="51"/>
    </row>
    <row r="15573" spans="9:19" x14ac:dyDescent="0.25">
      <c r="I15573" s="1"/>
      <c r="J15573" s="71"/>
      <c r="M15573" s="46"/>
      <c r="R15573" s="51"/>
      <c r="S15573" s="51"/>
    </row>
    <row r="15574" spans="9:19" x14ac:dyDescent="0.25">
      <c r="I15574" s="1"/>
      <c r="J15574" s="71"/>
      <c r="M15574" s="46"/>
      <c r="R15574" s="51"/>
      <c r="S15574" s="51"/>
    </row>
    <row r="15575" spans="9:19" x14ac:dyDescent="0.25">
      <c r="I15575" s="1"/>
      <c r="J15575" s="71"/>
      <c r="M15575" s="46"/>
      <c r="R15575" s="51"/>
      <c r="S15575" s="51"/>
    </row>
    <row r="15576" spans="9:19" x14ac:dyDescent="0.25">
      <c r="I15576" s="1"/>
      <c r="J15576" s="71"/>
      <c r="M15576" s="46"/>
      <c r="R15576" s="51"/>
      <c r="S15576" s="51"/>
    </row>
    <row r="15577" spans="9:19" x14ac:dyDescent="0.25">
      <c r="I15577" s="1"/>
      <c r="J15577" s="71"/>
      <c r="M15577" s="46"/>
      <c r="R15577" s="51"/>
      <c r="S15577" s="51"/>
    </row>
    <row r="15578" spans="9:19" x14ac:dyDescent="0.25">
      <c r="I15578" s="1"/>
      <c r="J15578" s="71"/>
      <c r="M15578" s="46"/>
      <c r="R15578" s="51"/>
      <c r="S15578" s="51"/>
    </row>
    <row r="15579" spans="9:19" x14ac:dyDescent="0.25">
      <c r="I15579" s="1"/>
      <c r="J15579" s="71"/>
      <c r="M15579" s="46"/>
      <c r="R15579" s="51"/>
      <c r="S15579" s="51"/>
    </row>
    <row r="15580" spans="9:19" x14ac:dyDescent="0.25">
      <c r="I15580" s="1"/>
      <c r="J15580" s="71"/>
      <c r="M15580" s="46"/>
      <c r="R15580" s="51"/>
      <c r="S15580" s="51"/>
    </row>
    <row r="15581" spans="9:19" x14ac:dyDescent="0.25">
      <c r="I15581" s="1"/>
      <c r="J15581" s="71"/>
      <c r="M15581" s="46"/>
      <c r="R15581" s="51"/>
      <c r="S15581" s="51"/>
    </row>
    <row r="15582" spans="9:19" x14ac:dyDescent="0.25">
      <c r="I15582" s="1"/>
      <c r="J15582" s="71"/>
      <c r="M15582" s="46"/>
      <c r="R15582" s="51"/>
      <c r="S15582" s="51"/>
    </row>
    <row r="15583" spans="9:19" x14ac:dyDescent="0.25">
      <c r="I15583" s="1"/>
      <c r="J15583" s="71"/>
      <c r="M15583" s="46"/>
      <c r="R15583" s="51"/>
      <c r="S15583" s="51"/>
    </row>
    <row r="15584" spans="9:19" x14ac:dyDescent="0.25">
      <c r="I15584" s="1"/>
      <c r="J15584" s="71"/>
      <c r="M15584" s="46"/>
      <c r="R15584" s="51"/>
      <c r="S15584" s="51"/>
    </row>
    <row r="15585" spans="9:19" x14ac:dyDescent="0.25">
      <c r="I15585" s="1"/>
      <c r="J15585" s="71"/>
      <c r="M15585" s="46"/>
      <c r="R15585" s="51"/>
      <c r="S15585" s="51"/>
    </row>
    <row r="15586" spans="9:19" x14ac:dyDescent="0.25">
      <c r="I15586" s="1"/>
      <c r="J15586" s="71"/>
      <c r="M15586" s="46"/>
      <c r="R15586" s="51"/>
      <c r="S15586" s="51"/>
    </row>
    <row r="15587" spans="9:19" x14ac:dyDescent="0.25">
      <c r="I15587" s="1"/>
      <c r="J15587" s="71"/>
      <c r="M15587" s="46"/>
      <c r="R15587" s="51"/>
      <c r="S15587" s="51"/>
    </row>
    <row r="15588" spans="9:19" x14ac:dyDescent="0.25">
      <c r="I15588" s="1"/>
      <c r="J15588" s="71"/>
      <c r="M15588" s="46"/>
      <c r="R15588" s="51"/>
      <c r="S15588" s="51"/>
    </row>
    <row r="15589" spans="9:19" x14ac:dyDescent="0.25">
      <c r="I15589" s="1"/>
      <c r="J15589" s="71"/>
      <c r="M15589" s="46"/>
      <c r="R15589" s="51"/>
      <c r="S15589" s="51"/>
    </row>
    <row r="15590" spans="9:19" x14ac:dyDescent="0.25">
      <c r="I15590" s="1"/>
      <c r="J15590" s="71"/>
      <c r="M15590" s="46"/>
      <c r="R15590" s="51"/>
      <c r="S15590" s="51"/>
    </row>
    <row r="15591" spans="9:19" x14ac:dyDescent="0.25">
      <c r="I15591" s="1"/>
      <c r="J15591" s="71"/>
      <c r="M15591" s="46"/>
      <c r="R15591" s="51"/>
      <c r="S15591" s="51"/>
    </row>
    <row r="15592" spans="9:19" x14ac:dyDescent="0.25">
      <c r="I15592" s="1"/>
      <c r="J15592" s="71"/>
      <c r="M15592" s="46"/>
      <c r="R15592" s="51"/>
      <c r="S15592" s="51"/>
    </row>
    <row r="15593" spans="9:19" x14ac:dyDescent="0.25">
      <c r="I15593" s="1"/>
      <c r="J15593" s="71"/>
      <c r="M15593" s="46"/>
      <c r="R15593" s="51"/>
      <c r="S15593" s="51"/>
    </row>
    <row r="15594" spans="9:19" x14ac:dyDescent="0.25">
      <c r="I15594" s="1"/>
      <c r="J15594" s="71"/>
      <c r="M15594" s="46"/>
      <c r="R15594" s="51"/>
      <c r="S15594" s="51"/>
    </row>
    <row r="15595" spans="9:19" x14ac:dyDescent="0.25">
      <c r="I15595" s="1"/>
      <c r="J15595" s="71"/>
      <c r="M15595" s="46"/>
      <c r="R15595" s="51"/>
      <c r="S15595" s="51"/>
    </row>
    <row r="15596" spans="9:19" x14ac:dyDescent="0.25">
      <c r="I15596" s="1"/>
      <c r="J15596" s="71"/>
      <c r="M15596" s="46"/>
      <c r="R15596" s="51"/>
      <c r="S15596" s="51"/>
    </row>
    <row r="15597" spans="9:19" x14ac:dyDescent="0.25">
      <c r="I15597" s="1"/>
      <c r="J15597" s="71"/>
      <c r="M15597" s="46"/>
      <c r="R15597" s="51"/>
      <c r="S15597" s="51"/>
    </row>
    <row r="15598" spans="9:19" x14ac:dyDescent="0.25">
      <c r="I15598" s="1"/>
      <c r="J15598" s="71"/>
      <c r="M15598" s="46"/>
      <c r="R15598" s="51"/>
      <c r="S15598" s="51"/>
    </row>
    <row r="15599" spans="9:19" x14ac:dyDescent="0.25">
      <c r="I15599" s="1"/>
      <c r="J15599" s="71"/>
      <c r="M15599" s="46"/>
      <c r="R15599" s="51"/>
      <c r="S15599" s="51"/>
    </row>
    <row r="15600" spans="9:19" x14ac:dyDescent="0.25">
      <c r="I15600" s="1"/>
      <c r="J15600" s="71"/>
      <c r="M15600" s="46"/>
      <c r="R15600" s="51"/>
      <c r="S15600" s="51"/>
    </row>
    <row r="15601" spans="9:19" x14ac:dyDescent="0.25">
      <c r="I15601" s="1"/>
      <c r="J15601" s="71"/>
      <c r="M15601" s="46"/>
      <c r="R15601" s="51"/>
      <c r="S15601" s="51"/>
    </row>
    <row r="15602" spans="9:19" x14ac:dyDescent="0.25">
      <c r="I15602" s="1"/>
      <c r="J15602" s="71"/>
      <c r="M15602" s="46"/>
      <c r="R15602" s="51"/>
      <c r="S15602" s="51"/>
    </row>
    <row r="15603" spans="9:19" x14ac:dyDescent="0.25">
      <c r="I15603" s="1"/>
      <c r="J15603" s="71"/>
      <c r="M15603" s="46"/>
      <c r="R15603" s="51"/>
      <c r="S15603" s="51"/>
    </row>
    <row r="15604" spans="9:19" x14ac:dyDescent="0.25">
      <c r="I15604" s="1"/>
      <c r="J15604" s="71"/>
      <c r="M15604" s="46"/>
      <c r="R15604" s="51"/>
      <c r="S15604" s="51"/>
    </row>
    <row r="15605" spans="9:19" x14ac:dyDescent="0.25">
      <c r="I15605" s="1"/>
      <c r="J15605" s="71"/>
      <c r="M15605" s="46"/>
      <c r="R15605" s="51"/>
      <c r="S15605" s="51"/>
    </row>
    <row r="15606" spans="9:19" x14ac:dyDescent="0.25">
      <c r="I15606" s="1"/>
      <c r="J15606" s="71"/>
      <c r="M15606" s="46"/>
      <c r="R15606" s="51"/>
      <c r="S15606" s="51"/>
    </row>
    <row r="15607" spans="9:19" x14ac:dyDescent="0.25">
      <c r="I15607" s="1"/>
      <c r="J15607" s="71"/>
      <c r="M15607" s="46"/>
      <c r="R15607" s="51"/>
      <c r="S15607" s="51"/>
    </row>
    <row r="15608" spans="9:19" x14ac:dyDescent="0.25">
      <c r="I15608" s="1"/>
      <c r="J15608" s="71"/>
      <c r="M15608" s="46"/>
      <c r="R15608" s="51"/>
      <c r="S15608" s="51"/>
    </row>
    <row r="15609" spans="9:19" x14ac:dyDescent="0.25">
      <c r="I15609" s="1"/>
      <c r="J15609" s="71"/>
      <c r="M15609" s="46"/>
      <c r="R15609" s="51"/>
      <c r="S15609" s="51"/>
    </row>
    <row r="15610" spans="9:19" x14ac:dyDescent="0.25">
      <c r="I15610" s="1"/>
      <c r="J15610" s="71"/>
      <c r="M15610" s="46"/>
      <c r="R15610" s="51"/>
      <c r="S15610" s="51"/>
    </row>
    <row r="15611" spans="9:19" x14ac:dyDescent="0.25">
      <c r="I15611" s="1"/>
      <c r="J15611" s="71"/>
      <c r="M15611" s="46"/>
      <c r="R15611" s="51"/>
      <c r="S15611" s="51"/>
    </row>
    <row r="15612" spans="9:19" x14ac:dyDescent="0.25">
      <c r="I15612" s="1"/>
      <c r="J15612" s="71"/>
      <c r="M15612" s="46"/>
      <c r="R15612" s="51"/>
      <c r="S15612" s="51"/>
    </row>
    <row r="15613" spans="9:19" x14ac:dyDescent="0.25">
      <c r="I15613" s="1"/>
      <c r="J15613" s="71"/>
      <c r="M15613" s="46"/>
      <c r="R15613" s="51"/>
      <c r="S15613" s="51"/>
    </row>
    <row r="15614" spans="9:19" x14ac:dyDescent="0.25">
      <c r="I15614" s="1"/>
      <c r="J15614" s="71"/>
      <c r="M15614" s="46"/>
      <c r="R15614" s="51"/>
      <c r="S15614" s="51"/>
    </row>
    <row r="15615" spans="9:19" x14ac:dyDescent="0.25">
      <c r="I15615" s="1"/>
      <c r="J15615" s="71"/>
      <c r="M15615" s="46"/>
      <c r="R15615" s="51"/>
      <c r="S15615" s="51"/>
    </row>
    <row r="15616" spans="9:19" x14ac:dyDescent="0.25">
      <c r="I15616" s="1"/>
      <c r="J15616" s="71"/>
      <c r="M15616" s="46"/>
      <c r="R15616" s="51"/>
      <c r="S15616" s="51"/>
    </row>
    <row r="15617" spans="9:19" x14ac:dyDescent="0.25">
      <c r="I15617" s="1"/>
      <c r="J15617" s="71"/>
      <c r="M15617" s="46"/>
      <c r="R15617" s="51"/>
      <c r="S15617" s="51"/>
    </row>
    <row r="15618" spans="9:19" x14ac:dyDescent="0.25">
      <c r="I15618" s="1"/>
      <c r="J15618" s="71"/>
      <c r="M15618" s="46"/>
      <c r="R15618" s="51"/>
      <c r="S15618" s="51"/>
    </row>
    <row r="15619" spans="9:19" x14ac:dyDescent="0.25">
      <c r="I15619" s="1"/>
      <c r="J15619" s="71"/>
      <c r="M15619" s="46"/>
      <c r="R15619" s="51"/>
      <c r="S15619" s="51"/>
    </row>
    <row r="15620" spans="9:19" x14ac:dyDescent="0.25">
      <c r="I15620" s="1"/>
      <c r="J15620" s="71"/>
      <c r="M15620" s="46"/>
      <c r="R15620" s="51"/>
      <c r="S15620" s="51"/>
    </row>
    <row r="15621" spans="9:19" x14ac:dyDescent="0.25">
      <c r="I15621" s="1"/>
      <c r="J15621" s="71"/>
      <c r="M15621" s="46"/>
      <c r="R15621" s="51"/>
      <c r="S15621" s="51"/>
    </row>
    <row r="15622" spans="9:19" x14ac:dyDescent="0.25">
      <c r="I15622" s="1"/>
      <c r="J15622" s="71"/>
      <c r="M15622" s="46"/>
      <c r="R15622" s="51"/>
      <c r="S15622" s="51"/>
    </row>
    <row r="15623" spans="9:19" x14ac:dyDescent="0.25">
      <c r="I15623" s="1"/>
      <c r="J15623" s="71"/>
      <c r="M15623" s="46"/>
      <c r="R15623" s="51"/>
      <c r="S15623" s="51"/>
    </row>
    <row r="15624" spans="9:19" x14ac:dyDescent="0.25">
      <c r="I15624" s="1"/>
      <c r="J15624" s="71"/>
      <c r="M15624" s="46"/>
      <c r="R15624" s="51"/>
      <c r="S15624" s="51"/>
    </row>
    <row r="15625" spans="9:19" x14ac:dyDescent="0.25">
      <c r="I15625" s="1"/>
      <c r="J15625" s="71"/>
      <c r="M15625" s="46"/>
      <c r="R15625" s="51"/>
      <c r="S15625" s="51"/>
    </row>
    <row r="15626" spans="9:19" x14ac:dyDescent="0.25">
      <c r="I15626" s="1"/>
      <c r="J15626" s="71"/>
      <c r="M15626" s="46"/>
      <c r="R15626" s="51"/>
      <c r="S15626" s="51"/>
    </row>
    <row r="15627" spans="9:19" x14ac:dyDescent="0.25">
      <c r="I15627" s="1"/>
      <c r="J15627" s="71"/>
      <c r="M15627" s="46"/>
      <c r="R15627" s="51"/>
      <c r="S15627" s="51"/>
    </row>
    <row r="15628" spans="9:19" x14ac:dyDescent="0.25">
      <c r="I15628" s="1"/>
      <c r="J15628" s="71"/>
      <c r="M15628" s="46"/>
      <c r="R15628" s="51"/>
      <c r="S15628" s="51"/>
    </row>
    <row r="15629" spans="9:19" x14ac:dyDescent="0.25">
      <c r="I15629" s="1"/>
      <c r="J15629" s="71"/>
      <c r="M15629" s="46"/>
      <c r="R15629" s="51"/>
      <c r="S15629" s="51"/>
    </row>
    <row r="15630" spans="9:19" x14ac:dyDescent="0.25">
      <c r="I15630" s="1"/>
      <c r="J15630" s="71"/>
      <c r="M15630" s="46"/>
      <c r="R15630" s="51"/>
      <c r="S15630" s="51"/>
    </row>
    <row r="15631" spans="9:19" x14ac:dyDescent="0.25">
      <c r="I15631" s="1"/>
      <c r="J15631" s="71"/>
      <c r="M15631" s="46"/>
      <c r="R15631" s="51"/>
      <c r="S15631" s="51"/>
    </row>
    <row r="15632" spans="9:19" x14ac:dyDescent="0.25">
      <c r="I15632" s="1"/>
      <c r="J15632" s="71"/>
      <c r="M15632" s="46"/>
      <c r="R15632" s="51"/>
      <c r="S15632" s="51"/>
    </row>
    <row r="15633" spans="9:19" x14ac:dyDescent="0.25">
      <c r="I15633" s="1"/>
      <c r="J15633" s="71"/>
      <c r="M15633" s="46"/>
      <c r="R15633" s="51"/>
      <c r="S15633" s="51"/>
    </row>
    <row r="15634" spans="9:19" x14ac:dyDescent="0.25">
      <c r="I15634" s="1"/>
      <c r="J15634" s="71"/>
      <c r="M15634" s="46"/>
      <c r="R15634" s="51"/>
      <c r="S15634" s="51"/>
    </row>
    <row r="15635" spans="9:19" x14ac:dyDescent="0.25">
      <c r="I15635" s="1"/>
      <c r="J15635" s="71"/>
      <c r="M15635" s="46"/>
      <c r="R15635" s="51"/>
      <c r="S15635" s="51"/>
    </row>
    <row r="15636" spans="9:19" x14ac:dyDescent="0.25">
      <c r="I15636" s="1"/>
      <c r="J15636" s="71"/>
      <c r="M15636" s="46"/>
      <c r="R15636" s="51"/>
      <c r="S15636" s="51"/>
    </row>
    <row r="15637" spans="9:19" x14ac:dyDescent="0.25">
      <c r="I15637" s="1"/>
      <c r="J15637" s="71"/>
      <c r="M15637" s="46"/>
      <c r="R15637" s="51"/>
      <c r="S15637" s="51"/>
    </row>
    <row r="15638" spans="9:19" x14ac:dyDescent="0.25">
      <c r="I15638" s="1"/>
      <c r="J15638" s="71"/>
      <c r="M15638" s="46"/>
      <c r="R15638" s="51"/>
      <c r="S15638" s="51"/>
    </row>
    <row r="15639" spans="9:19" x14ac:dyDescent="0.25">
      <c r="I15639" s="1"/>
      <c r="J15639" s="71"/>
      <c r="M15639" s="46"/>
      <c r="R15639" s="51"/>
      <c r="S15639" s="51"/>
    </row>
    <row r="15640" spans="9:19" x14ac:dyDescent="0.25">
      <c r="I15640" s="1"/>
      <c r="J15640" s="71"/>
      <c r="M15640" s="46"/>
      <c r="R15640" s="51"/>
      <c r="S15640" s="51"/>
    </row>
    <row r="15641" spans="9:19" x14ac:dyDescent="0.25">
      <c r="I15641" s="1"/>
      <c r="J15641" s="71"/>
      <c r="M15641" s="46"/>
      <c r="R15641" s="51"/>
      <c r="S15641" s="51"/>
    </row>
    <row r="15642" spans="9:19" x14ac:dyDescent="0.25">
      <c r="I15642" s="1"/>
      <c r="J15642" s="71"/>
      <c r="M15642" s="46"/>
      <c r="R15642" s="51"/>
      <c r="S15642" s="51"/>
    </row>
    <row r="15643" spans="9:19" x14ac:dyDescent="0.25">
      <c r="I15643" s="1"/>
      <c r="J15643" s="71"/>
      <c r="M15643" s="46"/>
      <c r="R15643" s="51"/>
      <c r="S15643" s="51"/>
    </row>
    <row r="15644" spans="9:19" x14ac:dyDescent="0.25">
      <c r="I15644" s="1"/>
      <c r="J15644" s="71"/>
      <c r="M15644" s="46"/>
      <c r="R15644" s="51"/>
      <c r="S15644" s="51"/>
    </row>
    <row r="15645" spans="9:19" x14ac:dyDescent="0.25">
      <c r="I15645" s="1"/>
      <c r="J15645" s="71"/>
      <c r="M15645" s="46"/>
      <c r="R15645" s="51"/>
      <c r="S15645" s="51"/>
    </row>
    <row r="15646" spans="9:19" x14ac:dyDescent="0.25">
      <c r="I15646" s="1"/>
      <c r="J15646" s="71"/>
      <c r="M15646" s="46"/>
      <c r="R15646" s="51"/>
      <c r="S15646" s="51"/>
    </row>
    <row r="15647" spans="9:19" x14ac:dyDescent="0.25">
      <c r="I15647" s="1"/>
      <c r="J15647" s="71"/>
      <c r="M15647" s="46"/>
      <c r="R15647" s="51"/>
      <c r="S15647" s="51"/>
    </row>
    <row r="15648" spans="9:19" x14ac:dyDescent="0.25">
      <c r="I15648" s="1"/>
      <c r="J15648" s="71"/>
      <c r="M15648" s="46"/>
      <c r="R15648" s="51"/>
      <c r="S15648" s="51"/>
    </row>
    <row r="15649" spans="9:19" x14ac:dyDescent="0.25">
      <c r="I15649" s="1"/>
      <c r="J15649" s="71"/>
      <c r="M15649" s="46"/>
      <c r="R15649" s="51"/>
      <c r="S15649" s="51"/>
    </row>
    <row r="15650" spans="9:19" x14ac:dyDescent="0.25">
      <c r="I15650" s="1"/>
      <c r="J15650" s="71"/>
      <c r="M15650" s="46"/>
      <c r="R15650" s="51"/>
      <c r="S15650" s="51"/>
    </row>
    <row r="15651" spans="9:19" x14ac:dyDescent="0.25">
      <c r="I15651" s="1"/>
      <c r="J15651" s="71"/>
      <c r="M15651" s="46"/>
      <c r="R15651" s="51"/>
      <c r="S15651" s="51"/>
    </row>
    <row r="15652" spans="9:19" x14ac:dyDescent="0.25">
      <c r="I15652" s="1"/>
      <c r="J15652" s="71"/>
      <c r="M15652" s="46"/>
      <c r="R15652" s="51"/>
      <c r="S15652" s="51"/>
    </row>
    <row r="15653" spans="9:19" x14ac:dyDescent="0.25">
      <c r="I15653" s="1"/>
      <c r="J15653" s="71"/>
      <c r="M15653" s="46"/>
      <c r="R15653" s="51"/>
      <c r="S15653" s="51"/>
    </row>
    <row r="15654" spans="9:19" x14ac:dyDescent="0.25">
      <c r="I15654" s="1"/>
      <c r="J15654" s="71"/>
      <c r="M15654" s="46"/>
      <c r="R15654" s="51"/>
      <c r="S15654" s="51"/>
    </row>
    <row r="15655" spans="9:19" x14ac:dyDescent="0.25">
      <c r="I15655" s="1"/>
      <c r="J15655" s="71"/>
      <c r="M15655" s="46"/>
      <c r="R15655" s="51"/>
      <c r="S15655" s="51"/>
    </row>
    <row r="15656" spans="9:19" x14ac:dyDescent="0.25">
      <c r="I15656" s="1"/>
      <c r="J15656" s="71"/>
      <c r="M15656" s="46"/>
      <c r="R15656" s="51"/>
      <c r="S15656" s="51"/>
    </row>
    <row r="15657" spans="9:19" x14ac:dyDescent="0.25">
      <c r="I15657" s="1"/>
      <c r="J15657" s="71"/>
      <c r="M15657" s="46"/>
      <c r="R15657" s="51"/>
      <c r="S15657" s="51"/>
    </row>
    <row r="15658" spans="9:19" x14ac:dyDescent="0.25">
      <c r="I15658" s="1"/>
      <c r="J15658" s="71"/>
      <c r="M15658" s="46"/>
      <c r="R15658" s="51"/>
      <c r="S15658" s="51"/>
    </row>
    <row r="15659" spans="9:19" x14ac:dyDescent="0.25">
      <c r="I15659" s="1"/>
      <c r="J15659" s="71"/>
      <c r="M15659" s="46"/>
      <c r="R15659" s="51"/>
      <c r="S15659" s="51"/>
    </row>
    <row r="15660" spans="9:19" x14ac:dyDescent="0.25">
      <c r="I15660" s="1"/>
      <c r="J15660" s="71"/>
      <c r="M15660" s="46"/>
      <c r="R15660" s="51"/>
      <c r="S15660" s="51"/>
    </row>
    <row r="15661" spans="9:19" x14ac:dyDescent="0.25">
      <c r="I15661" s="1"/>
      <c r="J15661" s="71"/>
      <c r="M15661" s="46"/>
      <c r="R15661" s="51"/>
      <c r="S15661" s="51"/>
    </row>
    <row r="15662" spans="9:19" x14ac:dyDescent="0.25">
      <c r="I15662" s="1"/>
      <c r="J15662" s="71"/>
      <c r="M15662" s="46"/>
      <c r="R15662" s="51"/>
      <c r="S15662" s="51"/>
    </row>
    <row r="15663" spans="9:19" x14ac:dyDescent="0.25">
      <c r="I15663" s="1"/>
      <c r="J15663" s="71"/>
      <c r="M15663" s="46"/>
      <c r="R15663" s="51"/>
      <c r="S15663" s="51"/>
    </row>
    <row r="15664" spans="9:19" x14ac:dyDescent="0.25">
      <c r="I15664" s="1"/>
      <c r="J15664" s="71"/>
      <c r="M15664" s="46"/>
      <c r="R15664" s="51"/>
      <c r="S15664" s="51"/>
    </row>
    <row r="15665" spans="9:19" x14ac:dyDescent="0.25">
      <c r="I15665" s="1"/>
      <c r="J15665" s="71"/>
      <c r="M15665" s="46"/>
      <c r="R15665" s="51"/>
      <c r="S15665" s="51"/>
    </row>
    <row r="15666" spans="9:19" x14ac:dyDescent="0.25">
      <c r="I15666" s="1"/>
      <c r="J15666" s="71"/>
      <c r="M15666" s="46"/>
      <c r="R15666" s="51"/>
      <c r="S15666" s="51"/>
    </row>
    <row r="15667" spans="9:19" x14ac:dyDescent="0.25">
      <c r="I15667" s="1"/>
      <c r="J15667" s="71"/>
      <c r="M15667" s="46"/>
      <c r="R15667" s="51"/>
      <c r="S15667" s="51"/>
    </row>
    <row r="15668" spans="9:19" x14ac:dyDescent="0.25">
      <c r="I15668" s="1"/>
      <c r="J15668" s="71"/>
      <c r="M15668" s="46"/>
      <c r="R15668" s="51"/>
      <c r="S15668" s="51"/>
    </row>
    <row r="15669" spans="9:19" x14ac:dyDescent="0.25">
      <c r="I15669" s="1"/>
      <c r="J15669" s="71"/>
      <c r="M15669" s="46"/>
      <c r="R15669" s="51"/>
      <c r="S15669" s="51"/>
    </row>
    <row r="15670" spans="9:19" x14ac:dyDescent="0.25">
      <c r="I15670" s="1"/>
      <c r="J15670" s="71"/>
      <c r="M15670" s="46"/>
      <c r="R15670" s="51"/>
      <c r="S15670" s="51"/>
    </row>
    <row r="15671" spans="9:19" x14ac:dyDescent="0.25">
      <c r="I15671" s="1"/>
      <c r="J15671" s="71"/>
      <c r="M15671" s="46"/>
      <c r="R15671" s="51"/>
      <c r="S15671" s="51"/>
    </row>
    <row r="15672" spans="9:19" x14ac:dyDescent="0.25">
      <c r="I15672" s="1"/>
      <c r="J15672" s="71"/>
      <c r="M15672" s="46"/>
      <c r="R15672" s="51"/>
      <c r="S15672" s="51"/>
    </row>
    <row r="15673" spans="9:19" x14ac:dyDescent="0.25">
      <c r="I15673" s="1"/>
      <c r="J15673" s="71"/>
      <c r="M15673" s="46"/>
      <c r="R15673" s="51"/>
      <c r="S15673" s="51"/>
    </row>
    <row r="15674" spans="9:19" x14ac:dyDescent="0.25">
      <c r="I15674" s="1"/>
      <c r="J15674" s="71"/>
      <c r="M15674" s="46"/>
      <c r="R15674" s="51"/>
      <c r="S15674" s="51"/>
    </row>
    <row r="15675" spans="9:19" x14ac:dyDescent="0.25">
      <c r="I15675" s="1"/>
      <c r="J15675" s="71"/>
      <c r="M15675" s="46"/>
      <c r="R15675" s="51"/>
      <c r="S15675" s="51"/>
    </row>
    <row r="15676" spans="9:19" x14ac:dyDescent="0.25">
      <c r="I15676" s="1"/>
      <c r="J15676" s="71"/>
      <c r="M15676" s="46"/>
      <c r="R15676" s="51"/>
      <c r="S15676" s="51"/>
    </row>
    <row r="15677" spans="9:19" x14ac:dyDescent="0.25">
      <c r="I15677" s="1"/>
      <c r="J15677" s="71"/>
      <c r="M15677" s="46"/>
      <c r="R15677" s="51"/>
      <c r="S15677" s="51"/>
    </row>
    <row r="15678" spans="9:19" x14ac:dyDescent="0.25">
      <c r="I15678" s="1"/>
      <c r="J15678" s="71"/>
      <c r="M15678" s="46"/>
      <c r="R15678" s="51"/>
      <c r="S15678" s="51"/>
    </row>
    <row r="15679" spans="9:19" x14ac:dyDescent="0.25">
      <c r="I15679" s="1"/>
      <c r="J15679" s="71"/>
      <c r="M15679" s="46"/>
      <c r="R15679" s="51"/>
      <c r="S15679" s="51"/>
    </row>
    <row r="15680" spans="9:19" x14ac:dyDescent="0.25">
      <c r="I15680" s="1"/>
      <c r="J15680" s="71"/>
      <c r="M15680" s="46"/>
      <c r="R15680" s="51"/>
      <c r="S15680" s="51"/>
    </row>
    <row r="15681" spans="9:19" x14ac:dyDescent="0.25">
      <c r="I15681" s="1"/>
      <c r="J15681" s="71"/>
      <c r="M15681" s="46"/>
      <c r="R15681" s="51"/>
      <c r="S15681" s="51"/>
    </row>
    <row r="15682" spans="9:19" x14ac:dyDescent="0.25">
      <c r="I15682" s="1"/>
      <c r="J15682" s="71"/>
      <c r="M15682" s="46"/>
      <c r="R15682" s="51"/>
      <c r="S15682" s="51"/>
    </row>
    <row r="15683" spans="9:19" x14ac:dyDescent="0.25">
      <c r="I15683" s="1"/>
      <c r="J15683" s="71"/>
      <c r="M15683" s="46"/>
      <c r="R15683" s="51"/>
      <c r="S15683" s="51"/>
    </row>
    <row r="15684" spans="9:19" x14ac:dyDescent="0.25">
      <c r="I15684" s="1"/>
      <c r="J15684" s="71"/>
      <c r="M15684" s="46"/>
      <c r="R15684" s="51"/>
      <c r="S15684" s="51"/>
    </row>
    <row r="15685" spans="9:19" x14ac:dyDescent="0.25">
      <c r="I15685" s="1"/>
      <c r="J15685" s="71"/>
      <c r="M15685" s="46"/>
      <c r="R15685" s="51"/>
      <c r="S15685" s="51"/>
    </row>
    <row r="15686" spans="9:19" x14ac:dyDescent="0.25">
      <c r="I15686" s="1"/>
      <c r="J15686" s="71"/>
      <c r="M15686" s="46"/>
      <c r="R15686" s="51"/>
      <c r="S15686" s="51"/>
    </row>
    <row r="15687" spans="9:19" x14ac:dyDescent="0.25">
      <c r="I15687" s="1"/>
      <c r="J15687" s="71"/>
      <c r="M15687" s="46"/>
      <c r="R15687" s="51"/>
      <c r="S15687" s="51"/>
    </row>
    <row r="15688" spans="9:19" x14ac:dyDescent="0.25">
      <c r="I15688" s="1"/>
      <c r="J15688" s="71"/>
      <c r="M15688" s="46"/>
      <c r="R15688" s="51"/>
      <c r="S15688" s="51"/>
    </row>
    <row r="15689" spans="9:19" x14ac:dyDescent="0.25">
      <c r="I15689" s="1"/>
      <c r="J15689" s="71"/>
      <c r="M15689" s="46"/>
      <c r="R15689" s="51"/>
      <c r="S15689" s="51"/>
    </row>
    <row r="15690" spans="9:19" x14ac:dyDescent="0.25">
      <c r="I15690" s="1"/>
      <c r="J15690" s="71"/>
      <c r="M15690" s="46"/>
      <c r="R15690" s="51"/>
      <c r="S15690" s="51"/>
    </row>
    <row r="15691" spans="9:19" x14ac:dyDescent="0.25">
      <c r="I15691" s="1"/>
      <c r="J15691" s="71"/>
      <c r="M15691" s="46"/>
      <c r="R15691" s="51"/>
      <c r="S15691" s="51"/>
    </row>
    <row r="15692" spans="9:19" x14ac:dyDescent="0.25">
      <c r="I15692" s="1"/>
      <c r="J15692" s="71"/>
      <c r="M15692" s="46"/>
      <c r="R15692" s="51"/>
      <c r="S15692" s="51"/>
    </row>
    <row r="15693" spans="9:19" x14ac:dyDescent="0.25">
      <c r="I15693" s="1"/>
      <c r="J15693" s="71"/>
      <c r="M15693" s="46"/>
      <c r="R15693" s="51"/>
      <c r="S15693" s="51"/>
    </row>
    <row r="15694" spans="9:19" x14ac:dyDescent="0.25">
      <c r="I15694" s="1"/>
      <c r="J15694" s="71"/>
      <c r="M15694" s="46"/>
      <c r="R15694" s="51"/>
      <c r="S15694" s="51"/>
    </row>
    <row r="15695" spans="9:19" x14ac:dyDescent="0.25">
      <c r="I15695" s="1"/>
      <c r="J15695" s="71"/>
      <c r="M15695" s="46"/>
      <c r="R15695" s="51"/>
      <c r="S15695" s="51"/>
    </row>
    <row r="15696" spans="9:19" x14ac:dyDescent="0.25">
      <c r="I15696" s="1"/>
      <c r="J15696" s="71"/>
      <c r="M15696" s="46"/>
      <c r="R15696" s="51"/>
      <c r="S15696" s="51"/>
    </row>
    <row r="15697" spans="9:19" x14ac:dyDescent="0.25">
      <c r="I15697" s="1"/>
      <c r="J15697" s="71"/>
      <c r="M15697" s="46"/>
      <c r="R15697" s="51"/>
      <c r="S15697" s="51"/>
    </row>
    <row r="15698" spans="9:19" x14ac:dyDescent="0.25">
      <c r="I15698" s="1"/>
      <c r="J15698" s="71"/>
      <c r="M15698" s="46"/>
      <c r="R15698" s="51"/>
      <c r="S15698" s="51"/>
    </row>
    <row r="15699" spans="9:19" x14ac:dyDescent="0.25">
      <c r="I15699" s="1"/>
      <c r="J15699" s="71"/>
      <c r="M15699" s="46"/>
      <c r="R15699" s="51"/>
      <c r="S15699" s="51"/>
    </row>
    <row r="15700" spans="9:19" x14ac:dyDescent="0.25">
      <c r="I15700" s="1"/>
      <c r="J15700" s="71"/>
      <c r="M15700" s="46"/>
      <c r="R15700" s="51"/>
      <c r="S15700" s="51"/>
    </row>
    <row r="15701" spans="9:19" x14ac:dyDescent="0.25">
      <c r="I15701" s="1"/>
      <c r="J15701" s="71"/>
      <c r="M15701" s="46"/>
      <c r="R15701" s="51"/>
      <c r="S15701" s="51"/>
    </row>
    <row r="15702" spans="9:19" x14ac:dyDescent="0.25">
      <c r="I15702" s="1"/>
      <c r="J15702" s="71"/>
      <c r="M15702" s="46"/>
      <c r="R15702" s="51"/>
      <c r="S15702" s="51"/>
    </row>
    <row r="15703" spans="9:19" x14ac:dyDescent="0.25">
      <c r="I15703" s="1"/>
      <c r="J15703" s="71"/>
      <c r="M15703" s="46"/>
      <c r="R15703" s="51"/>
      <c r="S15703" s="51"/>
    </row>
    <row r="15704" spans="9:19" x14ac:dyDescent="0.25">
      <c r="I15704" s="1"/>
      <c r="J15704" s="71"/>
      <c r="M15704" s="46"/>
      <c r="R15704" s="51"/>
      <c r="S15704" s="51"/>
    </row>
    <row r="15705" spans="9:19" x14ac:dyDescent="0.25">
      <c r="I15705" s="1"/>
      <c r="J15705" s="71"/>
      <c r="M15705" s="46"/>
      <c r="R15705" s="51"/>
      <c r="S15705" s="51"/>
    </row>
    <row r="15706" spans="9:19" x14ac:dyDescent="0.25">
      <c r="I15706" s="1"/>
      <c r="J15706" s="71"/>
      <c r="M15706" s="46"/>
      <c r="R15706" s="51"/>
      <c r="S15706" s="51"/>
    </row>
    <row r="15707" spans="9:19" x14ac:dyDescent="0.25">
      <c r="I15707" s="1"/>
      <c r="J15707" s="71"/>
      <c r="M15707" s="46"/>
      <c r="R15707" s="51"/>
      <c r="S15707" s="51"/>
    </row>
    <row r="15708" spans="9:19" x14ac:dyDescent="0.25">
      <c r="I15708" s="1"/>
      <c r="J15708" s="71"/>
      <c r="M15708" s="46"/>
      <c r="R15708" s="51"/>
      <c r="S15708" s="51"/>
    </row>
    <row r="15709" spans="9:19" x14ac:dyDescent="0.25">
      <c r="I15709" s="1"/>
      <c r="J15709" s="71"/>
      <c r="M15709" s="46"/>
      <c r="R15709" s="51"/>
      <c r="S15709" s="51"/>
    </row>
    <row r="15710" spans="9:19" x14ac:dyDescent="0.25">
      <c r="I15710" s="1"/>
      <c r="J15710" s="71"/>
      <c r="M15710" s="46"/>
      <c r="R15710" s="51"/>
      <c r="S15710" s="51"/>
    </row>
    <row r="15711" spans="9:19" x14ac:dyDescent="0.25">
      <c r="I15711" s="1"/>
      <c r="J15711" s="71"/>
      <c r="M15711" s="46"/>
      <c r="R15711" s="51"/>
      <c r="S15711" s="51"/>
    </row>
    <row r="15712" spans="9:19" x14ac:dyDescent="0.25">
      <c r="I15712" s="1"/>
      <c r="J15712" s="71"/>
      <c r="M15712" s="46"/>
      <c r="R15712" s="51"/>
      <c r="S15712" s="51"/>
    </row>
    <row r="15713" spans="9:19" x14ac:dyDescent="0.25">
      <c r="I15713" s="1"/>
      <c r="J15713" s="71"/>
      <c r="M15713" s="46"/>
      <c r="R15713" s="51"/>
      <c r="S15713" s="51"/>
    </row>
    <row r="15714" spans="9:19" x14ac:dyDescent="0.25">
      <c r="I15714" s="1"/>
      <c r="J15714" s="71"/>
      <c r="M15714" s="46"/>
      <c r="R15714" s="51"/>
      <c r="S15714" s="51"/>
    </row>
    <row r="15715" spans="9:19" x14ac:dyDescent="0.25">
      <c r="I15715" s="1"/>
      <c r="J15715" s="71"/>
      <c r="M15715" s="46"/>
      <c r="R15715" s="51"/>
      <c r="S15715" s="51"/>
    </row>
    <row r="15716" spans="9:19" x14ac:dyDescent="0.25">
      <c r="I15716" s="1"/>
      <c r="J15716" s="71"/>
      <c r="M15716" s="46"/>
      <c r="R15716" s="51"/>
      <c r="S15716" s="51"/>
    </row>
    <row r="15717" spans="9:19" x14ac:dyDescent="0.25">
      <c r="I15717" s="1"/>
      <c r="J15717" s="71"/>
      <c r="M15717" s="46"/>
      <c r="R15717" s="51"/>
      <c r="S15717" s="51"/>
    </row>
    <row r="15718" spans="9:19" x14ac:dyDescent="0.25">
      <c r="I15718" s="1"/>
      <c r="J15718" s="71"/>
      <c r="M15718" s="46"/>
      <c r="R15718" s="51"/>
      <c r="S15718" s="51"/>
    </row>
    <row r="15719" spans="9:19" x14ac:dyDescent="0.25">
      <c r="I15719" s="1"/>
      <c r="J15719" s="71"/>
      <c r="M15719" s="46"/>
      <c r="R15719" s="51"/>
      <c r="S15719" s="51"/>
    </row>
    <row r="15720" spans="9:19" x14ac:dyDescent="0.25">
      <c r="I15720" s="1"/>
      <c r="J15720" s="71"/>
      <c r="M15720" s="46"/>
      <c r="R15720" s="51"/>
      <c r="S15720" s="51"/>
    </row>
    <row r="15721" spans="9:19" x14ac:dyDescent="0.25">
      <c r="I15721" s="1"/>
      <c r="J15721" s="71"/>
      <c r="M15721" s="46"/>
      <c r="R15721" s="51"/>
      <c r="S15721" s="51"/>
    </row>
    <row r="15722" spans="9:19" x14ac:dyDescent="0.25">
      <c r="I15722" s="1"/>
      <c r="J15722" s="71"/>
      <c r="M15722" s="46"/>
      <c r="R15722" s="51"/>
      <c r="S15722" s="51"/>
    </row>
    <row r="15723" spans="9:19" x14ac:dyDescent="0.25">
      <c r="I15723" s="1"/>
      <c r="J15723" s="71"/>
      <c r="M15723" s="46"/>
      <c r="R15723" s="51"/>
      <c r="S15723" s="51"/>
    </row>
    <row r="15724" spans="9:19" x14ac:dyDescent="0.25">
      <c r="I15724" s="1"/>
      <c r="J15724" s="71"/>
      <c r="M15724" s="46"/>
      <c r="R15724" s="51"/>
      <c r="S15724" s="51"/>
    </row>
    <row r="15725" spans="9:19" x14ac:dyDescent="0.25">
      <c r="I15725" s="1"/>
      <c r="J15725" s="71"/>
      <c r="M15725" s="46"/>
      <c r="R15725" s="51"/>
      <c r="S15725" s="51"/>
    </row>
    <row r="15726" spans="9:19" x14ac:dyDescent="0.25">
      <c r="I15726" s="1"/>
      <c r="J15726" s="71"/>
      <c r="M15726" s="46"/>
      <c r="R15726" s="51"/>
      <c r="S15726" s="51"/>
    </row>
    <row r="15727" spans="9:19" x14ac:dyDescent="0.25">
      <c r="I15727" s="1"/>
      <c r="J15727" s="71"/>
      <c r="M15727" s="46"/>
      <c r="R15727" s="51"/>
      <c r="S15727" s="51"/>
    </row>
    <row r="15728" spans="9:19" x14ac:dyDescent="0.25">
      <c r="I15728" s="1"/>
      <c r="J15728" s="71"/>
      <c r="M15728" s="46"/>
      <c r="R15728" s="51"/>
      <c r="S15728" s="51"/>
    </row>
    <row r="15729" spans="9:19" x14ac:dyDescent="0.25">
      <c r="I15729" s="1"/>
      <c r="J15729" s="71"/>
      <c r="M15729" s="46"/>
      <c r="R15729" s="51"/>
      <c r="S15729" s="51"/>
    </row>
    <row r="15730" spans="9:19" x14ac:dyDescent="0.25">
      <c r="I15730" s="1"/>
      <c r="J15730" s="71"/>
      <c r="M15730" s="46"/>
      <c r="R15730" s="51"/>
      <c r="S15730" s="51"/>
    </row>
    <row r="15731" spans="9:19" x14ac:dyDescent="0.25">
      <c r="I15731" s="1"/>
      <c r="J15731" s="71"/>
      <c r="M15731" s="46"/>
      <c r="R15731" s="51"/>
      <c r="S15731" s="51"/>
    </row>
    <row r="15732" spans="9:19" x14ac:dyDescent="0.25">
      <c r="I15732" s="1"/>
      <c r="J15732" s="71"/>
      <c r="M15732" s="46"/>
      <c r="R15732" s="51"/>
      <c r="S15732" s="51"/>
    </row>
    <row r="15733" spans="9:19" x14ac:dyDescent="0.25">
      <c r="I15733" s="1"/>
      <c r="J15733" s="71"/>
      <c r="M15733" s="46"/>
      <c r="R15733" s="51"/>
      <c r="S15733" s="51"/>
    </row>
    <row r="15734" spans="9:19" x14ac:dyDescent="0.25">
      <c r="I15734" s="1"/>
      <c r="J15734" s="71"/>
      <c r="M15734" s="46"/>
      <c r="R15734" s="51"/>
      <c r="S15734" s="51"/>
    </row>
    <row r="15735" spans="9:19" x14ac:dyDescent="0.25">
      <c r="I15735" s="1"/>
      <c r="J15735" s="71"/>
      <c r="M15735" s="46"/>
      <c r="R15735" s="51"/>
      <c r="S15735" s="51"/>
    </row>
    <row r="15736" spans="9:19" x14ac:dyDescent="0.25">
      <c r="I15736" s="1"/>
      <c r="J15736" s="71"/>
      <c r="M15736" s="46"/>
      <c r="R15736" s="51"/>
      <c r="S15736" s="51"/>
    </row>
    <row r="15737" spans="9:19" x14ac:dyDescent="0.25">
      <c r="I15737" s="1"/>
      <c r="J15737" s="71"/>
      <c r="M15737" s="46"/>
      <c r="R15737" s="51"/>
      <c r="S15737" s="51"/>
    </row>
    <row r="15738" spans="9:19" x14ac:dyDescent="0.25">
      <c r="I15738" s="1"/>
      <c r="J15738" s="71"/>
      <c r="M15738" s="46"/>
      <c r="R15738" s="51"/>
      <c r="S15738" s="51"/>
    </row>
    <row r="15739" spans="9:19" x14ac:dyDescent="0.25">
      <c r="I15739" s="1"/>
      <c r="J15739" s="71"/>
      <c r="M15739" s="46"/>
      <c r="R15739" s="51"/>
      <c r="S15739" s="51"/>
    </row>
    <row r="15740" spans="9:19" x14ac:dyDescent="0.25">
      <c r="I15740" s="1"/>
      <c r="J15740" s="71"/>
      <c r="M15740" s="46"/>
      <c r="R15740" s="51"/>
      <c r="S15740" s="51"/>
    </row>
    <row r="15741" spans="9:19" x14ac:dyDescent="0.25">
      <c r="I15741" s="1"/>
      <c r="J15741" s="71"/>
      <c r="M15741" s="46"/>
      <c r="R15741" s="51"/>
      <c r="S15741" s="51"/>
    </row>
    <row r="15742" spans="9:19" x14ac:dyDescent="0.25">
      <c r="I15742" s="1"/>
      <c r="J15742" s="71"/>
      <c r="M15742" s="46"/>
      <c r="R15742" s="51"/>
      <c r="S15742" s="51"/>
    </row>
    <row r="15743" spans="9:19" x14ac:dyDescent="0.25">
      <c r="I15743" s="1"/>
      <c r="J15743" s="71"/>
      <c r="M15743" s="46"/>
      <c r="R15743" s="51"/>
      <c r="S15743" s="51"/>
    </row>
    <row r="15744" spans="9:19" x14ac:dyDescent="0.25">
      <c r="I15744" s="1"/>
      <c r="J15744" s="71"/>
      <c r="M15744" s="46"/>
      <c r="R15744" s="51"/>
      <c r="S15744" s="51"/>
    </row>
    <row r="15745" spans="9:19" x14ac:dyDescent="0.25">
      <c r="I15745" s="1"/>
      <c r="J15745" s="71"/>
      <c r="M15745" s="46"/>
      <c r="R15745" s="51"/>
      <c r="S15745" s="51"/>
    </row>
    <row r="15746" spans="9:19" x14ac:dyDescent="0.25">
      <c r="I15746" s="1"/>
      <c r="J15746" s="71"/>
      <c r="M15746" s="46"/>
      <c r="R15746" s="51"/>
      <c r="S15746" s="51"/>
    </row>
    <row r="15747" spans="9:19" x14ac:dyDescent="0.25">
      <c r="I15747" s="1"/>
      <c r="J15747" s="71"/>
      <c r="M15747" s="46"/>
      <c r="R15747" s="51"/>
      <c r="S15747" s="51"/>
    </row>
    <row r="15748" spans="9:19" x14ac:dyDescent="0.25">
      <c r="I15748" s="1"/>
      <c r="J15748" s="71"/>
      <c r="M15748" s="46"/>
      <c r="R15748" s="51"/>
      <c r="S15748" s="51"/>
    </row>
    <row r="15749" spans="9:19" x14ac:dyDescent="0.25">
      <c r="I15749" s="1"/>
      <c r="J15749" s="71"/>
      <c r="M15749" s="46"/>
      <c r="R15749" s="51"/>
      <c r="S15749" s="51"/>
    </row>
    <row r="15750" spans="9:19" x14ac:dyDescent="0.25">
      <c r="I15750" s="1"/>
      <c r="J15750" s="71"/>
      <c r="M15750" s="46"/>
      <c r="R15750" s="51"/>
      <c r="S15750" s="51"/>
    </row>
    <row r="15751" spans="9:19" x14ac:dyDescent="0.25">
      <c r="I15751" s="1"/>
      <c r="J15751" s="71"/>
      <c r="M15751" s="46"/>
      <c r="R15751" s="51"/>
      <c r="S15751" s="51"/>
    </row>
    <row r="15752" spans="9:19" x14ac:dyDescent="0.25">
      <c r="I15752" s="1"/>
      <c r="J15752" s="71"/>
      <c r="M15752" s="46"/>
      <c r="R15752" s="51"/>
      <c r="S15752" s="51"/>
    </row>
    <row r="15753" spans="9:19" x14ac:dyDescent="0.25">
      <c r="I15753" s="1"/>
      <c r="J15753" s="71"/>
      <c r="M15753" s="46"/>
      <c r="R15753" s="51"/>
      <c r="S15753" s="51"/>
    </row>
    <row r="15754" spans="9:19" x14ac:dyDescent="0.25">
      <c r="I15754" s="1"/>
      <c r="J15754" s="71"/>
      <c r="M15754" s="46"/>
      <c r="R15754" s="51"/>
      <c r="S15754" s="51"/>
    </row>
    <row r="15755" spans="9:19" x14ac:dyDescent="0.25">
      <c r="I15755" s="1"/>
      <c r="J15755" s="71"/>
      <c r="M15755" s="46"/>
      <c r="R15755" s="51"/>
      <c r="S15755" s="51"/>
    </row>
    <row r="15756" spans="9:19" x14ac:dyDescent="0.25">
      <c r="I15756" s="1"/>
      <c r="J15756" s="71"/>
      <c r="M15756" s="46"/>
      <c r="R15756" s="51"/>
      <c r="S15756" s="51"/>
    </row>
    <row r="15757" spans="9:19" x14ac:dyDescent="0.25">
      <c r="I15757" s="1"/>
      <c r="J15757" s="71"/>
      <c r="M15757" s="46"/>
      <c r="R15757" s="51"/>
      <c r="S15757" s="51"/>
    </row>
    <row r="15758" spans="9:19" x14ac:dyDescent="0.25">
      <c r="I15758" s="1"/>
      <c r="J15758" s="71"/>
      <c r="M15758" s="46"/>
      <c r="R15758" s="51"/>
      <c r="S15758" s="51"/>
    </row>
    <row r="15759" spans="9:19" x14ac:dyDescent="0.25">
      <c r="I15759" s="1"/>
      <c r="J15759" s="71"/>
      <c r="M15759" s="46"/>
      <c r="R15759" s="51"/>
      <c r="S15759" s="51"/>
    </row>
    <row r="15760" spans="9:19" x14ac:dyDescent="0.25">
      <c r="I15760" s="1"/>
      <c r="J15760" s="71"/>
      <c r="M15760" s="46"/>
      <c r="R15760" s="51"/>
      <c r="S15760" s="51"/>
    </row>
    <row r="15761" spans="9:19" x14ac:dyDescent="0.25">
      <c r="I15761" s="1"/>
      <c r="J15761" s="71"/>
      <c r="M15761" s="46"/>
      <c r="R15761" s="51"/>
      <c r="S15761" s="51"/>
    </row>
    <row r="15762" spans="9:19" x14ac:dyDescent="0.25">
      <c r="I15762" s="1"/>
      <c r="J15762" s="71"/>
      <c r="M15762" s="46"/>
      <c r="R15762" s="51"/>
      <c r="S15762" s="51"/>
    </row>
    <row r="15763" spans="9:19" x14ac:dyDescent="0.25">
      <c r="I15763" s="1"/>
      <c r="J15763" s="71"/>
      <c r="M15763" s="46"/>
      <c r="R15763" s="51"/>
      <c r="S15763" s="51"/>
    </row>
    <row r="15764" spans="9:19" x14ac:dyDescent="0.25">
      <c r="I15764" s="1"/>
      <c r="J15764" s="71"/>
      <c r="M15764" s="46"/>
      <c r="R15764" s="51"/>
      <c r="S15764" s="51"/>
    </row>
    <row r="15765" spans="9:19" x14ac:dyDescent="0.25">
      <c r="I15765" s="1"/>
      <c r="J15765" s="71"/>
      <c r="M15765" s="46"/>
      <c r="R15765" s="51"/>
      <c r="S15765" s="51"/>
    </row>
    <row r="15766" spans="9:19" x14ac:dyDescent="0.25">
      <c r="I15766" s="1"/>
      <c r="J15766" s="71"/>
      <c r="M15766" s="46"/>
      <c r="R15766" s="51"/>
      <c r="S15766" s="51"/>
    </row>
    <row r="15767" spans="9:19" x14ac:dyDescent="0.25">
      <c r="I15767" s="1"/>
      <c r="J15767" s="71"/>
      <c r="M15767" s="46"/>
      <c r="R15767" s="51"/>
      <c r="S15767" s="51"/>
    </row>
    <row r="15768" spans="9:19" x14ac:dyDescent="0.25">
      <c r="I15768" s="1"/>
      <c r="J15768" s="71"/>
      <c r="M15768" s="46"/>
      <c r="R15768" s="51"/>
      <c r="S15768" s="51"/>
    </row>
    <row r="15769" spans="9:19" x14ac:dyDescent="0.25">
      <c r="I15769" s="1"/>
      <c r="J15769" s="71"/>
      <c r="M15769" s="46"/>
      <c r="R15769" s="51"/>
      <c r="S15769" s="51"/>
    </row>
    <row r="15770" spans="9:19" x14ac:dyDescent="0.25">
      <c r="I15770" s="1"/>
      <c r="J15770" s="71"/>
      <c r="M15770" s="46"/>
      <c r="R15770" s="51"/>
      <c r="S15770" s="51"/>
    </row>
    <row r="15771" spans="9:19" x14ac:dyDescent="0.25">
      <c r="I15771" s="1"/>
      <c r="J15771" s="71"/>
      <c r="M15771" s="46"/>
      <c r="R15771" s="51"/>
      <c r="S15771" s="51"/>
    </row>
    <row r="15772" spans="9:19" x14ac:dyDescent="0.25">
      <c r="I15772" s="1"/>
      <c r="J15772" s="71"/>
      <c r="M15772" s="46"/>
      <c r="R15772" s="51"/>
      <c r="S15772" s="51"/>
    </row>
    <row r="15773" spans="9:19" x14ac:dyDescent="0.25">
      <c r="I15773" s="1"/>
      <c r="J15773" s="71"/>
      <c r="M15773" s="46"/>
      <c r="R15773" s="51"/>
      <c r="S15773" s="51"/>
    </row>
    <row r="15774" spans="9:19" x14ac:dyDescent="0.25">
      <c r="I15774" s="1"/>
      <c r="J15774" s="71"/>
      <c r="M15774" s="46"/>
      <c r="R15774" s="51"/>
      <c r="S15774" s="51"/>
    </row>
    <row r="15775" spans="9:19" x14ac:dyDescent="0.25">
      <c r="I15775" s="1"/>
      <c r="J15775" s="71"/>
      <c r="M15775" s="46"/>
      <c r="R15775" s="51"/>
      <c r="S15775" s="51"/>
    </row>
    <row r="15776" spans="9:19" x14ac:dyDescent="0.25">
      <c r="I15776" s="1"/>
      <c r="J15776" s="71"/>
      <c r="M15776" s="46"/>
      <c r="R15776" s="51"/>
      <c r="S15776" s="51"/>
    </row>
    <row r="15777" spans="9:19" x14ac:dyDescent="0.25">
      <c r="I15777" s="1"/>
      <c r="J15777" s="71"/>
      <c r="M15777" s="46"/>
      <c r="R15777" s="51"/>
      <c r="S15777" s="51"/>
    </row>
    <row r="15778" spans="9:19" x14ac:dyDescent="0.25">
      <c r="I15778" s="1"/>
      <c r="J15778" s="71"/>
      <c r="M15778" s="46"/>
      <c r="R15778" s="51"/>
      <c r="S15778" s="51"/>
    </row>
    <row r="15779" spans="9:19" x14ac:dyDescent="0.25">
      <c r="I15779" s="1"/>
      <c r="J15779" s="71"/>
      <c r="M15779" s="46"/>
      <c r="R15779" s="51"/>
      <c r="S15779" s="51"/>
    </row>
    <row r="15780" spans="9:19" x14ac:dyDescent="0.25">
      <c r="I15780" s="1"/>
      <c r="J15780" s="71"/>
      <c r="M15780" s="46"/>
      <c r="R15780" s="51"/>
      <c r="S15780" s="51"/>
    </row>
    <row r="15781" spans="9:19" x14ac:dyDescent="0.25">
      <c r="I15781" s="1"/>
      <c r="J15781" s="71"/>
      <c r="M15781" s="46"/>
      <c r="R15781" s="51"/>
      <c r="S15781" s="51"/>
    </row>
    <row r="15782" spans="9:19" x14ac:dyDescent="0.25">
      <c r="I15782" s="1"/>
      <c r="J15782" s="71"/>
      <c r="M15782" s="46"/>
      <c r="R15782" s="51"/>
      <c r="S15782" s="51"/>
    </row>
    <row r="15783" spans="9:19" x14ac:dyDescent="0.25">
      <c r="I15783" s="1"/>
      <c r="J15783" s="71"/>
      <c r="M15783" s="46"/>
      <c r="R15783" s="51"/>
      <c r="S15783" s="51"/>
    </row>
    <row r="15784" spans="9:19" x14ac:dyDescent="0.25">
      <c r="I15784" s="1"/>
      <c r="J15784" s="71"/>
      <c r="M15784" s="46"/>
      <c r="R15784" s="51"/>
      <c r="S15784" s="51"/>
    </row>
    <row r="15785" spans="9:19" x14ac:dyDescent="0.25">
      <c r="I15785" s="1"/>
      <c r="J15785" s="71"/>
      <c r="M15785" s="46"/>
      <c r="R15785" s="51"/>
      <c r="S15785" s="51"/>
    </row>
    <row r="15786" spans="9:19" x14ac:dyDescent="0.25">
      <c r="I15786" s="1"/>
      <c r="J15786" s="71"/>
      <c r="M15786" s="46"/>
      <c r="R15786" s="51"/>
      <c r="S15786" s="51"/>
    </row>
    <row r="15787" spans="9:19" x14ac:dyDescent="0.25">
      <c r="I15787" s="1"/>
      <c r="J15787" s="71"/>
      <c r="M15787" s="46"/>
      <c r="R15787" s="51"/>
      <c r="S15787" s="51"/>
    </row>
    <row r="15788" spans="9:19" x14ac:dyDescent="0.25">
      <c r="I15788" s="1"/>
      <c r="J15788" s="71"/>
      <c r="M15788" s="46"/>
      <c r="R15788" s="51"/>
      <c r="S15788" s="51"/>
    </row>
    <row r="15789" spans="9:19" x14ac:dyDescent="0.25">
      <c r="I15789" s="1"/>
      <c r="J15789" s="71"/>
      <c r="M15789" s="46"/>
      <c r="R15789" s="51"/>
      <c r="S15789" s="51"/>
    </row>
    <row r="15790" spans="9:19" x14ac:dyDescent="0.25">
      <c r="I15790" s="1"/>
      <c r="J15790" s="71"/>
      <c r="M15790" s="46"/>
      <c r="R15790" s="51"/>
      <c r="S15790" s="51"/>
    </row>
    <row r="15791" spans="9:19" x14ac:dyDescent="0.25">
      <c r="I15791" s="1"/>
      <c r="J15791" s="71"/>
      <c r="M15791" s="46"/>
      <c r="R15791" s="51"/>
      <c r="S15791" s="51"/>
    </row>
    <row r="15792" spans="9:19" x14ac:dyDescent="0.25">
      <c r="I15792" s="1"/>
      <c r="J15792" s="71"/>
      <c r="M15792" s="46"/>
      <c r="R15792" s="51"/>
      <c r="S15792" s="51"/>
    </row>
    <row r="15793" spans="9:19" x14ac:dyDescent="0.25">
      <c r="I15793" s="1"/>
      <c r="J15793" s="71"/>
      <c r="M15793" s="46"/>
      <c r="R15793" s="51"/>
      <c r="S15793" s="51"/>
    </row>
    <row r="15794" spans="9:19" x14ac:dyDescent="0.25">
      <c r="I15794" s="1"/>
      <c r="J15794" s="71"/>
      <c r="M15794" s="46"/>
      <c r="R15794" s="51"/>
      <c r="S15794" s="51"/>
    </row>
    <row r="15795" spans="9:19" x14ac:dyDescent="0.25">
      <c r="I15795" s="1"/>
      <c r="J15795" s="71"/>
      <c r="M15795" s="46"/>
      <c r="R15795" s="51"/>
      <c r="S15795" s="51"/>
    </row>
    <row r="15796" spans="9:19" x14ac:dyDescent="0.25">
      <c r="I15796" s="1"/>
      <c r="J15796" s="71"/>
      <c r="M15796" s="46"/>
      <c r="R15796" s="51"/>
      <c r="S15796" s="51"/>
    </row>
    <row r="15797" spans="9:19" x14ac:dyDescent="0.25">
      <c r="I15797" s="1"/>
      <c r="J15797" s="71"/>
      <c r="M15797" s="46"/>
      <c r="R15797" s="51"/>
      <c r="S15797" s="51"/>
    </row>
    <row r="15798" spans="9:19" x14ac:dyDescent="0.25">
      <c r="I15798" s="1"/>
      <c r="J15798" s="71"/>
      <c r="M15798" s="46"/>
      <c r="R15798" s="51"/>
      <c r="S15798" s="51"/>
    </row>
    <row r="15799" spans="9:19" x14ac:dyDescent="0.25">
      <c r="I15799" s="1"/>
      <c r="J15799" s="71"/>
      <c r="M15799" s="46"/>
      <c r="R15799" s="51"/>
      <c r="S15799" s="51"/>
    </row>
    <row r="15800" spans="9:19" x14ac:dyDescent="0.25">
      <c r="I15800" s="1"/>
      <c r="J15800" s="71"/>
      <c r="M15800" s="46"/>
      <c r="R15800" s="51"/>
      <c r="S15800" s="51"/>
    </row>
    <row r="15801" spans="9:19" x14ac:dyDescent="0.25">
      <c r="I15801" s="1"/>
      <c r="J15801" s="71"/>
      <c r="M15801" s="46"/>
      <c r="R15801" s="51"/>
      <c r="S15801" s="51"/>
    </row>
    <row r="15802" spans="9:19" x14ac:dyDescent="0.25">
      <c r="I15802" s="1"/>
      <c r="J15802" s="71"/>
      <c r="M15802" s="46"/>
      <c r="R15802" s="51"/>
      <c r="S15802" s="51"/>
    </row>
    <row r="15803" spans="9:19" x14ac:dyDescent="0.25">
      <c r="I15803" s="1"/>
      <c r="J15803" s="71"/>
      <c r="M15803" s="46"/>
      <c r="R15803" s="51"/>
      <c r="S15803" s="51"/>
    </row>
    <row r="15804" spans="9:19" x14ac:dyDescent="0.25">
      <c r="I15804" s="1"/>
      <c r="J15804" s="71"/>
      <c r="M15804" s="46"/>
      <c r="R15804" s="51"/>
      <c r="S15804" s="51"/>
    </row>
    <row r="15805" spans="9:19" x14ac:dyDescent="0.25">
      <c r="I15805" s="1"/>
      <c r="J15805" s="71"/>
      <c r="M15805" s="46"/>
      <c r="R15805" s="51"/>
      <c r="S15805" s="51"/>
    </row>
    <row r="15806" spans="9:19" x14ac:dyDescent="0.25">
      <c r="I15806" s="1"/>
      <c r="J15806" s="71"/>
      <c r="M15806" s="46"/>
      <c r="R15806" s="51"/>
      <c r="S15806" s="51"/>
    </row>
    <row r="15807" spans="9:19" x14ac:dyDescent="0.25">
      <c r="I15807" s="1"/>
      <c r="J15807" s="71"/>
      <c r="M15807" s="46"/>
      <c r="R15807" s="51"/>
      <c r="S15807" s="51"/>
    </row>
    <row r="15808" spans="9:19" x14ac:dyDescent="0.25">
      <c r="I15808" s="1"/>
      <c r="J15808" s="71"/>
      <c r="M15808" s="46"/>
      <c r="R15808" s="51"/>
      <c r="S15808" s="51"/>
    </row>
    <row r="15809" spans="9:19" x14ac:dyDescent="0.25">
      <c r="I15809" s="1"/>
      <c r="J15809" s="71"/>
      <c r="M15809" s="46"/>
      <c r="R15809" s="51"/>
      <c r="S15809" s="51"/>
    </row>
    <row r="15810" spans="9:19" x14ac:dyDescent="0.25">
      <c r="I15810" s="1"/>
      <c r="J15810" s="71"/>
      <c r="M15810" s="46"/>
      <c r="R15810" s="51"/>
      <c r="S15810" s="51"/>
    </row>
    <row r="15811" spans="9:19" x14ac:dyDescent="0.25">
      <c r="I15811" s="1"/>
      <c r="J15811" s="71"/>
      <c r="M15811" s="46"/>
      <c r="R15811" s="51"/>
      <c r="S15811" s="51"/>
    </row>
    <row r="15812" spans="9:19" x14ac:dyDescent="0.25">
      <c r="I15812" s="1"/>
      <c r="J15812" s="71"/>
      <c r="M15812" s="46"/>
      <c r="R15812" s="51"/>
      <c r="S15812" s="51"/>
    </row>
    <row r="15813" spans="9:19" x14ac:dyDescent="0.25">
      <c r="I15813" s="1"/>
      <c r="J15813" s="71"/>
      <c r="M15813" s="46"/>
      <c r="R15813" s="51"/>
      <c r="S15813" s="51"/>
    </row>
    <row r="15814" spans="9:19" x14ac:dyDescent="0.25">
      <c r="I15814" s="1"/>
      <c r="J15814" s="71"/>
      <c r="M15814" s="46"/>
      <c r="R15814" s="51"/>
      <c r="S15814" s="51"/>
    </row>
    <row r="15815" spans="9:19" x14ac:dyDescent="0.25">
      <c r="I15815" s="1"/>
      <c r="J15815" s="71"/>
      <c r="M15815" s="46"/>
      <c r="R15815" s="51"/>
      <c r="S15815" s="51"/>
    </row>
    <row r="15816" spans="9:19" x14ac:dyDescent="0.25">
      <c r="I15816" s="1"/>
      <c r="J15816" s="71"/>
      <c r="M15816" s="46"/>
      <c r="R15816" s="51"/>
      <c r="S15816" s="51"/>
    </row>
    <row r="15817" spans="9:19" x14ac:dyDescent="0.25">
      <c r="I15817" s="1"/>
      <c r="J15817" s="71"/>
      <c r="M15817" s="46"/>
      <c r="R15817" s="51"/>
      <c r="S15817" s="51"/>
    </row>
    <row r="15818" spans="9:19" x14ac:dyDescent="0.25">
      <c r="I15818" s="1"/>
      <c r="J15818" s="71"/>
      <c r="M15818" s="46"/>
      <c r="R15818" s="51"/>
      <c r="S15818" s="51"/>
    </row>
    <row r="15819" spans="9:19" x14ac:dyDescent="0.25">
      <c r="I15819" s="1"/>
      <c r="J15819" s="71"/>
      <c r="M15819" s="46"/>
      <c r="R15819" s="51"/>
      <c r="S15819" s="51"/>
    </row>
    <row r="15820" spans="9:19" x14ac:dyDescent="0.25">
      <c r="I15820" s="1"/>
      <c r="J15820" s="71"/>
      <c r="M15820" s="46"/>
      <c r="R15820" s="51"/>
      <c r="S15820" s="51"/>
    </row>
    <row r="15821" spans="9:19" x14ac:dyDescent="0.25">
      <c r="I15821" s="1"/>
      <c r="J15821" s="71"/>
      <c r="M15821" s="46"/>
      <c r="R15821" s="51"/>
      <c r="S15821" s="51"/>
    </row>
    <row r="15822" spans="9:19" x14ac:dyDescent="0.25">
      <c r="I15822" s="1"/>
      <c r="J15822" s="71"/>
      <c r="M15822" s="46"/>
      <c r="R15822" s="51"/>
      <c r="S15822" s="51"/>
    </row>
    <row r="15823" spans="9:19" x14ac:dyDescent="0.25">
      <c r="I15823" s="1"/>
      <c r="J15823" s="71"/>
      <c r="M15823" s="46"/>
      <c r="R15823" s="51"/>
      <c r="S15823" s="51"/>
    </row>
    <row r="15824" spans="9:19" x14ac:dyDescent="0.25">
      <c r="I15824" s="1"/>
      <c r="J15824" s="71"/>
      <c r="M15824" s="46"/>
      <c r="R15824" s="51"/>
      <c r="S15824" s="51"/>
    </row>
    <row r="15825" spans="9:19" x14ac:dyDescent="0.25">
      <c r="I15825" s="1"/>
      <c r="J15825" s="71"/>
      <c r="M15825" s="46"/>
      <c r="R15825" s="51"/>
      <c r="S15825" s="51"/>
    </row>
    <row r="15826" spans="9:19" x14ac:dyDescent="0.25">
      <c r="I15826" s="1"/>
      <c r="J15826" s="71"/>
      <c r="M15826" s="46"/>
      <c r="R15826" s="51"/>
      <c r="S15826" s="51"/>
    </row>
    <row r="15827" spans="9:19" x14ac:dyDescent="0.25">
      <c r="I15827" s="1"/>
      <c r="J15827" s="71"/>
      <c r="M15827" s="46"/>
      <c r="R15827" s="51"/>
      <c r="S15827" s="51"/>
    </row>
    <row r="15828" spans="9:19" x14ac:dyDescent="0.25">
      <c r="I15828" s="1"/>
      <c r="J15828" s="71"/>
      <c r="M15828" s="46"/>
      <c r="R15828" s="51"/>
      <c r="S15828" s="51"/>
    </row>
    <row r="15829" spans="9:19" x14ac:dyDescent="0.25">
      <c r="I15829" s="1"/>
      <c r="J15829" s="71"/>
      <c r="M15829" s="46"/>
      <c r="R15829" s="51"/>
      <c r="S15829" s="51"/>
    </row>
    <row r="15830" spans="9:19" x14ac:dyDescent="0.25">
      <c r="I15830" s="1"/>
      <c r="J15830" s="71"/>
      <c r="M15830" s="46"/>
      <c r="R15830" s="51"/>
      <c r="S15830" s="51"/>
    </row>
    <row r="15831" spans="9:19" x14ac:dyDescent="0.25">
      <c r="I15831" s="1"/>
      <c r="J15831" s="71"/>
      <c r="M15831" s="46"/>
      <c r="R15831" s="51"/>
      <c r="S15831" s="51"/>
    </row>
    <row r="15832" spans="9:19" x14ac:dyDescent="0.25">
      <c r="I15832" s="1"/>
      <c r="J15832" s="71"/>
      <c r="M15832" s="46"/>
      <c r="R15832" s="51"/>
      <c r="S15832" s="51"/>
    </row>
    <row r="15833" spans="9:19" x14ac:dyDescent="0.25">
      <c r="I15833" s="1"/>
      <c r="J15833" s="71"/>
      <c r="M15833" s="46"/>
      <c r="R15833" s="51"/>
      <c r="S15833" s="51"/>
    </row>
    <row r="15834" spans="9:19" x14ac:dyDescent="0.25">
      <c r="I15834" s="1"/>
      <c r="J15834" s="71"/>
      <c r="M15834" s="46"/>
      <c r="R15834" s="51"/>
      <c r="S15834" s="51"/>
    </row>
    <row r="15835" spans="9:19" x14ac:dyDescent="0.25">
      <c r="I15835" s="1"/>
      <c r="J15835" s="71"/>
      <c r="M15835" s="46"/>
      <c r="R15835" s="51"/>
      <c r="S15835" s="51"/>
    </row>
    <row r="15836" spans="9:19" x14ac:dyDescent="0.25">
      <c r="I15836" s="1"/>
      <c r="J15836" s="71"/>
      <c r="M15836" s="46"/>
      <c r="R15836" s="51"/>
      <c r="S15836" s="51"/>
    </row>
    <row r="15837" spans="9:19" x14ac:dyDescent="0.25">
      <c r="I15837" s="1"/>
      <c r="J15837" s="71"/>
      <c r="M15837" s="46"/>
      <c r="R15837" s="51"/>
      <c r="S15837" s="51"/>
    </row>
    <row r="15838" spans="9:19" x14ac:dyDescent="0.25">
      <c r="I15838" s="1"/>
      <c r="J15838" s="71"/>
      <c r="M15838" s="46"/>
      <c r="R15838" s="51"/>
      <c r="S15838" s="51"/>
    </row>
    <row r="15839" spans="9:19" x14ac:dyDescent="0.25">
      <c r="I15839" s="1"/>
      <c r="J15839" s="71"/>
      <c r="M15839" s="46"/>
      <c r="R15839" s="51"/>
      <c r="S15839" s="51"/>
    </row>
    <row r="15840" spans="9:19" x14ac:dyDescent="0.25">
      <c r="I15840" s="1"/>
      <c r="J15840" s="71"/>
      <c r="M15840" s="46"/>
      <c r="R15840" s="51"/>
      <c r="S15840" s="51"/>
    </row>
    <row r="15841" spans="9:19" x14ac:dyDescent="0.25">
      <c r="I15841" s="1"/>
      <c r="J15841" s="71"/>
      <c r="M15841" s="46"/>
      <c r="R15841" s="51"/>
      <c r="S15841" s="51"/>
    </row>
    <row r="15842" spans="9:19" x14ac:dyDescent="0.25">
      <c r="I15842" s="1"/>
      <c r="J15842" s="71"/>
      <c r="M15842" s="46"/>
      <c r="R15842" s="51"/>
      <c r="S15842" s="51"/>
    </row>
    <row r="15843" spans="9:19" x14ac:dyDescent="0.25">
      <c r="I15843" s="1"/>
      <c r="J15843" s="71"/>
      <c r="M15843" s="46"/>
      <c r="R15843" s="51"/>
      <c r="S15843" s="51"/>
    </row>
    <row r="15844" spans="9:19" x14ac:dyDescent="0.25">
      <c r="I15844" s="1"/>
      <c r="J15844" s="71"/>
      <c r="M15844" s="46"/>
      <c r="R15844" s="51"/>
      <c r="S15844" s="51"/>
    </row>
    <row r="15845" spans="9:19" x14ac:dyDescent="0.25">
      <c r="I15845" s="1"/>
      <c r="J15845" s="71"/>
      <c r="M15845" s="46"/>
      <c r="R15845" s="51"/>
      <c r="S15845" s="51"/>
    </row>
    <row r="15846" spans="9:19" x14ac:dyDescent="0.25">
      <c r="I15846" s="1"/>
      <c r="J15846" s="71"/>
      <c r="M15846" s="46"/>
      <c r="R15846" s="51"/>
      <c r="S15846" s="51"/>
    </row>
    <row r="15847" spans="9:19" x14ac:dyDescent="0.25">
      <c r="I15847" s="1"/>
      <c r="J15847" s="71"/>
      <c r="M15847" s="46"/>
      <c r="R15847" s="51"/>
      <c r="S15847" s="51"/>
    </row>
    <row r="15848" spans="9:19" x14ac:dyDescent="0.25">
      <c r="I15848" s="1"/>
      <c r="J15848" s="71"/>
      <c r="M15848" s="46"/>
      <c r="R15848" s="51"/>
      <c r="S15848" s="51"/>
    </row>
    <row r="15849" spans="9:19" x14ac:dyDescent="0.25">
      <c r="I15849" s="1"/>
      <c r="J15849" s="71"/>
      <c r="M15849" s="46"/>
      <c r="R15849" s="51"/>
      <c r="S15849" s="51"/>
    </row>
    <row r="15850" spans="9:19" x14ac:dyDescent="0.25">
      <c r="I15850" s="1"/>
      <c r="J15850" s="71"/>
      <c r="M15850" s="46"/>
      <c r="R15850" s="51"/>
      <c r="S15850" s="51"/>
    </row>
    <row r="15851" spans="9:19" x14ac:dyDescent="0.25">
      <c r="I15851" s="1"/>
      <c r="J15851" s="71"/>
      <c r="M15851" s="46"/>
      <c r="R15851" s="51"/>
      <c r="S15851" s="51"/>
    </row>
    <row r="15852" spans="9:19" x14ac:dyDescent="0.25">
      <c r="I15852" s="1"/>
      <c r="J15852" s="71"/>
      <c r="M15852" s="46"/>
      <c r="R15852" s="51"/>
      <c r="S15852" s="51"/>
    </row>
    <row r="15853" spans="9:19" x14ac:dyDescent="0.25">
      <c r="I15853" s="1"/>
      <c r="J15853" s="71"/>
      <c r="M15853" s="46"/>
      <c r="R15853" s="51"/>
      <c r="S15853" s="51"/>
    </row>
    <row r="15854" spans="9:19" x14ac:dyDescent="0.25">
      <c r="I15854" s="1"/>
      <c r="J15854" s="71"/>
      <c r="M15854" s="46"/>
      <c r="R15854" s="51"/>
      <c r="S15854" s="51"/>
    </row>
    <row r="15855" spans="9:19" x14ac:dyDescent="0.25">
      <c r="I15855" s="1"/>
      <c r="J15855" s="71"/>
      <c r="M15855" s="46"/>
      <c r="R15855" s="51"/>
      <c r="S15855" s="51"/>
    </row>
    <row r="15856" spans="9:19" x14ac:dyDescent="0.25">
      <c r="I15856" s="1"/>
      <c r="J15856" s="71"/>
      <c r="M15856" s="46"/>
      <c r="R15856" s="51"/>
      <c r="S15856" s="51"/>
    </row>
    <row r="15857" spans="9:19" x14ac:dyDescent="0.25">
      <c r="I15857" s="1"/>
      <c r="J15857" s="71"/>
      <c r="M15857" s="46"/>
      <c r="R15857" s="51"/>
      <c r="S15857" s="51"/>
    </row>
    <row r="15858" spans="9:19" x14ac:dyDescent="0.25">
      <c r="I15858" s="1"/>
      <c r="J15858" s="71"/>
      <c r="M15858" s="46"/>
      <c r="R15858" s="51"/>
      <c r="S15858" s="51"/>
    </row>
    <row r="15859" spans="9:19" x14ac:dyDescent="0.25">
      <c r="I15859" s="1"/>
      <c r="J15859" s="71"/>
      <c r="M15859" s="46"/>
      <c r="R15859" s="51"/>
      <c r="S15859" s="51"/>
    </row>
    <row r="15860" spans="9:19" x14ac:dyDescent="0.25">
      <c r="I15860" s="1"/>
      <c r="J15860" s="71"/>
      <c r="M15860" s="46"/>
      <c r="R15860" s="51"/>
      <c r="S15860" s="51"/>
    </row>
    <row r="15861" spans="9:19" x14ac:dyDescent="0.25">
      <c r="I15861" s="1"/>
      <c r="J15861" s="71"/>
      <c r="M15861" s="46"/>
      <c r="R15861" s="51"/>
      <c r="S15861" s="51"/>
    </row>
    <row r="15862" spans="9:19" x14ac:dyDescent="0.25">
      <c r="I15862" s="1"/>
      <c r="J15862" s="71"/>
      <c r="M15862" s="46"/>
      <c r="R15862" s="51"/>
      <c r="S15862" s="51"/>
    </row>
    <row r="15863" spans="9:19" x14ac:dyDescent="0.25">
      <c r="I15863" s="1"/>
      <c r="J15863" s="71"/>
      <c r="M15863" s="46"/>
      <c r="R15863" s="51"/>
      <c r="S15863" s="51"/>
    </row>
    <row r="15864" spans="9:19" x14ac:dyDescent="0.25">
      <c r="I15864" s="1"/>
      <c r="J15864" s="71"/>
      <c r="M15864" s="46"/>
      <c r="R15864" s="51"/>
      <c r="S15864" s="51"/>
    </row>
    <row r="15865" spans="9:19" x14ac:dyDescent="0.25">
      <c r="I15865" s="1"/>
      <c r="J15865" s="71"/>
      <c r="M15865" s="46"/>
      <c r="R15865" s="51"/>
      <c r="S15865" s="51"/>
    </row>
    <row r="15866" spans="9:19" x14ac:dyDescent="0.25">
      <c r="I15866" s="1"/>
      <c r="J15866" s="71"/>
      <c r="M15866" s="46"/>
      <c r="R15866" s="51"/>
      <c r="S15866" s="51"/>
    </row>
    <row r="15867" spans="9:19" x14ac:dyDescent="0.25">
      <c r="I15867" s="1"/>
      <c r="J15867" s="71"/>
      <c r="M15867" s="46"/>
      <c r="R15867" s="51"/>
      <c r="S15867" s="51"/>
    </row>
    <row r="15868" spans="9:19" x14ac:dyDescent="0.25">
      <c r="I15868" s="1"/>
      <c r="J15868" s="71"/>
      <c r="M15868" s="46"/>
      <c r="R15868" s="51"/>
      <c r="S15868" s="51"/>
    </row>
    <row r="15869" spans="9:19" x14ac:dyDescent="0.25">
      <c r="I15869" s="1"/>
      <c r="J15869" s="71"/>
      <c r="M15869" s="46"/>
      <c r="R15869" s="51"/>
      <c r="S15869" s="51"/>
    </row>
    <row r="15870" spans="9:19" x14ac:dyDescent="0.25">
      <c r="I15870" s="1"/>
      <c r="J15870" s="71"/>
      <c r="M15870" s="46"/>
      <c r="R15870" s="51"/>
      <c r="S15870" s="51"/>
    </row>
    <row r="15871" spans="9:19" x14ac:dyDescent="0.25">
      <c r="I15871" s="1"/>
      <c r="J15871" s="71"/>
      <c r="M15871" s="46"/>
      <c r="R15871" s="51"/>
      <c r="S15871" s="51"/>
    </row>
    <row r="15872" spans="9:19" x14ac:dyDescent="0.25">
      <c r="I15872" s="1"/>
      <c r="J15872" s="71"/>
      <c r="M15872" s="46"/>
      <c r="R15872" s="51"/>
      <c r="S15872" s="51"/>
    </row>
    <row r="15873" spans="9:19" x14ac:dyDescent="0.25">
      <c r="I15873" s="1"/>
      <c r="J15873" s="71"/>
      <c r="M15873" s="46"/>
      <c r="R15873" s="51"/>
      <c r="S15873" s="51"/>
    </row>
    <row r="15874" spans="9:19" x14ac:dyDescent="0.25">
      <c r="I15874" s="1"/>
      <c r="J15874" s="71"/>
      <c r="M15874" s="46"/>
      <c r="R15874" s="51"/>
      <c r="S15874" s="51"/>
    </row>
    <row r="15875" spans="9:19" x14ac:dyDescent="0.25">
      <c r="I15875" s="1"/>
      <c r="J15875" s="71"/>
      <c r="M15875" s="46"/>
      <c r="R15875" s="51"/>
      <c r="S15875" s="51"/>
    </row>
    <row r="15876" spans="9:19" x14ac:dyDescent="0.25">
      <c r="I15876" s="1"/>
      <c r="J15876" s="71"/>
      <c r="M15876" s="46"/>
      <c r="R15876" s="51"/>
      <c r="S15876" s="51"/>
    </row>
    <row r="15877" spans="9:19" x14ac:dyDescent="0.25">
      <c r="I15877" s="1"/>
      <c r="J15877" s="71"/>
      <c r="M15877" s="46"/>
      <c r="R15877" s="51"/>
      <c r="S15877" s="51"/>
    </row>
    <row r="15878" spans="9:19" x14ac:dyDescent="0.25">
      <c r="I15878" s="1"/>
      <c r="J15878" s="71"/>
      <c r="M15878" s="46"/>
      <c r="R15878" s="51"/>
      <c r="S15878" s="51"/>
    </row>
    <row r="15879" spans="9:19" x14ac:dyDescent="0.25">
      <c r="I15879" s="1"/>
      <c r="J15879" s="71"/>
      <c r="M15879" s="46"/>
      <c r="R15879" s="51"/>
      <c r="S15879" s="51"/>
    </row>
    <row r="15880" spans="9:19" x14ac:dyDescent="0.25">
      <c r="I15880" s="1"/>
      <c r="J15880" s="71"/>
      <c r="M15880" s="46"/>
      <c r="R15880" s="51"/>
      <c r="S15880" s="51"/>
    </row>
    <row r="15881" spans="9:19" x14ac:dyDescent="0.25">
      <c r="I15881" s="1"/>
      <c r="J15881" s="71"/>
      <c r="M15881" s="46"/>
      <c r="R15881" s="51"/>
      <c r="S15881" s="51"/>
    </row>
    <row r="15882" spans="9:19" x14ac:dyDescent="0.25">
      <c r="I15882" s="1"/>
      <c r="J15882" s="71"/>
      <c r="M15882" s="46"/>
      <c r="R15882" s="51"/>
      <c r="S15882" s="51"/>
    </row>
    <row r="15883" spans="9:19" x14ac:dyDescent="0.25">
      <c r="I15883" s="1"/>
      <c r="J15883" s="71"/>
      <c r="M15883" s="46"/>
      <c r="R15883" s="51"/>
      <c r="S15883" s="51"/>
    </row>
    <row r="15884" spans="9:19" x14ac:dyDescent="0.25">
      <c r="I15884" s="1"/>
      <c r="J15884" s="71"/>
      <c r="M15884" s="46"/>
      <c r="R15884" s="51"/>
      <c r="S15884" s="51"/>
    </row>
    <row r="15885" spans="9:19" x14ac:dyDescent="0.25">
      <c r="I15885" s="1"/>
      <c r="J15885" s="71"/>
      <c r="M15885" s="46"/>
      <c r="R15885" s="51"/>
      <c r="S15885" s="51"/>
    </row>
    <row r="15886" spans="9:19" x14ac:dyDescent="0.25">
      <c r="I15886" s="1"/>
      <c r="J15886" s="71"/>
      <c r="M15886" s="46"/>
      <c r="R15886" s="51"/>
      <c r="S15886" s="51"/>
    </row>
    <row r="15887" spans="9:19" x14ac:dyDescent="0.25">
      <c r="I15887" s="1"/>
      <c r="J15887" s="71"/>
      <c r="M15887" s="46"/>
      <c r="R15887" s="51"/>
      <c r="S15887" s="51"/>
    </row>
    <row r="15888" spans="9:19" x14ac:dyDescent="0.25">
      <c r="I15888" s="1"/>
      <c r="J15888" s="71"/>
      <c r="M15888" s="46"/>
      <c r="R15888" s="51"/>
      <c r="S15888" s="51"/>
    </row>
    <row r="15889" spans="9:19" x14ac:dyDescent="0.25">
      <c r="I15889" s="1"/>
      <c r="J15889" s="71"/>
      <c r="M15889" s="46"/>
      <c r="R15889" s="51"/>
      <c r="S15889" s="51"/>
    </row>
    <row r="15890" spans="9:19" x14ac:dyDescent="0.25">
      <c r="I15890" s="1"/>
      <c r="J15890" s="71"/>
      <c r="M15890" s="46"/>
      <c r="R15890" s="51"/>
      <c r="S15890" s="51"/>
    </row>
    <row r="15891" spans="9:19" x14ac:dyDescent="0.25">
      <c r="I15891" s="1"/>
      <c r="J15891" s="71"/>
      <c r="M15891" s="46"/>
      <c r="R15891" s="51"/>
      <c r="S15891" s="51"/>
    </row>
    <row r="15892" spans="9:19" x14ac:dyDescent="0.25">
      <c r="I15892" s="1"/>
      <c r="J15892" s="71"/>
      <c r="M15892" s="46"/>
      <c r="R15892" s="51"/>
      <c r="S15892" s="51"/>
    </row>
    <row r="15893" spans="9:19" x14ac:dyDescent="0.25">
      <c r="I15893" s="1"/>
      <c r="J15893" s="71"/>
      <c r="M15893" s="46"/>
      <c r="R15893" s="51"/>
      <c r="S15893" s="51"/>
    </row>
    <row r="15894" spans="9:19" x14ac:dyDescent="0.25">
      <c r="I15894" s="1"/>
      <c r="J15894" s="71"/>
      <c r="M15894" s="46"/>
      <c r="R15894" s="51"/>
      <c r="S15894" s="51"/>
    </row>
    <row r="15895" spans="9:19" x14ac:dyDescent="0.25">
      <c r="I15895" s="1"/>
      <c r="J15895" s="71"/>
      <c r="M15895" s="46"/>
      <c r="R15895" s="51"/>
      <c r="S15895" s="51"/>
    </row>
    <row r="15896" spans="9:19" x14ac:dyDescent="0.25">
      <c r="I15896" s="1"/>
      <c r="J15896" s="71"/>
      <c r="M15896" s="46"/>
      <c r="R15896" s="51"/>
      <c r="S15896" s="51"/>
    </row>
    <row r="15897" spans="9:19" x14ac:dyDescent="0.25">
      <c r="I15897" s="1"/>
      <c r="J15897" s="71"/>
      <c r="M15897" s="46"/>
      <c r="R15897" s="51"/>
      <c r="S15897" s="51"/>
    </row>
    <row r="15898" spans="9:19" x14ac:dyDescent="0.25">
      <c r="I15898" s="1"/>
      <c r="J15898" s="71"/>
      <c r="M15898" s="46"/>
      <c r="R15898" s="51"/>
      <c r="S15898" s="51"/>
    </row>
    <row r="15899" spans="9:19" x14ac:dyDescent="0.25">
      <c r="I15899" s="1"/>
      <c r="J15899" s="71"/>
      <c r="M15899" s="46"/>
      <c r="R15899" s="51"/>
      <c r="S15899" s="51"/>
    </row>
    <row r="15900" spans="9:19" x14ac:dyDescent="0.25">
      <c r="I15900" s="1"/>
      <c r="J15900" s="71"/>
      <c r="M15900" s="46"/>
      <c r="R15900" s="51"/>
      <c r="S15900" s="51"/>
    </row>
    <row r="15901" spans="9:19" x14ac:dyDescent="0.25">
      <c r="I15901" s="1"/>
      <c r="J15901" s="71"/>
      <c r="M15901" s="46"/>
      <c r="R15901" s="51"/>
      <c r="S15901" s="51"/>
    </row>
    <row r="15902" spans="9:19" x14ac:dyDescent="0.25">
      <c r="I15902" s="1"/>
      <c r="J15902" s="71"/>
      <c r="M15902" s="46"/>
      <c r="R15902" s="51"/>
      <c r="S15902" s="51"/>
    </row>
    <row r="15903" spans="9:19" x14ac:dyDescent="0.25">
      <c r="I15903" s="1"/>
      <c r="J15903" s="71"/>
      <c r="M15903" s="46"/>
      <c r="R15903" s="51"/>
      <c r="S15903" s="51"/>
    </row>
    <row r="15904" spans="9:19" x14ac:dyDescent="0.25">
      <c r="I15904" s="1"/>
      <c r="J15904" s="71"/>
      <c r="M15904" s="46"/>
      <c r="R15904" s="51"/>
      <c r="S15904" s="51"/>
    </row>
    <row r="15905" spans="9:19" x14ac:dyDescent="0.25">
      <c r="I15905" s="1"/>
      <c r="J15905" s="71"/>
      <c r="M15905" s="46"/>
      <c r="R15905" s="51"/>
      <c r="S15905" s="51"/>
    </row>
    <row r="15906" spans="9:19" x14ac:dyDescent="0.25">
      <c r="I15906" s="1"/>
      <c r="J15906" s="71"/>
      <c r="M15906" s="46"/>
      <c r="R15906" s="51"/>
      <c r="S15906" s="51"/>
    </row>
    <row r="15907" spans="9:19" x14ac:dyDescent="0.25">
      <c r="I15907" s="1"/>
      <c r="J15907" s="71"/>
      <c r="M15907" s="46"/>
      <c r="R15907" s="51"/>
      <c r="S15907" s="51"/>
    </row>
    <row r="15908" spans="9:19" x14ac:dyDescent="0.25">
      <c r="I15908" s="1"/>
      <c r="J15908" s="71"/>
      <c r="M15908" s="46"/>
      <c r="R15908" s="51"/>
      <c r="S15908" s="51"/>
    </row>
    <row r="15909" spans="9:19" x14ac:dyDescent="0.25">
      <c r="I15909" s="1"/>
      <c r="J15909" s="71"/>
      <c r="M15909" s="46"/>
      <c r="R15909" s="51"/>
      <c r="S15909" s="51"/>
    </row>
    <row r="15910" spans="9:19" x14ac:dyDescent="0.25">
      <c r="I15910" s="1"/>
      <c r="J15910" s="71"/>
      <c r="M15910" s="46"/>
      <c r="R15910" s="51"/>
      <c r="S15910" s="51"/>
    </row>
    <row r="15911" spans="9:19" x14ac:dyDescent="0.25">
      <c r="I15911" s="1"/>
      <c r="J15911" s="71"/>
      <c r="M15911" s="46"/>
      <c r="R15911" s="51"/>
      <c r="S15911" s="51"/>
    </row>
    <row r="15912" spans="9:19" x14ac:dyDescent="0.25">
      <c r="I15912" s="1"/>
      <c r="J15912" s="71"/>
      <c r="M15912" s="46"/>
      <c r="R15912" s="51"/>
      <c r="S15912" s="51"/>
    </row>
    <row r="15913" spans="9:19" x14ac:dyDescent="0.25">
      <c r="I15913" s="1"/>
      <c r="J15913" s="71"/>
      <c r="M15913" s="46"/>
      <c r="R15913" s="51"/>
      <c r="S15913" s="51"/>
    </row>
    <row r="15914" spans="9:19" x14ac:dyDescent="0.25">
      <c r="I15914" s="1"/>
      <c r="J15914" s="71"/>
      <c r="M15914" s="46"/>
      <c r="R15914" s="51"/>
      <c r="S15914" s="51"/>
    </row>
    <row r="15915" spans="9:19" x14ac:dyDescent="0.25">
      <c r="I15915" s="1"/>
      <c r="J15915" s="71"/>
      <c r="M15915" s="46"/>
      <c r="R15915" s="51"/>
      <c r="S15915" s="51"/>
    </row>
    <row r="15916" spans="9:19" x14ac:dyDescent="0.25">
      <c r="I15916" s="1"/>
      <c r="J15916" s="71"/>
      <c r="M15916" s="46"/>
      <c r="R15916" s="51"/>
      <c r="S15916" s="51"/>
    </row>
    <row r="15917" spans="9:19" x14ac:dyDescent="0.25">
      <c r="I15917" s="1"/>
      <c r="J15917" s="71"/>
      <c r="M15917" s="46"/>
      <c r="R15917" s="51"/>
      <c r="S15917" s="51"/>
    </row>
    <row r="15918" spans="9:19" x14ac:dyDescent="0.25">
      <c r="I15918" s="1"/>
      <c r="J15918" s="71"/>
      <c r="M15918" s="46"/>
      <c r="R15918" s="51"/>
      <c r="S15918" s="51"/>
    </row>
    <row r="15919" spans="9:19" x14ac:dyDescent="0.25">
      <c r="I15919" s="1"/>
      <c r="J15919" s="71"/>
      <c r="M15919" s="46"/>
      <c r="R15919" s="51"/>
      <c r="S15919" s="51"/>
    </row>
    <row r="15920" spans="9:19" x14ac:dyDescent="0.25">
      <c r="I15920" s="1"/>
      <c r="J15920" s="71"/>
      <c r="M15920" s="46"/>
      <c r="R15920" s="51"/>
      <c r="S15920" s="51"/>
    </row>
    <row r="15921" spans="9:19" x14ac:dyDescent="0.25">
      <c r="I15921" s="1"/>
      <c r="J15921" s="71"/>
      <c r="M15921" s="46"/>
      <c r="R15921" s="51"/>
      <c r="S15921" s="51"/>
    </row>
    <row r="15922" spans="9:19" x14ac:dyDescent="0.25">
      <c r="I15922" s="1"/>
      <c r="J15922" s="71"/>
      <c r="M15922" s="46"/>
      <c r="R15922" s="51"/>
      <c r="S15922" s="51"/>
    </row>
    <row r="15923" spans="9:19" x14ac:dyDescent="0.25">
      <c r="I15923" s="1"/>
      <c r="J15923" s="71"/>
      <c r="M15923" s="46"/>
      <c r="R15923" s="51"/>
      <c r="S15923" s="51"/>
    </row>
    <row r="15924" spans="9:19" x14ac:dyDescent="0.25">
      <c r="I15924" s="1"/>
      <c r="J15924" s="71"/>
      <c r="M15924" s="46"/>
      <c r="R15924" s="51"/>
      <c r="S15924" s="51"/>
    </row>
    <row r="15925" spans="9:19" x14ac:dyDescent="0.25">
      <c r="I15925" s="1"/>
      <c r="J15925" s="71"/>
      <c r="M15925" s="46"/>
      <c r="R15925" s="51"/>
      <c r="S15925" s="51"/>
    </row>
    <row r="15926" spans="9:19" x14ac:dyDescent="0.25">
      <c r="I15926" s="1"/>
      <c r="J15926" s="71"/>
      <c r="M15926" s="46"/>
      <c r="R15926" s="51"/>
      <c r="S15926" s="51"/>
    </row>
    <row r="15927" spans="9:19" x14ac:dyDescent="0.25">
      <c r="I15927" s="1"/>
      <c r="J15927" s="71"/>
      <c r="M15927" s="46"/>
      <c r="R15927" s="51"/>
      <c r="S15927" s="51"/>
    </row>
    <row r="15928" spans="9:19" x14ac:dyDescent="0.25">
      <c r="I15928" s="1"/>
      <c r="J15928" s="71"/>
      <c r="M15928" s="46"/>
      <c r="R15928" s="51"/>
      <c r="S15928" s="51"/>
    </row>
    <row r="15929" spans="9:19" x14ac:dyDescent="0.25">
      <c r="I15929" s="1"/>
      <c r="J15929" s="71"/>
      <c r="M15929" s="46"/>
      <c r="R15929" s="51"/>
      <c r="S15929" s="51"/>
    </row>
    <row r="15930" spans="9:19" x14ac:dyDescent="0.25">
      <c r="I15930" s="1"/>
      <c r="J15930" s="71"/>
      <c r="M15930" s="46"/>
      <c r="R15930" s="51"/>
      <c r="S15930" s="51"/>
    </row>
    <row r="15931" spans="9:19" x14ac:dyDescent="0.25">
      <c r="I15931" s="1"/>
      <c r="J15931" s="71"/>
      <c r="M15931" s="46"/>
      <c r="R15931" s="51"/>
      <c r="S15931" s="51"/>
    </row>
    <row r="15932" spans="9:19" x14ac:dyDescent="0.25">
      <c r="I15932" s="1"/>
      <c r="J15932" s="71"/>
      <c r="M15932" s="46"/>
      <c r="R15932" s="51"/>
      <c r="S15932" s="51"/>
    </row>
    <row r="15933" spans="9:19" x14ac:dyDescent="0.25">
      <c r="I15933" s="1"/>
      <c r="J15933" s="71"/>
      <c r="M15933" s="46"/>
      <c r="R15933" s="51"/>
      <c r="S15933" s="51"/>
    </row>
    <row r="15934" spans="9:19" x14ac:dyDescent="0.25">
      <c r="I15934" s="1"/>
      <c r="J15934" s="71"/>
      <c r="M15934" s="46"/>
      <c r="R15934" s="51"/>
      <c r="S15934" s="51"/>
    </row>
    <row r="15935" spans="9:19" x14ac:dyDescent="0.25">
      <c r="I15935" s="1"/>
      <c r="J15935" s="71"/>
      <c r="M15935" s="46"/>
      <c r="R15935" s="51"/>
      <c r="S15935" s="51"/>
    </row>
    <row r="15936" spans="9:19" x14ac:dyDescent="0.25">
      <c r="I15936" s="1"/>
      <c r="J15936" s="71"/>
      <c r="M15936" s="46"/>
      <c r="R15936" s="51"/>
      <c r="S15936" s="51"/>
    </row>
    <row r="15937" spans="9:19" x14ac:dyDescent="0.25">
      <c r="I15937" s="1"/>
      <c r="J15937" s="71"/>
      <c r="M15937" s="46"/>
      <c r="R15937" s="51"/>
      <c r="S15937" s="51"/>
    </row>
    <row r="15938" spans="9:19" x14ac:dyDescent="0.25">
      <c r="I15938" s="1"/>
      <c r="J15938" s="71"/>
      <c r="M15938" s="46"/>
      <c r="R15938" s="51"/>
      <c r="S15938" s="51"/>
    </row>
    <row r="15939" spans="9:19" x14ac:dyDescent="0.25">
      <c r="I15939" s="1"/>
      <c r="J15939" s="71"/>
      <c r="M15939" s="46"/>
      <c r="R15939" s="51"/>
      <c r="S15939" s="51"/>
    </row>
    <row r="15940" spans="9:19" x14ac:dyDescent="0.25">
      <c r="I15940" s="1"/>
      <c r="J15940" s="71"/>
      <c r="M15940" s="46"/>
      <c r="R15940" s="51"/>
      <c r="S15940" s="51"/>
    </row>
    <row r="15941" spans="9:19" x14ac:dyDescent="0.25">
      <c r="I15941" s="1"/>
      <c r="J15941" s="71"/>
      <c r="M15941" s="46"/>
      <c r="R15941" s="51"/>
      <c r="S15941" s="51"/>
    </row>
    <row r="15942" spans="9:19" x14ac:dyDescent="0.25">
      <c r="I15942" s="1"/>
      <c r="J15942" s="71"/>
      <c r="M15942" s="46"/>
      <c r="R15942" s="51"/>
      <c r="S15942" s="51"/>
    </row>
    <row r="15943" spans="9:19" x14ac:dyDescent="0.25">
      <c r="I15943" s="1"/>
      <c r="J15943" s="71"/>
      <c r="M15943" s="46"/>
      <c r="R15943" s="51"/>
      <c r="S15943" s="51"/>
    </row>
    <row r="15944" spans="9:19" x14ac:dyDescent="0.25">
      <c r="I15944" s="1"/>
      <c r="J15944" s="71"/>
      <c r="M15944" s="46"/>
      <c r="R15944" s="51"/>
      <c r="S15944" s="51"/>
    </row>
    <row r="15945" spans="9:19" x14ac:dyDescent="0.25">
      <c r="I15945" s="1"/>
      <c r="J15945" s="71"/>
      <c r="M15945" s="46"/>
      <c r="R15945" s="51"/>
      <c r="S15945" s="51"/>
    </row>
    <row r="15946" spans="9:19" x14ac:dyDescent="0.25">
      <c r="I15946" s="1"/>
      <c r="J15946" s="71"/>
      <c r="M15946" s="46"/>
      <c r="R15946" s="51"/>
      <c r="S15946" s="51"/>
    </row>
    <row r="15947" spans="9:19" x14ac:dyDescent="0.25">
      <c r="I15947" s="1"/>
      <c r="J15947" s="71"/>
      <c r="M15947" s="46"/>
      <c r="R15947" s="51"/>
      <c r="S15947" s="51"/>
    </row>
    <row r="15948" spans="9:19" x14ac:dyDescent="0.25">
      <c r="I15948" s="1"/>
      <c r="J15948" s="71"/>
      <c r="M15948" s="46"/>
      <c r="R15948" s="51"/>
      <c r="S15948" s="51"/>
    </row>
    <row r="15949" spans="9:19" x14ac:dyDescent="0.25">
      <c r="I15949" s="1"/>
      <c r="J15949" s="71"/>
      <c r="M15949" s="46"/>
      <c r="R15949" s="51"/>
      <c r="S15949" s="51"/>
    </row>
    <row r="15950" spans="9:19" x14ac:dyDescent="0.25">
      <c r="I15950" s="1"/>
      <c r="J15950" s="71"/>
      <c r="M15950" s="46"/>
      <c r="R15950" s="51"/>
      <c r="S15950" s="51"/>
    </row>
    <row r="15951" spans="9:19" x14ac:dyDescent="0.25">
      <c r="I15951" s="1"/>
      <c r="J15951" s="71"/>
      <c r="M15951" s="46"/>
      <c r="R15951" s="51"/>
      <c r="S15951" s="51"/>
    </row>
    <row r="15952" spans="9:19" x14ac:dyDescent="0.25">
      <c r="I15952" s="1"/>
      <c r="J15952" s="71"/>
      <c r="M15952" s="46"/>
      <c r="R15952" s="51"/>
      <c r="S15952" s="51"/>
    </row>
    <row r="15953" spans="9:19" x14ac:dyDescent="0.25">
      <c r="I15953" s="1"/>
      <c r="J15953" s="71"/>
      <c r="M15953" s="46"/>
      <c r="R15953" s="51"/>
      <c r="S15953" s="51"/>
    </row>
    <row r="15954" spans="9:19" x14ac:dyDescent="0.25">
      <c r="I15954" s="1"/>
      <c r="J15954" s="71"/>
      <c r="M15954" s="46"/>
      <c r="R15954" s="51"/>
      <c r="S15954" s="51"/>
    </row>
    <row r="15955" spans="9:19" x14ac:dyDescent="0.25">
      <c r="I15955" s="1"/>
      <c r="J15955" s="71"/>
      <c r="M15955" s="46"/>
      <c r="R15955" s="51"/>
      <c r="S15955" s="51"/>
    </row>
    <row r="15956" spans="9:19" x14ac:dyDescent="0.25">
      <c r="I15956" s="1"/>
      <c r="J15956" s="71"/>
      <c r="M15956" s="46"/>
      <c r="R15956" s="51"/>
      <c r="S15956" s="51"/>
    </row>
    <row r="15957" spans="9:19" x14ac:dyDescent="0.25">
      <c r="I15957" s="1"/>
      <c r="J15957" s="71"/>
      <c r="M15957" s="46"/>
      <c r="R15957" s="51"/>
      <c r="S15957" s="51"/>
    </row>
    <row r="15958" spans="9:19" x14ac:dyDescent="0.25">
      <c r="I15958" s="1"/>
      <c r="J15958" s="71"/>
      <c r="M15958" s="46"/>
      <c r="R15958" s="51"/>
      <c r="S15958" s="51"/>
    </row>
    <row r="15959" spans="9:19" x14ac:dyDescent="0.25">
      <c r="I15959" s="1"/>
      <c r="J15959" s="71"/>
      <c r="M15959" s="46"/>
      <c r="R15959" s="51"/>
      <c r="S15959" s="51"/>
    </row>
    <row r="15960" spans="9:19" x14ac:dyDescent="0.25">
      <c r="I15960" s="1"/>
      <c r="J15960" s="71"/>
      <c r="M15960" s="46"/>
      <c r="R15960" s="51"/>
      <c r="S15960" s="51"/>
    </row>
    <row r="15961" spans="9:19" x14ac:dyDescent="0.25">
      <c r="I15961" s="1"/>
      <c r="J15961" s="71"/>
      <c r="M15961" s="46"/>
      <c r="R15961" s="51"/>
      <c r="S15961" s="51"/>
    </row>
    <row r="15962" spans="9:19" x14ac:dyDescent="0.25">
      <c r="I15962" s="1"/>
      <c r="J15962" s="71"/>
      <c r="M15962" s="46"/>
      <c r="R15962" s="51"/>
      <c r="S15962" s="51"/>
    </row>
    <row r="15963" spans="9:19" x14ac:dyDescent="0.25">
      <c r="I15963" s="1"/>
      <c r="J15963" s="71"/>
      <c r="M15963" s="46"/>
      <c r="R15963" s="51"/>
      <c r="S15963" s="51"/>
    </row>
    <row r="15964" spans="9:19" x14ac:dyDescent="0.25">
      <c r="I15964" s="1"/>
      <c r="J15964" s="71"/>
      <c r="M15964" s="46"/>
      <c r="R15964" s="51"/>
      <c r="S15964" s="51"/>
    </row>
    <row r="15965" spans="9:19" x14ac:dyDescent="0.25">
      <c r="I15965" s="1"/>
      <c r="J15965" s="71"/>
      <c r="M15965" s="46"/>
      <c r="R15965" s="51"/>
      <c r="S15965" s="51"/>
    </row>
    <row r="15966" spans="9:19" x14ac:dyDescent="0.25">
      <c r="I15966" s="1"/>
      <c r="J15966" s="71"/>
      <c r="M15966" s="46"/>
      <c r="R15966" s="51"/>
      <c r="S15966" s="51"/>
    </row>
    <row r="15967" spans="9:19" x14ac:dyDescent="0.25">
      <c r="I15967" s="1"/>
      <c r="J15967" s="71"/>
      <c r="M15967" s="46"/>
      <c r="R15967" s="51"/>
      <c r="S15967" s="51"/>
    </row>
    <row r="15968" spans="9:19" x14ac:dyDescent="0.25">
      <c r="I15968" s="1"/>
      <c r="J15968" s="71"/>
      <c r="M15968" s="46"/>
      <c r="R15968" s="51"/>
      <c r="S15968" s="51"/>
    </row>
    <row r="15969" spans="9:19" x14ac:dyDescent="0.25">
      <c r="I15969" s="1"/>
      <c r="J15969" s="71"/>
      <c r="M15969" s="46"/>
      <c r="R15969" s="51"/>
      <c r="S15969" s="51"/>
    </row>
    <row r="15970" spans="9:19" x14ac:dyDescent="0.25">
      <c r="I15970" s="1"/>
      <c r="J15970" s="71"/>
      <c r="M15970" s="46"/>
      <c r="R15970" s="51"/>
      <c r="S15970" s="51"/>
    </row>
    <row r="15971" spans="9:19" x14ac:dyDescent="0.25">
      <c r="I15971" s="1"/>
      <c r="J15971" s="71"/>
      <c r="M15971" s="46"/>
      <c r="R15971" s="51"/>
      <c r="S15971" s="51"/>
    </row>
    <row r="15972" spans="9:19" x14ac:dyDescent="0.25">
      <c r="I15972" s="1"/>
      <c r="J15972" s="71"/>
      <c r="M15972" s="46"/>
      <c r="R15972" s="51"/>
      <c r="S15972" s="51"/>
    </row>
    <row r="15973" spans="9:19" x14ac:dyDescent="0.25">
      <c r="I15973" s="1"/>
      <c r="J15973" s="71"/>
      <c r="M15973" s="46"/>
      <c r="R15973" s="51"/>
      <c r="S15973" s="51"/>
    </row>
    <row r="15974" spans="9:19" x14ac:dyDescent="0.25">
      <c r="I15974" s="1"/>
      <c r="J15974" s="71"/>
      <c r="M15974" s="46"/>
      <c r="R15974" s="51"/>
      <c r="S15974" s="51"/>
    </row>
    <row r="15975" spans="9:19" x14ac:dyDescent="0.25">
      <c r="I15975" s="1"/>
      <c r="J15975" s="71"/>
      <c r="M15975" s="46"/>
      <c r="R15975" s="51"/>
      <c r="S15975" s="51"/>
    </row>
    <row r="15976" spans="9:19" x14ac:dyDescent="0.25">
      <c r="I15976" s="1"/>
      <c r="J15976" s="71"/>
      <c r="M15976" s="46"/>
      <c r="R15976" s="51"/>
      <c r="S15976" s="51"/>
    </row>
    <row r="15977" spans="9:19" x14ac:dyDescent="0.25">
      <c r="I15977" s="1"/>
      <c r="J15977" s="71"/>
      <c r="M15977" s="46"/>
      <c r="R15977" s="51"/>
      <c r="S15977" s="51"/>
    </row>
    <row r="15978" spans="9:19" x14ac:dyDescent="0.25">
      <c r="I15978" s="1"/>
      <c r="J15978" s="71"/>
      <c r="M15978" s="46"/>
      <c r="R15978" s="51"/>
      <c r="S15978" s="51"/>
    </row>
    <row r="15979" spans="9:19" x14ac:dyDescent="0.25">
      <c r="I15979" s="1"/>
      <c r="J15979" s="71"/>
      <c r="M15979" s="46"/>
      <c r="R15979" s="51"/>
      <c r="S15979" s="51"/>
    </row>
    <row r="15980" spans="9:19" x14ac:dyDescent="0.25">
      <c r="I15980" s="1"/>
      <c r="J15980" s="71"/>
      <c r="M15980" s="46"/>
      <c r="R15980" s="51"/>
      <c r="S15980" s="51"/>
    </row>
    <row r="15981" spans="9:19" x14ac:dyDescent="0.25">
      <c r="I15981" s="1"/>
      <c r="J15981" s="71"/>
      <c r="M15981" s="46"/>
      <c r="R15981" s="51"/>
      <c r="S15981" s="51"/>
    </row>
    <row r="15982" spans="9:19" x14ac:dyDescent="0.25">
      <c r="I15982" s="1"/>
      <c r="J15982" s="71"/>
      <c r="M15982" s="46"/>
      <c r="R15982" s="51"/>
      <c r="S15982" s="51"/>
    </row>
    <row r="15983" spans="9:19" x14ac:dyDescent="0.25">
      <c r="I15983" s="1"/>
      <c r="J15983" s="71"/>
      <c r="M15983" s="46"/>
      <c r="R15983" s="51"/>
      <c r="S15983" s="51"/>
    </row>
    <row r="15984" spans="9:19" x14ac:dyDescent="0.25">
      <c r="I15984" s="1"/>
      <c r="J15984" s="71"/>
      <c r="M15984" s="46"/>
      <c r="R15984" s="51"/>
      <c r="S15984" s="51"/>
    </row>
    <row r="15985" spans="9:19" x14ac:dyDescent="0.25">
      <c r="I15985" s="1"/>
      <c r="J15985" s="71"/>
      <c r="M15985" s="46"/>
      <c r="R15985" s="51"/>
      <c r="S15985" s="51"/>
    </row>
    <row r="15986" spans="9:19" x14ac:dyDescent="0.25">
      <c r="I15986" s="1"/>
      <c r="J15986" s="71"/>
      <c r="M15986" s="46"/>
      <c r="R15986" s="51"/>
      <c r="S15986" s="51"/>
    </row>
    <row r="15987" spans="9:19" x14ac:dyDescent="0.25">
      <c r="I15987" s="1"/>
      <c r="J15987" s="71"/>
      <c r="M15987" s="46"/>
      <c r="R15987" s="51"/>
      <c r="S15987" s="51"/>
    </row>
    <row r="15988" spans="9:19" x14ac:dyDescent="0.25">
      <c r="I15988" s="1"/>
      <c r="J15988" s="71"/>
      <c r="M15988" s="46"/>
      <c r="R15988" s="51"/>
      <c r="S15988" s="51"/>
    </row>
    <row r="15989" spans="9:19" x14ac:dyDescent="0.25">
      <c r="I15989" s="1"/>
      <c r="J15989" s="71"/>
      <c r="M15989" s="46"/>
      <c r="R15989" s="51"/>
      <c r="S15989" s="51"/>
    </row>
    <row r="15990" spans="9:19" x14ac:dyDescent="0.25">
      <c r="I15990" s="1"/>
      <c r="J15990" s="71"/>
      <c r="M15990" s="46"/>
      <c r="R15990" s="51"/>
      <c r="S15990" s="51"/>
    </row>
    <row r="15991" spans="9:19" x14ac:dyDescent="0.25">
      <c r="I15991" s="1"/>
      <c r="J15991" s="71"/>
      <c r="M15991" s="46"/>
      <c r="R15991" s="51"/>
      <c r="S15991" s="51"/>
    </row>
    <row r="15992" spans="9:19" x14ac:dyDescent="0.25">
      <c r="I15992" s="1"/>
      <c r="J15992" s="71"/>
      <c r="M15992" s="46"/>
      <c r="R15992" s="51"/>
      <c r="S15992" s="51"/>
    </row>
    <row r="15993" spans="9:19" x14ac:dyDescent="0.25">
      <c r="I15993" s="1"/>
      <c r="J15993" s="71"/>
      <c r="M15993" s="46"/>
      <c r="R15993" s="51"/>
      <c r="S15993" s="51"/>
    </row>
    <row r="15994" spans="9:19" x14ac:dyDescent="0.25">
      <c r="I15994" s="1"/>
      <c r="J15994" s="71"/>
      <c r="M15994" s="46"/>
      <c r="R15994" s="51"/>
      <c r="S15994" s="51"/>
    </row>
    <row r="15995" spans="9:19" x14ac:dyDescent="0.25">
      <c r="I15995" s="1"/>
      <c r="J15995" s="71"/>
      <c r="M15995" s="46"/>
      <c r="R15995" s="51"/>
      <c r="S15995" s="51"/>
    </row>
    <row r="15996" spans="9:19" x14ac:dyDescent="0.25">
      <c r="I15996" s="1"/>
      <c r="J15996" s="71"/>
      <c r="M15996" s="46"/>
      <c r="R15996" s="51"/>
      <c r="S15996" s="51"/>
    </row>
    <row r="15997" spans="9:19" x14ac:dyDescent="0.25">
      <c r="I15997" s="1"/>
      <c r="J15997" s="71"/>
      <c r="M15997" s="46"/>
      <c r="R15997" s="51"/>
      <c r="S15997" s="51"/>
    </row>
    <row r="15998" spans="9:19" x14ac:dyDescent="0.25">
      <c r="I15998" s="1"/>
      <c r="J15998" s="71"/>
      <c r="M15998" s="46"/>
      <c r="R15998" s="51"/>
      <c r="S15998" s="51"/>
    </row>
    <row r="15999" spans="9:19" x14ac:dyDescent="0.25">
      <c r="I15999" s="1"/>
      <c r="J15999" s="71"/>
      <c r="M15999" s="46"/>
      <c r="R15999" s="51"/>
      <c r="S15999" s="51"/>
    </row>
    <row r="16000" spans="9:19" x14ac:dyDescent="0.25">
      <c r="I16000" s="1"/>
      <c r="J16000" s="71"/>
      <c r="M16000" s="46"/>
      <c r="R16000" s="51"/>
      <c r="S16000" s="51"/>
    </row>
    <row r="16001" spans="9:19" x14ac:dyDescent="0.25">
      <c r="I16001" s="1"/>
      <c r="J16001" s="71"/>
      <c r="M16001" s="46"/>
      <c r="R16001" s="51"/>
      <c r="S16001" s="51"/>
    </row>
    <row r="16002" spans="9:19" x14ac:dyDescent="0.25">
      <c r="I16002" s="1"/>
      <c r="J16002" s="71"/>
      <c r="M16002" s="46"/>
      <c r="R16002" s="51"/>
      <c r="S16002" s="51"/>
    </row>
    <row r="16003" spans="9:19" x14ac:dyDescent="0.25">
      <c r="I16003" s="1"/>
      <c r="J16003" s="71"/>
      <c r="M16003" s="46"/>
      <c r="R16003" s="51"/>
      <c r="S16003" s="51"/>
    </row>
    <row r="16004" spans="9:19" x14ac:dyDescent="0.25">
      <c r="I16004" s="1"/>
      <c r="J16004" s="71"/>
      <c r="M16004" s="46"/>
      <c r="R16004" s="51"/>
      <c r="S16004" s="51"/>
    </row>
    <row r="16005" spans="9:19" x14ac:dyDescent="0.25">
      <c r="I16005" s="1"/>
      <c r="J16005" s="71"/>
      <c r="M16005" s="46"/>
      <c r="R16005" s="51"/>
      <c r="S16005" s="51"/>
    </row>
    <row r="16006" spans="9:19" x14ac:dyDescent="0.25">
      <c r="I16006" s="1"/>
      <c r="J16006" s="71"/>
      <c r="M16006" s="46"/>
      <c r="R16006" s="51"/>
      <c r="S16006" s="51"/>
    </row>
    <row r="16007" spans="9:19" x14ac:dyDescent="0.25">
      <c r="I16007" s="1"/>
      <c r="J16007" s="71"/>
      <c r="M16007" s="46"/>
      <c r="R16007" s="51"/>
      <c r="S16007" s="51"/>
    </row>
    <row r="16008" spans="9:19" x14ac:dyDescent="0.25">
      <c r="I16008" s="1"/>
      <c r="J16008" s="71"/>
      <c r="M16008" s="46"/>
      <c r="R16008" s="51"/>
      <c r="S16008" s="51"/>
    </row>
    <row r="16009" spans="9:19" x14ac:dyDescent="0.25">
      <c r="I16009" s="1"/>
      <c r="J16009" s="71"/>
      <c r="M16009" s="46"/>
      <c r="R16009" s="51"/>
      <c r="S16009" s="51"/>
    </row>
    <row r="16010" spans="9:19" x14ac:dyDescent="0.25">
      <c r="I16010" s="1"/>
      <c r="J16010" s="71"/>
      <c r="M16010" s="46"/>
      <c r="R16010" s="51"/>
      <c r="S16010" s="51"/>
    </row>
    <row r="16011" spans="9:19" x14ac:dyDescent="0.25">
      <c r="I16011" s="1"/>
      <c r="J16011" s="71"/>
      <c r="M16011" s="46"/>
      <c r="R16011" s="51"/>
      <c r="S16011" s="51"/>
    </row>
    <row r="16012" spans="9:19" x14ac:dyDescent="0.25">
      <c r="I16012" s="1"/>
      <c r="J16012" s="71"/>
      <c r="M16012" s="46"/>
      <c r="R16012" s="51"/>
      <c r="S16012" s="51"/>
    </row>
    <row r="16013" spans="9:19" x14ac:dyDescent="0.25">
      <c r="I16013" s="1"/>
      <c r="J16013" s="71"/>
      <c r="M16013" s="46"/>
      <c r="R16013" s="51"/>
      <c r="S16013" s="51"/>
    </row>
    <row r="16014" spans="9:19" x14ac:dyDescent="0.25">
      <c r="I16014" s="1"/>
      <c r="J16014" s="71"/>
      <c r="M16014" s="46"/>
      <c r="R16014" s="51"/>
      <c r="S16014" s="51"/>
    </row>
    <row r="16015" spans="9:19" x14ac:dyDescent="0.25">
      <c r="I16015" s="1"/>
      <c r="J16015" s="71"/>
      <c r="M16015" s="46"/>
      <c r="R16015" s="51"/>
      <c r="S16015" s="51"/>
    </row>
    <row r="16016" spans="9:19" x14ac:dyDescent="0.25">
      <c r="I16016" s="1"/>
      <c r="J16016" s="71"/>
      <c r="M16016" s="46"/>
      <c r="R16016" s="51"/>
      <c r="S16016" s="51"/>
    </row>
    <row r="16017" spans="9:19" x14ac:dyDescent="0.25">
      <c r="I16017" s="1"/>
      <c r="J16017" s="71"/>
      <c r="M16017" s="46"/>
      <c r="R16017" s="51"/>
      <c r="S16017" s="51"/>
    </row>
    <row r="16018" spans="9:19" x14ac:dyDescent="0.25">
      <c r="I16018" s="1"/>
      <c r="J16018" s="71"/>
      <c r="M16018" s="46"/>
      <c r="R16018" s="51"/>
      <c r="S16018" s="51"/>
    </row>
    <row r="16019" spans="9:19" x14ac:dyDescent="0.25">
      <c r="I16019" s="1"/>
      <c r="J16019" s="71"/>
      <c r="M16019" s="46"/>
      <c r="R16019" s="51"/>
      <c r="S16019" s="51"/>
    </row>
    <row r="16020" spans="9:19" x14ac:dyDescent="0.25">
      <c r="I16020" s="1"/>
      <c r="J16020" s="71"/>
      <c r="M16020" s="46"/>
      <c r="R16020" s="51"/>
      <c r="S16020" s="51"/>
    </row>
    <row r="16021" spans="9:19" x14ac:dyDescent="0.25">
      <c r="I16021" s="1"/>
      <c r="J16021" s="71"/>
      <c r="M16021" s="46"/>
      <c r="R16021" s="51"/>
      <c r="S16021" s="51"/>
    </row>
    <row r="16022" spans="9:19" x14ac:dyDescent="0.25">
      <c r="I16022" s="1"/>
      <c r="J16022" s="71"/>
      <c r="M16022" s="46"/>
      <c r="R16022" s="51"/>
      <c r="S16022" s="51"/>
    </row>
    <row r="16023" spans="9:19" x14ac:dyDescent="0.25">
      <c r="I16023" s="1"/>
      <c r="J16023" s="71"/>
      <c r="M16023" s="46"/>
      <c r="R16023" s="51"/>
      <c r="S16023" s="51"/>
    </row>
    <row r="16024" spans="9:19" x14ac:dyDescent="0.25">
      <c r="I16024" s="1"/>
      <c r="J16024" s="71"/>
      <c r="M16024" s="46"/>
      <c r="R16024" s="51"/>
      <c r="S16024" s="51"/>
    </row>
    <row r="16025" spans="9:19" x14ac:dyDescent="0.25">
      <c r="I16025" s="1"/>
      <c r="J16025" s="71"/>
      <c r="M16025" s="46"/>
      <c r="R16025" s="51"/>
      <c r="S16025" s="51"/>
    </row>
    <row r="16026" spans="9:19" x14ac:dyDescent="0.25">
      <c r="I16026" s="1"/>
      <c r="J16026" s="71"/>
      <c r="M16026" s="46"/>
      <c r="R16026" s="51"/>
      <c r="S16026" s="51"/>
    </row>
    <row r="16027" spans="9:19" x14ac:dyDescent="0.25">
      <c r="I16027" s="1"/>
      <c r="J16027" s="71"/>
      <c r="M16027" s="46"/>
      <c r="R16027" s="51"/>
      <c r="S16027" s="51"/>
    </row>
    <row r="16028" spans="9:19" x14ac:dyDescent="0.25">
      <c r="I16028" s="1"/>
      <c r="J16028" s="71"/>
      <c r="M16028" s="46"/>
      <c r="R16028" s="51"/>
      <c r="S16028" s="51"/>
    </row>
    <row r="16029" spans="9:19" x14ac:dyDescent="0.25">
      <c r="I16029" s="1"/>
      <c r="J16029" s="71"/>
      <c r="M16029" s="46"/>
      <c r="R16029" s="51"/>
      <c r="S16029" s="51"/>
    </row>
    <row r="16030" spans="9:19" x14ac:dyDescent="0.25">
      <c r="I16030" s="1"/>
      <c r="J16030" s="71"/>
      <c r="M16030" s="46"/>
      <c r="R16030" s="51"/>
      <c r="S16030" s="51"/>
    </row>
    <row r="16031" spans="9:19" x14ac:dyDescent="0.25">
      <c r="I16031" s="1"/>
      <c r="J16031" s="71"/>
      <c r="M16031" s="46"/>
      <c r="R16031" s="51"/>
      <c r="S16031" s="51"/>
    </row>
    <row r="16032" spans="9:19" x14ac:dyDescent="0.25">
      <c r="I16032" s="1"/>
      <c r="J16032" s="71"/>
      <c r="M16032" s="46"/>
      <c r="R16032" s="51"/>
      <c r="S16032" s="51"/>
    </row>
    <row r="16033" spans="9:19" x14ac:dyDescent="0.25">
      <c r="I16033" s="1"/>
      <c r="J16033" s="71"/>
      <c r="M16033" s="46"/>
      <c r="R16033" s="51"/>
      <c r="S16033" s="51"/>
    </row>
    <row r="16034" spans="9:19" x14ac:dyDescent="0.25">
      <c r="I16034" s="1"/>
      <c r="J16034" s="71"/>
      <c r="M16034" s="46"/>
      <c r="R16034" s="51"/>
      <c r="S16034" s="51"/>
    </row>
    <row r="16035" spans="9:19" x14ac:dyDescent="0.25">
      <c r="I16035" s="1"/>
      <c r="J16035" s="71"/>
      <c r="M16035" s="46"/>
      <c r="R16035" s="51"/>
      <c r="S16035" s="51"/>
    </row>
    <row r="16036" spans="9:19" x14ac:dyDescent="0.25">
      <c r="I16036" s="1"/>
      <c r="J16036" s="71"/>
      <c r="M16036" s="46"/>
      <c r="R16036" s="51"/>
      <c r="S16036" s="51"/>
    </row>
    <row r="16037" spans="9:19" x14ac:dyDescent="0.25">
      <c r="I16037" s="1"/>
      <c r="J16037" s="71"/>
      <c r="M16037" s="46"/>
      <c r="R16037" s="51"/>
      <c r="S16037" s="51"/>
    </row>
    <row r="16038" spans="9:19" x14ac:dyDescent="0.25">
      <c r="I16038" s="1"/>
      <c r="J16038" s="71"/>
      <c r="M16038" s="46"/>
      <c r="R16038" s="51"/>
      <c r="S16038" s="51"/>
    </row>
    <row r="16039" spans="9:19" x14ac:dyDescent="0.25">
      <c r="I16039" s="1"/>
      <c r="J16039" s="71"/>
      <c r="M16039" s="46"/>
      <c r="R16039" s="51"/>
      <c r="S16039" s="51"/>
    </row>
    <row r="16040" spans="9:19" x14ac:dyDescent="0.25">
      <c r="I16040" s="1"/>
      <c r="J16040" s="71"/>
      <c r="M16040" s="46"/>
      <c r="R16040" s="51"/>
      <c r="S16040" s="51"/>
    </row>
    <row r="16041" spans="9:19" x14ac:dyDescent="0.25">
      <c r="I16041" s="1"/>
      <c r="J16041" s="71"/>
      <c r="M16041" s="46"/>
      <c r="R16041" s="51"/>
      <c r="S16041" s="51"/>
    </row>
    <row r="16042" spans="9:19" x14ac:dyDescent="0.25">
      <c r="I16042" s="1"/>
      <c r="J16042" s="71"/>
      <c r="M16042" s="46"/>
      <c r="R16042" s="51"/>
      <c r="S16042" s="51"/>
    </row>
    <row r="16043" spans="9:19" x14ac:dyDescent="0.25">
      <c r="I16043" s="1"/>
      <c r="J16043" s="71"/>
      <c r="M16043" s="46"/>
      <c r="R16043" s="51"/>
      <c r="S16043" s="51"/>
    </row>
    <row r="16044" spans="9:19" x14ac:dyDescent="0.25">
      <c r="I16044" s="1"/>
      <c r="J16044" s="71"/>
      <c r="M16044" s="46"/>
      <c r="R16044" s="51"/>
      <c r="S16044" s="51"/>
    </row>
    <row r="16045" spans="9:19" x14ac:dyDescent="0.25">
      <c r="I16045" s="1"/>
      <c r="J16045" s="71"/>
      <c r="M16045" s="46"/>
      <c r="R16045" s="51"/>
      <c r="S16045" s="51"/>
    </row>
    <row r="16046" spans="9:19" x14ac:dyDescent="0.25">
      <c r="I16046" s="1"/>
      <c r="J16046" s="71"/>
      <c r="M16046" s="46"/>
      <c r="R16046" s="51"/>
      <c r="S16046" s="51"/>
    </row>
    <row r="16047" spans="9:19" x14ac:dyDescent="0.25">
      <c r="I16047" s="1"/>
      <c r="J16047" s="71"/>
      <c r="M16047" s="46"/>
      <c r="R16047" s="51"/>
      <c r="S16047" s="51"/>
    </row>
    <row r="16048" spans="9:19" x14ac:dyDescent="0.25">
      <c r="I16048" s="1"/>
      <c r="J16048" s="71"/>
      <c r="M16048" s="46"/>
      <c r="R16048" s="51"/>
      <c r="S16048" s="51"/>
    </row>
    <row r="16049" spans="9:19" x14ac:dyDescent="0.25">
      <c r="I16049" s="1"/>
      <c r="J16049" s="71"/>
      <c r="M16049" s="46"/>
      <c r="R16049" s="51"/>
      <c r="S16049" s="51"/>
    </row>
    <row r="16050" spans="9:19" x14ac:dyDescent="0.25">
      <c r="I16050" s="1"/>
      <c r="J16050" s="71"/>
      <c r="M16050" s="46"/>
      <c r="R16050" s="51"/>
      <c r="S16050" s="51"/>
    </row>
    <row r="16051" spans="9:19" x14ac:dyDescent="0.25">
      <c r="I16051" s="1"/>
      <c r="J16051" s="71"/>
      <c r="M16051" s="46"/>
      <c r="R16051" s="51"/>
      <c r="S16051" s="51"/>
    </row>
    <row r="16052" spans="9:19" x14ac:dyDescent="0.25">
      <c r="I16052" s="1"/>
      <c r="J16052" s="71"/>
      <c r="M16052" s="46"/>
      <c r="R16052" s="51"/>
      <c r="S16052" s="51"/>
    </row>
    <row r="16053" spans="9:19" x14ac:dyDescent="0.25">
      <c r="I16053" s="1"/>
      <c r="J16053" s="71"/>
      <c r="M16053" s="46"/>
      <c r="R16053" s="51"/>
      <c r="S16053" s="51"/>
    </row>
    <row r="16054" spans="9:19" x14ac:dyDescent="0.25">
      <c r="I16054" s="1"/>
      <c r="J16054" s="71"/>
      <c r="M16054" s="46"/>
      <c r="R16054" s="51"/>
      <c r="S16054" s="51"/>
    </row>
    <row r="16055" spans="9:19" x14ac:dyDescent="0.25">
      <c r="I16055" s="1"/>
      <c r="J16055" s="71"/>
      <c r="M16055" s="46"/>
      <c r="R16055" s="51"/>
      <c r="S16055" s="51"/>
    </row>
    <row r="16056" spans="9:19" x14ac:dyDescent="0.25">
      <c r="I16056" s="1"/>
      <c r="J16056" s="71"/>
      <c r="M16056" s="46"/>
      <c r="R16056" s="51"/>
      <c r="S16056" s="51"/>
    </row>
    <row r="16057" spans="9:19" x14ac:dyDescent="0.25">
      <c r="I16057" s="1"/>
      <c r="J16057" s="71"/>
      <c r="M16057" s="46"/>
      <c r="R16057" s="51"/>
      <c r="S16057" s="51"/>
    </row>
    <row r="16058" spans="9:19" x14ac:dyDescent="0.25">
      <c r="I16058" s="1"/>
      <c r="J16058" s="71"/>
      <c r="M16058" s="46"/>
      <c r="R16058" s="51"/>
      <c r="S16058" s="51"/>
    </row>
    <row r="16059" spans="9:19" x14ac:dyDescent="0.25">
      <c r="I16059" s="1"/>
      <c r="J16059" s="71"/>
      <c r="M16059" s="46"/>
      <c r="R16059" s="51"/>
      <c r="S16059" s="51"/>
    </row>
    <row r="16060" spans="9:19" x14ac:dyDescent="0.25">
      <c r="I16060" s="1"/>
      <c r="J16060" s="71"/>
      <c r="M16060" s="46"/>
      <c r="R16060" s="51"/>
      <c r="S16060" s="51"/>
    </row>
    <row r="16061" spans="9:19" x14ac:dyDescent="0.25">
      <c r="I16061" s="1"/>
      <c r="J16061" s="71"/>
      <c r="M16061" s="46"/>
      <c r="R16061" s="51"/>
      <c r="S16061" s="51"/>
    </row>
    <row r="16062" spans="9:19" x14ac:dyDescent="0.25">
      <c r="I16062" s="1"/>
      <c r="J16062" s="71"/>
      <c r="M16062" s="46"/>
      <c r="R16062" s="51"/>
      <c r="S16062" s="51"/>
    </row>
    <row r="16063" spans="9:19" x14ac:dyDescent="0.25">
      <c r="I16063" s="1"/>
      <c r="J16063" s="71"/>
      <c r="M16063" s="46"/>
      <c r="R16063" s="51"/>
      <c r="S16063" s="51"/>
    </row>
    <row r="16064" spans="9:19" x14ac:dyDescent="0.25">
      <c r="I16064" s="1"/>
      <c r="J16064" s="71"/>
      <c r="M16064" s="46"/>
      <c r="R16064" s="51"/>
      <c r="S16064" s="51"/>
    </row>
    <row r="16065" spans="9:19" x14ac:dyDescent="0.25">
      <c r="I16065" s="1"/>
      <c r="J16065" s="71"/>
      <c r="M16065" s="46"/>
      <c r="R16065" s="51"/>
      <c r="S16065" s="51"/>
    </row>
    <row r="16066" spans="9:19" x14ac:dyDescent="0.25">
      <c r="I16066" s="1"/>
      <c r="J16066" s="71"/>
      <c r="M16066" s="46"/>
      <c r="R16066" s="51"/>
      <c r="S16066" s="51"/>
    </row>
    <row r="16067" spans="9:19" x14ac:dyDescent="0.25">
      <c r="I16067" s="1"/>
      <c r="J16067" s="71"/>
      <c r="M16067" s="46"/>
      <c r="R16067" s="51"/>
      <c r="S16067" s="51"/>
    </row>
    <row r="16068" spans="9:19" x14ac:dyDescent="0.25">
      <c r="I16068" s="1"/>
      <c r="J16068" s="71"/>
      <c r="M16068" s="46"/>
      <c r="R16068" s="51"/>
      <c r="S16068" s="51"/>
    </row>
    <row r="16069" spans="9:19" x14ac:dyDescent="0.25">
      <c r="I16069" s="1"/>
      <c r="J16069" s="71"/>
      <c r="M16069" s="46"/>
      <c r="R16069" s="51"/>
      <c r="S16069" s="51"/>
    </row>
    <row r="16070" spans="9:19" x14ac:dyDescent="0.25">
      <c r="I16070" s="1"/>
      <c r="J16070" s="71"/>
      <c r="M16070" s="46"/>
      <c r="R16070" s="51"/>
      <c r="S16070" s="51"/>
    </row>
    <row r="16071" spans="9:19" x14ac:dyDescent="0.25">
      <c r="I16071" s="1"/>
      <c r="J16071" s="71"/>
      <c r="M16071" s="46"/>
      <c r="R16071" s="51"/>
      <c r="S16071" s="51"/>
    </row>
    <row r="16072" spans="9:19" x14ac:dyDescent="0.25">
      <c r="I16072" s="1"/>
      <c r="J16072" s="71"/>
      <c r="M16072" s="46"/>
      <c r="R16072" s="51"/>
      <c r="S16072" s="51"/>
    </row>
    <row r="16073" spans="9:19" x14ac:dyDescent="0.25">
      <c r="I16073" s="1"/>
      <c r="J16073" s="71"/>
      <c r="M16073" s="46"/>
      <c r="R16073" s="51"/>
      <c r="S16073" s="51"/>
    </row>
    <row r="16074" spans="9:19" x14ac:dyDescent="0.25">
      <c r="I16074" s="1"/>
      <c r="J16074" s="71"/>
      <c r="M16074" s="46"/>
      <c r="R16074" s="51"/>
      <c r="S16074" s="51"/>
    </row>
    <row r="16075" spans="9:19" x14ac:dyDescent="0.25">
      <c r="I16075" s="1"/>
      <c r="J16075" s="71"/>
      <c r="M16075" s="46"/>
      <c r="R16075" s="51"/>
      <c r="S16075" s="51"/>
    </row>
    <row r="16076" spans="9:19" x14ac:dyDescent="0.25">
      <c r="I16076" s="1"/>
      <c r="J16076" s="71"/>
      <c r="M16076" s="46"/>
      <c r="R16076" s="51"/>
      <c r="S16076" s="51"/>
    </row>
    <row r="16077" spans="9:19" x14ac:dyDescent="0.25">
      <c r="I16077" s="1"/>
      <c r="J16077" s="71"/>
      <c r="M16077" s="46"/>
      <c r="R16077" s="51"/>
      <c r="S16077" s="51"/>
    </row>
    <row r="16078" spans="9:19" x14ac:dyDescent="0.25">
      <c r="I16078" s="1"/>
      <c r="J16078" s="71"/>
      <c r="M16078" s="46"/>
      <c r="R16078" s="51"/>
      <c r="S16078" s="51"/>
    </row>
    <row r="16079" spans="9:19" x14ac:dyDescent="0.25">
      <c r="I16079" s="1"/>
      <c r="J16079" s="71"/>
      <c r="M16079" s="46"/>
      <c r="R16079" s="51"/>
      <c r="S16079" s="51"/>
    </row>
    <row r="16080" spans="9:19" x14ac:dyDescent="0.25">
      <c r="I16080" s="1"/>
      <c r="J16080" s="71"/>
      <c r="M16080" s="46"/>
      <c r="R16080" s="51"/>
      <c r="S16080" s="51"/>
    </row>
    <row r="16081" spans="9:19" x14ac:dyDescent="0.25">
      <c r="I16081" s="1"/>
      <c r="J16081" s="71"/>
      <c r="M16081" s="46"/>
      <c r="R16081" s="51"/>
      <c r="S16081" s="51"/>
    </row>
    <row r="16082" spans="9:19" x14ac:dyDescent="0.25">
      <c r="I16082" s="1"/>
      <c r="J16082" s="71"/>
      <c r="M16082" s="46"/>
      <c r="R16082" s="51"/>
      <c r="S16082" s="51"/>
    </row>
    <row r="16083" spans="9:19" x14ac:dyDescent="0.25">
      <c r="I16083" s="1"/>
      <c r="J16083" s="71"/>
      <c r="M16083" s="46"/>
      <c r="R16083" s="51"/>
      <c r="S16083" s="51"/>
    </row>
    <row r="16084" spans="9:19" x14ac:dyDescent="0.25">
      <c r="I16084" s="1"/>
      <c r="J16084" s="71"/>
      <c r="M16084" s="46"/>
      <c r="R16084" s="51"/>
      <c r="S16084" s="51"/>
    </row>
    <row r="16085" spans="9:19" x14ac:dyDescent="0.25">
      <c r="I16085" s="1"/>
      <c r="J16085" s="71"/>
      <c r="M16085" s="46"/>
      <c r="R16085" s="51"/>
      <c r="S16085" s="51"/>
    </row>
    <row r="16086" spans="9:19" x14ac:dyDescent="0.25">
      <c r="I16086" s="1"/>
      <c r="J16086" s="71"/>
      <c r="M16086" s="46"/>
      <c r="R16086" s="51"/>
      <c r="S16086" s="51"/>
    </row>
    <row r="16087" spans="9:19" x14ac:dyDescent="0.25">
      <c r="I16087" s="1"/>
      <c r="J16087" s="71"/>
      <c r="M16087" s="46"/>
      <c r="R16087" s="51"/>
      <c r="S16087" s="51"/>
    </row>
    <row r="16088" spans="9:19" x14ac:dyDescent="0.25">
      <c r="I16088" s="1"/>
      <c r="J16088" s="71"/>
      <c r="M16088" s="46"/>
      <c r="R16088" s="51"/>
      <c r="S16088" s="51"/>
    </row>
    <row r="16089" spans="9:19" x14ac:dyDescent="0.25">
      <c r="I16089" s="1"/>
      <c r="J16089" s="71"/>
      <c r="M16089" s="46"/>
      <c r="R16089" s="51"/>
      <c r="S16089" s="51"/>
    </row>
    <row r="16090" spans="9:19" x14ac:dyDescent="0.25">
      <c r="I16090" s="1"/>
      <c r="J16090" s="71"/>
      <c r="M16090" s="46"/>
      <c r="R16090" s="51"/>
      <c r="S16090" s="51"/>
    </row>
    <row r="16091" spans="9:19" x14ac:dyDescent="0.25">
      <c r="I16091" s="1"/>
      <c r="J16091" s="71"/>
      <c r="M16091" s="46"/>
      <c r="R16091" s="51"/>
      <c r="S16091" s="51"/>
    </row>
    <row r="16092" spans="9:19" x14ac:dyDescent="0.25">
      <c r="I16092" s="1"/>
      <c r="J16092" s="71"/>
      <c r="M16092" s="46"/>
      <c r="R16092" s="51"/>
      <c r="S16092" s="51"/>
    </row>
    <row r="16093" spans="9:19" x14ac:dyDescent="0.25">
      <c r="I16093" s="1"/>
      <c r="J16093" s="71"/>
      <c r="M16093" s="46"/>
      <c r="R16093" s="51"/>
      <c r="S16093" s="51"/>
    </row>
    <row r="16094" spans="9:19" x14ac:dyDescent="0.25">
      <c r="I16094" s="1"/>
      <c r="J16094" s="71"/>
      <c r="M16094" s="46"/>
      <c r="R16094" s="51"/>
      <c r="S16094" s="51"/>
    </row>
    <row r="16095" spans="9:19" x14ac:dyDescent="0.25">
      <c r="I16095" s="1"/>
      <c r="J16095" s="71"/>
      <c r="M16095" s="46"/>
      <c r="R16095" s="51"/>
      <c r="S16095" s="51"/>
    </row>
    <row r="16096" spans="9:19" x14ac:dyDescent="0.25">
      <c r="I16096" s="1"/>
      <c r="J16096" s="71"/>
      <c r="M16096" s="46"/>
      <c r="R16096" s="51"/>
      <c r="S16096" s="51"/>
    </row>
    <row r="16097" spans="9:19" x14ac:dyDescent="0.25">
      <c r="I16097" s="1"/>
      <c r="J16097" s="71"/>
      <c r="M16097" s="46"/>
      <c r="R16097" s="51"/>
      <c r="S16097" s="51"/>
    </row>
    <row r="16098" spans="9:19" x14ac:dyDescent="0.25">
      <c r="I16098" s="1"/>
      <c r="J16098" s="71"/>
      <c r="M16098" s="46"/>
      <c r="R16098" s="51"/>
      <c r="S16098" s="51"/>
    </row>
    <row r="16099" spans="9:19" x14ac:dyDescent="0.25">
      <c r="I16099" s="1"/>
      <c r="J16099" s="71"/>
      <c r="M16099" s="46"/>
      <c r="R16099" s="51"/>
      <c r="S16099" s="51"/>
    </row>
    <row r="16100" spans="9:19" x14ac:dyDescent="0.25">
      <c r="I16100" s="1"/>
      <c r="J16100" s="71"/>
      <c r="M16100" s="46"/>
      <c r="R16100" s="51"/>
      <c r="S16100" s="51"/>
    </row>
    <row r="16101" spans="9:19" x14ac:dyDescent="0.25">
      <c r="I16101" s="1"/>
      <c r="J16101" s="71"/>
      <c r="M16101" s="46"/>
      <c r="R16101" s="51"/>
      <c r="S16101" s="51"/>
    </row>
    <row r="16102" spans="9:19" x14ac:dyDescent="0.25">
      <c r="I16102" s="1"/>
      <c r="J16102" s="71"/>
      <c r="M16102" s="46"/>
      <c r="R16102" s="51"/>
      <c r="S16102" s="51"/>
    </row>
    <row r="16103" spans="9:19" x14ac:dyDescent="0.25">
      <c r="I16103" s="1"/>
      <c r="J16103" s="71"/>
      <c r="M16103" s="46"/>
      <c r="R16103" s="51"/>
      <c r="S16103" s="51"/>
    </row>
    <row r="16104" spans="9:19" x14ac:dyDescent="0.25">
      <c r="I16104" s="1"/>
      <c r="J16104" s="71"/>
      <c r="M16104" s="46"/>
      <c r="R16104" s="51"/>
      <c r="S16104" s="51"/>
    </row>
    <row r="16105" spans="9:19" x14ac:dyDescent="0.25">
      <c r="I16105" s="1"/>
      <c r="J16105" s="71"/>
      <c r="M16105" s="46"/>
      <c r="R16105" s="51"/>
      <c r="S16105" s="51"/>
    </row>
    <row r="16106" spans="9:19" x14ac:dyDescent="0.25">
      <c r="I16106" s="1"/>
      <c r="J16106" s="71"/>
      <c r="M16106" s="46"/>
      <c r="R16106" s="51"/>
      <c r="S16106" s="51"/>
    </row>
    <row r="16107" spans="9:19" x14ac:dyDescent="0.25">
      <c r="I16107" s="1"/>
      <c r="J16107" s="71"/>
      <c r="M16107" s="46"/>
      <c r="R16107" s="51"/>
      <c r="S16107" s="51"/>
    </row>
    <row r="16108" spans="9:19" x14ac:dyDescent="0.25">
      <c r="I16108" s="1"/>
      <c r="J16108" s="71"/>
      <c r="M16108" s="46"/>
      <c r="R16108" s="51"/>
      <c r="S16108" s="51"/>
    </row>
    <row r="16109" spans="9:19" x14ac:dyDescent="0.25">
      <c r="I16109" s="1"/>
      <c r="J16109" s="71"/>
      <c r="M16109" s="46"/>
      <c r="R16109" s="51"/>
      <c r="S16109" s="51"/>
    </row>
    <row r="16110" spans="9:19" x14ac:dyDescent="0.25">
      <c r="I16110" s="1"/>
      <c r="J16110" s="71"/>
      <c r="M16110" s="46"/>
      <c r="R16110" s="51"/>
      <c r="S16110" s="51"/>
    </row>
    <row r="16111" spans="9:19" x14ac:dyDescent="0.25">
      <c r="I16111" s="1"/>
      <c r="J16111" s="71"/>
      <c r="M16111" s="46"/>
      <c r="R16111" s="51"/>
      <c r="S16111" s="51"/>
    </row>
    <row r="16112" spans="9:19" x14ac:dyDescent="0.25">
      <c r="I16112" s="1"/>
      <c r="J16112" s="71"/>
      <c r="M16112" s="46"/>
      <c r="R16112" s="51"/>
      <c r="S16112" s="51"/>
    </row>
    <row r="16113" spans="9:19" x14ac:dyDescent="0.25">
      <c r="I16113" s="1"/>
      <c r="J16113" s="71"/>
      <c r="M16113" s="46"/>
      <c r="R16113" s="51"/>
      <c r="S16113" s="51"/>
    </row>
    <row r="16114" spans="9:19" x14ac:dyDescent="0.25">
      <c r="I16114" s="1"/>
      <c r="J16114" s="71"/>
      <c r="M16114" s="46"/>
      <c r="R16114" s="51"/>
      <c r="S16114" s="51"/>
    </row>
    <row r="16115" spans="9:19" x14ac:dyDescent="0.25">
      <c r="I16115" s="1"/>
      <c r="J16115" s="71"/>
      <c r="M16115" s="46"/>
      <c r="R16115" s="51"/>
      <c r="S16115" s="51"/>
    </row>
    <row r="16116" spans="9:19" x14ac:dyDescent="0.25">
      <c r="I16116" s="1"/>
      <c r="J16116" s="71"/>
      <c r="M16116" s="46"/>
      <c r="R16116" s="51"/>
      <c r="S16116" s="51"/>
    </row>
    <row r="16117" spans="9:19" x14ac:dyDescent="0.25">
      <c r="I16117" s="1"/>
      <c r="J16117" s="71"/>
      <c r="M16117" s="46"/>
      <c r="R16117" s="51"/>
      <c r="S16117" s="51"/>
    </row>
    <row r="16118" spans="9:19" x14ac:dyDescent="0.25">
      <c r="I16118" s="1"/>
      <c r="J16118" s="71"/>
      <c r="M16118" s="46"/>
      <c r="R16118" s="51"/>
      <c r="S16118" s="51"/>
    </row>
    <row r="16119" spans="9:19" x14ac:dyDescent="0.25">
      <c r="I16119" s="1"/>
      <c r="J16119" s="71"/>
      <c r="M16119" s="46"/>
      <c r="R16119" s="51"/>
      <c r="S16119" s="51"/>
    </row>
    <row r="16120" spans="9:19" x14ac:dyDescent="0.25">
      <c r="I16120" s="1"/>
      <c r="J16120" s="71"/>
      <c r="M16120" s="46"/>
      <c r="R16120" s="51"/>
      <c r="S16120" s="51"/>
    </row>
    <row r="16121" spans="9:19" x14ac:dyDescent="0.25">
      <c r="I16121" s="1"/>
      <c r="J16121" s="71"/>
      <c r="M16121" s="46"/>
      <c r="R16121" s="51"/>
      <c r="S16121" s="51"/>
    </row>
    <row r="16122" spans="9:19" x14ac:dyDescent="0.25">
      <c r="I16122" s="1"/>
      <c r="J16122" s="71"/>
      <c r="M16122" s="46"/>
      <c r="R16122" s="51"/>
      <c r="S16122" s="51"/>
    </row>
    <row r="16123" spans="9:19" x14ac:dyDescent="0.25">
      <c r="I16123" s="1"/>
      <c r="J16123" s="71"/>
      <c r="M16123" s="46"/>
      <c r="R16123" s="51"/>
      <c r="S16123" s="51"/>
    </row>
    <row r="16124" spans="9:19" x14ac:dyDescent="0.25">
      <c r="I16124" s="1"/>
      <c r="J16124" s="71"/>
      <c r="M16124" s="46"/>
      <c r="R16124" s="51"/>
      <c r="S16124" s="51"/>
    </row>
    <row r="16125" spans="9:19" x14ac:dyDescent="0.25">
      <c r="I16125" s="1"/>
      <c r="J16125" s="71"/>
      <c r="M16125" s="46"/>
      <c r="R16125" s="51"/>
      <c r="S16125" s="51"/>
    </row>
    <row r="16126" spans="9:19" x14ac:dyDescent="0.25">
      <c r="I16126" s="1"/>
      <c r="J16126" s="71"/>
      <c r="M16126" s="46"/>
      <c r="R16126" s="51"/>
      <c r="S16126" s="51"/>
    </row>
    <row r="16127" spans="9:19" x14ac:dyDescent="0.25">
      <c r="I16127" s="1"/>
      <c r="J16127" s="71"/>
      <c r="M16127" s="46"/>
      <c r="R16127" s="51"/>
      <c r="S16127" s="51"/>
    </row>
    <row r="16128" spans="9:19" x14ac:dyDescent="0.25">
      <c r="I16128" s="1"/>
      <c r="J16128" s="71"/>
      <c r="M16128" s="46"/>
      <c r="R16128" s="51"/>
      <c r="S16128" s="51"/>
    </row>
    <row r="16129" spans="9:19" x14ac:dyDescent="0.25">
      <c r="I16129" s="1"/>
      <c r="J16129" s="71"/>
      <c r="M16129" s="46"/>
      <c r="R16129" s="51"/>
      <c r="S16129" s="51"/>
    </row>
    <row r="16130" spans="9:19" x14ac:dyDescent="0.25">
      <c r="I16130" s="1"/>
      <c r="J16130" s="71"/>
      <c r="M16130" s="46"/>
      <c r="R16130" s="51"/>
      <c r="S16130" s="51"/>
    </row>
    <row r="16131" spans="9:19" x14ac:dyDescent="0.25">
      <c r="I16131" s="1"/>
      <c r="J16131" s="71"/>
      <c r="M16131" s="46"/>
      <c r="R16131" s="51"/>
      <c r="S16131" s="51"/>
    </row>
    <row r="16132" spans="9:19" x14ac:dyDescent="0.25">
      <c r="I16132" s="1"/>
      <c r="J16132" s="71"/>
      <c r="M16132" s="46"/>
      <c r="R16132" s="51"/>
      <c r="S16132" s="51"/>
    </row>
    <row r="16133" spans="9:19" x14ac:dyDescent="0.25">
      <c r="I16133" s="1"/>
      <c r="J16133" s="71"/>
      <c r="M16133" s="46"/>
      <c r="R16133" s="51"/>
      <c r="S16133" s="51"/>
    </row>
    <row r="16134" spans="9:19" x14ac:dyDescent="0.25">
      <c r="I16134" s="1"/>
      <c r="J16134" s="71"/>
      <c r="M16134" s="46"/>
      <c r="R16134" s="51"/>
      <c r="S16134" s="51"/>
    </row>
    <row r="16135" spans="9:19" x14ac:dyDescent="0.25">
      <c r="I16135" s="1"/>
      <c r="J16135" s="71"/>
      <c r="M16135" s="46"/>
      <c r="R16135" s="51"/>
      <c r="S16135" s="51"/>
    </row>
    <row r="16136" spans="9:19" x14ac:dyDescent="0.25">
      <c r="I16136" s="1"/>
      <c r="J16136" s="71"/>
      <c r="M16136" s="46"/>
      <c r="R16136" s="51"/>
      <c r="S16136" s="51"/>
    </row>
    <row r="16137" spans="9:19" x14ac:dyDescent="0.25">
      <c r="I16137" s="1"/>
      <c r="J16137" s="71"/>
      <c r="M16137" s="46"/>
      <c r="R16137" s="51"/>
      <c r="S16137" s="51"/>
    </row>
    <row r="16138" spans="9:19" x14ac:dyDescent="0.25">
      <c r="I16138" s="1"/>
      <c r="J16138" s="71"/>
      <c r="M16138" s="46"/>
      <c r="R16138" s="51"/>
      <c r="S16138" s="51"/>
    </row>
    <row r="16139" spans="9:19" x14ac:dyDescent="0.25">
      <c r="I16139" s="1"/>
      <c r="J16139" s="71"/>
      <c r="M16139" s="46"/>
      <c r="R16139" s="51"/>
      <c r="S16139" s="51"/>
    </row>
    <row r="16140" spans="9:19" x14ac:dyDescent="0.25">
      <c r="I16140" s="1"/>
      <c r="J16140" s="71"/>
      <c r="M16140" s="46"/>
      <c r="R16140" s="51"/>
      <c r="S16140" s="51"/>
    </row>
    <row r="16141" spans="9:19" x14ac:dyDescent="0.25">
      <c r="I16141" s="1"/>
      <c r="J16141" s="71"/>
      <c r="M16141" s="46"/>
      <c r="R16141" s="51"/>
      <c r="S16141" s="51"/>
    </row>
    <row r="16142" spans="9:19" x14ac:dyDescent="0.25">
      <c r="I16142" s="1"/>
      <c r="J16142" s="71"/>
      <c r="M16142" s="46"/>
      <c r="R16142" s="51"/>
      <c r="S16142" s="51"/>
    </row>
    <row r="16143" spans="9:19" x14ac:dyDescent="0.25">
      <c r="I16143" s="1"/>
      <c r="J16143" s="71"/>
      <c r="M16143" s="46"/>
      <c r="R16143" s="51"/>
      <c r="S16143" s="51"/>
    </row>
    <row r="16144" spans="9:19" x14ac:dyDescent="0.25">
      <c r="I16144" s="1"/>
      <c r="J16144" s="71"/>
      <c r="M16144" s="46"/>
      <c r="R16144" s="51"/>
      <c r="S16144" s="51"/>
    </row>
    <row r="16145" spans="9:19" x14ac:dyDescent="0.25">
      <c r="I16145" s="1"/>
      <c r="J16145" s="71"/>
      <c r="M16145" s="46"/>
      <c r="R16145" s="51"/>
      <c r="S16145" s="51"/>
    </row>
    <row r="16146" spans="9:19" x14ac:dyDescent="0.25">
      <c r="I16146" s="1"/>
      <c r="J16146" s="71"/>
      <c r="M16146" s="46"/>
      <c r="R16146" s="51"/>
      <c r="S16146" s="51"/>
    </row>
    <row r="16147" spans="9:19" x14ac:dyDescent="0.25">
      <c r="I16147" s="1"/>
      <c r="J16147" s="71"/>
      <c r="M16147" s="46"/>
      <c r="R16147" s="51"/>
      <c r="S16147" s="51"/>
    </row>
    <row r="16148" spans="9:19" x14ac:dyDescent="0.25">
      <c r="I16148" s="1"/>
      <c r="J16148" s="71"/>
      <c r="M16148" s="46"/>
      <c r="R16148" s="51"/>
      <c r="S16148" s="51"/>
    </row>
    <row r="16149" spans="9:19" x14ac:dyDescent="0.25">
      <c r="I16149" s="1"/>
      <c r="J16149" s="71"/>
      <c r="M16149" s="46"/>
      <c r="R16149" s="51"/>
      <c r="S16149" s="51"/>
    </row>
    <row r="16150" spans="9:19" x14ac:dyDescent="0.25">
      <c r="I16150" s="1"/>
      <c r="J16150" s="71"/>
      <c r="M16150" s="46"/>
      <c r="R16150" s="51"/>
      <c r="S16150" s="51"/>
    </row>
    <row r="16151" spans="9:19" x14ac:dyDescent="0.25">
      <c r="I16151" s="1"/>
      <c r="J16151" s="71"/>
      <c r="M16151" s="46"/>
      <c r="R16151" s="51"/>
      <c r="S16151" s="51"/>
    </row>
    <row r="16152" spans="9:19" x14ac:dyDescent="0.25">
      <c r="I16152" s="1"/>
      <c r="J16152" s="71"/>
      <c r="M16152" s="46"/>
      <c r="R16152" s="51"/>
      <c r="S16152" s="51"/>
    </row>
    <row r="16153" spans="9:19" x14ac:dyDescent="0.25">
      <c r="I16153" s="1"/>
      <c r="J16153" s="71"/>
      <c r="M16153" s="46"/>
      <c r="R16153" s="51"/>
      <c r="S16153" s="51"/>
    </row>
    <row r="16154" spans="9:19" x14ac:dyDescent="0.25">
      <c r="I16154" s="1"/>
      <c r="J16154" s="71"/>
      <c r="M16154" s="46"/>
      <c r="R16154" s="51"/>
      <c r="S16154" s="51"/>
    </row>
    <row r="16155" spans="9:19" x14ac:dyDescent="0.25">
      <c r="I16155" s="1"/>
      <c r="J16155" s="71"/>
      <c r="M16155" s="46"/>
      <c r="R16155" s="51"/>
      <c r="S16155" s="51"/>
    </row>
    <row r="16156" spans="9:19" x14ac:dyDescent="0.25">
      <c r="I16156" s="1"/>
      <c r="J16156" s="71"/>
      <c r="M16156" s="46"/>
      <c r="R16156" s="51"/>
      <c r="S16156" s="51"/>
    </row>
    <row r="16157" spans="9:19" x14ac:dyDescent="0.25">
      <c r="I16157" s="1"/>
      <c r="J16157" s="71"/>
      <c r="M16157" s="46"/>
      <c r="R16157" s="51"/>
      <c r="S16157" s="51"/>
    </row>
    <row r="16158" spans="9:19" x14ac:dyDescent="0.25">
      <c r="I16158" s="1"/>
      <c r="J16158" s="71"/>
      <c r="M16158" s="46"/>
      <c r="R16158" s="51"/>
      <c r="S16158" s="51"/>
    </row>
    <row r="16159" spans="9:19" x14ac:dyDescent="0.25">
      <c r="I16159" s="1"/>
      <c r="J16159" s="71"/>
      <c r="M16159" s="46"/>
      <c r="R16159" s="51"/>
      <c r="S16159" s="51"/>
    </row>
    <row r="16160" spans="9:19" x14ac:dyDescent="0.25">
      <c r="I16160" s="1"/>
      <c r="J16160" s="71"/>
      <c r="M16160" s="46"/>
      <c r="R16160" s="51"/>
      <c r="S16160" s="51"/>
    </row>
    <row r="16161" spans="9:19" x14ac:dyDescent="0.25">
      <c r="I16161" s="1"/>
      <c r="J16161" s="71"/>
      <c r="M16161" s="46"/>
      <c r="R16161" s="51"/>
      <c r="S16161" s="51"/>
    </row>
    <row r="16162" spans="9:19" x14ac:dyDescent="0.25">
      <c r="I16162" s="1"/>
      <c r="J16162" s="71"/>
      <c r="M16162" s="46"/>
      <c r="R16162" s="51"/>
      <c r="S16162" s="51"/>
    </row>
    <row r="16163" spans="9:19" x14ac:dyDescent="0.25">
      <c r="I16163" s="1"/>
      <c r="J16163" s="71"/>
      <c r="M16163" s="46"/>
      <c r="R16163" s="51"/>
      <c r="S16163" s="51"/>
    </row>
    <row r="16164" spans="9:19" x14ac:dyDescent="0.25">
      <c r="I16164" s="1"/>
      <c r="J16164" s="71"/>
      <c r="M16164" s="46"/>
      <c r="R16164" s="51"/>
      <c r="S16164" s="51"/>
    </row>
    <row r="16165" spans="9:19" x14ac:dyDescent="0.25">
      <c r="I16165" s="1"/>
      <c r="J16165" s="71"/>
      <c r="M16165" s="46"/>
      <c r="R16165" s="51"/>
      <c r="S16165" s="51"/>
    </row>
    <row r="16166" spans="9:19" x14ac:dyDescent="0.25">
      <c r="I16166" s="1"/>
      <c r="J16166" s="71"/>
      <c r="M16166" s="46"/>
      <c r="R16166" s="51"/>
      <c r="S16166" s="51"/>
    </row>
    <row r="16167" spans="9:19" x14ac:dyDescent="0.25">
      <c r="I16167" s="1"/>
      <c r="J16167" s="71"/>
      <c r="M16167" s="46"/>
      <c r="R16167" s="51"/>
      <c r="S16167" s="51"/>
    </row>
    <row r="16168" spans="9:19" x14ac:dyDescent="0.25">
      <c r="I16168" s="1"/>
      <c r="J16168" s="71"/>
      <c r="M16168" s="46"/>
      <c r="R16168" s="51"/>
      <c r="S16168" s="51"/>
    </row>
    <row r="16169" spans="9:19" x14ac:dyDescent="0.25">
      <c r="I16169" s="1"/>
      <c r="J16169" s="71"/>
      <c r="M16169" s="46"/>
      <c r="R16169" s="51"/>
      <c r="S16169" s="51"/>
    </row>
    <row r="16170" spans="9:19" x14ac:dyDescent="0.25">
      <c r="I16170" s="1"/>
      <c r="J16170" s="71"/>
      <c r="M16170" s="46"/>
      <c r="R16170" s="51"/>
      <c r="S16170" s="51"/>
    </row>
    <row r="16171" spans="9:19" x14ac:dyDescent="0.25">
      <c r="I16171" s="1"/>
      <c r="J16171" s="71"/>
      <c r="M16171" s="46"/>
      <c r="R16171" s="51"/>
      <c r="S16171" s="51"/>
    </row>
    <row r="16172" spans="9:19" x14ac:dyDescent="0.25">
      <c r="I16172" s="1"/>
      <c r="J16172" s="71"/>
      <c r="M16172" s="46"/>
      <c r="R16172" s="51"/>
      <c r="S16172" s="51"/>
    </row>
    <row r="16173" spans="9:19" x14ac:dyDescent="0.25">
      <c r="I16173" s="1"/>
      <c r="J16173" s="71"/>
      <c r="M16173" s="46"/>
      <c r="R16173" s="51"/>
      <c r="S16173" s="51"/>
    </row>
    <row r="16174" spans="9:19" x14ac:dyDescent="0.25">
      <c r="I16174" s="1"/>
      <c r="J16174" s="71"/>
      <c r="M16174" s="46"/>
      <c r="R16174" s="51"/>
      <c r="S16174" s="51"/>
    </row>
    <row r="16175" spans="9:19" x14ac:dyDescent="0.25">
      <c r="I16175" s="1"/>
      <c r="J16175" s="71"/>
      <c r="M16175" s="46"/>
      <c r="R16175" s="51"/>
      <c r="S16175" s="51"/>
    </row>
    <row r="16176" spans="9:19" x14ac:dyDescent="0.25">
      <c r="I16176" s="1"/>
      <c r="J16176" s="71"/>
      <c r="M16176" s="46"/>
      <c r="R16176" s="51"/>
      <c r="S16176" s="51"/>
    </row>
    <row r="16177" spans="9:19" x14ac:dyDescent="0.25">
      <c r="I16177" s="1"/>
      <c r="J16177" s="71"/>
      <c r="M16177" s="46"/>
      <c r="R16177" s="51"/>
      <c r="S16177" s="51"/>
    </row>
    <row r="16178" spans="9:19" x14ac:dyDescent="0.25">
      <c r="I16178" s="1"/>
      <c r="J16178" s="71"/>
      <c r="M16178" s="46"/>
      <c r="R16178" s="51"/>
      <c r="S16178" s="51"/>
    </row>
    <row r="16179" spans="9:19" x14ac:dyDescent="0.25">
      <c r="I16179" s="1"/>
      <c r="J16179" s="71"/>
      <c r="M16179" s="46"/>
      <c r="R16179" s="51"/>
      <c r="S16179" s="51"/>
    </row>
    <row r="16180" spans="9:19" x14ac:dyDescent="0.25">
      <c r="I16180" s="1"/>
      <c r="J16180" s="71"/>
      <c r="M16180" s="46"/>
      <c r="R16180" s="51"/>
      <c r="S16180" s="51"/>
    </row>
    <row r="16181" spans="9:19" x14ac:dyDescent="0.25">
      <c r="I16181" s="1"/>
      <c r="J16181" s="71"/>
      <c r="M16181" s="46"/>
      <c r="R16181" s="51"/>
      <c r="S16181" s="51"/>
    </row>
    <row r="16182" spans="9:19" x14ac:dyDescent="0.25">
      <c r="I16182" s="1"/>
      <c r="J16182" s="71"/>
      <c r="M16182" s="46"/>
      <c r="R16182" s="51"/>
      <c r="S16182" s="51"/>
    </row>
    <row r="16183" spans="9:19" x14ac:dyDescent="0.25">
      <c r="I16183" s="1"/>
      <c r="J16183" s="71"/>
      <c r="M16183" s="46"/>
      <c r="R16183" s="51"/>
      <c r="S16183" s="51"/>
    </row>
    <row r="16184" spans="9:19" x14ac:dyDescent="0.25">
      <c r="I16184" s="1"/>
      <c r="J16184" s="71"/>
      <c r="M16184" s="46"/>
      <c r="R16184" s="51"/>
      <c r="S16184" s="51"/>
    </row>
    <row r="16185" spans="9:19" x14ac:dyDescent="0.25">
      <c r="I16185" s="1"/>
      <c r="J16185" s="71"/>
      <c r="M16185" s="46"/>
      <c r="R16185" s="51"/>
      <c r="S16185" s="51"/>
    </row>
    <row r="16186" spans="9:19" x14ac:dyDescent="0.25">
      <c r="I16186" s="1"/>
      <c r="J16186" s="71"/>
      <c r="M16186" s="46"/>
      <c r="R16186" s="51"/>
      <c r="S16186" s="51"/>
    </row>
    <row r="16187" spans="9:19" x14ac:dyDescent="0.25">
      <c r="I16187" s="1"/>
      <c r="J16187" s="71"/>
      <c r="M16187" s="46"/>
      <c r="R16187" s="51"/>
      <c r="S16187" s="51"/>
    </row>
    <row r="16188" spans="9:19" x14ac:dyDescent="0.25">
      <c r="I16188" s="1"/>
      <c r="J16188" s="71"/>
      <c r="M16188" s="46"/>
      <c r="R16188" s="51"/>
      <c r="S16188" s="51"/>
    </row>
    <row r="16189" spans="9:19" x14ac:dyDescent="0.25">
      <c r="I16189" s="1"/>
      <c r="J16189" s="71"/>
      <c r="M16189" s="46"/>
      <c r="R16189" s="51"/>
      <c r="S16189" s="51"/>
    </row>
    <row r="16190" spans="9:19" x14ac:dyDescent="0.25">
      <c r="I16190" s="1"/>
      <c r="J16190" s="71"/>
      <c r="M16190" s="46"/>
      <c r="R16190" s="51"/>
      <c r="S16190" s="51"/>
    </row>
    <row r="16191" spans="9:19" x14ac:dyDescent="0.25">
      <c r="I16191" s="1"/>
      <c r="J16191" s="71"/>
      <c r="M16191" s="46"/>
      <c r="R16191" s="51"/>
      <c r="S16191" s="51"/>
    </row>
    <row r="16192" spans="9:19" x14ac:dyDescent="0.25">
      <c r="I16192" s="1"/>
      <c r="J16192" s="71"/>
      <c r="M16192" s="46"/>
      <c r="R16192" s="51"/>
      <c r="S16192" s="51"/>
    </row>
    <row r="16193" spans="9:19" x14ac:dyDescent="0.25">
      <c r="I16193" s="1"/>
      <c r="J16193" s="71"/>
      <c r="M16193" s="46"/>
      <c r="R16193" s="51"/>
      <c r="S16193" s="51"/>
    </row>
    <row r="16194" spans="9:19" x14ac:dyDescent="0.25">
      <c r="I16194" s="1"/>
      <c r="J16194" s="71"/>
      <c r="M16194" s="46"/>
      <c r="R16194" s="51"/>
      <c r="S16194" s="51"/>
    </row>
    <row r="16195" spans="9:19" x14ac:dyDescent="0.25">
      <c r="I16195" s="1"/>
      <c r="J16195" s="71"/>
      <c r="M16195" s="46"/>
      <c r="R16195" s="51"/>
      <c r="S16195" s="51"/>
    </row>
    <row r="16196" spans="9:19" x14ac:dyDescent="0.25">
      <c r="I16196" s="1"/>
      <c r="J16196" s="71"/>
      <c r="M16196" s="46"/>
      <c r="R16196" s="51"/>
      <c r="S16196" s="51"/>
    </row>
    <row r="16197" spans="9:19" x14ac:dyDescent="0.25">
      <c r="I16197" s="1"/>
      <c r="J16197" s="71"/>
      <c r="M16197" s="46"/>
      <c r="R16197" s="51"/>
      <c r="S16197" s="51"/>
    </row>
    <row r="16198" spans="9:19" x14ac:dyDescent="0.25">
      <c r="I16198" s="1"/>
      <c r="J16198" s="71"/>
      <c r="M16198" s="46"/>
      <c r="R16198" s="51"/>
      <c r="S16198" s="51"/>
    </row>
    <row r="16199" spans="9:19" x14ac:dyDescent="0.25">
      <c r="I16199" s="1"/>
      <c r="J16199" s="71"/>
      <c r="M16199" s="46"/>
      <c r="R16199" s="51"/>
      <c r="S16199" s="51"/>
    </row>
    <row r="16200" spans="9:19" x14ac:dyDescent="0.25">
      <c r="I16200" s="1"/>
      <c r="J16200" s="71"/>
      <c r="M16200" s="46"/>
      <c r="R16200" s="51"/>
      <c r="S16200" s="51"/>
    </row>
    <row r="16201" spans="9:19" x14ac:dyDescent="0.25">
      <c r="I16201" s="1"/>
      <c r="J16201" s="71"/>
      <c r="M16201" s="46"/>
      <c r="R16201" s="51"/>
      <c r="S16201" s="51"/>
    </row>
    <row r="16202" spans="9:19" x14ac:dyDescent="0.25">
      <c r="I16202" s="1"/>
      <c r="J16202" s="71"/>
      <c r="M16202" s="46"/>
      <c r="R16202" s="51"/>
      <c r="S16202" s="51"/>
    </row>
    <row r="16203" spans="9:19" x14ac:dyDescent="0.25">
      <c r="I16203" s="1"/>
      <c r="J16203" s="71"/>
      <c r="M16203" s="46"/>
      <c r="R16203" s="51"/>
      <c r="S16203" s="51"/>
    </row>
    <row r="16204" spans="9:19" x14ac:dyDescent="0.25">
      <c r="I16204" s="1"/>
      <c r="J16204" s="71"/>
      <c r="M16204" s="46"/>
      <c r="R16204" s="51"/>
      <c r="S16204" s="51"/>
    </row>
    <row r="16205" spans="9:19" x14ac:dyDescent="0.25">
      <c r="I16205" s="1"/>
      <c r="J16205" s="71"/>
      <c r="M16205" s="46"/>
      <c r="R16205" s="51"/>
      <c r="S16205" s="51"/>
    </row>
    <row r="16206" spans="9:19" x14ac:dyDescent="0.25">
      <c r="I16206" s="1"/>
      <c r="J16206" s="71"/>
      <c r="M16206" s="46"/>
      <c r="R16206" s="51"/>
      <c r="S16206" s="51"/>
    </row>
    <row r="16207" spans="9:19" x14ac:dyDescent="0.25">
      <c r="I16207" s="1"/>
      <c r="J16207" s="71"/>
      <c r="M16207" s="46"/>
      <c r="R16207" s="51"/>
      <c r="S16207" s="51"/>
    </row>
    <row r="16208" spans="9:19" x14ac:dyDescent="0.25">
      <c r="I16208" s="1"/>
      <c r="J16208" s="71"/>
      <c r="M16208" s="46"/>
      <c r="R16208" s="51"/>
      <c r="S16208" s="51"/>
    </row>
    <row r="16209" spans="9:19" x14ac:dyDescent="0.25">
      <c r="I16209" s="1"/>
      <c r="J16209" s="71"/>
      <c r="M16209" s="46"/>
      <c r="R16209" s="51"/>
      <c r="S16209" s="51"/>
    </row>
    <row r="16210" spans="9:19" x14ac:dyDescent="0.25">
      <c r="I16210" s="1"/>
      <c r="J16210" s="71"/>
      <c r="M16210" s="46"/>
      <c r="R16210" s="51"/>
      <c r="S16210" s="51"/>
    </row>
    <row r="16211" spans="9:19" x14ac:dyDescent="0.25">
      <c r="I16211" s="1"/>
      <c r="J16211" s="71"/>
      <c r="M16211" s="46"/>
      <c r="R16211" s="51"/>
      <c r="S16211" s="51"/>
    </row>
    <row r="16212" spans="9:19" x14ac:dyDescent="0.25">
      <c r="I16212" s="1"/>
      <c r="J16212" s="71"/>
      <c r="M16212" s="46"/>
      <c r="R16212" s="51"/>
      <c r="S16212" s="51"/>
    </row>
    <row r="16213" spans="9:19" x14ac:dyDescent="0.25">
      <c r="I16213" s="1"/>
      <c r="J16213" s="71"/>
      <c r="M16213" s="46"/>
      <c r="R16213" s="51"/>
      <c r="S16213" s="51"/>
    </row>
    <row r="16214" spans="9:19" x14ac:dyDescent="0.25">
      <c r="I16214" s="1"/>
      <c r="J16214" s="71"/>
      <c r="M16214" s="46"/>
      <c r="R16214" s="51"/>
      <c r="S16214" s="51"/>
    </row>
    <row r="16215" spans="9:19" x14ac:dyDescent="0.25">
      <c r="I16215" s="1"/>
      <c r="J16215" s="71"/>
      <c r="M16215" s="46"/>
      <c r="R16215" s="51"/>
      <c r="S16215" s="51"/>
    </row>
    <row r="16216" spans="9:19" x14ac:dyDescent="0.25">
      <c r="I16216" s="1"/>
      <c r="J16216" s="71"/>
      <c r="M16216" s="46"/>
      <c r="R16216" s="51"/>
      <c r="S16216" s="51"/>
    </row>
    <row r="16217" spans="9:19" x14ac:dyDescent="0.25">
      <c r="I16217" s="1"/>
      <c r="J16217" s="71"/>
      <c r="M16217" s="46"/>
      <c r="R16217" s="51"/>
      <c r="S16217" s="51"/>
    </row>
    <row r="16218" spans="9:19" x14ac:dyDescent="0.25">
      <c r="I16218" s="1"/>
      <c r="J16218" s="71"/>
      <c r="M16218" s="46"/>
      <c r="R16218" s="51"/>
      <c r="S16218" s="51"/>
    </row>
    <row r="16219" spans="9:19" x14ac:dyDescent="0.25">
      <c r="I16219" s="1"/>
      <c r="J16219" s="71"/>
      <c r="M16219" s="46"/>
      <c r="R16219" s="51"/>
      <c r="S16219" s="51"/>
    </row>
    <row r="16220" spans="9:19" x14ac:dyDescent="0.25">
      <c r="I16220" s="1"/>
      <c r="J16220" s="71"/>
      <c r="M16220" s="46"/>
      <c r="R16220" s="51"/>
      <c r="S16220" s="51"/>
    </row>
    <row r="16221" spans="9:19" x14ac:dyDescent="0.25">
      <c r="I16221" s="1"/>
      <c r="J16221" s="71"/>
      <c r="M16221" s="46"/>
      <c r="R16221" s="51"/>
      <c r="S16221" s="51"/>
    </row>
    <row r="16222" spans="9:19" x14ac:dyDescent="0.25">
      <c r="I16222" s="1"/>
      <c r="J16222" s="71"/>
      <c r="M16222" s="46"/>
      <c r="R16222" s="51"/>
      <c r="S16222" s="51"/>
    </row>
    <row r="16223" spans="9:19" x14ac:dyDescent="0.25">
      <c r="I16223" s="1"/>
      <c r="J16223" s="71"/>
    </row>
    <row r="16385" spans="6:6" x14ac:dyDescent="0.25">
      <c r="F16385" s="84"/>
    </row>
    <row r="16386" spans="6:6" x14ac:dyDescent="0.25">
      <c r="F16386" s="46"/>
    </row>
    <row r="16387" spans="6:6" x14ac:dyDescent="0.25">
      <c r="F16387" s="9">
        <v>4</v>
      </c>
    </row>
    <row r="16388" spans="6:6" x14ac:dyDescent="0.25">
      <c r="F16388" s="9">
        <v>6</v>
      </c>
    </row>
    <row r="16389" spans="6:6" x14ac:dyDescent="0.25">
      <c r="F16389" s="9">
        <v>6</v>
      </c>
    </row>
    <row r="16390" spans="6:6" x14ac:dyDescent="0.25">
      <c r="F16390" s="9">
        <v>6</v>
      </c>
    </row>
    <row r="16391" spans="6:6" x14ac:dyDescent="0.25">
      <c r="F16391" s="9">
        <v>4</v>
      </c>
    </row>
    <row r="16392" spans="6:6" x14ac:dyDescent="0.25">
      <c r="F16392" s="9">
        <v>4</v>
      </c>
    </row>
    <row r="16393" spans="6:6" x14ac:dyDescent="0.25">
      <c r="F16393" s="9">
        <v>5</v>
      </c>
    </row>
    <row r="16394" spans="6:6" x14ac:dyDescent="0.25">
      <c r="F16394" s="9">
        <v>5</v>
      </c>
    </row>
    <row r="16395" spans="6:6" x14ac:dyDescent="0.25">
      <c r="F16395" s="9">
        <v>10</v>
      </c>
    </row>
    <row r="16396" spans="6:6" x14ac:dyDescent="0.25">
      <c r="F16396" s="9">
        <v>8</v>
      </c>
    </row>
    <row r="16397" spans="6:6" x14ac:dyDescent="0.25">
      <c r="F16397" s="9">
        <v>9</v>
      </c>
    </row>
    <row r="16398" spans="6:6" x14ac:dyDescent="0.25">
      <c r="F16398" s="9">
        <v>8</v>
      </c>
    </row>
    <row r="16399" spans="6:6" x14ac:dyDescent="0.25">
      <c r="F16399" s="9">
        <v>8</v>
      </c>
    </row>
    <row r="16400" spans="6:6" x14ac:dyDescent="0.25">
      <c r="F16400" s="9">
        <v>8</v>
      </c>
    </row>
    <row r="16401" spans="6:6" x14ac:dyDescent="0.25">
      <c r="F16401" s="9">
        <v>8</v>
      </c>
    </row>
    <row r="16402" spans="6:6" x14ac:dyDescent="0.25">
      <c r="F16402" s="9">
        <v>5</v>
      </c>
    </row>
    <row r="16403" spans="6:6" x14ac:dyDescent="0.25">
      <c r="F16403" s="9">
        <v>5</v>
      </c>
    </row>
    <row r="16404" spans="6:6" x14ac:dyDescent="0.25">
      <c r="F16404" s="9">
        <v>7</v>
      </c>
    </row>
    <row r="16405" spans="6:6" x14ac:dyDescent="0.25">
      <c r="F16405" s="9">
        <v>5</v>
      </c>
    </row>
    <row r="16406" spans="6:6" x14ac:dyDescent="0.25">
      <c r="F16406" s="9">
        <v>5</v>
      </c>
    </row>
    <row r="16407" spans="6:6" x14ac:dyDescent="0.25">
      <c r="F16407" s="9">
        <v>5</v>
      </c>
    </row>
    <row r="16408" spans="6:6" x14ac:dyDescent="0.25">
      <c r="F16408" s="9">
        <v>4</v>
      </c>
    </row>
    <row r="16409" spans="6:6" x14ac:dyDescent="0.25">
      <c r="F16409" s="9">
        <v>6</v>
      </c>
    </row>
    <row r="16410" spans="6:6" x14ac:dyDescent="0.25">
      <c r="F16410" s="9">
        <v>4</v>
      </c>
    </row>
    <row r="16411" spans="6:6" x14ac:dyDescent="0.25">
      <c r="F16411" s="9">
        <v>4</v>
      </c>
    </row>
    <row r="16412" spans="6:6" x14ac:dyDescent="0.25">
      <c r="F16412" s="9">
        <v>6</v>
      </c>
    </row>
    <row r="16413" spans="6:6" x14ac:dyDescent="0.25">
      <c r="F16413" s="9">
        <v>4</v>
      </c>
    </row>
    <row r="16414" spans="6:6" x14ac:dyDescent="0.25">
      <c r="F16414" s="9">
        <v>6</v>
      </c>
    </row>
    <row r="16415" spans="6:6" x14ac:dyDescent="0.25">
      <c r="F16415" s="9">
        <v>4</v>
      </c>
    </row>
    <row r="16416" spans="6:6" x14ac:dyDescent="0.25">
      <c r="F16416" s="9">
        <v>6</v>
      </c>
    </row>
    <row r="16417" spans="6:6" x14ac:dyDescent="0.25">
      <c r="F16417" s="9">
        <v>4</v>
      </c>
    </row>
    <row r="16418" spans="6:6" x14ac:dyDescent="0.25">
      <c r="F16418" s="9">
        <v>6</v>
      </c>
    </row>
    <row r="16419" spans="6:6" x14ac:dyDescent="0.25">
      <c r="F16419" s="9">
        <v>6</v>
      </c>
    </row>
    <row r="16420" spans="6:6" x14ac:dyDescent="0.25">
      <c r="F16420" s="9">
        <v>5</v>
      </c>
    </row>
    <row r="16421" spans="6:6" x14ac:dyDescent="0.25">
      <c r="F16421" s="9">
        <v>3</v>
      </c>
    </row>
    <row r="16422" spans="6:6" x14ac:dyDescent="0.25">
      <c r="F16422" s="9">
        <v>4</v>
      </c>
    </row>
    <row r="16423" spans="6:6" x14ac:dyDescent="0.25">
      <c r="F16423" s="9">
        <v>4</v>
      </c>
    </row>
    <row r="16424" spans="6:6" x14ac:dyDescent="0.25">
      <c r="F16424" s="9">
        <v>5</v>
      </c>
    </row>
    <row r="16425" spans="6:6" x14ac:dyDescent="0.25">
      <c r="F16425" s="9">
        <v>5</v>
      </c>
    </row>
    <row r="16426" spans="6:6" x14ac:dyDescent="0.25">
      <c r="F16426" s="9">
        <v>2</v>
      </c>
    </row>
    <row r="16427" spans="6:6" x14ac:dyDescent="0.25">
      <c r="F16427" s="9">
        <v>6</v>
      </c>
    </row>
    <row r="16428" spans="6:6" x14ac:dyDescent="0.25">
      <c r="F16428" s="9">
        <v>7</v>
      </c>
    </row>
    <row r="16429" spans="6:6" x14ac:dyDescent="0.25">
      <c r="F16429" s="9">
        <v>3</v>
      </c>
    </row>
    <row r="16430" spans="6:6" x14ac:dyDescent="0.25">
      <c r="F16430" s="9">
        <v>3</v>
      </c>
    </row>
    <row r="16431" spans="6:6" x14ac:dyDescent="0.25">
      <c r="F16431" s="9">
        <v>3</v>
      </c>
    </row>
    <row r="16432" spans="6:6" x14ac:dyDescent="0.25">
      <c r="F16432" s="9">
        <v>3</v>
      </c>
    </row>
    <row r="16433" spans="6:6" x14ac:dyDescent="0.25">
      <c r="F16433" s="9">
        <v>6</v>
      </c>
    </row>
    <row r="16434" spans="6:6" x14ac:dyDescent="0.25">
      <c r="F16434" s="9">
        <v>1</v>
      </c>
    </row>
    <row r="16435" spans="6:6" x14ac:dyDescent="0.25">
      <c r="F16435" s="9">
        <v>5</v>
      </c>
    </row>
    <row r="16436" spans="6:6" x14ac:dyDescent="0.25">
      <c r="F16436" s="9">
        <v>6</v>
      </c>
    </row>
    <row r="16437" spans="6:6" x14ac:dyDescent="0.25">
      <c r="F16437" s="9">
        <v>4</v>
      </c>
    </row>
    <row r="16438" spans="6:6" x14ac:dyDescent="0.25">
      <c r="F16438" s="9">
        <v>3</v>
      </c>
    </row>
    <row r="16439" spans="6:6" x14ac:dyDescent="0.25">
      <c r="F16439" s="9">
        <v>4</v>
      </c>
    </row>
    <row r="16440" spans="6:6" x14ac:dyDescent="0.25">
      <c r="F16440" s="9">
        <v>3</v>
      </c>
    </row>
    <row r="16441" spans="6:6" x14ac:dyDescent="0.25">
      <c r="F16441" s="9">
        <v>1</v>
      </c>
    </row>
    <row r="16442" spans="6:6" x14ac:dyDescent="0.25">
      <c r="F16442" s="9">
        <v>5</v>
      </c>
    </row>
    <row r="16443" spans="6:6" x14ac:dyDescent="0.25">
      <c r="F16443" s="9">
        <v>4</v>
      </c>
    </row>
    <row r="16444" spans="6:6" x14ac:dyDescent="0.25">
      <c r="F16444" s="9">
        <v>6</v>
      </c>
    </row>
    <row r="16445" spans="6:6" x14ac:dyDescent="0.25">
      <c r="F16445" s="9">
        <v>2</v>
      </c>
    </row>
    <row r="16446" spans="6:6" x14ac:dyDescent="0.25">
      <c r="F16446" s="9">
        <v>2</v>
      </c>
    </row>
    <row r="16447" spans="6:6" x14ac:dyDescent="0.25">
      <c r="F16447" s="9">
        <v>4</v>
      </c>
    </row>
    <row r="16448" spans="6:6" x14ac:dyDescent="0.25">
      <c r="F16448" s="9">
        <v>3</v>
      </c>
    </row>
    <row r="16449" spans="6:6" x14ac:dyDescent="0.25">
      <c r="F16449" s="9">
        <v>2</v>
      </c>
    </row>
    <row r="16450" spans="6:6" x14ac:dyDescent="0.25">
      <c r="F16450" s="9">
        <v>7</v>
      </c>
    </row>
    <row r="16451" spans="6:6" x14ac:dyDescent="0.25">
      <c r="F16451" s="9">
        <v>8</v>
      </c>
    </row>
    <row r="16452" spans="6:6" x14ac:dyDescent="0.25">
      <c r="F16452" s="9">
        <v>7</v>
      </c>
    </row>
    <row r="16453" spans="6:6" x14ac:dyDescent="0.25">
      <c r="F16453" s="9">
        <v>6</v>
      </c>
    </row>
    <row r="16454" spans="6:6" x14ac:dyDescent="0.25">
      <c r="F16454" s="9">
        <v>3</v>
      </c>
    </row>
    <row r="16455" spans="6:6" x14ac:dyDescent="0.25">
      <c r="F16455" s="9">
        <v>6</v>
      </c>
    </row>
    <row r="16456" spans="6:6" x14ac:dyDescent="0.25">
      <c r="F16456" s="9">
        <v>3</v>
      </c>
    </row>
    <row r="16457" spans="6:6" x14ac:dyDescent="0.25">
      <c r="F16457" s="9">
        <v>2</v>
      </c>
    </row>
    <row r="16458" spans="6:6" x14ac:dyDescent="0.25">
      <c r="F16458" s="9">
        <v>5</v>
      </c>
    </row>
    <row r="16459" spans="6:6" x14ac:dyDescent="0.25">
      <c r="F16459" s="9">
        <v>3</v>
      </c>
    </row>
    <row r="16460" spans="6:6" x14ac:dyDescent="0.25">
      <c r="F16460" s="9">
        <v>4</v>
      </c>
    </row>
    <row r="16461" spans="6:6" x14ac:dyDescent="0.25">
      <c r="F16461" s="9">
        <v>2</v>
      </c>
    </row>
    <row r="16462" spans="6:6" x14ac:dyDescent="0.25">
      <c r="F16462" s="9">
        <v>4</v>
      </c>
    </row>
    <row r="16463" spans="6:6" x14ac:dyDescent="0.25">
      <c r="F16463" s="9">
        <v>3</v>
      </c>
    </row>
    <row r="16464" spans="6:6" x14ac:dyDescent="0.25">
      <c r="F16464" s="9">
        <v>3</v>
      </c>
    </row>
    <row r="16465" spans="6:6" x14ac:dyDescent="0.25">
      <c r="F16465" s="9">
        <v>4</v>
      </c>
    </row>
    <row r="16466" spans="6:6" x14ac:dyDescent="0.25">
      <c r="F16466" s="9">
        <v>3</v>
      </c>
    </row>
    <row r="16467" spans="6:6" x14ac:dyDescent="0.25">
      <c r="F16467" s="9">
        <v>2</v>
      </c>
    </row>
    <row r="16468" spans="6:6" x14ac:dyDescent="0.25">
      <c r="F16468" s="9">
        <v>3</v>
      </c>
    </row>
    <row r="16469" spans="6:6" x14ac:dyDescent="0.25">
      <c r="F16469" s="9">
        <v>7</v>
      </c>
    </row>
    <row r="16470" spans="6:6" x14ac:dyDescent="0.25">
      <c r="F16470" s="9">
        <v>6</v>
      </c>
    </row>
    <row r="16471" spans="6:6" x14ac:dyDescent="0.25">
      <c r="F16471" s="9">
        <v>5</v>
      </c>
    </row>
    <row r="16472" spans="6:6" x14ac:dyDescent="0.25">
      <c r="F16472" s="9">
        <v>5</v>
      </c>
    </row>
    <row r="16473" spans="6:6" x14ac:dyDescent="0.25">
      <c r="F16473" s="9">
        <v>4</v>
      </c>
    </row>
    <row r="16474" spans="6:6" x14ac:dyDescent="0.25">
      <c r="F16474" s="9">
        <v>5</v>
      </c>
    </row>
    <row r="16475" spans="6:6" x14ac:dyDescent="0.25">
      <c r="F16475" s="9">
        <v>5</v>
      </c>
    </row>
    <row r="16476" spans="6:6" x14ac:dyDescent="0.25">
      <c r="F16476" s="9">
        <v>2</v>
      </c>
    </row>
    <row r="16477" spans="6:6" x14ac:dyDescent="0.25">
      <c r="F16477" s="9">
        <v>3</v>
      </c>
    </row>
    <row r="16478" spans="6:6" x14ac:dyDescent="0.25">
      <c r="F16478" s="9">
        <v>2</v>
      </c>
    </row>
    <row r="16479" spans="6:6" x14ac:dyDescent="0.25">
      <c r="F16479" s="9">
        <v>3</v>
      </c>
    </row>
    <row r="16480" spans="6:6" x14ac:dyDescent="0.25">
      <c r="F16480" s="9">
        <v>4</v>
      </c>
    </row>
    <row r="16481" spans="6:6" x14ac:dyDescent="0.25">
      <c r="F16481" s="9">
        <v>4</v>
      </c>
    </row>
    <row r="16482" spans="6:6" x14ac:dyDescent="0.25">
      <c r="F16482" s="9">
        <v>2</v>
      </c>
    </row>
    <row r="16483" spans="6:6" x14ac:dyDescent="0.25">
      <c r="F16483" s="9">
        <v>3</v>
      </c>
    </row>
    <row r="16484" spans="6:6" x14ac:dyDescent="0.25">
      <c r="F16484" s="9">
        <v>3</v>
      </c>
    </row>
    <row r="16485" spans="6:6" x14ac:dyDescent="0.25">
      <c r="F16485" s="9">
        <v>3</v>
      </c>
    </row>
    <row r="16486" spans="6:6" x14ac:dyDescent="0.25">
      <c r="F16486" s="9">
        <v>2</v>
      </c>
    </row>
    <row r="16487" spans="6:6" x14ac:dyDescent="0.25">
      <c r="F16487" s="9">
        <v>3</v>
      </c>
    </row>
    <row r="16488" spans="6:6" x14ac:dyDescent="0.25">
      <c r="F16488" s="9">
        <v>3</v>
      </c>
    </row>
    <row r="16489" spans="6:6" x14ac:dyDescent="0.25">
      <c r="F16489" s="9">
        <v>3</v>
      </c>
    </row>
    <row r="16490" spans="6:6" x14ac:dyDescent="0.25">
      <c r="F16490" s="9">
        <v>4</v>
      </c>
    </row>
    <row r="16491" spans="6:6" x14ac:dyDescent="0.25">
      <c r="F16491" s="9">
        <v>4</v>
      </c>
    </row>
    <row r="16492" spans="6:6" x14ac:dyDescent="0.25">
      <c r="F16492" s="9">
        <v>2</v>
      </c>
    </row>
    <row r="16493" spans="6:6" x14ac:dyDescent="0.25">
      <c r="F16493" s="9">
        <v>3</v>
      </c>
    </row>
    <row r="16494" spans="6:6" x14ac:dyDescent="0.25">
      <c r="F16494" s="9">
        <v>1</v>
      </c>
    </row>
    <row r="16495" spans="6:6" x14ac:dyDescent="0.25">
      <c r="F16495" s="9">
        <v>1</v>
      </c>
    </row>
    <row r="16496" spans="6:6" x14ac:dyDescent="0.25">
      <c r="F16496" s="9">
        <v>1</v>
      </c>
    </row>
    <row r="16497" spans="6:6" x14ac:dyDescent="0.25">
      <c r="F16497" s="9" t="s">
        <v>133</v>
      </c>
    </row>
    <row r="16498" spans="6:6" x14ac:dyDescent="0.25">
      <c r="F16498" s="6" t="s">
        <v>172</v>
      </c>
    </row>
    <row r="16499" spans="6:6" x14ac:dyDescent="0.25">
      <c r="F16499" s="9" t="s">
        <v>263</v>
      </c>
    </row>
    <row r="16500" spans="6:6" x14ac:dyDescent="0.25">
      <c r="F16500" s="33" t="s">
        <v>264</v>
      </c>
    </row>
    <row r="32769" spans="6:6" x14ac:dyDescent="0.25">
      <c r="F32769" s="84"/>
    </row>
    <row r="32770" spans="6:6" x14ac:dyDescent="0.25">
      <c r="F32770" s="46"/>
    </row>
    <row r="32771" spans="6:6" x14ac:dyDescent="0.25">
      <c r="F32771" s="9">
        <v>4</v>
      </c>
    </row>
    <row r="32772" spans="6:6" x14ac:dyDescent="0.25">
      <c r="F32772" s="9">
        <v>6</v>
      </c>
    </row>
    <row r="32773" spans="6:6" x14ac:dyDescent="0.25">
      <c r="F32773" s="9">
        <v>6</v>
      </c>
    </row>
    <row r="32774" spans="6:6" x14ac:dyDescent="0.25">
      <c r="F32774" s="9">
        <v>6</v>
      </c>
    </row>
    <row r="32775" spans="6:6" x14ac:dyDescent="0.25">
      <c r="F32775" s="9">
        <v>4</v>
      </c>
    </row>
    <row r="32776" spans="6:6" x14ac:dyDescent="0.25">
      <c r="F32776" s="9">
        <v>4</v>
      </c>
    </row>
    <row r="32777" spans="6:6" x14ac:dyDescent="0.25">
      <c r="F32777" s="9">
        <v>5</v>
      </c>
    </row>
    <row r="32778" spans="6:6" x14ac:dyDescent="0.25">
      <c r="F32778" s="9">
        <v>5</v>
      </c>
    </row>
    <row r="32779" spans="6:6" x14ac:dyDescent="0.25">
      <c r="F32779" s="9">
        <v>10</v>
      </c>
    </row>
    <row r="32780" spans="6:6" x14ac:dyDescent="0.25">
      <c r="F32780" s="9">
        <v>8</v>
      </c>
    </row>
    <row r="32781" spans="6:6" x14ac:dyDescent="0.25">
      <c r="F32781" s="9">
        <v>9</v>
      </c>
    </row>
    <row r="32782" spans="6:6" x14ac:dyDescent="0.25">
      <c r="F32782" s="9">
        <v>8</v>
      </c>
    </row>
    <row r="32783" spans="6:6" x14ac:dyDescent="0.25">
      <c r="F32783" s="9">
        <v>8</v>
      </c>
    </row>
    <row r="32784" spans="6:6" x14ac:dyDescent="0.25">
      <c r="F32784" s="9">
        <v>8</v>
      </c>
    </row>
    <row r="32785" spans="6:6" x14ac:dyDescent="0.25">
      <c r="F32785" s="9">
        <v>8</v>
      </c>
    </row>
    <row r="32786" spans="6:6" x14ac:dyDescent="0.25">
      <c r="F32786" s="9">
        <v>5</v>
      </c>
    </row>
    <row r="32787" spans="6:6" x14ac:dyDescent="0.25">
      <c r="F32787" s="9">
        <v>5</v>
      </c>
    </row>
    <row r="32788" spans="6:6" x14ac:dyDescent="0.25">
      <c r="F32788" s="9">
        <v>7</v>
      </c>
    </row>
    <row r="32789" spans="6:6" x14ac:dyDescent="0.25">
      <c r="F32789" s="9">
        <v>5</v>
      </c>
    </row>
    <row r="32790" spans="6:6" x14ac:dyDescent="0.25">
      <c r="F32790" s="9">
        <v>5</v>
      </c>
    </row>
    <row r="32791" spans="6:6" x14ac:dyDescent="0.25">
      <c r="F32791" s="9">
        <v>5</v>
      </c>
    </row>
    <row r="32792" spans="6:6" x14ac:dyDescent="0.25">
      <c r="F32792" s="9">
        <v>4</v>
      </c>
    </row>
    <row r="32793" spans="6:6" x14ac:dyDescent="0.25">
      <c r="F32793" s="9">
        <v>6</v>
      </c>
    </row>
    <row r="32794" spans="6:6" x14ac:dyDescent="0.25">
      <c r="F32794" s="9">
        <v>4</v>
      </c>
    </row>
    <row r="32795" spans="6:6" x14ac:dyDescent="0.25">
      <c r="F32795" s="9">
        <v>4</v>
      </c>
    </row>
    <row r="32796" spans="6:6" x14ac:dyDescent="0.25">
      <c r="F32796" s="9">
        <v>6</v>
      </c>
    </row>
    <row r="32797" spans="6:6" x14ac:dyDescent="0.25">
      <c r="F32797" s="9">
        <v>4</v>
      </c>
    </row>
    <row r="32798" spans="6:6" x14ac:dyDescent="0.25">
      <c r="F32798" s="9">
        <v>6</v>
      </c>
    </row>
    <row r="32799" spans="6:6" x14ac:dyDescent="0.25">
      <c r="F32799" s="9">
        <v>4</v>
      </c>
    </row>
    <row r="32800" spans="6:6" x14ac:dyDescent="0.25">
      <c r="F32800" s="9">
        <v>6</v>
      </c>
    </row>
    <row r="32801" spans="6:6" x14ac:dyDescent="0.25">
      <c r="F32801" s="9">
        <v>4</v>
      </c>
    </row>
    <row r="32802" spans="6:6" x14ac:dyDescent="0.25">
      <c r="F32802" s="9">
        <v>6</v>
      </c>
    </row>
    <row r="32803" spans="6:6" x14ac:dyDescent="0.25">
      <c r="F32803" s="9">
        <v>6</v>
      </c>
    </row>
    <row r="32804" spans="6:6" x14ac:dyDescent="0.25">
      <c r="F32804" s="9">
        <v>5</v>
      </c>
    </row>
    <row r="32805" spans="6:6" x14ac:dyDescent="0.25">
      <c r="F32805" s="9">
        <v>3</v>
      </c>
    </row>
    <row r="32806" spans="6:6" x14ac:dyDescent="0.25">
      <c r="F32806" s="9">
        <v>4</v>
      </c>
    </row>
    <row r="32807" spans="6:6" x14ac:dyDescent="0.25">
      <c r="F32807" s="9">
        <v>4</v>
      </c>
    </row>
    <row r="32808" spans="6:6" x14ac:dyDescent="0.25">
      <c r="F32808" s="9">
        <v>5</v>
      </c>
    </row>
    <row r="32809" spans="6:6" x14ac:dyDescent="0.25">
      <c r="F32809" s="9">
        <v>5</v>
      </c>
    </row>
    <row r="32810" spans="6:6" x14ac:dyDescent="0.25">
      <c r="F32810" s="9">
        <v>2</v>
      </c>
    </row>
    <row r="32811" spans="6:6" x14ac:dyDescent="0.25">
      <c r="F32811" s="9">
        <v>6</v>
      </c>
    </row>
    <row r="32812" spans="6:6" x14ac:dyDescent="0.25">
      <c r="F32812" s="9">
        <v>7</v>
      </c>
    </row>
    <row r="32813" spans="6:6" x14ac:dyDescent="0.25">
      <c r="F32813" s="9">
        <v>3</v>
      </c>
    </row>
    <row r="32814" spans="6:6" x14ac:dyDescent="0.25">
      <c r="F32814" s="9">
        <v>3</v>
      </c>
    </row>
    <row r="32815" spans="6:6" x14ac:dyDescent="0.25">
      <c r="F32815" s="9">
        <v>3</v>
      </c>
    </row>
    <row r="32816" spans="6:6" x14ac:dyDescent="0.25">
      <c r="F32816" s="9">
        <v>3</v>
      </c>
    </row>
    <row r="32817" spans="6:6" x14ac:dyDescent="0.25">
      <c r="F32817" s="9">
        <v>6</v>
      </c>
    </row>
    <row r="32818" spans="6:6" x14ac:dyDescent="0.25">
      <c r="F32818" s="9">
        <v>1</v>
      </c>
    </row>
    <row r="32819" spans="6:6" x14ac:dyDescent="0.25">
      <c r="F32819" s="9">
        <v>5</v>
      </c>
    </row>
    <row r="32820" spans="6:6" x14ac:dyDescent="0.25">
      <c r="F32820" s="9">
        <v>6</v>
      </c>
    </row>
    <row r="32821" spans="6:6" x14ac:dyDescent="0.25">
      <c r="F32821" s="9">
        <v>4</v>
      </c>
    </row>
    <row r="32822" spans="6:6" x14ac:dyDescent="0.25">
      <c r="F32822" s="9">
        <v>3</v>
      </c>
    </row>
    <row r="32823" spans="6:6" x14ac:dyDescent="0.25">
      <c r="F32823" s="9">
        <v>4</v>
      </c>
    </row>
    <row r="32824" spans="6:6" x14ac:dyDescent="0.25">
      <c r="F32824" s="9">
        <v>3</v>
      </c>
    </row>
    <row r="32825" spans="6:6" x14ac:dyDescent="0.25">
      <c r="F32825" s="9">
        <v>1</v>
      </c>
    </row>
    <row r="32826" spans="6:6" x14ac:dyDescent="0.25">
      <c r="F32826" s="9">
        <v>5</v>
      </c>
    </row>
    <row r="32827" spans="6:6" x14ac:dyDescent="0.25">
      <c r="F32827" s="9">
        <v>4</v>
      </c>
    </row>
    <row r="32828" spans="6:6" x14ac:dyDescent="0.25">
      <c r="F32828" s="9">
        <v>6</v>
      </c>
    </row>
    <row r="32829" spans="6:6" x14ac:dyDescent="0.25">
      <c r="F32829" s="9">
        <v>2</v>
      </c>
    </row>
    <row r="32830" spans="6:6" x14ac:dyDescent="0.25">
      <c r="F32830" s="9">
        <v>2</v>
      </c>
    </row>
    <row r="32831" spans="6:6" x14ac:dyDescent="0.25">
      <c r="F32831" s="9">
        <v>4</v>
      </c>
    </row>
    <row r="32832" spans="6:6" x14ac:dyDescent="0.25">
      <c r="F32832" s="9">
        <v>3</v>
      </c>
    </row>
    <row r="32833" spans="6:6" x14ac:dyDescent="0.25">
      <c r="F32833" s="9">
        <v>2</v>
      </c>
    </row>
    <row r="32834" spans="6:6" x14ac:dyDescent="0.25">
      <c r="F32834" s="9">
        <v>7</v>
      </c>
    </row>
    <row r="32835" spans="6:6" x14ac:dyDescent="0.25">
      <c r="F32835" s="9">
        <v>8</v>
      </c>
    </row>
    <row r="32836" spans="6:6" x14ac:dyDescent="0.25">
      <c r="F32836" s="9">
        <v>7</v>
      </c>
    </row>
    <row r="32837" spans="6:6" x14ac:dyDescent="0.25">
      <c r="F32837" s="9">
        <v>6</v>
      </c>
    </row>
    <row r="32838" spans="6:6" x14ac:dyDescent="0.25">
      <c r="F32838" s="9">
        <v>3</v>
      </c>
    </row>
    <row r="32839" spans="6:6" x14ac:dyDescent="0.25">
      <c r="F32839" s="9">
        <v>6</v>
      </c>
    </row>
    <row r="32840" spans="6:6" x14ac:dyDescent="0.25">
      <c r="F32840" s="9">
        <v>3</v>
      </c>
    </row>
    <row r="32841" spans="6:6" x14ac:dyDescent="0.25">
      <c r="F32841" s="9">
        <v>2</v>
      </c>
    </row>
    <row r="32842" spans="6:6" x14ac:dyDescent="0.25">
      <c r="F32842" s="9">
        <v>5</v>
      </c>
    </row>
    <row r="32843" spans="6:6" x14ac:dyDescent="0.25">
      <c r="F32843" s="9">
        <v>3</v>
      </c>
    </row>
    <row r="32844" spans="6:6" x14ac:dyDescent="0.25">
      <c r="F32844" s="9">
        <v>4</v>
      </c>
    </row>
    <row r="32845" spans="6:6" x14ac:dyDescent="0.25">
      <c r="F32845" s="9">
        <v>2</v>
      </c>
    </row>
    <row r="32846" spans="6:6" x14ac:dyDescent="0.25">
      <c r="F32846" s="9">
        <v>4</v>
      </c>
    </row>
    <row r="32847" spans="6:6" x14ac:dyDescent="0.25">
      <c r="F32847" s="9">
        <v>3</v>
      </c>
    </row>
    <row r="32848" spans="6:6" x14ac:dyDescent="0.25">
      <c r="F32848" s="9">
        <v>3</v>
      </c>
    </row>
    <row r="32849" spans="6:6" x14ac:dyDescent="0.25">
      <c r="F32849" s="9">
        <v>4</v>
      </c>
    </row>
    <row r="32850" spans="6:6" x14ac:dyDescent="0.25">
      <c r="F32850" s="9">
        <v>3</v>
      </c>
    </row>
    <row r="32851" spans="6:6" x14ac:dyDescent="0.25">
      <c r="F32851" s="9">
        <v>2</v>
      </c>
    </row>
    <row r="32852" spans="6:6" x14ac:dyDescent="0.25">
      <c r="F32852" s="9">
        <v>3</v>
      </c>
    </row>
    <row r="32853" spans="6:6" x14ac:dyDescent="0.25">
      <c r="F32853" s="9">
        <v>7</v>
      </c>
    </row>
    <row r="32854" spans="6:6" x14ac:dyDescent="0.25">
      <c r="F32854" s="9">
        <v>6</v>
      </c>
    </row>
    <row r="32855" spans="6:6" x14ac:dyDescent="0.25">
      <c r="F32855" s="9">
        <v>5</v>
      </c>
    </row>
    <row r="32856" spans="6:6" x14ac:dyDescent="0.25">
      <c r="F32856" s="9">
        <v>5</v>
      </c>
    </row>
    <row r="32857" spans="6:6" x14ac:dyDescent="0.25">
      <c r="F32857" s="9">
        <v>4</v>
      </c>
    </row>
    <row r="32858" spans="6:6" x14ac:dyDescent="0.25">
      <c r="F32858" s="9">
        <v>5</v>
      </c>
    </row>
    <row r="32859" spans="6:6" x14ac:dyDescent="0.25">
      <c r="F32859" s="9">
        <v>5</v>
      </c>
    </row>
    <row r="32860" spans="6:6" x14ac:dyDescent="0.25">
      <c r="F32860" s="9">
        <v>2</v>
      </c>
    </row>
    <row r="32861" spans="6:6" x14ac:dyDescent="0.25">
      <c r="F32861" s="9">
        <v>3</v>
      </c>
    </row>
    <row r="32862" spans="6:6" x14ac:dyDescent="0.25">
      <c r="F32862" s="9">
        <v>2</v>
      </c>
    </row>
    <row r="32863" spans="6:6" x14ac:dyDescent="0.25">
      <c r="F32863" s="9">
        <v>3</v>
      </c>
    </row>
    <row r="32864" spans="6:6" x14ac:dyDescent="0.25">
      <c r="F32864" s="9">
        <v>4</v>
      </c>
    </row>
    <row r="32865" spans="6:6" x14ac:dyDescent="0.25">
      <c r="F32865" s="9">
        <v>4</v>
      </c>
    </row>
    <row r="32866" spans="6:6" x14ac:dyDescent="0.25">
      <c r="F32866" s="9">
        <v>2</v>
      </c>
    </row>
    <row r="32867" spans="6:6" x14ac:dyDescent="0.25">
      <c r="F32867" s="9">
        <v>3</v>
      </c>
    </row>
    <row r="32868" spans="6:6" x14ac:dyDescent="0.25">
      <c r="F32868" s="9">
        <v>3</v>
      </c>
    </row>
    <row r="32869" spans="6:6" x14ac:dyDescent="0.25">
      <c r="F32869" s="9">
        <v>3</v>
      </c>
    </row>
    <row r="32870" spans="6:6" x14ac:dyDescent="0.25">
      <c r="F32870" s="9">
        <v>2</v>
      </c>
    </row>
    <row r="32871" spans="6:6" x14ac:dyDescent="0.25">
      <c r="F32871" s="9">
        <v>3</v>
      </c>
    </row>
    <row r="32872" spans="6:6" x14ac:dyDescent="0.25">
      <c r="F32872" s="9">
        <v>3</v>
      </c>
    </row>
    <row r="32873" spans="6:6" x14ac:dyDescent="0.25">
      <c r="F32873" s="9">
        <v>3</v>
      </c>
    </row>
    <row r="32874" spans="6:6" x14ac:dyDescent="0.25">
      <c r="F32874" s="9">
        <v>4</v>
      </c>
    </row>
    <row r="32875" spans="6:6" x14ac:dyDescent="0.25">
      <c r="F32875" s="9">
        <v>4</v>
      </c>
    </row>
    <row r="32876" spans="6:6" x14ac:dyDescent="0.25">
      <c r="F32876" s="9">
        <v>2</v>
      </c>
    </row>
    <row r="32877" spans="6:6" x14ac:dyDescent="0.25">
      <c r="F32877" s="9">
        <v>3</v>
      </c>
    </row>
    <row r="32878" spans="6:6" x14ac:dyDescent="0.25">
      <c r="F32878" s="9">
        <v>1</v>
      </c>
    </row>
    <row r="32879" spans="6:6" x14ac:dyDescent="0.25">
      <c r="F32879" s="9">
        <v>1</v>
      </c>
    </row>
    <row r="32880" spans="6:6" x14ac:dyDescent="0.25">
      <c r="F32880" s="9">
        <v>1</v>
      </c>
    </row>
    <row r="32881" spans="6:6" x14ac:dyDescent="0.25">
      <c r="F32881" s="9" t="s">
        <v>133</v>
      </c>
    </row>
    <row r="32882" spans="6:6" x14ac:dyDescent="0.25">
      <c r="F32882" s="6" t="s">
        <v>172</v>
      </c>
    </row>
    <row r="32883" spans="6:6" x14ac:dyDescent="0.25">
      <c r="F32883" s="9" t="s">
        <v>263</v>
      </c>
    </row>
    <row r="32884" spans="6:6" x14ac:dyDescent="0.25">
      <c r="F32884" s="33" t="s">
        <v>264</v>
      </c>
    </row>
    <row r="49153" spans="6:6" x14ac:dyDescent="0.25">
      <c r="F49153" s="84"/>
    </row>
    <row r="49154" spans="6:6" x14ac:dyDescent="0.25">
      <c r="F49154" s="46"/>
    </row>
    <row r="49155" spans="6:6" x14ac:dyDescent="0.25">
      <c r="F49155" s="9">
        <v>4</v>
      </c>
    </row>
    <row r="49156" spans="6:6" x14ac:dyDescent="0.25">
      <c r="F49156" s="9">
        <v>6</v>
      </c>
    </row>
    <row r="49157" spans="6:6" x14ac:dyDescent="0.25">
      <c r="F49157" s="9">
        <v>6</v>
      </c>
    </row>
    <row r="49158" spans="6:6" x14ac:dyDescent="0.25">
      <c r="F49158" s="9">
        <v>6</v>
      </c>
    </row>
    <row r="49159" spans="6:6" x14ac:dyDescent="0.25">
      <c r="F49159" s="9">
        <v>4</v>
      </c>
    </row>
    <row r="49160" spans="6:6" x14ac:dyDescent="0.25">
      <c r="F49160" s="9">
        <v>4</v>
      </c>
    </row>
    <row r="49161" spans="6:6" x14ac:dyDescent="0.25">
      <c r="F49161" s="9">
        <v>5</v>
      </c>
    </row>
    <row r="49162" spans="6:6" x14ac:dyDescent="0.25">
      <c r="F49162" s="9">
        <v>5</v>
      </c>
    </row>
    <row r="49163" spans="6:6" x14ac:dyDescent="0.25">
      <c r="F49163" s="9">
        <v>10</v>
      </c>
    </row>
    <row r="49164" spans="6:6" x14ac:dyDescent="0.25">
      <c r="F49164" s="9">
        <v>8</v>
      </c>
    </row>
    <row r="49165" spans="6:6" x14ac:dyDescent="0.25">
      <c r="F49165" s="9">
        <v>9</v>
      </c>
    </row>
    <row r="49166" spans="6:6" x14ac:dyDescent="0.25">
      <c r="F49166" s="9">
        <v>8</v>
      </c>
    </row>
    <row r="49167" spans="6:6" x14ac:dyDescent="0.25">
      <c r="F49167" s="9">
        <v>8</v>
      </c>
    </row>
    <row r="49168" spans="6:6" x14ac:dyDescent="0.25">
      <c r="F49168" s="9">
        <v>8</v>
      </c>
    </row>
    <row r="49169" spans="6:6" x14ac:dyDescent="0.25">
      <c r="F49169" s="9">
        <v>8</v>
      </c>
    </row>
    <row r="49170" spans="6:6" x14ac:dyDescent="0.25">
      <c r="F49170" s="9">
        <v>5</v>
      </c>
    </row>
    <row r="49171" spans="6:6" x14ac:dyDescent="0.25">
      <c r="F49171" s="9">
        <v>5</v>
      </c>
    </row>
    <row r="49172" spans="6:6" x14ac:dyDescent="0.25">
      <c r="F49172" s="9">
        <v>7</v>
      </c>
    </row>
    <row r="49173" spans="6:6" x14ac:dyDescent="0.25">
      <c r="F49173" s="9">
        <v>5</v>
      </c>
    </row>
    <row r="49174" spans="6:6" x14ac:dyDescent="0.25">
      <c r="F49174" s="9">
        <v>5</v>
      </c>
    </row>
    <row r="49175" spans="6:6" x14ac:dyDescent="0.25">
      <c r="F49175" s="9">
        <v>5</v>
      </c>
    </row>
    <row r="49176" spans="6:6" x14ac:dyDescent="0.25">
      <c r="F49176" s="9">
        <v>4</v>
      </c>
    </row>
    <row r="49177" spans="6:6" x14ac:dyDescent="0.25">
      <c r="F49177" s="9">
        <v>6</v>
      </c>
    </row>
    <row r="49178" spans="6:6" x14ac:dyDescent="0.25">
      <c r="F49178" s="9">
        <v>4</v>
      </c>
    </row>
    <row r="49179" spans="6:6" x14ac:dyDescent="0.25">
      <c r="F49179" s="9">
        <v>4</v>
      </c>
    </row>
    <row r="49180" spans="6:6" x14ac:dyDescent="0.25">
      <c r="F49180" s="9">
        <v>6</v>
      </c>
    </row>
    <row r="49181" spans="6:6" x14ac:dyDescent="0.25">
      <c r="F49181" s="9">
        <v>4</v>
      </c>
    </row>
    <row r="49182" spans="6:6" x14ac:dyDescent="0.25">
      <c r="F49182" s="9">
        <v>6</v>
      </c>
    </row>
    <row r="49183" spans="6:6" x14ac:dyDescent="0.25">
      <c r="F49183" s="9">
        <v>4</v>
      </c>
    </row>
    <row r="49184" spans="6:6" x14ac:dyDescent="0.25">
      <c r="F49184" s="9">
        <v>6</v>
      </c>
    </row>
    <row r="49185" spans="6:6" x14ac:dyDescent="0.25">
      <c r="F49185" s="9">
        <v>4</v>
      </c>
    </row>
    <row r="49186" spans="6:6" x14ac:dyDescent="0.25">
      <c r="F49186" s="9">
        <v>6</v>
      </c>
    </row>
    <row r="49187" spans="6:6" x14ac:dyDescent="0.25">
      <c r="F49187" s="9">
        <v>6</v>
      </c>
    </row>
    <row r="49188" spans="6:6" x14ac:dyDescent="0.25">
      <c r="F49188" s="9">
        <v>5</v>
      </c>
    </row>
    <row r="49189" spans="6:6" x14ac:dyDescent="0.25">
      <c r="F49189" s="9">
        <v>3</v>
      </c>
    </row>
    <row r="49190" spans="6:6" x14ac:dyDescent="0.25">
      <c r="F49190" s="9">
        <v>4</v>
      </c>
    </row>
    <row r="49191" spans="6:6" x14ac:dyDescent="0.25">
      <c r="F49191" s="9">
        <v>4</v>
      </c>
    </row>
    <row r="49192" spans="6:6" x14ac:dyDescent="0.25">
      <c r="F49192" s="9">
        <v>5</v>
      </c>
    </row>
    <row r="49193" spans="6:6" x14ac:dyDescent="0.25">
      <c r="F49193" s="9">
        <v>5</v>
      </c>
    </row>
    <row r="49194" spans="6:6" x14ac:dyDescent="0.25">
      <c r="F49194" s="9">
        <v>2</v>
      </c>
    </row>
    <row r="49195" spans="6:6" x14ac:dyDescent="0.25">
      <c r="F49195" s="9">
        <v>6</v>
      </c>
    </row>
    <row r="49196" spans="6:6" x14ac:dyDescent="0.25">
      <c r="F49196" s="9">
        <v>7</v>
      </c>
    </row>
    <row r="49197" spans="6:6" x14ac:dyDescent="0.25">
      <c r="F49197" s="9">
        <v>3</v>
      </c>
    </row>
    <row r="49198" spans="6:6" x14ac:dyDescent="0.25">
      <c r="F49198" s="9">
        <v>3</v>
      </c>
    </row>
    <row r="49199" spans="6:6" x14ac:dyDescent="0.25">
      <c r="F49199" s="9">
        <v>3</v>
      </c>
    </row>
    <row r="49200" spans="6:6" x14ac:dyDescent="0.25">
      <c r="F49200" s="9">
        <v>3</v>
      </c>
    </row>
    <row r="49201" spans="6:6" x14ac:dyDescent="0.25">
      <c r="F49201" s="9">
        <v>6</v>
      </c>
    </row>
    <row r="49202" spans="6:6" x14ac:dyDescent="0.25">
      <c r="F49202" s="9">
        <v>1</v>
      </c>
    </row>
    <row r="49203" spans="6:6" x14ac:dyDescent="0.25">
      <c r="F49203" s="9">
        <v>5</v>
      </c>
    </row>
    <row r="49204" spans="6:6" x14ac:dyDescent="0.25">
      <c r="F49204" s="9">
        <v>6</v>
      </c>
    </row>
    <row r="49205" spans="6:6" x14ac:dyDescent="0.25">
      <c r="F49205" s="9">
        <v>4</v>
      </c>
    </row>
    <row r="49206" spans="6:6" x14ac:dyDescent="0.25">
      <c r="F49206" s="9">
        <v>3</v>
      </c>
    </row>
    <row r="49207" spans="6:6" x14ac:dyDescent="0.25">
      <c r="F49207" s="9">
        <v>4</v>
      </c>
    </row>
    <row r="49208" spans="6:6" x14ac:dyDescent="0.25">
      <c r="F49208" s="9">
        <v>3</v>
      </c>
    </row>
    <row r="49209" spans="6:6" x14ac:dyDescent="0.25">
      <c r="F49209" s="9">
        <v>1</v>
      </c>
    </row>
    <row r="49210" spans="6:6" x14ac:dyDescent="0.25">
      <c r="F49210" s="9">
        <v>5</v>
      </c>
    </row>
    <row r="49211" spans="6:6" x14ac:dyDescent="0.25">
      <c r="F49211" s="9">
        <v>4</v>
      </c>
    </row>
    <row r="49212" spans="6:6" x14ac:dyDescent="0.25">
      <c r="F49212" s="9">
        <v>6</v>
      </c>
    </row>
    <row r="49213" spans="6:6" x14ac:dyDescent="0.25">
      <c r="F49213" s="9">
        <v>2</v>
      </c>
    </row>
    <row r="49214" spans="6:6" x14ac:dyDescent="0.25">
      <c r="F49214" s="9">
        <v>2</v>
      </c>
    </row>
    <row r="49215" spans="6:6" x14ac:dyDescent="0.25">
      <c r="F49215" s="9">
        <v>4</v>
      </c>
    </row>
    <row r="49216" spans="6:6" x14ac:dyDescent="0.25">
      <c r="F49216" s="9">
        <v>3</v>
      </c>
    </row>
    <row r="49217" spans="6:6" x14ac:dyDescent="0.25">
      <c r="F49217" s="9">
        <v>2</v>
      </c>
    </row>
    <row r="49218" spans="6:6" x14ac:dyDescent="0.25">
      <c r="F49218" s="9">
        <v>7</v>
      </c>
    </row>
    <row r="49219" spans="6:6" x14ac:dyDescent="0.25">
      <c r="F49219" s="9">
        <v>8</v>
      </c>
    </row>
    <row r="49220" spans="6:6" x14ac:dyDescent="0.25">
      <c r="F49220" s="9">
        <v>7</v>
      </c>
    </row>
    <row r="49221" spans="6:6" x14ac:dyDescent="0.25">
      <c r="F49221" s="9">
        <v>6</v>
      </c>
    </row>
    <row r="49222" spans="6:6" x14ac:dyDescent="0.25">
      <c r="F49222" s="9">
        <v>3</v>
      </c>
    </row>
    <row r="49223" spans="6:6" x14ac:dyDescent="0.25">
      <c r="F49223" s="9">
        <v>6</v>
      </c>
    </row>
    <row r="49224" spans="6:6" x14ac:dyDescent="0.25">
      <c r="F49224" s="9">
        <v>3</v>
      </c>
    </row>
    <row r="49225" spans="6:6" x14ac:dyDescent="0.25">
      <c r="F49225" s="9">
        <v>2</v>
      </c>
    </row>
    <row r="49226" spans="6:6" x14ac:dyDescent="0.25">
      <c r="F49226" s="9">
        <v>5</v>
      </c>
    </row>
    <row r="49227" spans="6:6" x14ac:dyDescent="0.25">
      <c r="F49227" s="9">
        <v>3</v>
      </c>
    </row>
    <row r="49228" spans="6:6" x14ac:dyDescent="0.25">
      <c r="F49228" s="9">
        <v>4</v>
      </c>
    </row>
    <row r="49229" spans="6:6" x14ac:dyDescent="0.25">
      <c r="F49229" s="9">
        <v>2</v>
      </c>
    </row>
    <row r="49230" spans="6:6" x14ac:dyDescent="0.25">
      <c r="F49230" s="9">
        <v>4</v>
      </c>
    </row>
    <row r="49231" spans="6:6" x14ac:dyDescent="0.25">
      <c r="F49231" s="9">
        <v>3</v>
      </c>
    </row>
    <row r="49232" spans="6:6" x14ac:dyDescent="0.25">
      <c r="F49232" s="9">
        <v>3</v>
      </c>
    </row>
    <row r="49233" spans="6:6" x14ac:dyDescent="0.25">
      <c r="F49233" s="9">
        <v>4</v>
      </c>
    </row>
    <row r="49234" spans="6:6" x14ac:dyDescent="0.25">
      <c r="F49234" s="9">
        <v>3</v>
      </c>
    </row>
    <row r="49235" spans="6:6" x14ac:dyDescent="0.25">
      <c r="F49235" s="9">
        <v>2</v>
      </c>
    </row>
    <row r="49236" spans="6:6" x14ac:dyDescent="0.25">
      <c r="F49236" s="9">
        <v>3</v>
      </c>
    </row>
    <row r="49237" spans="6:6" x14ac:dyDescent="0.25">
      <c r="F49237" s="9">
        <v>7</v>
      </c>
    </row>
    <row r="49238" spans="6:6" x14ac:dyDescent="0.25">
      <c r="F49238" s="9">
        <v>6</v>
      </c>
    </row>
    <row r="49239" spans="6:6" x14ac:dyDescent="0.25">
      <c r="F49239" s="9">
        <v>5</v>
      </c>
    </row>
    <row r="49240" spans="6:6" x14ac:dyDescent="0.25">
      <c r="F49240" s="9">
        <v>5</v>
      </c>
    </row>
    <row r="49241" spans="6:6" x14ac:dyDescent="0.25">
      <c r="F49241" s="9">
        <v>4</v>
      </c>
    </row>
    <row r="49242" spans="6:6" x14ac:dyDescent="0.25">
      <c r="F49242" s="9">
        <v>5</v>
      </c>
    </row>
    <row r="49243" spans="6:6" x14ac:dyDescent="0.25">
      <c r="F49243" s="9">
        <v>5</v>
      </c>
    </row>
    <row r="49244" spans="6:6" x14ac:dyDescent="0.25">
      <c r="F49244" s="9">
        <v>2</v>
      </c>
    </row>
    <row r="49245" spans="6:6" x14ac:dyDescent="0.25">
      <c r="F49245" s="9">
        <v>3</v>
      </c>
    </row>
    <row r="49246" spans="6:6" x14ac:dyDescent="0.25">
      <c r="F49246" s="9">
        <v>2</v>
      </c>
    </row>
    <row r="49247" spans="6:6" x14ac:dyDescent="0.25">
      <c r="F49247" s="9">
        <v>3</v>
      </c>
    </row>
    <row r="49248" spans="6:6" x14ac:dyDescent="0.25">
      <c r="F49248" s="9">
        <v>4</v>
      </c>
    </row>
    <row r="49249" spans="6:6" x14ac:dyDescent="0.25">
      <c r="F49249" s="9">
        <v>4</v>
      </c>
    </row>
    <row r="49250" spans="6:6" x14ac:dyDescent="0.25">
      <c r="F49250" s="9">
        <v>2</v>
      </c>
    </row>
    <row r="49251" spans="6:6" x14ac:dyDescent="0.25">
      <c r="F49251" s="9">
        <v>3</v>
      </c>
    </row>
    <row r="49252" spans="6:6" x14ac:dyDescent="0.25">
      <c r="F49252" s="9">
        <v>3</v>
      </c>
    </row>
    <row r="49253" spans="6:6" x14ac:dyDescent="0.25">
      <c r="F49253" s="9">
        <v>3</v>
      </c>
    </row>
    <row r="49254" spans="6:6" x14ac:dyDescent="0.25">
      <c r="F49254" s="9">
        <v>2</v>
      </c>
    </row>
    <row r="49255" spans="6:6" x14ac:dyDescent="0.25">
      <c r="F49255" s="9">
        <v>3</v>
      </c>
    </row>
    <row r="49256" spans="6:6" x14ac:dyDescent="0.25">
      <c r="F49256" s="9">
        <v>3</v>
      </c>
    </row>
    <row r="49257" spans="6:6" x14ac:dyDescent="0.25">
      <c r="F49257" s="9">
        <v>3</v>
      </c>
    </row>
    <row r="49258" spans="6:6" x14ac:dyDescent="0.25">
      <c r="F49258" s="9">
        <v>4</v>
      </c>
    </row>
    <row r="49259" spans="6:6" x14ac:dyDescent="0.25">
      <c r="F49259" s="9">
        <v>4</v>
      </c>
    </row>
    <row r="49260" spans="6:6" x14ac:dyDescent="0.25">
      <c r="F49260" s="9">
        <v>2</v>
      </c>
    </row>
    <row r="49261" spans="6:6" x14ac:dyDescent="0.25">
      <c r="F49261" s="9">
        <v>3</v>
      </c>
    </row>
    <row r="49262" spans="6:6" x14ac:dyDescent="0.25">
      <c r="F49262" s="9">
        <v>1</v>
      </c>
    </row>
    <row r="49263" spans="6:6" x14ac:dyDescent="0.25">
      <c r="F49263" s="9">
        <v>1</v>
      </c>
    </row>
    <row r="49264" spans="6:6" x14ac:dyDescent="0.25">
      <c r="F49264" s="9">
        <v>1</v>
      </c>
    </row>
    <row r="49265" spans="6:6" x14ac:dyDescent="0.25">
      <c r="F49265" s="9" t="s">
        <v>133</v>
      </c>
    </row>
    <row r="49266" spans="6:6" x14ac:dyDescent="0.25">
      <c r="F49266" s="6" t="s">
        <v>172</v>
      </c>
    </row>
    <row r="49267" spans="6:6" x14ac:dyDescent="0.25">
      <c r="F49267" s="9" t="s">
        <v>263</v>
      </c>
    </row>
    <row r="49268" spans="6:6" x14ac:dyDescent="0.25">
      <c r="F49268" s="33" t="s">
        <v>264</v>
      </c>
    </row>
    <row r="65537" spans="6:6" x14ac:dyDescent="0.25">
      <c r="F65537" s="84"/>
    </row>
    <row r="65538" spans="6:6" x14ac:dyDescent="0.25">
      <c r="F65538" s="46"/>
    </row>
    <row r="65539" spans="6:6" x14ac:dyDescent="0.25">
      <c r="F65539" s="9">
        <v>4</v>
      </c>
    </row>
    <row r="65540" spans="6:6" x14ac:dyDescent="0.25">
      <c r="F65540" s="9">
        <v>6</v>
      </c>
    </row>
    <row r="65541" spans="6:6" x14ac:dyDescent="0.25">
      <c r="F65541" s="9">
        <v>6</v>
      </c>
    </row>
    <row r="65542" spans="6:6" x14ac:dyDescent="0.25">
      <c r="F65542" s="9">
        <v>6</v>
      </c>
    </row>
    <row r="65543" spans="6:6" x14ac:dyDescent="0.25">
      <c r="F65543" s="9">
        <v>4</v>
      </c>
    </row>
    <row r="65544" spans="6:6" x14ac:dyDescent="0.25">
      <c r="F65544" s="9">
        <v>4</v>
      </c>
    </row>
    <row r="65545" spans="6:6" x14ac:dyDescent="0.25">
      <c r="F65545" s="9">
        <v>5</v>
      </c>
    </row>
    <row r="65546" spans="6:6" x14ac:dyDescent="0.25">
      <c r="F65546" s="9">
        <v>5</v>
      </c>
    </row>
    <row r="65547" spans="6:6" x14ac:dyDescent="0.25">
      <c r="F65547" s="9">
        <v>10</v>
      </c>
    </row>
    <row r="65548" spans="6:6" x14ac:dyDescent="0.25">
      <c r="F65548" s="9">
        <v>8</v>
      </c>
    </row>
    <row r="65549" spans="6:6" x14ac:dyDescent="0.25">
      <c r="F65549" s="9">
        <v>9</v>
      </c>
    </row>
    <row r="65550" spans="6:6" x14ac:dyDescent="0.25">
      <c r="F65550" s="9">
        <v>8</v>
      </c>
    </row>
    <row r="65551" spans="6:6" x14ac:dyDescent="0.25">
      <c r="F65551" s="9">
        <v>8</v>
      </c>
    </row>
    <row r="65552" spans="6:6" x14ac:dyDescent="0.25">
      <c r="F65552" s="9">
        <v>8</v>
      </c>
    </row>
    <row r="65553" spans="6:6" x14ac:dyDescent="0.25">
      <c r="F65553" s="9">
        <v>8</v>
      </c>
    </row>
    <row r="65554" spans="6:6" x14ac:dyDescent="0.25">
      <c r="F65554" s="9">
        <v>5</v>
      </c>
    </row>
    <row r="65555" spans="6:6" x14ac:dyDescent="0.25">
      <c r="F65555" s="9">
        <v>5</v>
      </c>
    </row>
    <row r="65556" spans="6:6" x14ac:dyDescent="0.25">
      <c r="F65556" s="9">
        <v>7</v>
      </c>
    </row>
    <row r="65557" spans="6:6" x14ac:dyDescent="0.25">
      <c r="F65557" s="9">
        <v>5</v>
      </c>
    </row>
    <row r="65558" spans="6:6" x14ac:dyDescent="0.25">
      <c r="F65558" s="9">
        <v>5</v>
      </c>
    </row>
    <row r="65559" spans="6:6" x14ac:dyDescent="0.25">
      <c r="F65559" s="9">
        <v>5</v>
      </c>
    </row>
    <row r="65560" spans="6:6" x14ac:dyDescent="0.25">
      <c r="F65560" s="9">
        <v>4</v>
      </c>
    </row>
    <row r="65561" spans="6:6" x14ac:dyDescent="0.25">
      <c r="F65561" s="9">
        <v>6</v>
      </c>
    </row>
    <row r="65562" spans="6:6" x14ac:dyDescent="0.25">
      <c r="F65562" s="9">
        <v>4</v>
      </c>
    </row>
    <row r="65563" spans="6:6" x14ac:dyDescent="0.25">
      <c r="F65563" s="9">
        <v>4</v>
      </c>
    </row>
    <row r="65564" spans="6:6" x14ac:dyDescent="0.25">
      <c r="F65564" s="9">
        <v>6</v>
      </c>
    </row>
    <row r="65565" spans="6:6" x14ac:dyDescent="0.25">
      <c r="F65565" s="9">
        <v>4</v>
      </c>
    </row>
    <row r="65566" spans="6:6" x14ac:dyDescent="0.25">
      <c r="F65566" s="9">
        <v>6</v>
      </c>
    </row>
    <row r="65567" spans="6:6" x14ac:dyDescent="0.25">
      <c r="F65567" s="9">
        <v>4</v>
      </c>
    </row>
    <row r="65568" spans="6:6" x14ac:dyDescent="0.25">
      <c r="F65568" s="9">
        <v>6</v>
      </c>
    </row>
    <row r="65569" spans="6:6" x14ac:dyDescent="0.25">
      <c r="F65569" s="9">
        <v>4</v>
      </c>
    </row>
    <row r="65570" spans="6:6" x14ac:dyDescent="0.25">
      <c r="F65570" s="9">
        <v>6</v>
      </c>
    </row>
    <row r="65571" spans="6:6" x14ac:dyDescent="0.25">
      <c r="F65571" s="9">
        <v>6</v>
      </c>
    </row>
    <row r="65572" spans="6:6" x14ac:dyDescent="0.25">
      <c r="F65572" s="9">
        <v>5</v>
      </c>
    </row>
    <row r="65573" spans="6:6" x14ac:dyDescent="0.25">
      <c r="F65573" s="9">
        <v>3</v>
      </c>
    </row>
    <row r="65574" spans="6:6" x14ac:dyDescent="0.25">
      <c r="F65574" s="9">
        <v>4</v>
      </c>
    </row>
    <row r="65575" spans="6:6" x14ac:dyDescent="0.25">
      <c r="F65575" s="9">
        <v>4</v>
      </c>
    </row>
    <row r="65576" spans="6:6" x14ac:dyDescent="0.25">
      <c r="F65576" s="9">
        <v>5</v>
      </c>
    </row>
    <row r="65577" spans="6:6" x14ac:dyDescent="0.25">
      <c r="F65577" s="9">
        <v>5</v>
      </c>
    </row>
    <row r="65578" spans="6:6" x14ac:dyDescent="0.25">
      <c r="F65578" s="9">
        <v>2</v>
      </c>
    </row>
    <row r="65579" spans="6:6" x14ac:dyDescent="0.25">
      <c r="F65579" s="9">
        <v>6</v>
      </c>
    </row>
    <row r="65580" spans="6:6" x14ac:dyDescent="0.25">
      <c r="F65580" s="9">
        <v>7</v>
      </c>
    </row>
    <row r="65581" spans="6:6" x14ac:dyDescent="0.25">
      <c r="F65581" s="9">
        <v>3</v>
      </c>
    </row>
    <row r="65582" spans="6:6" x14ac:dyDescent="0.25">
      <c r="F65582" s="9">
        <v>3</v>
      </c>
    </row>
    <row r="65583" spans="6:6" x14ac:dyDescent="0.25">
      <c r="F65583" s="9">
        <v>3</v>
      </c>
    </row>
    <row r="65584" spans="6:6" x14ac:dyDescent="0.25">
      <c r="F65584" s="9">
        <v>3</v>
      </c>
    </row>
    <row r="65585" spans="6:6" x14ac:dyDescent="0.25">
      <c r="F65585" s="9">
        <v>6</v>
      </c>
    </row>
    <row r="65586" spans="6:6" x14ac:dyDescent="0.25">
      <c r="F65586" s="9">
        <v>1</v>
      </c>
    </row>
    <row r="65587" spans="6:6" x14ac:dyDescent="0.25">
      <c r="F65587" s="9">
        <v>5</v>
      </c>
    </row>
    <row r="65588" spans="6:6" x14ac:dyDescent="0.25">
      <c r="F65588" s="9">
        <v>6</v>
      </c>
    </row>
    <row r="65589" spans="6:6" x14ac:dyDescent="0.25">
      <c r="F65589" s="9">
        <v>4</v>
      </c>
    </row>
    <row r="65590" spans="6:6" x14ac:dyDescent="0.25">
      <c r="F65590" s="9">
        <v>3</v>
      </c>
    </row>
    <row r="65591" spans="6:6" x14ac:dyDescent="0.25">
      <c r="F65591" s="9">
        <v>4</v>
      </c>
    </row>
    <row r="65592" spans="6:6" x14ac:dyDescent="0.25">
      <c r="F65592" s="9">
        <v>3</v>
      </c>
    </row>
    <row r="65593" spans="6:6" x14ac:dyDescent="0.25">
      <c r="F65593" s="9">
        <v>1</v>
      </c>
    </row>
    <row r="65594" spans="6:6" x14ac:dyDescent="0.25">
      <c r="F65594" s="9">
        <v>5</v>
      </c>
    </row>
    <row r="65595" spans="6:6" x14ac:dyDescent="0.25">
      <c r="F65595" s="9">
        <v>4</v>
      </c>
    </row>
    <row r="65596" spans="6:6" x14ac:dyDescent="0.25">
      <c r="F65596" s="9">
        <v>6</v>
      </c>
    </row>
    <row r="65597" spans="6:6" x14ac:dyDescent="0.25">
      <c r="F65597" s="9">
        <v>2</v>
      </c>
    </row>
    <row r="65598" spans="6:6" x14ac:dyDescent="0.25">
      <c r="F65598" s="9">
        <v>2</v>
      </c>
    </row>
    <row r="65599" spans="6:6" x14ac:dyDescent="0.25">
      <c r="F65599" s="9">
        <v>4</v>
      </c>
    </row>
    <row r="65600" spans="6:6" x14ac:dyDescent="0.25">
      <c r="F65600" s="9">
        <v>3</v>
      </c>
    </row>
    <row r="65601" spans="6:6" x14ac:dyDescent="0.25">
      <c r="F65601" s="9">
        <v>2</v>
      </c>
    </row>
    <row r="65602" spans="6:6" x14ac:dyDescent="0.25">
      <c r="F65602" s="9">
        <v>7</v>
      </c>
    </row>
    <row r="65603" spans="6:6" x14ac:dyDescent="0.25">
      <c r="F65603" s="9">
        <v>8</v>
      </c>
    </row>
    <row r="65604" spans="6:6" x14ac:dyDescent="0.25">
      <c r="F65604" s="9">
        <v>7</v>
      </c>
    </row>
    <row r="65605" spans="6:6" x14ac:dyDescent="0.25">
      <c r="F65605" s="9">
        <v>6</v>
      </c>
    </row>
    <row r="65606" spans="6:6" x14ac:dyDescent="0.25">
      <c r="F65606" s="9">
        <v>3</v>
      </c>
    </row>
    <row r="65607" spans="6:6" x14ac:dyDescent="0.25">
      <c r="F65607" s="9">
        <v>6</v>
      </c>
    </row>
    <row r="65608" spans="6:6" x14ac:dyDescent="0.25">
      <c r="F65608" s="9">
        <v>3</v>
      </c>
    </row>
    <row r="65609" spans="6:6" x14ac:dyDescent="0.25">
      <c r="F65609" s="9">
        <v>2</v>
      </c>
    </row>
    <row r="65610" spans="6:6" x14ac:dyDescent="0.25">
      <c r="F65610" s="9">
        <v>5</v>
      </c>
    </row>
    <row r="65611" spans="6:6" x14ac:dyDescent="0.25">
      <c r="F65611" s="9">
        <v>3</v>
      </c>
    </row>
    <row r="65612" spans="6:6" x14ac:dyDescent="0.25">
      <c r="F65612" s="9">
        <v>4</v>
      </c>
    </row>
    <row r="65613" spans="6:6" x14ac:dyDescent="0.25">
      <c r="F65613" s="9">
        <v>2</v>
      </c>
    </row>
    <row r="65614" spans="6:6" x14ac:dyDescent="0.25">
      <c r="F65614" s="9">
        <v>4</v>
      </c>
    </row>
    <row r="65615" spans="6:6" x14ac:dyDescent="0.25">
      <c r="F65615" s="9">
        <v>3</v>
      </c>
    </row>
    <row r="65616" spans="6:6" x14ac:dyDescent="0.25">
      <c r="F65616" s="9">
        <v>3</v>
      </c>
    </row>
    <row r="65617" spans="6:6" x14ac:dyDescent="0.25">
      <c r="F65617" s="9">
        <v>4</v>
      </c>
    </row>
    <row r="65618" spans="6:6" x14ac:dyDescent="0.25">
      <c r="F65618" s="9">
        <v>3</v>
      </c>
    </row>
    <row r="65619" spans="6:6" x14ac:dyDescent="0.25">
      <c r="F65619" s="9">
        <v>2</v>
      </c>
    </row>
    <row r="65620" spans="6:6" x14ac:dyDescent="0.25">
      <c r="F65620" s="9">
        <v>3</v>
      </c>
    </row>
    <row r="65621" spans="6:6" x14ac:dyDescent="0.25">
      <c r="F65621" s="9">
        <v>7</v>
      </c>
    </row>
    <row r="65622" spans="6:6" x14ac:dyDescent="0.25">
      <c r="F65622" s="9">
        <v>6</v>
      </c>
    </row>
    <row r="65623" spans="6:6" x14ac:dyDescent="0.25">
      <c r="F65623" s="9">
        <v>5</v>
      </c>
    </row>
    <row r="65624" spans="6:6" x14ac:dyDescent="0.25">
      <c r="F65624" s="9">
        <v>5</v>
      </c>
    </row>
    <row r="65625" spans="6:6" x14ac:dyDescent="0.25">
      <c r="F65625" s="9">
        <v>4</v>
      </c>
    </row>
    <row r="65626" spans="6:6" x14ac:dyDescent="0.25">
      <c r="F65626" s="9">
        <v>5</v>
      </c>
    </row>
    <row r="65627" spans="6:6" x14ac:dyDescent="0.25">
      <c r="F65627" s="9">
        <v>5</v>
      </c>
    </row>
    <row r="65628" spans="6:6" x14ac:dyDescent="0.25">
      <c r="F65628" s="9">
        <v>2</v>
      </c>
    </row>
    <row r="65629" spans="6:6" x14ac:dyDescent="0.25">
      <c r="F65629" s="9">
        <v>3</v>
      </c>
    </row>
    <row r="65630" spans="6:6" x14ac:dyDescent="0.25">
      <c r="F65630" s="9">
        <v>2</v>
      </c>
    </row>
    <row r="65631" spans="6:6" x14ac:dyDescent="0.25">
      <c r="F65631" s="9">
        <v>3</v>
      </c>
    </row>
    <row r="65632" spans="6:6" x14ac:dyDescent="0.25">
      <c r="F65632" s="9">
        <v>4</v>
      </c>
    </row>
    <row r="65633" spans="6:6" x14ac:dyDescent="0.25">
      <c r="F65633" s="9">
        <v>4</v>
      </c>
    </row>
    <row r="65634" spans="6:6" x14ac:dyDescent="0.25">
      <c r="F65634" s="9">
        <v>2</v>
      </c>
    </row>
    <row r="65635" spans="6:6" x14ac:dyDescent="0.25">
      <c r="F65635" s="9">
        <v>3</v>
      </c>
    </row>
    <row r="65636" spans="6:6" x14ac:dyDescent="0.25">
      <c r="F65636" s="9">
        <v>3</v>
      </c>
    </row>
    <row r="65637" spans="6:6" x14ac:dyDescent="0.25">
      <c r="F65637" s="9">
        <v>3</v>
      </c>
    </row>
    <row r="65638" spans="6:6" x14ac:dyDescent="0.25">
      <c r="F65638" s="9">
        <v>2</v>
      </c>
    </row>
    <row r="65639" spans="6:6" x14ac:dyDescent="0.25">
      <c r="F65639" s="9">
        <v>3</v>
      </c>
    </row>
    <row r="65640" spans="6:6" x14ac:dyDescent="0.25">
      <c r="F65640" s="9">
        <v>3</v>
      </c>
    </row>
    <row r="65641" spans="6:6" x14ac:dyDescent="0.25">
      <c r="F65641" s="9">
        <v>3</v>
      </c>
    </row>
    <row r="65642" spans="6:6" x14ac:dyDescent="0.25">
      <c r="F65642" s="9">
        <v>4</v>
      </c>
    </row>
    <row r="65643" spans="6:6" x14ac:dyDescent="0.25">
      <c r="F65643" s="9">
        <v>4</v>
      </c>
    </row>
    <row r="65644" spans="6:6" x14ac:dyDescent="0.25">
      <c r="F65644" s="9">
        <v>2</v>
      </c>
    </row>
    <row r="65645" spans="6:6" x14ac:dyDescent="0.25">
      <c r="F65645" s="9">
        <v>3</v>
      </c>
    </row>
    <row r="65646" spans="6:6" x14ac:dyDescent="0.25">
      <c r="F65646" s="9">
        <v>1</v>
      </c>
    </row>
    <row r="65647" spans="6:6" x14ac:dyDescent="0.25">
      <c r="F65647" s="9">
        <v>1</v>
      </c>
    </row>
    <row r="65648" spans="6:6" x14ac:dyDescent="0.25">
      <c r="F65648" s="9">
        <v>1</v>
      </c>
    </row>
    <row r="65649" spans="6:6" x14ac:dyDescent="0.25">
      <c r="F65649" s="9" t="s">
        <v>133</v>
      </c>
    </row>
    <row r="65650" spans="6:6" x14ac:dyDescent="0.25">
      <c r="F65650" s="6" t="s">
        <v>172</v>
      </c>
    </row>
    <row r="65651" spans="6:6" x14ac:dyDescent="0.25">
      <c r="F65651" s="9" t="s">
        <v>263</v>
      </c>
    </row>
    <row r="65652" spans="6:6" x14ac:dyDescent="0.25">
      <c r="F65652" s="33" t="s">
        <v>264</v>
      </c>
    </row>
    <row r="81921" spans="6:6" x14ac:dyDescent="0.25">
      <c r="F81921" s="84"/>
    </row>
    <row r="81922" spans="6:6" x14ac:dyDescent="0.25">
      <c r="F81922" s="46"/>
    </row>
    <row r="81923" spans="6:6" x14ac:dyDescent="0.25">
      <c r="F81923" s="9">
        <v>4</v>
      </c>
    </row>
    <row r="81924" spans="6:6" x14ac:dyDescent="0.25">
      <c r="F81924" s="9">
        <v>6</v>
      </c>
    </row>
    <row r="81925" spans="6:6" x14ac:dyDescent="0.25">
      <c r="F81925" s="9">
        <v>6</v>
      </c>
    </row>
    <row r="81926" spans="6:6" x14ac:dyDescent="0.25">
      <c r="F81926" s="9">
        <v>6</v>
      </c>
    </row>
    <row r="81927" spans="6:6" x14ac:dyDescent="0.25">
      <c r="F81927" s="9">
        <v>4</v>
      </c>
    </row>
    <row r="81928" spans="6:6" x14ac:dyDescent="0.25">
      <c r="F81928" s="9">
        <v>4</v>
      </c>
    </row>
    <row r="81929" spans="6:6" x14ac:dyDescent="0.25">
      <c r="F81929" s="9">
        <v>5</v>
      </c>
    </row>
    <row r="81930" spans="6:6" x14ac:dyDescent="0.25">
      <c r="F81930" s="9">
        <v>5</v>
      </c>
    </row>
    <row r="81931" spans="6:6" x14ac:dyDescent="0.25">
      <c r="F81931" s="9">
        <v>10</v>
      </c>
    </row>
    <row r="81932" spans="6:6" x14ac:dyDescent="0.25">
      <c r="F81932" s="9">
        <v>8</v>
      </c>
    </row>
    <row r="81933" spans="6:6" x14ac:dyDescent="0.25">
      <c r="F81933" s="9">
        <v>9</v>
      </c>
    </row>
    <row r="81934" spans="6:6" x14ac:dyDescent="0.25">
      <c r="F81934" s="9">
        <v>8</v>
      </c>
    </row>
    <row r="81935" spans="6:6" x14ac:dyDescent="0.25">
      <c r="F81935" s="9">
        <v>8</v>
      </c>
    </row>
    <row r="81936" spans="6:6" x14ac:dyDescent="0.25">
      <c r="F81936" s="9">
        <v>8</v>
      </c>
    </row>
    <row r="81937" spans="6:6" x14ac:dyDescent="0.25">
      <c r="F81937" s="9">
        <v>8</v>
      </c>
    </row>
    <row r="81938" spans="6:6" x14ac:dyDescent="0.25">
      <c r="F81938" s="9">
        <v>5</v>
      </c>
    </row>
    <row r="81939" spans="6:6" x14ac:dyDescent="0.25">
      <c r="F81939" s="9">
        <v>5</v>
      </c>
    </row>
    <row r="81940" spans="6:6" x14ac:dyDescent="0.25">
      <c r="F81940" s="9">
        <v>7</v>
      </c>
    </row>
    <row r="81941" spans="6:6" x14ac:dyDescent="0.25">
      <c r="F81941" s="9">
        <v>5</v>
      </c>
    </row>
    <row r="81942" spans="6:6" x14ac:dyDescent="0.25">
      <c r="F81942" s="9">
        <v>5</v>
      </c>
    </row>
    <row r="81943" spans="6:6" x14ac:dyDescent="0.25">
      <c r="F81943" s="9">
        <v>5</v>
      </c>
    </row>
    <row r="81944" spans="6:6" x14ac:dyDescent="0.25">
      <c r="F81944" s="9">
        <v>4</v>
      </c>
    </row>
    <row r="81945" spans="6:6" x14ac:dyDescent="0.25">
      <c r="F81945" s="9">
        <v>6</v>
      </c>
    </row>
    <row r="81946" spans="6:6" x14ac:dyDescent="0.25">
      <c r="F81946" s="9">
        <v>4</v>
      </c>
    </row>
    <row r="81947" spans="6:6" x14ac:dyDescent="0.25">
      <c r="F81947" s="9">
        <v>4</v>
      </c>
    </row>
    <row r="81948" spans="6:6" x14ac:dyDescent="0.25">
      <c r="F81948" s="9">
        <v>6</v>
      </c>
    </row>
    <row r="81949" spans="6:6" x14ac:dyDescent="0.25">
      <c r="F81949" s="9">
        <v>4</v>
      </c>
    </row>
    <row r="81950" spans="6:6" x14ac:dyDescent="0.25">
      <c r="F81950" s="9">
        <v>6</v>
      </c>
    </row>
    <row r="81951" spans="6:6" x14ac:dyDescent="0.25">
      <c r="F81951" s="9">
        <v>4</v>
      </c>
    </row>
    <row r="81952" spans="6:6" x14ac:dyDescent="0.25">
      <c r="F81952" s="9">
        <v>6</v>
      </c>
    </row>
    <row r="81953" spans="6:6" x14ac:dyDescent="0.25">
      <c r="F81953" s="9">
        <v>4</v>
      </c>
    </row>
    <row r="81954" spans="6:6" x14ac:dyDescent="0.25">
      <c r="F81954" s="9">
        <v>6</v>
      </c>
    </row>
    <row r="81955" spans="6:6" x14ac:dyDescent="0.25">
      <c r="F81955" s="9">
        <v>6</v>
      </c>
    </row>
    <row r="81956" spans="6:6" x14ac:dyDescent="0.25">
      <c r="F81956" s="9">
        <v>5</v>
      </c>
    </row>
    <row r="81957" spans="6:6" x14ac:dyDescent="0.25">
      <c r="F81957" s="9">
        <v>3</v>
      </c>
    </row>
    <row r="81958" spans="6:6" x14ac:dyDescent="0.25">
      <c r="F81958" s="9">
        <v>4</v>
      </c>
    </row>
    <row r="81959" spans="6:6" x14ac:dyDescent="0.25">
      <c r="F81959" s="9">
        <v>4</v>
      </c>
    </row>
    <row r="81960" spans="6:6" x14ac:dyDescent="0.25">
      <c r="F81960" s="9">
        <v>5</v>
      </c>
    </row>
    <row r="81961" spans="6:6" x14ac:dyDescent="0.25">
      <c r="F81961" s="9">
        <v>5</v>
      </c>
    </row>
    <row r="81962" spans="6:6" x14ac:dyDescent="0.25">
      <c r="F81962" s="9">
        <v>2</v>
      </c>
    </row>
    <row r="81963" spans="6:6" x14ac:dyDescent="0.25">
      <c r="F81963" s="9">
        <v>6</v>
      </c>
    </row>
    <row r="81964" spans="6:6" x14ac:dyDescent="0.25">
      <c r="F81964" s="9">
        <v>7</v>
      </c>
    </row>
    <row r="81965" spans="6:6" x14ac:dyDescent="0.25">
      <c r="F81965" s="9">
        <v>3</v>
      </c>
    </row>
    <row r="81966" spans="6:6" x14ac:dyDescent="0.25">
      <c r="F81966" s="9">
        <v>3</v>
      </c>
    </row>
    <row r="81967" spans="6:6" x14ac:dyDescent="0.25">
      <c r="F81967" s="9">
        <v>3</v>
      </c>
    </row>
    <row r="81968" spans="6:6" x14ac:dyDescent="0.25">
      <c r="F81968" s="9">
        <v>3</v>
      </c>
    </row>
    <row r="81969" spans="6:6" x14ac:dyDescent="0.25">
      <c r="F81969" s="9">
        <v>6</v>
      </c>
    </row>
    <row r="81970" spans="6:6" x14ac:dyDescent="0.25">
      <c r="F81970" s="9">
        <v>1</v>
      </c>
    </row>
    <row r="81971" spans="6:6" x14ac:dyDescent="0.25">
      <c r="F81971" s="9">
        <v>5</v>
      </c>
    </row>
    <row r="81972" spans="6:6" x14ac:dyDescent="0.25">
      <c r="F81972" s="9">
        <v>6</v>
      </c>
    </row>
    <row r="81973" spans="6:6" x14ac:dyDescent="0.25">
      <c r="F81973" s="9">
        <v>4</v>
      </c>
    </row>
    <row r="81974" spans="6:6" x14ac:dyDescent="0.25">
      <c r="F81974" s="9">
        <v>3</v>
      </c>
    </row>
    <row r="81975" spans="6:6" x14ac:dyDescent="0.25">
      <c r="F81975" s="9">
        <v>4</v>
      </c>
    </row>
    <row r="81976" spans="6:6" x14ac:dyDescent="0.25">
      <c r="F81976" s="9">
        <v>3</v>
      </c>
    </row>
    <row r="81977" spans="6:6" x14ac:dyDescent="0.25">
      <c r="F81977" s="9">
        <v>1</v>
      </c>
    </row>
    <row r="81978" spans="6:6" x14ac:dyDescent="0.25">
      <c r="F81978" s="9">
        <v>5</v>
      </c>
    </row>
    <row r="81979" spans="6:6" x14ac:dyDescent="0.25">
      <c r="F81979" s="9">
        <v>4</v>
      </c>
    </row>
    <row r="81980" spans="6:6" x14ac:dyDescent="0.25">
      <c r="F81980" s="9">
        <v>6</v>
      </c>
    </row>
    <row r="81981" spans="6:6" x14ac:dyDescent="0.25">
      <c r="F81981" s="9">
        <v>2</v>
      </c>
    </row>
    <row r="81982" spans="6:6" x14ac:dyDescent="0.25">
      <c r="F81982" s="9">
        <v>2</v>
      </c>
    </row>
    <row r="81983" spans="6:6" x14ac:dyDescent="0.25">
      <c r="F81983" s="9">
        <v>4</v>
      </c>
    </row>
    <row r="81984" spans="6:6" x14ac:dyDescent="0.25">
      <c r="F81984" s="9">
        <v>3</v>
      </c>
    </row>
    <row r="81985" spans="6:6" x14ac:dyDescent="0.25">
      <c r="F81985" s="9">
        <v>2</v>
      </c>
    </row>
    <row r="81986" spans="6:6" x14ac:dyDescent="0.25">
      <c r="F81986" s="9">
        <v>7</v>
      </c>
    </row>
    <row r="81987" spans="6:6" x14ac:dyDescent="0.25">
      <c r="F81987" s="9">
        <v>8</v>
      </c>
    </row>
    <row r="81988" spans="6:6" x14ac:dyDescent="0.25">
      <c r="F81988" s="9">
        <v>7</v>
      </c>
    </row>
    <row r="81989" spans="6:6" x14ac:dyDescent="0.25">
      <c r="F81989" s="9">
        <v>6</v>
      </c>
    </row>
    <row r="81990" spans="6:6" x14ac:dyDescent="0.25">
      <c r="F81990" s="9">
        <v>3</v>
      </c>
    </row>
    <row r="81991" spans="6:6" x14ac:dyDescent="0.25">
      <c r="F81991" s="9">
        <v>6</v>
      </c>
    </row>
    <row r="81992" spans="6:6" x14ac:dyDescent="0.25">
      <c r="F81992" s="9">
        <v>3</v>
      </c>
    </row>
    <row r="81993" spans="6:6" x14ac:dyDescent="0.25">
      <c r="F81993" s="9">
        <v>2</v>
      </c>
    </row>
    <row r="81994" spans="6:6" x14ac:dyDescent="0.25">
      <c r="F81994" s="9">
        <v>5</v>
      </c>
    </row>
    <row r="81995" spans="6:6" x14ac:dyDescent="0.25">
      <c r="F81995" s="9">
        <v>3</v>
      </c>
    </row>
    <row r="81996" spans="6:6" x14ac:dyDescent="0.25">
      <c r="F81996" s="9">
        <v>4</v>
      </c>
    </row>
    <row r="81997" spans="6:6" x14ac:dyDescent="0.25">
      <c r="F81997" s="9">
        <v>2</v>
      </c>
    </row>
    <row r="81998" spans="6:6" x14ac:dyDescent="0.25">
      <c r="F81998" s="9">
        <v>4</v>
      </c>
    </row>
    <row r="81999" spans="6:6" x14ac:dyDescent="0.25">
      <c r="F81999" s="9">
        <v>3</v>
      </c>
    </row>
    <row r="82000" spans="6:6" x14ac:dyDescent="0.25">
      <c r="F82000" s="9">
        <v>3</v>
      </c>
    </row>
    <row r="82001" spans="6:6" x14ac:dyDescent="0.25">
      <c r="F82001" s="9">
        <v>4</v>
      </c>
    </row>
    <row r="82002" spans="6:6" x14ac:dyDescent="0.25">
      <c r="F82002" s="9">
        <v>3</v>
      </c>
    </row>
    <row r="82003" spans="6:6" x14ac:dyDescent="0.25">
      <c r="F82003" s="9">
        <v>2</v>
      </c>
    </row>
    <row r="82004" spans="6:6" x14ac:dyDescent="0.25">
      <c r="F82004" s="9">
        <v>3</v>
      </c>
    </row>
    <row r="82005" spans="6:6" x14ac:dyDescent="0.25">
      <c r="F82005" s="9">
        <v>7</v>
      </c>
    </row>
    <row r="82006" spans="6:6" x14ac:dyDescent="0.25">
      <c r="F82006" s="9">
        <v>6</v>
      </c>
    </row>
    <row r="82007" spans="6:6" x14ac:dyDescent="0.25">
      <c r="F82007" s="9">
        <v>5</v>
      </c>
    </row>
    <row r="82008" spans="6:6" x14ac:dyDescent="0.25">
      <c r="F82008" s="9">
        <v>5</v>
      </c>
    </row>
    <row r="82009" spans="6:6" x14ac:dyDescent="0.25">
      <c r="F82009" s="9">
        <v>4</v>
      </c>
    </row>
    <row r="82010" spans="6:6" x14ac:dyDescent="0.25">
      <c r="F82010" s="9">
        <v>5</v>
      </c>
    </row>
    <row r="82011" spans="6:6" x14ac:dyDescent="0.25">
      <c r="F82011" s="9">
        <v>5</v>
      </c>
    </row>
    <row r="82012" spans="6:6" x14ac:dyDescent="0.25">
      <c r="F82012" s="9">
        <v>2</v>
      </c>
    </row>
    <row r="82013" spans="6:6" x14ac:dyDescent="0.25">
      <c r="F82013" s="9">
        <v>3</v>
      </c>
    </row>
    <row r="82014" spans="6:6" x14ac:dyDescent="0.25">
      <c r="F82014" s="9">
        <v>2</v>
      </c>
    </row>
    <row r="82015" spans="6:6" x14ac:dyDescent="0.25">
      <c r="F82015" s="9">
        <v>3</v>
      </c>
    </row>
    <row r="82016" spans="6:6" x14ac:dyDescent="0.25">
      <c r="F82016" s="9">
        <v>4</v>
      </c>
    </row>
    <row r="82017" spans="6:6" x14ac:dyDescent="0.25">
      <c r="F82017" s="9">
        <v>4</v>
      </c>
    </row>
    <row r="82018" spans="6:6" x14ac:dyDescent="0.25">
      <c r="F82018" s="9">
        <v>2</v>
      </c>
    </row>
    <row r="82019" spans="6:6" x14ac:dyDescent="0.25">
      <c r="F82019" s="9">
        <v>3</v>
      </c>
    </row>
    <row r="82020" spans="6:6" x14ac:dyDescent="0.25">
      <c r="F82020" s="9">
        <v>3</v>
      </c>
    </row>
    <row r="82021" spans="6:6" x14ac:dyDescent="0.25">
      <c r="F82021" s="9">
        <v>3</v>
      </c>
    </row>
    <row r="82022" spans="6:6" x14ac:dyDescent="0.25">
      <c r="F82022" s="9">
        <v>2</v>
      </c>
    </row>
    <row r="82023" spans="6:6" x14ac:dyDescent="0.25">
      <c r="F82023" s="9">
        <v>3</v>
      </c>
    </row>
    <row r="82024" spans="6:6" x14ac:dyDescent="0.25">
      <c r="F82024" s="9">
        <v>3</v>
      </c>
    </row>
    <row r="82025" spans="6:6" x14ac:dyDescent="0.25">
      <c r="F82025" s="9">
        <v>3</v>
      </c>
    </row>
    <row r="82026" spans="6:6" x14ac:dyDescent="0.25">
      <c r="F82026" s="9">
        <v>4</v>
      </c>
    </row>
    <row r="82027" spans="6:6" x14ac:dyDescent="0.25">
      <c r="F82027" s="9">
        <v>4</v>
      </c>
    </row>
    <row r="82028" spans="6:6" x14ac:dyDescent="0.25">
      <c r="F82028" s="9">
        <v>2</v>
      </c>
    </row>
    <row r="82029" spans="6:6" x14ac:dyDescent="0.25">
      <c r="F82029" s="9">
        <v>3</v>
      </c>
    </row>
    <row r="82030" spans="6:6" x14ac:dyDescent="0.25">
      <c r="F82030" s="9">
        <v>1</v>
      </c>
    </row>
    <row r="82031" spans="6:6" x14ac:dyDescent="0.25">
      <c r="F82031" s="9">
        <v>1</v>
      </c>
    </row>
    <row r="82032" spans="6:6" x14ac:dyDescent="0.25">
      <c r="F82032" s="9">
        <v>1</v>
      </c>
    </row>
    <row r="82033" spans="6:6" x14ac:dyDescent="0.25">
      <c r="F82033" s="9" t="s">
        <v>133</v>
      </c>
    </row>
    <row r="82034" spans="6:6" x14ac:dyDescent="0.25">
      <c r="F82034" s="6" t="s">
        <v>172</v>
      </c>
    </row>
    <row r="82035" spans="6:6" x14ac:dyDescent="0.25">
      <c r="F82035" s="9" t="s">
        <v>263</v>
      </c>
    </row>
    <row r="82036" spans="6:6" x14ac:dyDescent="0.25">
      <c r="F82036" s="33" t="s">
        <v>264</v>
      </c>
    </row>
    <row r="98305" spans="6:6" x14ac:dyDescent="0.25">
      <c r="F98305" s="84"/>
    </row>
    <row r="98306" spans="6:6" x14ac:dyDescent="0.25">
      <c r="F98306" s="46"/>
    </row>
    <row r="98307" spans="6:6" x14ac:dyDescent="0.25">
      <c r="F98307" s="9">
        <v>4</v>
      </c>
    </row>
    <row r="98308" spans="6:6" x14ac:dyDescent="0.25">
      <c r="F98308" s="9">
        <v>6</v>
      </c>
    </row>
    <row r="98309" spans="6:6" x14ac:dyDescent="0.25">
      <c r="F98309" s="9">
        <v>6</v>
      </c>
    </row>
    <row r="98310" spans="6:6" x14ac:dyDescent="0.25">
      <c r="F98310" s="9">
        <v>6</v>
      </c>
    </row>
    <row r="98311" spans="6:6" x14ac:dyDescent="0.25">
      <c r="F98311" s="9">
        <v>4</v>
      </c>
    </row>
    <row r="98312" spans="6:6" x14ac:dyDescent="0.25">
      <c r="F98312" s="9">
        <v>4</v>
      </c>
    </row>
    <row r="98313" spans="6:6" x14ac:dyDescent="0.25">
      <c r="F98313" s="9">
        <v>5</v>
      </c>
    </row>
    <row r="98314" spans="6:6" x14ac:dyDescent="0.25">
      <c r="F98314" s="9">
        <v>5</v>
      </c>
    </row>
    <row r="98315" spans="6:6" x14ac:dyDescent="0.25">
      <c r="F98315" s="9">
        <v>10</v>
      </c>
    </row>
    <row r="98316" spans="6:6" x14ac:dyDescent="0.25">
      <c r="F98316" s="9">
        <v>8</v>
      </c>
    </row>
    <row r="98317" spans="6:6" x14ac:dyDescent="0.25">
      <c r="F98317" s="9">
        <v>9</v>
      </c>
    </row>
    <row r="98318" spans="6:6" x14ac:dyDescent="0.25">
      <c r="F98318" s="9">
        <v>8</v>
      </c>
    </row>
    <row r="98319" spans="6:6" x14ac:dyDescent="0.25">
      <c r="F98319" s="9">
        <v>8</v>
      </c>
    </row>
    <row r="98320" spans="6:6" x14ac:dyDescent="0.25">
      <c r="F98320" s="9">
        <v>8</v>
      </c>
    </row>
    <row r="98321" spans="6:6" x14ac:dyDescent="0.25">
      <c r="F98321" s="9">
        <v>8</v>
      </c>
    </row>
    <row r="98322" spans="6:6" x14ac:dyDescent="0.25">
      <c r="F98322" s="9">
        <v>5</v>
      </c>
    </row>
    <row r="98323" spans="6:6" x14ac:dyDescent="0.25">
      <c r="F98323" s="9">
        <v>5</v>
      </c>
    </row>
    <row r="98324" spans="6:6" x14ac:dyDescent="0.25">
      <c r="F98324" s="9">
        <v>7</v>
      </c>
    </row>
    <row r="98325" spans="6:6" x14ac:dyDescent="0.25">
      <c r="F98325" s="9">
        <v>5</v>
      </c>
    </row>
    <row r="98326" spans="6:6" x14ac:dyDescent="0.25">
      <c r="F98326" s="9">
        <v>5</v>
      </c>
    </row>
    <row r="98327" spans="6:6" x14ac:dyDescent="0.25">
      <c r="F98327" s="9">
        <v>5</v>
      </c>
    </row>
    <row r="98328" spans="6:6" x14ac:dyDescent="0.25">
      <c r="F98328" s="9">
        <v>4</v>
      </c>
    </row>
    <row r="98329" spans="6:6" x14ac:dyDescent="0.25">
      <c r="F98329" s="9">
        <v>6</v>
      </c>
    </row>
    <row r="98330" spans="6:6" x14ac:dyDescent="0.25">
      <c r="F98330" s="9">
        <v>4</v>
      </c>
    </row>
    <row r="98331" spans="6:6" x14ac:dyDescent="0.25">
      <c r="F98331" s="9">
        <v>4</v>
      </c>
    </row>
    <row r="98332" spans="6:6" x14ac:dyDescent="0.25">
      <c r="F98332" s="9">
        <v>6</v>
      </c>
    </row>
    <row r="98333" spans="6:6" x14ac:dyDescent="0.25">
      <c r="F98333" s="9">
        <v>4</v>
      </c>
    </row>
    <row r="98334" spans="6:6" x14ac:dyDescent="0.25">
      <c r="F98334" s="9">
        <v>6</v>
      </c>
    </row>
    <row r="98335" spans="6:6" x14ac:dyDescent="0.25">
      <c r="F98335" s="9">
        <v>4</v>
      </c>
    </row>
    <row r="98336" spans="6:6" x14ac:dyDescent="0.25">
      <c r="F98336" s="9">
        <v>6</v>
      </c>
    </row>
    <row r="98337" spans="6:6" x14ac:dyDescent="0.25">
      <c r="F98337" s="9">
        <v>4</v>
      </c>
    </row>
    <row r="98338" spans="6:6" x14ac:dyDescent="0.25">
      <c r="F98338" s="9">
        <v>6</v>
      </c>
    </row>
    <row r="98339" spans="6:6" x14ac:dyDescent="0.25">
      <c r="F98339" s="9">
        <v>6</v>
      </c>
    </row>
    <row r="98340" spans="6:6" x14ac:dyDescent="0.25">
      <c r="F98340" s="9">
        <v>5</v>
      </c>
    </row>
    <row r="98341" spans="6:6" x14ac:dyDescent="0.25">
      <c r="F98341" s="9">
        <v>3</v>
      </c>
    </row>
    <row r="98342" spans="6:6" x14ac:dyDescent="0.25">
      <c r="F98342" s="9">
        <v>4</v>
      </c>
    </row>
    <row r="98343" spans="6:6" x14ac:dyDescent="0.25">
      <c r="F98343" s="9">
        <v>4</v>
      </c>
    </row>
    <row r="98344" spans="6:6" x14ac:dyDescent="0.25">
      <c r="F98344" s="9">
        <v>5</v>
      </c>
    </row>
    <row r="98345" spans="6:6" x14ac:dyDescent="0.25">
      <c r="F98345" s="9">
        <v>5</v>
      </c>
    </row>
    <row r="98346" spans="6:6" x14ac:dyDescent="0.25">
      <c r="F98346" s="9">
        <v>2</v>
      </c>
    </row>
    <row r="98347" spans="6:6" x14ac:dyDescent="0.25">
      <c r="F98347" s="9">
        <v>6</v>
      </c>
    </row>
    <row r="98348" spans="6:6" x14ac:dyDescent="0.25">
      <c r="F98348" s="9">
        <v>7</v>
      </c>
    </row>
    <row r="98349" spans="6:6" x14ac:dyDescent="0.25">
      <c r="F98349" s="9">
        <v>3</v>
      </c>
    </row>
    <row r="98350" spans="6:6" x14ac:dyDescent="0.25">
      <c r="F98350" s="9">
        <v>3</v>
      </c>
    </row>
    <row r="98351" spans="6:6" x14ac:dyDescent="0.25">
      <c r="F98351" s="9">
        <v>3</v>
      </c>
    </row>
    <row r="98352" spans="6:6" x14ac:dyDescent="0.25">
      <c r="F98352" s="9">
        <v>3</v>
      </c>
    </row>
    <row r="98353" spans="6:6" x14ac:dyDescent="0.25">
      <c r="F98353" s="9">
        <v>6</v>
      </c>
    </row>
    <row r="98354" spans="6:6" x14ac:dyDescent="0.25">
      <c r="F98354" s="9">
        <v>1</v>
      </c>
    </row>
    <row r="98355" spans="6:6" x14ac:dyDescent="0.25">
      <c r="F98355" s="9">
        <v>5</v>
      </c>
    </row>
    <row r="98356" spans="6:6" x14ac:dyDescent="0.25">
      <c r="F98356" s="9">
        <v>6</v>
      </c>
    </row>
    <row r="98357" spans="6:6" x14ac:dyDescent="0.25">
      <c r="F98357" s="9">
        <v>4</v>
      </c>
    </row>
    <row r="98358" spans="6:6" x14ac:dyDescent="0.25">
      <c r="F98358" s="9">
        <v>3</v>
      </c>
    </row>
    <row r="98359" spans="6:6" x14ac:dyDescent="0.25">
      <c r="F98359" s="9">
        <v>4</v>
      </c>
    </row>
    <row r="98360" spans="6:6" x14ac:dyDescent="0.25">
      <c r="F98360" s="9">
        <v>3</v>
      </c>
    </row>
    <row r="98361" spans="6:6" x14ac:dyDescent="0.25">
      <c r="F98361" s="9">
        <v>1</v>
      </c>
    </row>
    <row r="98362" spans="6:6" x14ac:dyDescent="0.25">
      <c r="F98362" s="9">
        <v>5</v>
      </c>
    </row>
    <row r="98363" spans="6:6" x14ac:dyDescent="0.25">
      <c r="F98363" s="9">
        <v>4</v>
      </c>
    </row>
    <row r="98364" spans="6:6" x14ac:dyDescent="0.25">
      <c r="F98364" s="9">
        <v>6</v>
      </c>
    </row>
    <row r="98365" spans="6:6" x14ac:dyDescent="0.25">
      <c r="F98365" s="9">
        <v>2</v>
      </c>
    </row>
    <row r="98366" spans="6:6" x14ac:dyDescent="0.25">
      <c r="F98366" s="9">
        <v>2</v>
      </c>
    </row>
    <row r="98367" spans="6:6" x14ac:dyDescent="0.25">
      <c r="F98367" s="9">
        <v>4</v>
      </c>
    </row>
    <row r="98368" spans="6:6" x14ac:dyDescent="0.25">
      <c r="F98368" s="9">
        <v>3</v>
      </c>
    </row>
    <row r="98369" spans="6:6" x14ac:dyDescent="0.25">
      <c r="F98369" s="9">
        <v>2</v>
      </c>
    </row>
    <row r="98370" spans="6:6" x14ac:dyDescent="0.25">
      <c r="F98370" s="9">
        <v>7</v>
      </c>
    </row>
    <row r="98371" spans="6:6" x14ac:dyDescent="0.25">
      <c r="F98371" s="9">
        <v>8</v>
      </c>
    </row>
    <row r="98372" spans="6:6" x14ac:dyDescent="0.25">
      <c r="F98372" s="9">
        <v>7</v>
      </c>
    </row>
    <row r="98373" spans="6:6" x14ac:dyDescent="0.25">
      <c r="F98373" s="9">
        <v>6</v>
      </c>
    </row>
    <row r="98374" spans="6:6" x14ac:dyDescent="0.25">
      <c r="F98374" s="9">
        <v>3</v>
      </c>
    </row>
    <row r="98375" spans="6:6" x14ac:dyDescent="0.25">
      <c r="F98375" s="9">
        <v>6</v>
      </c>
    </row>
    <row r="98376" spans="6:6" x14ac:dyDescent="0.25">
      <c r="F98376" s="9">
        <v>3</v>
      </c>
    </row>
    <row r="98377" spans="6:6" x14ac:dyDescent="0.25">
      <c r="F98377" s="9">
        <v>2</v>
      </c>
    </row>
    <row r="98378" spans="6:6" x14ac:dyDescent="0.25">
      <c r="F98378" s="9">
        <v>5</v>
      </c>
    </row>
    <row r="98379" spans="6:6" x14ac:dyDescent="0.25">
      <c r="F98379" s="9">
        <v>3</v>
      </c>
    </row>
    <row r="98380" spans="6:6" x14ac:dyDescent="0.25">
      <c r="F98380" s="9">
        <v>4</v>
      </c>
    </row>
    <row r="98381" spans="6:6" x14ac:dyDescent="0.25">
      <c r="F98381" s="9">
        <v>2</v>
      </c>
    </row>
    <row r="98382" spans="6:6" x14ac:dyDescent="0.25">
      <c r="F98382" s="9">
        <v>4</v>
      </c>
    </row>
    <row r="98383" spans="6:6" x14ac:dyDescent="0.25">
      <c r="F98383" s="9">
        <v>3</v>
      </c>
    </row>
    <row r="98384" spans="6:6" x14ac:dyDescent="0.25">
      <c r="F98384" s="9">
        <v>3</v>
      </c>
    </row>
    <row r="98385" spans="6:6" x14ac:dyDescent="0.25">
      <c r="F98385" s="9">
        <v>4</v>
      </c>
    </row>
    <row r="98386" spans="6:6" x14ac:dyDescent="0.25">
      <c r="F98386" s="9">
        <v>3</v>
      </c>
    </row>
    <row r="98387" spans="6:6" x14ac:dyDescent="0.25">
      <c r="F98387" s="9">
        <v>2</v>
      </c>
    </row>
    <row r="98388" spans="6:6" x14ac:dyDescent="0.25">
      <c r="F98388" s="9">
        <v>3</v>
      </c>
    </row>
    <row r="98389" spans="6:6" x14ac:dyDescent="0.25">
      <c r="F98389" s="9">
        <v>7</v>
      </c>
    </row>
    <row r="98390" spans="6:6" x14ac:dyDescent="0.25">
      <c r="F98390" s="9">
        <v>6</v>
      </c>
    </row>
    <row r="98391" spans="6:6" x14ac:dyDescent="0.25">
      <c r="F98391" s="9">
        <v>5</v>
      </c>
    </row>
    <row r="98392" spans="6:6" x14ac:dyDescent="0.25">
      <c r="F98392" s="9">
        <v>5</v>
      </c>
    </row>
    <row r="98393" spans="6:6" x14ac:dyDescent="0.25">
      <c r="F98393" s="9">
        <v>4</v>
      </c>
    </row>
    <row r="98394" spans="6:6" x14ac:dyDescent="0.25">
      <c r="F98394" s="9">
        <v>5</v>
      </c>
    </row>
    <row r="98395" spans="6:6" x14ac:dyDescent="0.25">
      <c r="F98395" s="9">
        <v>5</v>
      </c>
    </row>
    <row r="98396" spans="6:6" x14ac:dyDescent="0.25">
      <c r="F98396" s="9">
        <v>2</v>
      </c>
    </row>
    <row r="98397" spans="6:6" x14ac:dyDescent="0.25">
      <c r="F98397" s="9">
        <v>3</v>
      </c>
    </row>
    <row r="98398" spans="6:6" x14ac:dyDescent="0.25">
      <c r="F98398" s="9">
        <v>2</v>
      </c>
    </row>
    <row r="98399" spans="6:6" x14ac:dyDescent="0.25">
      <c r="F98399" s="9">
        <v>3</v>
      </c>
    </row>
    <row r="98400" spans="6:6" x14ac:dyDescent="0.25">
      <c r="F98400" s="9">
        <v>4</v>
      </c>
    </row>
    <row r="98401" spans="6:6" x14ac:dyDescent="0.25">
      <c r="F98401" s="9">
        <v>4</v>
      </c>
    </row>
    <row r="98402" spans="6:6" x14ac:dyDescent="0.25">
      <c r="F98402" s="9">
        <v>2</v>
      </c>
    </row>
    <row r="98403" spans="6:6" x14ac:dyDescent="0.25">
      <c r="F98403" s="9">
        <v>3</v>
      </c>
    </row>
    <row r="98404" spans="6:6" x14ac:dyDescent="0.25">
      <c r="F98404" s="9">
        <v>3</v>
      </c>
    </row>
    <row r="98405" spans="6:6" x14ac:dyDescent="0.25">
      <c r="F98405" s="9">
        <v>3</v>
      </c>
    </row>
    <row r="98406" spans="6:6" x14ac:dyDescent="0.25">
      <c r="F98406" s="9">
        <v>2</v>
      </c>
    </row>
    <row r="98407" spans="6:6" x14ac:dyDescent="0.25">
      <c r="F98407" s="9">
        <v>3</v>
      </c>
    </row>
    <row r="98408" spans="6:6" x14ac:dyDescent="0.25">
      <c r="F98408" s="9">
        <v>3</v>
      </c>
    </row>
    <row r="98409" spans="6:6" x14ac:dyDescent="0.25">
      <c r="F98409" s="9">
        <v>3</v>
      </c>
    </row>
    <row r="98410" spans="6:6" x14ac:dyDescent="0.25">
      <c r="F98410" s="9">
        <v>4</v>
      </c>
    </row>
    <row r="98411" spans="6:6" x14ac:dyDescent="0.25">
      <c r="F98411" s="9">
        <v>4</v>
      </c>
    </row>
    <row r="98412" spans="6:6" x14ac:dyDescent="0.25">
      <c r="F98412" s="9">
        <v>2</v>
      </c>
    </row>
    <row r="98413" spans="6:6" x14ac:dyDescent="0.25">
      <c r="F98413" s="9">
        <v>3</v>
      </c>
    </row>
    <row r="98414" spans="6:6" x14ac:dyDescent="0.25">
      <c r="F98414" s="9">
        <v>1</v>
      </c>
    </row>
    <row r="98415" spans="6:6" x14ac:dyDescent="0.25">
      <c r="F98415" s="9">
        <v>1</v>
      </c>
    </row>
    <row r="98416" spans="6:6" x14ac:dyDescent="0.25">
      <c r="F98416" s="9">
        <v>1</v>
      </c>
    </row>
    <row r="98417" spans="6:6" x14ac:dyDescent="0.25">
      <c r="F98417" s="9" t="s">
        <v>133</v>
      </c>
    </row>
    <row r="98418" spans="6:6" x14ac:dyDescent="0.25">
      <c r="F98418" s="6" t="s">
        <v>172</v>
      </c>
    </row>
    <row r="98419" spans="6:6" x14ac:dyDescent="0.25">
      <c r="F98419" s="9" t="s">
        <v>263</v>
      </c>
    </row>
    <row r="98420" spans="6:6" x14ac:dyDescent="0.25">
      <c r="F98420" s="33" t="s">
        <v>264</v>
      </c>
    </row>
    <row r="114689" spans="6:6" x14ac:dyDescent="0.25">
      <c r="F114689" s="84"/>
    </row>
    <row r="114690" spans="6:6" x14ac:dyDescent="0.25">
      <c r="F114690" s="46"/>
    </row>
    <row r="114691" spans="6:6" x14ac:dyDescent="0.25">
      <c r="F114691" s="9">
        <v>4</v>
      </c>
    </row>
    <row r="114692" spans="6:6" x14ac:dyDescent="0.25">
      <c r="F114692" s="9">
        <v>6</v>
      </c>
    </row>
    <row r="114693" spans="6:6" x14ac:dyDescent="0.25">
      <c r="F114693" s="9">
        <v>6</v>
      </c>
    </row>
    <row r="114694" spans="6:6" x14ac:dyDescent="0.25">
      <c r="F114694" s="9">
        <v>6</v>
      </c>
    </row>
    <row r="114695" spans="6:6" x14ac:dyDescent="0.25">
      <c r="F114695" s="9">
        <v>4</v>
      </c>
    </row>
    <row r="114696" spans="6:6" x14ac:dyDescent="0.25">
      <c r="F114696" s="9">
        <v>4</v>
      </c>
    </row>
    <row r="114697" spans="6:6" x14ac:dyDescent="0.25">
      <c r="F114697" s="9">
        <v>5</v>
      </c>
    </row>
    <row r="114698" spans="6:6" x14ac:dyDescent="0.25">
      <c r="F114698" s="9">
        <v>5</v>
      </c>
    </row>
    <row r="114699" spans="6:6" x14ac:dyDescent="0.25">
      <c r="F114699" s="9">
        <v>10</v>
      </c>
    </row>
    <row r="114700" spans="6:6" x14ac:dyDescent="0.25">
      <c r="F114700" s="9">
        <v>8</v>
      </c>
    </row>
    <row r="114701" spans="6:6" x14ac:dyDescent="0.25">
      <c r="F114701" s="9">
        <v>9</v>
      </c>
    </row>
    <row r="114702" spans="6:6" x14ac:dyDescent="0.25">
      <c r="F114702" s="9">
        <v>8</v>
      </c>
    </row>
    <row r="114703" spans="6:6" x14ac:dyDescent="0.25">
      <c r="F114703" s="9">
        <v>8</v>
      </c>
    </row>
    <row r="114704" spans="6:6" x14ac:dyDescent="0.25">
      <c r="F114704" s="9">
        <v>8</v>
      </c>
    </row>
    <row r="114705" spans="6:6" x14ac:dyDescent="0.25">
      <c r="F114705" s="9">
        <v>8</v>
      </c>
    </row>
    <row r="114706" spans="6:6" x14ac:dyDescent="0.25">
      <c r="F114706" s="9">
        <v>5</v>
      </c>
    </row>
    <row r="114707" spans="6:6" x14ac:dyDescent="0.25">
      <c r="F114707" s="9">
        <v>5</v>
      </c>
    </row>
    <row r="114708" spans="6:6" x14ac:dyDescent="0.25">
      <c r="F114708" s="9">
        <v>7</v>
      </c>
    </row>
    <row r="114709" spans="6:6" x14ac:dyDescent="0.25">
      <c r="F114709" s="9">
        <v>5</v>
      </c>
    </row>
    <row r="114710" spans="6:6" x14ac:dyDescent="0.25">
      <c r="F114710" s="9">
        <v>5</v>
      </c>
    </row>
    <row r="114711" spans="6:6" x14ac:dyDescent="0.25">
      <c r="F114711" s="9">
        <v>5</v>
      </c>
    </row>
    <row r="114712" spans="6:6" x14ac:dyDescent="0.25">
      <c r="F114712" s="9">
        <v>4</v>
      </c>
    </row>
    <row r="114713" spans="6:6" x14ac:dyDescent="0.25">
      <c r="F114713" s="9">
        <v>6</v>
      </c>
    </row>
    <row r="114714" spans="6:6" x14ac:dyDescent="0.25">
      <c r="F114714" s="9">
        <v>4</v>
      </c>
    </row>
    <row r="114715" spans="6:6" x14ac:dyDescent="0.25">
      <c r="F114715" s="9">
        <v>4</v>
      </c>
    </row>
    <row r="114716" spans="6:6" x14ac:dyDescent="0.25">
      <c r="F114716" s="9">
        <v>6</v>
      </c>
    </row>
    <row r="114717" spans="6:6" x14ac:dyDescent="0.25">
      <c r="F114717" s="9">
        <v>4</v>
      </c>
    </row>
    <row r="114718" spans="6:6" x14ac:dyDescent="0.25">
      <c r="F114718" s="9">
        <v>6</v>
      </c>
    </row>
    <row r="114719" spans="6:6" x14ac:dyDescent="0.25">
      <c r="F114719" s="9">
        <v>4</v>
      </c>
    </row>
    <row r="114720" spans="6:6" x14ac:dyDescent="0.25">
      <c r="F114720" s="9">
        <v>6</v>
      </c>
    </row>
    <row r="114721" spans="6:6" x14ac:dyDescent="0.25">
      <c r="F114721" s="9">
        <v>4</v>
      </c>
    </row>
    <row r="114722" spans="6:6" x14ac:dyDescent="0.25">
      <c r="F114722" s="9">
        <v>6</v>
      </c>
    </row>
    <row r="114723" spans="6:6" x14ac:dyDescent="0.25">
      <c r="F114723" s="9">
        <v>6</v>
      </c>
    </row>
    <row r="114724" spans="6:6" x14ac:dyDescent="0.25">
      <c r="F114724" s="9">
        <v>5</v>
      </c>
    </row>
    <row r="114725" spans="6:6" x14ac:dyDescent="0.25">
      <c r="F114725" s="9">
        <v>3</v>
      </c>
    </row>
    <row r="114726" spans="6:6" x14ac:dyDescent="0.25">
      <c r="F114726" s="9">
        <v>4</v>
      </c>
    </row>
    <row r="114727" spans="6:6" x14ac:dyDescent="0.25">
      <c r="F114727" s="9">
        <v>4</v>
      </c>
    </row>
    <row r="114728" spans="6:6" x14ac:dyDescent="0.25">
      <c r="F114728" s="9">
        <v>5</v>
      </c>
    </row>
    <row r="114729" spans="6:6" x14ac:dyDescent="0.25">
      <c r="F114729" s="9">
        <v>5</v>
      </c>
    </row>
    <row r="114730" spans="6:6" x14ac:dyDescent="0.25">
      <c r="F114730" s="9">
        <v>2</v>
      </c>
    </row>
    <row r="114731" spans="6:6" x14ac:dyDescent="0.25">
      <c r="F114731" s="9">
        <v>6</v>
      </c>
    </row>
    <row r="114732" spans="6:6" x14ac:dyDescent="0.25">
      <c r="F114732" s="9">
        <v>7</v>
      </c>
    </row>
    <row r="114733" spans="6:6" x14ac:dyDescent="0.25">
      <c r="F114733" s="9">
        <v>3</v>
      </c>
    </row>
    <row r="114734" spans="6:6" x14ac:dyDescent="0.25">
      <c r="F114734" s="9">
        <v>3</v>
      </c>
    </row>
    <row r="114735" spans="6:6" x14ac:dyDescent="0.25">
      <c r="F114735" s="9">
        <v>3</v>
      </c>
    </row>
    <row r="114736" spans="6:6" x14ac:dyDescent="0.25">
      <c r="F114736" s="9">
        <v>3</v>
      </c>
    </row>
    <row r="114737" spans="6:6" x14ac:dyDescent="0.25">
      <c r="F114737" s="9">
        <v>6</v>
      </c>
    </row>
    <row r="114738" spans="6:6" x14ac:dyDescent="0.25">
      <c r="F114738" s="9">
        <v>1</v>
      </c>
    </row>
    <row r="114739" spans="6:6" x14ac:dyDescent="0.25">
      <c r="F114739" s="9">
        <v>5</v>
      </c>
    </row>
    <row r="114740" spans="6:6" x14ac:dyDescent="0.25">
      <c r="F114740" s="9">
        <v>6</v>
      </c>
    </row>
    <row r="114741" spans="6:6" x14ac:dyDescent="0.25">
      <c r="F114741" s="9">
        <v>4</v>
      </c>
    </row>
    <row r="114742" spans="6:6" x14ac:dyDescent="0.25">
      <c r="F114742" s="9">
        <v>3</v>
      </c>
    </row>
    <row r="114743" spans="6:6" x14ac:dyDescent="0.25">
      <c r="F114743" s="9">
        <v>4</v>
      </c>
    </row>
    <row r="114744" spans="6:6" x14ac:dyDescent="0.25">
      <c r="F114744" s="9">
        <v>3</v>
      </c>
    </row>
    <row r="114745" spans="6:6" x14ac:dyDescent="0.25">
      <c r="F114745" s="9">
        <v>1</v>
      </c>
    </row>
    <row r="114746" spans="6:6" x14ac:dyDescent="0.25">
      <c r="F114746" s="9">
        <v>5</v>
      </c>
    </row>
    <row r="114747" spans="6:6" x14ac:dyDescent="0.25">
      <c r="F114747" s="9">
        <v>4</v>
      </c>
    </row>
    <row r="114748" spans="6:6" x14ac:dyDescent="0.25">
      <c r="F114748" s="9">
        <v>6</v>
      </c>
    </row>
    <row r="114749" spans="6:6" x14ac:dyDescent="0.25">
      <c r="F114749" s="9">
        <v>2</v>
      </c>
    </row>
    <row r="114750" spans="6:6" x14ac:dyDescent="0.25">
      <c r="F114750" s="9">
        <v>2</v>
      </c>
    </row>
    <row r="114751" spans="6:6" x14ac:dyDescent="0.25">
      <c r="F114751" s="9">
        <v>4</v>
      </c>
    </row>
    <row r="114752" spans="6:6" x14ac:dyDescent="0.25">
      <c r="F114752" s="9">
        <v>3</v>
      </c>
    </row>
    <row r="114753" spans="6:6" x14ac:dyDescent="0.25">
      <c r="F114753" s="9">
        <v>2</v>
      </c>
    </row>
    <row r="114754" spans="6:6" x14ac:dyDescent="0.25">
      <c r="F114754" s="9">
        <v>7</v>
      </c>
    </row>
    <row r="114755" spans="6:6" x14ac:dyDescent="0.25">
      <c r="F114755" s="9">
        <v>8</v>
      </c>
    </row>
    <row r="114756" spans="6:6" x14ac:dyDescent="0.25">
      <c r="F114756" s="9">
        <v>7</v>
      </c>
    </row>
    <row r="114757" spans="6:6" x14ac:dyDescent="0.25">
      <c r="F114757" s="9">
        <v>6</v>
      </c>
    </row>
    <row r="114758" spans="6:6" x14ac:dyDescent="0.25">
      <c r="F114758" s="9">
        <v>3</v>
      </c>
    </row>
    <row r="114759" spans="6:6" x14ac:dyDescent="0.25">
      <c r="F114759" s="9">
        <v>6</v>
      </c>
    </row>
    <row r="114760" spans="6:6" x14ac:dyDescent="0.25">
      <c r="F114760" s="9">
        <v>3</v>
      </c>
    </row>
    <row r="114761" spans="6:6" x14ac:dyDescent="0.25">
      <c r="F114761" s="9">
        <v>2</v>
      </c>
    </row>
    <row r="114762" spans="6:6" x14ac:dyDescent="0.25">
      <c r="F114762" s="9">
        <v>5</v>
      </c>
    </row>
    <row r="114763" spans="6:6" x14ac:dyDescent="0.25">
      <c r="F114763" s="9">
        <v>3</v>
      </c>
    </row>
    <row r="114764" spans="6:6" x14ac:dyDescent="0.25">
      <c r="F114764" s="9">
        <v>4</v>
      </c>
    </row>
    <row r="114765" spans="6:6" x14ac:dyDescent="0.25">
      <c r="F114765" s="9">
        <v>2</v>
      </c>
    </row>
    <row r="114766" spans="6:6" x14ac:dyDescent="0.25">
      <c r="F114766" s="9">
        <v>4</v>
      </c>
    </row>
    <row r="114767" spans="6:6" x14ac:dyDescent="0.25">
      <c r="F114767" s="9">
        <v>3</v>
      </c>
    </row>
    <row r="114768" spans="6:6" x14ac:dyDescent="0.25">
      <c r="F114768" s="9">
        <v>3</v>
      </c>
    </row>
    <row r="114769" spans="6:6" x14ac:dyDescent="0.25">
      <c r="F114769" s="9">
        <v>4</v>
      </c>
    </row>
    <row r="114770" spans="6:6" x14ac:dyDescent="0.25">
      <c r="F114770" s="9">
        <v>3</v>
      </c>
    </row>
    <row r="114771" spans="6:6" x14ac:dyDescent="0.25">
      <c r="F114771" s="9">
        <v>2</v>
      </c>
    </row>
    <row r="114772" spans="6:6" x14ac:dyDescent="0.25">
      <c r="F114772" s="9">
        <v>3</v>
      </c>
    </row>
    <row r="114773" spans="6:6" x14ac:dyDescent="0.25">
      <c r="F114773" s="9">
        <v>7</v>
      </c>
    </row>
    <row r="114774" spans="6:6" x14ac:dyDescent="0.25">
      <c r="F114774" s="9">
        <v>6</v>
      </c>
    </row>
    <row r="114775" spans="6:6" x14ac:dyDescent="0.25">
      <c r="F114775" s="9">
        <v>5</v>
      </c>
    </row>
    <row r="114776" spans="6:6" x14ac:dyDescent="0.25">
      <c r="F114776" s="9">
        <v>5</v>
      </c>
    </row>
    <row r="114777" spans="6:6" x14ac:dyDescent="0.25">
      <c r="F114777" s="9">
        <v>4</v>
      </c>
    </row>
    <row r="114778" spans="6:6" x14ac:dyDescent="0.25">
      <c r="F114778" s="9">
        <v>5</v>
      </c>
    </row>
    <row r="114779" spans="6:6" x14ac:dyDescent="0.25">
      <c r="F114779" s="9">
        <v>5</v>
      </c>
    </row>
    <row r="114780" spans="6:6" x14ac:dyDescent="0.25">
      <c r="F114780" s="9">
        <v>2</v>
      </c>
    </row>
    <row r="114781" spans="6:6" x14ac:dyDescent="0.25">
      <c r="F114781" s="9">
        <v>3</v>
      </c>
    </row>
    <row r="114782" spans="6:6" x14ac:dyDescent="0.25">
      <c r="F114782" s="9">
        <v>2</v>
      </c>
    </row>
    <row r="114783" spans="6:6" x14ac:dyDescent="0.25">
      <c r="F114783" s="9">
        <v>3</v>
      </c>
    </row>
    <row r="114784" spans="6:6" x14ac:dyDescent="0.25">
      <c r="F114784" s="9">
        <v>4</v>
      </c>
    </row>
    <row r="114785" spans="6:6" x14ac:dyDescent="0.25">
      <c r="F114785" s="9">
        <v>4</v>
      </c>
    </row>
    <row r="114786" spans="6:6" x14ac:dyDescent="0.25">
      <c r="F114786" s="9">
        <v>2</v>
      </c>
    </row>
    <row r="114787" spans="6:6" x14ac:dyDescent="0.25">
      <c r="F114787" s="9">
        <v>3</v>
      </c>
    </row>
    <row r="114788" spans="6:6" x14ac:dyDescent="0.25">
      <c r="F114788" s="9">
        <v>3</v>
      </c>
    </row>
    <row r="114789" spans="6:6" x14ac:dyDescent="0.25">
      <c r="F114789" s="9">
        <v>3</v>
      </c>
    </row>
    <row r="114790" spans="6:6" x14ac:dyDescent="0.25">
      <c r="F114790" s="9">
        <v>2</v>
      </c>
    </row>
    <row r="114791" spans="6:6" x14ac:dyDescent="0.25">
      <c r="F114791" s="9">
        <v>3</v>
      </c>
    </row>
    <row r="114792" spans="6:6" x14ac:dyDescent="0.25">
      <c r="F114792" s="9">
        <v>3</v>
      </c>
    </row>
    <row r="114793" spans="6:6" x14ac:dyDescent="0.25">
      <c r="F114793" s="9">
        <v>3</v>
      </c>
    </row>
    <row r="114794" spans="6:6" x14ac:dyDescent="0.25">
      <c r="F114794" s="9">
        <v>4</v>
      </c>
    </row>
    <row r="114795" spans="6:6" x14ac:dyDescent="0.25">
      <c r="F114795" s="9">
        <v>4</v>
      </c>
    </row>
    <row r="114796" spans="6:6" x14ac:dyDescent="0.25">
      <c r="F114796" s="9">
        <v>2</v>
      </c>
    </row>
    <row r="114797" spans="6:6" x14ac:dyDescent="0.25">
      <c r="F114797" s="9">
        <v>3</v>
      </c>
    </row>
    <row r="114798" spans="6:6" x14ac:dyDescent="0.25">
      <c r="F114798" s="9">
        <v>1</v>
      </c>
    </row>
    <row r="114799" spans="6:6" x14ac:dyDescent="0.25">
      <c r="F114799" s="9">
        <v>1</v>
      </c>
    </row>
    <row r="114800" spans="6:6" x14ac:dyDescent="0.25">
      <c r="F114800" s="9">
        <v>1</v>
      </c>
    </row>
    <row r="114801" spans="6:6" x14ac:dyDescent="0.25">
      <c r="F114801" s="9" t="s">
        <v>133</v>
      </c>
    </row>
    <row r="114802" spans="6:6" x14ac:dyDescent="0.25">
      <c r="F114802" s="6" t="s">
        <v>172</v>
      </c>
    </row>
    <row r="114803" spans="6:6" x14ac:dyDescent="0.25">
      <c r="F114803" s="9" t="s">
        <v>263</v>
      </c>
    </row>
    <row r="114804" spans="6:6" x14ac:dyDescent="0.25">
      <c r="F114804" s="33" t="s">
        <v>264</v>
      </c>
    </row>
    <row r="131073" spans="6:6" x14ac:dyDescent="0.25">
      <c r="F131073" s="84"/>
    </row>
    <row r="131074" spans="6:6" x14ac:dyDescent="0.25">
      <c r="F131074" s="46"/>
    </row>
    <row r="131075" spans="6:6" x14ac:dyDescent="0.25">
      <c r="F131075" s="9">
        <v>4</v>
      </c>
    </row>
    <row r="131076" spans="6:6" x14ac:dyDescent="0.25">
      <c r="F131076" s="9">
        <v>6</v>
      </c>
    </row>
    <row r="131077" spans="6:6" x14ac:dyDescent="0.25">
      <c r="F131077" s="9">
        <v>6</v>
      </c>
    </row>
    <row r="131078" spans="6:6" x14ac:dyDescent="0.25">
      <c r="F131078" s="9">
        <v>6</v>
      </c>
    </row>
    <row r="131079" spans="6:6" x14ac:dyDescent="0.25">
      <c r="F131079" s="9">
        <v>4</v>
      </c>
    </row>
    <row r="131080" spans="6:6" x14ac:dyDescent="0.25">
      <c r="F131080" s="9">
        <v>4</v>
      </c>
    </row>
    <row r="131081" spans="6:6" x14ac:dyDescent="0.25">
      <c r="F131081" s="9">
        <v>5</v>
      </c>
    </row>
    <row r="131082" spans="6:6" x14ac:dyDescent="0.25">
      <c r="F131082" s="9">
        <v>5</v>
      </c>
    </row>
    <row r="131083" spans="6:6" x14ac:dyDescent="0.25">
      <c r="F131083" s="9">
        <v>10</v>
      </c>
    </row>
    <row r="131084" spans="6:6" x14ac:dyDescent="0.25">
      <c r="F131084" s="9">
        <v>8</v>
      </c>
    </row>
    <row r="131085" spans="6:6" x14ac:dyDescent="0.25">
      <c r="F131085" s="9">
        <v>9</v>
      </c>
    </row>
    <row r="131086" spans="6:6" x14ac:dyDescent="0.25">
      <c r="F131086" s="9">
        <v>8</v>
      </c>
    </row>
    <row r="131087" spans="6:6" x14ac:dyDescent="0.25">
      <c r="F131087" s="9">
        <v>8</v>
      </c>
    </row>
    <row r="131088" spans="6:6" x14ac:dyDescent="0.25">
      <c r="F131088" s="9">
        <v>8</v>
      </c>
    </row>
    <row r="131089" spans="6:6" x14ac:dyDescent="0.25">
      <c r="F131089" s="9">
        <v>8</v>
      </c>
    </row>
    <row r="131090" spans="6:6" x14ac:dyDescent="0.25">
      <c r="F131090" s="9">
        <v>5</v>
      </c>
    </row>
    <row r="131091" spans="6:6" x14ac:dyDescent="0.25">
      <c r="F131091" s="9">
        <v>5</v>
      </c>
    </row>
    <row r="131092" spans="6:6" x14ac:dyDescent="0.25">
      <c r="F131092" s="9">
        <v>7</v>
      </c>
    </row>
    <row r="131093" spans="6:6" x14ac:dyDescent="0.25">
      <c r="F131093" s="9">
        <v>5</v>
      </c>
    </row>
    <row r="131094" spans="6:6" x14ac:dyDescent="0.25">
      <c r="F131094" s="9">
        <v>5</v>
      </c>
    </row>
    <row r="131095" spans="6:6" x14ac:dyDescent="0.25">
      <c r="F131095" s="9">
        <v>5</v>
      </c>
    </row>
    <row r="131096" spans="6:6" x14ac:dyDescent="0.25">
      <c r="F131096" s="9">
        <v>4</v>
      </c>
    </row>
    <row r="131097" spans="6:6" x14ac:dyDescent="0.25">
      <c r="F131097" s="9">
        <v>6</v>
      </c>
    </row>
    <row r="131098" spans="6:6" x14ac:dyDescent="0.25">
      <c r="F131098" s="9">
        <v>4</v>
      </c>
    </row>
    <row r="131099" spans="6:6" x14ac:dyDescent="0.25">
      <c r="F131099" s="9">
        <v>4</v>
      </c>
    </row>
    <row r="131100" spans="6:6" x14ac:dyDescent="0.25">
      <c r="F131100" s="9">
        <v>6</v>
      </c>
    </row>
    <row r="131101" spans="6:6" x14ac:dyDescent="0.25">
      <c r="F131101" s="9">
        <v>4</v>
      </c>
    </row>
    <row r="131102" spans="6:6" x14ac:dyDescent="0.25">
      <c r="F131102" s="9">
        <v>6</v>
      </c>
    </row>
    <row r="131103" spans="6:6" x14ac:dyDescent="0.25">
      <c r="F131103" s="9">
        <v>4</v>
      </c>
    </row>
    <row r="131104" spans="6:6" x14ac:dyDescent="0.25">
      <c r="F131104" s="9">
        <v>6</v>
      </c>
    </row>
    <row r="131105" spans="6:6" x14ac:dyDescent="0.25">
      <c r="F131105" s="9">
        <v>4</v>
      </c>
    </row>
    <row r="131106" spans="6:6" x14ac:dyDescent="0.25">
      <c r="F131106" s="9">
        <v>6</v>
      </c>
    </row>
    <row r="131107" spans="6:6" x14ac:dyDescent="0.25">
      <c r="F131107" s="9">
        <v>6</v>
      </c>
    </row>
    <row r="131108" spans="6:6" x14ac:dyDescent="0.25">
      <c r="F131108" s="9">
        <v>5</v>
      </c>
    </row>
    <row r="131109" spans="6:6" x14ac:dyDescent="0.25">
      <c r="F131109" s="9">
        <v>3</v>
      </c>
    </row>
    <row r="131110" spans="6:6" x14ac:dyDescent="0.25">
      <c r="F131110" s="9">
        <v>4</v>
      </c>
    </row>
    <row r="131111" spans="6:6" x14ac:dyDescent="0.25">
      <c r="F131111" s="9">
        <v>4</v>
      </c>
    </row>
    <row r="131112" spans="6:6" x14ac:dyDescent="0.25">
      <c r="F131112" s="9">
        <v>5</v>
      </c>
    </row>
    <row r="131113" spans="6:6" x14ac:dyDescent="0.25">
      <c r="F131113" s="9">
        <v>5</v>
      </c>
    </row>
    <row r="131114" spans="6:6" x14ac:dyDescent="0.25">
      <c r="F131114" s="9">
        <v>2</v>
      </c>
    </row>
    <row r="131115" spans="6:6" x14ac:dyDescent="0.25">
      <c r="F131115" s="9">
        <v>6</v>
      </c>
    </row>
    <row r="131116" spans="6:6" x14ac:dyDescent="0.25">
      <c r="F131116" s="9">
        <v>7</v>
      </c>
    </row>
    <row r="131117" spans="6:6" x14ac:dyDescent="0.25">
      <c r="F131117" s="9">
        <v>3</v>
      </c>
    </row>
    <row r="131118" spans="6:6" x14ac:dyDescent="0.25">
      <c r="F131118" s="9">
        <v>3</v>
      </c>
    </row>
    <row r="131119" spans="6:6" x14ac:dyDescent="0.25">
      <c r="F131119" s="9">
        <v>3</v>
      </c>
    </row>
    <row r="131120" spans="6:6" x14ac:dyDescent="0.25">
      <c r="F131120" s="9">
        <v>3</v>
      </c>
    </row>
    <row r="131121" spans="6:6" x14ac:dyDescent="0.25">
      <c r="F131121" s="9">
        <v>6</v>
      </c>
    </row>
    <row r="131122" spans="6:6" x14ac:dyDescent="0.25">
      <c r="F131122" s="9">
        <v>1</v>
      </c>
    </row>
    <row r="131123" spans="6:6" x14ac:dyDescent="0.25">
      <c r="F131123" s="9">
        <v>5</v>
      </c>
    </row>
    <row r="131124" spans="6:6" x14ac:dyDescent="0.25">
      <c r="F131124" s="9">
        <v>6</v>
      </c>
    </row>
    <row r="131125" spans="6:6" x14ac:dyDescent="0.25">
      <c r="F131125" s="9">
        <v>4</v>
      </c>
    </row>
    <row r="131126" spans="6:6" x14ac:dyDescent="0.25">
      <c r="F131126" s="9">
        <v>3</v>
      </c>
    </row>
    <row r="131127" spans="6:6" x14ac:dyDescent="0.25">
      <c r="F131127" s="9">
        <v>4</v>
      </c>
    </row>
    <row r="131128" spans="6:6" x14ac:dyDescent="0.25">
      <c r="F131128" s="9">
        <v>3</v>
      </c>
    </row>
    <row r="131129" spans="6:6" x14ac:dyDescent="0.25">
      <c r="F131129" s="9">
        <v>1</v>
      </c>
    </row>
    <row r="131130" spans="6:6" x14ac:dyDescent="0.25">
      <c r="F131130" s="9">
        <v>5</v>
      </c>
    </row>
    <row r="131131" spans="6:6" x14ac:dyDescent="0.25">
      <c r="F131131" s="9">
        <v>4</v>
      </c>
    </row>
    <row r="131132" spans="6:6" x14ac:dyDescent="0.25">
      <c r="F131132" s="9">
        <v>6</v>
      </c>
    </row>
    <row r="131133" spans="6:6" x14ac:dyDescent="0.25">
      <c r="F131133" s="9">
        <v>2</v>
      </c>
    </row>
    <row r="131134" spans="6:6" x14ac:dyDescent="0.25">
      <c r="F131134" s="9">
        <v>2</v>
      </c>
    </row>
    <row r="131135" spans="6:6" x14ac:dyDescent="0.25">
      <c r="F131135" s="9">
        <v>4</v>
      </c>
    </row>
    <row r="131136" spans="6:6" x14ac:dyDescent="0.25">
      <c r="F131136" s="9">
        <v>3</v>
      </c>
    </row>
    <row r="131137" spans="6:6" x14ac:dyDescent="0.25">
      <c r="F131137" s="9">
        <v>2</v>
      </c>
    </row>
    <row r="131138" spans="6:6" x14ac:dyDescent="0.25">
      <c r="F131138" s="9">
        <v>7</v>
      </c>
    </row>
    <row r="131139" spans="6:6" x14ac:dyDescent="0.25">
      <c r="F131139" s="9">
        <v>8</v>
      </c>
    </row>
    <row r="131140" spans="6:6" x14ac:dyDescent="0.25">
      <c r="F131140" s="9">
        <v>7</v>
      </c>
    </row>
    <row r="131141" spans="6:6" x14ac:dyDescent="0.25">
      <c r="F131141" s="9">
        <v>6</v>
      </c>
    </row>
    <row r="131142" spans="6:6" x14ac:dyDescent="0.25">
      <c r="F131142" s="9">
        <v>3</v>
      </c>
    </row>
    <row r="131143" spans="6:6" x14ac:dyDescent="0.25">
      <c r="F131143" s="9">
        <v>6</v>
      </c>
    </row>
    <row r="131144" spans="6:6" x14ac:dyDescent="0.25">
      <c r="F131144" s="9">
        <v>3</v>
      </c>
    </row>
    <row r="131145" spans="6:6" x14ac:dyDescent="0.25">
      <c r="F131145" s="9">
        <v>2</v>
      </c>
    </row>
    <row r="131146" spans="6:6" x14ac:dyDescent="0.25">
      <c r="F131146" s="9">
        <v>5</v>
      </c>
    </row>
    <row r="131147" spans="6:6" x14ac:dyDescent="0.25">
      <c r="F131147" s="9">
        <v>3</v>
      </c>
    </row>
    <row r="131148" spans="6:6" x14ac:dyDescent="0.25">
      <c r="F131148" s="9">
        <v>4</v>
      </c>
    </row>
    <row r="131149" spans="6:6" x14ac:dyDescent="0.25">
      <c r="F131149" s="9">
        <v>2</v>
      </c>
    </row>
    <row r="131150" spans="6:6" x14ac:dyDescent="0.25">
      <c r="F131150" s="9">
        <v>4</v>
      </c>
    </row>
    <row r="131151" spans="6:6" x14ac:dyDescent="0.25">
      <c r="F131151" s="9">
        <v>3</v>
      </c>
    </row>
    <row r="131152" spans="6:6" x14ac:dyDescent="0.25">
      <c r="F131152" s="9">
        <v>3</v>
      </c>
    </row>
    <row r="131153" spans="6:6" x14ac:dyDescent="0.25">
      <c r="F131153" s="9">
        <v>4</v>
      </c>
    </row>
    <row r="131154" spans="6:6" x14ac:dyDescent="0.25">
      <c r="F131154" s="9">
        <v>3</v>
      </c>
    </row>
    <row r="131155" spans="6:6" x14ac:dyDescent="0.25">
      <c r="F131155" s="9">
        <v>2</v>
      </c>
    </row>
    <row r="131156" spans="6:6" x14ac:dyDescent="0.25">
      <c r="F131156" s="9">
        <v>3</v>
      </c>
    </row>
    <row r="131157" spans="6:6" x14ac:dyDescent="0.25">
      <c r="F131157" s="9">
        <v>7</v>
      </c>
    </row>
    <row r="131158" spans="6:6" x14ac:dyDescent="0.25">
      <c r="F131158" s="9">
        <v>6</v>
      </c>
    </row>
    <row r="131159" spans="6:6" x14ac:dyDescent="0.25">
      <c r="F131159" s="9">
        <v>5</v>
      </c>
    </row>
    <row r="131160" spans="6:6" x14ac:dyDescent="0.25">
      <c r="F131160" s="9">
        <v>5</v>
      </c>
    </row>
    <row r="131161" spans="6:6" x14ac:dyDescent="0.25">
      <c r="F131161" s="9">
        <v>4</v>
      </c>
    </row>
    <row r="131162" spans="6:6" x14ac:dyDescent="0.25">
      <c r="F131162" s="9">
        <v>5</v>
      </c>
    </row>
    <row r="131163" spans="6:6" x14ac:dyDescent="0.25">
      <c r="F131163" s="9">
        <v>5</v>
      </c>
    </row>
    <row r="131164" spans="6:6" x14ac:dyDescent="0.25">
      <c r="F131164" s="9">
        <v>2</v>
      </c>
    </row>
    <row r="131165" spans="6:6" x14ac:dyDescent="0.25">
      <c r="F131165" s="9">
        <v>3</v>
      </c>
    </row>
    <row r="131166" spans="6:6" x14ac:dyDescent="0.25">
      <c r="F131166" s="9">
        <v>2</v>
      </c>
    </row>
    <row r="131167" spans="6:6" x14ac:dyDescent="0.25">
      <c r="F131167" s="9">
        <v>3</v>
      </c>
    </row>
    <row r="131168" spans="6:6" x14ac:dyDescent="0.25">
      <c r="F131168" s="9">
        <v>4</v>
      </c>
    </row>
    <row r="131169" spans="6:6" x14ac:dyDescent="0.25">
      <c r="F131169" s="9">
        <v>4</v>
      </c>
    </row>
    <row r="131170" spans="6:6" x14ac:dyDescent="0.25">
      <c r="F131170" s="9">
        <v>2</v>
      </c>
    </row>
    <row r="131171" spans="6:6" x14ac:dyDescent="0.25">
      <c r="F131171" s="9">
        <v>3</v>
      </c>
    </row>
    <row r="131172" spans="6:6" x14ac:dyDescent="0.25">
      <c r="F131172" s="9">
        <v>3</v>
      </c>
    </row>
    <row r="131173" spans="6:6" x14ac:dyDescent="0.25">
      <c r="F131173" s="9">
        <v>3</v>
      </c>
    </row>
    <row r="131174" spans="6:6" x14ac:dyDescent="0.25">
      <c r="F131174" s="9">
        <v>2</v>
      </c>
    </row>
    <row r="131175" spans="6:6" x14ac:dyDescent="0.25">
      <c r="F131175" s="9">
        <v>3</v>
      </c>
    </row>
    <row r="131176" spans="6:6" x14ac:dyDescent="0.25">
      <c r="F131176" s="9">
        <v>3</v>
      </c>
    </row>
    <row r="131177" spans="6:6" x14ac:dyDescent="0.25">
      <c r="F131177" s="9">
        <v>3</v>
      </c>
    </row>
    <row r="131178" spans="6:6" x14ac:dyDescent="0.25">
      <c r="F131178" s="9">
        <v>4</v>
      </c>
    </row>
    <row r="131179" spans="6:6" x14ac:dyDescent="0.25">
      <c r="F131179" s="9">
        <v>4</v>
      </c>
    </row>
    <row r="131180" spans="6:6" x14ac:dyDescent="0.25">
      <c r="F131180" s="9">
        <v>2</v>
      </c>
    </row>
    <row r="131181" spans="6:6" x14ac:dyDescent="0.25">
      <c r="F131181" s="9">
        <v>3</v>
      </c>
    </row>
    <row r="131182" spans="6:6" x14ac:dyDescent="0.25">
      <c r="F131182" s="9">
        <v>1</v>
      </c>
    </row>
    <row r="131183" spans="6:6" x14ac:dyDescent="0.25">
      <c r="F131183" s="9">
        <v>1</v>
      </c>
    </row>
    <row r="131184" spans="6:6" x14ac:dyDescent="0.25">
      <c r="F131184" s="9">
        <v>1</v>
      </c>
    </row>
    <row r="131185" spans="6:6" x14ac:dyDescent="0.25">
      <c r="F131185" s="9" t="s">
        <v>133</v>
      </c>
    </row>
    <row r="131186" spans="6:6" x14ac:dyDescent="0.25">
      <c r="F131186" s="6" t="s">
        <v>172</v>
      </c>
    </row>
    <row r="131187" spans="6:6" x14ac:dyDescent="0.25">
      <c r="F131187" s="9" t="s">
        <v>263</v>
      </c>
    </row>
    <row r="131188" spans="6:6" x14ac:dyDescent="0.25">
      <c r="F131188" s="33" t="s">
        <v>264</v>
      </c>
    </row>
    <row r="147457" spans="6:6" x14ac:dyDescent="0.25">
      <c r="F147457" s="84"/>
    </row>
    <row r="147458" spans="6:6" x14ac:dyDescent="0.25">
      <c r="F147458" s="46"/>
    </row>
    <row r="147459" spans="6:6" x14ac:dyDescent="0.25">
      <c r="F147459" s="9">
        <v>4</v>
      </c>
    </row>
    <row r="147460" spans="6:6" x14ac:dyDescent="0.25">
      <c r="F147460" s="9">
        <v>6</v>
      </c>
    </row>
    <row r="147461" spans="6:6" x14ac:dyDescent="0.25">
      <c r="F147461" s="9">
        <v>6</v>
      </c>
    </row>
    <row r="147462" spans="6:6" x14ac:dyDescent="0.25">
      <c r="F147462" s="9">
        <v>6</v>
      </c>
    </row>
    <row r="147463" spans="6:6" x14ac:dyDescent="0.25">
      <c r="F147463" s="9">
        <v>4</v>
      </c>
    </row>
    <row r="147464" spans="6:6" x14ac:dyDescent="0.25">
      <c r="F147464" s="9">
        <v>4</v>
      </c>
    </row>
    <row r="147465" spans="6:6" x14ac:dyDescent="0.25">
      <c r="F147465" s="9">
        <v>5</v>
      </c>
    </row>
    <row r="147466" spans="6:6" x14ac:dyDescent="0.25">
      <c r="F147466" s="9">
        <v>5</v>
      </c>
    </row>
    <row r="147467" spans="6:6" x14ac:dyDescent="0.25">
      <c r="F147467" s="9">
        <v>10</v>
      </c>
    </row>
    <row r="147468" spans="6:6" x14ac:dyDescent="0.25">
      <c r="F147468" s="9">
        <v>8</v>
      </c>
    </row>
    <row r="147469" spans="6:6" x14ac:dyDescent="0.25">
      <c r="F147469" s="9">
        <v>9</v>
      </c>
    </row>
    <row r="147470" spans="6:6" x14ac:dyDescent="0.25">
      <c r="F147470" s="9">
        <v>8</v>
      </c>
    </row>
    <row r="147471" spans="6:6" x14ac:dyDescent="0.25">
      <c r="F147471" s="9">
        <v>8</v>
      </c>
    </row>
    <row r="147472" spans="6:6" x14ac:dyDescent="0.25">
      <c r="F147472" s="9">
        <v>8</v>
      </c>
    </row>
    <row r="147473" spans="6:6" x14ac:dyDescent="0.25">
      <c r="F147473" s="9">
        <v>8</v>
      </c>
    </row>
    <row r="147474" spans="6:6" x14ac:dyDescent="0.25">
      <c r="F147474" s="9">
        <v>5</v>
      </c>
    </row>
    <row r="147475" spans="6:6" x14ac:dyDescent="0.25">
      <c r="F147475" s="9">
        <v>5</v>
      </c>
    </row>
    <row r="147476" spans="6:6" x14ac:dyDescent="0.25">
      <c r="F147476" s="9">
        <v>7</v>
      </c>
    </row>
    <row r="147477" spans="6:6" x14ac:dyDescent="0.25">
      <c r="F147477" s="9">
        <v>5</v>
      </c>
    </row>
    <row r="147478" spans="6:6" x14ac:dyDescent="0.25">
      <c r="F147478" s="9">
        <v>5</v>
      </c>
    </row>
    <row r="147479" spans="6:6" x14ac:dyDescent="0.25">
      <c r="F147479" s="9">
        <v>5</v>
      </c>
    </row>
    <row r="147480" spans="6:6" x14ac:dyDescent="0.25">
      <c r="F147480" s="9">
        <v>4</v>
      </c>
    </row>
    <row r="147481" spans="6:6" x14ac:dyDescent="0.25">
      <c r="F147481" s="9">
        <v>6</v>
      </c>
    </row>
    <row r="147482" spans="6:6" x14ac:dyDescent="0.25">
      <c r="F147482" s="9">
        <v>4</v>
      </c>
    </row>
    <row r="147483" spans="6:6" x14ac:dyDescent="0.25">
      <c r="F147483" s="9">
        <v>4</v>
      </c>
    </row>
    <row r="147484" spans="6:6" x14ac:dyDescent="0.25">
      <c r="F147484" s="9">
        <v>6</v>
      </c>
    </row>
    <row r="147485" spans="6:6" x14ac:dyDescent="0.25">
      <c r="F147485" s="9">
        <v>4</v>
      </c>
    </row>
    <row r="147486" spans="6:6" x14ac:dyDescent="0.25">
      <c r="F147486" s="9">
        <v>6</v>
      </c>
    </row>
    <row r="147487" spans="6:6" x14ac:dyDescent="0.25">
      <c r="F147487" s="9">
        <v>4</v>
      </c>
    </row>
    <row r="147488" spans="6:6" x14ac:dyDescent="0.25">
      <c r="F147488" s="9">
        <v>6</v>
      </c>
    </row>
    <row r="147489" spans="6:6" x14ac:dyDescent="0.25">
      <c r="F147489" s="9">
        <v>4</v>
      </c>
    </row>
    <row r="147490" spans="6:6" x14ac:dyDescent="0.25">
      <c r="F147490" s="9">
        <v>6</v>
      </c>
    </row>
    <row r="147491" spans="6:6" x14ac:dyDescent="0.25">
      <c r="F147491" s="9">
        <v>6</v>
      </c>
    </row>
    <row r="147492" spans="6:6" x14ac:dyDescent="0.25">
      <c r="F147492" s="9">
        <v>5</v>
      </c>
    </row>
    <row r="147493" spans="6:6" x14ac:dyDescent="0.25">
      <c r="F147493" s="9">
        <v>3</v>
      </c>
    </row>
    <row r="147494" spans="6:6" x14ac:dyDescent="0.25">
      <c r="F147494" s="9">
        <v>4</v>
      </c>
    </row>
    <row r="147495" spans="6:6" x14ac:dyDescent="0.25">
      <c r="F147495" s="9">
        <v>4</v>
      </c>
    </row>
    <row r="147496" spans="6:6" x14ac:dyDescent="0.25">
      <c r="F147496" s="9">
        <v>5</v>
      </c>
    </row>
    <row r="147497" spans="6:6" x14ac:dyDescent="0.25">
      <c r="F147497" s="9">
        <v>5</v>
      </c>
    </row>
    <row r="147498" spans="6:6" x14ac:dyDescent="0.25">
      <c r="F147498" s="9">
        <v>2</v>
      </c>
    </row>
    <row r="147499" spans="6:6" x14ac:dyDescent="0.25">
      <c r="F147499" s="9">
        <v>6</v>
      </c>
    </row>
    <row r="147500" spans="6:6" x14ac:dyDescent="0.25">
      <c r="F147500" s="9">
        <v>7</v>
      </c>
    </row>
    <row r="147501" spans="6:6" x14ac:dyDescent="0.25">
      <c r="F147501" s="9">
        <v>3</v>
      </c>
    </row>
    <row r="147502" spans="6:6" x14ac:dyDescent="0.25">
      <c r="F147502" s="9">
        <v>3</v>
      </c>
    </row>
    <row r="147503" spans="6:6" x14ac:dyDescent="0.25">
      <c r="F147503" s="9">
        <v>3</v>
      </c>
    </row>
    <row r="147504" spans="6:6" x14ac:dyDescent="0.25">
      <c r="F147504" s="9">
        <v>3</v>
      </c>
    </row>
    <row r="147505" spans="6:6" x14ac:dyDescent="0.25">
      <c r="F147505" s="9">
        <v>6</v>
      </c>
    </row>
    <row r="147506" spans="6:6" x14ac:dyDescent="0.25">
      <c r="F147506" s="9">
        <v>1</v>
      </c>
    </row>
    <row r="147507" spans="6:6" x14ac:dyDescent="0.25">
      <c r="F147507" s="9">
        <v>5</v>
      </c>
    </row>
    <row r="147508" spans="6:6" x14ac:dyDescent="0.25">
      <c r="F147508" s="9">
        <v>6</v>
      </c>
    </row>
    <row r="147509" spans="6:6" x14ac:dyDescent="0.25">
      <c r="F147509" s="9">
        <v>4</v>
      </c>
    </row>
    <row r="147510" spans="6:6" x14ac:dyDescent="0.25">
      <c r="F147510" s="9">
        <v>3</v>
      </c>
    </row>
    <row r="147511" spans="6:6" x14ac:dyDescent="0.25">
      <c r="F147511" s="9">
        <v>4</v>
      </c>
    </row>
    <row r="147512" spans="6:6" x14ac:dyDescent="0.25">
      <c r="F147512" s="9">
        <v>3</v>
      </c>
    </row>
    <row r="147513" spans="6:6" x14ac:dyDescent="0.25">
      <c r="F147513" s="9">
        <v>1</v>
      </c>
    </row>
    <row r="147514" spans="6:6" x14ac:dyDescent="0.25">
      <c r="F147514" s="9">
        <v>5</v>
      </c>
    </row>
    <row r="147515" spans="6:6" x14ac:dyDescent="0.25">
      <c r="F147515" s="9">
        <v>4</v>
      </c>
    </row>
    <row r="147516" spans="6:6" x14ac:dyDescent="0.25">
      <c r="F147516" s="9">
        <v>6</v>
      </c>
    </row>
    <row r="147517" spans="6:6" x14ac:dyDescent="0.25">
      <c r="F147517" s="9">
        <v>2</v>
      </c>
    </row>
    <row r="147518" spans="6:6" x14ac:dyDescent="0.25">
      <c r="F147518" s="9">
        <v>2</v>
      </c>
    </row>
    <row r="147519" spans="6:6" x14ac:dyDescent="0.25">
      <c r="F147519" s="9">
        <v>4</v>
      </c>
    </row>
    <row r="147520" spans="6:6" x14ac:dyDescent="0.25">
      <c r="F147520" s="9">
        <v>3</v>
      </c>
    </row>
    <row r="147521" spans="6:6" x14ac:dyDescent="0.25">
      <c r="F147521" s="9">
        <v>2</v>
      </c>
    </row>
    <row r="147522" spans="6:6" x14ac:dyDescent="0.25">
      <c r="F147522" s="9">
        <v>7</v>
      </c>
    </row>
    <row r="147523" spans="6:6" x14ac:dyDescent="0.25">
      <c r="F147523" s="9">
        <v>8</v>
      </c>
    </row>
    <row r="147524" spans="6:6" x14ac:dyDescent="0.25">
      <c r="F147524" s="9">
        <v>7</v>
      </c>
    </row>
    <row r="147525" spans="6:6" x14ac:dyDescent="0.25">
      <c r="F147525" s="9">
        <v>6</v>
      </c>
    </row>
    <row r="147526" spans="6:6" x14ac:dyDescent="0.25">
      <c r="F147526" s="9">
        <v>3</v>
      </c>
    </row>
    <row r="147527" spans="6:6" x14ac:dyDescent="0.25">
      <c r="F147527" s="9">
        <v>6</v>
      </c>
    </row>
    <row r="147528" spans="6:6" x14ac:dyDescent="0.25">
      <c r="F147528" s="9">
        <v>3</v>
      </c>
    </row>
    <row r="147529" spans="6:6" x14ac:dyDescent="0.25">
      <c r="F147529" s="9">
        <v>2</v>
      </c>
    </row>
    <row r="147530" spans="6:6" x14ac:dyDescent="0.25">
      <c r="F147530" s="9">
        <v>5</v>
      </c>
    </row>
    <row r="147531" spans="6:6" x14ac:dyDescent="0.25">
      <c r="F147531" s="9">
        <v>3</v>
      </c>
    </row>
    <row r="147532" spans="6:6" x14ac:dyDescent="0.25">
      <c r="F147532" s="9">
        <v>4</v>
      </c>
    </row>
    <row r="147533" spans="6:6" x14ac:dyDescent="0.25">
      <c r="F147533" s="9">
        <v>2</v>
      </c>
    </row>
    <row r="147534" spans="6:6" x14ac:dyDescent="0.25">
      <c r="F147534" s="9">
        <v>4</v>
      </c>
    </row>
    <row r="147535" spans="6:6" x14ac:dyDescent="0.25">
      <c r="F147535" s="9">
        <v>3</v>
      </c>
    </row>
    <row r="147536" spans="6:6" x14ac:dyDescent="0.25">
      <c r="F147536" s="9">
        <v>3</v>
      </c>
    </row>
    <row r="147537" spans="6:6" x14ac:dyDescent="0.25">
      <c r="F147537" s="9">
        <v>4</v>
      </c>
    </row>
    <row r="147538" spans="6:6" x14ac:dyDescent="0.25">
      <c r="F147538" s="9">
        <v>3</v>
      </c>
    </row>
    <row r="147539" spans="6:6" x14ac:dyDescent="0.25">
      <c r="F147539" s="9">
        <v>2</v>
      </c>
    </row>
    <row r="147540" spans="6:6" x14ac:dyDescent="0.25">
      <c r="F147540" s="9">
        <v>3</v>
      </c>
    </row>
    <row r="147541" spans="6:6" x14ac:dyDescent="0.25">
      <c r="F147541" s="9">
        <v>7</v>
      </c>
    </row>
    <row r="147542" spans="6:6" x14ac:dyDescent="0.25">
      <c r="F147542" s="9">
        <v>6</v>
      </c>
    </row>
    <row r="147543" spans="6:6" x14ac:dyDescent="0.25">
      <c r="F147543" s="9">
        <v>5</v>
      </c>
    </row>
    <row r="147544" spans="6:6" x14ac:dyDescent="0.25">
      <c r="F147544" s="9">
        <v>5</v>
      </c>
    </row>
    <row r="147545" spans="6:6" x14ac:dyDescent="0.25">
      <c r="F147545" s="9">
        <v>4</v>
      </c>
    </row>
    <row r="147546" spans="6:6" x14ac:dyDescent="0.25">
      <c r="F147546" s="9">
        <v>5</v>
      </c>
    </row>
    <row r="147547" spans="6:6" x14ac:dyDescent="0.25">
      <c r="F147547" s="9">
        <v>5</v>
      </c>
    </row>
    <row r="147548" spans="6:6" x14ac:dyDescent="0.25">
      <c r="F147548" s="9">
        <v>2</v>
      </c>
    </row>
    <row r="147549" spans="6:6" x14ac:dyDescent="0.25">
      <c r="F147549" s="9">
        <v>3</v>
      </c>
    </row>
    <row r="147550" spans="6:6" x14ac:dyDescent="0.25">
      <c r="F147550" s="9">
        <v>2</v>
      </c>
    </row>
    <row r="147551" spans="6:6" x14ac:dyDescent="0.25">
      <c r="F147551" s="9">
        <v>3</v>
      </c>
    </row>
    <row r="147552" spans="6:6" x14ac:dyDescent="0.25">
      <c r="F147552" s="9">
        <v>4</v>
      </c>
    </row>
    <row r="147553" spans="6:6" x14ac:dyDescent="0.25">
      <c r="F147553" s="9">
        <v>4</v>
      </c>
    </row>
    <row r="147554" spans="6:6" x14ac:dyDescent="0.25">
      <c r="F147554" s="9">
        <v>2</v>
      </c>
    </row>
    <row r="147555" spans="6:6" x14ac:dyDescent="0.25">
      <c r="F147555" s="9">
        <v>3</v>
      </c>
    </row>
    <row r="147556" spans="6:6" x14ac:dyDescent="0.25">
      <c r="F147556" s="9">
        <v>3</v>
      </c>
    </row>
    <row r="147557" spans="6:6" x14ac:dyDescent="0.25">
      <c r="F147557" s="9">
        <v>3</v>
      </c>
    </row>
    <row r="147558" spans="6:6" x14ac:dyDescent="0.25">
      <c r="F147558" s="9">
        <v>2</v>
      </c>
    </row>
    <row r="147559" spans="6:6" x14ac:dyDescent="0.25">
      <c r="F147559" s="9">
        <v>3</v>
      </c>
    </row>
    <row r="147560" spans="6:6" x14ac:dyDescent="0.25">
      <c r="F147560" s="9">
        <v>3</v>
      </c>
    </row>
    <row r="147561" spans="6:6" x14ac:dyDescent="0.25">
      <c r="F147561" s="9">
        <v>3</v>
      </c>
    </row>
    <row r="147562" spans="6:6" x14ac:dyDescent="0.25">
      <c r="F147562" s="9">
        <v>4</v>
      </c>
    </row>
    <row r="147563" spans="6:6" x14ac:dyDescent="0.25">
      <c r="F147563" s="9">
        <v>4</v>
      </c>
    </row>
    <row r="147564" spans="6:6" x14ac:dyDescent="0.25">
      <c r="F147564" s="9">
        <v>2</v>
      </c>
    </row>
    <row r="147565" spans="6:6" x14ac:dyDescent="0.25">
      <c r="F147565" s="9">
        <v>3</v>
      </c>
    </row>
    <row r="147566" spans="6:6" x14ac:dyDescent="0.25">
      <c r="F147566" s="9">
        <v>1</v>
      </c>
    </row>
    <row r="147567" spans="6:6" x14ac:dyDescent="0.25">
      <c r="F147567" s="9">
        <v>1</v>
      </c>
    </row>
    <row r="147568" spans="6:6" x14ac:dyDescent="0.25">
      <c r="F147568" s="9">
        <v>1</v>
      </c>
    </row>
    <row r="147569" spans="6:6" x14ac:dyDescent="0.25">
      <c r="F147569" s="9" t="s">
        <v>133</v>
      </c>
    </row>
    <row r="147570" spans="6:6" x14ac:dyDescent="0.25">
      <c r="F147570" s="6" t="s">
        <v>172</v>
      </c>
    </row>
    <row r="147571" spans="6:6" x14ac:dyDescent="0.25">
      <c r="F147571" s="9" t="s">
        <v>263</v>
      </c>
    </row>
    <row r="147572" spans="6:6" x14ac:dyDescent="0.25">
      <c r="F147572" s="33" t="s">
        <v>264</v>
      </c>
    </row>
    <row r="163841" spans="6:6" x14ac:dyDescent="0.25">
      <c r="F163841" s="84"/>
    </row>
    <row r="163842" spans="6:6" x14ac:dyDescent="0.25">
      <c r="F163842" s="46"/>
    </row>
    <row r="163843" spans="6:6" x14ac:dyDescent="0.25">
      <c r="F163843" s="9">
        <v>4</v>
      </c>
    </row>
    <row r="163844" spans="6:6" x14ac:dyDescent="0.25">
      <c r="F163844" s="9">
        <v>6</v>
      </c>
    </row>
    <row r="163845" spans="6:6" x14ac:dyDescent="0.25">
      <c r="F163845" s="9">
        <v>6</v>
      </c>
    </row>
    <row r="163846" spans="6:6" x14ac:dyDescent="0.25">
      <c r="F163846" s="9">
        <v>6</v>
      </c>
    </row>
    <row r="163847" spans="6:6" x14ac:dyDescent="0.25">
      <c r="F163847" s="9">
        <v>4</v>
      </c>
    </row>
    <row r="163848" spans="6:6" x14ac:dyDescent="0.25">
      <c r="F163848" s="9">
        <v>4</v>
      </c>
    </row>
    <row r="163849" spans="6:6" x14ac:dyDescent="0.25">
      <c r="F163849" s="9">
        <v>5</v>
      </c>
    </row>
    <row r="163850" spans="6:6" x14ac:dyDescent="0.25">
      <c r="F163850" s="9">
        <v>5</v>
      </c>
    </row>
    <row r="163851" spans="6:6" x14ac:dyDescent="0.25">
      <c r="F163851" s="9">
        <v>10</v>
      </c>
    </row>
    <row r="163852" spans="6:6" x14ac:dyDescent="0.25">
      <c r="F163852" s="9">
        <v>8</v>
      </c>
    </row>
    <row r="163853" spans="6:6" x14ac:dyDescent="0.25">
      <c r="F163853" s="9">
        <v>9</v>
      </c>
    </row>
    <row r="163854" spans="6:6" x14ac:dyDescent="0.25">
      <c r="F163854" s="9">
        <v>8</v>
      </c>
    </row>
    <row r="163855" spans="6:6" x14ac:dyDescent="0.25">
      <c r="F163855" s="9">
        <v>8</v>
      </c>
    </row>
    <row r="163856" spans="6:6" x14ac:dyDescent="0.25">
      <c r="F163856" s="9">
        <v>8</v>
      </c>
    </row>
    <row r="163857" spans="6:6" x14ac:dyDescent="0.25">
      <c r="F163857" s="9">
        <v>8</v>
      </c>
    </row>
    <row r="163858" spans="6:6" x14ac:dyDescent="0.25">
      <c r="F163858" s="9">
        <v>5</v>
      </c>
    </row>
    <row r="163859" spans="6:6" x14ac:dyDescent="0.25">
      <c r="F163859" s="9">
        <v>5</v>
      </c>
    </row>
    <row r="163860" spans="6:6" x14ac:dyDescent="0.25">
      <c r="F163860" s="9">
        <v>7</v>
      </c>
    </row>
    <row r="163861" spans="6:6" x14ac:dyDescent="0.25">
      <c r="F163861" s="9">
        <v>5</v>
      </c>
    </row>
    <row r="163862" spans="6:6" x14ac:dyDescent="0.25">
      <c r="F163862" s="9">
        <v>5</v>
      </c>
    </row>
    <row r="163863" spans="6:6" x14ac:dyDescent="0.25">
      <c r="F163863" s="9">
        <v>5</v>
      </c>
    </row>
    <row r="163864" spans="6:6" x14ac:dyDescent="0.25">
      <c r="F163864" s="9">
        <v>4</v>
      </c>
    </row>
    <row r="163865" spans="6:6" x14ac:dyDescent="0.25">
      <c r="F163865" s="9">
        <v>6</v>
      </c>
    </row>
    <row r="163866" spans="6:6" x14ac:dyDescent="0.25">
      <c r="F163866" s="9">
        <v>4</v>
      </c>
    </row>
    <row r="163867" spans="6:6" x14ac:dyDescent="0.25">
      <c r="F163867" s="9">
        <v>4</v>
      </c>
    </row>
    <row r="163868" spans="6:6" x14ac:dyDescent="0.25">
      <c r="F163868" s="9">
        <v>6</v>
      </c>
    </row>
    <row r="163869" spans="6:6" x14ac:dyDescent="0.25">
      <c r="F163869" s="9">
        <v>4</v>
      </c>
    </row>
    <row r="163870" spans="6:6" x14ac:dyDescent="0.25">
      <c r="F163870" s="9">
        <v>6</v>
      </c>
    </row>
    <row r="163871" spans="6:6" x14ac:dyDescent="0.25">
      <c r="F163871" s="9">
        <v>4</v>
      </c>
    </row>
    <row r="163872" spans="6:6" x14ac:dyDescent="0.25">
      <c r="F163872" s="9">
        <v>6</v>
      </c>
    </row>
    <row r="163873" spans="6:6" x14ac:dyDescent="0.25">
      <c r="F163873" s="9">
        <v>4</v>
      </c>
    </row>
    <row r="163874" spans="6:6" x14ac:dyDescent="0.25">
      <c r="F163874" s="9">
        <v>6</v>
      </c>
    </row>
    <row r="163875" spans="6:6" x14ac:dyDescent="0.25">
      <c r="F163875" s="9">
        <v>6</v>
      </c>
    </row>
    <row r="163876" spans="6:6" x14ac:dyDescent="0.25">
      <c r="F163876" s="9">
        <v>5</v>
      </c>
    </row>
    <row r="163877" spans="6:6" x14ac:dyDescent="0.25">
      <c r="F163877" s="9">
        <v>3</v>
      </c>
    </row>
    <row r="163878" spans="6:6" x14ac:dyDescent="0.25">
      <c r="F163878" s="9">
        <v>4</v>
      </c>
    </row>
    <row r="163879" spans="6:6" x14ac:dyDescent="0.25">
      <c r="F163879" s="9">
        <v>4</v>
      </c>
    </row>
    <row r="163880" spans="6:6" x14ac:dyDescent="0.25">
      <c r="F163880" s="9">
        <v>5</v>
      </c>
    </row>
    <row r="163881" spans="6:6" x14ac:dyDescent="0.25">
      <c r="F163881" s="9">
        <v>5</v>
      </c>
    </row>
    <row r="163882" spans="6:6" x14ac:dyDescent="0.25">
      <c r="F163882" s="9">
        <v>2</v>
      </c>
    </row>
    <row r="163883" spans="6:6" x14ac:dyDescent="0.25">
      <c r="F163883" s="9">
        <v>6</v>
      </c>
    </row>
    <row r="163884" spans="6:6" x14ac:dyDescent="0.25">
      <c r="F163884" s="9">
        <v>7</v>
      </c>
    </row>
    <row r="163885" spans="6:6" x14ac:dyDescent="0.25">
      <c r="F163885" s="9">
        <v>3</v>
      </c>
    </row>
    <row r="163886" spans="6:6" x14ac:dyDescent="0.25">
      <c r="F163886" s="9">
        <v>3</v>
      </c>
    </row>
    <row r="163887" spans="6:6" x14ac:dyDescent="0.25">
      <c r="F163887" s="9">
        <v>3</v>
      </c>
    </row>
    <row r="163888" spans="6:6" x14ac:dyDescent="0.25">
      <c r="F163888" s="9">
        <v>3</v>
      </c>
    </row>
    <row r="163889" spans="6:6" x14ac:dyDescent="0.25">
      <c r="F163889" s="9">
        <v>6</v>
      </c>
    </row>
    <row r="163890" spans="6:6" x14ac:dyDescent="0.25">
      <c r="F163890" s="9">
        <v>1</v>
      </c>
    </row>
    <row r="163891" spans="6:6" x14ac:dyDescent="0.25">
      <c r="F163891" s="9">
        <v>5</v>
      </c>
    </row>
    <row r="163892" spans="6:6" x14ac:dyDescent="0.25">
      <c r="F163892" s="9">
        <v>6</v>
      </c>
    </row>
    <row r="163893" spans="6:6" x14ac:dyDescent="0.25">
      <c r="F163893" s="9">
        <v>4</v>
      </c>
    </row>
    <row r="163894" spans="6:6" x14ac:dyDescent="0.25">
      <c r="F163894" s="9">
        <v>3</v>
      </c>
    </row>
    <row r="163895" spans="6:6" x14ac:dyDescent="0.25">
      <c r="F163895" s="9">
        <v>4</v>
      </c>
    </row>
    <row r="163896" spans="6:6" x14ac:dyDescent="0.25">
      <c r="F163896" s="9">
        <v>3</v>
      </c>
    </row>
    <row r="163897" spans="6:6" x14ac:dyDescent="0.25">
      <c r="F163897" s="9">
        <v>1</v>
      </c>
    </row>
    <row r="163898" spans="6:6" x14ac:dyDescent="0.25">
      <c r="F163898" s="9">
        <v>5</v>
      </c>
    </row>
    <row r="163899" spans="6:6" x14ac:dyDescent="0.25">
      <c r="F163899" s="9">
        <v>4</v>
      </c>
    </row>
    <row r="163900" spans="6:6" x14ac:dyDescent="0.25">
      <c r="F163900" s="9">
        <v>6</v>
      </c>
    </row>
    <row r="163901" spans="6:6" x14ac:dyDescent="0.25">
      <c r="F163901" s="9">
        <v>2</v>
      </c>
    </row>
    <row r="163902" spans="6:6" x14ac:dyDescent="0.25">
      <c r="F163902" s="9">
        <v>2</v>
      </c>
    </row>
    <row r="163903" spans="6:6" x14ac:dyDescent="0.25">
      <c r="F163903" s="9">
        <v>4</v>
      </c>
    </row>
    <row r="163904" spans="6:6" x14ac:dyDescent="0.25">
      <c r="F163904" s="9">
        <v>3</v>
      </c>
    </row>
    <row r="163905" spans="6:6" x14ac:dyDescent="0.25">
      <c r="F163905" s="9">
        <v>2</v>
      </c>
    </row>
    <row r="163906" spans="6:6" x14ac:dyDescent="0.25">
      <c r="F163906" s="9">
        <v>7</v>
      </c>
    </row>
    <row r="163907" spans="6:6" x14ac:dyDescent="0.25">
      <c r="F163907" s="9">
        <v>8</v>
      </c>
    </row>
    <row r="163908" spans="6:6" x14ac:dyDescent="0.25">
      <c r="F163908" s="9">
        <v>7</v>
      </c>
    </row>
    <row r="163909" spans="6:6" x14ac:dyDescent="0.25">
      <c r="F163909" s="9">
        <v>6</v>
      </c>
    </row>
    <row r="163910" spans="6:6" x14ac:dyDescent="0.25">
      <c r="F163910" s="9">
        <v>3</v>
      </c>
    </row>
    <row r="163911" spans="6:6" x14ac:dyDescent="0.25">
      <c r="F163911" s="9">
        <v>6</v>
      </c>
    </row>
    <row r="163912" spans="6:6" x14ac:dyDescent="0.25">
      <c r="F163912" s="9">
        <v>3</v>
      </c>
    </row>
    <row r="163913" spans="6:6" x14ac:dyDescent="0.25">
      <c r="F163913" s="9">
        <v>2</v>
      </c>
    </row>
    <row r="163914" spans="6:6" x14ac:dyDescent="0.25">
      <c r="F163914" s="9">
        <v>5</v>
      </c>
    </row>
    <row r="163915" spans="6:6" x14ac:dyDescent="0.25">
      <c r="F163915" s="9">
        <v>3</v>
      </c>
    </row>
    <row r="163916" spans="6:6" x14ac:dyDescent="0.25">
      <c r="F163916" s="9">
        <v>4</v>
      </c>
    </row>
    <row r="163917" spans="6:6" x14ac:dyDescent="0.25">
      <c r="F163917" s="9">
        <v>2</v>
      </c>
    </row>
    <row r="163918" spans="6:6" x14ac:dyDescent="0.25">
      <c r="F163918" s="9">
        <v>4</v>
      </c>
    </row>
    <row r="163919" spans="6:6" x14ac:dyDescent="0.25">
      <c r="F163919" s="9">
        <v>3</v>
      </c>
    </row>
    <row r="163920" spans="6:6" x14ac:dyDescent="0.25">
      <c r="F163920" s="9">
        <v>3</v>
      </c>
    </row>
    <row r="163921" spans="6:6" x14ac:dyDescent="0.25">
      <c r="F163921" s="9">
        <v>4</v>
      </c>
    </row>
    <row r="163922" spans="6:6" x14ac:dyDescent="0.25">
      <c r="F163922" s="9">
        <v>3</v>
      </c>
    </row>
    <row r="163923" spans="6:6" x14ac:dyDescent="0.25">
      <c r="F163923" s="9">
        <v>2</v>
      </c>
    </row>
    <row r="163924" spans="6:6" x14ac:dyDescent="0.25">
      <c r="F163924" s="9">
        <v>3</v>
      </c>
    </row>
    <row r="163925" spans="6:6" x14ac:dyDescent="0.25">
      <c r="F163925" s="9">
        <v>7</v>
      </c>
    </row>
    <row r="163926" spans="6:6" x14ac:dyDescent="0.25">
      <c r="F163926" s="9">
        <v>6</v>
      </c>
    </row>
    <row r="163927" spans="6:6" x14ac:dyDescent="0.25">
      <c r="F163927" s="9">
        <v>5</v>
      </c>
    </row>
    <row r="163928" spans="6:6" x14ac:dyDescent="0.25">
      <c r="F163928" s="9">
        <v>5</v>
      </c>
    </row>
    <row r="163929" spans="6:6" x14ac:dyDescent="0.25">
      <c r="F163929" s="9">
        <v>4</v>
      </c>
    </row>
    <row r="163930" spans="6:6" x14ac:dyDescent="0.25">
      <c r="F163930" s="9">
        <v>5</v>
      </c>
    </row>
    <row r="163931" spans="6:6" x14ac:dyDescent="0.25">
      <c r="F163931" s="9">
        <v>5</v>
      </c>
    </row>
    <row r="163932" spans="6:6" x14ac:dyDescent="0.25">
      <c r="F163932" s="9">
        <v>2</v>
      </c>
    </row>
    <row r="163933" spans="6:6" x14ac:dyDescent="0.25">
      <c r="F163933" s="9">
        <v>3</v>
      </c>
    </row>
    <row r="163934" spans="6:6" x14ac:dyDescent="0.25">
      <c r="F163934" s="9">
        <v>2</v>
      </c>
    </row>
    <row r="163935" spans="6:6" x14ac:dyDescent="0.25">
      <c r="F163935" s="9">
        <v>3</v>
      </c>
    </row>
    <row r="163936" spans="6:6" x14ac:dyDescent="0.25">
      <c r="F163936" s="9">
        <v>4</v>
      </c>
    </row>
    <row r="163937" spans="6:6" x14ac:dyDescent="0.25">
      <c r="F163937" s="9">
        <v>4</v>
      </c>
    </row>
    <row r="163938" spans="6:6" x14ac:dyDescent="0.25">
      <c r="F163938" s="9">
        <v>2</v>
      </c>
    </row>
    <row r="163939" spans="6:6" x14ac:dyDescent="0.25">
      <c r="F163939" s="9">
        <v>3</v>
      </c>
    </row>
    <row r="163940" spans="6:6" x14ac:dyDescent="0.25">
      <c r="F163940" s="9">
        <v>3</v>
      </c>
    </row>
    <row r="163941" spans="6:6" x14ac:dyDescent="0.25">
      <c r="F163941" s="9">
        <v>3</v>
      </c>
    </row>
    <row r="163942" spans="6:6" x14ac:dyDescent="0.25">
      <c r="F163942" s="9">
        <v>2</v>
      </c>
    </row>
    <row r="163943" spans="6:6" x14ac:dyDescent="0.25">
      <c r="F163943" s="9">
        <v>3</v>
      </c>
    </row>
    <row r="163944" spans="6:6" x14ac:dyDescent="0.25">
      <c r="F163944" s="9">
        <v>3</v>
      </c>
    </row>
    <row r="163945" spans="6:6" x14ac:dyDescent="0.25">
      <c r="F163945" s="9">
        <v>3</v>
      </c>
    </row>
    <row r="163946" spans="6:6" x14ac:dyDescent="0.25">
      <c r="F163946" s="9">
        <v>4</v>
      </c>
    </row>
    <row r="163947" spans="6:6" x14ac:dyDescent="0.25">
      <c r="F163947" s="9">
        <v>4</v>
      </c>
    </row>
    <row r="163948" spans="6:6" x14ac:dyDescent="0.25">
      <c r="F163948" s="9">
        <v>2</v>
      </c>
    </row>
    <row r="163949" spans="6:6" x14ac:dyDescent="0.25">
      <c r="F163949" s="9">
        <v>3</v>
      </c>
    </row>
    <row r="163950" spans="6:6" x14ac:dyDescent="0.25">
      <c r="F163950" s="9">
        <v>1</v>
      </c>
    </row>
    <row r="163951" spans="6:6" x14ac:dyDescent="0.25">
      <c r="F163951" s="9">
        <v>1</v>
      </c>
    </row>
    <row r="163952" spans="6:6" x14ac:dyDescent="0.25">
      <c r="F163952" s="9">
        <v>1</v>
      </c>
    </row>
    <row r="163953" spans="6:6" x14ac:dyDescent="0.25">
      <c r="F163953" s="9" t="s">
        <v>133</v>
      </c>
    </row>
    <row r="163954" spans="6:6" x14ac:dyDescent="0.25">
      <c r="F163954" s="6" t="s">
        <v>172</v>
      </c>
    </row>
    <row r="163955" spans="6:6" x14ac:dyDescent="0.25">
      <c r="F163955" s="9" t="s">
        <v>263</v>
      </c>
    </row>
    <row r="163956" spans="6:6" x14ac:dyDescent="0.25">
      <c r="F163956" s="33" t="s">
        <v>264</v>
      </c>
    </row>
    <row r="180225" spans="6:6" x14ac:dyDescent="0.25">
      <c r="F180225" s="84"/>
    </row>
    <row r="180226" spans="6:6" x14ac:dyDescent="0.25">
      <c r="F180226" s="46"/>
    </row>
    <row r="180227" spans="6:6" x14ac:dyDescent="0.25">
      <c r="F180227" s="9">
        <v>4</v>
      </c>
    </row>
    <row r="180228" spans="6:6" x14ac:dyDescent="0.25">
      <c r="F180228" s="9">
        <v>6</v>
      </c>
    </row>
    <row r="180229" spans="6:6" x14ac:dyDescent="0.25">
      <c r="F180229" s="9">
        <v>6</v>
      </c>
    </row>
    <row r="180230" spans="6:6" x14ac:dyDescent="0.25">
      <c r="F180230" s="9">
        <v>6</v>
      </c>
    </row>
    <row r="180231" spans="6:6" x14ac:dyDescent="0.25">
      <c r="F180231" s="9">
        <v>4</v>
      </c>
    </row>
    <row r="180232" spans="6:6" x14ac:dyDescent="0.25">
      <c r="F180232" s="9">
        <v>4</v>
      </c>
    </row>
    <row r="180233" spans="6:6" x14ac:dyDescent="0.25">
      <c r="F180233" s="9">
        <v>5</v>
      </c>
    </row>
    <row r="180234" spans="6:6" x14ac:dyDescent="0.25">
      <c r="F180234" s="9">
        <v>5</v>
      </c>
    </row>
    <row r="180235" spans="6:6" x14ac:dyDescent="0.25">
      <c r="F180235" s="9">
        <v>10</v>
      </c>
    </row>
    <row r="180236" spans="6:6" x14ac:dyDescent="0.25">
      <c r="F180236" s="9">
        <v>8</v>
      </c>
    </row>
    <row r="180237" spans="6:6" x14ac:dyDescent="0.25">
      <c r="F180237" s="9">
        <v>9</v>
      </c>
    </row>
    <row r="180238" spans="6:6" x14ac:dyDescent="0.25">
      <c r="F180238" s="9">
        <v>8</v>
      </c>
    </row>
    <row r="180239" spans="6:6" x14ac:dyDescent="0.25">
      <c r="F180239" s="9">
        <v>8</v>
      </c>
    </row>
    <row r="180240" spans="6:6" x14ac:dyDescent="0.25">
      <c r="F180240" s="9">
        <v>8</v>
      </c>
    </row>
    <row r="180241" spans="6:6" x14ac:dyDescent="0.25">
      <c r="F180241" s="9">
        <v>8</v>
      </c>
    </row>
    <row r="180242" spans="6:6" x14ac:dyDescent="0.25">
      <c r="F180242" s="9">
        <v>5</v>
      </c>
    </row>
    <row r="180243" spans="6:6" x14ac:dyDescent="0.25">
      <c r="F180243" s="9">
        <v>5</v>
      </c>
    </row>
    <row r="180244" spans="6:6" x14ac:dyDescent="0.25">
      <c r="F180244" s="9">
        <v>7</v>
      </c>
    </row>
    <row r="180245" spans="6:6" x14ac:dyDescent="0.25">
      <c r="F180245" s="9">
        <v>5</v>
      </c>
    </row>
    <row r="180246" spans="6:6" x14ac:dyDescent="0.25">
      <c r="F180246" s="9">
        <v>5</v>
      </c>
    </row>
    <row r="180247" spans="6:6" x14ac:dyDescent="0.25">
      <c r="F180247" s="9">
        <v>5</v>
      </c>
    </row>
    <row r="180248" spans="6:6" x14ac:dyDescent="0.25">
      <c r="F180248" s="9">
        <v>4</v>
      </c>
    </row>
    <row r="180249" spans="6:6" x14ac:dyDescent="0.25">
      <c r="F180249" s="9">
        <v>6</v>
      </c>
    </row>
    <row r="180250" spans="6:6" x14ac:dyDescent="0.25">
      <c r="F180250" s="9">
        <v>4</v>
      </c>
    </row>
    <row r="180251" spans="6:6" x14ac:dyDescent="0.25">
      <c r="F180251" s="9">
        <v>4</v>
      </c>
    </row>
    <row r="180252" spans="6:6" x14ac:dyDescent="0.25">
      <c r="F180252" s="9">
        <v>6</v>
      </c>
    </row>
    <row r="180253" spans="6:6" x14ac:dyDescent="0.25">
      <c r="F180253" s="9">
        <v>4</v>
      </c>
    </row>
    <row r="180254" spans="6:6" x14ac:dyDescent="0.25">
      <c r="F180254" s="9">
        <v>6</v>
      </c>
    </row>
    <row r="180255" spans="6:6" x14ac:dyDescent="0.25">
      <c r="F180255" s="9">
        <v>4</v>
      </c>
    </row>
    <row r="180256" spans="6:6" x14ac:dyDescent="0.25">
      <c r="F180256" s="9">
        <v>6</v>
      </c>
    </row>
    <row r="180257" spans="6:6" x14ac:dyDescent="0.25">
      <c r="F180257" s="9">
        <v>4</v>
      </c>
    </row>
    <row r="180258" spans="6:6" x14ac:dyDescent="0.25">
      <c r="F180258" s="9">
        <v>6</v>
      </c>
    </row>
    <row r="180259" spans="6:6" x14ac:dyDescent="0.25">
      <c r="F180259" s="9">
        <v>6</v>
      </c>
    </row>
    <row r="180260" spans="6:6" x14ac:dyDescent="0.25">
      <c r="F180260" s="9">
        <v>5</v>
      </c>
    </row>
    <row r="180261" spans="6:6" x14ac:dyDescent="0.25">
      <c r="F180261" s="9">
        <v>3</v>
      </c>
    </row>
    <row r="180262" spans="6:6" x14ac:dyDescent="0.25">
      <c r="F180262" s="9">
        <v>4</v>
      </c>
    </row>
    <row r="180263" spans="6:6" x14ac:dyDescent="0.25">
      <c r="F180263" s="9">
        <v>4</v>
      </c>
    </row>
    <row r="180264" spans="6:6" x14ac:dyDescent="0.25">
      <c r="F180264" s="9">
        <v>5</v>
      </c>
    </row>
    <row r="180265" spans="6:6" x14ac:dyDescent="0.25">
      <c r="F180265" s="9">
        <v>5</v>
      </c>
    </row>
    <row r="180266" spans="6:6" x14ac:dyDescent="0.25">
      <c r="F180266" s="9">
        <v>2</v>
      </c>
    </row>
    <row r="180267" spans="6:6" x14ac:dyDescent="0.25">
      <c r="F180267" s="9">
        <v>6</v>
      </c>
    </row>
    <row r="180268" spans="6:6" x14ac:dyDescent="0.25">
      <c r="F180268" s="9">
        <v>7</v>
      </c>
    </row>
    <row r="180269" spans="6:6" x14ac:dyDescent="0.25">
      <c r="F180269" s="9">
        <v>3</v>
      </c>
    </row>
    <row r="180270" spans="6:6" x14ac:dyDescent="0.25">
      <c r="F180270" s="9">
        <v>3</v>
      </c>
    </row>
    <row r="180271" spans="6:6" x14ac:dyDescent="0.25">
      <c r="F180271" s="9">
        <v>3</v>
      </c>
    </row>
    <row r="180272" spans="6:6" x14ac:dyDescent="0.25">
      <c r="F180272" s="9">
        <v>3</v>
      </c>
    </row>
    <row r="180273" spans="6:6" x14ac:dyDescent="0.25">
      <c r="F180273" s="9">
        <v>6</v>
      </c>
    </row>
    <row r="180274" spans="6:6" x14ac:dyDescent="0.25">
      <c r="F180274" s="9">
        <v>1</v>
      </c>
    </row>
    <row r="180275" spans="6:6" x14ac:dyDescent="0.25">
      <c r="F180275" s="9">
        <v>5</v>
      </c>
    </row>
    <row r="180276" spans="6:6" x14ac:dyDescent="0.25">
      <c r="F180276" s="9">
        <v>6</v>
      </c>
    </row>
    <row r="180277" spans="6:6" x14ac:dyDescent="0.25">
      <c r="F180277" s="9">
        <v>4</v>
      </c>
    </row>
    <row r="180278" spans="6:6" x14ac:dyDescent="0.25">
      <c r="F180278" s="9">
        <v>3</v>
      </c>
    </row>
    <row r="180279" spans="6:6" x14ac:dyDescent="0.25">
      <c r="F180279" s="9">
        <v>4</v>
      </c>
    </row>
    <row r="180280" spans="6:6" x14ac:dyDescent="0.25">
      <c r="F180280" s="9">
        <v>3</v>
      </c>
    </row>
    <row r="180281" spans="6:6" x14ac:dyDescent="0.25">
      <c r="F180281" s="9">
        <v>1</v>
      </c>
    </row>
    <row r="180282" spans="6:6" x14ac:dyDescent="0.25">
      <c r="F180282" s="9">
        <v>5</v>
      </c>
    </row>
    <row r="180283" spans="6:6" x14ac:dyDescent="0.25">
      <c r="F180283" s="9">
        <v>4</v>
      </c>
    </row>
    <row r="180284" spans="6:6" x14ac:dyDescent="0.25">
      <c r="F180284" s="9">
        <v>6</v>
      </c>
    </row>
    <row r="180285" spans="6:6" x14ac:dyDescent="0.25">
      <c r="F180285" s="9">
        <v>2</v>
      </c>
    </row>
    <row r="180286" spans="6:6" x14ac:dyDescent="0.25">
      <c r="F180286" s="9">
        <v>2</v>
      </c>
    </row>
    <row r="180287" spans="6:6" x14ac:dyDescent="0.25">
      <c r="F180287" s="9">
        <v>4</v>
      </c>
    </row>
    <row r="180288" spans="6:6" x14ac:dyDescent="0.25">
      <c r="F180288" s="9">
        <v>3</v>
      </c>
    </row>
    <row r="180289" spans="6:6" x14ac:dyDescent="0.25">
      <c r="F180289" s="9">
        <v>2</v>
      </c>
    </row>
    <row r="180290" spans="6:6" x14ac:dyDescent="0.25">
      <c r="F180290" s="9">
        <v>7</v>
      </c>
    </row>
    <row r="180291" spans="6:6" x14ac:dyDescent="0.25">
      <c r="F180291" s="9">
        <v>8</v>
      </c>
    </row>
    <row r="180292" spans="6:6" x14ac:dyDescent="0.25">
      <c r="F180292" s="9">
        <v>7</v>
      </c>
    </row>
    <row r="180293" spans="6:6" x14ac:dyDescent="0.25">
      <c r="F180293" s="9">
        <v>6</v>
      </c>
    </row>
    <row r="180294" spans="6:6" x14ac:dyDescent="0.25">
      <c r="F180294" s="9">
        <v>3</v>
      </c>
    </row>
    <row r="180295" spans="6:6" x14ac:dyDescent="0.25">
      <c r="F180295" s="9">
        <v>6</v>
      </c>
    </row>
    <row r="180296" spans="6:6" x14ac:dyDescent="0.25">
      <c r="F180296" s="9">
        <v>3</v>
      </c>
    </row>
    <row r="180297" spans="6:6" x14ac:dyDescent="0.25">
      <c r="F180297" s="9">
        <v>2</v>
      </c>
    </row>
    <row r="180298" spans="6:6" x14ac:dyDescent="0.25">
      <c r="F180298" s="9">
        <v>5</v>
      </c>
    </row>
    <row r="180299" spans="6:6" x14ac:dyDescent="0.25">
      <c r="F180299" s="9">
        <v>3</v>
      </c>
    </row>
    <row r="180300" spans="6:6" x14ac:dyDescent="0.25">
      <c r="F180300" s="9">
        <v>4</v>
      </c>
    </row>
    <row r="180301" spans="6:6" x14ac:dyDescent="0.25">
      <c r="F180301" s="9">
        <v>2</v>
      </c>
    </row>
    <row r="180302" spans="6:6" x14ac:dyDescent="0.25">
      <c r="F180302" s="9">
        <v>4</v>
      </c>
    </row>
    <row r="180303" spans="6:6" x14ac:dyDescent="0.25">
      <c r="F180303" s="9">
        <v>3</v>
      </c>
    </row>
    <row r="180304" spans="6:6" x14ac:dyDescent="0.25">
      <c r="F180304" s="9">
        <v>3</v>
      </c>
    </row>
    <row r="180305" spans="6:6" x14ac:dyDescent="0.25">
      <c r="F180305" s="9">
        <v>4</v>
      </c>
    </row>
    <row r="180306" spans="6:6" x14ac:dyDescent="0.25">
      <c r="F180306" s="9">
        <v>3</v>
      </c>
    </row>
    <row r="180307" spans="6:6" x14ac:dyDescent="0.25">
      <c r="F180307" s="9">
        <v>2</v>
      </c>
    </row>
    <row r="180308" spans="6:6" x14ac:dyDescent="0.25">
      <c r="F180308" s="9">
        <v>3</v>
      </c>
    </row>
    <row r="180309" spans="6:6" x14ac:dyDescent="0.25">
      <c r="F180309" s="9">
        <v>7</v>
      </c>
    </row>
    <row r="180310" spans="6:6" x14ac:dyDescent="0.25">
      <c r="F180310" s="9">
        <v>6</v>
      </c>
    </row>
    <row r="180311" spans="6:6" x14ac:dyDescent="0.25">
      <c r="F180311" s="9">
        <v>5</v>
      </c>
    </row>
    <row r="180312" spans="6:6" x14ac:dyDescent="0.25">
      <c r="F180312" s="9">
        <v>5</v>
      </c>
    </row>
    <row r="180313" spans="6:6" x14ac:dyDescent="0.25">
      <c r="F180313" s="9">
        <v>4</v>
      </c>
    </row>
    <row r="180314" spans="6:6" x14ac:dyDescent="0.25">
      <c r="F180314" s="9">
        <v>5</v>
      </c>
    </row>
    <row r="180315" spans="6:6" x14ac:dyDescent="0.25">
      <c r="F180315" s="9">
        <v>5</v>
      </c>
    </row>
    <row r="180316" spans="6:6" x14ac:dyDescent="0.25">
      <c r="F180316" s="9">
        <v>2</v>
      </c>
    </row>
    <row r="180317" spans="6:6" x14ac:dyDescent="0.25">
      <c r="F180317" s="9">
        <v>3</v>
      </c>
    </row>
    <row r="180318" spans="6:6" x14ac:dyDescent="0.25">
      <c r="F180318" s="9">
        <v>2</v>
      </c>
    </row>
    <row r="180319" spans="6:6" x14ac:dyDescent="0.25">
      <c r="F180319" s="9">
        <v>3</v>
      </c>
    </row>
    <row r="180320" spans="6:6" x14ac:dyDescent="0.25">
      <c r="F180320" s="9">
        <v>4</v>
      </c>
    </row>
    <row r="180321" spans="6:6" x14ac:dyDescent="0.25">
      <c r="F180321" s="9">
        <v>4</v>
      </c>
    </row>
    <row r="180322" spans="6:6" x14ac:dyDescent="0.25">
      <c r="F180322" s="9">
        <v>2</v>
      </c>
    </row>
    <row r="180323" spans="6:6" x14ac:dyDescent="0.25">
      <c r="F180323" s="9">
        <v>3</v>
      </c>
    </row>
    <row r="180324" spans="6:6" x14ac:dyDescent="0.25">
      <c r="F180324" s="9">
        <v>3</v>
      </c>
    </row>
    <row r="180325" spans="6:6" x14ac:dyDescent="0.25">
      <c r="F180325" s="9">
        <v>3</v>
      </c>
    </row>
    <row r="180326" spans="6:6" x14ac:dyDescent="0.25">
      <c r="F180326" s="9">
        <v>2</v>
      </c>
    </row>
    <row r="180327" spans="6:6" x14ac:dyDescent="0.25">
      <c r="F180327" s="9">
        <v>3</v>
      </c>
    </row>
    <row r="180328" spans="6:6" x14ac:dyDescent="0.25">
      <c r="F180328" s="9">
        <v>3</v>
      </c>
    </row>
    <row r="180329" spans="6:6" x14ac:dyDescent="0.25">
      <c r="F180329" s="9">
        <v>3</v>
      </c>
    </row>
    <row r="180330" spans="6:6" x14ac:dyDescent="0.25">
      <c r="F180330" s="9">
        <v>4</v>
      </c>
    </row>
    <row r="180331" spans="6:6" x14ac:dyDescent="0.25">
      <c r="F180331" s="9">
        <v>4</v>
      </c>
    </row>
    <row r="180332" spans="6:6" x14ac:dyDescent="0.25">
      <c r="F180332" s="9">
        <v>2</v>
      </c>
    </row>
    <row r="180333" spans="6:6" x14ac:dyDescent="0.25">
      <c r="F180333" s="9">
        <v>3</v>
      </c>
    </row>
    <row r="180334" spans="6:6" x14ac:dyDescent="0.25">
      <c r="F180334" s="9">
        <v>1</v>
      </c>
    </row>
    <row r="180335" spans="6:6" x14ac:dyDescent="0.25">
      <c r="F180335" s="9">
        <v>1</v>
      </c>
    </row>
    <row r="180336" spans="6:6" x14ac:dyDescent="0.25">
      <c r="F180336" s="9">
        <v>1</v>
      </c>
    </row>
    <row r="180337" spans="6:6" x14ac:dyDescent="0.25">
      <c r="F180337" s="9" t="s">
        <v>133</v>
      </c>
    </row>
    <row r="180338" spans="6:6" x14ac:dyDescent="0.25">
      <c r="F180338" s="6" t="s">
        <v>172</v>
      </c>
    </row>
    <row r="180339" spans="6:6" x14ac:dyDescent="0.25">
      <c r="F180339" s="9" t="s">
        <v>263</v>
      </c>
    </row>
    <row r="180340" spans="6:6" x14ac:dyDescent="0.25">
      <c r="F180340" s="33" t="s">
        <v>264</v>
      </c>
    </row>
    <row r="196609" spans="6:6" x14ac:dyDescent="0.25">
      <c r="F196609" s="84"/>
    </row>
    <row r="196610" spans="6:6" x14ac:dyDescent="0.25">
      <c r="F196610" s="46"/>
    </row>
    <row r="196611" spans="6:6" x14ac:dyDescent="0.25">
      <c r="F196611" s="9">
        <v>4</v>
      </c>
    </row>
    <row r="196612" spans="6:6" x14ac:dyDescent="0.25">
      <c r="F196612" s="9">
        <v>6</v>
      </c>
    </row>
    <row r="196613" spans="6:6" x14ac:dyDescent="0.25">
      <c r="F196613" s="9">
        <v>6</v>
      </c>
    </row>
    <row r="196614" spans="6:6" x14ac:dyDescent="0.25">
      <c r="F196614" s="9">
        <v>6</v>
      </c>
    </row>
    <row r="196615" spans="6:6" x14ac:dyDescent="0.25">
      <c r="F196615" s="9">
        <v>4</v>
      </c>
    </row>
    <row r="196616" spans="6:6" x14ac:dyDescent="0.25">
      <c r="F196616" s="9">
        <v>4</v>
      </c>
    </row>
    <row r="196617" spans="6:6" x14ac:dyDescent="0.25">
      <c r="F196617" s="9">
        <v>5</v>
      </c>
    </row>
    <row r="196618" spans="6:6" x14ac:dyDescent="0.25">
      <c r="F196618" s="9">
        <v>5</v>
      </c>
    </row>
    <row r="196619" spans="6:6" x14ac:dyDescent="0.25">
      <c r="F196619" s="9">
        <v>10</v>
      </c>
    </row>
    <row r="196620" spans="6:6" x14ac:dyDescent="0.25">
      <c r="F196620" s="9">
        <v>8</v>
      </c>
    </row>
    <row r="196621" spans="6:6" x14ac:dyDescent="0.25">
      <c r="F196621" s="9">
        <v>9</v>
      </c>
    </row>
    <row r="196622" spans="6:6" x14ac:dyDescent="0.25">
      <c r="F196622" s="9">
        <v>8</v>
      </c>
    </row>
    <row r="196623" spans="6:6" x14ac:dyDescent="0.25">
      <c r="F196623" s="9">
        <v>8</v>
      </c>
    </row>
    <row r="196624" spans="6:6" x14ac:dyDescent="0.25">
      <c r="F196624" s="9">
        <v>8</v>
      </c>
    </row>
    <row r="196625" spans="6:6" x14ac:dyDescent="0.25">
      <c r="F196625" s="9">
        <v>8</v>
      </c>
    </row>
    <row r="196626" spans="6:6" x14ac:dyDescent="0.25">
      <c r="F196626" s="9">
        <v>5</v>
      </c>
    </row>
    <row r="196627" spans="6:6" x14ac:dyDescent="0.25">
      <c r="F196627" s="9">
        <v>5</v>
      </c>
    </row>
    <row r="196628" spans="6:6" x14ac:dyDescent="0.25">
      <c r="F196628" s="9">
        <v>7</v>
      </c>
    </row>
    <row r="196629" spans="6:6" x14ac:dyDescent="0.25">
      <c r="F196629" s="9">
        <v>5</v>
      </c>
    </row>
    <row r="196630" spans="6:6" x14ac:dyDescent="0.25">
      <c r="F196630" s="9">
        <v>5</v>
      </c>
    </row>
    <row r="196631" spans="6:6" x14ac:dyDescent="0.25">
      <c r="F196631" s="9">
        <v>5</v>
      </c>
    </row>
    <row r="196632" spans="6:6" x14ac:dyDescent="0.25">
      <c r="F196632" s="9">
        <v>4</v>
      </c>
    </row>
    <row r="196633" spans="6:6" x14ac:dyDescent="0.25">
      <c r="F196633" s="9">
        <v>6</v>
      </c>
    </row>
    <row r="196634" spans="6:6" x14ac:dyDescent="0.25">
      <c r="F196634" s="9">
        <v>4</v>
      </c>
    </row>
    <row r="196635" spans="6:6" x14ac:dyDescent="0.25">
      <c r="F196635" s="9">
        <v>4</v>
      </c>
    </row>
    <row r="196636" spans="6:6" x14ac:dyDescent="0.25">
      <c r="F196636" s="9">
        <v>6</v>
      </c>
    </row>
    <row r="196637" spans="6:6" x14ac:dyDescent="0.25">
      <c r="F196637" s="9">
        <v>4</v>
      </c>
    </row>
    <row r="196638" spans="6:6" x14ac:dyDescent="0.25">
      <c r="F196638" s="9">
        <v>6</v>
      </c>
    </row>
    <row r="196639" spans="6:6" x14ac:dyDescent="0.25">
      <c r="F196639" s="9">
        <v>4</v>
      </c>
    </row>
    <row r="196640" spans="6:6" x14ac:dyDescent="0.25">
      <c r="F196640" s="9">
        <v>6</v>
      </c>
    </row>
    <row r="196641" spans="6:6" x14ac:dyDescent="0.25">
      <c r="F196641" s="9">
        <v>4</v>
      </c>
    </row>
    <row r="196642" spans="6:6" x14ac:dyDescent="0.25">
      <c r="F196642" s="9">
        <v>6</v>
      </c>
    </row>
    <row r="196643" spans="6:6" x14ac:dyDescent="0.25">
      <c r="F196643" s="9">
        <v>6</v>
      </c>
    </row>
    <row r="196644" spans="6:6" x14ac:dyDescent="0.25">
      <c r="F196644" s="9">
        <v>5</v>
      </c>
    </row>
    <row r="196645" spans="6:6" x14ac:dyDescent="0.25">
      <c r="F196645" s="9">
        <v>3</v>
      </c>
    </row>
    <row r="196646" spans="6:6" x14ac:dyDescent="0.25">
      <c r="F196646" s="9">
        <v>4</v>
      </c>
    </row>
    <row r="196647" spans="6:6" x14ac:dyDescent="0.25">
      <c r="F196647" s="9">
        <v>4</v>
      </c>
    </row>
    <row r="196648" spans="6:6" x14ac:dyDescent="0.25">
      <c r="F196648" s="9">
        <v>5</v>
      </c>
    </row>
    <row r="196649" spans="6:6" x14ac:dyDescent="0.25">
      <c r="F196649" s="9">
        <v>5</v>
      </c>
    </row>
    <row r="196650" spans="6:6" x14ac:dyDescent="0.25">
      <c r="F196650" s="9">
        <v>2</v>
      </c>
    </row>
    <row r="196651" spans="6:6" x14ac:dyDescent="0.25">
      <c r="F196651" s="9">
        <v>6</v>
      </c>
    </row>
    <row r="196652" spans="6:6" x14ac:dyDescent="0.25">
      <c r="F196652" s="9">
        <v>7</v>
      </c>
    </row>
    <row r="196653" spans="6:6" x14ac:dyDescent="0.25">
      <c r="F196653" s="9">
        <v>3</v>
      </c>
    </row>
    <row r="196654" spans="6:6" x14ac:dyDescent="0.25">
      <c r="F196654" s="9">
        <v>3</v>
      </c>
    </row>
    <row r="196655" spans="6:6" x14ac:dyDescent="0.25">
      <c r="F196655" s="9">
        <v>3</v>
      </c>
    </row>
    <row r="196656" spans="6:6" x14ac:dyDescent="0.25">
      <c r="F196656" s="9">
        <v>3</v>
      </c>
    </row>
    <row r="196657" spans="6:6" x14ac:dyDescent="0.25">
      <c r="F196657" s="9">
        <v>6</v>
      </c>
    </row>
    <row r="196658" spans="6:6" x14ac:dyDescent="0.25">
      <c r="F196658" s="9">
        <v>1</v>
      </c>
    </row>
    <row r="196659" spans="6:6" x14ac:dyDescent="0.25">
      <c r="F196659" s="9">
        <v>5</v>
      </c>
    </row>
    <row r="196660" spans="6:6" x14ac:dyDescent="0.25">
      <c r="F196660" s="9">
        <v>6</v>
      </c>
    </row>
    <row r="196661" spans="6:6" x14ac:dyDescent="0.25">
      <c r="F196661" s="9">
        <v>4</v>
      </c>
    </row>
    <row r="196662" spans="6:6" x14ac:dyDescent="0.25">
      <c r="F196662" s="9">
        <v>3</v>
      </c>
    </row>
    <row r="196663" spans="6:6" x14ac:dyDescent="0.25">
      <c r="F196663" s="9">
        <v>4</v>
      </c>
    </row>
    <row r="196664" spans="6:6" x14ac:dyDescent="0.25">
      <c r="F196664" s="9">
        <v>3</v>
      </c>
    </row>
    <row r="196665" spans="6:6" x14ac:dyDescent="0.25">
      <c r="F196665" s="9">
        <v>1</v>
      </c>
    </row>
    <row r="196666" spans="6:6" x14ac:dyDescent="0.25">
      <c r="F196666" s="9">
        <v>5</v>
      </c>
    </row>
    <row r="196667" spans="6:6" x14ac:dyDescent="0.25">
      <c r="F196667" s="9">
        <v>4</v>
      </c>
    </row>
    <row r="196668" spans="6:6" x14ac:dyDescent="0.25">
      <c r="F196668" s="9">
        <v>6</v>
      </c>
    </row>
    <row r="196669" spans="6:6" x14ac:dyDescent="0.25">
      <c r="F196669" s="9">
        <v>2</v>
      </c>
    </row>
    <row r="196670" spans="6:6" x14ac:dyDescent="0.25">
      <c r="F196670" s="9">
        <v>2</v>
      </c>
    </row>
    <row r="196671" spans="6:6" x14ac:dyDescent="0.25">
      <c r="F196671" s="9">
        <v>4</v>
      </c>
    </row>
    <row r="196672" spans="6:6" x14ac:dyDescent="0.25">
      <c r="F196672" s="9">
        <v>3</v>
      </c>
    </row>
    <row r="196673" spans="6:6" x14ac:dyDescent="0.25">
      <c r="F196673" s="9">
        <v>2</v>
      </c>
    </row>
    <row r="196674" spans="6:6" x14ac:dyDescent="0.25">
      <c r="F196674" s="9">
        <v>7</v>
      </c>
    </row>
    <row r="196675" spans="6:6" x14ac:dyDescent="0.25">
      <c r="F196675" s="9">
        <v>8</v>
      </c>
    </row>
    <row r="196676" spans="6:6" x14ac:dyDescent="0.25">
      <c r="F196676" s="9">
        <v>7</v>
      </c>
    </row>
    <row r="196677" spans="6:6" x14ac:dyDescent="0.25">
      <c r="F196677" s="9">
        <v>6</v>
      </c>
    </row>
    <row r="196678" spans="6:6" x14ac:dyDescent="0.25">
      <c r="F196678" s="9">
        <v>3</v>
      </c>
    </row>
    <row r="196679" spans="6:6" x14ac:dyDescent="0.25">
      <c r="F196679" s="9">
        <v>6</v>
      </c>
    </row>
    <row r="196680" spans="6:6" x14ac:dyDescent="0.25">
      <c r="F196680" s="9">
        <v>3</v>
      </c>
    </row>
    <row r="196681" spans="6:6" x14ac:dyDescent="0.25">
      <c r="F196681" s="9">
        <v>2</v>
      </c>
    </row>
    <row r="196682" spans="6:6" x14ac:dyDescent="0.25">
      <c r="F196682" s="9">
        <v>5</v>
      </c>
    </row>
    <row r="196683" spans="6:6" x14ac:dyDescent="0.25">
      <c r="F196683" s="9">
        <v>3</v>
      </c>
    </row>
    <row r="196684" spans="6:6" x14ac:dyDescent="0.25">
      <c r="F196684" s="9">
        <v>4</v>
      </c>
    </row>
    <row r="196685" spans="6:6" x14ac:dyDescent="0.25">
      <c r="F196685" s="9">
        <v>2</v>
      </c>
    </row>
    <row r="196686" spans="6:6" x14ac:dyDescent="0.25">
      <c r="F196686" s="9">
        <v>4</v>
      </c>
    </row>
    <row r="196687" spans="6:6" x14ac:dyDescent="0.25">
      <c r="F196687" s="9">
        <v>3</v>
      </c>
    </row>
    <row r="196688" spans="6:6" x14ac:dyDescent="0.25">
      <c r="F196688" s="9">
        <v>3</v>
      </c>
    </row>
    <row r="196689" spans="6:6" x14ac:dyDescent="0.25">
      <c r="F196689" s="9">
        <v>4</v>
      </c>
    </row>
    <row r="196690" spans="6:6" x14ac:dyDescent="0.25">
      <c r="F196690" s="9">
        <v>3</v>
      </c>
    </row>
    <row r="196691" spans="6:6" x14ac:dyDescent="0.25">
      <c r="F196691" s="9">
        <v>2</v>
      </c>
    </row>
    <row r="196692" spans="6:6" x14ac:dyDescent="0.25">
      <c r="F196692" s="9">
        <v>3</v>
      </c>
    </row>
    <row r="196693" spans="6:6" x14ac:dyDescent="0.25">
      <c r="F196693" s="9">
        <v>7</v>
      </c>
    </row>
    <row r="196694" spans="6:6" x14ac:dyDescent="0.25">
      <c r="F196694" s="9">
        <v>6</v>
      </c>
    </row>
    <row r="196695" spans="6:6" x14ac:dyDescent="0.25">
      <c r="F196695" s="9">
        <v>5</v>
      </c>
    </row>
    <row r="196696" spans="6:6" x14ac:dyDescent="0.25">
      <c r="F196696" s="9">
        <v>5</v>
      </c>
    </row>
    <row r="196697" spans="6:6" x14ac:dyDescent="0.25">
      <c r="F196697" s="9">
        <v>4</v>
      </c>
    </row>
    <row r="196698" spans="6:6" x14ac:dyDescent="0.25">
      <c r="F196698" s="9">
        <v>5</v>
      </c>
    </row>
    <row r="196699" spans="6:6" x14ac:dyDescent="0.25">
      <c r="F196699" s="9">
        <v>5</v>
      </c>
    </row>
    <row r="196700" spans="6:6" x14ac:dyDescent="0.25">
      <c r="F196700" s="9">
        <v>2</v>
      </c>
    </row>
    <row r="196701" spans="6:6" x14ac:dyDescent="0.25">
      <c r="F196701" s="9">
        <v>3</v>
      </c>
    </row>
    <row r="196702" spans="6:6" x14ac:dyDescent="0.25">
      <c r="F196702" s="9">
        <v>2</v>
      </c>
    </row>
    <row r="196703" spans="6:6" x14ac:dyDescent="0.25">
      <c r="F196703" s="9">
        <v>3</v>
      </c>
    </row>
    <row r="196704" spans="6:6" x14ac:dyDescent="0.25">
      <c r="F196704" s="9">
        <v>4</v>
      </c>
    </row>
    <row r="196705" spans="6:6" x14ac:dyDescent="0.25">
      <c r="F196705" s="9">
        <v>4</v>
      </c>
    </row>
    <row r="196706" spans="6:6" x14ac:dyDescent="0.25">
      <c r="F196706" s="9">
        <v>2</v>
      </c>
    </row>
    <row r="196707" spans="6:6" x14ac:dyDescent="0.25">
      <c r="F196707" s="9">
        <v>3</v>
      </c>
    </row>
    <row r="196708" spans="6:6" x14ac:dyDescent="0.25">
      <c r="F196708" s="9">
        <v>3</v>
      </c>
    </row>
    <row r="196709" spans="6:6" x14ac:dyDescent="0.25">
      <c r="F196709" s="9">
        <v>3</v>
      </c>
    </row>
    <row r="196710" spans="6:6" x14ac:dyDescent="0.25">
      <c r="F196710" s="9">
        <v>2</v>
      </c>
    </row>
    <row r="196711" spans="6:6" x14ac:dyDescent="0.25">
      <c r="F196711" s="9">
        <v>3</v>
      </c>
    </row>
    <row r="196712" spans="6:6" x14ac:dyDescent="0.25">
      <c r="F196712" s="9">
        <v>3</v>
      </c>
    </row>
    <row r="196713" spans="6:6" x14ac:dyDescent="0.25">
      <c r="F196713" s="9">
        <v>3</v>
      </c>
    </row>
    <row r="196714" spans="6:6" x14ac:dyDescent="0.25">
      <c r="F196714" s="9">
        <v>4</v>
      </c>
    </row>
    <row r="196715" spans="6:6" x14ac:dyDescent="0.25">
      <c r="F196715" s="9">
        <v>4</v>
      </c>
    </row>
    <row r="196716" spans="6:6" x14ac:dyDescent="0.25">
      <c r="F196716" s="9">
        <v>2</v>
      </c>
    </row>
    <row r="196717" spans="6:6" x14ac:dyDescent="0.25">
      <c r="F196717" s="9">
        <v>3</v>
      </c>
    </row>
    <row r="196718" spans="6:6" x14ac:dyDescent="0.25">
      <c r="F196718" s="9">
        <v>1</v>
      </c>
    </row>
    <row r="196719" spans="6:6" x14ac:dyDescent="0.25">
      <c r="F196719" s="9">
        <v>1</v>
      </c>
    </row>
    <row r="196720" spans="6:6" x14ac:dyDescent="0.25">
      <c r="F196720" s="9">
        <v>1</v>
      </c>
    </row>
    <row r="196721" spans="6:6" x14ac:dyDescent="0.25">
      <c r="F196721" s="9" t="s">
        <v>133</v>
      </c>
    </row>
    <row r="196722" spans="6:6" x14ac:dyDescent="0.25">
      <c r="F196722" s="6" t="s">
        <v>172</v>
      </c>
    </row>
    <row r="196723" spans="6:6" x14ac:dyDescent="0.25">
      <c r="F196723" s="9" t="s">
        <v>263</v>
      </c>
    </row>
    <row r="196724" spans="6:6" x14ac:dyDescent="0.25">
      <c r="F196724" s="33" t="s">
        <v>264</v>
      </c>
    </row>
    <row r="212993" spans="6:6" x14ac:dyDescent="0.25">
      <c r="F212993" s="84"/>
    </row>
    <row r="212994" spans="6:6" x14ac:dyDescent="0.25">
      <c r="F212994" s="46"/>
    </row>
    <row r="212995" spans="6:6" x14ac:dyDescent="0.25">
      <c r="F212995" s="9">
        <v>4</v>
      </c>
    </row>
    <row r="212996" spans="6:6" x14ac:dyDescent="0.25">
      <c r="F212996" s="9">
        <v>6</v>
      </c>
    </row>
    <row r="212997" spans="6:6" x14ac:dyDescent="0.25">
      <c r="F212997" s="9">
        <v>6</v>
      </c>
    </row>
    <row r="212998" spans="6:6" x14ac:dyDescent="0.25">
      <c r="F212998" s="9">
        <v>6</v>
      </c>
    </row>
    <row r="212999" spans="6:6" x14ac:dyDescent="0.25">
      <c r="F212999" s="9">
        <v>4</v>
      </c>
    </row>
    <row r="213000" spans="6:6" x14ac:dyDescent="0.25">
      <c r="F213000" s="9">
        <v>4</v>
      </c>
    </row>
    <row r="213001" spans="6:6" x14ac:dyDescent="0.25">
      <c r="F213001" s="9">
        <v>5</v>
      </c>
    </row>
    <row r="213002" spans="6:6" x14ac:dyDescent="0.25">
      <c r="F213002" s="9">
        <v>5</v>
      </c>
    </row>
    <row r="213003" spans="6:6" x14ac:dyDescent="0.25">
      <c r="F213003" s="9">
        <v>10</v>
      </c>
    </row>
    <row r="213004" spans="6:6" x14ac:dyDescent="0.25">
      <c r="F213004" s="9">
        <v>8</v>
      </c>
    </row>
    <row r="213005" spans="6:6" x14ac:dyDescent="0.25">
      <c r="F213005" s="9">
        <v>9</v>
      </c>
    </row>
    <row r="213006" spans="6:6" x14ac:dyDescent="0.25">
      <c r="F213006" s="9">
        <v>8</v>
      </c>
    </row>
    <row r="213007" spans="6:6" x14ac:dyDescent="0.25">
      <c r="F213007" s="9">
        <v>8</v>
      </c>
    </row>
    <row r="213008" spans="6:6" x14ac:dyDescent="0.25">
      <c r="F213008" s="9">
        <v>8</v>
      </c>
    </row>
    <row r="213009" spans="6:6" x14ac:dyDescent="0.25">
      <c r="F213009" s="9">
        <v>8</v>
      </c>
    </row>
    <row r="213010" spans="6:6" x14ac:dyDescent="0.25">
      <c r="F213010" s="9">
        <v>5</v>
      </c>
    </row>
    <row r="213011" spans="6:6" x14ac:dyDescent="0.25">
      <c r="F213011" s="9">
        <v>5</v>
      </c>
    </row>
    <row r="213012" spans="6:6" x14ac:dyDescent="0.25">
      <c r="F213012" s="9">
        <v>7</v>
      </c>
    </row>
    <row r="213013" spans="6:6" x14ac:dyDescent="0.25">
      <c r="F213013" s="9">
        <v>5</v>
      </c>
    </row>
    <row r="213014" spans="6:6" x14ac:dyDescent="0.25">
      <c r="F213014" s="9">
        <v>5</v>
      </c>
    </row>
    <row r="213015" spans="6:6" x14ac:dyDescent="0.25">
      <c r="F213015" s="9">
        <v>5</v>
      </c>
    </row>
    <row r="213016" spans="6:6" x14ac:dyDescent="0.25">
      <c r="F213016" s="9">
        <v>4</v>
      </c>
    </row>
    <row r="213017" spans="6:6" x14ac:dyDescent="0.25">
      <c r="F213017" s="9">
        <v>6</v>
      </c>
    </row>
    <row r="213018" spans="6:6" x14ac:dyDescent="0.25">
      <c r="F213018" s="9">
        <v>4</v>
      </c>
    </row>
    <row r="213019" spans="6:6" x14ac:dyDescent="0.25">
      <c r="F213019" s="9">
        <v>4</v>
      </c>
    </row>
    <row r="213020" spans="6:6" x14ac:dyDescent="0.25">
      <c r="F213020" s="9">
        <v>6</v>
      </c>
    </row>
    <row r="213021" spans="6:6" x14ac:dyDescent="0.25">
      <c r="F213021" s="9">
        <v>4</v>
      </c>
    </row>
    <row r="213022" spans="6:6" x14ac:dyDescent="0.25">
      <c r="F213022" s="9">
        <v>6</v>
      </c>
    </row>
    <row r="213023" spans="6:6" x14ac:dyDescent="0.25">
      <c r="F213023" s="9">
        <v>4</v>
      </c>
    </row>
    <row r="213024" spans="6:6" x14ac:dyDescent="0.25">
      <c r="F213024" s="9">
        <v>6</v>
      </c>
    </row>
    <row r="213025" spans="6:6" x14ac:dyDescent="0.25">
      <c r="F213025" s="9">
        <v>4</v>
      </c>
    </row>
    <row r="213026" spans="6:6" x14ac:dyDescent="0.25">
      <c r="F213026" s="9">
        <v>6</v>
      </c>
    </row>
    <row r="213027" spans="6:6" x14ac:dyDescent="0.25">
      <c r="F213027" s="9">
        <v>6</v>
      </c>
    </row>
    <row r="213028" spans="6:6" x14ac:dyDescent="0.25">
      <c r="F213028" s="9">
        <v>5</v>
      </c>
    </row>
    <row r="213029" spans="6:6" x14ac:dyDescent="0.25">
      <c r="F213029" s="9">
        <v>3</v>
      </c>
    </row>
    <row r="213030" spans="6:6" x14ac:dyDescent="0.25">
      <c r="F213030" s="9">
        <v>4</v>
      </c>
    </row>
    <row r="213031" spans="6:6" x14ac:dyDescent="0.25">
      <c r="F213031" s="9">
        <v>4</v>
      </c>
    </row>
    <row r="213032" spans="6:6" x14ac:dyDescent="0.25">
      <c r="F213032" s="9">
        <v>5</v>
      </c>
    </row>
    <row r="213033" spans="6:6" x14ac:dyDescent="0.25">
      <c r="F213033" s="9">
        <v>5</v>
      </c>
    </row>
    <row r="213034" spans="6:6" x14ac:dyDescent="0.25">
      <c r="F213034" s="9">
        <v>2</v>
      </c>
    </row>
    <row r="213035" spans="6:6" x14ac:dyDescent="0.25">
      <c r="F213035" s="9">
        <v>6</v>
      </c>
    </row>
    <row r="213036" spans="6:6" x14ac:dyDescent="0.25">
      <c r="F213036" s="9">
        <v>7</v>
      </c>
    </row>
    <row r="213037" spans="6:6" x14ac:dyDescent="0.25">
      <c r="F213037" s="9">
        <v>3</v>
      </c>
    </row>
    <row r="213038" spans="6:6" x14ac:dyDescent="0.25">
      <c r="F213038" s="9">
        <v>3</v>
      </c>
    </row>
    <row r="213039" spans="6:6" x14ac:dyDescent="0.25">
      <c r="F213039" s="9">
        <v>3</v>
      </c>
    </row>
    <row r="213040" spans="6:6" x14ac:dyDescent="0.25">
      <c r="F213040" s="9">
        <v>3</v>
      </c>
    </row>
    <row r="213041" spans="6:6" x14ac:dyDescent="0.25">
      <c r="F213041" s="9">
        <v>6</v>
      </c>
    </row>
    <row r="213042" spans="6:6" x14ac:dyDescent="0.25">
      <c r="F213042" s="9">
        <v>1</v>
      </c>
    </row>
    <row r="213043" spans="6:6" x14ac:dyDescent="0.25">
      <c r="F213043" s="9">
        <v>5</v>
      </c>
    </row>
    <row r="213044" spans="6:6" x14ac:dyDescent="0.25">
      <c r="F213044" s="9">
        <v>6</v>
      </c>
    </row>
    <row r="213045" spans="6:6" x14ac:dyDescent="0.25">
      <c r="F213045" s="9">
        <v>4</v>
      </c>
    </row>
    <row r="213046" spans="6:6" x14ac:dyDescent="0.25">
      <c r="F213046" s="9">
        <v>3</v>
      </c>
    </row>
    <row r="213047" spans="6:6" x14ac:dyDescent="0.25">
      <c r="F213047" s="9">
        <v>4</v>
      </c>
    </row>
    <row r="213048" spans="6:6" x14ac:dyDescent="0.25">
      <c r="F213048" s="9">
        <v>3</v>
      </c>
    </row>
    <row r="213049" spans="6:6" x14ac:dyDescent="0.25">
      <c r="F213049" s="9">
        <v>1</v>
      </c>
    </row>
    <row r="213050" spans="6:6" x14ac:dyDescent="0.25">
      <c r="F213050" s="9">
        <v>5</v>
      </c>
    </row>
    <row r="213051" spans="6:6" x14ac:dyDescent="0.25">
      <c r="F213051" s="9">
        <v>4</v>
      </c>
    </row>
    <row r="213052" spans="6:6" x14ac:dyDescent="0.25">
      <c r="F213052" s="9">
        <v>6</v>
      </c>
    </row>
    <row r="213053" spans="6:6" x14ac:dyDescent="0.25">
      <c r="F213053" s="9">
        <v>2</v>
      </c>
    </row>
    <row r="213054" spans="6:6" x14ac:dyDescent="0.25">
      <c r="F213054" s="9">
        <v>2</v>
      </c>
    </row>
    <row r="213055" spans="6:6" x14ac:dyDescent="0.25">
      <c r="F213055" s="9">
        <v>4</v>
      </c>
    </row>
    <row r="213056" spans="6:6" x14ac:dyDescent="0.25">
      <c r="F213056" s="9">
        <v>3</v>
      </c>
    </row>
    <row r="213057" spans="6:6" x14ac:dyDescent="0.25">
      <c r="F213057" s="9">
        <v>2</v>
      </c>
    </row>
    <row r="213058" spans="6:6" x14ac:dyDescent="0.25">
      <c r="F213058" s="9">
        <v>7</v>
      </c>
    </row>
    <row r="213059" spans="6:6" x14ac:dyDescent="0.25">
      <c r="F213059" s="9">
        <v>8</v>
      </c>
    </row>
    <row r="213060" spans="6:6" x14ac:dyDescent="0.25">
      <c r="F213060" s="9">
        <v>7</v>
      </c>
    </row>
    <row r="213061" spans="6:6" x14ac:dyDescent="0.25">
      <c r="F213061" s="9">
        <v>6</v>
      </c>
    </row>
    <row r="213062" spans="6:6" x14ac:dyDescent="0.25">
      <c r="F213062" s="9">
        <v>3</v>
      </c>
    </row>
    <row r="213063" spans="6:6" x14ac:dyDescent="0.25">
      <c r="F213063" s="9">
        <v>6</v>
      </c>
    </row>
    <row r="213064" spans="6:6" x14ac:dyDescent="0.25">
      <c r="F213064" s="9">
        <v>3</v>
      </c>
    </row>
    <row r="213065" spans="6:6" x14ac:dyDescent="0.25">
      <c r="F213065" s="9">
        <v>2</v>
      </c>
    </row>
    <row r="213066" spans="6:6" x14ac:dyDescent="0.25">
      <c r="F213066" s="9">
        <v>5</v>
      </c>
    </row>
    <row r="213067" spans="6:6" x14ac:dyDescent="0.25">
      <c r="F213067" s="9">
        <v>3</v>
      </c>
    </row>
    <row r="213068" spans="6:6" x14ac:dyDescent="0.25">
      <c r="F213068" s="9">
        <v>4</v>
      </c>
    </row>
    <row r="213069" spans="6:6" x14ac:dyDescent="0.25">
      <c r="F213069" s="9">
        <v>2</v>
      </c>
    </row>
    <row r="213070" spans="6:6" x14ac:dyDescent="0.25">
      <c r="F213070" s="9">
        <v>4</v>
      </c>
    </row>
    <row r="213071" spans="6:6" x14ac:dyDescent="0.25">
      <c r="F213071" s="9">
        <v>3</v>
      </c>
    </row>
    <row r="213072" spans="6:6" x14ac:dyDescent="0.25">
      <c r="F213072" s="9">
        <v>3</v>
      </c>
    </row>
    <row r="213073" spans="6:6" x14ac:dyDescent="0.25">
      <c r="F213073" s="9">
        <v>4</v>
      </c>
    </row>
    <row r="213074" spans="6:6" x14ac:dyDescent="0.25">
      <c r="F213074" s="9">
        <v>3</v>
      </c>
    </row>
    <row r="213075" spans="6:6" x14ac:dyDescent="0.25">
      <c r="F213075" s="9">
        <v>2</v>
      </c>
    </row>
    <row r="213076" spans="6:6" x14ac:dyDescent="0.25">
      <c r="F213076" s="9">
        <v>3</v>
      </c>
    </row>
    <row r="213077" spans="6:6" x14ac:dyDescent="0.25">
      <c r="F213077" s="9">
        <v>7</v>
      </c>
    </row>
    <row r="213078" spans="6:6" x14ac:dyDescent="0.25">
      <c r="F213078" s="9">
        <v>6</v>
      </c>
    </row>
    <row r="213079" spans="6:6" x14ac:dyDescent="0.25">
      <c r="F213079" s="9">
        <v>5</v>
      </c>
    </row>
    <row r="213080" spans="6:6" x14ac:dyDescent="0.25">
      <c r="F213080" s="9">
        <v>5</v>
      </c>
    </row>
    <row r="213081" spans="6:6" x14ac:dyDescent="0.25">
      <c r="F213081" s="9">
        <v>4</v>
      </c>
    </row>
    <row r="213082" spans="6:6" x14ac:dyDescent="0.25">
      <c r="F213082" s="9">
        <v>5</v>
      </c>
    </row>
    <row r="213083" spans="6:6" x14ac:dyDescent="0.25">
      <c r="F213083" s="9">
        <v>5</v>
      </c>
    </row>
    <row r="213084" spans="6:6" x14ac:dyDescent="0.25">
      <c r="F213084" s="9">
        <v>2</v>
      </c>
    </row>
    <row r="213085" spans="6:6" x14ac:dyDescent="0.25">
      <c r="F213085" s="9">
        <v>3</v>
      </c>
    </row>
    <row r="213086" spans="6:6" x14ac:dyDescent="0.25">
      <c r="F213086" s="9">
        <v>2</v>
      </c>
    </row>
    <row r="213087" spans="6:6" x14ac:dyDescent="0.25">
      <c r="F213087" s="9">
        <v>3</v>
      </c>
    </row>
    <row r="213088" spans="6:6" x14ac:dyDescent="0.25">
      <c r="F213088" s="9">
        <v>4</v>
      </c>
    </row>
    <row r="213089" spans="6:6" x14ac:dyDescent="0.25">
      <c r="F213089" s="9">
        <v>4</v>
      </c>
    </row>
    <row r="213090" spans="6:6" x14ac:dyDescent="0.25">
      <c r="F213090" s="9">
        <v>2</v>
      </c>
    </row>
    <row r="213091" spans="6:6" x14ac:dyDescent="0.25">
      <c r="F213091" s="9">
        <v>3</v>
      </c>
    </row>
    <row r="213092" spans="6:6" x14ac:dyDescent="0.25">
      <c r="F213092" s="9">
        <v>3</v>
      </c>
    </row>
    <row r="213093" spans="6:6" x14ac:dyDescent="0.25">
      <c r="F213093" s="9">
        <v>3</v>
      </c>
    </row>
    <row r="213094" spans="6:6" x14ac:dyDescent="0.25">
      <c r="F213094" s="9">
        <v>2</v>
      </c>
    </row>
    <row r="213095" spans="6:6" x14ac:dyDescent="0.25">
      <c r="F213095" s="9">
        <v>3</v>
      </c>
    </row>
    <row r="213096" spans="6:6" x14ac:dyDescent="0.25">
      <c r="F213096" s="9">
        <v>3</v>
      </c>
    </row>
    <row r="213097" spans="6:6" x14ac:dyDescent="0.25">
      <c r="F213097" s="9">
        <v>3</v>
      </c>
    </row>
    <row r="213098" spans="6:6" x14ac:dyDescent="0.25">
      <c r="F213098" s="9">
        <v>4</v>
      </c>
    </row>
    <row r="213099" spans="6:6" x14ac:dyDescent="0.25">
      <c r="F213099" s="9">
        <v>4</v>
      </c>
    </row>
    <row r="213100" spans="6:6" x14ac:dyDescent="0.25">
      <c r="F213100" s="9">
        <v>2</v>
      </c>
    </row>
    <row r="213101" spans="6:6" x14ac:dyDescent="0.25">
      <c r="F213101" s="9">
        <v>3</v>
      </c>
    </row>
    <row r="213102" spans="6:6" x14ac:dyDescent="0.25">
      <c r="F213102" s="9">
        <v>1</v>
      </c>
    </row>
    <row r="213103" spans="6:6" x14ac:dyDescent="0.25">
      <c r="F213103" s="9">
        <v>1</v>
      </c>
    </row>
    <row r="213104" spans="6:6" x14ac:dyDescent="0.25">
      <c r="F213104" s="9">
        <v>1</v>
      </c>
    </row>
    <row r="213105" spans="6:6" x14ac:dyDescent="0.25">
      <c r="F213105" s="9" t="s">
        <v>133</v>
      </c>
    </row>
    <row r="213106" spans="6:6" x14ac:dyDescent="0.25">
      <c r="F213106" s="6" t="s">
        <v>172</v>
      </c>
    </row>
    <row r="213107" spans="6:6" x14ac:dyDescent="0.25">
      <c r="F213107" s="9" t="s">
        <v>263</v>
      </c>
    </row>
    <row r="213108" spans="6:6" x14ac:dyDescent="0.25">
      <c r="F213108" s="33" t="s">
        <v>264</v>
      </c>
    </row>
    <row r="229377" spans="6:6" x14ac:dyDescent="0.25">
      <c r="F229377" s="84"/>
    </row>
    <row r="229378" spans="6:6" x14ac:dyDescent="0.25">
      <c r="F229378" s="46"/>
    </row>
    <row r="229379" spans="6:6" x14ac:dyDescent="0.25">
      <c r="F229379" s="9">
        <v>4</v>
      </c>
    </row>
    <row r="229380" spans="6:6" x14ac:dyDescent="0.25">
      <c r="F229380" s="9">
        <v>6</v>
      </c>
    </row>
    <row r="229381" spans="6:6" x14ac:dyDescent="0.25">
      <c r="F229381" s="9">
        <v>6</v>
      </c>
    </row>
    <row r="229382" spans="6:6" x14ac:dyDescent="0.25">
      <c r="F229382" s="9">
        <v>6</v>
      </c>
    </row>
    <row r="229383" spans="6:6" x14ac:dyDescent="0.25">
      <c r="F229383" s="9">
        <v>4</v>
      </c>
    </row>
    <row r="229384" spans="6:6" x14ac:dyDescent="0.25">
      <c r="F229384" s="9">
        <v>4</v>
      </c>
    </row>
    <row r="229385" spans="6:6" x14ac:dyDescent="0.25">
      <c r="F229385" s="9">
        <v>5</v>
      </c>
    </row>
    <row r="229386" spans="6:6" x14ac:dyDescent="0.25">
      <c r="F229386" s="9">
        <v>5</v>
      </c>
    </row>
    <row r="229387" spans="6:6" x14ac:dyDescent="0.25">
      <c r="F229387" s="9">
        <v>10</v>
      </c>
    </row>
    <row r="229388" spans="6:6" x14ac:dyDescent="0.25">
      <c r="F229388" s="9">
        <v>8</v>
      </c>
    </row>
    <row r="229389" spans="6:6" x14ac:dyDescent="0.25">
      <c r="F229389" s="9">
        <v>9</v>
      </c>
    </row>
    <row r="229390" spans="6:6" x14ac:dyDescent="0.25">
      <c r="F229390" s="9">
        <v>8</v>
      </c>
    </row>
    <row r="229391" spans="6:6" x14ac:dyDescent="0.25">
      <c r="F229391" s="9">
        <v>8</v>
      </c>
    </row>
    <row r="229392" spans="6:6" x14ac:dyDescent="0.25">
      <c r="F229392" s="9">
        <v>8</v>
      </c>
    </row>
    <row r="229393" spans="6:6" x14ac:dyDescent="0.25">
      <c r="F229393" s="9">
        <v>8</v>
      </c>
    </row>
    <row r="229394" spans="6:6" x14ac:dyDescent="0.25">
      <c r="F229394" s="9">
        <v>5</v>
      </c>
    </row>
    <row r="229395" spans="6:6" x14ac:dyDescent="0.25">
      <c r="F229395" s="9">
        <v>5</v>
      </c>
    </row>
    <row r="229396" spans="6:6" x14ac:dyDescent="0.25">
      <c r="F229396" s="9">
        <v>7</v>
      </c>
    </row>
    <row r="229397" spans="6:6" x14ac:dyDescent="0.25">
      <c r="F229397" s="9">
        <v>5</v>
      </c>
    </row>
    <row r="229398" spans="6:6" x14ac:dyDescent="0.25">
      <c r="F229398" s="9">
        <v>5</v>
      </c>
    </row>
    <row r="229399" spans="6:6" x14ac:dyDescent="0.25">
      <c r="F229399" s="9">
        <v>5</v>
      </c>
    </row>
    <row r="229400" spans="6:6" x14ac:dyDescent="0.25">
      <c r="F229400" s="9">
        <v>4</v>
      </c>
    </row>
    <row r="229401" spans="6:6" x14ac:dyDescent="0.25">
      <c r="F229401" s="9">
        <v>6</v>
      </c>
    </row>
    <row r="229402" spans="6:6" x14ac:dyDescent="0.25">
      <c r="F229402" s="9">
        <v>4</v>
      </c>
    </row>
    <row r="229403" spans="6:6" x14ac:dyDescent="0.25">
      <c r="F229403" s="9">
        <v>4</v>
      </c>
    </row>
    <row r="229404" spans="6:6" x14ac:dyDescent="0.25">
      <c r="F229404" s="9">
        <v>6</v>
      </c>
    </row>
    <row r="229405" spans="6:6" x14ac:dyDescent="0.25">
      <c r="F229405" s="9">
        <v>4</v>
      </c>
    </row>
    <row r="229406" spans="6:6" x14ac:dyDescent="0.25">
      <c r="F229406" s="9">
        <v>6</v>
      </c>
    </row>
    <row r="229407" spans="6:6" x14ac:dyDescent="0.25">
      <c r="F229407" s="9">
        <v>4</v>
      </c>
    </row>
    <row r="229408" spans="6:6" x14ac:dyDescent="0.25">
      <c r="F229408" s="9">
        <v>6</v>
      </c>
    </row>
    <row r="229409" spans="6:6" x14ac:dyDescent="0.25">
      <c r="F229409" s="9">
        <v>4</v>
      </c>
    </row>
    <row r="229410" spans="6:6" x14ac:dyDescent="0.25">
      <c r="F229410" s="9">
        <v>6</v>
      </c>
    </row>
    <row r="229411" spans="6:6" x14ac:dyDescent="0.25">
      <c r="F229411" s="9">
        <v>6</v>
      </c>
    </row>
    <row r="229412" spans="6:6" x14ac:dyDescent="0.25">
      <c r="F229412" s="9">
        <v>5</v>
      </c>
    </row>
    <row r="229413" spans="6:6" x14ac:dyDescent="0.25">
      <c r="F229413" s="9">
        <v>3</v>
      </c>
    </row>
    <row r="229414" spans="6:6" x14ac:dyDescent="0.25">
      <c r="F229414" s="9">
        <v>4</v>
      </c>
    </row>
    <row r="229415" spans="6:6" x14ac:dyDescent="0.25">
      <c r="F229415" s="9">
        <v>4</v>
      </c>
    </row>
    <row r="229416" spans="6:6" x14ac:dyDescent="0.25">
      <c r="F229416" s="9">
        <v>5</v>
      </c>
    </row>
    <row r="229417" spans="6:6" x14ac:dyDescent="0.25">
      <c r="F229417" s="9">
        <v>5</v>
      </c>
    </row>
    <row r="229418" spans="6:6" x14ac:dyDescent="0.25">
      <c r="F229418" s="9">
        <v>2</v>
      </c>
    </row>
    <row r="229419" spans="6:6" x14ac:dyDescent="0.25">
      <c r="F229419" s="9">
        <v>6</v>
      </c>
    </row>
    <row r="229420" spans="6:6" x14ac:dyDescent="0.25">
      <c r="F229420" s="9">
        <v>7</v>
      </c>
    </row>
    <row r="229421" spans="6:6" x14ac:dyDescent="0.25">
      <c r="F229421" s="9">
        <v>3</v>
      </c>
    </row>
    <row r="229422" spans="6:6" x14ac:dyDescent="0.25">
      <c r="F229422" s="9">
        <v>3</v>
      </c>
    </row>
    <row r="229423" spans="6:6" x14ac:dyDescent="0.25">
      <c r="F229423" s="9">
        <v>3</v>
      </c>
    </row>
    <row r="229424" spans="6:6" x14ac:dyDescent="0.25">
      <c r="F229424" s="9">
        <v>3</v>
      </c>
    </row>
    <row r="229425" spans="6:6" x14ac:dyDescent="0.25">
      <c r="F229425" s="9">
        <v>6</v>
      </c>
    </row>
    <row r="229426" spans="6:6" x14ac:dyDescent="0.25">
      <c r="F229426" s="9">
        <v>1</v>
      </c>
    </row>
    <row r="229427" spans="6:6" x14ac:dyDescent="0.25">
      <c r="F229427" s="9">
        <v>5</v>
      </c>
    </row>
    <row r="229428" spans="6:6" x14ac:dyDescent="0.25">
      <c r="F229428" s="9">
        <v>6</v>
      </c>
    </row>
    <row r="229429" spans="6:6" x14ac:dyDescent="0.25">
      <c r="F229429" s="9">
        <v>4</v>
      </c>
    </row>
    <row r="229430" spans="6:6" x14ac:dyDescent="0.25">
      <c r="F229430" s="9">
        <v>3</v>
      </c>
    </row>
    <row r="229431" spans="6:6" x14ac:dyDescent="0.25">
      <c r="F229431" s="9">
        <v>4</v>
      </c>
    </row>
    <row r="229432" spans="6:6" x14ac:dyDescent="0.25">
      <c r="F229432" s="9">
        <v>3</v>
      </c>
    </row>
    <row r="229433" spans="6:6" x14ac:dyDescent="0.25">
      <c r="F229433" s="9">
        <v>1</v>
      </c>
    </row>
    <row r="229434" spans="6:6" x14ac:dyDescent="0.25">
      <c r="F229434" s="9">
        <v>5</v>
      </c>
    </row>
    <row r="229435" spans="6:6" x14ac:dyDescent="0.25">
      <c r="F229435" s="9">
        <v>4</v>
      </c>
    </row>
    <row r="229436" spans="6:6" x14ac:dyDescent="0.25">
      <c r="F229436" s="9">
        <v>6</v>
      </c>
    </row>
    <row r="229437" spans="6:6" x14ac:dyDescent="0.25">
      <c r="F229437" s="9">
        <v>2</v>
      </c>
    </row>
    <row r="229438" spans="6:6" x14ac:dyDescent="0.25">
      <c r="F229438" s="9">
        <v>2</v>
      </c>
    </row>
    <row r="229439" spans="6:6" x14ac:dyDescent="0.25">
      <c r="F229439" s="9">
        <v>4</v>
      </c>
    </row>
    <row r="229440" spans="6:6" x14ac:dyDescent="0.25">
      <c r="F229440" s="9">
        <v>3</v>
      </c>
    </row>
    <row r="229441" spans="6:6" x14ac:dyDescent="0.25">
      <c r="F229441" s="9">
        <v>2</v>
      </c>
    </row>
    <row r="229442" spans="6:6" x14ac:dyDescent="0.25">
      <c r="F229442" s="9">
        <v>7</v>
      </c>
    </row>
    <row r="229443" spans="6:6" x14ac:dyDescent="0.25">
      <c r="F229443" s="9">
        <v>8</v>
      </c>
    </row>
    <row r="229444" spans="6:6" x14ac:dyDescent="0.25">
      <c r="F229444" s="9">
        <v>7</v>
      </c>
    </row>
    <row r="229445" spans="6:6" x14ac:dyDescent="0.25">
      <c r="F229445" s="9">
        <v>6</v>
      </c>
    </row>
    <row r="229446" spans="6:6" x14ac:dyDescent="0.25">
      <c r="F229446" s="9">
        <v>3</v>
      </c>
    </row>
    <row r="229447" spans="6:6" x14ac:dyDescent="0.25">
      <c r="F229447" s="9">
        <v>6</v>
      </c>
    </row>
    <row r="229448" spans="6:6" x14ac:dyDescent="0.25">
      <c r="F229448" s="9">
        <v>3</v>
      </c>
    </row>
    <row r="229449" spans="6:6" x14ac:dyDescent="0.25">
      <c r="F229449" s="9">
        <v>2</v>
      </c>
    </row>
    <row r="229450" spans="6:6" x14ac:dyDescent="0.25">
      <c r="F229450" s="9">
        <v>5</v>
      </c>
    </row>
    <row r="229451" spans="6:6" x14ac:dyDescent="0.25">
      <c r="F229451" s="9">
        <v>3</v>
      </c>
    </row>
    <row r="229452" spans="6:6" x14ac:dyDescent="0.25">
      <c r="F229452" s="9">
        <v>4</v>
      </c>
    </row>
    <row r="229453" spans="6:6" x14ac:dyDescent="0.25">
      <c r="F229453" s="9">
        <v>2</v>
      </c>
    </row>
    <row r="229454" spans="6:6" x14ac:dyDescent="0.25">
      <c r="F229454" s="9">
        <v>4</v>
      </c>
    </row>
    <row r="229455" spans="6:6" x14ac:dyDescent="0.25">
      <c r="F229455" s="9">
        <v>3</v>
      </c>
    </row>
    <row r="229456" spans="6:6" x14ac:dyDescent="0.25">
      <c r="F229456" s="9">
        <v>3</v>
      </c>
    </row>
    <row r="229457" spans="6:6" x14ac:dyDescent="0.25">
      <c r="F229457" s="9">
        <v>4</v>
      </c>
    </row>
    <row r="229458" spans="6:6" x14ac:dyDescent="0.25">
      <c r="F229458" s="9">
        <v>3</v>
      </c>
    </row>
    <row r="229459" spans="6:6" x14ac:dyDescent="0.25">
      <c r="F229459" s="9">
        <v>2</v>
      </c>
    </row>
    <row r="229460" spans="6:6" x14ac:dyDescent="0.25">
      <c r="F229460" s="9">
        <v>3</v>
      </c>
    </row>
    <row r="229461" spans="6:6" x14ac:dyDescent="0.25">
      <c r="F229461" s="9">
        <v>7</v>
      </c>
    </row>
    <row r="229462" spans="6:6" x14ac:dyDescent="0.25">
      <c r="F229462" s="9">
        <v>6</v>
      </c>
    </row>
    <row r="229463" spans="6:6" x14ac:dyDescent="0.25">
      <c r="F229463" s="9">
        <v>5</v>
      </c>
    </row>
    <row r="229464" spans="6:6" x14ac:dyDescent="0.25">
      <c r="F229464" s="9">
        <v>5</v>
      </c>
    </row>
    <row r="229465" spans="6:6" x14ac:dyDescent="0.25">
      <c r="F229465" s="9">
        <v>4</v>
      </c>
    </row>
    <row r="229466" spans="6:6" x14ac:dyDescent="0.25">
      <c r="F229466" s="9">
        <v>5</v>
      </c>
    </row>
    <row r="229467" spans="6:6" x14ac:dyDescent="0.25">
      <c r="F229467" s="9">
        <v>5</v>
      </c>
    </row>
    <row r="229468" spans="6:6" x14ac:dyDescent="0.25">
      <c r="F229468" s="9">
        <v>2</v>
      </c>
    </row>
    <row r="229469" spans="6:6" x14ac:dyDescent="0.25">
      <c r="F229469" s="9">
        <v>3</v>
      </c>
    </row>
    <row r="229470" spans="6:6" x14ac:dyDescent="0.25">
      <c r="F229470" s="9">
        <v>2</v>
      </c>
    </row>
    <row r="229471" spans="6:6" x14ac:dyDescent="0.25">
      <c r="F229471" s="9">
        <v>3</v>
      </c>
    </row>
    <row r="229472" spans="6:6" x14ac:dyDescent="0.25">
      <c r="F229472" s="9">
        <v>4</v>
      </c>
    </row>
    <row r="229473" spans="6:6" x14ac:dyDescent="0.25">
      <c r="F229473" s="9">
        <v>4</v>
      </c>
    </row>
    <row r="229474" spans="6:6" x14ac:dyDescent="0.25">
      <c r="F229474" s="9">
        <v>2</v>
      </c>
    </row>
    <row r="229475" spans="6:6" x14ac:dyDescent="0.25">
      <c r="F229475" s="9">
        <v>3</v>
      </c>
    </row>
    <row r="229476" spans="6:6" x14ac:dyDescent="0.25">
      <c r="F229476" s="9">
        <v>3</v>
      </c>
    </row>
    <row r="229477" spans="6:6" x14ac:dyDescent="0.25">
      <c r="F229477" s="9">
        <v>3</v>
      </c>
    </row>
    <row r="229478" spans="6:6" x14ac:dyDescent="0.25">
      <c r="F229478" s="9">
        <v>2</v>
      </c>
    </row>
    <row r="229479" spans="6:6" x14ac:dyDescent="0.25">
      <c r="F229479" s="9">
        <v>3</v>
      </c>
    </row>
    <row r="229480" spans="6:6" x14ac:dyDescent="0.25">
      <c r="F229480" s="9">
        <v>3</v>
      </c>
    </row>
    <row r="229481" spans="6:6" x14ac:dyDescent="0.25">
      <c r="F229481" s="9">
        <v>3</v>
      </c>
    </row>
    <row r="229482" spans="6:6" x14ac:dyDescent="0.25">
      <c r="F229482" s="9">
        <v>4</v>
      </c>
    </row>
    <row r="229483" spans="6:6" x14ac:dyDescent="0.25">
      <c r="F229483" s="9">
        <v>4</v>
      </c>
    </row>
    <row r="229484" spans="6:6" x14ac:dyDescent="0.25">
      <c r="F229484" s="9">
        <v>2</v>
      </c>
    </row>
    <row r="229485" spans="6:6" x14ac:dyDescent="0.25">
      <c r="F229485" s="9">
        <v>3</v>
      </c>
    </row>
    <row r="229486" spans="6:6" x14ac:dyDescent="0.25">
      <c r="F229486" s="9">
        <v>1</v>
      </c>
    </row>
    <row r="229487" spans="6:6" x14ac:dyDescent="0.25">
      <c r="F229487" s="9">
        <v>1</v>
      </c>
    </row>
    <row r="229488" spans="6:6" x14ac:dyDescent="0.25">
      <c r="F229488" s="9">
        <v>1</v>
      </c>
    </row>
    <row r="229489" spans="6:6" x14ac:dyDescent="0.25">
      <c r="F229489" s="9" t="s">
        <v>133</v>
      </c>
    </row>
    <row r="229490" spans="6:6" x14ac:dyDescent="0.25">
      <c r="F229490" s="6" t="s">
        <v>172</v>
      </c>
    </row>
    <row r="229491" spans="6:6" x14ac:dyDescent="0.25">
      <c r="F229491" s="9" t="s">
        <v>263</v>
      </c>
    </row>
    <row r="229492" spans="6:6" x14ac:dyDescent="0.25">
      <c r="F229492" s="33" t="s">
        <v>264</v>
      </c>
    </row>
    <row r="245761" spans="6:6" x14ac:dyDescent="0.25">
      <c r="F245761" s="84"/>
    </row>
    <row r="245762" spans="6:6" x14ac:dyDescent="0.25">
      <c r="F245762" s="46"/>
    </row>
    <row r="245763" spans="6:6" x14ac:dyDescent="0.25">
      <c r="F245763" s="9">
        <v>4</v>
      </c>
    </row>
    <row r="245764" spans="6:6" x14ac:dyDescent="0.25">
      <c r="F245764" s="9">
        <v>6</v>
      </c>
    </row>
    <row r="245765" spans="6:6" x14ac:dyDescent="0.25">
      <c r="F245765" s="9">
        <v>6</v>
      </c>
    </row>
    <row r="245766" spans="6:6" x14ac:dyDescent="0.25">
      <c r="F245766" s="9">
        <v>6</v>
      </c>
    </row>
    <row r="245767" spans="6:6" x14ac:dyDescent="0.25">
      <c r="F245767" s="9">
        <v>4</v>
      </c>
    </row>
    <row r="245768" spans="6:6" x14ac:dyDescent="0.25">
      <c r="F245768" s="9">
        <v>4</v>
      </c>
    </row>
    <row r="245769" spans="6:6" x14ac:dyDescent="0.25">
      <c r="F245769" s="9">
        <v>5</v>
      </c>
    </row>
    <row r="245770" spans="6:6" x14ac:dyDescent="0.25">
      <c r="F245770" s="9">
        <v>5</v>
      </c>
    </row>
    <row r="245771" spans="6:6" x14ac:dyDescent="0.25">
      <c r="F245771" s="9">
        <v>10</v>
      </c>
    </row>
    <row r="245772" spans="6:6" x14ac:dyDescent="0.25">
      <c r="F245772" s="9">
        <v>8</v>
      </c>
    </row>
    <row r="245773" spans="6:6" x14ac:dyDescent="0.25">
      <c r="F245773" s="9">
        <v>9</v>
      </c>
    </row>
    <row r="245774" spans="6:6" x14ac:dyDescent="0.25">
      <c r="F245774" s="9">
        <v>8</v>
      </c>
    </row>
    <row r="245775" spans="6:6" x14ac:dyDescent="0.25">
      <c r="F245775" s="9">
        <v>8</v>
      </c>
    </row>
    <row r="245776" spans="6:6" x14ac:dyDescent="0.25">
      <c r="F245776" s="9">
        <v>8</v>
      </c>
    </row>
    <row r="245777" spans="6:6" x14ac:dyDescent="0.25">
      <c r="F245777" s="9">
        <v>8</v>
      </c>
    </row>
    <row r="245778" spans="6:6" x14ac:dyDescent="0.25">
      <c r="F245778" s="9">
        <v>5</v>
      </c>
    </row>
    <row r="245779" spans="6:6" x14ac:dyDescent="0.25">
      <c r="F245779" s="9">
        <v>5</v>
      </c>
    </row>
    <row r="245780" spans="6:6" x14ac:dyDescent="0.25">
      <c r="F245780" s="9">
        <v>7</v>
      </c>
    </row>
    <row r="245781" spans="6:6" x14ac:dyDescent="0.25">
      <c r="F245781" s="9">
        <v>5</v>
      </c>
    </row>
    <row r="245782" spans="6:6" x14ac:dyDescent="0.25">
      <c r="F245782" s="9">
        <v>5</v>
      </c>
    </row>
    <row r="245783" spans="6:6" x14ac:dyDescent="0.25">
      <c r="F245783" s="9">
        <v>5</v>
      </c>
    </row>
    <row r="245784" spans="6:6" x14ac:dyDescent="0.25">
      <c r="F245784" s="9">
        <v>4</v>
      </c>
    </row>
    <row r="245785" spans="6:6" x14ac:dyDescent="0.25">
      <c r="F245785" s="9">
        <v>6</v>
      </c>
    </row>
    <row r="245786" spans="6:6" x14ac:dyDescent="0.25">
      <c r="F245786" s="9">
        <v>4</v>
      </c>
    </row>
    <row r="245787" spans="6:6" x14ac:dyDescent="0.25">
      <c r="F245787" s="9">
        <v>4</v>
      </c>
    </row>
    <row r="245788" spans="6:6" x14ac:dyDescent="0.25">
      <c r="F245788" s="9">
        <v>6</v>
      </c>
    </row>
    <row r="245789" spans="6:6" x14ac:dyDescent="0.25">
      <c r="F245789" s="9">
        <v>4</v>
      </c>
    </row>
    <row r="245790" spans="6:6" x14ac:dyDescent="0.25">
      <c r="F245790" s="9">
        <v>6</v>
      </c>
    </row>
    <row r="245791" spans="6:6" x14ac:dyDescent="0.25">
      <c r="F245791" s="9">
        <v>4</v>
      </c>
    </row>
    <row r="245792" spans="6:6" x14ac:dyDescent="0.25">
      <c r="F245792" s="9">
        <v>6</v>
      </c>
    </row>
    <row r="245793" spans="6:6" x14ac:dyDescent="0.25">
      <c r="F245793" s="9">
        <v>4</v>
      </c>
    </row>
    <row r="245794" spans="6:6" x14ac:dyDescent="0.25">
      <c r="F245794" s="9">
        <v>6</v>
      </c>
    </row>
    <row r="245795" spans="6:6" x14ac:dyDescent="0.25">
      <c r="F245795" s="9">
        <v>6</v>
      </c>
    </row>
    <row r="245796" spans="6:6" x14ac:dyDescent="0.25">
      <c r="F245796" s="9">
        <v>5</v>
      </c>
    </row>
    <row r="245797" spans="6:6" x14ac:dyDescent="0.25">
      <c r="F245797" s="9">
        <v>3</v>
      </c>
    </row>
    <row r="245798" spans="6:6" x14ac:dyDescent="0.25">
      <c r="F245798" s="9">
        <v>4</v>
      </c>
    </row>
    <row r="245799" spans="6:6" x14ac:dyDescent="0.25">
      <c r="F245799" s="9">
        <v>4</v>
      </c>
    </row>
    <row r="245800" spans="6:6" x14ac:dyDescent="0.25">
      <c r="F245800" s="9">
        <v>5</v>
      </c>
    </row>
    <row r="245801" spans="6:6" x14ac:dyDescent="0.25">
      <c r="F245801" s="9">
        <v>5</v>
      </c>
    </row>
    <row r="245802" spans="6:6" x14ac:dyDescent="0.25">
      <c r="F245802" s="9">
        <v>2</v>
      </c>
    </row>
    <row r="245803" spans="6:6" x14ac:dyDescent="0.25">
      <c r="F245803" s="9">
        <v>6</v>
      </c>
    </row>
    <row r="245804" spans="6:6" x14ac:dyDescent="0.25">
      <c r="F245804" s="9">
        <v>7</v>
      </c>
    </row>
    <row r="245805" spans="6:6" x14ac:dyDescent="0.25">
      <c r="F245805" s="9">
        <v>3</v>
      </c>
    </row>
    <row r="245806" spans="6:6" x14ac:dyDescent="0.25">
      <c r="F245806" s="9">
        <v>3</v>
      </c>
    </row>
    <row r="245807" spans="6:6" x14ac:dyDescent="0.25">
      <c r="F245807" s="9">
        <v>3</v>
      </c>
    </row>
    <row r="245808" spans="6:6" x14ac:dyDescent="0.25">
      <c r="F245808" s="9">
        <v>3</v>
      </c>
    </row>
    <row r="245809" spans="6:6" x14ac:dyDescent="0.25">
      <c r="F245809" s="9">
        <v>6</v>
      </c>
    </row>
    <row r="245810" spans="6:6" x14ac:dyDescent="0.25">
      <c r="F245810" s="9">
        <v>1</v>
      </c>
    </row>
    <row r="245811" spans="6:6" x14ac:dyDescent="0.25">
      <c r="F245811" s="9">
        <v>5</v>
      </c>
    </row>
    <row r="245812" spans="6:6" x14ac:dyDescent="0.25">
      <c r="F245812" s="9">
        <v>6</v>
      </c>
    </row>
    <row r="245813" spans="6:6" x14ac:dyDescent="0.25">
      <c r="F245813" s="9">
        <v>4</v>
      </c>
    </row>
    <row r="245814" spans="6:6" x14ac:dyDescent="0.25">
      <c r="F245814" s="9">
        <v>3</v>
      </c>
    </row>
    <row r="245815" spans="6:6" x14ac:dyDescent="0.25">
      <c r="F245815" s="9">
        <v>4</v>
      </c>
    </row>
    <row r="245816" spans="6:6" x14ac:dyDescent="0.25">
      <c r="F245816" s="9">
        <v>3</v>
      </c>
    </row>
    <row r="245817" spans="6:6" x14ac:dyDescent="0.25">
      <c r="F245817" s="9">
        <v>1</v>
      </c>
    </row>
    <row r="245818" spans="6:6" x14ac:dyDescent="0.25">
      <c r="F245818" s="9">
        <v>5</v>
      </c>
    </row>
    <row r="245819" spans="6:6" x14ac:dyDescent="0.25">
      <c r="F245819" s="9">
        <v>4</v>
      </c>
    </row>
    <row r="245820" spans="6:6" x14ac:dyDescent="0.25">
      <c r="F245820" s="9">
        <v>6</v>
      </c>
    </row>
    <row r="245821" spans="6:6" x14ac:dyDescent="0.25">
      <c r="F245821" s="9">
        <v>2</v>
      </c>
    </row>
    <row r="245822" spans="6:6" x14ac:dyDescent="0.25">
      <c r="F245822" s="9">
        <v>2</v>
      </c>
    </row>
    <row r="245823" spans="6:6" x14ac:dyDescent="0.25">
      <c r="F245823" s="9">
        <v>4</v>
      </c>
    </row>
    <row r="245824" spans="6:6" x14ac:dyDescent="0.25">
      <c r="F245824" s="9">
        <v>3</v>
      </c>
    </row>
    <row r="245825" spans="6:6" x14ac:dyDescent="0.25">
      <c r="F245825" s="9">
        <v>2</v>
      </c>
    </row>
    <row r="245826" spans="6:6" x14ac:dyDescent="0.25">
      <c r="F245826" s="9">
        <v>7</v>
      </c>
    </row>
    <row r="245827" spans="6:6" x14ac:dyDescent="0.25">
      <c r="F245827" s="9">
        <v>8</v>
      </c>
    </row>
    <row r="245828" spans="6:6" x14ac:dyDescent="0.25">
      <c r="F245828" s="9">
        <v>7</v>
      </c>
    </row>
    <row r="245829" spans="6:6" x14ac:dyDescent="0.25">
      <c r="F245829" s="9">
        <v>6</v>
      </c>
    </row>
    <row r="245830" spans="6:6" x14ac:dyDescent="0.25">
      <c r="F245830" s="9">
        <v>3</v>
      </c>
    </row>
    <row r="245831" spans="6:6" x14ac:dyDescent="0.25">
      <c r="F245831" s="9">
        <v>6</v>
      </c>
    </row>
    <row r="245832" spans="6:6" x14ac:dyDescent="0.25">
      <c r="F245832" s="9">
        <v>3</v>
      </c>
    </row>
    <row r="245833" spans="6:6" x14ac:dyDescent="0.25">
      <c r="F245833" s="9">
        <v>2</v>
      </c>
    </row>
    <row r="245834" spans="6:6" x14ac:dyDescent="0.25">
      <c r="F245834" s="9">
        <v>5</v>
      </c>
    </row>
    <row r="245835" spans="6:6" x14ac:dyDescent="0.25">
      <c r="F245835" s="9">
        <v>3</v>
      </c>
    </row>
    <row r="245836" spans="6:6" x14ac:dyDescent="0.25">
      <c r="F245836" s="9">
        <v>4</v>
      </c>
    </row>
    <row r="245837" spans="6:6" x14ac:dyDescent="0.25">
      <c r="F245837" s="9">
        <v>2</v>
      </c>
    </row>
    <row r="245838" spans="6:6" x14ac:dyDescent="0.25">
      <c r="F245838" s="9">
        <v>4</v>
      </c>
    </row>
    <row r="245839" spans="6:6" x14ac:dyDescent="0.25">
      <c r="F245839" s="9">
        <v>3</v>
      </c>
    </row>
    <row r="245840" spans="6:6" x14ac:dyDescent="0.25">
      <c r="F245840" s="9">
        <v>3</v>
      </c>
    </row>
    <row r="245841" spans="6:6" x14ac:dyDescent="0.25">
      <c r="F245841" s="9">
        <v>4</v>
      </c>
    </row>
    <row r="245842" spans="6:6" x14ac:dyDescent="0.25">
      <c r="F245842" s="9">
        <v>3</v>
      </c>
    </row>
    <row r="245843" spans="6:6" x14ac:dyDescent="0.25">
      <c r="F245843" s="9">
        <v>2</v>
      </c>
    </row>
    <row r="245844" spans="6:6" x14ac:dyDescent="0.25">
      <c r="F245844" s="9">
        <v>3</v>
      </c>
    </row>
    <row r="245845" spans="6:6" x14ac:dyDescent="0.25">
      <c r="F245845" s="9">
        <v>7</v>
      </c>
    </row>
    <row r="245846" spans="6:6" x14ac:dyDescent="0.25">
      <c r="F245846" s="9">
        <v>6</v>
      </c>
    </row>
    <row r="245847" spans="6:6" x14ac:dyDescent="0.25">
      <c r="F245847" s="9">
        <v>5</v>
      </c>
    </row>
    <row r="245848" spans="6:6" x14ac:dyDescent="0.25">
      <c r="F245848" s="9">
        <v>5</v>
      </c>
    </row>
    <row r="245849" spans="6:6" x14ac:dyDescent="0.25">
      <c r="F245849" s="9">
        <v>4</v>
      </c>
    </row>
    <row r="245850" spans="6:6" x14ac:dyDescent="0.25">
      <c r="F245850" s="9">
        <v>5</v>
      </c>
    </row>
    <row r="245851" spans="6:6" x14ac:dyDescent="0.25">
      <c r="F245851" s="9">
        <v>5</v>
      </c>
    </row>
    <row r="245852" spans="6:6" x14ac:dyDescent="0.25">
      <c r="F245852" s="9">
        <v>2</v>
      </c>
    </row>
    <row r="245853" spans="6:6" x14ac:dyDescent="0.25">
      <c r="F245853" s="9">
        <v>3</v>
      </c>
    </row>
    <row r="245854" spans="6:6" x14ac:dyDescent="0.25">
      <c r="F245854" s="9">
        <v>2</v>
      </c>
    </row>
    <row r="245855" spans="6:6" x14ac:dyDescent="0.25">
      <c r="F245855" s="9">
        <v>3</v>
      </c>
    </row>
    <row r="245856" spans="6:6" x14ac:dyDescent="0.25">
      <c r="F245856" s="9">
        <v>4</v>
      </c>
    </row>
    <row r="245857" spans="6:6" x14ac:dyDescent="0.25">
      <c r="F245857" s="9">
        <v>4</v>
      </c>
    </row>
    <row r="245858" spans="6:6" x14ac:dyDescent="0.25">
      <c r="F245858" s="9">
        <v>2</v>
      </c>
    </row>
    <row r="245859" spans="6:6" x14ac:dyDescent="0.25">
      <c r="F245859" s="9">
        <v>3</v>
      </c>
    </row>
    <row r="245860" spans="6:6" x14ac:dyDescent="0.25">
      <c r="F245860" s="9">
        <v>3</v>
      </c>
    </row>
    <row r="245861" spans="6:6" x14ac:dyDescent="0.25">
      <c r="F245861" s="9">
        <v>3</v>
      </c>
    </row>
    <row r="245862" spans="6:6" x14ac:dyDescent="0.25">
      <c r="F245862" s="9">
        <v>2</v>
      </c>
    </row>
    <row r="245863" spans="6:6" x14ac:dyDescent="0.25">
      <c r="F245863" s="9">
        <v>3</v>
      </c>
    </row>
    <row r="245864" spans="6:6" x14ac:dyDescent="0.25">
      <c r="F245864" s="9">
        <v>3</v>
      </c>
    </row>
    <row r="245865" spans="6:6" x14ac:dyDescent="0.25">
      <c r="F245865" s="9">
        <v>3</v>
      </c>
    </row>
    <row r="245866" spans="6:6" x14ac:dyDescent="0.25">
      <c r="F245866" s="9">
        <v>4</v>
      </c>
    </row>
    <row r="245867" spans="6:6" x14ac:dyDescent="0.25">
      <c r="F245867" s="9">
        <v>4</v>
      </c>
    </row>
    <row r="245868" spans="6:6" x14ac:dyDescent="0.25">
      <c r="F245868" s="9">
        <v>2</v>
      </c>
    </row>
    <row r="245869" spans="6:6" x14ac:dyDescent="0.25">
      <c r="F245869" s="9">
        <v>3</v>
      </c>
    </row>
    <row r="245870" spans="6:6" x14ac:dyDescent="0.25">
      <c r="F245870" s="9">
        <v>1</v>
      </c>
    </row>
    <row r="245871" spans="6:6" x14ac:dyDescent="0.25">
      <c r="F245871" s="9">
        <v>1</v>
      </c>
    </row>
    <row r="245872" spans="6:6" x14ac:dyDescent="0.25">
      <c r="F245872" s="9">
        <v>1</v>
      </c>
    </row>
    <row r="245873" spans="6:6" x14ac:dyDescent="0.25">
      <c r="F245873" s="9" t="s">
        <v>133</v>
      </c>
    </row>
    <row r="245874" spans="6:6" x14ac:dyDescent="0.25">
      <c r="F245874" s="6" t="s">
        <v>172</v>
      </c>
    </row>
    <row r="245875" spans="6:6" x14ac:dyDescent="0.25">
      <c r="F245875" s="9" t="s">
        <v>263</v>
      </c>
    </row>
    <row r="245876" spans="6:6" x14ac:dyDescent="0.25">
      <c r="F245876" s="33" t="s">
        <v>264</v>
      </c>
    </row>
    <row r="262145" spans="6:6" x14ac:dyDescent="0.25">
      <c r="F262145" s="84"/>
    </row>
    <row r="262146" spans="6:6" x14ac:dyDescent="0.25">
      <c r="F262146" s="46"/>
    </row>
    <row r="262147" spans="6:6" x14ac:dyDescent="0.25">
      <c r="F262147" s="9">
        <v>4</v>
      </c>
    </row>
    <row r="262148" spans="6:6" x14ac:dyDescent="0.25">
      <c r="F262148" s="9">
        <v>6</v>
      </c>
    </row>
    <row r="262149" spans="6:6" x14ac:dyDescent="0.25">
      <c r="F262149" s="9">
        <v>6</v>
      </c>
    </row>
    <row r="262150" spans="6:6" x14ac:dyDescent="0.25">
      <c r="F262150" s="9">
        <v>6</v>
      </c>
    </row>
    <row r="262151" spans="6:6" x14ac:dyDescent="0.25">
      <c r="F262151" s="9">
        <v>4</v>
      </c>
    </row>
    <row r="262152" spans="6:6" x14ac:dyDescent="0.25">
      <c r="F262152" s="9">
        <v>4</v>
      </c>
    </row>
    <row r="262153" spans="6:6" x14ac:dyDescent="0.25">
      <c r="F262153" s="9">
        <v>5</v>
      </c>
    </row>
    <row r="262154" spans="6:6" x14ac:dyDescent="0.25">
      <c r="F262154" s="9">
        <v>5</v>
      </c>
    </row>
    <row r="262155" spans="6:6" x14ac:dyDescent="0.25">
      <c r="F262155" s="9">
        <v>10</v>
      </c>
    </row>
    <row r="262156" spans="6:6" x14ac:dyDescent="0.25">
      <c r="F262156" s="9">
        <v>8</v>
      </c>
    </row>
    <row r="262157" spans="6:6" x14ac:dyDescent="0.25">
      <c r="F262157" s="9">
        <v>9</v>
      </c>
    </row>
    <row r="262158" spans="6:6" x14ac:dyDescent="0.25">
      <c r="F262158" s="9">
        <v>8</v>
      </c>
    </row>
    <row r="262159" spans="6:6" x14ac:dyDescent="0.25">
      <c r="F262159" s="9">
        <v>8</v>
      </c>
    </row>
    <row r="262160" spans="6:6" x14ac:dyDescent="0.25">
      <c r="F262160" s="9">
        <v>8</v>
      </c>
    </row>
    <row r="262161" spans="6:6" x14ac:dyDescent="0.25">
      <c r="F262161" s="9">
        <v>8</v>
      </c>
    </row>
    <row r="262162" spans="6:6" x14ac:dyDescent="0.25">
      <c r="F262162" s="9">
        <v>5</v>
      </c>
    </row>
    <row r="262163" spans="6:6" x14ac:dyDescent="0.25">
      <c r="F262163" s="9">
        <v>5</v>
      </c>
    </row>
    <row r="262164" spans="6:6" x14ac:dyDescent="0.25">
      <c r="F262164" s="9">
        <v>7</v>
      </c>
    </row>
    <row r="262165" spans="6:6" x14ac:dyDescent="0.25">
      <c r="F262165" s="9">
        <v>5</v>
      </c>
    </row>
    <row r="262166" spans="6:6" x14ac:dyDescent="0.25">
      <c r="F262166" s="9">
        <v>5</v>
      </c>
    </row>
    <row r="262167" spans="6:6" x14ac:dyDescent="0.25">
      <c r="F262167" s="9">
        <v>5</v>
      </c>
    </row>
    <row r="262168" spans="6:6" x14ac:dyDescent="0.25">
      <c r="F262168" s="9">
        <v>4</v>
      </c>
    </row>
    <row r="262169" spans="6:6" x14ac:dyDescent="0.25">
      <c r="F262169" s="9">
        <v>6</v>
      </c>
    </row>
    <row r="262170" spans="6:6" x14ac:dyDescent="0.25">
      <c r="F262170" s="9">
        <v>4</v>
      </c>
    </row>
    <row r="262171" spans="6:6" x14ac:dyDescent="0.25">
      <c r="F262171" s="9">
        <v>4</v>
      </c>
    </row>
    <row r="262172" spans="6:6" x14ac:dyDescent="0.25">
      <c r="F262172" s="9">
        <v>6</v>
      </c>
    </row>
    <row r="262173" spans="6:6" x14ac:dyDescent="0.25">
      <c r="F262173" s="9">
        <v>4</v>
      </c>
    </row>
    <row r="262174" spans="6:6" x14ac:dyDescent="0.25">
      <c r="F262174" s="9">
        <v>6</v>
      </c>
    </row>
    <row r="262175" spans="6:6" x14ac:dyDescent="0.25">
      <c r="F262175" s="9">
        <v>4</v>
      </c>
    </row>
    <row r="262176" spans="6:6" x14ac:dyDescent="0.25">
      <c r="F262176" s="9">
        <v>6</v>
      </c>
    </row>
    <row r="262177" spans="6:6" x14ac:dyDescent="0.25">
      <c r="F262177" s="9">
        <v>4</v>
      </c>
    </row>
    <row r="262178" spans="6:6" x14ac:dyDescent="0.25">
      <c r="F262178" s="9">
        <v>6</v>
      </c>
    </row>
    <row r="262179" spans="6:6" x14ac:dyDescent="0.25">
      <c r="F262179" s="9">
        <v>6</v>
      </c>
    </row>
    <row r="262180" spans="6:6" x14ac:dyDescent="0.25">
      <c r="F262180" s="9">
        <v>5</v>
      </c>
    </row>
    <row r="262181" spans="6:6" x14ac:dyDescent="0.25">
      <c r="F262181" s="9">
        <v>3</v>
      </c>
    </row>
    <row r="262182" spans="6:6" x14ac:dyDescent="0.25">
      <c r="F262182" s="9">
        <v>4</v>
      </c>
    </row>
    <row r="262183" spans="6:6" x14ac:dyDescent="0.25">
      <c r="F262183" s="9">
        <v>4</v>
      </c>
    </row>
    <row r="262184" spans="6:6" x14ac:dyDescent="0.25">
      <c r="F262184" s="9">
        <v>5</v>
      </c>
    </row>
    <row r="262185" spans="6:6" x14ac:dyDescent="0.25">
      <c r="F262185" s="9">
        <v>5</v>
      </c>
    </row>
    <row r="262186" spans="6:6" x14ac:dyDescent="0.25">
      <c r="F262186" s="9">
        <v>2</v>
      </c>
    </row>
    <row r="262187" spans="6:6" x14ac:dyDescent="0.25">
      <c r="F262187" s="9">
        <v>6</v>
      </c>
    </row>
    <row r="262188" spans="6:6" x14ac:dyDescent="0.25">
      <c r="F262188" s="9">
        <v>7</v>
      </c>
    </row>
    <row r="262189" spans="6:6" x14ac:dyDescent="0.25">
      <c r="F262189" s="9">
        <v>3</v>
      </c>
    </row>
    <row r="262190" spans="6:6" x14ac:dyDescent="0.25">
      <c r="F262190" s="9">
        <v>3</v>
      </c>
    </row>
    <row r="262191" spans="6:6" x14ac:dyDescent="0.25">
      <c r="F262191" s="9">
        <v>3</v>
      </c>
    </row>
    <row r="262192" spans="6:6" x14ac:dyDescent="0.25">
      <c r="F262192" s="9">
        <v>3</v>
      </c>
    </row>
    <row r="262193" spans="6:6" x14ac:dyDescent="0.25">
      <c r="F262193" s="9">
        <v>6</v>
      </c>
    </row>
    <row r="262194" spans="6:6" x14ac:dyDescent="0.25">
      <c r="F262194" s="9">
        <v>1</v>
      </c>
    </row>
    <row r="262195" spans="6:6" x14ac:dyDescent="0.25">
      <c r="F262195" s="9">
        <v>5</v>
      </c>
    </row>
    <row r="262196" spans="6:6" x14ac:dyDescent="0.25">
      <c r="F262196" s="9">
        <v>6</v>
      </c>
    </row>
    <row r="262197" spans="6:6" x14ac:dyDescent="0.25">
      <c r="F262197" s="9">
        <v>4</v>
      </c>
    </row>
    <row r="262198" spans="6:6" x14ac:dyDescent="0.25">
      <c r="F262198" s="9">
        <v>3</v>
      </c>
    </row>
    <row r="262199" spans="6:6" x14ac:dyDescent="0.25">
      <c r="F262199" s="9">
        <v>4</v>
      </c>
    </row>
    <row r="262200" spans="6:6" x14ac:dyDescent="0.25">
      <c r="F262200" s="9">
        <v>3</v>
      </c>
    </row>
    <row r="262201" spans="6:6" x14ac:dyDescent="0.25">
      <c r="F262201" s="9">
        <v>1</v>
      </c>
    </row>
    <row r="262202" spans="6:6" x14ac:dyDescent="0.25">
      <c r="F262202" s="9">
        <v>5</v>
      </c>
    </row>
    <row r="262203" spans="6:6" x14ac:dyDescent="0.25">
      <c r="F262203" s="9">
        <v>4</v>
      </c>
    </row>
    <row r="262204" spans="6:6" x14ac:dyDescent="0.25">
      <c r="F262204" s="9">
        <v>6</v>
      </c>
    </row>
    <row r="262205" spans="6:6" x14ac:dyDescent="0.25">
      <c r="F262205" s="9">
        <v>2</v>
      </c>
    </row>
    <row r="262206" spans="6:6" x14ac:dyDescent="0.25">
      <c r="F262206" s="9">
        <v>2</v>
      </c>
    </row>
    <row r="262207" spans="6:6" x14ac:dyDescent="0.25">
      <c r="F262207" s="9">
        <v>4</v>
      </c>
    </row>
    <row r="262208" spans="6:6" x14ac:dyDescent="0.25">
      <c r="F262208" s="9">
        <v>3</v>
      </c>
    </row>
    <row r="262209" spans="6:6" x14ac:dyDescent="0.25">
      <c r="F262209" s="9">
        <v>2</v>
      </c>
    </row>
    <row r="262210" spans="6:6" x14ac:dyDescent="0.25">
      <c r="F262210" s="9">
        <v>7</v>
      </c>
    </row>
    <row r="262211" spans="6:6" x14ac:dyDescent="0.25">
      <c r="F262211" s="9">
        <v>8</v>
      </c>
    </row>
    <row r="262212" spans="6:6" x14ac:dyDescent="0.25">
      <c r="F262212" s="9">
        <v>7</v>
      </c>
    </row>
    <row r="262213" spans="6:6" x14ac:dyDescent="0.25">
      <c r="F262213" s="9">
        <v>6</v>
      </c>
    </row>
    <row r="262214" spans="6:6" x14ac:dyDescent="0.25">
      <c r="F262214" s="9">
        <v>3</v>
      </c>
    </row>
    <row r="262215" spans="6:6" x14ac:dyDescent="0.25">
      <c r="F262215" s="9">
        <v>6</v>
      </c>
    </row>
    <row r="262216" spans="6:6" x14ac:dyDescent="0.25">
      <c r="F262216" s="9">
        <v>3</v>
      </c>
    </row>
    <row r="262217" spans="6:6" x14ac:dyDescent="0.25">
      <c r="F262217" s="9">
        <v>2</v>
      </c>
    </row>
    <row r="262218" spans="6:6" x14ac:dyDescent="0.25">
      <c r="F262218" s="9">
        <v>5</v>
      </c>
    </row>
    <row r="262219" spans="6:6" x14ac:dyDescent="0.25">
      <c r="F262219" s="9">
        <v>3</v>
      </c>
    </row>
    <row r="262220" spans="6:6" x14ac:dyDescent="0.25">
      <c r="F262220" s="9">
        <v>4</v>
      </c>
    </row>
    <row r="262221" spans="6:6" x14ac:dyDescent="0.25">
      <c r="F262221" s="9">
        <v>2</v>
      </c>
    </row>
    <row r="262222" spans="6:6" x14ac:dyDescent="0.25">
      <c r="F262222" s="9">
        <v>4</v>
      </c>
    </row>
    <row r="262223" spans="6:6" x14ac:dyDescent="0.25">
      <c r="F262223" s="9">
        <v>3</v>
      </c>
    </row>
    <row r="262224" spans="6:6" x14ac:dyDescent="0.25">
      <c r="F262224" s="9">
        <v>3</v>
      </c>
    </row>
    <row r="262225" spans="6:6" x14ac:dyDescent="0.25">
      <c r="F262225" s="9">
        <v>4</v>
      </c>
    </row>
    <row r="262226" spans="6:6" x14ac:dyDescent="0.25">
      <c r="F262226" s="9">
        <v>3</v>
      </c>
    </row>
    <row r="262227" spans="6:6" x14ac:dyDescent="0.25">
      <c r="F262227" s="9">
        <v>2</v>
      </c>
    </row>
    <row r="262228" spans="6:6" x14ac:dyDescent="0.25">
      <c r="F262228" s="9">
        <v>3</v>
      </c>
    </row>
    <row r="262229" spans="6:6" x14ac:dyDescent="0.25">
      <c r="F262229" s="9">
        <v>7</v>
      </c>
    </row>
    <row r="262230" spans="6:6" x14ac:dyDescent="0.25">
      <c r="F262230" s="9">
        <v>6</v>
      </c>
    </row>
    <row r="262231" spans="6:6" x14ac:dyDescent="0.25">
      <c r="F262231" s="9">
        <v>5</v>
      </c>
    </row>
    <row r="262232" spans="6:6" x14ac:dyDescent="0.25">
      <c r="F262232" s="9">
        <v>5</v>
      </c>
    </row>
    <row r="262233" spans="6:6" x14ac:dyDescent="0.25">
      <c r="F262233" s="9">
        <v>4</v>
      </c>
    </row>
    <row r="262234" spans="6:6" x14ac:dyDescent="0.25">
      <c r="F262234" s="9">
        <v>5</v>
      </c>
    </row>
    <row r="262235" spans="6:6" x14ac:dyDescent="0.25">
      <c r="F262235" s="9">
        <v>5</v>
      </c>
    </row>
    <row r="262236" spans="6:6" x14ac:dyDescent="0.25">
      <c r="F262236" s="9">
        <v>2</v>
      </c>
    </row>
    <row r="262237" spans="6:6" x14ac:dyDescent="0.25">
      <c r="F262237" s="9">
        <v>3</v>
      </c>
    </row>
    <row r="262238" spans="6:6" x14ac:dyDescent="0.25">
      <c r="F262238" s="9">
        <v>2</v>
      </c>
    </row>
    <row r="262239" spans="6:6" x14ac:dyDescent="0.25">
      <c r="F262239" s="9">
        <v>3</v>
      </c>
    </row>
    <row r="262240" spans="6:6" x14ac:dyDescent="0.25">
      <c r="F262240" s="9">
        <v>4</v>
      </c>
    </row>
    <row r="262241" spans="6:6" x14ac:dyDescent="0.25">
      <c r="F262241" s="9">
        <v>4</v>
      </c>
    </row>
    <row r="262242" spans="6:6" x14ac:dyDescent="0.25">
      <c r="F262242" s="9">
        <v>2</v>
      </c>
    </row>
    <row r="262243" spans="6:6" x14ac:dyDescent="0.25">
      <c r="F262243" s="9">
        <v>3</v>
      </c>
    </row>
    <row r="262244" spans="6:6" x14ac:dyDescent="0.25">
      <c r="F262244" s="9">
        <v>3</v>
      </c>
    </row>
    <row r="262245" spans="6:6" x14ac:dyDescent="0.25">
      <c r="F262245" s="9">
        <v>3</v>
      </c>
    </row>
    <row r="262246" spans="6:6" x14ac:dyDescent="0.25">
      <c r="F262246" s="9">
        <v>2</v>
      </c>
    </row>
    <row r="262247" spans="6:6" x14ac:dyDescent="0.25">
      <c r="F262247" s="9">
        <v>3</v>
      </c>
    </row>
    <row r="262248" spans="6:6" x14ac:dyDescent="0.25">
      <c r="F262248" s="9">
        <v>3</v>
      </c>
    </row>
    <row r="262249" spans="6:6" x14ac:dyDescent="0.25">
      <c r="F262249" s="9">
        <v>3</v>
      </c>
    </row>
    <row r="262250" spans="6:6" x14ac:dyDescent="0.25">
      <c r="F262250" s="9">
        <v>4</v>
      </c>
    </row>
    <row r="262251" spans="6:6" x14ac:dyDescent="0.25">
      <c r="F262251" s="9">
        <v>4</v>
      </c>
    </row>
    <row r="262252" spans="6:6" x14ac:dyDescent="0.25">
      <c r="F262252" s="9">
        <v>2</v>
      </c>
    </row>
    <row r="262253" spans="6:6" x14ac:dyDescent="0.25">
      <c r="F262253" s="9">
        <v>3</v>
      </c>
    </row>
    <row r="262254" spans="6:6" x14ac:dyDescent="0.25">
      <c r="F262254" s="9">
        <v>1</v>
      </c>
    </row>
    <row r="262255" spans="6:6" x14ac:dyDescent="0.25">
      <c r="F262255" s="9">
        <v>1</v>
      </c>
    </row>
    <row r="262256" spans="6:6" x14ac:dyDescent="0.25">
      <c r="F262256" s="9">
        <v>1</v>
      </c>
    </row>
    <row r="262257" spans="6:6" x14ac:dyDescent="0.25">
      <c r="F262257" s="9" t="s">
        <v>133</v>
      </c>
    </row>
    <row r="262258" spans="6:6" x14ac:dyDescent="0.25">
      <c r="F262258" s="6" t="s">
        <v>172</v>
      </c>
    </row>
    <row r="262259" spans="6:6" x14ac:dyDescent="0.25">
      <c r="F262259" s="9" t="s">
        <v>263</v>
      </c>
    </row>
    <row r="262260" spans="6:6" x14ac:dyDescent="0.25">
      <c r="F262260" s="33" t="s">
        <v>264</v>
      </c>
    </row>
    <row r="278529" spans="6:6" x14ac:dyDescent="0.25">
      <c r="F278529" s="84"/>
    </row>
    <row r="278530" spans="6:6" x14ac:dyDescent="0.25">
      <c r="F278530" s="46"/>
    </row>
    <row r="278531" spans="6:6" x14ac:dyDescent="0.25">
      <c r="F278531" s="9">
        <v>4</v>
      </c>
    </row>
    <row r="278532" spans="6:6" x14ac:dyDescent="0.25">
      <c r="F278532" s="9">
        <v>6</v>
      </c>
    </row>
    <row r="278533" spans="6:6" x14ac:dyDescent="0.25">
      <c r="F278533" s="9">
        <v>6</v>
      </c>
    </row>
    <row r="278534" spans="6:6" x14ac:dyDescent="0.25">
      <c r="F278534" s="9">
        <v>6</v>
      </c>
    </row>
    <row r="278535" spans="6:6" x14ac:dyDescent="0.25">
      <c r="F278535" s="9">
        <v>4</v>
      </c>
    </row>
    <row r="278536" spans="6:6" x14ac:dyDescent="0.25">
      <c r="F278536" s="9">
        <v>4</v>
      </c>
    </row>
    <row r="278537" spans="6:6" x14ac:dyDescent="0.25">
      <c r="F278537" s="9">
        <v>5</v>
      </c>
    </row>
    <row r="278538" spans="6:6" x14ac:dyDescent="0.25">
      <c r="F278538" s="9">
        <v>5</v>
      </c>
    </row>
    <row r="278539" spans="6:6" x14ac:dyDescent="0.25">
      <c r="F278539" s="9">
        <v>10</v>
      </c>
    </row>
    <row r="278540" spans="6:6" x14ac:dyDescent="0.25">
      <c r="F278540" s="9">
        <v>8</v>
      </c>
    </row>
    <row r="278541" spans="6:6" x14ac:dyDescent="0.25">
      <c r="F278541" s="9">
        <v>9</v>
      </c>
    </row>
    <row r="278542" spans="6:6" x14ac:dyDescent="0.25">
      <c r="F278542" s="9">
        <v>8</v>
      </c>
    </row>
    <row r="278543" spans="6:6" x14ac:dyDescent="0.25">
      <c r="F278543" s="9">
        <v>8</v>
      </c>
    </row>
    <row r="278544" spans="6:6" x14ac:dyDescent="0.25">
      <c r="F278544" s="9">
        <v>8</v>
      </c>
    </row>
    <row r="278545" spans="6:6" x14ac:dyDescent="0.25">
      <c r="F278545" s="9">
        <v>8</v>
      </c>
    </row>
    <row r="278546" spans="6:6" x14ac:dyDescent="0.25">
      <c r="F278546" s="9">
        <v>5</v>
      </c>
    </row>
    <row r="278547" spans="6:6" x14ac:dyDescent="0.25">
      <c r="F278547" s="9">
        <v>5</v>
      </c>
    </row>
    <row r="278548" spans="6:6" x14ac:dyDescent="0.25">
      <c r="F278548" s="9">
        <v>7</v>
      </c>
    </row>
    <row r="278549" spans="6:6" x14ac:dyDescent="0.25">
      <c r="F278549" s="9">
        <v>5</v>
      </c>
    </row>
    <row r="278550" spans="6:6" x14ac:dyDescent="0.25">
      <c r="F278550" s="9">
        <v>5</v>
      </c>
    </row>
    <row r="278551" spans="6:6" x14ac:dyDescent="0.25">
      <c r="F278551" s="9">
        <v>5</v>
      </c>
    </row>
    <row r="278552" spans="6:6" x14ac:dyDescent="0.25">
      <c r="F278552" s="9">
        <v>4</v>
      </c>
    </row>
    <row r="278553" spans="6:6" x14ac:dyDescent="0.25">
      <c r="F278553" s="9">
        <v>6</v>
      </c>
    </row>
    <row r="278554" spans="6:6" x14ac:dyDescent="0.25">
      <c r="F278554" s="9">
        <v>4</v>
      </c>
    </row>
    <row r="278555" spans="6:6" x14ac:dyDescent="0.25">
      <c r="F278555" s="9">
        <v>4</v>
      </c>
    </row>
    <row r="278556" spans="6:6" x14ac:dyDescent="0.25">
      <c r="F278556" s="9">
        <v>6</v>
      </c>
    </row>
    <row r="278557" spans="6:6" x14ac:dyDescent="0.25">
      <c r="F278557" s="9">
        <v>4</v>
      </c>
    </row>
    <row r="278558" spans="6:6" x14ac:dyDescent="0.25">
      <c r="F278558" s="9">
        <v>6</v>
      </c>
    </row>
    <row r="278559" spans="6:6" x14ac:dyDescent="0.25">
      <c r="F278559" s="9">
        <v>4</v>
      </c>
    </row>
    <row r="278560" spans="6:6" x14ac:dyDescent="0.25">
      <c r="F278560" s="9">
        <v>6</v>
      </c>
    </row>
    <row r="278561" spans="6:6" x14ac:dyDescent="0.25">
      <c r="F278561" s="9">
        <v>4</v>
      </c>
    </row>
    <row r="278562" spans="6:6" x14ac:dyDescent="0.25">
      <c r="F278562" s="9">
        <v>6</v>
      </c>
    </row>
    <row r="278563" spans="6:6" x14ac:dyDescent="0.25">
      <c r="F278563" s="9">
        <v>6</v>
      </c>
    </row>
    <row r="278564" spans="6:6" x14ac:dyDescent="0.25">
      <c r="F278564" s="9">
        <v>5</v>
      </c>
    </row>
    <row r="278565" spans="6:6" x14ac:dyDescent="0.25">
      <c r="F278565" s="9">
        <v>3</v>
      </c>
    </row>
    <row r="278566" spans="6:6" x14ac:dyDescent="0.25">
      <c r="F278566" s="9">
        <v>4</v>
      </c>
    </row>
    <row r="278567" spans="6:6" x14ac:dyDescent="0.25">
      <c r="F278567" s="9">
        <v>4</v>
      </c>
    </row>
    <row r="278568" spans="6:6" x14ac:dyDescent="0.25">
      <c r="F278568" s="9">
        <v>5</v>
      </c>
    </row>
    <row r="278569" spans="6:6" x14ac:dyDescent="0.25">
      <c r="F278569" s="9">
        <v>5</v>
      </c>
    </row>
    <row r="278570" spans="6:6" x14ac:dyDescent="0.25">
      <c r="F278570" s="9">
        <v>2</v>
      </c>
    </row>
    <row r="278571" spans="6:6" x14ac:dyDescent="0.25">
      <c r="F278571" s="9">
        <v>6</v>
      </c>
    </row>
    <row r="278572" spans="6:6" x14ac:dyDescent="0.25">
      <c r="F278572" s="9">
        <v>7</v>
      </c>
    </row>
    <row r="278573" spans="6:6" x14ac:dyDescent="0.25">
      <c r="F278573" s="9">
        <v>3</v>
      </c>
    </row>
    <row r="278574" spans="6:6" x14ac:dyDescent="0.25">
      <c r="F278574" s="9">
        <v>3</v>
      </c>
    </row>
    <row r="278575" spans="6:6" x14ac:dyDescent="0.25">
      <c r="F278575" s="9">
        <v>3</v>
      </c>
    </row>
    <row r="278576" spans="6:6" x14ac:dyDescent="0.25">
      <c r="F278576" s="9">
        <v>3</v>
      </c>
    </row>
    <row r="278577" spans="6:6" x14ac:dyDescent="0.25">
      <c r="F278577" s="9">
        <v>6</v>
      </c>
    </row>
    <row r="278578" spans="6:6" x14ac:dyDescent="0.25">
      <c r="F278578" s="9">
        <v>1</v>
      </c>
    </row>
    <row r="278579" spans="6:6" x14ac:dyDescent="0.25">
      <c r="F278579" s="9">
        <v>5</v>
      </c>
    </row>
    <row r="278580" spans="6:6" x14ac:dyDescent="0.25">
      <c r="F278580" s="9">
        <v>6</v>
      </c>
    </row>
    <row r="278581" spans="6:6" x14ac:dyDescent="0.25">
      <c r="F278581" s="9">
        <v>4</v>
      </c>
    </row>
    <row r="278582" spans="6:6" x14ac:dyDescent="0.25">
      <c r="F278582" s="9">
        <v>3</v>
      </c>
    </row>
    <row r="278583" spans="6:6" x14ac:dyDescent="0.25">
      <c r="F278583" s="9">
        <v>4</v>
      </c>
    </row>
    <row r="278584" spans="6:6" x14ac:dyDescent="0.25">
      <c r="F278584" s="9">
        <v>3</v>
      </c>
    </row>
    <row r="278585" spans="6:6" x14ac:dyDescent="0.25">
      <c r="F278585" s="9">
        <v>1</v>
      </c>
    </row>
    <row r="278586" spans="6:6" x14ac:dyDescent="0.25">
      <c r="F278586" s="9">
        <v>5</v>
      </c>
    </row>
    <row r="278587" spans="6:6" x14ac:dyDescent="0.25">
      <c r="F278587" s="9">
        <v>4</v>
      </c>
    </row>
    <row r="278588" spans="6:6" x14ac:dyDescent="0.25">
      <c r="F278588" s="9">
        <v>6</v>
      </c>
    </row>
    <row r="278589" spans="6:6" x14ac:dyDescent="0.25">
      <c r="F278589" s="9">
        <v>2</v>
      </c>
    </row>
    <row r="278590" spans="6:6" x14ac:dyDescent="0.25">
      <c r="F278590" s="9">
        <v>2</v>
      </c>
    </row>
    <row r="278591" spans="6:6" x14ac:dyDescent="0.25">
      <c r="F278591" s="9">
        <v>4</v>
      </c>
    </row>
    <row r="278592" spans="6:6" x14ac:dyDescent="0.25">
      <c r="F278592" s="9">
        <v>3</v>
      </c>
    </row>
    <row r="278593" spans="6:6" x14ac:dyDescent="0.25">
      <c r="F278593" s="9">
        <v>2</v>
      </c>
    </row>
    <row r="278594" spans="6:6" x14ac:dyDescent="0.25">
      <c r="F278594" s="9">
        <v>7</v>
      </c>
    </row>
    <row r="278595" spans="6:6" x14ac:dyDescent="0.25">
      <c r="F278595" s="9">
        <v>8</v>
      </c>
    </row>
    <row r="278596" spans="6:6" x14ac:dyDescent="0.25">
      <c r="F278596" s="9">
        <v>7</v>
      </c>
    </row>
    <row r="278597" spans="6:6" x14ac:dyDescent="0.25">
      <c r="F278597" s="9">
        <v>6</v>
      </c>
    </row>
    <row r="278598" spans="6:6" x14ac:dyDescent="0.25">
      <c r="F278598" s="9">
        <v>3</v>
      </c>
    </row>
    <row r="278599" spans="6:6" x14ac:dyDescent="0.25">
      <c r="F278599" s="9">
        <v>6</v>
      </c>
    </row>
    <row r="278600" spans="6:6" x14ac:dyDescent="0.25">
      <c r="F278600" s="9">
        <v>3</v>
      </c>
    </row>
    <row r="278601" spans="6:6" x14ac:dyDescent="0.25">
      <c r="F278601" s="9">
        <v>2</v>
      </c>
    </row>
    <row r="278602" spans="6:6" x14ac:dyDescent="0.25">
      <c r="F278602" s="9">
        <v>5</v>
      </c>
    </row>
    <row r="278603" spans="6:6" x14ac:dyDescent="0.25">
      <c r="F278603" s="9">
        <v>3</v>
      </c>
    </row>
    <row r="278604" spans="6:6" x14ac:dyDescent="0.25">
      <c r="F278604" s="9">
        <v>4</v>
      </c>
    </row>
    <row r="278605" spans="6:6" x14ac:dyDescent="0.25">
      <c r="F278605" s="9">
        <v>2</v>
      </c>
    </row>
    <row r="278606" spans="6:6" x14ac:dyDescent="0.25">
      <c r="F278606" s="9">
        <v>4</v>
      </c>
    </row>
    <row r="278607" spans="6:6" x14ac:dyDescent="0.25">
      <c r="F278607" s="9">
        <v>3</v>
      </c>
    </row>
    <row r="278608" spans="6:6" x14ac:dyDescent="0.25">
      <c r="F278608" s="9">
        <v>3</v>
      </c>
    </row>
    <row r="278609" spans="6:6" x14ac:dyDescent="0.25">
      <c r="F278609" s="9">
        <v>4</v>
      </c>
    </row>
    <row r="278610" spans="6:6" x14ac:dyDescent="0.25">
      <c r="F278610" s="9">
        <v>3</v>
      </c>
    </row>
    <row r="278611" spans="6:6" x14ac:dyDescent="0.25">
      <c r="F278611" s="9">
        <v>2</v>
      </c>
    </row>
    <row r="278612" spans="6:6" x14ac:dyDescent="0.25">
      <c r="F278612" s="9">
        <v>3</v>
      </c>
    </row>
    <row r="278613" spans="6:6" x14ac:dyDescent="0.25">
      <c r="F278613" s="9">
        <v>7</v>
      </c>
    </row>
    <row r="278614" spans="6:6" x14ac:dyDescent="0.25">
      <c r="F278614" s="9">
        <v>6</v>
      </c>
    </row>
    <row r="278615" spans="6:6" x14ac:dyDescent="0.25">
      <c r="F278615" s="9">
        <v>5</v>
      </c>
    </row>
    <row r="278616" spans="6:6" x14ac:dyDescent="0.25">
      <c r="F278616" s="9">
        <v>5</v>
      </c>
    </row>
    <row r="278617" spans="6:6" x14ac:dyDescent="0.25">
      <c r="F278617" s="9">
        <v>4</v>
      </c>
    </row>
    <row r="278618" spans="6:6" x14ac:dyDescent="0.25">
      <c r="F278618" s="9">
        <v>5</v>
      </c>
    </row>
    <row r="278619" spans="6:6" x14ac:dyDescent="0.25">
      <c r="F278619" s="9">
        <v>5</v>
      </c>
    </row>
    <row r="278620" spans="6:6" x14ac:dyDescent="0.25">
      <c r="F278620" s="9">
        <v>2</v>
      </c>
    </row>
    <row r="278621" spans="6:6" x14ac:dyDescent="0.25">
      <c r="F278621" s="9">
        <v>3</v>
      </c>
    </row>
    <row r="278622" spans="6:6" x14ac:dyDescent="0.25">
      <c r="F278622" s="9">
        <v>2</v>
      </c>
    </row>
    <row r="278623" spans="6:6" x14ac:dyDescent="0.25">
      <c r="F278623" s="9">
        <v>3</v>
      </c>
    </row>
    <row r="278624" spans="6:6" x14ac:dyDescent="0.25">
      <c r="F278624" s="9">
        <v>4</v>
      </c>
    </row>
    <row r="278625" spans="6:6" x14ac:dyDescent="0.25">
      <c r="F278625" s="9">
        <v>4</v>
      </c>
    </row>
    <row r="278626" spans="6:6" x14ac:dyDescent="0.25">
      <c r="F278626" s="9">
        <v>2</v>
      </c>
    </row>
    <row r="278627" spans="6:6" x14ac:dyDescent="0.25">
      <c r="F278627" s="9">
        <v>3</v>
      </c>
    </row>
    <row r="278628" spans="6:6" x14ac:dyDescent="0.25">
      <c r="F278628" s="9">
        <v>3</v>
      </c>
    </row>
    <row r="278629" spans="6:6" x14ac:dyDescent="0.25">
      <c r="F278629" s="9">
        <v>3</v>
      </c>
    </row>
    <row r="278630" spans="6:6" x14ac:dyDescent="0.25">
      <c r="F278630" s="9">
        <v>2</v>
      </c>
    </row>
    <row r="278631" spans="6:6" x14ac:dyDescent="0.25">
      <c r="F278631" s="9">
        <v>3</v>
      </c>
    </row>
    <row r="278632" spans="6:6" x14ac:dyDescent="0.25">
      <c r="F278632" s="9">
        <v>3</v>
      </c>
    </row>
    <row r="278633" spans="6:6" x14ac:dyDescent="0.25">
      <c r="F278633" s="9">
        <v>3</v>
      </c>
    </row>
    <row r="278634" spans="6:6" x14ac:dyDescent="0.25">
      <c r="F278634" s="9">
        <v>4</v>
      </c>
    </row>
    <row r="278635" spans="6:6" x14ac:dyDescent="0.25">
      <c r="F278635" s="9">
        <v>4</v>
      </c>
    </row>
    <row r="278636" spans="6:6" x14ac:dyDescent="0.25">
      <c r="F278636" s="9">
        <v>2</v>
      </c>
    </row>
    <row r="278637" spans="6:6" x14ac:dyDescent="0.25">
      <c r="F278637" s="9">
        <v>3</v>
      </c>
    </row>
    <row r="278638" spans="6:6" x14ac:dyDescent="0.25">
      <c r="F278638" s="9">
        <v>1</v>
      </c>
    </row>
    <row r="278639" spans="6:6" x14ac:dyDescent="0.25">
      <c r="F278639" s="9">
        <v>1</v>
      </c>
    </row>
    <row r="278640" spans="6:6" x14ac:dyDescent="0.25">
      <c r="F278640" s="9">
        <v>1</v>
      </c>
    </row>
    <row r="278641" spans="6:6" x14ac:dyDescent="0.25">
      <c r="F278641" s="9" t="s">
        <v>133</v>
      </c>
    </row>
    <row r="278642" spans="6:6" x14ac:dyDescent="0.25">
      <c r="F278642" s="6" t="s">
        <v>172</v>
      </c>
    </row>
    <row r="278643" spans="6:6" x14ac:dyDescent="0.25">
      <c r="F278643" s="9" t="s">
        <v>263</v>
      </c>
    </row>
    <row r="278644" spans="6:6" x14ac:dyDescent="0.25">
      <c r="F278644" s="33" t="s">
        <v>264</v>
      </c>
    </row>
    <row r="294913" spans="6:6" x14ac:dyDescent="0.25">
      <c r="F294913" s="84"/>
    </row>
    <row r="294914" spans="6:6" x14ac:dyDescent="0.25">
      <c r="F294914" s="46"/>
    </row>
    <row r="294915" spans="6:6" x14ac:dyDescent="0.25">
      <c r="F294915" s="9">
        <v>4</v>
      </c>
    </row>
    <row r="294916" spans="6:6" x14ac:dyDescent="0.25">
      <c r="F294916" s="9">
        <v>6</v>
      </c>
    </row>
    <row r="294917" spans="6:6" x14ac:dyDescent="0.25">
      <c r="F294917" s="9">
        <v>6</v>
      </c>
    </row>
    <row r="294918" spans="6:6" x14ac:dyDescent="0.25">
      <c r="F294918" s="9">
        <v>6</v>
      </c>
    </row>
    <row r="294919" spans="6:6" x14ac:dyDescent="0.25">
      <c r="F294919" s="9">
        <v>4</v>
      </c>
    </row>
    <row r="294920" spans="6:6" x14ac:dyDescent="0.25">
      <c r="F294920" s="9">
        <v>4</v>
      </c>
    </row>
    <row r="294921" spans="6:6" x14ac:dyDescent="0.25">
      <c r="F294921" s="9">
        <v>5</v>
      </c>
    </row>
    <row r="294922" spans="6:6" x14ac:dyDescent="0.25">
      <c r="F294922" s="9">
        <v>5</v>
      </c>
    </row>
    <row r="294923" spans="6:6" x14ac:dyDescent="0.25">
      <c r="F294923" s="9">
        <v>10</v>
      </c>
    </row>
    <row r="294924" spans="6:6" x14ac:dyDescent="0.25">
      <c r="F294924" s="9">
        <v>8</v>
      </c>
    </row>
    <row r="294925" spans="6:6" x14ac:dyDescent="0.25">
      <c r="F294925" s="9">
        <v>9</v>
      </c>
    </row>
    <row r="294926" spans="6:6" x14ac:dyDescent="0.25">
      <c r="F294926" s="9">
        <v>8</v>
      </c>
    </row>
    <row r="294927" spans="6:6" x14ac:dyDescent="0.25">
      <c r="F294927" s="9">
        <v>8</v>
      </c>
    </row>
    <row r="294928" spans="6:6" x14ac:dyDescent="0.25">
      <c r="F294928" s="9">
        <v>8</v>
      </c>
    </row>
    <row r="294929" spans="6:6" x14ac:dyDescent="0.25">
      <c r="F294929" s="9">
        <v>8</v>
      </c>
    </row>
    <row r="294930" spans="6:6" x14ac:dyDescent="0.25">
      <c r="F294930" s="9">
        <v>5</v>
      </c>
    </row>
    <row r="294931" spans="6:6" x14ac:dyDescent="0.25">
      <c r="F294931" s="9">
        <v>5</v>
      </c>
    </row>
    <row r="294932" spans="6:6" x14ac:dyDescent="0.25">
      <c r="F294932" s="9">
        <v>7</v>
      </c>
    </row>
    <row r="294933" spans="6:6" x14ac:dyDescent="0.25">
      <c r="F294933" s="9">
        <v>5</v>
      </c>
    </row>
    <row r="294934" spans="6:6" x14ac:dyDescent="0.25">
      <c r="F294934" s="9">
        <v>5</v>
      </c>
    </row>
    <row r="294935" spans="6:6" x14ac:dyDescent="0.25">
      <c r="F294935" s="9">
        <v>5</v>
      </c>
    </row>
    <row r="294936" spans="6:6" x14ac:dyDescent="0.25">
      <c r="F294936" s="9">
        <v>4</v>
      </c>
    </row>
    <row r="294937" spans="6:6" x14ac:dyDescent="0.25">
      <c r="F294937" s="9">
        <v>6</v>
      </c>
    </row>
    <row r="294938" spans="6:6" x14ac:dyDescent="0.25">
      <c r="F294938" s="9">
        <v>4</v>
      </c>
    </row>
    <row r="294939" spans="6:6" x14ac:dyDescent="0.25">
      <c r="F294939" s="9">
        <v>4</v>
      </c>
    </row>
    <row r="294940" spans="6:6" x14ac:dyDescent="0.25">
      <c r="F294940" s="9">
        <v>6</v>
      </c>
    </row>
    <row r="294941" spans="6:6" x14ac:dyDescent="0.25">
      <c r="F294941" s="9">
        <v>4</v>
      </c>
    </row>
    <row r="294942" spans="6:6" x14ac:dyDescent="0.25">
      <c r="F294942" s="9">
        <v>6</v>
      </c>
    </row>
    <row r="294943" spans="6:6" x14ac:dyDescent="0.25">
      <c r="F294943" s="9">
        <v>4</v>
      </c>
    </row>
    <row r="294944" spans="6:6" x14ac:dyDescent="0.25">
      <c r="F294944" s="9">
        <v>6</v>
      </c>
    </row>
    <row r="294945" spans="6:6" x14ac:dyDescent="0.25">
      <c r="F294945" s="9">
        <v>4</v>
      </c>
    </row>
    <row r="294946" spans="6:6" x14ac:dyDescent="0.25">
      <c r="F294946" s="9">
        <v>6</v>
      </c>
    </row>
    <row r="294947" spans="6:6" x14ac:dyDescent="0.25">
      <c r="F294947" s="9">
        <v>6</v>
      </c>
    </row>
    <row r="294948" spans="6:6" x14ac:dyDescent="0.25">
      <c r="F294948" s="9">
        <v>5</v>
      </c>
    </row>
    <row r="294949" spans="6:6" x14ac:dyDescent="0.25">
      <c r="F294949" s="9">
        <v>3</v>
      </c>
    </row>
    <row r="294950" spans="6:6" x14ac:dyDescent="0.25">
      <c r="F294950" s="9">
        <v>4</v>
      </c>
    </row>
    <row r="294951" spans="6:6" x14ac:dyDescent="0.25">
      <c r="F294951" s="9">
        <v>4</v>
      </c>
    </row>
    <row r="294952" spans="6:6" x14ac:dyDescent="0.25">
      <c r="F294952" s="9">
        <v>5</v>
      </c>
    </row>
    <row r="294953" spans="6:6" x14ac:dyDescent="0.25">
      <c r="F294953" s="9">
        <v>5</v>
      </c>
    </row>
    <row r="294954" spans="6:6" x14ac:dyDescent="0.25">
      <c r="F294954" s="9">
        <v>2</v>
      </c>
    </row>
    <row r="294955" spans="6:6" x14ac:dyDescent="0.25">
      <c r="F294955" s="9">
        <v>6</v>
      </c>
    </row>
    <row r="294956" spans="6:6" x14ac:dyDescent="0.25">
      <c r="F294956" s="9">
        <v>7</v>
      </c>
    </row>
    <row r="294957" spans="6:6" x14ac:dyDescent="0.25">
      <c r="F294957" s="9">
        <v>3</v>
      </c>
    </row>
    <row r="294958" spans="6:6" x14ac:dyDescent="0.25">
      <c r="F294958" s="9">
        <v>3</v>
      </c>
    </row>
    <row r="294959" spans="6:6" x14ac:dyDescent="0.25">
      <c r="F294959" s="9">
        <v>3</v>
      </c>
    </row>
    <row r="294960" spans="6:6" x14ac:dyDescent="0.25">
      <c r="F294960" s="9">
        <v>3</v>
      </c>
    </row>
    <row r="294961" spans="6:6" x14ac:dyDescent="0.25">
      <c r="F294961" s="9">
        <v>6</v>
      </c>
    </row>
    <row r="294962" spans="6:6" x14ac:dyDescent="0.25">
      <c r="F294962" s="9">
        <v>1</v>
      </c>
    </row>
    <row r="294963" spans="6:6" x14ac:dyDescent="0.25">
      <c r="F294963" s="9">
        <v>5</v>
      </c>
    </row>
    <row r="294964" spans="6:6" x14ac:dyDescent="0.25">
      <c r="F294964" s="9">
        <v>6</v>
      </c>
    </row>
    <row r="294965" spans="6:6" x14ac:dyDescent="0.25">
      <c r="F294965" s="9">
        <v>4</v>
      </c>
    </row>
    <row r="294966" spans="6:6" x14ac:dyDescent="0.25">
      <c r="F294966" s="9">
        <v>3</v>
      </c>
    </row>
    <row r="294967" spans="6:6" x14ac:dyDescent="0.25">
      <c r="F294967" s="9">
        <v>4</v>
      </c>
    </row>
    <row r="294968" spans="6:6" x14ac:dyDescent="0.25">
      <c r="F294968" s="9">
        <v>3</v>
      </c>
    </row>
    <row r="294969" spans="6:6" x14ac:dyDescent="0.25">
      <c r="F294969" s="9">
        <v>1</v>
      </c>
    </row>
    <row r="294970" spans="6:6" x14ac:dyDescent="0.25">
      <c r="F294970" s="9">
        <v>5</v>
      </c>
    </row>
    <row r="294971" spans="6:6" x14ac:dyDescent="0.25">
      <c r="F294971" s="9">
        <v>4</v>
      </c>
    </row>
    <row r="294972" spans="6:6" x14ac:dyDescent="0.25">
      <c r="F294972" s="9">
        <v>6</v>
      </c>
    </row>
    <row r="294973" spans="6:6" x14ac:dyDescent="0.25">
      <c r="F294973" s="9">
        <v>2</v>
      </c>
    </row>
    <row r="294974" spans="6:6" x14ac:dyDescent="0.25">
      <c r="F294974" s="9">
        <v>2</v>
      </c>
    </row>
    <row r="294975" spans="6:6" x14ac:dyDescent="0.25">
      <c r="F294975" s="9">
        <v>4</v>
      </c>
    </row>
    <row r="294976" spans="6:6" x14ac:dyDescent="0.25">
      <c r="F294976" s="9">
        <v>3</v>
      </c>
    </row>
    <row r="294977" spans="6:6" x14ac:dyDescent="0.25">
      <c r="F294977" s="9">
        <v>2</v>
      </c>
    </row>
    <row r="294978" spans="6:6" x14ac:dyDescent="0.25">
      <c r="F294978" s="9">
        <v>7</v>
      </c>
    </row>
    <row r="294979" spans="6:6" x14ac:dyDescent="0.25">
      <c r="F294979" s="9">
        <v>8</v>
      </c>
    </row>
    <row r="294980" spans="6:6" x14ac:dyDescent="0.25">
      <c r="F294980" s="9">
        <v>7</v>
      </c>
    </row>
    <row r="294981" spans="6:6" x14ac:dyDescent="0.25">
      <c r="F294981" s="9">
        <v>6</v>
      </c>
    </row>
    <row r="294982" spans="6:6" x14ac:dyDescent="0.25">
      <c r="F294982" s="9">
        <v>3</v>
      </c>
    </row>
    <row r="294983" spans="6:6" x14ac:dyDescent="0.25">
      <c r="F294983" s="9">
        <v>6</v>
      </c>
    </row>
    <row r="294984" spans="6:6" x14ac:dyDescent="0.25">
      <c r="F294984" s="9">
        <v>3</v>
      </c>
    </row>
    <row r="294985" spans="6:6" x14ac:dyDescent="0.25">
      <c r="F294985" s="9">
        <v>2</v>
      </c>
    </row>
    <row r="294986" spans="6:6" x14ac:dyDescent="0.25">
      <c r="F294986" s="9">
        <v>5</v>
      </c>
    </row>
    <row r="294987" spans="6:6" x14ac:dyDescent="0.25">
      <c r="F294987" s="9">
        <v>3</v>
      </c>
    </row>
    <row r="294988" spans="6:6" x14ac:dyDescent="0.25">
      <c r="F294988" s="9">
        <v>4</v>
      </c>
    </row>
    <row r="294989" spans="6:6" x14ac:dyDescent="0.25">
      <c r="F294989" s="9">
        <v>2</v>
      </c>
    </row>
    <row r="294990" spans="6:6" x14ac:dyDescent="0.25">
      <c r="F294990" s="9">
        <v>4</v>
      </c>
    </row>
    <row r="294991" spans="6:6" x14ac:dyDescent="0.25">
      <c r="F294991" s="9">
        <v>3</v>
      </c>
    </row>
    <row r="294992" spans="6:6" x14ac:dyDescent="0.25">
      <c r="F294992" s="9">
        <v>3</v>
      </c>
    </row>
    <row r="294993" spans="6:6" x14ac:dyDescent="0.25">
      <c r="F294993" s="9">
        <v>4</v>
      </c>
    </row>
    <row r="294994" spans="6:6" x14ac:dyDescent="0.25">
      <c r="F294994" s="9">
        <v>3</v>
      </c>
    </row>
    <row r="294995" spans="6:6" x14ac:dyDescent="0.25">
      <c r="F294995" s="9">
        <v>2</v>
      </c>
    </row>
    <row r="294996" spans="6:6" x14ac:dyDescent="0.25">
      <c r="F294996" s="9">
        <v>3</v>
      </c>
    </row>
    <row r="294997" spans="6:6" x14ac:dyDescent="0.25">
      <c r="F294997" s="9">
        <v>7</v>
      </c>
    </row>
    <row r="294998" spans="6:6" x14ac:dyDescent="0.25">
      <c r="F294998" s="9">
        <v>6</v>
      </c>
    </row>
    <row r="294999" spans="6:6" x14ac:dyDescent="0.25">
      <c r="F294999" s="9">
        <v>5</v>
      </c>
    </row>
    <row r="295000" spans="6:6" x14ac:dyDescent="0.25">
      <c r="F295000" s="9">
        <v>5</v>
      </c>
    </row>
    <row r="295001" spans="6:6" x14ac:dyDescent="0.25">
      <c r="F295001" s="9">
        <v>4</v>
      </c>
    </row>
    <row r="295002" spans="6:6" x14ac:dyDescent="0.25">
      <c r="F295002" s="9">
        <v>5</v>
      </c>
    </row>
    <row r="295003" spans="6:6" x14ac:dyDescent="0.25">
      <c r="F295003" s="9">
        <v>5</v>
      </c>
    </row>
    <row r="295004" spans="6:6" x14ac:dyDescent="0.25">
      <c r="F295004" s="9">
        <v>2</v>
      </c>
    </row>
    <row r="295005" spans="6:6" x14ac:dyDescent="0.25">
      <c r="F295005" s="9">
        <v>3</v>
      </c>
    </row>
    <row r="295006" spans="6:6" x14ac:dyDescent="0.25">
      <c r="F295006" s="9">
        <v>2</v>
      </c>
    </row>
    <row r="295007" spans="6:6" x14ac:dyDescent="0.25">
      <c r="F295007" s="9">
        <v>3</v>
      </c>
    </row>
    <row r="295008" spans="6:6" x14ac:dyDescent="0.25">
      <c r="F295008" s="9">
        <v>4</v>
      </c>
    </row>
    <row r="295009" spans="6:6" x14ac:dyDescent="0.25">
      <c r="F295009" s="9">
        <v>4</v>
      </c>
    </row>
    <row r="295010" spans="6:6" x14ac:dyDescent="0.25">
      <c r="F295010" s="9">
        <v>2</v>
      </c>
    </row>
    <row r="295011" spans="6:6" x14ac:dyDescent="0.25">
      <c r="F295011" s="9">
        <v>3</v>
      </c>
    </row>
    <row r="295012" spans="6:6" x14ac:dyDescent="0.25">
      <c r="F295012" s="9">
        <v>3</v>
      </c>
    </row>
    <row r="295013" spans="6:6" x14ac:dyDescent="0.25">
      <c r="F295013" s="9">
        <v>3</v>
      </c>
    </row>
    <row r="295014" spans="6:6" x14ac:dyDescent="0.25">
      <c r="F295014" s="9">
        <v>2</v>
      </c>
    </row>
    <row r="295015" spans="6:6" x14ac:dyDescent="0.25">
      <c r="F295015" s="9">
        <v>3</v>
      </c>
    </row>
    <row r="295016" spans="6:6" x14ac:dyDescent="0.25">
      <c r="F295016" s="9">
        <v>3</v>
      </c>
    </row>
    <row r="295017" spans="6:6" x14ac:dyDescent="0.25">
      <c r="F295017" s="9">
        <v>3</v>
      </c>
    </row>
    <row r="295018" spans="6:6" x14ac:dyDescent="0.25">
      <c r="F295018" s="9">
        <v>4</v>
      </c>
    </row>
    <row r="295019" spans="6:6" x14ac:dyDescent="0.25">
      <c r="F295019" s="9">
        <v>4</v>
      </c>
    </row>
    <row r="295020" spans="6:6" x14ac:dyDescent="0.25">
      <c r="F295020" s="9">
        <v>2</v>
      </c>
    </row>
    <row r="295021" spans="6:6" x14ac:dyDescent="0.25">
      <c r="F295021" s="9">
        <v>3</v>
      </c>
    </row>
    <row r="295022" spans="6:6" x14ac:dyDescent="0.25">
      <c r="F295022" s="9">
        <v>1</v>
      </c>
    </row>
    <row r="295023" spans="6:6" x14ac:dyDescent="0.25">
      <c r="F295023" s="9">
        <v>1</v>
      </c>
    </row>
    <row r="295024" spans="6:6" x14ac:dyDescent="0.25">
      <c r="F295024" s="9">
        <v>1</v>
      </c>
    </row>
    <row r="295025" spans="6:6" x14ac:dyDescent="0.25">
      <c r="F295025" s="9" t="s">
        <v>133</v>
      </c>
    </row>
    <row r="295026" spans="6:6" x14ac:dyDescent="0.25">
      <c r="F295026" s="6" t="s">
        <v>172</v>
      </c>
    </row>
    <row r="295027" spans="6:6" x14ac:dyDescent="0.25">
      <c r="F295027" s="9" t="s">
        <v>263</v>
      </c>
    </row>
    <row r="295028" spans="6:6" x14ac:dyDescent="0.25">
      <c r="F295028" s="33" t="s">
        <v>264</v>
      </c>
    </row>
    <row r="311297" spans="6:6" x14ac:dyDescent="0.25">
      <c r="F311297" s="84"/>
    </row>
    <row r="311298" spans="6:6" x14ac:dyDescent="0.25">
      <c r="F311298" s="46"/>
    </row>
    <row r="311299" spans="6:6" x14ac:dyDescent="0.25">
      <c r="F311299" s="9">
        <v>4</v>
      </c>
    </row>
    <row r="311300" spans="6:6" x14ac:dyDescent="0.25">
      <c r="F311300" s="9">
        <v>6</v>
      </c>
    </row>
    <row r="311301" spans="6:6" x14ac:dyDescent="0.25">
      <c r="F311301" s="9">
        <v>6</v>
      </c>
    </row>
    <row r="311302" spans="6:6" x14ac:dyDescent="0.25">
      <c r="F311302" s="9">
        <v>6</v>
      </c>
    </row>
    <row r="311303" spans="6:6" x14ac:dyDescent="0.25">
      <c r="F311303" s="9">
        <v>4</v>
      </c>
    </row>
    <row r="311304" spans="6:6" x14ac:dyDescent="0.25">
      <c r="F311304" s="9">
        <v>4</v>
      </c>
    </row>
    <row r="311305" spans="6:6" x14ac:dyDescent="0.25">
      <c r="F311305" s="9">
        <v>5</v>
      </c>
    </row>
    <row r="311306" spans="6:6" x14ac:dyDescent="0.25">
      <c r="F311306" s="9">
        <v>5</v>
      </c>
    </row>
    <row r="311307" spans="6:6" x14ac:dyDescent="0.25">
      <c r="F311307" s="9">
        <v>10</v>
      </c>
    </row>
    <row r="311308" spans="6:6" x14ac:dyDescent="0.25">
      <c r="F311308" s="9">
        <v>8</v>
      </c>
    </row>
    <row r="311309" spans="6:6" x14ac:dyDescent="0.25">
      <c r="F311309" s="9">
        <v>9</v>
      </c>
    </row>
    <row r="311310" spans="6:6" x14ac:dyDescent="0.25">
      <c r="F311310" s="9">
        <v>8</v>
      </c>
    </row>
    <row r="311311" spans="6:6" x14ac:dyDescent="0.25">
      <c r="F311311" s="9">
        <v>8</v>
      </c>
    </row>
    <row r="311312" spans="6:6" x14ac:dyDescent="0.25">
      <c r="F311312" s="9">
        <v>8</v>
      </c>
    </row>
    <row r="311313" spans="6:6" x14ac:dyDescent="0.25">
      <c r="F311313" s="9">
        <v>8</v>
      </c>
    </row>
    <row r="311314" spans="6:6" x14ac:dyDescent="0.25">
      <c r="F311314" s="9">
        <v>5</v>
      </c>
    </row>
    <row r="311315" spans="6:6" x14ac:dyDescent="0.25">
      <c r="F311315" s="9">
        <v>5</v>
      </c>
    </row>
    <row r="311316" spans="6:6" x14ac:dyDescent="0.25">
      <c r="F311316" s="9">
        <v>7</v>
      </c>
    </row>
    <row r="311317" spans="6:6" x14ac:dyDescent="0.25">
      <c r="F311317" s="9">
        <v>5</v>
      </c>
    </row>
    <row r="311318" spans="6:6" x14ac:dyDescent="0.25">
      <c r="F311318" s="9">
        <v>5</v>
      </c>
    </row>
    <row r="311319" spans="6:6" x14ac:dyDescent="0.25">
      <c r="F311319" s="9">
        <v>5</v>
      </c>
    </row>
    <row r="311320" spans="6:6" x14ac:dyDescent="0.25">
      <c r="F311320" s="9">
        <v>4</v>
      </c>
    </row>
    <row r="311321" spans="6:6" x14ac:dyDescent="0.25">
      <c r="F311321" s="9">
        <v>6</v>
      </c>
    </row>
    <row r="311322" spans="6:6" x14ac:dyDescent="0.25">
      <c r="F311322" s="9">
        <v>4</v>
      </c>
    </row>
    <row r="311323" spans="6:6" x14ac:dyDescent="0.25">
      <c r="F311323" s="9">
        <v>4</v>
      </c>
    </row>
    <row r="311324" spans="6:6" x14ac:dyDescent="0.25">
      <c r="F311324" s="9">
        <v>6</v>
      </c>
    </row>
    <row r="311325" spans="6:6" x14ac:dyDescent="0.25">
      <c r="F311325" s="9">
        <v>4</v>
      </c>
    </row>
    <row r="311326" spans="6:6" x14ac:dyDescent="0.25">
      <c r="F311326" s="9">
        <v>6</v>
      </c>
    </row>
    <row r="311327" spans="6:6" x14ac:dyDescent="0.25">
      <c r="F311327" s="9">
        <v>4</v>
      </c>
    </row>
    <row r="311328" spans="6:6" x14ac:dyDescent="0.25">
      <c r="F311328" s="9">
        <v>6</v>
      </c>
    </row>
    <row r="311329" spans="6:6" x14ac:dyDescent="0.25">
      <c r="F311329" s="9">
        <v>4</v>
      </c>
    </row>
    <row r="311330" spans="6:6" x14ac:dyDescent="0.25">
      <c r="F311330" s="9">
        <v>6</v>
      </c>
    </row>
    <row r="311331" spans="6:6" x14ac:dyDescent="0.25">
      <c r="F311331" s="9">
        <v>6</v>
      </c>
    </row>
    <row r="311332" spans="6:6" x14ac:dyDescent="0.25">
      <c r="F311332" s="9">
        <v>5</v>
      </c>
    </row>
    <row r="311333" spans="6:6" x14ac:dyDescent="0.25">
      <c r="F311333" s="9">
        <v>3</v>
      </c>
    </row>
    <row r="311334" spans="6:6" x14ac:dyDescent="0.25">
      <c r="F311334" s="9">
        <v>4</v>
      </c>
    </row>
    <row r="311335" spans="6:6" x14ac:dyDescent="0.25">
      <c r="F311335" s="9">
        <v>4</v>
      </c>
    </row>
    <row r="311336" spans="6:6" x14ac:dyDescent="0.25">
      <c r="F311336" s="9">
        <v>5</v>
      </c>
    </row>
    <row r="311337" spans="6:6" x14ac:dyDescent="0.25">
      <c r="F311337" s="9">
        <v>5</v>
      </c>
    </row>
    <row r="311338" spans="6:6" x14ac:dyDescent="0.25">
      <c r="F311338" s="9">
        <v>2</v>
      </c>
    </row>
    <row r="311339" spans="6:6" x14ac:dyDescent="0.25">
      <c r="F311339" s="9">
        <v>6</v>
      </c>
    </row>
    <row r="311340" spans="6:6" x14ac:dyDescent="0.25">
      <c r="F311340" s="9">
        <v>7</v>
      </c>
    </row>
    <row r="311341" spans="6:6" x14ac:dyDescent="0.25">
      <c r="F311341" s="9">
        <v>3</v>
      </c>
    </row>
    <row r="311342" spans="6:6" x14ac:dyDescent="0.25">
      <c r="F311342" s="9">
        <v>3</v>
      </c>
    </row>
    <row r="311343" spans="6:6" x14ac:dyDescent="0.25">
      <c r="F311343" s="9">
        <v>3</v>
      </c>
    </row>
    <row r="311344" spans="6:6" x14ac:dyDescent="0.25">
      <c r="F311344" s="9">
        <v>3</v>
      </c>
    </row>
    <row r="311345" spans="6:6" x14ac:dyDescent="0.25">
      <c r="F311345" s="9">
        <v>6</v>
      </c>
    </row>
    <row r="311346" spans="6:6" x14ac:dyDescent="0.25">
      <c r="F311346" s="9">
        <v>1</v>
      </c>
    </row>
    <row r="311347" spans="6:6" x14ac:dyDescent="0.25">
      <c r="F311347" s="9">
        <v>5</v>
      </c>
    </row>
    <row r="311348" spans="6:6" x14ac:dyDescent="0.25">
      <c r="F311348" s="9">
        <v>6</v>
      </c>
    </row>
    <row r="311349" spans="6:6" x14ac:dyDescent="0.25">
      <c r="F311349" s="9">
        <v>4</v>
      </c>
    </row>
    <row r="311350" spans="6:6" x14ac:dyDescent="0.25">
      <c r="F311350" s="9">
        <v>3</v>
      </c>
    </row>
    <row r="311351" spans="6:6" x14ac:dyDescent="0.25">
      <c r="F311351" s="9">
        <v>4</v>
      </c>
    </row>
    <row r="311352" spans="6:6" x14ac:dyDescent="0.25">
      <c r="F311352" s="9">
        <v>3</v>
      </c>
    </row>
    <row r="311353" spans="6:6" x14ac:dyDescent="0.25">
      <c r="F311353" s="9">
        <v>1</v>
      </c>
    </row>
    <row r="311354" spans="6:6" x14ac:dyDescent="0.25">
      <c r="F311354" s="9">
        <v>5</v>
      </c>
    </row>
    <row r="311355" spans="6:6" x14ac:dyDescent="0.25">
      <c r="F311355" s="9">
        <v>4</v>
      </c>
    </row>
    <row r="311356" spans="6:6" x14ac:dyDescent="0.25">
      <c r="F311356" s="9">
        <v>6</v>
      </c>
    </row>
    <row r="311357" spans="6:6" x14ac:dyDescent="0.25">
      <c r="F311357" s="9">
        <v>2</v>
      </c>
    </row>
    <row r="311358" spans="6:6" x14ac:dyDescent="0.25">
      <c r="F311358" s="9">
        <v>2</v>
      </c>
    </row>
    <row r="311359" spans="6:6" x14ac:dyDescent="0.25">
      <c r="F311359" s="9">
        <v>4</v>
      </c>
    </row>
    <row r="311360" spans="6:6" x14ac:dyDescent="0.25">
      <c r="F311360" s="9">
        <v>3</v>
      </c>
    </row>
    <row r="311361" spans="6:6" x14ac:dyDescent="0.25">
      <c r="F311361" s="9">
        <v>2</v>
      </c>
    </row>
    <row r="311362" spans="6:6" x14ac:dyDescent="0.25">
      <c r="F311362" s="9">
        <v>7</v>
      </c>
    </row>
    <row r="311363" spans="6:6" x14ac:dyDescent="0.25">
      <c r="F311363" s="9">
        <v>8</v>
      </c>
    </row>
    <row r="311364" spans="6:6" x14ac:dyDescent="0.25">
      <c r="F311364" s="9">
        <v>7</v>
      </c>
    </row>
    <row r="311365" spans="6:6" x14ac:dyDescent="0.25">
      <c r="F311365" s="9">
        <v>6</v>
      </c>
    </row>
    <row r="311366" spans="6:6" x14ac:dyDescent="0.25">
      <c r="F311366" s="9">
        <v>3</v>
      </c>
    </row>
    <row r="311367" spans="6:6" x14ac:dyDescent="0.25">
      <c r="F311367" s="9">
        <v>6</v>
      </c>
    </row>
    <row r="311368" spans="6:6" x14ac:dyDescent="0.25">
      <c r="F311368" s="9">
        <v>3</v>
      </c>
    </row>
    <row r="311369" spans="6:6" x14ac:dyDescent="0.25">
      <c r="F311369" s="9">
        <v>2</v>
      </c>
    </row>
    <row r="311370" spans="6:6" x14ac:dyDescent="0.25">
      <c r="F311370" s="9">
        <v>5</v>
      </c>
    </row>
    <row r="311371" spans="6:6" x14ac:dyDescent="0.25">
      <c r="F311371" s="9">
        <v>3</v>
      </c>
    </row>
    <row r="311372" spans="6:6" x14ac:dyDescent="0.25">
      <c r="F311372" s="9">
        <v>4</v>
      </c>
    </row>
    <row r="311373" spans="6:6" x14ac:dyDescent="0.25">
      <c r="F311373" s="9">
        <v>2</v>
      </c>
    </row>
    <row r="311374" spans="6:6" x14ac:dyDescent="0.25">
      <c r="F311374" s="9">
        <v>4</v>
      </c>
    </row>
    <row r="311375" spans="6:6" x14ac:dyDescent="0.25">
      <c r="F311375" s="9">
        <v>3</v>
      </c>
    </row>
    <row r="311376" spans="6:6" x14ac:dyDescent="0.25">
      <c r="F311376" s="9">
        <v>3</v>
      </c>
    </row>
    <row r="311377" spans="6:6" x14ac:dyDescent="0.25">
      <c r="F311377" s="9">
        <v>4</v>
      </c>
    </row>
    <row r="311378" spans="6:6" x14ac:dyDescent="0.25">
      <c r="F311378" s="9">
        <v>3</v>
      </c>
    </row>
    <row r="311379" spans="6:6" x14ac:dyDescent="0.25">
      <c r="F311379" s="9">
        <v>2</v>
      </c>
    </row>
    <row r="311380" spans="6:6" x14ac:dyDescent="0.25">
      <c r="F311380" s="9">
        <v>3</v>
      </c>
    </row>
    <row r="311381" spans="6:6" x14ac:dyDescent="0.25">
      <c r="F311381" s="9">
        <v>7</v>
      </c>
    </row>
    <row r="311382" spans="6:6" x14ac:dyDescent="0.25">
      <c r="F311382" s="9">
        <v>6</v>
      </c>
    </row>
    <row r="311383" spans="6:6" x14ac:dyDescent="0.25">
      <c r="F311383" s="9">
        <v>5</v>
      </c>
    </row>
    <row r="311384" spans="6:6" x14ac:dyDescent="0.25">
      <c r="F311384" s="9">
        <v>5</v>
      </c>
    </row>
    <row r="311385" spans="6:6" x14ac:dyDescent="0.25">
      <c r="F311385" s="9">
        <v>4</v>
      </c>
    </row>
    <row r="311386" spans="6:6" x14ac:dyDescent="0.25">
      <c r="F311386" s="9">
        <v>5</v>
      </c>
    </row>
    <row r="311387" spans="6:6" x14ac:dyDescent="0.25">
      <c r="F311387" s="9">
        <v>5</v>
      </c>
    </row>
    <row r="311388" spans="6:6" x14ac:dyDescent="0.25">
      <c r="F311388" s="9">
        <v>2</v>
      </c>
    </row>
    <row r="311389" spans="6:6" x14ac:dyDescent="0.25">
      <c r="F311389" s="9">
        <v>3</v>
      </c>
    </row>
    <row r="311390" spans="6:6" x14ac:dyDescent="0.25">
      <c r="F311390" s="9">
        <v>2</v>
      </c>
    </row>
    <row r="311391" spans="6:6" x14ac:dyDescent="0.25">
      <c r="F311391" s="9">
        <v>3</v>
      </c>
    </row>
    <row r="311392" spans="6:6" x14ac:dyDescent="0.25">
      <c r="F311392" s="9">
        <v>4</v>
      </c>
    </row>
    <row r="311393" spans="6:6" x14ac:dyDescent="0.25">
      <c r="F311393" s="9">
        <v>4</v>
      </c>
    </row>
    <row r="311394" spans="6:6" x14ac:dyDescent="0.25">
      <c r="F311394" s="9">
        <v>2</v>
      </c>
    </row>
    <row r="311395" spans="6:6" x14ac:dyDescent="0.25">
      <c r="F311395" s="9">
        <v>3</v>
      </c>
    </row>
    <row r="311396" spans="6:6" x14ac:dyDescent="0.25">
      <c r="F311396" s="9">
        <v>3</v>
      </c>
    </row>
    <row r="311397" spans="6:6" x14ac:dyDescent="0.25">
      <c r="F311397" s="9">
        <v>3</v>
      </c>
    </row>
    <row r="311398" spans="6:6" x14ac:dyDescent="0.25">
      <c r="F311398" s="9">
        <v>2</v>
      </c>
    </row>
    <row r="311399" spans="6:6" x14ac:dyDescent="0.25">
      <c r="F311399" s="9">
        <v>3</v>
      </c>
    </row>
    <row r="311400" spans="6:6" x14ac:dyDescent="0.25">
      <c r="F311400" s="9">
        <v>3</v>
      </c>
    </row>
    <row r="311401" spans="6:6" x14ac:dyDescent="0.25">
      <c r="F311401" s="9">
        <v>3</v>
      </c>
    </row>
    <row r="311402" spans="6:6" x14ac:dyDescent="0.25">
      <c r="F311402" s="9">
        <v>4</v>
      </c>
    </row>
    <row r="311403" spans="6:6" x14ac:dyDescent="0.25">
      <c r="F311403" s="9">
        <v>4</v>
      </c>
    </row>
    <row r="311404" spans="6:6" x14ac:dyDescent="0.25">
      <c r="F311404" s="9">
        <v>2</v>
      </c>
    </row>
    <row r="311405" spans="6:6" x14ac:dyDescent="0.25">
      <c r="F311405" s="9">
        <v>3</v>
      </c>
    </row>
    <row r="311406" spans="6:6" x14ac:dyDescent="0.25">
      <c r="F311406" s="9">
        <v>1</v>
      </c>
    </row>
    <row r="311407" spans="6:6" x14ac:dyDescent="0.25">
      <c r="F311407" s="9">
        <v>1</v>
      </c>
    </row>
    <row r="311408" spans="6:6" x14ac:dyDescent="0.25">
      <c r="F311408" s="9">
        <v>1</v>
      </c>
    </row>
    <row r="311409" spans="6:6" x14ac:dyDescent="0.25">
      <c r="F311409" s="9" t="s">
        <v>133</v>
      </c>
    </row>
    <row r="311410" spans="6:6" x14ac:dyDescent="0.25">
      <c r="F311410" s="6" t="s">
        <v>172</v>
      </c>
    </row>
    <row r="311411" spans="6:6" x14ac:dyDescent="0.25">
      <c r="F311411" s="9" t="s">
        <v>263</v>
      </c>
    </row>
    <row r="311412" spans="6:6" x14ac:dyDescent="0.25">
      <c r="F311412" s="33" t="s">
        <v>264</v>
      </c>
    </row>
    <row r="327681" spans="6:6" x14ac:dyDescent="0.25">
      <c r="F327681" s="84"/>
    </row>
    <row r="327682" spans="6:6" x14ac:dyDescent="0.25">
      <c r="F327682" s="46"/>
    </row>
    <row r="327683" spans="6:6" x14ac:dyDescent="0.25">
      <c r="F327683" s="9">
        <v>4</v>
      </c>
    </row>
    <row r="327684" spans="6:6" x14ac:dyDescent="0.25">
      <c r="F327684" s="9">
        <v>6</v>
      </c>
    </row>
    <row r="327685" spans="6:6" x14ac:dyDescent="0.25">
      <c r="F327685" s="9">
        <v>6</v>
      </c>
    </row>
    <row r="327686" spans="6:6" x14ac:dyDescent="0.25">
      <c r="F327686" s="9">
        <v>6</v>
      </c>
    </row>
    <row r="327687" spans="6:6" x14ac:dyDescent="0.25">
      <c r="F327687" s="9">
        <v>4</v>
      </c>
    </row>
    <row r="327688" spans="6:6" x14ac:dyDescent="0.25">
      <c r="F327688" s="9">
        <v>4</v>
      </c>
    </row>
    <row r="327689" spans="6:6" x14ac:dyDescent="0.25">
      <c r="F327689" s="9">
        <v>5</v>
      </c>
    </row>
    <row r="327690" spans="6:6" x14ac:dyDescent="0.25">
      <c r="F327690" s="9">
        <v>5</v>
      </c>
    </row>
    <row r="327691" spans="6:6" x14ac:dyDescent="0.25">
      <c r="F327691" s="9">
        <v>10</v>
      </c>
    </row>
    <row r="327692" spans="6:6" x14ac:dyDescent="0.25">
      <c r="F327692" s="9">
        <v>8</v>
      </c>
    </row>
    <row r="327693" spans="6:6" x14ac:dyDescent="0.25">
      <c r="F327693" s="9">
        <v>9</v>
      </c>
    </row>
    <row r="327694" spans="6:6" x14ac:dyDescent="0.25">
      <c r="F327694" s="9">
        <v>8</v>
      </c>
    </row>
    <row r="327695" spans="6:6" x14ac:dyDescent="0.25">
      <c r="F327695" s="9">
        <v>8</v>
      </c>
    </row>
    <row r="327696" spans="6:6" x14ac:dyDescent="0.25">
      <c r="F327696" s="9">
        <v>8</v>
      </c>
    </row>
    <row r="327697" spans="6:6" x14ac:dyDescent="0.25">
      <c r="F327697" s="9">
        <v>8</v>
      </c>
    </row>
    <row r="327698" spans="6:6" x14ac:dyDescent="0.25">
      <c r="F327698" s="9">
        <v>5</v>
      </c>
    </row>
    <row r="327699" spans="6:6" x14ac:dyDescent="0.25">
      <c r="F327699" s="9">
        <v>5</v>
      </c>
    </row>
    <row r="327700" spans="6:6" x14ac:dyDescent="0.25">
      <c r="F327700" s="9">
        <v>7</v>
      </c>
    </row>
    <row r="327701" spans="6:6" x14ac:dyDescent="0.25">
      <c r="F327701" s="9">
        <v>5</v>
      </c>
    </row>
    <row r="327702" spans="6:6" x14ac:dyDescent="0.25">
      <c r="F327702" s="9">
        <v>5</v>
      </c>
    </row>
    <row r="327703" spans="6:6" x14ac:dyDescent="0.25">
      <c r="F327703" s="9">
        <v>5</v>
      </c>
    </row>
    <row r="327704" spans="6:6" x14ac:dyDescent="0.25">
      <c r="F327704" s="9">
        <v>4</v>
      </c>
    </row>
    <row r="327705" spans="6:6" x14ac:dyDescent="0.25">
      <c r="F327705" s="9">
        <v>6</v>
      </c>
    </row>
    <row r="327706" spans="6:6" x14ac:dyDescent="0.25">
      <c r="F327706" s="9">
        <v>4</v>
      </c>
    </row>
    <row r="327707" spans="6:6" x14ac:dyDescent="0.25">
      <c r="F327707" s="9">
        <v>4</v>
      </c>
    </row>
    <row r="327708" spans="6:6" x14ac:dyDescent="0.25">
      <c r="F327708" s="9">
        <v>6</v>
      </c>
    </row>
    <row r="327709" spans="6:6" x14ac:dyDescent="0.25">
      <c r="F327709" s="9">
        <v>4</v>
      </c>
    </row>
    <row r="327710" spans="6:6" x14ac:dyDescent="0.25">
      <c r="F327710" s="9">
        <v>6</v>
      </c>
    </row>
    <row r="327711" spans="6:6" x14ac:dyDescent="0.25">
      <c r="F327711" s="9">
        <v>4</v>
      </c>
    </row>
    <row r="327712" spans="6:6" x14ac:dyDescent="0.25">
      <c r="F327712" s="9">
        <v>6</v>
      </c>
    </row>
    <row r="327713" spans="6:6" x14ac:dyDescent="0.25">
      <c r="F327713" s="9">
        <v>4</v>
      </c>
    </row>
    <row r="327714" spans="6:6" x14ac:dyDescent="0.25">
      <c r="F327714" s="9">
        <v>6</v>
      </c>
    </row>
    <row r="327715" spans="6:6" x14ac:dyDescent="0.25">
      <c r="F327715" s="9">
        <v>6</v>
      </c>
    </row>
    <row r="327716" spans="6:6" x14ac:dyDescent="0.25">
      <c r="F327716" s="9">
        <v>5</v>
      </c>
    </row>
    <row r="327717" spans="6:6" x14ac:dyDescent="0.25">
      <c r="F327717" s="9">
        <v>3</v>
      </c>
    </row>
    <row r="327718" spans="6:6" x14ac:dyDescent="0.25">
      <c r="F327718" s="9">
        <v>4</v>
      </c>
    </row>
    <row r="327719" spans="6:6" x14ac:dyDescent="0.25">
      <c r="F327719" s="9">
        <v>4</v>
      </c>
    </row>
    <row r="327720" spans="6:6" x14ac:dyDescent="0.25">
      <c r="F327720" s="9">
        <v>5</v>
      </c>
    </row>
    <row r="327721" spans="6:6" x14ac:dyDescent="0.25">
      <c r="F327721" s="9">
        <v>5</v>
      </c>
    </row>
    <row r="327722" spans="6:6" x14ac:dyDescent="0.25">
      <c r="F327722" s="9">
        <v>2</v>
      </c>
    </row>
    <row r="327723" spans="6:6" x14ac:dyDescent="0.25">
      <c r="F327723" s="9">
        <v>6</v>
      </c>
    </row>
    <row r="327724" spans="6:6" x14ac:dyDescent="0.25">
      <c r="F327724" s="9">
        <v>7</v>
      </c>
    </row>
    <row r="327725" spans="6:6" x14ac:dyDescent="0.25">
      <c r="F327725" s="9">
        <v>3</v>
      </c>
    </row>
    <row r="327726" spans="6:6" x14ac:dyDescent="0.25">
      <c r="F327726" s="9">
        <v>3</v>
      </c>
    </row>
    <row r="327727" spans="6:6" x14ac:dyDescent="0.25">
      <c r="F327727" s="9">
        <v>3</v>
      </c>
    </row>
    <row r="327728" spans="6:6" x14ac:dyDescent="0.25">
      <c r="F327728" s="9">
        <v>3</v>
      </c>
    </row>
    <row r="327729" spans="6:6" x14ac:dyDescent="0.25">
      <c r="F327729" s="9">
        <v>6</v>
      </c>
    </row>
    <row r="327730" spans="6:6" x14ac:dyDescent="0.25">
      <c r="F327730" s="9">
        <v>1</v>
      </c>
    </row>
    <row r="327731" spans="6:6" x14ac:dyDescent="0.25">
      <c r="F327731" s="9">
        <v>5</v>
      </c>
    </row>
    <row r="327732" spans="6:6" x14ac:dyDescent="0.25">
      <c r="F327732" s="9">
        <v>6</v>
      </c>
    </row>
    <row r="327733" spans="6:6" x14ac:dyDescent="0.25">
      <c r="F327733" s="9">
        <v>4</v>
      </c>
    </row>
    <row r="327734" spans="6:6" x14ac:dyDescent="0.25">
      <c r="F327734" s="9">
        <v>3</v>
      </c>
    </row>
    <row r="327735" spans="6:6" x14ac:dyDescent="0.25">
      <c r="F327735" s="9">
        <v>4</v>
      </c>
    </row>
    <row r="327736" spans="6:6" x14ac:dyDescent="0.25">
      <c r="F327736" s="9">
        <v>3</v>
      </c>
    </row>
    <row r="327737" spans="6:6" x14ac:dyDescent="0.25">
      <c r="F327737" s="9">
        <v>1</v>
      </c>
    </row>
    <row r="327738" spans="6:6" x14ac:dyDescent="0.25">
      <c r="F327738" s="9">
        <v>5</v>
      </c>
    </row>
    <row r="327739" spans="6:6" x14ac:dyDescent="0.25">
      <c r="F327739" s="9">
        <v>4</v>
      </c>
    </row>
    <row r="327740" spans="6:6" x14ac:dyDescent="0.25">
      <c r="F327740" s="9">
        <v>6</v>
      </c>
    </row>
    <row r="327741" spans="6:6" x14ac:dyDescent="0.25">
      <c r="F327741" s="9">
        <v>2</v>
      </c>
    </row>
    <row r="327742" spans="6:6" x14ac:dyDescent="0.25">
      <c r="F327742" s="9">
        <v>2</v>
      </c>
    </row>
    <row r="327743" spans="6:6" x14ac:dyDescent="0.25">
      <c r="F327743" s="9">
        <v>4</v>
      </c>
    </row>
    <row r="327744" spans="6:6" x14ac:dyDescent="0.25">
      <c r="F327744" s="9">
        <v>3</v>
      </c>
    </row>
    <row r="327745" spans="6:6" x14ac:dyDescent="0.25">
      <c r="F327745" s="9">
        <v>2</v>
      </c>
    </row>
    <row r="327746" spans="6:6" x14ac:dyDescent="0.25">
      <c r="F327746" s="9">
        <v>7</v>
      </c>
    </row>
    <row r="327747" spans="6:6" x14ac:dyDescent="0.25">
      <c r="F327747" s="9">
        <v>8</v>
      </c>
    </row>
    <row r="327748" spans="6:6" x14ac:dyDescent="0.25">
      <c r="F327748" s="9">
        <v>7</v>
      </c>
    </row>
    <row r="327749" spans="6:6" x14ac:dyDescent="0.25">
      <c r="F327749" s="9">
        <v>6</v>
      </c>
    </row>
    <row r="327750" spans="6:6" x14ac:dyDescent="0.25">
      <c r="F327750" s="9">
        <v>3</v>
      </c>
    </row>
    <row r="327751" spans="6:6" x14ac:dyDescent="0.25">
      <c r="F327751" s="9">
        <v>6</v>
      </c>
    </row>
    <row r="327752" spans="6:6" x14ac:dyDescent="0.25">
      <c r="F327752" s="9">
        <v>3</v>
      </c>
    </row>
    <row r="327753" spans="6:6" x14ac:dyDescent="0.25">
      <c r="F327753" s="9">
        <v>2</v>
      </c>
    </row>
    <row r="327754" spans="6:6" x14ac:dyDescent="0.25">
      <c r="F327754" s="9">
        <v>5</v>
      </c>
    </row>
    <row r="327755" spans="6:6" x14ac:dyDescent="0.25">
      <c r="F327755" s="9">
        <v>3</v>
      </c>
    </row>
    <row r="327756" spans="6:6" x14ac:dyDescent="0.25">
      <c r="F327756" s="9">
        <v>4</v>
      </c>
    </row>
    <row r="327757" spans="6:6" x14ac:dyDescent="0.25">
      <c r="F327757" s="9">
        <v>2</v>
      </c>
    </row>
    <row r="327758" spans="6:6" x14ac:dyDescent="0.25">
      <c r="F327758" s="9">
        <v>4</v>
      </c>
    </row>
    <row r="327759" spans="6:6" x14ac:dyDescent="0.25">
      <c r="F327759" s="9">
        <v>3</v>
      </c>
    </row>
    <row r="327760" spans="6:6" x14ac:dyDescent="0.25">
      <c r="F327760" s="9">
        <v>3</v>
      </c>
    </row>
    <row r="327761" spans="6:6" x14ac:dyDescent="0.25">
      <c r="F327761" s="9">
        <v>4</v>
      </c>
    </row>
    <row r="327762" spans="6:6" x14ac:dyDescent="0.25">
      <c r="F327762" s="9">
        <v>3</v>
      </c>
    </row>
    <row r="327763" spans="6:6" x14ac:dyDescent="0.25">
      <c r="F327763" s="9">
        <v>2</v>
      </c>
    </row>
    <row r="327764" spans="6:6" x14ac:dyDescent="0.25">
      <c r="F327764" s="9">
        <v>3</v>
      </c>
    </row>
    <row r="327765" spans="6:6" x14ac:dyDescent="0.25">
      <c r="F327765" s="9">
        <v>7</v>
      </c>
    </row>
    <row r="327766" spans="6:6" x14ac:dyDescent="0.25">
      <c r="F327766" s="9">
        <v>6</v>
      </c>
    </row>
    <row r="327767" spans="6:6" x14ac:dyDescent="0.25">
      <c r="F327767" s="9">
        <v>5</v>
      </c>
    </row>
    <row r="327768" spans="6:6" x14ac:dyDescent="0.25">
      <c r="F327768" s="9">
        <v>5</v>
      </c>
    </row>
    <row r="327769" spans="6:6" x14ac:dyDescent="0.25">
      <c r="F327769" s="9">
        <v>4</v>
      </c>
    </row>
    <row r="327770" spans="6:6" x14ac:dyDescent="0.25">
      <c r="F327770" s="9">
        <v>5</v>
      </c>
    </row>
    <row r="327771" spans="6:6" x14ac:dyDescent="0.25">
      <c r="F327771" s="9">
        <v>5</v>
      </c>
    </row>
    <row r="327772" spans="6:6" x14ac:dyDescent="0.25">
      <c r="F327772" s="9">
        <v>2</v>
      </c>
    </row>
    <row r="327773" spans="6:6" x14ac:dyDescent="0.25">
      <c r="F327773" s="9">
        <v>3</v>
      </c>
    </row>
    <row r="327774" spans="6:6" x14ac:dyDescent="0.25">
      <c r="F327774" s="9">
        <v>2</v>
      </c>
    </row>
    <row r="327775" spans="6:6" x14ac:dyDescent="0.25">
      <c r="F327775" s="9">
        <v>3</v>
      </c>
    </row>
    <row r="327776" spans="6:6" x14ac:dyDescent="0.25">
      <c r="F327776" s="9">
        <v>4</v>
      </c>
    </row>
    <row r="327777" spans="6:6" x14ac:dyDescent="0.25">
      <c r="F327777" s="9">
        <v>4</v>
      </c>
    </row>
    <row r="327778" spans="6:6" x14ac:dyDescent="0.25">
      <c r="F327778" s="9">
        <v>2</v>
      </c>
    </row>
    <row r="327779" spans="6:6" x14ac:dyDescent="0.25">
      <c r="F327779" s="9">
        <v>3</v>
      </c>
    </row>
    <row r="327780" spans="6:6" x14ac:dyDescent="0.25">
      <c r="F327780" s="9">
        <v>3</v>
      </c>
    </row>
    <row r="327781" spans="6:6" x14ac:dyDescent="0.25">
      <c r="F327781" s="9">
        <v>3</v>
      </c>
    </row>
    <row r="327782" spans="6:6" x14ac:dyDescent="0.25">
      <c r="F327782" s="9">
        <v>2</v>
      </c>
    </row>
    <row r="327783" spans="6:6" x14ac:dyDescent="0.25">
      <c r="F327783" s="9">
        <v>3</v>
      </c>
    </row>
    <row r="327784" spans="6:6" x14ac:dyDescent="0.25">
      <c r="F327784" s="9">
        <v>3</v>
      </c>
    </row>
    <row r="327785" spans="6:6" x14ac:dyDescent="0.25">
      <c r="F327785" s="9">
        <v>3</v>
      </c>
    </row>
    <row r="327786" spans="6:6" x14ac:dyDescent="0.25">
      <c r="F327786" s="9">
        <v>4</v>
      </c>
    </row>
    <row r="327787" spans="6:6" x14ac:dyDescent="0.25">
      <c r="F327787" s="9">
        <v>4</v>
      </c>
    </row>
    <row r="327788" spans="6:6" x14ac:dyDescent="0.25">
      <c r="F327788" s="9">
        <v>2</v>
      </c>
    </row>
    <row r="327789" spans="6:6" x14ac:dyDescent="0.25">
      <c r="F327789" s="9">
        <v>3</v>
      </c>
    </row>
    <row r="327790" spans="6:6" x14ac:dyDescent="0.25">
      <c r="F327790" s="9">
        <v>1</v>
      </c>
    </row>
    <row r="327791" spans="6:6" x14ac:dyDescent="0.25">
      <c r="F327791" s="9">
        <v>1</v>
      </c>
    </row>
    <row r="327792" spans="6:6" x14ac:dyDescent="0.25">
      <c r="F327792" s="9">
        <v>1</v>
      </c>
    </row>
    <row r="327793" spans="6:6" x14ac:dyDescent="0.25">
      <c r="F327793" s="9" t="s">
        <v>133</v>
      </c>
    </row>
    <row r="327794" spans="6:6" x14ac:dyDescent="0.25">
      <c r="F327794" s="6" t="s">
        <v>172</v>
      </c>
    </row>
    <row r="327795" spans="6:6" x14ac:dyDescent="0.25">
      <c r="F327795" s="9" t="s">
        <v>263</v>
      </c>
    </row>
    <row r="327796" spans="6:6" x14ac:dyDescent="0.25">
      <c r="F327796" s="33" t="s">
        <v>264</v>
      </c>
    </row>
    <row r="344065" spans="6:6" x14ac:dyDescent="0.25">
      <c r="F344065" s="84"/>
    </row>
    <row r="344066" spans="6:6" x14ac:dyDescent="0.25">
      <c r="F344066" s="46"/>
    </row>
    <row r="344067" spans="6:6" x14ac:dyDescent="0.25">
      <c r="F344067" s="9">
        <v>4</v>
      </c>
    </row>
    <row r="344068" spans="6:6" x14ac:dyDescent="0.25">
      <c r="F344068" s="9">
        <v>6</v>
      </c>
    </row>
    <row r="344069" spans="6:6" x14ac:dyDescent="0.25">
      <c r="F344069" s="9">
        <v>6</v>
      </c>
    </row>
    <row r="344070" spans="6:6" x14ac:dyDescent="0.25">
      <c r="F344070" s="9">
        <v>6</v>
      </c>
    </row>
    <row r="344071" spans="6:6" x14ac:dyDescent="0.25">
      <c r="F344071" s="9">
        <v>4</v>
      </c>
    </row>
    <row r="344072" spans="6:6" x14ac:dyDescent="0.25">
      <c r="F344072" s="9">
        <v>4</v>
      </c>
    </row>
    <row r="344073" spans="6:6" x14ac:dyDescent="0.25">
      <c r="F344073" s="9">
        <v>5</v>
      </c>
    </row>
    <row r="344074" spans="6:6" x14ac:dyDescent="0.25">
      <c r="F344074" s="9">
        <v>5</v>
      </c>
    </row>
    <row r="344075" spans="6:6" x14ac:dyDescent="0.25">
      <c r="F344075" s="9">
        <v>10</v>
      </c>
    </row>
    <row r="344076" spans="6:6" x14ac:dyDescent="0.25">
      <c r="F344076" s="9">
        <v>8</v>
      </c>
    </row>
    <row r="344077" spans="6:6" x14ac:dyDescent="0.25">
      <c r="F344077" s="9">
        <v>9</v>
      </c>
    </row>
    <row r="344078" spans="6:6" x14ac:dyDescent="0.25">
      <c r="F344078" s="9">
        <v>8</v>
      </c>
    </row>
    <row r="344079" spans="6:6" x14ac:dyDescent="0.25">
      <c r="F344079" s="9">
        <v>8</v>
      </c>
    </row>
    <row r="344080" spans="6:6" x14ac:dyDescent="0.25">
      <c r="F344080" s="9">
        <v>8</v>
      </c>
    </row>
    <row r="344081" spans="6:6" x14ac:dyDescent="0.25">
      <c r="F344081" s="9">
        <v>8</v>
      </c>
    </row>
    <row r="344082" spans="6:6" x14ac:dyDescent="0.25">
      <c r="F344082" s="9">
        <v>5</v>
      </c>
    </row>
    <row r="344083" spans="6:6" x14ac:dyDescent="0.25">
      <c r="F344083" s="9">
        <v>5</v>
      </c>
    </row>
    <row r="344084" spans="6:6" x14ac:dyDescent="0.25">
      <c r="F344084" s="9">
        <v>7</v>
      </c>
    </row>
    <row r="344085" spans="6:6" x14ac:dyDescent="0.25">
      <c r="F344085" s="9">
        <v>5</v>
      </c>
    </row>
    <row r="344086" spans="6:6" x14ac:dyDescent="0.25">
      <c r="F344086" s="9">
        <v>5</v>
      </c>
    </row>
    <row r="344087" spans="6:6" x14ac:dyDescent="0.25">
      <c r="F344087" s="9">
        <v>5</v>
      </c>
    </row>
    <row r="344088" spans="6:6" x14ac:dyDescent="0.25">
      <c r="F344088" s="9">
        <v>4</v>
      </c>
    </row>
    <row r="344089" spans="6:6" x14ac:dyDescent="0.25">
      <c r="F344089" s="9">
        <v>6</v>
      </c>
    </row>
    <row r="344090" spans="6:6" x14ac:dyDescent="0.25">
      <c r="F344090" s="9">
        <v>4</v>
      </c>
    </row>
    <row r="344091" spans="6:6" x14ac:dyDescent="0.25">
      <c r="F344091" s="9">
        <v>4</v>
      </c>
    </row>
    <row r="344092" spans="6:6" x14ac:dyDescent="0.25">
      <c r="F344092" s="9">
        <v>6</v>
      </c>
    </row>
    <row r="344093" spans="6:6" x14ac:dyDescent="0.25">
      <c r="F344093" s="9">
        <v>4</v>
      </c>
    </row>
    <row r="344094" spans="6:6" x14ac:dyDescent="0.25">
      <c r="F344094" s="9">
        <v>6</v>
      </c>
    </row>
    <row r="344095" spans="6:6" x14ac:dyDescent="0.25">
      <c r="F344095" s="9">
        <v>4</v>
      </c>
    </row>
    <row r="344096" spans="6:6" x14ac:dyDescent="0.25">
      <c r="F344096" s="9">
        <v>6</v>
      </c>
    </row>
    <row r="344097" spans="6:6" x14ac:dyDescent="0.25">
      <c r="F344097" s="9">
        <v>4</v>
      </c>
    </row>
    <row r="344098" spans="6:6" x14ac:dyDescent="0.25">
      <c r="F344098" s="9">
        <v>6</v>
      </c>
    </row>
    <row r="344099" spans="6:6" x14ac:dyDescent="0.25">
      <c r="F344099" s="9">
        <v>6</v>
      </c>
    </row>
    <row r="344100" spans="6:6" x14ac:dyDescent="0.25">
      <c r="F344100" s="9">
        <v>5</v>
      </c>
    </row>
    <row r="344101" spans="6:6" x14ac:dyDescent="0.25">
      <c r="F344101" s="9">
        <v>3</v>
      </c>
    </row>
    <row r="344102" spans="6:6" x14ac:dyDescent="0.25">
      <c r="F344102" s="9">
        <v>4</v>
      </c>
    </row>
    <row r="344103" spans="6:6" x14ac:dyDescent="0.25">
      <c r="F344103" s="9">
        <v>4</v>
      </c>
    </row>
    <row r="344104" spans="6:6" x14ac:dyDescent="0.25">
      <c r="F344104" s="9">
        <v>5</v>
      </c>
    </row>
    <row r="344105" spans="6:6" x14ac:dyDescent="0.25">
      <c r="F344105" s="9">
        <v>5</v>
      </c>
    </row>
    <row r="344106" spans="6:6" x14ac:dyDescent="0.25">
      <c r="F344106" s="9">
        <v>2</v>
      </c>
    </row>
    <row r="344107" spans="6:6" x14ac:dyDescent="0.25">
      <c r="F344107" s="9">
        <v>6</v>
      </c>
    </row>
    <row r="344108" spans="6:6" x14ac:dyDescent="0.25">
      <c r="F344108" s="9">
        <v>7</v>
      </c>
    </row>
    <row r="344109" spans="6:6" x14ac:dyDescent="0.25">
      <c r="F344109" s="9">
        <v>3</v>
      </c>
    </row>
    <row r="344110" spans="6:6" x14ac:dyDescent="0.25">
      <c r="F344110" s="9">
        <v>3</v>
      </c>
    </row>
    <row r="344111" spans="6:6" x14ac:dyDescent="0.25">
      <c r="F344111" s="9">
        <v>3</v>
      </c>
    </row>
    <row r="344112" spans="6:6" x14ac:dyDescent="0.25">
      <c r="F344112" s="9">
        <v>3</v>
      </c>
    </row>
    <row r="344113" spans="6:6" x14ac:dyDescent="0.25">
      <c r="F344113" s="9">
        <v>6</v>
      </c>
    </row>
    <row r="344114" spans="6:6" x14ac:dyDescent="0.25">
      <c r="F344114" s="9">
        <v>1</v>
      </c>
    </row>
    <row r="344115" spans="6:6" x14ac:dyDescent="0.25">
      <c r="F344115" s="9">
        <v>5</v>
      </c>
    </row>
    <row r="344116" spans="6:6" x14ac:dyDescent="0.25">
      <c r="F344116" s="9">
        <v>6</v>
      </c>
    </row>
    <row r="344117" spans="6:6" x14ac:dyDescent="0.25">
      <c r="F344117" s="9">
        <v>4</v>
      </c>
    </row>
    <row r="344118" spans="6:6" x14ac:dyDescent="0.25">
      <c r="F344118" s="9">
        <v>3</v>
      </c>
    </row>
    <row r="344119" spans="6:6" x14ac:dyDescent="0.25">
      <c r="F344119" s="9">
        <v>4</v>
      </c>
    </row>
    <row r="344120" spans="6:6" x14ac:dyDescent="0.25">
      <c r="F344120" s="9">
        <v>3</v>
      </c>
    </row>
    <row r="344121" spans="6:6" x14ac:dyDescent="0.25">
      <c r="F344121" s="9">
        <v>1</v>
      </c>
    </row>
    <row r="344122" spans="6:6" x14ac:dyDescent="0.25">
      <c r="F344122" s="9">
        <v>5</v>
      </c>
    </row>
    <row r="344123" spans="6:6" x14ac:dyDescent="0.25">
      <c r="F344123" s="9">
        <v>4</v>
      </c>
    </row>
    <row r="344124" spans="6:6" x14ac:dyDescent="0.25">
      <c r="F344124" s="9">
        <v>6</v>
      </c>
    </row>
    <row r="344125" spans="6:6" x14ac:dyDescent="0.25">
      <c r="F344125" s="9">
        <v>2</v>
      </c>
    </row>
    <row r="344126" spans="6:6" x14ac:dyDescent="0.25">
      <c r="F344126" s="9">
        <v>2</v>
      </c>
    </row>
    <row r="344127" spans="6:6" x14ac:dyDescent="0.25">
      <c r="F344127" s="9">
        <v>4</v>
      </c>
    </row>
    <row r="344128" spans="6:6" x14ac:dyDescent="0.25">
      <c r="F344128" s="9">
        <v>3</v>
      </c>
    </row>
    <row r="344129" spans="6:6" x14ac:dyDescent="0.25">
      <c r="F344129" s="9">
        <v>2</v>
      </c>
    </row>
    <row r="344130" spans="6:6" x14ac:dyDescent="0.25">
      <c r="F344130" s="9">
        <v>7</v>
      </c>
    </row>
    <row r="344131" spans="6:6" x14ac:dyDescent="0.25">
      <c r="F344131" s="9">
        <v>8</v>
      </c>
    </row>
    <row r="344132" spans="6:6" x14ac:dyDescent="0.25">
      <c r="F344132" s="9">
        <v>7</v>
      </c>
    </row>
    <row r="344133" spans="6:6" x14ac:dyDescent="0.25">
      <c r="F344133" s="9">
        <v>6</v>
      </c>
    </row>
    <row r="344134" spans="6:6" x14ac:dyDescent="0.25">
      <c r="F344134" s="9">
        <v>3</v>
      </c>
    </row>
    <row r="344135" spans="6:6" x14ac:dyDescent="0.25">
      <c r="F344135" s="9">
        <v>6</v>
      </c>
    </row>
    <row r="344136" spans="6:6" x14ac:dyDescent="0.25">
      <c r="F344136" s="9">
        <v>3</v>
      </c>
    </row>
    <row r="344137" spans="6:6" x14ac:dyDescent="0.25">
      <c r="F344137" s="9">
        <v>2</v>
      </c>
    </row>
    <row r="344138" spans="6:6" x14ac:dyDescent="0.25">
      <c r="F344138" s="9">
        <v>5</v>
      </c>
    </row>
    <row r="344139" spans="6:6" x14ac:dyDescent="0.25">
      <c r="F344139" s="9">
        <v>3</v>
      </c>
    </row>
    <row r="344140" spans="6:6" x14ac:dyDescent="0.25">
      <c r="F344140" s="9">
        <v>4</v>
      </c>
    </row>
    <row r="344141" spans="6:6" x14ac:dyDescent="0.25">
      <c r="F344141" s="9">
        <v>2</v>
      </c>
    </row>
    <row r="344142" spans="6:6" x14ac:dyDescent="0.25">
      <c r="F344142" s="9">
        <v>4</v>
      </c>
    </row>
    <row r="344143" spans="6:6" x14ac:dyDescent="0.25">
      <c r="F344143" s="9">
        <v>3</v>
      </c>
    </row>
    <row r="344144" spans="6:6" x14ac:dyDescent="0.25">
      <c r="F344144" s="9">
        <v>3</v>
      </c>
    </row>
    <row r="344145" spans="6:6" x14ac:dyDescent="0.25">
      <c r="F344145" s="9">
        <v>4</v>
      </c>
    </row>
    <row r="344146" spans="6:6" x14ac:dyDescent="0.25">
      <c r="F344146" s="9">
        <v>3</v>
      </c>
    </row>
    <row r="344147" spans="6:6" x14ac:dyDescent="0.25">
      <c r="F344147" s="9">
        <v>2</v>
      </c>
    </row>
    <row r="344148" spans="6:6" x14ac:dyDescent="0.25">
      <c r="F344148" s="9">
        <v>3</v>
      </c>
    </row>
    <row r="344149" spans="6:6" x14ac:dyDescent="0.25">
      <c r="F344149" s="9">
        <v>7</v>
      </c>
    </row>
    <row r="344150" spans="6:6" x14ac:dyDescent="0.25">
      <c r="F344150" s="9">
        <v>6</v>
      </c>
    </row>
    <row r="344151" spans="6:6" x14ac:dyDescent="0.25">
      <c r="F344151" s="9">
        <v>5</v>
      </c>
    </row>
    <row r="344152" spans="6:6" x14ac:dyDescent="0.25">
      <c r="F344152" s="9">
        <v>5</v>
      </c>
    </row>
    <row r="344153" spans="6:6" x14ac:dyDescent="0.25">
      <c r="F344153" s="9">
        <v>4</v>
      </c>
    </row>
    <row r="344154" spans="6:6" x14ac:dyDescent="0.25">
      <c r="F344154" s="9">
        <v>5</v>
      </c>
    </row>
    <row r="344155" spans="6:6" x14ac:dyDescent="0.25">
      <c r="F344155" s="9">
        <v>5</v>
      </c>
    </row>
    <row r="344156" spans="6:6" x14ac:dyDescent="0.25">
      <c r="F344156" s="9">
        <v>2</v>
      </c>
    </row>
    <row r="344157" spans="6:6" x14ac:dyDescent="0.25">
      <c r="F344157" s="9">
        <v>3</v>
      </c>
    </row>
    <row r="344158" spans="6:6" x14ac:dyDescent="0.25">
      <c r="F344158" s="9">
        <v>2</v>
      </c>
    </row>
    <row r="344159" spans="6:6" x14ac:dyDescent="0.25">
      <c r="F344159" s="9">
        <v>3</v>
      </c>
    </row>
    <row r="344160" spans="6:6" x14ac:dyDescent="0.25">
      <c r="F344160" s="9">
        <v>4</v>
      </c>
    </row>
    <row r="344161" spans="6:6" x14ac:dyDescent="0.25">
      <c r="F344161" s="9">
        <v>4</v>
      </c>
    </row>
    <row r="344162" spans="6:6" x14ac:dyDescent="0.25">
      <c r="F344162" s="9">
        <v>2</v>
      </c>
    </row>
    <row r="344163" spans="6:6" x14ac:dyDescent="0.25">
      <c r="F344163" s="9">
        <v>3</v>
      </c>
    </row>
    <row r="344164" spans="6:6" x14ac:dyDescent="0.25">
      <c r="F344164" s="9">
        <v>3</v>
      </c>
    </row>
    <row r="344165" spans="6:6" x14ac:dyDescent="0.25">
      <c r="F344165" s="9">
        <v>3</v>
      </c>
    </row>
    <row r="344166" spans="6:6" x14ac:dyDescent="0.25">
      <c r="F344166" s="9">
        <v>2</v>
      </c>
    </row>
    <row r="344167" spans="6:6" x14ac:dyDescent="0.25">
      <c r="F344167" s="9">
        <v>3</v>
      </c>
    </row>
    <row r="344168" spans="6:6" x14ac:dyDescent="0.25">
      <c r="F344168" s="9">
        <v>3</v>
      </c>
    </row>
    <row r="344169" spans="6:6" x14ac:dyDescent="0.25">
      <c r="F344169" s="9">
        <v>3</v>
      </c>
    </row>
    <row r="344170" spans="6:6" x14ac:dyDescent="0.25">
      <c r="F344170" s="9">
        <v>4</v>
      </c>
    </row>
    <row r="344171" spans="6:6" x14ac:dyDescent="0.25">
      <c r="F344171" s="9">
        <v>4</v>
      </c>
    </row>
    <row r="344172" spans="6:6" x14ac:dyDescent="0.25">
      <c r="F344172" s="9">
        <v>2</v>
      </c>
    </row>
    <row r="344173" spans="6:6" x14ac:dyDescent="0.25">
      <c r="F344173" s="9">
        <v>3</v>
      </c>
    </row>
    <row r="344174" spans="6:6" x14ac:dyDescent="0.25">
      <c r="F344174" s="9">
        <v>1</v>
      </c>
    </row>
    <row r="344175" spans="6:6" x14ac:dyDescent="0.25">
      <c r="F344175" s="9">
        <v>1</v>
      </c>
    </row>
    <row r="344176" spans="6:6" x14ac:dyDescent="0.25">
      <c r="F344176" s="9">
        <v>1</v>
      </c>
    </row>
    <row r="344177" spans="6:6" x14ac:dyDescent="0.25">
      <c r="F344177" s="9" t="s">
        <v>133</v>
      </c>
    </row>
    <row r="344178" spans="6:6" x14ac:dyDescent="0.25">
      <c r="F344178" s="6" t="s">
        <v>172</v>
      </c>
    </row>
    <row r="344179" spans="6:6" x14ac:dyDescent="0.25">
      <c r="F344179" s="9" t="s">
        <v>263</v>
      </c>
    </row>
    <row r="344180" spans="6:6" x14ac:dyDescent="0.25">
      <c r="F344180" s="33" t="s">
        <v>264</v>
      </c>
    </row>
    <row r="360449" spans="6:6" x14ac:dyDescent="0.25">
      <c r="F360449" s="84"/>
    </row>
    <row r="360450" spans="6:6" x14ac:dyDescent="0.25">
      <c r="F360450" s="46"/>
    </row>
    <row r="360451" spans="6:6" x14ac:dyDescent="0.25">
      <c r="F360451" s="9">
        <v>4</v>
      </c>
    </row>
    <row r="360452" spans="6:6" x14ac:dyDescent="0.25">
      <c r="F360452" s="9">
        <v>6</v>
      </c>
    </row>
    <row r="360453" spans="6:6" x14ac:dyDescent="0.25">
      <c r="F360453" s="9">
        <v>6</v>
      </c>
    </row>
    <row r="360454" spans="6:6" x14ac:dyDescent="0.25">
      <c r="F360454" s="9">
        <v>6</v>
      </c>
    </row>
    <row r="360455" spans="6:6" x14ac:dyDescent="0.25">
      <c r="F360455" s="9">
        <v>4</v>
      </c>
    </row>
    <row r="360456" spans="6:6" x14ac:dyDescent="0.25">
      <c r="F360456" s="9">
        <v>4</v>
      </c>
    </row>
    <row r="360457" spans="6:6" x14ac:dyDescent="0.25">
      <c r="F360457" s="9">
        <v>5</v>
      </c>
    </row>
    <row r="360458" spans="6:6" x14ac:dyDescent="0.25">
      <c r="F360458" s="9">
        <v>5</v>
      </c>
    </row>
    <row r="360459" spans="6:6" x14ac:dyDescent="0.25">
      <c r="F360459" s="9">
        <v>10</v>
      </c>
    </row>
    <row r="360460" spans="6:6" x14ac:dyDescent="0.25">
      <c r="F360460" s="9">
        <v>8</v>
      </c>
    </row>
    <row r="360461" spans="6:6" x14ac:dyDescent="0.25">
      <c r="F360461" s="9">
        <v>9</v>
      </c>
    </row>
    <row r="360462" spans="6:6" x14ac:dyDescent="0.25">
      <c r="F360462" s="9">
        <v>8</v>
      </c>
    </row>
    <row r="360463" spans="6:6" x14ac:dyDescent="0.25">
      <c r="F360463" s="9">
        <v>8</v>
      </c>
    </row>
    <row r="360464" spans="6:6" x14ac:dyDescent="0.25">
      <c r="F360464" s="9">
        <v>8</v>
      </c>
    </row>
    <row r="360465" spans="6:6" x14ac:dyDescent="0.25">
      <c r="F360465" s="9">
        <v>8</v>
      </c>
    </row>
    <row r="360466" spans="6:6" x14ac:dyDescent="0.25">
      <c r="F360466" s="9">
        <v>5</v>
      </c>
    </row>
    <row r="360467" spans="6:6" x14ac:dyDescent="0.25">
      <c r="F360467" s="9">
        <v>5</v>
      </c>
    </row>
    <row r="360468" spans="6:6" x14ac:dyDescent="0.25">
      <c r="F360468" s="9">
        <v>7</v>
      </c>
    </row>
    <row r="360469" spans="6:6" x14ac:dyDescent="0.25">
      <c r="F360469" s="9">
        <v>5</v>
      </c>
    </row>
    <row r="360470" spans="6:6" x14ac:dyDescent="0.25">
      <c r="F360470" s="9">
        <v>5</v>
      </c>
    </row>
    <row r="360471" spans="6:6" x14ac:dyDescent="0.25">
      <c r="F360471" s="9">
        <v>5</v>
      </c>
    </row>
    <row r="360472" spans="6:6" x14ac:dyDescent="0.25">
      <c r="F360472" s="9">
        <v>4</v>
      </c>
    </row>
    <row r="360473" spans="6:6" x14ac:dyDescent="0.25">
      <c r="F360473" s="9">
        <v>6</v>
      </c>
    </row>
    <row r="360474" spans="6:6" x14ac:dyDescent="0.25">
      <c r="F360474" s="9">
        <v>4</v>
      </c>
    </row>
    <row r="360475" spans="6:6" x14ac:dyDescent="0.25">
      <c r="F360475" s="9">
        <v>4</v>
      </c>
    </row>
    <row r="360476" spans="6:6" x14ac:dyDescent="0.25">
      <c r="F360476" s="9">
        <v>6</v>
      </c>
    </row>
    <row r="360477" spans="6:6" x14ac:dyDescent="0.25">
      <c r="F360477" s="9">
        <v>4</v>
      </c>
    </row>
    <row r="360478" spans="6:6" x14ac:dyDescent="0.25">
      <c r="F360478" s="9">
        <v>6</v>
      </c>
    </row>
    <row r="360479" spans="6:6" x14ac:dyDescent="0.25">
      <c r="F360479" s="9">
        <v>4</v>
      </c>
    </row>
    <row r="360480" spans="6:6" x14ac:dyDescent="0.25">
      <c r="F360480" s="9">
        <v>6</v>
      </c>
    </row>
    <row r="360481" spans="6:6" x14ac:dyDescent="0.25">
      <c r="F360481" s="9">
        <v>4</v>
      </c>
    </row>
    <row r="360482" spans="6:6" x14ac:dyDescent="0.25">
      <c r="F360482" s="9">
        <v>6</v>
      </c>
    </row>
    <row r="360483" spans="6:6" x14ac:dyDescent="0.25">
      <c r="F360483" s="9">
        <v>6</v>
      </c>
    </row>
    <row r="360484" spans="6:6" x14ac:dyDescent="0.25">
      <c r="F360484" s="9">
        <v>5</v>
      </c>
    </row>
    <row r="360485" spans="6:6" x14ac:dyDescent="0.25">
      <c r="F360485" s="9">
        <v>3</v>
      </c>
    </row>
    <row r="360486" spans="6:6" x14ac:dyDescent="0.25">
      <c r="F360486" s="9">
        <v>4</v>
      </c>
    </row>
    <row r="360487" spans="6:6" x14ac:dyDescent="0.25">
      <c r="F360487" s="9">
        <v>4</v>
      </c>
    </row>
    <row r="360488" spans="6:6" x14ac:dyDescent="0.25">
      <c r="F360488" s="9">
        <v>5</v>
      </c>
    </row>
    <row r="360489" spans="6:6" x14ac:dyDescent="0.25">
      <c r="F360489" s="9">
        <v>5</v>
      </c>
    </row>
    <row r="360490" spans="6:6" x14ac:dyDescent="0.25">
      <c r="F360490" s="9">
        <v>2</v>
      </c>
    </row>
    <row r="360491" spans="6:6" x14ac:dyDescent="0.25">
      <c r="F360491" s="9">
        <v>6</v>
      </c>
    </row>
    <row r="360492" spans="6:6" x14ac:dyDescent="0.25">
      <c r="F360492" s="9">
        <v>7</v>
      </c>
    </row>
    <row r="360493" spans="6:6" x14ac:dyDescent="0.25">
      <c r="F360493" s="9">
        <v>3</v>
      </c>
    </row>
    <row r="360494" spans="6:6" x14ac:dyDescent="0.25">
      <c r="F360494" s="9">
        <v>3</v>
      </c>
    </row>
    <row r="360495" spans="6:6" x14ac:dyDescent="0.25">
      <c r="F360495" s="9">
        <v>3</v>
      </c>
    </row>
    <row r="360496" spans="6:6" x14ac:dyDescent="0.25">
      <c r="F360496" s="9">
        <v>3</v>
      </c>
    </row>
    <row r="360497" spans="6:6" x14ac:dyDescent="0.25">
      <c r="F360497" s="9">
        <v>6</v>
      </c>
    </row>
    <row r="360498" spans="6:6" x14ac:dyDescent="0.25">
      <c r="F360498" s="9">
        <v>1</v>
      </c>
    </row>
    <row r="360499" spans="6:6" x14ac:dyDescent="0.25">
      <c r="F360499" s="9">
        <v>5</v>
      </c>
    </row>
    <row r="360500" spans="6:6" x14ac:dyDescent="0.25">
      <c r="F360500" s="9">
        <v>6</v>
      </c>
    </row>
    <row r="360501" spans="6:6" x14ac:dyDescent="0.25">
      <c r="F360501" s="9">
        <v>4</v>
      </c>
    </row>
    <row r="360502" spans="6:6" x14ac:dyDescent="0.25">
      <c r="F360502" s="9">
        <v>3</v>
      </c>
    </row>
    <row r="360503" spans="6:6" x14ac:dyDescent="0.25">
      <c r="F360503" s="9">
        <v>4</v>
      </c>
    </row>
    <row r="360504" spans="6:6" x14ac:dyDescent="0.25">
      <c r="F360504" s="9">
        <v>3</v>
      </c>
    </row>
    <row r="360505" spans="6:6" x14ac:dyDescent="0.25">
      <c r="F360505" s="9">
        <v>1</v>
      </c>
    </row>
    <row r="360506" spans="6:6" x14ac:dyDescent="0.25">
      <c r="F360506" s="9">
        <v>5</v>
      </c>
    </row>
    <row r="360507" spans="6:6" x14ac:dyDescent="0.25">
      <c r="F360507" s="9">
        <v>4</v>
      </c>
    </row>
    <row r="360508" spans="6:6" x14ac:dyDescent="0.25">
      <c r="F360508" s="9">
        <v>6</v>
      </c>
    </row>
    <row r="360509" spans="6:6" x14ac:dyDescent="0.25">
      <c r="F360509" s="9">
        <v>2</v>
      </c>
    </row>
    <row r="360510" spans="6:6" x14ac:dyDescent="0.25">
      <c r="F360510" s="9">
        <v>2</v>
      </c>
    </row>
    <row r="360511" spans="6:6" x14ac:dyDescent="0.25">
      <c r="F360511" s="9">
        <v>4</v>
      </c>
    </row>
    <row r="360512" spans="6:6" x14ac:dyDescent="0.25">
      <c r="F360512" s="9">
        <v>3</v>
      </c>
    </row>
    <row r="360513" spans="6:6" x14ac:dyDescent="0.25">
      <c r="F360513" s="9">
        <v>2</v>
      </c>
    </row>
    <row r="360514" spans="6:6" x14ac:dyDescent="0.25">
      <c r="F360514" s="9">
        <v>7</v>
      </c>
    </row>
    <row r="360515" spans="6:6" x14ac:dyDescent="0.25">
      <c r="F360515" s="9">
        <v>8</v>
      </c>
    </row>
    <row r="360516" spans="6:6" x14ac:dyDescent="0.25">
      <c r="F360516" s="9">
        <v>7</v>
      </c>
    </row>
    <row r="360517" spans="6:6" x14ac:dyDescent="0.25">
      <c r="F360517" s="9">
        <v>6</v>
      </c>
    </row>
    <row r="360518" spans="6:6" x14ac:dyDescent="0.25">
      <c r="F360518" s="9">
        <v>3</v>
      </c>
    </row>
    <row r="360519" spans="6:6" x14ac:dyDescent="0.25">
      <c r="F360519" s="9">
        <v>6</v>
      </c>
    </row>
    <row r="360520" spans="6:6" x14ac:dyDescent="0.25">
      <c r="F360520" s="9">
        <v>3</v>
      </c>
    </row>
    <row r="360521" spans="6:6" x14ac:dyDescent="0.25">
      <c r="F360521" s="9">
        <v>2</v>
      </c>
    </row>
    <row r="360522" spans="6:6" x14ac:dyDescent="0.25">
      <c r="F360522" s="9">
        <v>5</v>
      </c>
    </row>
    <row r="360523" spans="6:6" x14ac:dyDescent="0.25">
      <c r="F360523" s="9">
        <v>3</v>
      </c>
    </row>
    <row r="360524" spans="6:6" x14ac:dyDescent="0.25">
      <c r="F360524" s="9">
        <v>4</v>
      </c>
    </row>
    <row r="360525" spans="6:6" x14ac:dyDescent="0.25">
      <c r="F360525" s="9">
        <v>2</v>
      </c>
    </row>
    <row r="360526" spans="6:6" x14ac:dyDescent="0.25">
      <c r="F360526" s="9">
        <v>4</v>
      </c>
    </row>
    <row r="360527" spans="6:6" x14ac:dyDescent="0.25">
      <c r="F360527" s="9">
        <v>3</v>
      </c>
    </row>
    <row r="360528" spans="6:6" x14ac:dyDescent="0.25">
      <c r="F360528" s="9">
        <v>3</v>
      </c>
    </row>
    <row r="360529" spans="6:6" x14ac:dyDescent="0.25">
      <c r="F360529" s="9">
        <v>4</v>
      </c>
    </row>
    <row r="360530" spans="6:6" x14ac:dyDescent="0.25">
      <c r="F360530" s="9">
        <v>3</v>
      </c>
    </row>
    <row r="360531" spans="6:6" x14ac:dyDescent="0.25">
      <c r="F360531" s="9">
        <v>2</v>
      </c>
    </row>
    <row r="360532" spans="6:6" x14ac:dyDescent="0.25">
      <c r="F360532" s="9">
        <v>3</v>
      </c>
    </row>
    <row r="360533" spans="6:6" x14ac:dyDescent="0.25">
      <c r="F360533" s="9">
        <v>7</v>
      </c>
    </row>
    <row r="360534" spans="6:6" x14ac:dyDescent="0.25">
      <c r="F360534" s="9">
        <v>6</v>
      </c>
    </row>
    <row r="360535" spans="6:6" x14ac:dyDescent="0.25">
      <c r="F360535" s="9">
        <v>5</v>
      </c>
    </row>
    <row r="360536" spans="6:6" x14ac:dyDescent="0.25">
      <c r="F360536" s="9">
        <v>5</v>
      </c>
    </row>
    <row r="360537" spans="6:6" x14ac:dyDescent="0.25">
      <c r="F360537" s="9">
        <v>4</v>
      </c>
    </row>
    <row r="360538" spans="6:6" x14ac:dyDescent="0.25">
      <c r="F360538" s="9">
        <v>5</v>
      </c>
    </row>
    <row r="360539" spans="6:6" x14ac:dyDescent="0.25">
      <c r="F360539" s="9">
        <v>5</v>
      </c>
    </row>
    <row r="360540" spans="6:6" x14ac:dyDescent="0.25">
      <c r="F360540" s="9">
        <v>2</v>
      </c>
    </row>
    <row r="360541" spans="6:6" x14ac:dyDescent="0.25">
      <c r="F360541" s="9">
        <v>3</v>
      </c>
    </row>
    <row r="360542" spans="6:6" x14ac:dyDescent="0.25">
      <c r="F360542" s="9">
        <v>2</v>
      </c>
    </row>
    <row r="360543" spans="6:6" x14ac:dyDescent="0.25">
      <c r="F360543" s="9">
        <v>3</v>
      </c>
    </row>
    <row r="360544" spans="6:6" x14ac:dyDescent="0.25">
      <c r="F360544" s="9">
        <v>4</v>
      </c>
    </row>
    <row r="360545" spans="6:6" x14ac:dyDescent="0.25">
      <c r="F360545" s="9">
        <v>4</v>
      </c>
    </row>
    <row r="360546" spans="6:6" x14ac:dyDescent="0.25">
      <c r="F360546" s="9">
        <v>2</v>
      </c>
    </row>
    <row r="360547" spans="6:6" x14ac:dyDescent="0.25">
      <c r="F360547" s="9">
        <v>3</v>
      </c>
    </row>
    <row r="360548" spans="6:6" x14ac:dyDescent="0.25">
      <c r="F360548" s="9">
        <v>3</v>
      </c>
    </row>
    <row r="360549" spans="6:6" x14ac:dyDescent="0.25">
      <c r="F360549" s="9">
        <v>3</v>
      </c>
    </row>
    <row r="360550" spans="6:6" x14ac:dyDescent="0.25">
      <c r="F360550" s="9">
        <v>2</v>
      </c>
    </row>
    <row r="360551" spans="6:6" x14ac:dyDescent="0.25">
      <c r="F360551" s="9">
        <v>3</v>
      </c>
    </row>
    <row r="360552" spans="6:6" x14ac:dyDescent="0.25">
      <c r="F360552" s="9">
        <v>3</v>
      </c>
    </row>
    <row r="360553" spans="6:6" x14ac:dyDescent="0.25">
      <c r="F360553" s="9">
        <v>3</v>
      </c>
    </row>
    <row r="360554" spans="6:6" x14ac:dyDescent="0.25">
      <c r="F360554" s="9">
        <v>4</v>
      </c>
    </row>
    <row r="360555" spans="6:6" x14ac:dyDescent="0.25">
      <c r="F360555" s="9">
        <v>4</v>
      </c>
    </row>
    <row r="360556" spans="6:6" x14ac:dyDescent="0.25">
      <c r="F360556" s="9">
        <v>2</v>
      </c>
    </row>
    <row r="360557" spans="6:6" x14ac:dyDescent="0.25">
      <c r="F360557" s="9">
        <v>3</v>
      </c>
    </row>
    <row r="360558" spans="6:6" x14ac:dyDescent="0.25">
      <c r="F360558" s="9">
        <v>1</v>
      </c>
    </row>
    <row r="360559" spans="6:6" x14ac:dyDescent="0.25">
      <c r="F360559" s="9">
        <v>1</v>
      </c>
    </row>
    <row r="360560" spans="6:6" x14ac:dyDescent="0.25">
      <c r="F360560" s="9">
        <v>1</v>
      </c>
    </row>
    <row r="360561" spans="6:6" x14ac:dyDescent="0.25">
      <c r="F360561" s="9" t="s">
        <v>133</v>
      </c>
    </row>
    <row r="360562" spans="6:6" x14ac:dyDescent="0.25">
      <c r="F360562" s="6" t="s">
        <v>172</v>
      </c>
    </row>
    <row r="360563" spans="6:6" x14ac:dyDescent="0.25">
      <c r="F360563" s="9" t="s">
        <v>263</v>
      </c>
    </row>
    <row r="360564" spans="6:6" x14ac:dyDescent="0.25">
      <c r="F360564" s="33" t="s">
        <v>264</v>
      </c>
    </row>
    <row r="376833" spans="6:6" x14ac:dyDescent="0.25">
      <c r="F376833" s="84"/>
    </row>
    <row r="376834" spans="6:6" x14ac:dyDescent="0.25">
      <c r="F376834" s="46"/>
    </row>
    <row r="376835" spans="6:6" x14ac:dyDescent="0.25">
      <c r="F376835" s="9">
        <v>4</v>
      </c>
    </row>
    <row r="376836" spans="6:6" x14ac:dyDescent="0.25">
      <c r="F376836" s="9">
        <v>6</v>
      </c>
    </row>
    <row r="376837" spans="6:6" x14ac:dyDescent="0.25">
      <c r="F376837" s="9">
        <v>6</v>
      </c>
    </row>
    <row r="376838" spans="6:6" x14ac:dyDescent="0.25">
      <c r="F376838" s="9">
        <v>6</v>
      </c>
    </row>
    <row r="376839" spans="6:6" x14ac:dyDescent="0.25">
      <c r="F376839" s="9">
        <v>4</v>
      </c>
    </row>
    <row r="376840" spans="6:6" x14ac:dyDescent="0.25">
      <c r="F376840" s="9">
        <v>4</v>
      </c>
    </row>
    <row r="376841" spans="6:6" x14ac:dyDescent="0.25">
      <c r="F376841" s="9">
        <v>5</v>
      </c>
    </row>
    <row r="376842" spans="6:6" x14ac:dyDescent="0.25">
      <c r="F376842" s="9">
        <v>5</v>
      </c>
    </row>
    <row r="376843" spans="6:6" x14ac:dyDescent="0.25">
      <c r="F376843" s="9">
        <v>10</v>
      </c>
    </row>
    <row r="376844" spans="6:6" x14ac:dyDescent="0.25">
      <c r="F376844" s="9">
        <v>8</v>
      </c>
    </row>
    <row r="376845" spans="6:6" x14ac:dyDescent="0.25">
      <c r="F376845" s="9">
        <v>9</v>
      </c>
    </row>
    <row r="376846" spans="6:6" x14ac:dyDescent="0.25">
      <c r="F376846" s="9">
        <v>8</v>
      </c>
    </row>
    <row r="376847" spans="6:6" x14ac:dyDescent="0.25">
      <c r="F376847" s="9">
        <v>8</v>
      </c>
    </row>
    <row r="376848" spans="6:6" x14ac:dyDescent="0.25">
      <c r="F376848" s="9">
        <v>8</v>
      </c>
    </row>
    <row r="376849" spans="6:6" x14ac:dyDescent="0.25">
      <c r="F376849" s="9">
        <v>8</v>
      </c>
    </row>
    <row r="376850" spans="6:6" x14ac:dyDescent="0.25">
      <c r="F376850" s="9">
        <v>5</v>
      </c>
    </row>
    <row r="376851" spans="6:6" x14ac:dyDescent="0.25">
      <c r="F376851" s="9">
        <v>5</v>
      </c>
    </row>
    <row r="376852" spans="6:6" x14ac:dyDescent="0.25">
      <c r="F376852" s="9">
        <v>7</v>
      </c>
    </row>
    <row r="376853" spans="6:6" x14ac:dyDescent="0.25">
      <c r="F376853" s="9">
        <v>5</v>
      </c>
    </row>
    <row r="376854" spans="6:6" x14ac:dyDescent="0.25">
      <c r="F376854" s="9">
        <v>5</v>
      </c>
    </row>
    <row r="376855" spans="6:6" x14ac:dyDescent="0.25">
      <c r="F376855" s="9">
        <v>5</v>
      </c>
    </row>
    <row r="376856" spans="6:6" x14ac:dyDescent="0.25">
      <c r="F376856" s="9">
        <v>4</v>
      </c>
    </row>
    <row r="376857" spans="6:6" x14ac:dyDescent="0.25">
      <c r="F376857" s="9">
        <v>6</v>
      </c>
    </row>
    <row r="376858" spans="6:6" x14ac:dyDescent="0.25">
      <c r="F376858" s="9">
        <v>4</v>
      </c>
    </row>
    <row r="376859" spans="6:6" x14ac:dyDescent="0.25">
      <c r="F376859" s="9">
        <v>4</v>
      </c>
    </row>
    <row r="376860" spans="6:6" x14ac:dyDescent="0.25">
      <c r="F376860" s="9">
        <v>6</v>
      </c>
    </row>
    <row r="376861" spans="6:6" x14ac:dyDescent="0.25">
      <c r="F376861" s="9">
        <v>4</v>
      </c>
    </row>
    <row r="376862" spans="6:6" x14ac:dyDescent="0.25">
      <c r="F376862" s="9">
        <v>6</v>
      </c>
    </row>
    <row r="376863" spans="6:6" x14ac:dyDescent="0.25">
      <c r="F376863" s="9">
        <v>4</v>
      </c>
    </row>
    <row r="376864" spans="6:6" x14ac:dyDescent="0.25">
      <c r="F376864" s="9">
        <v>6</v>
      </c>
    </row>
    <row r="376865" spans="6:6" x14ac:dyDescent="0.25">
      <c r="F376865" s="9">
        <v>4</v>
      </c>
    </row>
    <row r="376866" spans="6:6" x14ac:dyDescent="0.25">
      <c r="F376866" s="9">
        <v>6</v>
      </c>
    </row>
    <row r="376867" spans="6:6" x14ac:dyDescent="0.25">
      <c r="F376867" s="9">
        <v>6</v>
      </c>
    </row>
    <row r="376868" spans="6:6" x14ac:dyDescent="0.25">
      <c r="F376868" s="9">
        <v>5</v>
      </c>
    </row>
    <row r="376869" spans="6:6" x14ac:dyDescent="0.25">
      <c r="F376869" s="9">
        <v>3</v>
      </c>
    </row>
    <row r="376870" spans="6:6" x14ac:dyDescent="0.25">
      <c r="F376870" s="9">
        <v>4</v>
      </c>
    </row>
    <row r="376871" spans="6:6" x14ac:dyDescent="0.25">
      <c r="F376871" s="9">
        <v>4</v>
      </c>
    </row>
    <row r="376872" spans="6:6" x14ac:dyDescent="0.25">
      <c r="F376872" s="9">
        <v>5</v>
      </c>
    </row>
    <row r="376873" spans="6:6" x14ac:dyDescent="0.25">
      <c r="F376873" s="9">
        <v>5</v>
      </c>
    </row>
    <row r="376874" spans="6:6" x14ac:dyDescent="0.25">
      <c r="F376874" s="9">
        <v>2</v>
      </c>
    </row>
    <row r="376875" spans="6:6" x14ac:dyDescent="0.25">
      <c r="F376875" s="9">
        <v>6</v>
      </c>
    </row>
    <row r="376876" spans="6:6" x14ac:dyDescent="0.25">
      <c r="F376876" s="9">
        <v>7</v>
      </c>
    </row>
    <row r="376877" spans="6:6" x14ac:dyDescent="0.25">
      <c r="F376877" s="9">
        <v>3</v>
      </c>
    </row>
    <row r="376878" spans="6:6" x14ac:dyDescent="0.25">
      <c r="F376878" s="9">
        <v>3</v>
      </c>
    </row>
    <row r="376879" spans="6:6" x14ac:dyDescent="0.25">
      <c r="F376879" s="9">
        <v>3</v>
      </c>
    </row>
    <row r="376880" spans="6:6" x14ac:dyDescent="0.25">
      <c r="F376880" s="9">
        <v>3</v>
      </c>
    </row>
    <row r="376881" spans="6:6" x14ac:dyDescent="0.25">
      <c r="F376881" s="9">
        <v>6</v>
      </c>
    </row>
    <row r="376882" spans="6:6" x14ac:dyDescent="0.25">
      <c r="F376882" s="9">
        <v>1</v>
      </c>
    </row>
    <row r="376883" spans="6:6" x14ac:dyDescent="0.25">
      <c r="F376883" s="9">
        <v>5</v>
      </c>
    </row>
    <row r="376884" spans="6:6" x14ac:dyDescent="0.25">
      <c r="F376884" s="9">
        <v>6</v>
      </c>
    </row>
    <row r="376885" spans="6:6" x14ac:dyDescent="0.25">
      <c r="F376885" s="9">
        <v>4</v>
      </c>
    </row>
    <row r="376886" spans="6:6" x14ac:dyDescent="0.25">
      <c r="F376886" s="9">
        <v>3</v>
      </c>
    </row>
    <row r="376887" spans="6:6" x14ac:dyDescent="0.25">
      <c r="F376887" s="9">
        <v>4</v>
      </c>
    </row>
    <row r="376888" spans="6:6" x14ac:dyDescent="0.25">
      <c r="F376888" s="9">
        <v>3</v>
      </c>
    </row>
    <row r="376889" spans="6:6" x14ac:dyDescent="0.25">
      <c r="F376889" s="9">
        <v>1</v>
      </c>
    </row>
    <row r="376890" spans="6:6" x14ac:dyDescent="0.25">
      <c r="F376890" s="9">
        <v>5</v>
      </c>
    </row>
    <row r="376891" spans="6:6" x14ac:dyDescent="0.25">
      <c r="F376891" s="9">
        <v>4</v>
      </c>
    </row>
    <row r="376892" spans="6:6" x14ac:dyDescent="0.25">
      <c r="F376892" s="9">
        <v>6</v>
      </c>
    </row>
    <row r="376893" spans="6:6" x14ac:dyDescent="0.25">
      <c r="F376893" s="9">
        <v>2</v>
      </c>
    </row>
    <row r="376894" spans="6:6" x14ac:dyDescent="0.25">
      <c r="F376894" s="9">
        <v>2</v>
      </c>
    </row>
    <row r="376895" spans="6:6" x14ac:dyDescent="0.25">
      <c r="F376895" s="9">
        <v>4</v>
      </c>
    </row>
    <row r="376896" spans="6:6" x14ac:dyDescent="0.25">
      <c r="F376896" s="9">
        <v>3</v>
      </c>
    </row>
    <row r="376897" spans="6:6" x14ac:dyDescent="0.25">
      <c r="F376897" s="9">
        <v>2</v>
      </c>
    </row>
    <row r="376898" spans="6:6" x14ac:dyDescent="0.25">
      <c r="F376898" s="9">
        <v>7</v>
      </c>
    </row>
    <row r="376899" spans="6:6" x14ac:dyDescent="0.25">
      <c r="F376899" s="9">
        <v>8</v>
      </c>
    </row>
    <row r="376900" spans="6:6" x14ac:dyDescent="0.25">
      <c r="F376900" s="9">
        <v>7</v>
      </c>
    </row>
    <row r="376901" spans="6:6" x14ac:dyDescent="0.25">
      <c r="F376901" s="9">
        <v>6</v>
      </c>
    </row>
    <row r="376902" spans="6:6" x14ac:dyDescent="0.25">
      <c r="F376902" s="9">
        <v>3</v>
      </c>
    </row>
    <row r="376903" spans="6:6" x14ac:dyDescent="0.25">
      <c r="F376903" s="9">
        <v>6</v>
      </c>
    </row>
    <row r="376904" spans="6:6" x14ac:dyDescent="0.25">
      <c r="F376904" s="9">
        <v>3</v>
      </c>
    </row>
    <row r="376905" spans="6:6" x14ac:dyDescent="0.25">
      <c r="F376905" s="9">
        <v>2</v>
      </c>
    </row>
    <row r="376906" spans="6:6" x14ac:dyDescent="0.25">
      <c r="F376906" s="9">
        <v>5</v>
      </c>
    </row>
    <row r="376907" spans="6:6" x14ac:dyDescent="0.25">
      <c r="F376907" s="9">
        <v>3</v>
      </c>
    </row>
    <row r="376908" spans="6:6" x14ac:dyDescent="0.25">
      <c r="F376908" s="9">
        <v>4</v>
      </c>
    </row>
    <row r="376909" spans="6:6" x14ac:dyDescent="0.25">
      <c r="F376909" s="9">
        <v>2</v>
      </c>
    </row>
    <row r="376910" spans="6:6" x14ac:dyDescent="0.25">
      <c r="F376910" s="9">
        <v>4</v>
      </c>
    </row>
    <row r="376911" spans="6:6" x14ac:dyDescent="0.25">
      <c r="F376911" s="9">
        <v>3</v>
      </c>
    </row>
    <row r="376912" spans="6:6" x14ac:dyDescent="0.25">
      <c r="F376912" s="9">
        <v>3</v>
      </c>
    </row>
    <row r="376913" spans="6:6" x14ac:dyDescent="0.25">
      <c r="F376913" s="9">
        <v>4</v>
      </c>
    </row>
    <row r="376914" spans="6:6" x14ac:dyDescent="0.25">
      <c r="F376914" s="9">
        <v>3</v>
      </c>
    </row>
    <row r="376915" spans="6:6" x14ac:dyDescent="0.25">
      <c r="F376915" s="9">
        <v>2</v>
      </c>
    </row>
    <row r="376916" spans="6:6" x14ac:dyDescent="0.25">
      <c r="F376916" s="9">
        <v>3</v>
      </c>
    </row>
    <row r="376917" spans="6:6" x14ac:dyDescent="0.25">
      <c r="F376917" s="9">
        <v>7</v>
      </c>
    </row>
    <row r="376918" spans="6:6" x14ac:dyDescent="0.25">
      <c r="F376918" s="9">
        <v>6</v>
      </c>
    </row>
    <row r="376919" spans="6:6" x14ac:dyDescent="0.25">
      <c r="F376919" s="9">
        <v>5</v>
      </c>
    </row>
    <row r="376920" spans="6:6" x14ac:dyDescent="0.25">
      <c r="F376920" s="9">
        <v>5</v>
      </c>
    </row>
    <row r="376921" spans="6:6" x14ac:dyDescent="0.25">
      <c r="F376921" s="9">
        <v>4</v>
      </c>
    </row>
    <row r="376922" spans="6:6" x14ac:dyDescent="0.25">
      <c r="F376922" s="9">
        <v>5</v>
      </c>
    </row>
    <row r="376923" spans="6:6" x14ac:dyDescent="0.25">
      <c r="F376923" s="9">
        <v>5</v>
      </c>
    </row>
    <row r="376924" spans="6:6" x14ac:dyDescent="0.25">
      <c r="F376924" s="9">
        <v>2</v>
      </c>
    </row>
    <row r="376925" spans="6:6" x14ac:dyDescent="0.25">
      <c r="F376925" s="9">
        <v>3</v>
      </c>
    </row>
    <row r="376926" spans="6:6" x14ac:dyDescent="0.25">
      <c r="F376926" s="9">
        <v>2</v>
      </c>
    </row>
    <row r="376927" spans="6:6" x14ac:dyDescent="0.25">
      <c r="F376927" s="9">
        <v>3</v>
      </c>
    </row>
    <row r="376928" spans="6:6" x14ac:dyDescent="0.25">
      <c r="F376928" s="9">
        <v>4</v>
      </c>
    </row>
    <row r="376929" spans="6:6" x14ac:dyDescent="0.25">
      <c r="F376929" s="9">
        <v>4</v>
      </c>
    </row>
    <row r="376930" spans="6:6" x14ac:dyDescent="0.25">
      <c r="F376930" s="9">
        <v>2</v>
      </c>
    </row>
    <row r="376931" spans="6:6" x14ac:dyDescent="0.25">
      <c r="F376931" s="9">
        <v>3</v>
      </c>
    </row>
    <row r="376932" spans="6:6" x14ac:dyDescent="0.25">
      <c r="F376932" s="9">
        <v>3</v>
      </c>
    </row>
    <row r="376933" spans="6:6" x14ac:dyDescent="0.25">
      <c r="F376933" s="9">
        <v>3</v>
      </c>
    </row>
    <row r="376934" spans="6:6" x14ac:dyDescent="0.25">
      <c r="F376934" s="9">
        <v>2</v>
      </c>
    </row>
    <row r="376935" spans="6:6" x14ac:dyDescent="0.25">
      <c r="F376935" s="9">
        <v>3</v>
      </c>
    </row>
    <row r="376936" spans="6:6" x14ac:dyDescent="0.25">
      <c r="F376936" s="9">
        <v>3</v>
      </c>
    </row>
    <row r="376937" spans="6:6" x14ac:dyDescent="0.25">
      <c r="F376937" s="9">
        <v>3</v>
      </c>
    </row>
    <row r="376938" spans="6:6" x14ac:dyDescent="0.25">
      <c r="F376938" s="9">
        <v>4</v>
      </c>
    </row>
    <row r="376939" spans="6:6" x14ac:dyDescent="0.25">
      <c r="F376939" s="9">
        <v>4</v>
      </c>
    </row>
    <row r="376940" spans="6:6" x14ac:dyDescent="0.25">
      <c r="F376940" s="9">
        <v>2</v>
      </c>
    </row>
    <row r="376941" spans="6:6" x14ac:dyDescent="0.25">
      <c r="F376941" s="9">
        <v>3</v>
      </c>
    </row>
    <row r="376942" spans="6:6" x14ac:dyDescent="0.25">
      <c r="F376942" s="9">
        <v>1</v>
      </c>
    </row>
    <row r="376943" spans="6:6" x14ac:dyDescent="0.25">
      <c r="F376943" s="9">
        <v>1</v>
      </c>
    </row>
    <row r="376944" spans="6:6" x14ac:dyDescent="0.25">
      <c r="F376944" s="9">
        <v>1</v>
      </c>
    </row>
    <row r="376945" spans="6:6" x14ac:dyDescent="0.25">
      <c r="F376945" s="9" t="s">
        <v>133</v>
      </c>
    </row>
    <row r="376946" spans="6:6" x14ac:dyDescent="0.25">
      <c r="F376946" s="6" t="s">
        <v>172</v>
      </c>
    </row>
    <row r="376947" spans="6:6" x14ac:dyDescent="0.25">
      <c r="F376947" s="9" t="s">
        <v>263</v>
      </c>
    </row>
    <row r="376948" spans="6:6" x14ac:dyDescent="0.25">
      <c r="F376948" s="33" t="s">
        <v>264</v>
      </c>
    </row>
    <row r="393217" spans="6:6" x14ac:dyDescent="0.25">
      <c r="F393217" s="84"/>
    </row>
    <row r="393218" spans="6:6" x14ac:dyDescent="0.25">
      <c r="F393218" s="46"/>
    </row>
    <row r="393219" spans="6:6" x14ac:dyDescent="0.25">
      <c r="F393219" s="9">
        <v>4</v>
      </c>
    </row>
    <row r="393220" spans="6:6" x14ac:dyDescent="0.25">
      <c r="F393220" s="9">
        <v>6</v>
      </c>
    </row>
    <row r="393221" spans="6:6" x14ac:dyDescent="0.25">
      <c r="F393221" s="9">
        <v>6</v>
      </c>
    </row>
    <row r="393222" spans="6:6" x14ac:dyDescent="0.25">
      <c r="F393222" s="9">
        <v>6</v>
      </c>
    </row>
    <row r="393223" spans="6:6" x14ac:dyDescent="0.25">
      <c r="F393223" s="9">
        <v>4</v>
      </c>
    </row>
    <row r="393224" spans="6:6" x14ac:dyDescent="0.25">
      <c r="F393224" s="9">
        <v>4</v>
      </c>
    </row>
    <row r="393225" spans="6:6" x14ac:dyDescent="0.25">
      <c r="F393225" s="9">
        <v>5</v>
      </c>
    </row>
    <row r="393226" spans="6:6" x14ac:dyDescent="0.25">
      <c r="F393226" s="9">
        <v>5</v>
      </c>
    </row>
    <row r="393227" spans="6:6" x14ac:dyDescent="0.25">
      <c r="F393227" s="9">
        <v>10</v>
      </c>
    </row>
    <row r="393228" spans="6:6" x14ac:dyDescent="0.25">
      <c r="F393228" s="9">
        <v>8</v>
      </c>
    </row>
    <row r="393229" spans="6:6" x14ac:dyDescent="0.25">
      <c r="F393229" s="9">
        <v>9</v>
      </c>
    </row>
    <row r="393230" spans="6:6" x14ac:dyDescent="0.25">
      <c r="F393230" s="9">
        <v>8</v>
      </c>
    </row>
    <row r="393231" spans="6:6" x14ac:dyDescent="0.25">
      <c r="F393231" s="9">
        <v>8</v>
      </c>
    </row>
    <row r="393232" spans="6:6" x14ac:dyDescent="0.25">
      <c r="F393232" s="9">
        <v>8</v>
      </c>
    </row>
    <row r="393233" spans="6:6" x14ac:dyDescent="0.25">
      <c r="F393233" s="9">
        <v>8</v>
      </c>
    </row>
    <row r="393234" spans="6:6" x14ac:dyDescent="0.25">
      <c r="F393234" s="9">
        <v>5</v>
      </c>
    </row>
    <row r="393235" spans="6:6" x14ac:dyDescent="0.25">
      <c r="F393235" s="9">
        <v>5</v>
      </c>
    </row>
    <row r="393236" spans="6:6" x14ac:dyDescent="0.25">
      <c r="F393236" s="9">
        <v>7</v>
      </c>
    </row>
    <row r="393237" spans="6:6" x14ac:dyDescent="0.25">
      <c r="F393237" s="9">
        <v>5</v>
      </c>
    </row>
    <row r="393238" spans="6:6" x14ac:dyDescent="0.25">
      <c r="F393238" s="9">
        <v>5</v>
      </c>
    </row>
    <row r="393239" spans="6:6" x14ac:dyDescent="0.25">
      <c r="F393239" s="9">
        <v>5</v>
      </c>
    </row>
    <row r="393240" spans="6:6" x14ac:dyDescent="0.25">
      <c r="F393240" s="9">
        <v>4</v>
      </c>
    </row>
    <row r="393241" spans="6:6" x14ac:dyDescent="0.25">
      <c r="F393241" s="9">
        <v>6</v>
      </c>
    </row>
    <row r="393242" spans="6:6" x14ac:dyDescent="0.25">
      <c r="F393242" s="9">
        <v>4</v>
      </c>
    </row>
    <row r="393243" spans="6:6" x14ac:dyDescent="0.25">
      <c r="F393243" s="9">
        <v>4</v>
      </c>
    </row>
    <row r="393244" spans="6:6" x14ac:dyDescent="0.25">
      <c r="F393244" s="9">
        <v>6</v>
      </c>
    </row>
    <row r="393245" spans="6:6" x14ac:dyDescent="0.25">
      <c r="F393245" s="9">
        <v>4</v>
      </c>
    </row>
    <row r="393246" spans="6:6" x14ac:dyDescent="0.25">
      <c r="F393246" s="9">
        <v>6</v>
      </c>
    </row>
    <row r="393247" spans="6:6" x14ac:dyDescent="0.25">
      <c r="F393247" s="9">
        <v>4</v>
      </c>
    </row>
    <row r="393248" spans="6:6" x14ac:dyDescent="0.25">
      <c r="F393248" s="9">
        <v>6</v>
      </c>
    </row>
    <row r="393249" spans="6:6" x14ac:dyDescent="0.25">
      <c r="F393249" s="9">
        <v>4</v>
      </c>
    </row>
    <row r="393250" spans="6:6" x14ac:dyDescent="0.25">
      <c r="F393250" s="9">
        <v>6</v>
      </c>
    </row>
    <row r="393251" spans="6:6" x14ac:dyDescent="0.25">
      <c r="F393251" s="9">
        <v>6</v>
      </c>
    </row>
    <row r="393252" spans="6:6" x14ac:dyDescent="0.25">
      <c r="F393252" s="9">
        <v>5</v>
      </c>
    </row>
    <row r="393253" spans="6:6" x14ac:dyDescent="0.25">
      <c r="F393253" s="9">
        <v>3</v>
      </c>
    </row>
    <row r="393254" spans="6:6" x14ac:dyDescent="0.25">
      <c r="F393254" s="9">
        <v>4</v>
      </c>
    </row>
    <row r="393255" spans="6:6" x14ac:dyDescent="0.25">
      <c r="F393255" s="9">
        <v>4</v>
      </c>
    </row>
    <row r="393256" spans="6:6" x14ac:dyDescent="0.25">
      <c r="F393256" s="9">
        <v>5</v>
      </c>
    </row>
    <row r="393257" spans="6:6" x14ac:dyDescent="0.25">
      <c r="F393257" s="9">
        <v>5</v>
      </c>
    </row>
    <row r="393258" spans="6:6" x14ac:dyDescent="0.25">
      <c r="F393258" s="9">
        <v>2</v>
      </c>
    </row>
    <row r="393259" spans="6:6" x14ac:dyDescent="0.25">
      <c r="F393259" s="9">
        <v>6</v>
      </c>
    </row>
    <row r="393260" spans="6:6" x14ac:dyDescent="0.25">
      <c r="F393260" s="9">
        <v>7</v>
      </c>
    </row>
    <row r="393261" spans="6:6" x14ac:dyDescent="0.25">
      <c r="F393261" s="9">
        <v>3</v>
      </c>
    </row>
    <row r="393262" spans="6:6" x14ac:dyDescent="0.25">
      <c r="F393262" s="9">
        <v>3</v>
      </c>
    </row>
    <row r="393263" spans="6:6" x14ac:dyDescent="0.25">
      <c r="F393263" s="9">
        <v>3</v>
      </c>
    </row>
    <row r="393264" spans="6:6" x14ac:dyDescent="0.25">
      <c r="F393264" s="9">
        <v>3</v>
      </c>
    </row>
    <row r="393265" spans="6:6" x14ac:dyDescent="0.25">
      <c r="F393265" s="9">
        <v>6</v>
      </c>
    </row>
    <row r="393266" spans="6:6" x14ac:dyDescent="0.25">
      <c r="F393266" s="9">
        <v>1</v>
      </c>
    </row>
    <row r="393267" spans="6:6" x14ac:dyDescent="0.25">
      <c r="F393267" s="9">
        <v>5</v>
      </c>
    </row>
    <row r="393268" spans="6:6" x14ac:dyDescent="0.25">
      <c r="F393268" s="9">
        <v>6</v>
      </c>
    </row>
    <row r="393269" spans="6:6" x14ac:dyDescent="0.25">
      <c r="F393269" s="9">
        <v>4</v>
      </c>
    </row>
    <row r="393270" spans="6:6" x14ac:dyDescent="0.25">
      <c r="F393270" s="9">
        <v>3</v>
      </c>
    </row>
    <row r="393271" spans="6:6" x14ac:dyDescent="0.25">
      <c r="F393271" s="9">
        <v>4</v>
      </c>
    </row>
    <row r="393272" spans="6:6" x14ac:dyDescent="0.25">
      <c r="F393272" s="9">
        <v>3</v>
      </c>
    </row>
    <row r="393273" spans="6:6" x14ac:dyDescent="0.25">
      <c r="F393273" s="9">
        <v>1</v>
      </c>
    </row>
    <row r="393274" spans="6:6" x14ac:dyDescent="0.25">
      <c r="F393274" s="9">
        <v>5</v>
      </c>
    </row>
    <row r="393275" spans="6:6" x14ac:dyDescent="0.25">
      <c r="F393275" s="9">
        <v>4</v>
      </c>
    </row>
    <row r="393276" spans="6:6" x14ac:dyDescent="0.25">
      <c r="F393276" s="9">
        <v>6</v>
      </c>
    </row>
    <row r="393277" spans="6:6" x14ac:dyDescent="0.25">
      <c r="F393277" s="9">
        <v>2</v>
      </c>
    </row>
    <row r="393278" spans="6:6" x14ac:dyDescent="0.25">
      <c r="F393278" s="9">
        <v>2</v>
      </c>
    </row>
    <row r="393279" spans="6:6" x14ac:dyDescent="0.25">
      <c r="F393279" s="9">
        <v>4</v>
      </c>
    </row>
    <row r="393280" spans="6:6" x14ac:dyDescent="0.25">
      <c r="F393280" s="9">
        <v>3</v>
      </c>
    </row>
    <row r="393281" spans="6:6" x14ac:dyDescent="0.25">
      <c r="F393281" s="9">
        <v>2</v>
      </c>
    </row>
    <row r="393282" spans="6:6" x14ac:dyDescent="0.25">
      <c r="F393282" s="9">
        <v>7</v>
      </c>
    </row>
    <row r="393283" spans="6:6" x14ac:dyDescent="0.25">
      <c r="F393283" s="9">
        <v>8</v>
      </c>
    </row>
    <row r="393284" spans="6:6" x14ac:dyDescent="0.25">
      <c r="F393284" s="9">
        <v>7</v>
      </c>
    </row>
    <row r="393285" spans="6:6" x14ac:dyDescent="0.25">
      <c r="F393285" s="9">
        <v>6</v>
      </c>
    </row>
    <row r="393286" spans="6:6" x14ac:dyDescent="0.25">
      <c r="F393286" s="9">
        <v>3</v>
      </c>
    </row>
    <row r="393287" spans="6:6" x14ac:dyDescent="0.25">
      <c r="F393287" s="9">
        <v>6</v>
      </c>
    </row>
    <row r="393288" spans="6:6" x14ac:dyDescent="0.25">
      <c r="F393288" s="9">
        <v>3</v>
      </c>
    </row>
    <row r="393289" spans="6:6" x14ac:dyDescent="0.25">
      <c r="F393289" s="9">
        <v>2</v>
      </c>
    </row>
    <row r="393290" spans="6:6" x14ac:dyDescent="0.25">
      <c r="F393290" s="9">
        <v>5</v>
      </c>
    </row>
    <row r="393291" spans="6:6" x14ac:dyDescent="0.25">
      <c r="F393291" s="9">
        <v>3</v>
      </c>
    </row>
    <row r="393292" spans="6:6" x14ac:dyDescent="0.25">
      <c r="F393292" s="9">
        <v>4</v>
      </c>
    </row>
    <row r="393293" spans="6:6" x14ac:dyDescent="0.25">
      <c r="F393293" s="9">
        <v>2</v>
      </c>
    </row>
    <row r="393294" spans="6:6" x14ac:dyDescent="0.25">
      <c r="F393294" s="9">
        <v>4</v>
      </c>
    </row>
    <row r="393295" spans="6:6" x14ac:dyDescent="0.25">
      <c r="F393295" s="9">
        <v>3</v>
      </c>
    </row>
    <row r="393296" spans="6:6" x14ac:dyDescent="0.25">
      <c r="F393296" s="9">
        <v>3</v>
      </c>
    </row>
    <row r="393297" spans="6:6" x14ac:dyDescent="0.25">
      <c r="F393297" s="9">
        <v>4</v>
      </c>
    </row>
    <row r="393298" spans="6:6" x14ac:dyDescent="0.25">
      <c r="F393298" s="9">
        <v>3</v>
      </c>
    </row>
    <row r="393299" spans="6:6" x14ac:dyDescent="0.25">
      <c r="F393299" s="9">
        <v>2</v>
      </c>
    </row>
    <row r="393300" spans="6:6" x14ac:dyDescent="0.25">
      <c r="F393300" s="9">
        <v>3</v>
      </c>
    </row>
    <row r="393301" spans="6:6" x14ac:dyDescent="0.25">
      <c r="F393301" s="9">
        <v>7</v>
      </c>
    </row>
    <row r="393302" spans="6:6" x14ac:dyDescent="0.25">
      <c r="F393302" s="9">
        <v>6</v>
      </c>
    </row>
    <row r="393303" spans="6:6" x14ac:dyDescent="0.25">
      <c r="F393303" s="9">
        <v>5</v>
      </c>
    </row>
    <row r="393304" spans="6:6" x14ac:dyDescent="0.25">
      <c r="F393304" s="9">
        <v>5</v>
      </c>
    </row>
    <row r="393305" spans="6:6" x14ac:dyDescent="0.25">
      <c r="F393305" s="9">
        <v>4</v>
      </c>
    </row>
    <row r="393306" spans="6:6" x14ac:dyDescent="0.25">
      <c r="F393306" s="9">
        <v>5</v>
      </c>
    </row>
    <row r="393307" spans="6:6" x14ac:dyDescent="0.25">
      <c r="F393307" s="9">
        <v>5</v>
      </c>
    </row>
    <row r="393308" spans="6:6" x14ac:dyDescent="0.25">
      <c r="F393308" s="9">
        <v>2</v>
      </c>
    </row>
    <row r="393309" spans="6:6" x14ac:dyDescent="0.25">
      <c r="F393309" s="9">
        <v>3</v>
      </c>
    </row>
    <row r="393310" spans="6:6" x14ac:dyDescent="0.25">
      <c r="F393310" s="9">
        <v>2</v>
      </c>
    </row>
    <row r="393311" spans="6:6" x14ac:dyDescent="0.25">
      <c r="F393311" s="9">
        <v>3</v>
      </c>
    </row>
    <row r="393312" spans="6:6" x14ac:dyDescent="0.25">
      <c r="F393312" s="9">
        <v>4</v>
      </c>
    </row>
    <row r="393313" spans="6:6" x14ac:dyDescent="0.25">
      <c r="F393313" s="9">
        <v>4</v>
      </c>
    </row>
    <row r="393314" spans="6:6" x14ac:dyDescent="0.25">
      <c r="F393314" s="9">
        <v>2</v>
      </c>
    </row>
    <row r="393315" spans="6:6" x14ac:dyDescent="0.25">
      <c r="F393315" s="9">
        <v>3</v>
      </c>
    </row>
    <row r="393316" spans="6:6" x14ac:dyDescent="0.25">
      <c r="F393316" s="9">
        <v>3</v>
      </c>
    </row>
    <row r="393317" spans="6:6" x14ac:dyDescent="0.25">
      <c r="F393317" s="9">
        <v>3</v>
      </c>
    </row>
    <row r="393318" spans="6:6" x14ac:dyDescent="0.25">
      <c r="F393318" s="9">
        <v>2</v>
      </c>
    </row>
    <row r="393319" spans="6:6" x14ac:dyDescent="0.25">
      <c r="F393319" s="9">
        <v>3</v>
      </c>
    </row>
    <row r="393320" spans="6:6" x14ac:dyDescent="0.25">
      <c r="F393320" s="9">
        <v>3</v>
      </c>
    </row>
    <row r="393321" spans="6:6" x14ac:dyDescent="0.25">
      <c r="F393321" s="9">
        <v>3</v>
      </c>
    </row>
    <row r="393322" spans="6:6" x14ac:dyDescent="0.25">
      <c r="F393322" s="9">
        <v>4</v>
      </c>
    </row>
    <row r="393323" spans="6:6" x14ac:dyDescent="0.25">
      <c r="F393323" s="9">
        <v>4</v>
      </c>
    </row>
    <row r="393324" spans="6:6" x14ac:dyDescent="0.25">
      <c r="F393324" s="9">
        <v>2</v>
      </c>
    </row>
    <row r="393325" spans="6:6" x14ac:dyDescent="0.25">
      <c r="F393325" s="9">
        <v>3</v>
      </c>
    </row>
    <row r="393326" spans="6:6" x14ac:dyDescent="0.25">
      <c r="F393326" s="9">
        <v>1</v>
      </c>
    </row>
    <row r="393327" spans="6:6" x14ac:dyDescent="0.25">
      <c r="F393327" s="9">
        <v>1</v>
      </c>
    </row>
    <row r="393328" spans="6:6" x14ac:dyDescent="0.25">
      <c r="F393328" s="9">
        <v>1</v>
      </c>
    </row>
    <row r="393329" spans="6:6" x14ac:dyDescent="0.25">
      <c r="F393329" s="9" t="s">
        <v>133</v>
      </c>
    </row>
    <row r="393330" spans="6:6" x14ac:dyDescent="0.25">
      <c r="F393330" s="6" t="s">
        <v>172</v>
      </c>
    </row>
    <row r="393331" spans="6:6" x14ac:dyDescent="0.25">
      <c r="F393331" s="9" t="s">
        <v>263</v>
      </c>
    </row>
    <row r="393332" spans="6:6" x14ac:dyDescent="0.25">
      <c r="F393332" s="33" t="s">
        <v>264</v>
      </c>
    </row>
    <row r="409601" spans="6:6" x14ac:dyDescent="0.25">
      <c r="F409601" s="84"/>
    </row>
    <row r="409602" spans="6:6" x14ac:dyDescent="0.25">
      <c r="F409602" s="46"/>
    </row>
    <row r="409603" spans="6:6" x14ac:dyDescent="0.25">
      <c r="F409603" s="9">
        <v>4</v>
      </c>
    </row>
    <row r="409604" spans="6:6" x14ac:dyDescent="0.25">
      <c r="F409604" s="9">
        <v>6</v>
      </c>
    </row>
    <row r="409605" spans="6:6" x14ac:dyDescent="0.25">
      <c r="F409605" s="9">
        <v>6</v>
      </c>
    </row>
    <row r="409606" spans="6:6" x14ac:dyDescent="0.25">
      <c r="F409606" s="9">
        <v>6</v>
      </c>
    </row>
    <row r="409607" spans="6:6" x14ac:dyDescent="0.25">
      <c r="F409607" s="9">
        <v>4</v>
      </c>
    </row>
    <row r="409608" spans="6:6" x14ac:dyDescent="0.25">
      <c r="F409608" s="9">
        <v>4</v>
      </c>
    </row>
    <row r="409609" spans="6:6" x14ac:dyDescent="0.25">
      <c r="F409609" s="9">
        <v>5</v>
      </c>
    </row>
    <row r="409610" spans="6:6" x14ac:dyDescent="0.25">
      <c r="F409610" s="9">
        <v>5</v>
      </c>
    </row>
    <row r="409611" spans="6:6" x14ac:dyDescent="0.25">
      <c r="F409611" s="9">
        <v>10</v>
      </c>
    </row>
    <row r="409612" spans="6:6" x14ac:dyDescent="0.25">
      <c r="F409612" s="9">
        <v>8</v>
      </c>
    </row>
    <row r="409613" spans="6:6" x14ac:dyDescent="0.25">
      <c r="F409613" s="9">
        <v>9</v>
      </c>
    </row>
    <row r="409614" spans="6:6" x14ac:dyDescent="0.25">
      <c r="F409614" s="9">
        <v>8</v>
      </c>
    </row>
    <row r="409615" spans="6:6" x14ac:dyDescent="0.25">
      <c r="F409615" s="9">
        <v>8</v>
      </c>
    </row>
    <row r="409616" spans="6:6" x14ac:dyDescent="0.25">
      <c r="F409616" s="9">
        <v>8</v>
      </c>
    </row>
    <row r="409617" spans="6:6" x14ac:dyDescent="0.25">
      <c r="F409617" s="9">
        <v>8</v>
      </c>
    </row>
    <row r="409618" spans="6:6" x14ac:dyDescent="0.25">
      <c r="F409618" s="9">
        <v>5</v>
      </c>
    </row>
    <row r="409619" spans="6:6" x14ac:dyDescent="0.25">
      <c r="F409619" s="9">
        <v>5</v>
      </c>
    </row>
    <row r="409620" spans="6:6" x14ac:dyDescent="0.25">
      <c r="F409620" s="9">
        <v>7</v>
      </c>
    </row>
    <row r="409621" spans="6:6" x14ac:dyDescent="0.25">
      <c r="F409621" s="9">
        <v>5</v>
      </c>
    </row>
    <row r="409622" spans="6:6" x14ac:dyDescent="0.25">
      <c r="F409622" s="9">
        <v>5</v>
      </c>
    </row>
    <row r="409623" spans="6:6" x14ac:dyDescent="0.25">
      <c r="F409623" s="9">
        <v>5</v>
      </c>
    </row>
    <row r="409624" spans="6:6" x14ac:dyDescent="0.25">
      <c r="F409624" s="9">
        <v>4</v>
      </c>
    </row>
    <row r="409625" spans="6:6" x14ac:dyDescent="0.25">
      <c r="F409625" s="9">
        <v>6</v>
      </c>
    </row>
    <row r="409626" spans="6:6" x14ac:dyDescent="0.25">
      <c r="F409626" s="9">
        <v>4</v>
      </c>
    </row>
    <row r="409627" spans="6:6" x14ac:dyDescent="0.25">
      <c r="F409627" s="9">
        <v>4</v>
      </c>
    </row>
    <row r="409628" spans="6:6" x14ac:dyDescent="0.25">
      <c r="F409628" s="9">
        <v>6</v>
      </c>
    </row>
    <row r="409629" spans="6:6" x14ac:dyDescent="0.25">
      <c r="F409629" s="9">
        <v>4</v>
      </c>
    </row>
    <row r="409630" spans="6:6" x14ac:dyDescent="0.25">
      <c r="F409630" s="9">
        <v>6</v>
      </c>
    </row>
    <row r="409631" spans="6:6" x14ac:dyDescent="0.25">
      <c r="F409631" s="9">
        <v>4</v>
      </c>
    </row>
    <row r="409632" spans="6:6" x14ac:dyDescent="0.25">
      <c r="F409632" s="9">
        <v>6</v>
      </c>
    </row>
    <row r="409633" spans="6:6" x14ac:dyDescent="0.25">
      <c r="F409633" s="9">
        <v>4</v>
      </c>
    </row>
    <row r="409634" spans="6:6" x14ac:dyDescent="0.25">
      <c r="F409634" s="9">
        <v>6</v>
      </c>
    </row>
    <row r="409635" spans="6:6" x14ac:dyDescent="0.25">
      <c r="F409635" s="9">
        <v>6</v>
      </c>
    </row>
    <row r="409636" spans="6:6" x14ac:dyDescent="0.25">
      <c r="F409636" s="9">
        <v>5</v>
      </c>
    </row>
    <row r="409637" spans="6:6" x14ac:dyDescent="0.25">
      <c r="F409637" s="9">
        <v>3</v>
      </c>
    </row>
    <row r="409638" spans="6:6" x14ac:dyDescent="0.25">
      <c r="F409638" s="9">
        <v>4</v>
      </c>
    </row>
    <row r="409639" spans="6:6" x14ac:dyDescent="0.25">
      <c r="F409639" s="9">
        <v>4</v>
      </c>
    </row>
    <row r="409640" spans="6:6" x14ac:dyDescent="0.25">
      <c r="F409640" s="9">
        <v>5</v>
      </c>
    </row>
    <row r="409641" spans="6:6" x14ac:dyDescent="0.25">
      <c r="F409641" s="9">
        <v>5</v>
      </c>
    </row>
    <row r="409642" spans="6:6" x14ac:dyDescent="0.25">
      <c r="F409642" s="9">
        <v>2</v>
      </c>
    </row>
    <row r="409643" spans="6:6" x14ac:dyDescent="0.25">
      <c r="F409643" s="9">
        <v>6</v>
      </c>
    </row>
    <row r="409644" spans="6:6" x14ac:dyDescent="0.25">
      <c r="F409644" s="9">
        <v>7</v>
      </c>
    </row>
    <row r="409645" spans="6:6" x14ac:dyDescent="0.25">
      <c r="F409645" s="9">
        <v>3</v>
      </c>
    </row>
    <row r="409646" spans="6:6" x14ac:dyDescent="0.25">
      <c r="F409646" s="9">
        <v>3</v>
      </c>
    </row>
    <row r="409647" spans="6:6" x14ac:dyDescent="0.25">
      <c r="F409647" s="9">
        <v>3</v>
      </c>
    </row>
    <row r="409648" spans="6:6" x14ac:dyDescent="0.25">
      <c r="F409648" s="9">
        <v>3</v>
      </c>
    </row>
    <row r="409649" spans="6:6" x14ac:dyDescent="0.25">
      <c r="F409649" s="9">
        <v>6</v>
      </c>
    </row>
    <row r="409650" spans="6:6" x14ac:dyDescent="0.25">
      <c r="F409650" s="9">
        <v>1</v>
      </c>
    </row>
    <row r="409651" spans="6:6" x14ac:dyDescent="0.25">
      <c r="F409651" s="9">
        <v>5</v>
      </c>
    </row>
    <row r="409652" spans="6:6" x14ac:dyDescent="0.25">
      <c r="F409652" s="9">
        <v>6</v>
      </c>
    </row>
    <row r="409653" spans="6:6" x14ac:dyDescent="0.25">
      <c r="F409653" s="9">
        <v>4</v>
      </c>
    </row>
    <row r="409654" spans="6:6" x14ac:dyDescent="0.25">
      <c r="F409654" s="9">
        <v>3</v>
      </c>
    </row>
    <row r="409655" spans="6:6" x14ac:dyDescent="0.25">
      <c r="F409655" s="9">
        <v>4</v>
      </c>
    </row>
    <row r="409656" spans="6:6" x14ac:dyDescent="0.25">
      <c r="F409656" s="9">
        <v>3</v>
      </c>
    </row>
    <row r="409657" spans="6:6" x14ac:dyDescent="0.25">
      <c r="F409657" s="9">
        <v>1</v>
      </c>
    </row>
    <row r="409658" spans="6:6" x14ac:dyDescent="0.25">
      <c r="F409658" s="9">
        <v>5</v>
      </c>
    </row>
    <row r="409659" spans="6:6" x14ac:dyDescent="0.25">
      <c r="F409659" s="9">
        <v>4</v>
      </c>
    </row>
    <row r="409660" spans="6:6" x14ac:dyDescent="0.25">
      <c r="F409660" s="9">
        <v>6</v>
      </c>
    </row>
    <row r="409661" spans="6:6" x14ac:dyDescent="0.25">
      <c r="F409661" s="9">
        <v>2</v>
      </c>
    </row>
    <row r="409662" spans="6:6" x14ac:dyDescent="0.25">
      <c r="F409662" s="9">
        <v>2</v>
      </c>
    </row>
    <row r="409663" spans="6:6" x14ac:dyDescent="0.25">
      <c r="F409663" s="9">
        <v>4</v>
      </c>
    </row>
    <row r="409664" spans="6:6" x14ac:dyDescent="0.25">
      <c r="F409664" s="9">
        <v>3</v>
      </c>
    </row>
    <row r="409665" spans="6:6" x14ac:dyDescent="0.25">
      <c r="F409665" s="9">
        <v>2</v>
      </c>
    </row>
    <row r="409666" spans="6:6" x14ac:dyDescent="0.25">
      <c r="F409666" s="9">
        <v>7</v>
      </c>
    </row>
    <row r="409667" spans="6:6" x14ac:dyDescent="0.25">
      <c r="F409667" s="9">
        <v>8</v>
      </c>
    </row>
    <row r="409668" spans="6:6" x14ac:dyDescent="0.25">
      <c r="F409668" s="9">
        <v>7</v>
      </c>
    </row>
    <row r="409669" spans="6:6" x14ac:dyDescent="0.25">
      <c r="F409669" s="9">
        <v>6</v>
      </c>
    </row>
    <row r="409670" spans="6:6" x14ac:dyDescent="0.25">
      <c r="F409670" s="9">
        <v>3</v>
      </c>
    </row>
    <row r="409671" spans="6:6" x14ac:dyDescent="0.25">
      <c r="F409671" s="9">
        <v>6</v>
      </c>
    </row>
    <row r="409672" spans="6:6" x14ac:dyDescent="0.25">
      <c r="F409672" s="9">
        <v>3</v>
      </c>
    </row>
    <row r="409673" spans="6:6" x14ac:dyDescent="0.25">
      <c r="F409673" s="9">
        <v>2</v>
      </c>
    </row>
    <row r="409674" spans="6:6" x14ac:dyDescent="0.25">
      <c r="F409674" s="9">
        <v>5</v>
      </c>
    </row>
    <row r="409675" spans="6:6" x14ac:dyDescent="0.25">
      <c r="F409675" s="9">
        <v>3</v>
      </c>
    </row>
    <row r="409676" spans="6:6" x14ac:dyDescent="0.25">
      <c r="F409676" s="9">
        <v>4</v>
      </c>
    </row>
    <row r="409677" spans="6:6" x14ac:dyDescent="0.25">
      <c r="F409677" s="9">
        <v>2</v>
      </c>
    </row>
    <row r="409678" spans="6:6" x14ac:dyDescent="0.25">
      <c r="F409678" s="9">
        <v>4</v>
      </c>
    </row>
    <row r="409679" spans="6:6" x14ac:dyDescent="0.25">
      <c r="F409679" s="9">
        <v>3</v>
      </c>
    </row>
    <row r="409680" spans="6:6" x14ac:dyDescent="0.25">
      <c r="F409680" s="9">
        <v>3</v>
      </c>
    </row>
    <row r="409681" spans="6:6" x14ac:dyDescent="0.25">
      <c r="F409681" s="9">
        <v>4</v>
      </c>
    </row>
    <row r="409682" spans="6:6" x14ac:dyDescent="0.25">
      <c r="F409682" s="9">
        <v>3</v>
      </c>
    </row>
    <row r="409683" spans="6:6" x14ac:dyDescent="0.25">
      <c r="F409683" s="9">
        <v>2</v>
      </c>
    </row>
    <row r="409684" spans="6:6" x14ac:dyDescent="0.25">
      <c r="F409684" s="9">
        <v>3</v>
      </c>
    </row>
    <row r="409685" spans="6:6" x14ac:dyDescent="0.25">
      <c r="F409685" s="9">
        <v>7</v>
      </c>
    </row>
    <row r="409686" spans="6:6" x14ac:dyDescent="0.25">
      <c r="F409686" s="9">
        <v>6</v>
      </c>
    </row>
    <row r="409687" spans="6:6" x14ac:dyDescent="0.25">
      <c r="F409687" s="9">
        <v>5</v>
      </c>
    </row>
    <row r="409688" spans="6:6" x14ac:dyDescent="0.25">
      <c r="F409688" s="9">
        <v>5</v>
      </c>
    </row>
    <row r="409689" spans="6:6" x14ac:dyDescent="0.25">
      <c r="F409689" s="9">
        <v>4</v>
      </c>
    </row>
    <row r="409690" spans="6:6" x14ac:dyDescent="0.25">
      <c r="F409690" s="9">
        <v>5</v>
      </c>
    </row>
    <row r="409691" spans="6:6" x14ac:dyDescent="0.25">
      <c r="F409691" s="9">
        <v>5</v>
      </c>
    </row>
    <row r="409692" spans="6:6" x14ac:dyDescent="0.25">
      <c r="F409692" s="9">
        <v>2</v>
      </c>
    </row>
    <row r="409693" spans="6:6" x14ac:dyDescent="0.25">
      <c r="F409693" s="9">
        <v>3</v>
      </c>
    </row>
    <row r="409694" spans="6:6" x14ac:dyDescent="0.25">
      <c r="F409694" s="9">
        <v>2</v>
      </c>
    </row>
    <row r="409695" spans="6:6" x14ac:dyDescent="0.25">
      <c r="F409695" s="9">
        <v>3</v>
      </c>
    </row>
    <row r="409696" spans="6:6" x14ac:dyDescent="0.25">
      <c r="F409696" s="9">
        <v>4</v>
      </c>
    </row>
    <row r="409697" spans="6:6" x14ac:dyDescent="0.25">
      <c r="F409697" s="9">
        <v>4</v>
      </c>
    </row>
    <row r="409698" spans="6:6" x14ac:dyDescent="0.25">
      <c r="F409698" s="9">
        <v>2</v>
      </c>
    </row>
    <row r="409699" spans="6:6" x14ac:dyDescent="0.25">
      <c r="F409699" s="9">
        <v>3</v>
      </c>
    </row>
    <row r="409700" spans="6:6" x14ac:dyDescent="0.25">
      <c r="F409700" s="9">
        <v>3</v>
      </c>
    </row>
    <row r="409701" spans="6:6" x14ac:dyDescent="0.25">
      <c r="F409701" s="9">
        <v>3</v>
      </c>
    </row>
    <row r="409702" spans="6:6" x14ac:dyDescent="0.25">
      <c r="F409702" s="9">
        <v>2</v>
      </c>
    </row>
    <row r="409703" spans="6:6" x14ac:dyDescent="0.25">
      <c r="F409703" s="9">
        <v>3</v>
      </c>
    </row>
    <row r="409704" spans="6:6" x14ac:dyDescent="0.25">
      <c r="F409704" s="9">
        <v>3</v>
      </c>
    </row>
    <row r="409705" spans="6:6" x14ac:dyDescent="0.25">
      <c r="F409705" s="9">
        <v>3</v>
      </c>
    </row>
    <row r="409706" spans="6:6" x14ac:dyDescent="0.25">
      <c r="F409706" s="9">
        <v>4</v>
      </c>
    </row>
    <row r="409707" spans="6:6" x14ac:dyDescent="0.25">
      <c r="F409707" s="9">
        <v>4</v>
      </c>
    </row>
    <row r="409708" spans="6:6" x14ac:dyDescent="0.25">
      <c r="F409708" s="9">
        <v>2</v>
      </c>
    </row>
    <row r="409709" spans="6:6" x14ac:dyDescent="0.25">
      <c r="F409709" s="9">
        <v>3</v>
      </c>
    </row>
    <row r="409710" spans="6:6" x14ac:dyDescent="0.25">
      <c r="F409710" s="9">
        <v>1</v>
      </c>
    </row>
    <row r="409711" spans="6:6" x14ac:dyDescent="0.25">
      <c r="F409711" s="9">
        <v>1</v>
      </c>
    </row>
    <row r="409712" spans="6:6" x14ac:dyDescent="0.25">
      <c r="F409712" s="9">
        <v>1</v>
      </c>
    </row>
    <row r="409713" spans="6:6" x14ac:dyDescent="0.25">
      <c r="F409713" s="9" t="s">
        <v>133</v>
      </c>
    </row>
    <row r="409714" spans="6:6" x14ac:dyDescent="0.25">
      <c r="F409714" s="6" t="s">
        <v>172</v>
      </c>
    </row>
    <row r="409715" spans="6:6" x14ac:dyDescent="0.25">
      <c r="F409715" s="9" t="s">
        <v>263</v>
      </c>
    </row>
    <row r="409716" spans="6:6" x14ac:dyDescent="0.25">
      <c r="F409716" s="33" t="s">
        <v>264</v>
      </c>
    </row>
    <row r="425985" spans="6:6" x14ac:dyDescent="0.25">
      <c r="F425985" s="84"/>
    </row>
    <row r="425986" spans="6:6" x14ac:dyDescent="0.25">
      <c r="F425986" s="46"/>
    </row>
    <row r="425987" spans="6:6" x14ac:dyDescent="0.25">
      <c r="F425987" s="9">
        <v>4</v>
      </c>
    </row>
    <row r="425988" spans="6:6" x14ac:dyDescent="0.25">
      <c r="F425988" s="9">
        <v>6</v>
      </c>
    </row>
    <row r="425989" spans="6:6" x14ac:dyDescent="0.25">
      <c r="F425989" s="9">
        <v>6</v>
      </c>
    </row>
    <row r="425990" spans="6:6" x14ac:dyDescent="0.25">
      <c r="F425990" s="9">
        <v>6</v>
      </c>
    </row>
    <row r="425991" spans="6:6" x14ac:dyDescent="0.25">
      <c r="F425991" s="9">
        <v>4</v>
      </c>
    </row>
    <row r="425992" spans="6:6" x14ac:dyDescent="0.25">
      <c r="F425992" s="9">
        <v>4</v>
      </c>
    </row>
    <row r="425993" spans="6:6" x14ac:dyDescent="0.25">
      <c r="F425993" s="9">
        <v>5</v>
      </c>
    </row>
    <row r="425994" spans="6:6" x14ac:dyDescent="0.25">
      <c r="F425994" s="9">
        <v>5</v>
      </c>
    </row>
    <row r="425995" spans="6:6" x14ac:dyDescent="0.25">
      <c r="F425995" s="9">
        <v>10</v>
      </c>
    </row>
    <row r="425996" spans="6:6" x14ac:dyDescent="0.25">
      <c r="F425996" s="9">
        <v>8</v>
      </c>
    </row>
    <row r="425997" spans="6:6" x14ac:dyDescent="0.25">
      <c r="F425997" s="9">
        <v>9</v>
      </c>
    </row>
    <row r="425998" spans="6:6" x14ac:dyDescent="0.25">
      <c r="F425998" s="9">
        <v>8</v>
      </c>
    </row>
    <row r="425999" spans="6:6" x14ac:dyDescent="0.25">
      <c r="F425999" s="9">
        <v>8</v>
      </c>
    </row>
    <row r="426000" spans="6:6" x14ac:dyDescent="0.25">
      <c r="F426000" s="9">
        <v>8</v>
      </c>
    </row>
    <row r="426001" spans="6:6" x14ac:dyDescent="0.25">
      <c r="F426001" s="9">
        <v>8</v>
      </c>
    </row>
    <row r="426002" spans="6:6" x14ac:dyDescent="0.25">
      <c r="F426002" s="9">
        <v>5</v>
      </c>
    </row>
    <row r="426003" spans="6:6" x14ac:dyDescent="0.25">
      <c r="F426003" s="9">
        <v>5</v>
      </c>
    </row>
    <row r="426004" spans="6:6" x14ac:dyDescent="0.25">
      <c r="F426004" s="9">
        <v>7</v>
      </c>
    </row>
    <row r="426005" spans="6:6" x14ac:dyDescent="0.25">
      <c r="F426005" s="9">
        <v>5</v>
      </c>
    </row>
    <row r="426006" spans="6:6" x14ac:dyDescent="0.25">
      <c r="F426006" s="9">
        <v>5</v>
      </c>
    </row>
    <row r="426007" spans="6:6" x14ac:dyDescent="0.25">
      <c r="F426007" s="9">
        <v>5</v>
      </c>
    </row>
    <row r="426008" spans="6:6" x14ac:dyDescent="0.25">
      <c r="F426008" s="9">
        <v>4</v>
      </c>
    </row>
    <row r="426009" spans="6:6" x14ac:dyDescent="0.25">
      <c r="F426009" s="9">
        <v>6</v>
      </c>
    </row>
    <row r="426010" spans="6:6" x14ac:dyDescent="0.25">
      <c r="F426010" s="9">
        <v>4</v>
      </c>
    </row>
    <row r="426011" spans="6:6" x14ac:dyDescent="0.25">
      <c r="F426011" s="9">
        <v>4</v>
      </c>
    </row>
    <row r="426012" spans="6:6" x14ac:dyDescent="0.25">
      <c r="F426012" s="9">
        <v>6</v>
      </c>
    </row>
    <row r="426013" spans="6:6" x14ac:dyDescent="0.25">
      <c r="F426013" s="9">
        <v>4</v>
      </c>
    </row>
    <row r="426014" spans="6:6" x14ac:dyDescent="0.25">
      <c r="F426014" s="9">
        <v>6</v>
      </c>
    </row>
    <row r="426015" spans="6:6" x14ac:dyDescent="0.25">
      <c r="F426015" s="9">
        <v>4</v>
      </c>
    </row>
    <row r="426016" spans="6:6" x14ac:dyDescent="0.25">
      <c r="F426016" s="9">
        <v>6</v>
      </c>
    </row>
    <row r="426017" spans="6:6" x14ac:dyDescent="0.25">
      <c r="F426017" s="9">
        <v>4</v>
      </c>
    </row>
    <row r="426018" spans="6:6" x14ac:dyDescent="0.25">
      <c r="F426018" s="9">
        <v>6</v>
      </c>
    </row>
    <row r="426019" spans="6:6" x14ac:dyDescent="0.25">
      <c r="F426019" s="9">
        <v>6</v>
      </c>
    </row>
    <row r="426020" spans="6:6" x14ac:dyDescent="0.25">
      <c r="F426020" s="9">
        <v>5</v>
      </c>
    </row>
    <row r="426021" spans="6:6" x14ac:dyDescent="0.25">
      <c r="F426021" s="9">
        <v>3</v>
      </c>
    </row>
    <row r="426022" spans="6:6" x14ac:dyDescent="0.25">
      <c r="F426022" s="9">
        <v>4</v>
      </c>
    </row>
    <row r="426023" spans="6:6" x14ac:dyDescent="0.25">
      <c r="F426023" s="9">
        <v>4</v>
      </c>
    </row>
    <row r="426024" spans="6:6" x14ac:dyDescent="0.25">
      <c r="F426024" s="9">
        <v>5</v>
      </c>
    </row>
    <row r="426025" spans="6:6" x14ac:dyDescent="0.25">
      <c r="F426025" s="9">
        <v>5</v>
      </c>
    </row>
    <row r="426026" spans="6:6" x14ac:dyDescent="0.25">
      <c r="F426026" s="9">
        <v>2</v>
      </c>
    </row>
    <row r="426027" spans="6:6" x14ac:dyDescent="0.25">
      <c r="F426027" s="9">
        <v>6</v>
      </c>
    </row>
    <row r="426028" spans="6:6" x14ac:dyDescent="0.25">
      <c r="F426028" s="9">
        <v>7</v>
      </c>
    </row>
    <row r="426029" spans="6:6" x14ac:dyDescent="0.25">
      <c r="F426029" s="9">
        <v>3</v>
      </c>
    </row>
    <row r="426030" spans="6:6" x14ac:dyDescent="0.25">
      <c r="F426030" s="9">
        <v>3</v>
      </c>
    </row>
    <row r="426031" spans="6:6" x14ac:dyDescent="0.25">
      <c r="F426031" s="9">
        <v>3</v>
      </c>
    </row>
    <row r="426032" spans="6:6" x14ac:dyDescent="0.25">
      <c r="F426032" s="9">
        <v>3</v>
      </c>
    </row>
    <row r="426033" spans="6:6" x14ac:dyDescent="0.25">
      <c r="F426033" s="9">
        <v>6</v>
      </c>
    </row>
    <row r="426034" spans="6:6" x14ac:dyDescent="0.25">
      <c r="F426034" s="9">
        <v>1</v>
      </c>
    </row>
    <row r="426035" spans="6:6" x14ac:dyDescent="0.25">
      <c r="F426035" s="9">
        <v>5</v>
      </c>
    </row>
    <row r="426036" spans="6:6" x14ac:dyDescent="0.25">
      <c r="F426036" s="9">
        <v>6</v>
      </c>
    </row>
    <row r="426037" spans="6:6" x14ac:dyDescent="0.25">
      <c r="F426037" s="9">
        <v>4</v>
      </c>
    </row>
    <row r="426038" spans="6:6" x14ac:dyDescent="0.25">
      <c r="F426038" s="9">
        <v>3</v>
      </c>
    </row>
    <row r="426039" spans="6:6" x14ac:dyDescent="0.25">
      <c r="F426039" s="9">
        <v>4</v>
      </c>
    </row>
    <row r="426040" spans="6:6" x14ac:dyDescent="0.25">
      <c r="F426040" s="9">
        <v>3</v>
      </c>
    </row>
    <row r="426041" spans="6:6" x14ac:dyDescent="0.25">
      <c r="F426041" s="9">
        <v>1</v>
      </c>
    </row>
    <row r="426042" spans="6:6" x14ac:dyDescent="0.25">
      <c r="F426042" s="9">
        <v>5</v>
      </c>
    </row>
    <row r="426043" spans="6:6" x14ac:dyDescent="0.25">
      <c r="F426043" s="9">
        <v>4</v>
      </c>
    </row>
    <row r="426044" spans="6:6" x14ac:dyDescent="0.25">
      <c r="F426044" s="9">
        <v>6</v>
      </c>
    </row>
    <row r="426045" spans="6:6" x14ac:dyDescent="0.25">
      <c r="F426045" s="9">
        <v>2</v>
      </c>
    </row>
    <row r="426046" spans="6:6" x14ac:dyDescent="0.25">
      <c r="F426046" s="9">
        <v>2</v>
      </c>
    </row>
    <row r="426047" spans="6:6" x14ac:dyDescent="0.25">
      <c r="F426047" s="9">
        <v>4</v>
      </c>
    </row>
    <row r="426048" spans="6:6" x14ac:dyDescent="0.25">
      <c r="F426048" s="9">
        <v>3</v>
      </c>
    </row>
    <row r="426049" spans="6:6" x14ac:dyDescent="0.25">
      <c r="F426049" s="9">
        <v>2</v>
      </c>
    </row>
    <row r="426050" spans="6:6" x14ac:dyDescent="0.25">
      <c r="F426050" s="9">
        <v>7</v>
      </c>
    </row>
    <row r="426051" spans="6:6" x14ac:dyDescent="0.25">
      <c r="F426051" s="9">
        <v>8</v>
      </c>
    </row>
    <row r="426052" spans="6:6" x14ac:dyDescent="0.25">
      <c r="F426052" s="9">
        <v>7</v>
      </c>
    </row>
    <row r="426053" spans="6:6" x14ac:dyDescent="0.25">
      <c r="F426053" s="9">
        <v>6</v>
      </c>
    </row>
    <row r="426054" spans="6:6" x14ac:dyDescent="0.25">
      <c r="F426054" s="9">
        <v>3</v>
      </c>
    </row>
    <row r="426055" spans="6:6" x14ac:dyDescent="0.25">
      <c r="F426055" s="9">
        <v>6</v>
      </c>
    </row>
    <row r="426056" spans="6:6" x14ac:dyDescent="0.25">
      <c r="F426056" s="9">
        <v>3</v>
      </c>
    </row>
    <row r="426057" spans="6:6" x14ac:dyDescent="0.25">
      <c r="F426057" s="9">
        <v>2</v>
      </c>
    </row>
    <row r="426058" spans="6:6" x14ac:dyDescent="0.25">
      <c r="F426058" s="9">
        <v>5</v>
      </c>
    </row>
    <row r="426059" spans="6:6" x14ac:dyDescent="0.25">
      <c r="F426059" s="9">
        <v>3</v>
      </c>
    </row>
    <row r="426060" spans="6:6" x14ac:dyDescent="0.25">
      <c r="F426060" s="9">
        <v>4</v>
      </c>
    </row>
    <row r="426061" spans="6:6" x14ac:dyDescent="0.25">
      <c r="F426061" s="9">
        <v>2</v>
      </c>
    </row>
    <row r="426062" spans="6:6" x14ac:dyDescent="0.25">
      <c r="F426062" s="9">
        <v>4</v>
      </c>
    </row>
    <row r="426063" spans="6:6" x14ac:dyDescent="0.25">
      <c r="F426063" s="9">
        <v>3</v>
      </c>
    </row>
    <row r="426064" spans="6:6" x14ac:dyDescent="0.25">
      <c r="F426064" s="9">
        <v>3</v>
      </c>
    </row>
    <row r="426065" spans="6:6" x14ac:dyDescent="0.25">
      <c r="F426065" s="9">
        <v>4</v>
      </c>
    </row>
    <row r="426066" spans="6:6" x14ac:dyDescent="0.25">
      <c r="F426066" s="9">
        <v>3</v>
      </c>
    </row>
    <row r="426067" spans="6:6" x14ac:dyDescent="0.25">
      <c r="F426067" s="9">
        <v>2</v>
      </c>
    </row>
    <row r="426068" spans="6:6" x14ac:dyDescent="0.25">
      <c r="F426068" s="9">
        <v>3</v>
      </c>
    </row>
    <row r="426069" spans="6:6" x14ac:dyDescent="0.25">
      <c r="F426069" s="9">
        <v>7</v>
      </c>
    </row>
    <row r="426070" spans="6:6" x14ac:dyDescent="0.25">
      <c r="F426070" s="9">
        <v>6</v>
      </c>
    </row>
    <row r="426071" spans="6:6" x14ac:dyDescent="0.25">
      <c r="F426071" s="9">
        <v>5</v>
      </c>
    </row>
    <row r="426072" spans="6:6" x14ac:dyDescent="0.25">
      <c r="F426072" s="9">
        <v>5</v>
      </c>
    </row>
    <row r="426073" spans="6:6" x14ac:dyDescent="0.25">
      <c r="F426073" s="9">
        <v>4</v>
      </c>
    </row>
    <row r="426074" spans="6:6" x14ac:dyDescent="0.25">
      <c r="F426074" s="9">
        <v>5</v>
      </c>
    </row>
    <row r="426075" spans="6:6" x14ac:dyDescent="0.25">
      <c r="F426075" s="9">
        <v>5</v>
      </c>
    </row>
    <row r="426076" spans="6:6" x14ac:dyDescent="0.25">
      <c r="F426076" s="9">
        <v>2</v>
      </c>
    </row>
    <row r="426077" spans="6:6" x14ac:dyDescent="0.25">
      <c r="F426077" s="9">
        <v>3</v>
      </c>
    </row>
    <row r="426078" spans="6:6" x14ac:dyDescent="0.25">
      <c r="F426078" s="9">
        <v>2</v>
      </c>
    </row>
    <row r="426079" spans="6:6" x14ac:dyDescent="0.25">
      <c r="F426079" s="9">
        <v>3</v>
      </c>
    </row>
    <row r="426080" spans="6:6" x14ac:dyDescent="0.25">
      <c r="F426080" s="9">
        <v>4</v>
      </c>
    </row>
    <row r="426081" spans="6:6" x14ac:dyDescent="0.25">
      <c r="F426081" s="9">
        <v>4</v>
      </c>
    </row>
    <row r="426082" spans="6:6" x14ac:dyDescent="0.25">
      <c r="F426082" s="9">
        <v>2</v>
      </c>
    </row>
    <row r="426083" spans="6:6" x14ac:dyDescent="0.25">
      <c r="F426083" s="9">
        <v>3</v>
      </c>
    </row>
    <row r="426084" spans="6:6" x14ac:dyDescent="0.25">
      <c r="F426084" s="9">
        <v>3</v>
      </c>
    </row>
    <row r="426085" spans="6:6" x14ac:dyDescent="0.25">
      <c r="F426085" s="9">
        <v>3</v>
      </c>
    </row>
    <row r="426086" spans="6:6" x14ac:dyDescent="0.25">
      <c r="F426086" s="9">
        <v>2</v>
      </c>
    </row>
    <row r="426087" spans="6:6" x14ac:dyDescent="0.25">
      <c r="F426087" s="9">
        <v>3</v>
      </c>
    </row>
    <row r="426088" spans="6:6" x14ac:dyDescent="0.25">
      <c r="F426088" s="9">
        <v>3</v>
      </c>
    </row>
    <row r="426089" spans="6:6" x14ac:dyDescent="0.25">
      <c r="F426089" s="9">
        <v>3</v>
      </c>
    </row>
    <row r="426090" spans="6:6" x14ac:dyDescent="0.25">
      <c r="F426090" s="9">
        <v>4</v>
      </c>
    </row>
    <row r="426091" spans="6:6" x14ac:dyDescent="0.25">
      <c r="F426091" s="9">
        <v>4</v>
      </c>
    </row>
    <row r="426092" spans="6:6" x14ac:dyDescent="0.25">
      <c r="F426092" s="9">
        <v>2</v>
      </c>
    </row>
    <row r="426093" spans="6:6" x14ac:dyDescent="0.25">
      <c r="F426093" s="9">
        <v>3</v>
      </c>
    </row>
    <row r="426094" spans="6:6" x14ac:dyDescent="0.25">
      <c r="F426094" s="9">
        <v>1</v>
      </c>
    </row>
    <row r="426095" spans="6:6" x14ac:dyDescent="0.25">
      <c r="F426095" s="9">
        <v>1</v>
      </c>
    </row>
    <row r="426096" spans="6:6" x14ac:dyDescent="0.25">
      <c r="F426096" s="9">
        <v>1</v>
      </c>
    </row>
    <row r="426097" spans="6:6" x14ac:dyDescent="0.25">
      <c r="F426097" s="9" t="s">
        <v>133</v>
      </c>
    </row>
    <row r="426098" spans="6:6" x14ac:dyDescent="0.25">
      <c r="F426098" s="6" t="s">
        <v>172</v>
      </c>
    </row>
    <row r="426099" spans="6:6" x14ac:dyDescent="0.25">
      <c r="F426099" s="9" t="s">
        <v>263</v>
      </c>
    </row>
    <row r="426100" spans="6:6" x14ac:dyDescent="0.25">
      <c r="F426100" s="33" t="s">
        <v>264</v>
      </c>
    </row>
    <row r="442369" spans="6:6" x14ac:dyDescent="0.25">
      <c r="F442369" s="84"/>
    </row>
    <row r="442370" spans="6:6" x14ac:dyDescent="0.25">
      <c r="F442370" s="46"/>
    </row>
    <row r="442371" spans="6:6" x14ac:dyDescent="0.25">
      <c r="F442371" s="9">
        <v>4</v>
      </c>
    </row>
    <row r="442372" spans="6:6" x14ac:dyDescent="0.25">
      <c r="F442372" s="9">
        <v>6</v>
      </c>
    </row>
    <row r="442373" spans="6:6" x14ac:dyDescent="0.25">
      <c r="F442373" s="9">
        <v>6</v>
      </c>
    </row>
    <row r="442374" spans="6:6" x14ac:dyDescent="0.25">
      <c r="F442374" s="9">
        <v>6</v>
      </c>
    </row>
    <row r="442375" spans="6:6" x14ac:dyDescent="0.25">
      <c r="F442375" s="9">
        <v>4</v>
      </c>
    </row>
    <row r="442376" spans="6:6" x14ac:dyDescent="0.25">
      <c r="F442376" s="9">
        <v>4</v>
      </c>
    </row>
    <row r="442377" spans="6:6" x14ac:dyDescent="0.25">
      <c r="F442377" s="9">
        <v>5</v>
      </c>
    </row>
    <row r="442378" spans="6:6" x14ac:dyDescent="0.25">
      <c r="F442378" s="9">
        <v>5</v>
      </c>
    </row>
    <row r="442379" spans="6:6" x14ac:dyDescent="0.25">
      <c r="F442379" s="9">
        <v>10</v>
      </c>
    </row>
    <row r="442380" spans="6:6" x14ac:dyDescent="0.25">
      <c r="F442380" s="9">
        <v>8</v>
      </c>
    </row>
    <row r="442381" spans="6:6" x14ac:dyDescent="0.25">
      <c r="F442381" s="9">
        <v>9</v>
      </c>
    </row>
    <row r="442382" spans="6:6" x14ac:dyDescent="0.25">
      <c r="F442382" s="9">
        <v>8</v>
      </c>
    </row>
    <row r="442383" spans="6:6" x14ac:dyDescent="0.25">
      <c r="F442383" s="9">
        <v>8</v>
      </c>
    </row>
    <row r="442384" spans="6:6" x14ac:dyDescent="0.25">
      <c r="F442384" s="9">
        <v>8</v>
      </c>
    </row>
    <row r="442385" spans="6:6" x14ac:dyDescent="0.25">
      <c r="F442385" s="9">
        <v>8</v>
      </c>
    </row>
    <row r="442386" spans="6:6" x14ac:dyDescent="0.25">
      <c r="F442386" s="9">
        <v>5</v>
      </c>
    </row>
    <row r="442387" spans="6:6" x14ac:dyDescent="0.25">
      <c r="F442387" s="9">
        <v>5</v>
      </c>
    </row>
    <row r="442388" spans="6:6" x14ac:dyDescent="0.25">
      <c r="F442388" s="9">
        <v>7</v>
      </c>
    </row>
    <row r="442389" spans="6:6" x14ac:dyDescent="0.25">
      <c r="F442389" s="9">
        <v>5</v>
      </c>
    </row>
    <row r="442390" spans="6:6" x14ac:dyDescent="0.25">
      <c r="F442390" s="9">
        <v>5</v>
      </c>
    </row>
    <row r="442391" spans="6:6" x14ac:dyDescent="0.25">
      <c r="F442391" s="9">
        <v>5</v>
      </c>
    </row>
    <row r="442392" spans="6:6" x14ac:dyDescent="0.25">
      <c r="F442392" s="9">
        <v>4</v>
      </c>
    </row>
    <row r="442393" spans="6:6" x14ac:dyDescent="0.25">
      <c r="F442393" s="9">
        <v>6</v>
      </c>
    </row>
    <row r="442394" spans="6:6" x14ac:dyDescent="0.25">
      <c r="F442394" s="9">
        <v>4</v>
      </c>
    </row>
    <row r="442395" spans="6:6" x14ac:dyDescent="0.25">
      <c r="F442395" s="9">
        <v>4</v>
      </c>
    </row>
    <row r="442396" spans="6:6" x14ac:dyDescent="0.25">
      <c r="F442396" s="9">
        <v>6</v>
      </c>
    </row>
    <row r="442397" spans="6:6" x14ac:dyDescent="0.25">
      <c r="F442397" s="9">
        <v>4</v>
      </c>
    </row>
    <row r="442398" spans="6:6" x14ac:dyDescent="0.25">
      <c r="F442398" s="9">
        <v>6</v>
      </c>
    </row>
    <row r="442399" spans="6:6" x14ac:dyDescent="0.25">
      <c r="F442399" s="9">
        <v>4</v>
      </c>
    </row>
    <row r="442400" spans="6:6" x14ac:dyDescent="0.25">
      <c r="F442400" s="9">
        <v>6</v>
      </c>
    </row>
    <row r="442401" spans="6:6" x14ac:dyDescent="0.25">
      <c r="F442401" s="9">
        <v>4</v>
      </c>
    </row>
    <row r="442402" spans="6:6" x14ac:dyDescent="0.25">
      <c r="F442402" s="9">
        <v>6</v>
      </c>
    </row>
    <row r="442403" spans="6:6" x14ac:dyDescent="0.25">
      <c r="F442403" s="9">
        <v>6</v>
      </c>
    </row>
    <row r="442404" spans="6:6" x14ac:dyDescent="0.25">
      <c r="F442404" s="9">
        <v>5</v>
      </c>
    </row>
    <row r="442405" spans="6:6" x14ac:dyDescent="0.25">
      <c r="F442405" s="9">
        <v>3</v>
      </c>
    </row>
    <row r="442406" spans="6:6" x14ac:dyDescent="0.25">
      <c r="F442406" s="9">
        <v>4</v>
      </c>
    </row>
    <row r="442407" spans="6:6" x14ac:dyDescent="0.25">
      <c r="F442407" s="9">
        <v>4</v>
      </c>
    </row>
    <row r="442408" spans="6:6" x14ac:dyDescent="0.25">
      <c r="F442408" s="9">
        <v>5</v>
      </c>
    </row>
    <row r="442409" spans="6:6" x14ac:dyDescent="0.25">
      <c r="F442409" s="9">
        <v>5</v>
      </c>
    </row>
    <row r="442410" spans="6:6" x14ac:dyDescent="0.25">
      <c r="F442410" s="9">
        <v>2</v>
      </c>
    </row>
    <row r="442411" spans="6:6" x14ac:dyDescent="0.25">
      <c r="F442411" s="9">
        <v>6</v>
      </c>
    </row>
    <row r="442412" spans="6:6" x14ac:dyDescent="0.25">
      <c r="F442412" s="9">
        <v>7</v>
      </c>
    </row>
    <row r="442413" spans="6:6" x14ac:dyDescent="0.25">
      <c r="F442413" s="9">
        <v>3</v>
      </c>
    </row>
    <row r="442414" spans="6:6" x14ac:dyDescent="0.25">
      <c r="F442414" s="9">
        <v>3</v>
      </c>
    </row>
    <row r="442415" spans="6:6" x14ac:dyDescent="0.25">
      <c r="F442415" s="9">
        <v>3</v>
      </c>
    </row>
    <row r="442416" spans="6:6" x14ac:dyDescent="0.25">
      <c r="F442416" s="9">
        <v>3</v>
      </c>
    </row>
    <row r="442417" spans="6:6" x14ac:dyDescent="0.25">
      <c r="F442417" s="9">
        <v>6</v>
      </c>
    </row>
    <row r="442418" spans="6:6" x14ac:dyDescent="0.25">
      <c r="F442418" s="9">
        <v>1</v>
      </c>
    </row>
    <row r="442419" spans="6:6" x14ac:dyDescent="0.25">
      <c r="F442419" s="9">
        <v>5</v>
      </c>
    </row>
    <row r="442420" spans="6:6" x14ac:dyDescent="0.25">
      <c r="F442420" s="9">
        <v>6</v>
      </c>
    </row>
    <row r="442421" spans="6:6" x14ac:dyDescent="0.25">
      <c r="F442421" s="9">
        <v>4</v>
      </c>
    </row>
    <row r="442422" spans="6:6" x14ac:dyDescent="0.25">
      <c r="F442422" s="9">
        <v>3</v>
      </c>
    </row>
    <row r="442423" spans="6:6" x14ac:dyDescent="0.25">
      <c r="F442423" s="9">
        <v>4</v>
      </c>
    </row>
    <row r="442424" spans="6:6" x14ac:dyDescent="0.25">
      <c r="F442424" s="9">
        <v>3</v>
      </c>
    </row>
    <row r="442425" spans="6:6" x14ac:dyDescent="0.25">
      <c r="F442425" s="9">
        <v>1</v>
      </c>
    </row>
    <row r="442426" spans="6:6" x14ac:dyDescent="0.25">
      <c r="F442426" s="9">
        <v>5</v>
      </c>
    </row>
    <row r="442427" spans="6:6" x14ac:dyDescent="0.25">
      <c r="F442427" s="9">
        <v>4</v>
      </c>
    </row>
    <row r="442428" spans="6:6" x14ac:dyDescent="0.25">
      <c r="F442428" s="9">
        <v>6</v>
      </c>
    </row>
    <row r="442429" spans="6:6" x14ac:dyDescent="0.25">
      <c r="F442429" s="9">
        <v>2</v>
      </c>
    </row>
    <row r="442430" spans="6:6" x14ac:dyDescent="0.25">
      <c r="F442430" s="9">
        <v>2</v>
      </c>
    </row>
    <row r="442431" spans="6:6" x14ac:dyDescent="0.25">
      <c r="F442431" s="9">
        <v>4</v>
      </c>
    </row>
    <row r="442432" spans="6:6" x14ac:dyDescent="0.25">
      <c r="F442432" s="9">
        <v>3</v>
      </c>
    </row>
    <row r="442433" spans="6:6" x14ac:dyDescent="0.25">
      <c r="F442433" s="9">
        <v>2</v>
      </c>
    </row>
    <row r="442434" spans="6:6" x14ac:dyDescent="0.25">
      <c r="F442434" s="9">
        <v>7</v>
      </c>
    </row>
    <row r="442435" spans="6:6" x14ac:dyDescent="0.25">
      <c r="F442435" s="9">
        <v>8</v>
      </c>
    </row>
    <row r="442436" spans="6:6" x14ac:dyDescent="0.25">
      <c r="F442436" s="9">
        <v>7</v>
      </c>
    </row>
    <row r="442437" spans="6:6" x14ac:dyDescent="0.25">
      <c r="F442437" s="9">
        <v>6</v>
      </c>
    </row>
    <row r="442438" spans="6:6" x14ac:dyDescent="0.25">
      <c r="F442438" s="9">
        <v>3</v>
      </c>
    </row>
    <row r="442439" spans="6:6" x14ac:dyDescent="0.25">
      <c r="F442439" s="9">
        <v>6</v>
      </c>
    </row>
    <row r="442440" spans="6:6" x14ac:dyDescent="0.25">
      <c r="F442440" s="9">
        <v>3</v>
      </c>
    </row>
    <row r="442441" spans="6:6" x14ac:dyDescent="0.25">
      <c r="F442441" s="9">
        <v>2</v>
      </c>
    </row>
    <row r="442442" spans="6:6" x14ac:dyDescent="0.25">
      <c r="F442442" s="9">
        <v>5</v>
      </c>
    </row>
    <row r="442443" spans="6:6" x14ac:dyDescent="0.25">
      <c r="F442443" s="9">
        <v>3</v>
      </c>
    </row>
    <row r="442444" spans="6:6" x14ac:dyDescent="0.25">
      <c r="F442444" s="9">
        <v>4</v>
      </c>
    </row>
    <row r="442445" spans="6:6" x14ac:dyDescent="0.25">
      <c r="F442445" s="9">
        <v>2</v>
      </c>
    </row>
    <row r="442446" spans="6:6" x14ac:dyDescent="0.25">
      <c r="F442446" s="9">
        <v>4</v>
      </c>
    </row>
    <row r="442447" spans="6:6" x14ac:dyDescent="0.25">
      <c r="F442447" s="9">
        <v>3</v>
      </c>
    </row>
    <row r="442448" spans="6:6" x14ac:dyDescent="0.25">
      <c r="F442448" s="9">
        <v>3</v>
      </c>
    </row>
    <row r="442449" spans="6:6" x14ac:dyDescent="0.25">
      <c r="F442449" s="9">
        <v>4</v>
      </c>
    </row>
    <row r="442450" spans="6:6" x14ac:dyDescent="0.25">
      <c r="F442450" s="9">
        <v>3</v>
      </c>
    </row>
    <row r="442451" spans="6:6" x14ac:dyDescent="0.25">
      <c r="F442451" s="9">
        <v>2</v>
      </c>
    </row>
    <row r="442452" spans="6:6" x14ac:dyDescent="0.25">
      <c r="F442452" s="9">
        <v>3</v>
      </c>
    </row>
    <row r="442453" spans="6:6" x14ac:dyDescent="0.25">
      <c r="F442453" s="9">
        <v>7</v>
      </c>
    </row>
    <row r="442454" spans="6:6" x14ac:dyDescent="0.25">
      <c r="F442454" s="9">
        <v>6</v>
      </c>
    </row>
    <row r="442455" spans="6:6" x14ac:dyDescent="0.25">
      <c r="F442455" s="9">
        <v>5</v>
      </c>
    </row>
    <row r="442456" spans="6:6" x14ac:dyDescent="0.25">
      <c r="F442456" s="9">
        <v>5</v>
      </c>
    </row>
    <row r="442457" spans="6:6" x14ac:dyDescent="0.25">
      <c r="F442457" s="9">
        <v>4</v>
      </c>
    </row>
    <row r="442458" spans="6:6" x14ac:dyDescent="0.25">
      <c r="F442458" s="9">
        <v>5</v>
      </c>
    </row>
    <row r="442459" spans="6:6" x14ac:dyDescent="0.25">
      <c r="F442459" s="9">
        <v>5</v>
      </c>
    </row>
    <row r="442460" spans="6:6" x14ac:dyDescent="0.25">
      <c r="F442460" s="9">
        <v>2</v>
      </c>
    </row>
    <row r="442461" spans="6:6" x14ac:dyDescent="0.25">
      <c r="F442461" s="9">
        <v>3</v>
      </c>
    </row>
    <row r="442462" spans="6:6" x14ac:dyDescent="0.25">
      <c r="F442462" s="9">
        <v>2</v>
      </c>
    </row>
    <row r="442463" spans="6:6" x14ac:dyDescent="0.25">
      <c r="F442463" s="9">
        <v>3</v>
      </c>
    </row>
    <row r="442464" spans="6:6" x14ac:dyDescent="0.25">
      <c r="F442464" s="9">
        <v>4</v>
      </c>
    </row>
    <row r="442465" spans="6:6" x14ac:dyDescent="0.25">
      <c r="F442465" s="9">
        <v>4</v>
      </c>
    </row>
    <row r="442466" spans="6:6" x14ac:dyDescent="0.25">
      <c r="F442466" s="9">
        <v>2</v>
      </c>
    </row>
    <row r="442467" spans="6:6" x14ac:dyDescent="0.25">
      <c r="F442467" s="9">
        <v>3</v>
      </c>
    </row>
    <row r="442468" spans="6:6" x14ac:dyDescent="0.25">
      <c r="F442468" s="9">
        <v>3</v>
      </c>
    </row>
    <row r="442469" spans="6:6" x14ac:dyDescent="0.25">
      <c r="F442469" s="9">
        <v>3</v>
      </c>
    </row>
    <row r="442470" spans="6:6" x14ac:dyDescent="0.25">
      <c r="F442470" s="9">
        <v>2</v>
      </c>
    </row>
    <row r="442471" spans="6:6" x14ac:dyDescent="0.25">
      <c r="F442471" s="9">
        <v>3</v>
      </c>
    </row>
    <row r="442472" spans="6:6" x14ac:dyDescent="0.25">
      <c r="F442472" s="9">
        <v>3</v>
      </c>
    </row>
    <row r="442473" spans="6:6" x14ac:dyDescent="0.25">
      <c r="F442473" s="9">
        <v>3</v>
      </c>
    </row>
    <row r="442474" spans="6:6" x14ac:dyDescent="0.25">
      <c r="F442474" s="9">
        <v>4</v>
      </c>
    </row>
    <row r="442475" spans="6:6" x14ac:dyDescent="0.25">
      <c r="F442475" s="9">
        <v>4</v>
      </c>
    </row>
    <row r="442476" spans="6:6" x14ac:dyDescent="0.25">
      <c r="F442476" s="9">
        <v>2</v>
      </c>
    </row>
    <row r="442477" spans="6:6" x14ac:dyDescent="0.25">
      <c r="F442477" s="9">
        <v>3</v>
      </c>
    </row>
    <row r="442478" spans="6:6" x14ac:dyDescent="0.25">
      <c r="F442478" s="9">
        <v>1</v>
      </c>
    </row>
    <row r="442479" spans="6:6" x14ac:dyDescent="0.25">
      <c r="F442479" s="9">
        <v>1</v>
      </c>
    </row>
    <row r="442480" spans="6:6" x14ac:dyDescent="0.25">
      <c r="F442480" s="9">
        <v>1</v>
      </c>
    </row>
    <row r="442481" spans="6:6" x14ac:dyDescent="0.25">
      <c r="F442481" s="9" t="s">
        <v>133</v>
      </c>
    </row>
    <row r="442482" spans="6:6" x14ac:dyDescent="0.25">
      <c r="F442482" s="6" t="s">
        <v>172</v>
      </c>
    </row>
    <row r="442483" spans="6:6" x14ac:dyDescent="0.25">
      <c r="F442483" s="9" t="s">
        <v>263</v>
      </c>
    </row>
    <row r="442484" spans="6:6" x14ac:dyDescent="0.25">
      <c r="F442484" s="33" t="s">
        <v>264</v>
      </c>
    </row>
    <row r="458753" spans="6:6" x14ac:dyDescent="0.25">
      <c r="F458753" s="84"/>
    </row>
    <row r="458754" spans="6:6" x14ac:dyDescent="0.25">
      <c r="F458754" s="46"/>
    </row>
    <row r="458755" spans="6:6" x14ac:dyDescent="0.25">
      <c r="F458755" s="9">
        <v>4</v>
      </c>
    </row>
    <row r="458756" spans="6:6" x14ac:dyDescent="0.25">
      <c r="F458756" s="9">
        <v>6</v>
      </c>
    </row>
    <row r="458757" spans="6:6" x14ac:dyDescent="0.25">
      <c r="F458757" s="9">
        <v>6</v>
      </c>
    </row>
    <row r="458758" spans="6:6" x14ac:dyDescent="0.25">
      <c r="F458758" s="9">
        <v>6</v>
      </c>
    </row>
    <row r="458759" spans="6:6" x14ac:dyDescent="0.25">
      <c r="F458759" s="9">
        <v>4</v>
      </c>
    </row>
    <row r="458760" spans="6:6" x14ac:dyDescent="0.25">
      <c r="F458760" s="9">
        <v>4</v>
      </c>
    </row>
    <row r="458761" spans="6:6" x14ac:dyDescent="0.25">
      <c r="F458761" s="9">
        <v>5</v>
      </c>
    </row>
    <row r="458762" spans="6:6" x14ac:dyDescent="0.25">
      <c r="F458762" s="9">
        <v>5</v>
      </c>
    </row>
    <row r="458763" spans="6:6" x14ac:dyDescent="0.25">
      <c r="F458763" s="9">
        <v>10</v>
      </c>
    </row>
    <row r="458764" spans="6:6" x14ac:dyDescent="0.25">
      <c r="F458764" s="9">
        <v>8</v>
      </c>
    </row>
    <row r="458765" spans="6:6" x14ac:dyDescent="0.25">
      <c r="F458765" s="9">
        <v>9</v>
      </c>
    </row>
    <row r="458766" spans="6:6" x14ac:dyDescent="0.25">
      <c r="F458766" s="9">
        <v>8</v>
      </c>
    </row>
    <row r="458767" spans="6:6" x14ac:dyDescent="0.25">
      <c r="F458767" s="9">
        <v>8</v>
      </c>
    </row>
    <row r="458768" spans="6:6" x14ac:dyDescent="0.25">
      <c r="F458768" s="9">
        <v>8</v>
      </c>
    </row>
    <row r="458769" spans="6:6" x14ac:dyDescent="0.25">
      <c r="F458769" s="9">
        <v>8</v>
      </c>
    </row>
    <row r="458770" spans="6:6" x14ac:dyDescent="0.25">
      <c r="F458770" s="9">
        <v>5</v>
      </c>
    </row>
    <row r="458771" spans="6:6" x14ac:dyDescent="0.25">
      <c r="F458771" s="9">
        <v>5</v>
      </c>
    </row>
    <row r="458772" spans="6:6" x14ac:dyDescent="0.25">
      <c r="F458772" s="9">
        <v>7</v>
      </c>
    </row>
    <row r="458773" spans="6:6" x14ac:dyDescent="0.25">
      <c r="F458773" s="9">
        <v>5</v>
      </c>
    </row>
    <row r="458774" spans="6:6" x14ac:dyDescent="0.25">
      <c r="F458774" s="9">
        <v>5</v>
      </c>
    </row>
    <row r="458775" spans="6:6" x14ac:dyDescent="0.25">
      <c r="F458775" s="9">
        <v>5</v>
      </c>
    </row>
    <row r="458776" spans="6:6" x14ac:dyDescent="0.25">
      <c r="F458776" s="9">
        <v>4</v>
      </c>
    </row>
    <row r="458777" spans="6:6" x14ac:dyDescent="0.25">
      <c r="F458777" s="9">
        <v>6</v>
      </c>
    </row>
    <row r="458778" spans="6:6" x14ac:dyDescent="0.25">
      <c r="F458778" s="9">
        <v>4</v>
      </c>
    </row>
    <row r="458779" spans="6:6" x14ac:dyDescent="0.25">
      <c r="F458779" s="9">
        <v>4</v>
      </c>
    </row>
    <row r="458780" spans="6:6" x14ac:dyDescent="0.25">
      <c r="F458780" s="9">
        <v>6</v>
      </c>
    </row>
    <row r="458781" spans="6:6" x14ac:dyDescent="0.25">
      <c r="F458781" s="9">
        <v>4</v>
      </c>
    </row>
    <row r="458782" spans="6:6" x14ac:dyDescent="0.25">
      <c r="F458782" s="9">
        <v>6</v>
      </c>
    </row>
    <row r="458783" spans="6:6" x14ac:dyDescent="0.25">
      <c r="F458783" s="9">
        <v>4</v>
      </c>
    </row>
    <row r="458784" spans="6:6" x14ac:dyDescent="0.25">
      <c r="F458784" s="9">
        <v>6</v>
      </c>
    </row>
    <row r="458785" spans="6:6" x14ac:dyDescent="0.25">
      <c r="F458785" s="9">
        <v>4</v>
      </c>
    </row>
    <row r="458786" spans="6:6" x14ac:dyDescent="0.25">
      <c r="F458786" s="9">
        <v>6</v>
      </c>
    </row>
    <row r="458787" spans="6:6" x14ac:dyDescent="0.25">
      <c r="F458787" s="9">
        <v>6</v>
      </c>
    </row>
    <row r="458788" spans="6:6" x14ac:dyDescent="0.25">
      <c r="F458788" s="9">
        <v>5</v>
      </c>
    </row>
    <row r="458789" spans="6:6" x14ac:dyDescent="0.25">
      <c r="F458789" s="9">
        <v>3</v>
      </c>
    </row>
    <row r="458790" spans="6:6" x14ac:dyDescent="0.25">
      <c r="F458790" s="9">
        <v>4</v>
      </c>
    </row>
    <row r="458791" spans="6:6" x14ac:dyDescent="0.25">
      <c r="F458791" s="9">
        <v>4</v>
      </c>
    </row>
    <row r="458792" spans="6:6" x14ac:dyDescent="0.25">
      <c r="F458792" s="9">
        <v>5</v>
      </c>
    </row>
    <row r="458793" spans="6:6" x14ac:dyDescent="0.25">
      <c r="F458793" s="9">
        <v>5</v>
      </c>
    </row>
    <row r="458794" spans="6:6" x14ac:dyDescent="0.25">
      <c r="F458794" s="9">
        <v>2</v>
      </c>
    </row>
    <row r="458795" spans="6:6" x14ac:dyDescent="0.25">
      <c r="F458795" s="9">
        <v>6</v>
      </c>
    </row>
    <row r="458796" spans="6:6" x14ac:dyDescent="0.25">
      <c r="F458796" s="9">
        <v>7</v>
      </c>
    </row>
    <row r="458797" spans="6:6" x14ac:dyDescent="0.25">
      <c r="F458797" s="9">
        <v>3</v>
      </c>
    </row>
    <row r="458798" spans="6:6" x14ac:dyDescent="0.25">
      <c r="F458798" s="9">
        <v>3</v>
      </c>
    </row>
    <row r="458799" spans="6:6" x14ac:dyDescent="0.25">
      <c r="F458799" s="9">
        <v>3</v>
      </c>
    </row>
    <row r="458800" spans="6:6" x14ac:dyDescent="0.25">
      <c r="F458800" s="9">
        <v>3</v>
      </c>
    </row>
    <row r="458801" spans="6:6" x14ac:dyDescent="0.25">
      <c r="F458801" s="9">
        <v>6</v>
      </c>
    </row>
    <row r="458802" spans="6:6" x14ac:dyDescent="0.25">
      <c r="F458802" s="9">
        <v>1</v>
      </c>
    </row>
    <row r="458803" spans="6:6" x14ac:dyDescent="0.25">
      <c r="F458803" s="9">
        <v>5</v>
      </c>
    </row>
    <row r="458804" spans="6:6" x14ac:dyDescent="0.25">
      <c r="F458804" s="9">
        <v>6</v>
      </c>
    </row>
    <row r="458805" spans="6:6" x14ac:dyDescent="0.25">
      <c r="F458805" s="9">
        <v>4</v>
      </c>
    </row>
    <row r="458806" spans="6:6" x14ac:dyDescent="0.25">
      <c r="F458806" s="9">
        <v>3</v>
      </c>
    </row>
    <row r="458807" spans="6:6" x14ac:dyDescent="0.25">
      <c r="F458807" s="9">
        <v>4</v>
      </c>
    </row>
    <row r="458808" spans="6:6" x14ac:dyDescent="0.25">
      <c r="F458808" s="9">
        <v>3</v>
      </c>
    </row>
    <row r="458809" spans="6:6" x14ac:dyDescent="0.25">
      <c r="F458809" s="9">
        <v>1</v>
      </c>
    </row>
    <row r="458810" spans="6:6" x14ac:dyDescent="0.25">
      <c r="F458810" s="9">
        <v>5</v>
      </c>
    </row>
    <row r="458811" spans="6:6" x14ac:dyDescent="0.25">
      <c r="F458811" s="9">
        <v>4</v>
      </c>
    </row>
    <row r="458812" spans="6:6" x14ac:dyDescent="0.25">
      <c r="F458812" s="9">
        <v>6</v>
      </c>
    </row>
    <row r="458813" spans="6:6" x14ac:dyDescent="0.25">
      <c r="F458813" s="9">
        <v>2</v>
      </c>
    </row>
    <row r="458814" spans="6:6" x14ac:dyDescent="0.25">
      <c r="F458814" s="9">
        <v>2</v>
      </c>
    </row>
    <row r="458815" spans="6:6" x14ac:dyDescent="0.25">
      <c r="F458815" s="9">
        <v>4</v>
      </c>
    </row>
    <row r="458816" spans="6:6" x14ac:dyDescent="0.25">
      <c r="F458816" s="9">
        <v>3</v>
      </c>
    </row>
    <row r="458817" spans="6:6" x14ac:dyDescent="0.25">
      <c r="F458817" s="9">
        <v>2</v>
      </c>
    </row>
    <row r="458818" spans="6:6" x14ac:dyDescent="0.25">
      <c r="F458818" s="9">
        <v>7</v>
      </c>
    </row>
    <row r="458819" spans="6:6" x14ac:dyDescent="0.25">
      <c r="F458819" s="9">
        <v>8</v>
      </c>
    </row>
    <row r="458820" spans="6:6" x14ac:dyDescent="0.25">
      <c r="F458820" s="9">
        <v>7</v>
      </c>
    </row>
    <row r="458821" spans="6:6" x14ac:dyDescent="0.25">
      <c r="F458821" s="9">
        <v>6</v>
      </c>
    </row>
    <row r="458822" spans="6:6" x14ac:dyDescent="0.25">
      <c r="F458822" s="9">
        <v>3</v>
      </c>
    </row>
    <row r="458823" spans="6:6" x14ac:dyDescent="0.25">
      <c r="F458823" s="9">
        <v>6</v>
      </c>
    </row>
    <row r="458824" spans="6:6" x14ac:dyDescent="0.25">
      <c r="F458824" s="9">
        <v>3</v>
      </c>
    </row>
    <row r="458825" spans="6:6" x14ac:dyDescent="0.25">
      <c r="F458825" s="9">
        <v>2</v>
      </c>
    </row>
    <row r="458826" spans="6:6" x14ac:dyDescent="0.25">
      <c r="F458826" s="9">
        <v>5</v>
      </c>
    </row>
    <row r="458827" spans="6:6" x14ac:dyDescent="0.25">
      <c r="F458827" s="9">
        <v>3</v>
      </c>
    </row>
    <row r="458828" spans="6:6" x14ac:dyDescent="0.25">
      <c r="F458828" s="9">
        <v>4</v>
      </c>
    </row>
    <row r="458829" spans="6:6" x14ac:dyDescent="0.25">
      <c r="F458829" s="9">
        <v>2</v>
      </c>
    </row>
    <row r="458830" spans="6:6" x14ac:dyDescent="0.25">
      <c r="F458830" s="9">
        <v>4</v>
      </c>
    </row>
    <row r="458831" spans="6:6" x14ac:dyDescent="0.25">
      <c r="F458831" s="9">
        <v>3</v>
      </c>
    </row>
    <row r="458832" spans="6:6" x14ac:dyDescent="0.25">
      <c r="F458832" s="9">
        <v>3</v>
      </c>
    </row>
    <row r="458833" spans="6:6" x14ac:dyDescent="0.25">
      <c r="F458833" s="9">
        <v>4</v>
      </c>
    </row>
    <row r="458834" spans="6:6" x14ac:dyDescent="0.25">
      <c r="F458834" s="9">
        <v>3</v>
      </c>
    </row>
    <row r="458835" spans="6:6" x14ac:dyDescent="0.25">
      <c r="F458835" s="9">
        <v>2</v>
      </c>
    </row>
    <row r="458836" spans="6:6" x14ac:dyDescent="0.25">
      <c r="F458836" s="9">
        <v>3</v>
      </c>
    </row>
    <row r="458837" spans="6:6" x14ac:dyDescent="0.25">
      <c r="F458837" s="9">
        <v>7</v>
      </c>
    </row>
    <row r="458838" spans="6:6" x14ac:dyDescent="0.25">
      <c r="F458838" s="9">
        <v>6</v>
      </c>
    </row>
    <row r="458839" spans="6:6" x14ac:dyDescent="0.25">
      <c r="F458839" s="9">
        <v>5</v>
      </c>
    </row>
    <row r="458840" spans="6:6" x14ac:dyDescent="0.25">
      <c r="F458840" s="9">
        <v>5</v>
      </c>
    </row>
    <row r="458841" spans="6:6" x14ac:dyDescent="0.25">
      <c r="F458841" s="9">
        <v>4</v>
      </c>
    </row>
    <row r="458842" spans="6:6" x14ac:dyDescent="0.25">
      <c r="F458842" s="9">
        <v>5</v>
      </c>
    </row>
    <row r="458843" spans="6:6" x14ac:dyDescent="0.25">
      <c r="F458843" s="9">
        <v>5</v>
      </c>
    </row>
    <row r="458844" spans="6:6" x14ac:dyDescent="0.25">
      <c r="F458844" s="9">
        <v>2</v>
      </c>
    </row>
    <row r="458845" spans="6:6" x14ac:dyDescent="0.25">
      <c r="F458845" s="9">
        <v>3</v>
      </c>
    </row>
    <row r="458846" spans="6:6" x14ac:dyDescent="0.25">
      <c r="F458846" s="9">
        <v>2</v>
      </c>
    </row>
    <row r="458847" spans="6:6" x14ac:dyDescent="0.25">
      <c r="F458847" s="9">
        <v>3</v>
      </c>
    </row>
    <row r="458848" spans="6:6" x14ac:dyDescent="0.25">
      <c r="F458848" s="9">
        <v>4</v>
      </c>
    </row>
    <row r="458849" spans="6:6" x14ac:dyDescent="0.25">
      <c r="F458849" s="9">
        <v>4</v>
      </c>
    </row>
    <row r="458850" spans="6:6" x14ac:dyDescent="0.25">
      <c r="F458850" s="9">
        <v>2</v>
      </c>
    </row>
    <row r="458851" spans="6:6" x14ac:dyDescent="0.25">
      <c r="F458851" s="9">
        <v>3</v>
      </c>
    </row>
    <row r="458852" spans="6:6" x14ac:dyDescent="0.25">
      <c r="F458852" s="9">
        <v>3</v>
      </c>
    </row>
    <row r="458853" spans="6:6" x14ac:dyDescent="0.25">
      <c r="F458853" s="9">
        <v>3</v>
      </c>
    </row>
    <row r="458854" spans="6:6" x14ac:dyDescent="0.25">
      <c r="F458854" s="9">
        <v>2</v>
      </c>
    </row>
    <row r="458855" spans="6:6" x14ac:dyDescent="0.25">
      <c r="F458855" s="9">
        <v>3</v>
      </c>
    </row>
    <row r="458856" spans="6:6" x14ac:dyDescent="0.25">
      <c r="F458856" s="9">
        <v>3</v>
      </c>
    </row>
    <row r="458857" spans="6:6" x14ac:dyDescent="0.25">
      <c r="F458857" s="9">
        <v>3</v>
      </c>
    </row>
    <row r="458858" spans="6:6" x14ac:dyDescent="0.25">
      <c r="F458858" s="9">
        <v>4</v>
      </c>
    </row>
    <row r="458859" spans="6:6" x14ac:dyDescent="0.25">
      <c r="F458859" s="9">
        <v>4</v>
      </c>
    </row>
    <row r="458860" spans="6:6" x14ac:dyDescent="0.25">
      <c r="F458860" s="9">
        <v>2</v>
      </c>
    </row>
    <row r="458861" spans="6:6" x14ac:dyDescent="0.25">
      <c r="F458861" s="9">
        <v>3</v>
      </c>
    </row>
    <row r="458862" spans="6:6" x14ac:dyDescent="0.25">
      <c r="F458862" s="9">
        <v>1</v>
      </c>
    </row>
    <row r="458863" spans="6:6" x14ac:dyDescent="0.25">
      <c r="F458863" s="9">
        <v>1</v>
      </c>
    </row>
    <row r="458864" spans="6:6" x14ac:dyDescent="0.25">
      <c r="F458864" s="9">
        <v>1</v>
      </c>
    </row>
    <row r="458865" spans="6:6" x14ac:dyDescent="0.25">
      <c r="F458865" s="9" t="s">
        <v>133</v>
      </c>
    </row>
    <row r="458866" spans="6:6" x14ac:dyDescent="0.25">
      <c r="F458866" s="6" t="s">
        <v>172</v>
      </c>
    </row>
    <row r="458867" spans="6:6" x14ac:dyDescent="0.25">
      <c r="F458867" s="9" t="s">
        <v>263</v>
      </c>
    </row>
    <row r="458868" spans="6:6" x14ac:dyDescent="0.25">
      <c r="F458868" s="33" t="s">
        <v>264</v>
      </c>
    </row>
    <row r="475137" spans="6:6" x14ac:dyDescent="0.25">
      <c r="F475137" s="84"/>
    </row>
    <row r="475138" spans="6:6" x14ac:dyDescent="0.25">
      <c r="F475138" s="46"/>
    </row>
    <row r="475139" spans="6:6" x14ac:dyDescent="0.25">
      <c r="F475139" s="9">
        <v>4</v>
      </c>
    </row>
    <row r="475140" spans="6:6" x14ac:dyDescent="0.25">
      <c r="F475140" s="9">
        <v>6</v>
      </c>
    </row>
    <row r="475141" spans="6:6" x14ac:dyDescent="0.25">
      <c r="F475141" s="9">
        <v>6</v>
      </c>
    </row>
    <row r="475142" spans="6:6" x14ac:dyDescent="0.25">
      <c r="F475142" s="9">
        <v>6</v>
      </c>
    </row>
    <row r="475143" spans="6:6" x14ac:dyDescent="0.25">
      <c r="F475143" s="9">
        <v>4</v>
      </c>
    </row>
    <row r="475144" spans="6:6" x14ac:dyDescent="0.25">
      <c r="F475144" s="9">
        <v>4</v>
      </c>
    </row>
    <row r="475145" spans="6:6" x14ac:dyDescent="0.25">
      <c r="F475145" s="9">
        <v>5</v>
      </c>
    </row>
    <row r="475146" spans="6:6" x14ac:dyDescent="0.25">
      <c r="F475146" s="9">
        <v>5</v>
      </c>
    </row>
    <row r="475147" spans="6:6" x14ac:dyDescent="0.25">
      <c r="F475147" s="9">
        <v>10</v>
      </c>
    </row>
    <row r="475148" spans="6:6" x14ac:dyDescent="0.25">
      <c r="F475148" s="9">
        <v>8</v>
      </c>
    </row>
    <row r="475149" spans="6:6" x14ac:dyDescent="0.25">
      <c r="F475149" s="9">
        <v>9</v>
      </c>
    </row>
    <row r="475150" spans="6:6" x14ac:dyDescent="0.25">
      <c r="F475150" s="9">
        <v>8</v>
      </c>
    </row>
    <row r="475151" spans="6:6" x14ac:dyDescent="0.25">
      <c r="F475151" s="9">
        <v>8</v>
      </c>
    </row>
    <row r="475152" spans="6:6" x14ac:dyDescent="0.25">
      <c r="F475152" s="9">
        <v>8</v>
      </c>
    </row>
    <row r="475153" spans="6:6" x14ac:dyDescent="0.25">
      <c r="F475153" s="9">
        <v>8</v>
      </c>
    </row>
    <row r="475154" spans="6:6" x14ac:dyDescent="0.25">
      <c r="F475154" s="9">
        <v>5</v>
      </c>
    </row>
    <row r="475155" spans="6:6" x14ac:dyDescent="0.25">
      <c r="F475155" s="9">
        <v>5</v>
      </c>
    </row>
    <row r="475156" spans="6:6" x14ac:dyDescent="0.25">
      <c r="F475156" s="9">
        <v>7</v>
      </c>
    </row>
    <row r="475157" spans="6:6" x14ac:dyDescent="0.25">
      <c r="F475157" s="9">
        <v>5</v>
      </c>
    </row>
    <row r="475158" spans="6:6" x14ac:dyDescent="0.25">
      <c r="F475158" s="9">
        <v>5</v>
      </c>
    </row>
    <row r="475159" spans="6:6" x14ac:dyDescent="0.25">
      <c r="F475159" s="9">
        <v>5</v>
      </c>
    </row>
    <row r="475160" spans="6:6" x14ac:dyDescent="0.25">
      <c r="F475160" s="9">
        <v>4</v>
      </c>
    </row>
    <row r="475161" spans="6:6" x14ac:dyDescent="0.25">
      <c r="F475161" s="9">
        <v>6</v>
      </c>
    </row>
    <row r="475162" spans="6:6" x14ac:dyDescent="0.25">
      <c r="F475162" s="9">
        <v>4</v>
      </c>
    </row>
    <row r="475163" spans="6:6" x14ac:dyDescent="0.25">
      <c r="F475163" s="9">
        <v>4</v>
      </c>
    </row>
    <row r="475164" spans="6:6" x14ac:dyDescent="0.25">
      <c r="F475164" s="9">
        <v>6</v>
      </c>
    </row>
    <row r="475165" spans="6:6" x14ac:dyDescent="0.25">
      <c r="F475165" s="9">
        <v>4</v>
      </c>
    </row>
    <row r="475166" spans="6:6" x14ac:dyDescent="0.25">
      <c r="F475166" s="9">
        <v>6</v>
      </c>
    </row>
    <row r="475167" spans="6:6" x14ac:dyDescent="0.25">
      <c r="F475167" s="9">
        <v>4</v>
      </c>
    </row>
    <row r="475168" spans="6:6" x14ac:dyDescent="0.25">
      <c r="F475168" s="9">
        <v>6</v>
      </c>
    </row>
    <row r="475169" spans="6:6" x14ac:dyDescent="0.25">
      <c r="F475169" s="9">
        <v>4</v>
      </c>
    </row>
    <row r="475170" spans="6:6" x14ac:dyDescent="0.25">
      <c r="F475170" s="9">
        <v>6</v>
      </c>
    </row>
    <row r="475171" spans="6:6" x14ac:dyDescent="0.25">
      <c r="F475171" s="9">
        <v>6</v>
      </c>
    </row>
    <row r="475172" spans="6:6" x14ac:dyDescent="0.25">
      <c r="F475172" s="9">
        <v>5</v>
      </c>
    </row>
    <row r="475173" spans="6:6" x14ac:dyDescent="0.25">
      <c r="F475173" s="9">
        <v>3</v>
      </c>
    </row>
    <row r="475174" spans="6:6" x14ac:dyDescent="0.25">
      <c r="F475174" s="9">
        <v>4</v>
      </c>
    </row>
    <row r="475175" spans="6:6" x14ac:dyDescent="0.25">
      <c r="F475175" s="9">
        <v>4</v>
      </c>
    </row>
    <row r="475176" spans="6:6" x14ac:dyDescent="0.25">
      <c r="F475176" s="9">
        <v>5</v>
      </c>
    </row>
    <row r="475177" spans="6:6" x14ac:dyDescent="0.25">
      <c r="F475177" s="9">
        <v>5</v>
      </c>
    </row>
    <row r="475178" spans="6:6" x14ac:dyDescent="0.25">
      <c r="F475178" s="9">
        <v>2</v>
      </c>
    </row>
    <row r="475179" spans="6:6" x14ac:dyDescent="0.25">
      <c r="F475179" s="9">
        <v>6</v>
      </c>
    </row>
    <row r="475180" spans="6:6" x14ac:dyDescent="0.25">
      <c r="F475180" s="9">
        <v>7</v>
      </c>
    </row>
    <row r="475181" spans="6:6" x14ac:dyDescent="0.25">
      <c r="F475181" s="9">
        <v>3</v>
      </c>
    </row>
    <row r="475182" spans="6:6" x14ac:dyDescent="0.25">
      <c r="F475182" s="9">
        <v>3</v>
      </c>
    </row>
    <row r="475183" spans="6:6" x14ac:dyDescent="0.25">
      <c r="F475183" s="9">
        <v>3</v>
      </c>
    </row>
    <row r="475184" spans="6:6" x14ac:dyDescent="0.25">
      <c r="F475184" s="9">
        <v>3</v>
      </c>
    </row>
    <row r="475185" spans="6:6" x14ac:dyDescent="0.25">
      <c r="F475185" s="9">
        <v>6</v>
      </c>
    </row>
    <row r="475186" spans="6:6" x14ac:dyDescent="0.25">
      <c r="F475186" s="9">
        <v>1</v>
      </c>
    </row>
    <row r="475187" spans="6:6" x14ac:dyDescent="0.25">
      <c r="F475187" s="9">
        <v>5</v>
      </c>
    </row>
    <row r="475188" spans="6:6" x14ac:dyDescent="0.25">
      <c r="F475188" s="9">
        <v>6</v>
      </c>
    </row>
    <row r="475189" spans="6:6" x14ac:dyDescent="0.25">
      <c r="F475189" s="9">
        <v>4</v>
      </c>
    </row>
    <row r="475190" spans="6:6" x14ac:dyDescent="0.25">
      <c r="F475190" s="9">
        <v>3</v>
      </c>
    </row>
    <row r="475191" spans="6:6" x14ac:dyDescent="0.25">
      <c r="F475191" s="9">
        <v>4</v>
      </c>
    </row>
    <row r="475192" spans="6:6" x14ac:dyDescent="0.25">
      <c r="F475192" s="9">
        <v>3</v>
      </c>
    </row>
    <row r="475193" spans="6:6" x14ac:dyDescent="0.25">
      <c r="F475193" s="9">
        <v>1</v>
      </c>
    </row>
    <row r="475194" spans="6:6" x14ac:dyDescent="0.25">
      <c r="F475194" s="9">
        <v>5</v>
      </c>
    </row>
    <row r="475195" spans="6:6" x14ac:dyDescent="0.25">
      <c r="F475195" s="9">
        <v>4</v>
      </c>
    </row>
    <row r="475196" spans="6:6" x14ac:dyDescent="0.25">
      <c r="F475196" s="9">
        <v>6</v>
      </c>
    </row>
    <row r="475197" spans="6:6" x14ac:dyDescent="0.25">
      <c r="F475197" s="9">
        <v>2</v>
      </c>
    </row>
    <row r="475198" spans="6:6" x14ac:dyDescent="0.25">
      <c r="F475198" s="9">
        <v>2</v>
      </c>
    </row>
    <row r="475199" spans="6:6" x14ac:dyDescent="0.25">
      <c r="F475199" s="9">
        <v>4</v>
      </c>
    </row>
    <row r="475200" spans="6:6" x14ac:dyDescent="0.25">
      <c r="F475200" s="9">
        <v>3</v>
      </c>
    </row>
    <row r="475201" spans="6:6" x14ac:dyDescent="0.25">
      <c r="F475201" s="9">
        <v>2</v>
      </c>
    </row>
    <row r="475202" spans="6:6" x14ac:dyDescent="0.25">
      <c r="F475202" s="9">
        <v>7</v>
      </c>
    </row>
    <row r="475203" spans="6:6" x14ac:dyDescent="0.25">
      <c r="F475203" s="9">
        <v>8</v>
      </c>
    </row>
    <row r="475204" spans="6:6" x14ac:dyDescent="0.25">
      <c r="F475204" s="9">
        <v>7</v>
      </c>
    </row>
    <row r="475205" spans="6:6" x14ac:dyDescent="0.25">
      <c r="F475205" s="9">
        <v>6</v>
      </c>
    </row>
    <row r="475206" spans="6:6" x14ac:dyDescent="0.25">
      <c r="F475206" s="9">
        <v>3</v>
      </c>
    </row>
    <row r="475207" spans="6:6" x14ac:dyDescent="0.25">
      <c r="F475207" s="9">
        <v>6</v>
      </c>
    </row>
    <row r="475208" spans="6:6" x14ac:dyDescent="0.25">
      <c r="F475208" s="9">
        <v>3</v>
      </c>
    </row>
    <row r="475209" spans="6:6" x14ac:dyDescent="0.25">
      <c r="F475209" s="9">
        <v>2</v>
      </c>
    </row>
    <row r="475210" spans="6:6" x14ac:dyDescent="0.25">
      <c r="F475210" s="9">
        <v>5</v>
      </c>
    </row>
    <row r="475211" spans="6:6" x14ac:dyDescent="0.25">
      <c r="F475211" s="9">
        <v>3</v>
      </c>
    </row>
    <row r="475212" spans="6:6" x14ac:dyDescent="0.25">
      <c r="F475212" s="9">
        <v>4</v>
      </c>
    </row>
    <row r="475213" spans="6:6" x14ac:dyDescent="0.25">
      <c r="F475213" s="9">
        <v>2</v>
      </c>
    </row>
    <row r="475214" spans="6:6" x14ac:dyDescent="0.25">
      <c r="F475214" s="9">
        <v>4</v>
      </c>
    </row>
    <row r="475215" spans="6:6" x14ac:dyDescent="0.25">
      <c r="F475215" s="9">
        <v>3</v>
      </c>
    </row>
    <row r="475216" spans="6:6" x14ac:dyDescent="0.25">
      <c r="F475216" s="9">
        <v>3</v>
      </c>
    </row>
    <row r="475217" spans="6:6" x14ac:dyDescent="0.25">
      <c r="F475217" s="9">
        <v>4</v>
      </c>
    </row>
    <row r="475218" spans="6:6" x14ac:dyDescent="0.25">
      <c r="F475218" s="9">
        <v>3</v>
      </c>
    </row>
    <row r="475219" spans="6:6" x14ac:dyDescent="0.25">
      <c r="F475219" s="9">
        <v>2</v>
      </c>
    </row>
    <row r="475220" spans="6:6" x14ac:dyDescent="0.25">
      <c r="F475220" s="9">
        <v>3</v>
      </c>
    </row>
    <row r="475221" spans="6:6" x14ac:dyDescent="0.25">
      <c r="F475221" s="9">
        <v>7</v>
      </c>
    </row>
    <row r="475222" spans="6:6" x14ac:dyDescent="0.25">
      <c r="F475222" s="9">
        <v>6</v>
      </c>
    </row>
    <row r="475223" spans="6:6" x14ac:dyDescent="0.25">
      <c r="F475223" s="9">
        <v>5</v>
      </c>
    </row>
    <row r="475224" spans="6:6" x14ac:dyDescent="0.25">
      <c r="F475224" s="9">
        <v>5</v>
      </c>
    </row>
    <row r="475225" spans="6:6" x14ac:dyDescent="0.25">
      <c r="F475225" s="9">
        <v>4</v>
      </c>
    </row>
    <row r="475226" spans="6:6" x14ac:dyDescent="0.25">
      <c r="F475226" s="9">
        <v>5</v>
      </c>
    </row>
    <row r="475227" spans="6:6" x14ac:dyDescent="0.25">
      <c r="F475227" s="9">
        <v>5</v>
      </c>
    </row>
    <row r="475228" spans="6:6" x14ac:dyDescent="0.25">
      <c r="F475228" s="9">
        <v>2</v>
      </c>
    </row>
    <row r="475229" spans="6:6" x14ac:dyDescent="0.25">
      <c r="F475229" s="9">
        <v>3</v>
      </c>
    </row>
    <row r="475230" spans="6:6" x14ac:dyDescent="0.25">
      <c r="F475230" s="9">
        <v>2</v>
      </c>
    </row>
    <row r="475231" spans="6:6" x14ac:dyDescent="0.25">
      <c r="F475231" s="9">
        <v>3</v>
      </c>
    </row>
    <row r="475232" spans="6:6" x14ac:dyDescent="0.25">
      <c r="F475232" s="9">
        <v>4</v>
      </c>
    </row>
    <row r="475233" spans="6:6" x14ac:dyDescent="0.25">
      <c r="F475233" s="9">
        <v>4</v>
      </c>
    </row>
    <row r="475234" spans="6:6" x14ac:dyDescent="0.25">
      <c r="F475234" s="9">
        <v>2</v>
      </c>
    </row>
    <row r="475235" spans="6:6" x14ac:dyDescent="0.25">
      <c r="F475235" s="9">
        <v>3</v>
      </c>
    </row>
    <row r="475236" spans="6:6" x14ac:dyDescent="0.25">
      <c r="F475236" s="9">
        <v>3</v>
      </c>
    </row>
    <row r="475237" spans="6:6" x14ac:dyDescent="0.25">
      <c r="F475237" s="9">
        <v>3</v>
      </c>
    </row>
    <row r="475238" spans="6:6" x14ac:dyDescent="0.25">
      <c r="F475238" s="9">
        <v>2</v>
      </c>
    </row>
    <row r="475239" spans="6:6" x14ac:dyDescent="0.25">
      <c r="F475239" s="9">
        <v>3</v>
      </c>
    </row>
    <row r="475240" spans="6:6" x14ac:dyDescent="0.25">
      <c r="F475240" s="9">
        <v>3</v>
      </c>
    </row>
    <row r="475241" spans="6:6" x14ac:dyDescent="0.25">
      <c r="F475241" s="9">
        <v>3</v>
      </c>
    </row>
    <row r="475242" spans="6:6" x14ac:dyDescent="0.25">
      <c r="F475242" s="9">
        <v>4</v>
      </c>
    </row>
    <row r="475243" spans="6:6" x14ac:dyDescent="0.25">
      <c r="F475243" s="9">
        <v>4</v>
      </c>
    </row>
    <row r="475244" spans="6:6" x14ac:dyDescent="0.25">
      <c r="F475244" s="9">
        <v>2</v>
      </c>
    </row>
    <row r="475245" spans="6:6" x14ac:dyDescent="0.25">
      <c r="F475245" s="9">
        <v>3</v>
      </c>
    </row>
    <row r="475246" spans="6:6" x14ac:dyDescent="0.25">
      <c r="F475246" s="9">
        <v>1</v>
      </c>
    </row>
    <row r="475247" spans="6:6" x14ac:dyDescent="0.25">
      <c r="F475247" s="9">
        <v>1</v>
      </c>
    </row>
    <row r="475248" spans="6:6" x14ac:dyDescent="0.25">
      <c r="F475248" s="9">
        <v>1</v>
      </c>
    </row>
    <row r="475249" spans="6:6" x14ac:dyDescent="0.25">
      <c r="F475249" s="9" t="s">
        <v>133</v>
      </c>
    </row>
    <row r="475250" spans="6:6" x14ac:dyDescent="0.25">
      <c r="F475250" s="6" t="s">
        <v>172</v>
      </c>
    </row>
    <row r="475251" spans="6:6" x14ac:dyDescent="0.25">
      <c r="F475251" s="9" t="s">
        <v>263</v>
      </c>
    </row>
    <row r="475252" spans="6:6" x14ac:dyDescent="0.25">
      <c r="F475252" s="33" t="s">
        <v>264</v>
      </c>
    </row>
    <row r="491521" spans="6:6" x14ac:dyDescent="0.25">
      <c r="F491521" s="84"/>
    </row>
    <row r="491522" spans="6:6" x14ac:dyDescent="0.25">
      <c r="F491522" s="46"/>
    </row>
    <row r="491523" spans="6:6" x14ac:dyDescent="0.25">
      <c r="F491523" s="9">
        <v>4</v>
      </c>
    </row>
    <row r="491524" spans="6:6" x14ac:dyDescent="0.25">
      <c r="F491524" s="9">
        <v>6</v>
      </c>
    </row>
    <row r="491525" spans="6:6" x14ac:dyDescent="0.25">
      <c r="F491525" s="9">
        <v>6</v>
      </c>
    </row>
    <row r="491526" spans="6:6" x14ac:dyDescent="0.25">
      <c r="F491526" s="9">
        <v>6</v>
      </c>
    </row>
    <row r="491527" spans="6:6" x14ac:dyDescent="0.25">
      <c r="F491527" s="9">
        <v>4</v>
      </c>
    </row>
    <row r="491528" spans="6:6" x14ac:dyDescent="0.25">
      <c r="F491528" s="9">
        <v>4</v>
      </c>
    </row>
    <row r="491529" spans="6:6" x14ac:dyDescent="0.25">
      <c r="F491529" s="9">
        <v>5</v>
      </c>
    </row>
    <row r="491530" spans="6:6" x14ac:dyDescent="0.25">
      <c r="F491530" s="9">
        <v>5</v>
      </c>
    </row>
    <row r="491531" spans="6:6" x14ac:dyDescent="0.25">
      <c r="F491531" s="9">
        <v>10</v>
      </c>
    </row>
    <row r="491532" spans="6:6" x14ac:dyDescent="0.25">
      <c r="F491532" s="9">
        <v>8</v>
      </c>
    </row>
    <row r="491533" spans="6:6" x14ac:dyDescent="0.25">
      <c r="F491533" s="9">
        <v>9</v>
      </c>
    </row>
    <row r="491534" spans="6:6" x14ac:dyDescent="0.25">
      <c r="F491534" s="9">
        <v>8</v>
      </c>
    </row>
    <row r="491535" spans="6:6" x14ac:dyDescent="0.25">
      <c r="F491535" s="9">
        <v>8</v>
      </c>
    </row>
    <row r="491536" spans="6:6" x14ac:dyDescent="0.25">
      <c r="F491536" s="9">
        <v>8</v>
      </c>
    </row>
    <row r="491537" spans="6:6" x14ac:dyDescent="0.25">
      <c r="F491537" s="9">
        <v>8</v>
      </c>
    </row>
    <row r="491538" spans="6:6" x14ac:dyDescent="0.25">
      <c r="F491538" s="9">
        <v>5</v>
      </c>
    </row>
    <row r="491539" spans="6:6" x14ac:dyDescent="0.25">
      <c r="F491539" s="9">
        <v>5</v>
      </c>
    </row>
    <row r="491540" spans="6:6" x14ac:dyDescent="0.25">
      <c r="F491540" s="9">
        <v>7</v>
      </c>
    </row>
    <row r="491541" spans="6:6" x14ac:dyDescent="0.25">
      <c r="F491541" s="9">
        <v>5</v>
      </c>
    </row>
    <row r="491542" spans="6:6" x14ac:dyDescent="0.25">
      <c r="F491542" s="9">
        <v>5</v>
      </c>
    </row>
    <row r="491543" spans="6:6" x14ac:dyDescent="0.25">
      <c r="F491543" s="9">
        <v>5</v>
      </c>
    </row>
    <row r="491544" spans="6:6" x14ac:dyDescent="0.25">
      <c r="F491544" s="9">
        <v>4</v>
      </c>
    </row>
    <row r="491545" spans="6:6" x14ac:dyDescent="0.25">
      <c r="F491545" s="9">
        <v>6</v>
      </c>
    </row>
    <row r="491546" spans="6:6" x14ac:dyDescent="0.25">
      <c r="F491546" s="9">
        <v>4</v>
      </c>
    </row>
    <row r="491547" spans="6:6" x14ac:dyDescent="0.25">
      <c r="F491547" s="9">
        <v>4</v>
      </c>
    </row>
    <row r="491548" spans="6:6" x14ac:dyDescent="0.25">
      <c r="F491548" s="9">
        <v>6</v>
      </c>
    </row>
    <row r="491549" spans="6:6" x14ac:dyDescent="0.25">
      <c r="F491549" s="9">
        <v>4</v>
      </c>
    </row>
    <row r="491550" spans="6:6" x14ac:dyDescent="0.25">
      <c r="F491550" s="9">
        <v>6</v>
      </c>
    </row>
    <row r="491551" spans="6:6" x14ac:dyDescent="0.25">
      <c r="F491551" s="9">
        <v>4</v>
      </c>
    </row>
    <row r="491552" spans="6:6" x14ac:dyDescent="0.25">
      <c r="F491552" s="9">
        <v>6</v>
      </c>
    </row>
    <row r="491553" spans="6:6" x14ac:dyDescent="0.25">
      <c r="F491553" s="9">
        <v>4</v>
      </c>
    </row>
    <row r="491554" spans="6:6" x14ac:dyDescent="0.25">
      <c r="F491554" s="9">
        <v>6</v>
      </c>
    </row>
    <row r="491555" spans="6:6" x14ac:dyDescent="0.25">
      <c r="F491555" s="9">
        <v>6</v>
      </c>
    </row>
    <row r="491556" spans="6:6" x14ac:dyDescent="0.25">
      <c r="F491556" s="9">
        <v>5</v>
      </c>
    </row>
    <row r="491557" spans="6:6" x14ac:dyDescent="0.25">
      <c r="F491557" s="9">
        <v>3</v>
      </c>
    </row>
    <row r="491558" spans="6:6" x14ac:dyDescent="0.25">
      <c r="F491558" s="9">
        <v>4</v>
      </c>
    </row>
    <row r="491559" spans="6:6" x14ac:dyDescent="0.25">
      <c r="F491559" s="9">
        <v>4</v>
      </c>
    </row>
    <row r="491560" spans="6:6" x14ac:dyDescent="0.25">
      <c r="F491560" s="9">
        <v>5</v>
      </c>
    </row>
    <row r="491561" spans="6:6" x14ac:dyDescent="0.25">
      <c r="F491561" s="9">
        <v>5</v>
      </c>
    </row>
    <row r="491562" spans="6:6" x14ac:dyDescent="0.25">
      <c r="F491562" s="9">
        <v>2</v>
      </c>
    </row>
    <row r="491563" spans="6:6" x14ac:dyDescent="0.25">
      <c r="F491563" s="9">
        <v>6</v>
      </c>
    </row>
    <row r="491564" spans="6:6" x14ac:dyDescent="0.25">
      <c r="F491564" s="9">
        <v>7</v>
      </c>
    </row>
    <row r="491565" spans="6:6" x14ac:dyDescent="0.25">
      <c r="F491565" s="9">
        <v>3</v>
      </c>
    </row>
    <row r="491566" spans="6:6" x14ac:dyDescent="0.25">
      <c r="F491566" s="9">
        <v>3</v>
      </c>
    </row>
    <row r="491567" spans="6:6" x14ac:dyDescent="0.25">
      <c r="F491567" s="9">
        <v>3</v>
      </c>
    </row>
    <row r="491568" spans="6:6" x14ac:dyDescent="0.25">
      <c r="F491568" s="9">
        <v>3</v>
      </c>
    </row>
    <row r="491569" spans="6:6" x14ac:dyDescent="0.25">
      <c r="F491569" s="9">
        <v>6</v>
      </c>
    </row>
    <row r="491570" spans="6:6" x14ac:dyDescent="0.25">
      <c r="F491570" s="9">
        <v>1</v>
      </c>
    </row>
    <row r="491571" spans="6:6" x14ac:dyDescent="0.25">
      <c r="F491571" s="9">
        <v>5</v>
      </c>
    </row>
    <row r="491572" spans="6:6" x14ac:dyDescent="0.25">
      <c r="F491572" s="9">
        <v>6</v>
      </c>
    </row>
    <row r="491573" spans="6:6" x14ac:dyDescent="0.25">
      <c r="F491573" s="9">
        <v>4</v>
      </c>
    </row>
    <row r="491574" spans="6:6" x14ac:dyDescent="0.25">
      <c r="F491574" s="9">
        <v>3</v>
      </c>
    </row>
    <row r="491575" spans="6:6" x14ac:dyDescent="0.25">
      <c r="F491575" s="9">
        <v>4</v>
      </c>
    </row>
    <row r="491576" spans="6:6" x14ac:dyDescent="0.25">
      <c r="F491576" s="9">
        <v>3</v>
      </c>
    </row>
    <row r="491577" spans="6:6" x14ac:dyDescent="0.25">
      <c r="F491577" s="9">
        <v>1</v>
      </c>
    </row>
    <row r="491578" spans="6:6" x14ac:dyDescent="0.25">
      <c r="F491578" s="9">
        <v>5</v>
      </c>
    </row>
    <row r="491579" spans="6:6" x14ac:dyDescent="0.25">
      <c r="F491579" s="9">
        <v>4</v>
      </c>
    </row>
    <row r="491580" spans="6:6" x14ac:dyDescent="0.25">
      <c r="F491580" s="9">
        <v>6</v>
      </c>
    </row>
    <row r="491581" spans="6:6" x14ac:dyDescent="0.25">
      <c r="F491581" s="9">
        <v>2</v>
      </c>
    </row>
    <row r="491582" spans="6:6" x14ac:dyDescent="0.25">
      <c r="F491582" s="9">
        <v>2</v>
      </c>
    </row>
    <row r="491583" spans="6:6" x14ac:dyDescent="0.25">
      <c r="F491583" s="9">
        <v>4</v>
      </c>
    </row>
    <row r="491584" spans="6:6" x14ac:dyDescent="0.25">
      <c r="F491584" s="9">
        <v>3</v>
      </c>
    </row>
    <row r="491585" spans="6:6" x14ac:dyDescent="0.25">
      <c r="F491585" s="9">
        <v>2</v>
      </c>
    </row>
    <row r="491586" spans="6:6" x14ac:dyDescent="0.25">
      <c r="F491586" s="9">
        <v>7</v>
      </c>
    </row>
    <row r="491587" spans="6:6" x14ac:dyDescent="0.25">
      <c r="F491587" s="9">
        <v>8</v>
      </c>
    </row>
    <row r="491588" spans="6:6" x14ac:dyDescent="0.25">
      <c r="F491588" s="9">
        <v>7</v>
      </c>
    </row>
    <row r="491589" spans="6:6" x14ac:dyDescent="0.25">
      <c r="F491589" s="9">
        <v>6</v>
      </c>
    </row>
    <row r="491590" spans="6:6" x14ac:dyDescent="0.25">
      <c r="F491590" s="9">
        <v>3</v>
      </c>
    </row>
    <row r="491591" spans="6:6" x14ac:dyDescent="0.25">
      <c r="F491591" s="9">
        <v>6</v>
      </c>
    </row>
    <row r="491592" spans="6:6" x14ac:dyDescent="0.25">
      <c r="F491592" s="9">
        <v>3</v>
      </c>
    </row>
    <row r="491593" spans="6:6" x14ac:dyDescent="0.25">
      <c r="F491593" s="9">
        <v>2</v>
      </c>
    </row>
    <row r="491594" spans="6:6" x14ac:dyDescent="0.25">
      <c r="F491594" s="9">
        <v>5</v>
      </c>
    </row>
    <row r="491595" spans="6:6" x14ac:dyDescent="0.25">
      <c r="F491595" s="9">
        <v>3</v>
      </c>
    </row>
    <row r="491596" spans="6:6" x14ac:dyDescent="0.25">
      <c r="F491596" s="9">
        <v>4</v>
      </c>
    </row>
    <row r="491597" spans="6:6" x14ac:dyDescent="0.25">
      <c r="F491597" s="9">
        <v>2</v>
      </c>
    </row>
    <row r="491598" spans="6:6" x14ac:dyDescent="0.25">
      <c r="F491598" s="9">
        <v>4</v>
      </c>
    </row>
    <row r="491599" spans="6:6" x14ac:dyDescent="0.25">
      <c r="F491599" s="9">
        <v>3</v>
      </c>
    </row>
    <row r="491600" spans="6:6" x14ac:dyDescent="0.25">
      <c r="F491600" s="9">
        <v>3</v>
      </c>
    </row>
    <row r="491601" spans="6:6" x14ac:dyDescent="0.25">
      <c r="F491601" s="9">
        <v>4</v>
      </c>
    </row>
    <row r="491602" spans="6:6" x14ac:dyDescent="0.25">
      <c r="F491602" s="9">
        <v>3</v>
      </c>
    </row>
    <row r="491603" spans="6:6" x14ac:dyDescent="0.25">
      <c r="F491603" s="9">
        <v>2</v>
      </c>
    </row>
    <row r="491604" spans="6:6" x14ac:dyDescent="0.25">
      <c r="F491604" s="9">
        <v>3</v>
      </c>
    </row>
    <row r="491605" spans="6:6" x14ac:dyDescent="0.25">
      <c r="F491605" s="9">
        <v>7</v>
      </c>
    </row>
    <row r="491606" spans="6:6" x14ac:dyDescent="0.25">
      <c r="F491606" s="9">
        <v>6</v>
      </c>
    </row>
    <row r="491607" spans="6:6" x14ac:dyDescent="0.25">
      <c r="F491607" s="9">
        <v>5</v>
      </c>
    </row>
    <row r="491608" spans="6:6" x14ac:dyDescent="0.25">
      <c r="F491608" s="9">
        <v>5</v>
      </c>
    </row>
    <row r="491609" spans="6:6" x14ac:dyDescent="0.25">
      <c r="F491609" s="9">
        <v>4</v>
      </c>
    </row>
    <row r="491610" spans="6:6" x14ac:dyDescent="0.25">
      <c r="F491610" s="9">
        <v>5</v>
      </c>
    </row>
    <row r="491611" spans="6:6" x14ac:dyDescent="0.25">
      <c r="F491611" s="9">
        <v>5</v>
      </c>
    </row>
    <row r="491612" spans="6:6" x14ac:dyDescent="0.25">
      <c r="F491612" s="9">
        <v>2</v>
      </c>
    </row>
    <row r="491613" spans="6:6" x14ac:dyDescent="0.25">
      <c r="F491613" s="9">
        <v>3</v>
      </c>
    </row>
    <row r="491614" spans="6:6" x14ac:dyDescent="0.25">
      <c r="F491614" s="9">
        <v>2</v>
      </c>
    </row>
    <row r="491615" spans="6:6" x14ac:dyDescent="0.25">
      <c r="F491615" s="9">
        <v>3</v>
      </c>
    </row>
    <row r="491616" spans="6:6" x14ac:dyDescent="0.25">
      <c r="F491616" s="9">
        <v>4</v>
      </c>
    </row>
    <row r="491617" spans="6:6" x14ac:dyDescent="0.25">
      <c r="F491617" s="9">
        <v>4</v>
      </c>
    </row>
    <row r="491618" spans="6:6" x14ac:dyDescent="0.25">
      <c r="F491618" s="9">
        <v>2</v>
      </c>
    </row>
    <row r="491619" spans="6:6" x14ac:dyDescent="0.25">
      <c r="F491619" s="9">
        <v>3</v>
      </c>
    </row>
    <row r="491620" spans="6:6" x14ac:dyDescent="0.25">
      <c r="F491620" s="9">
        <v>3</v>
      </c>
    </row>
    <row r="491621" spans="6:6" x14ac:dyDescent="0.25">
      <c r="F491621" s="9">
        <v>3</v>
      </c>
    </row>
    <row r="491622" spans="6:6" x14ac:dyDescent="0.25">
      <c r="F491622" s="9">
        <v>2</v>
      </c>
    </row>
    <row r="491623" spans="6:6" x14ac:dyDescent="0.25">
      <c r="F491623" s="9">
        <v>3</v>
      </c>
    </row>
    <row r="491624" spans="6:6" x14ac:dyDescent="0.25">
      <c r="F491624" s="9">
        <v>3</v>
      </c>
    </row>
    <row r="491625" spans="6:6" x14ac:dyDescent="0.25">
      <c r="F491625" s="9">
        <v>3</v>
      </c>
    </row>
    <row r="491626" spans="6:6" x14ac:dyDescent="0.25">
      <c r="F491626" s="9">
        <v>4</v>
      </c>
    </row>
    <row r="491627" spans="6:6" x14ac:dyDescent="0.25">
      <c r="F491627" s="9">
        <v>4</v>
      </c>
    </row>
    <row r="491628" spans="6:6" x14ac:dyDescent="0.25">
      <c r="F491628" s="9">
        <v>2</v>
      </c>
    </row>
    <row r="491629" spans="6:6" x14ac:dyDescent="0.25">
      <c r="F491629" s="9">
        <v>3</v>
      </c>
    </row>
    <row r="491630" spans="6:6" x14ac:dyDescent="0.25">
      <c r="F491630" s="9">
        <v>1</v>
      </c>
    </row>
    <row r="491631" spans="6:6" x14ac:dyDescent="0.25">
      <c r="F491631" s="9">
        <v>1</v>
      </c>
    </row>
    <row r="491632" spans="6:6" x14ac:dyDescent="0.25">
      <c r="F491632" s="9">
        <v>1</v>
      </c>
    </row>
    <row r="491633" spans="6:6" x14ac:dyDescent="0.25">
      <c r="F491633" s="9" t="s">
        <v>133</v>
      </c>
    </row>
    <row r="491634" spans="6:6" x14ac:dyDescent="0.25">
      <c r="F491634" s="6" t="s">
        <v>172</v>
      </c>
    </row>
    <row r="491635" spans="6:6" x14ac:dyDescent="0.25">
      <c r="F491635" s="9" t="s">
        <v>263</v>
      </c>
    </row>
    <row r="491636" spans="6:6" x14ac:dyDescent="0.25">
      <c r="F491636" s="33" t="s">
        <v>264</v>
      </c>
    </row>
    <row r="507905" spans="6:6" x14ac:dyDescent="0.25">
      <c r="F507905" s="84"/>
    </row>
    <row r="507906" spans="6:6" x14ac:dyDescent="0.25">
      <c r="F507906" s="46"/>
    </row>
    <row r="507907" spans="6:6" x14ac:dyDescent="0.25">
      <c r="F507907" s="9">
        <v>4</v>
      </c>
    </row>
    <row r="507908" spans="6:6" x14ac:dyDescent="0.25">
      <c r="F507908" s="9">
        <v>6</v>
      </c>
    </row>
    <row r="507909" spans="6:6" x14ac:dyDescent="0.25">
      <c r="F507909" s="9">
        <v>6</v>
      </c>
    </row>
    <row r="507910" spans="6:6" x14ac:dyDescent="0.25">
      <c r="F507910" s="9">
        <v>6</v>
      </c>
    </row>
    <row r="507911" spans="6:6" x14ac:dyDescent="0.25">
      <c r="F507911" s="9">
        <v>4</v>
      </c>
    </row>
    <row r="507912" spans="6:6" x14ac:dyDescent="0.25">
      <c r="F507912" s="9">
        <v>4</v>
      </c>
    </row>
    <row r="507913" spans="6:6" x14ac:dyDescent="0.25">
      <c r="F507913" s="9">
        <v>5</v>
      </c>
    </row>
    <row r="507914" spans="6:6" x14ac:dyDescent="0.25">
      <c r="F507914" s="9">
        <v>5</v>
      </c>
    </row>
    <row r="507915" spans="6:6" x14ac:dyDescent="0.25">
      <c r="F507915" s="9">
        <v>10</v>
      </c>
    </row>
    <row r="507916" spans="6:6" x14ac:dyDescent="0.25">
      <c r="F507916" s="9">
        <v>8</v>
      </c>
    </row>
    <row r="507917" spans="6:6" x14ac:dyDescent="0.25">
      <c r="F507917" s="9">
        <v>9</v>
      </c>
    </row>
    <row r="507918" spans="6:6" x14ac:dyDescent="0.25">
      <c r="F507918" s="9">
        <v>8</v>
      </c>
    </row>
    <row r="507919" spans="6:6" x14ac:dyDescent="0.25">
      <c r="F507919" s="9">
        <v>8</v>
      </c>
    </row>
    <row r="507920" spans="6:6" x14ac:dyDescent="0.25">
      <c r="F507920" s="9">
        <v>8</v>
      </c>
    </row>
    <row r="507921" spans="6:6" x14ac:dyDescent="0.25">
      <c r="F507921" s="9">
        <v>8</v>
      </c>
    </row>
    <row r="507922" spans="6:6" x14ac:dyDescent="0.25">
      <c r="F507922" s="9">
        <v>5</v>
      </c>
    </row>
    <row r="507923" spans="6:6" x14ac:dyDescent="0.25">
      <c r="F507923" s="9">
        <v>5</v>
      </c>
    </row>
    <row r="507924" spans="6:6" x14ac:dyDescent="0.25">
      <c r="F507924" s="9">
        <v>7</v>
      </c>
    </row>
    <row r="507925" spans="6:6" x14ac:dyDescent="0.25">
      <c r="F507925" s="9">
        <v>5</v>
      </c>
    </row>
    <row r="507926" spans="6:6" x14ac:dyDescent="0.25">
      <c r="F507926" s="9">
        <v>5</v>
      </c>
    </row>
    <row r="507927" spans="6:6" x14ac:dyDescent="0.25">
      <c r="F507927" s="9">
        <v>5</v>
      </c>
    </row>
    <row r="507928" spans="6:6" x14ac:dyDescent="0.25">
      <c r="F507928" s="9">
        <v>4</v>
      </c>
    </row>
    <row r="507929" spans="6:6" x14ac:dyDescent="0.25">
      <c r="F507929" s="9">
        <v>6</v>
      </c>
    </row>
    <row r="507930" spans="6:6" x14ac:dyDescent="0.25">
      <c r="F507930" s="9">
        <v>4</v>
      </c>
    </row>
    <row r="507931" spans="6:6" x14ac:dyDescent="0.25">
      <c r="F507931" s="9">
        <v>4</v>
      </c>
    </row>
    <row r="507932" spans="6:6" x14ac:dyDescent="0.25">
      <c r="F507932" s="9">
        <v>6</v>
      </c>
    </row>
    <row r="507933" spans="6:6" x14ac:dyDescent="0.25">
      <c r="F507933" s="9">
        <v>4</v>
      </c>
    </row>
    <row r="507934" spans="6:6" x14ac:dyDescent="0.25">
      <c r="F507934" s="9">
        <v>6</v>
      </c>
    </row>
    <row r="507935" spans="6:6" x14ac:dyDescent="0.25">
      <c r="F507935" s="9">
        <v>4</v>
      </c>
    </row>
    <row r="507936" spans="6:6" x14ac:dyDescent="0.25">
      <c r="F507936" s="9">
        <v>6</v>
      </c>
    </row>
    <row r="507937" spans="6:6" x14ac:dyDescent="0.25">
      <c r="F507937" s="9">
        <v>4</v>
      </c>
    </row>
    <row r="507938" spans="6:6" x14ac:dyDescent="0.25">
      <c r="F507938" s="9">
        <v>6</v>
      </c>
    </row>
    <row r="507939" spans="6:6" x14ac:dyDescent="0.25">
      <c r="F507939" s="9">
        <v>6</v>
      </c>
    </row>
    <row r="507940" spans="6:6" x14ac:dyDescent="0.25">
      <c r="F507940" s="9">
        <v>5</v>
      </c>
    </row>
    <row r="507941" spans="6:6" x14ac:dyDescent="0.25">
      <c r="F507941" s="9">
        <v>3</v>
      </c>
    </row>
    <row r="507942" spans="6:6" x14ac:dyDescent="0.25">
      <c r="F507942" s="9">
        <v>4</v>
      </c>
    </row>
    <row r="507943" spans="6:6" x14ac:dyDescent="0.25">
      <c r="F507943" s="9">
        <v>4</v>
      </c>
    </row>
    <row r="507944" spans="6:6" x14ac:dyDescent="0.25">
      <c r="F507944" s="9">
        <v>5</v>
      </c>
    </row>
    <row r="507945" spans="6:6" x14ac:dyDescent="0.25">
      <c r="F507945" s="9">
        <v>5</v>
      </c>
    </row>
    <row r="507946" spans="6:6" x14ac:dyDescent="0.25">
      <c r="F507946" s="9">
        <v>2</v>
      </c>
    </row>
    <row r="507947" spans="6:6" x14ac:dyDescent="0.25">
      <c r="F507947" s="9">
        <v>6</v>
      </c>
    </row>
    <row r="507948" spans="6:6" x14ac:dyDescent="0.25">
      <c r="F507948" s="9">
        <v>7</v>
      </c>
    </row>
    <row r="507949" spans="6:6" x14ac:dyDescent="0.25">
      <c r="F507949" s="9">
        <v>3</v>
      </c>
    </row>
    <row r="507950" spans="6:6" x14ac:dyDescent="0.25">
      <c r="F507950" s="9">
        <v>3</v>
      </c>
    </row>
    <row r="507951" spans="6:6" x14ac:dyDescent="0.25">
      <c r="F507951" s="9">
        <v>3</v>
      </c>
    </row>
    <row r="507952" spans="6:6" x14ac:dyDescent="0.25">
      <c r="F507952" s="9">
        <v>3</v>
      </c>
    </row>
    <row r="507953" spans="6:6" x14ac:dyDescent="0.25">
      <c r="F507953" s="9">
        <v>6</v>
      </c>
    </row>
    <row r="507954" spans="6:6" x14ac:dyDescent="0.25">
      <c r="F507954" s="9">
        <v>1</v>
      </c>
    </row>
    <row r="507955" spans="6:6" x14ac:dyDescent="0.25">
      <c r="F507955" s="9">
        <v>5</v>
      </c>
    </row>
    <row r="507956" spans="6:6" x14ac:dyDescent="0.25">
      <c r="F507956" s="9">
        <v>6</v>
      </c>
    </row>
    <row r="507957" spans="6:6" x14ac:dyDescent="0.25">
      <c r="F507957" s="9">
        <v>4</v>
      </c>
    </row>
    <row r="507958" spans="6:6" x14ac:dyDescent="0.25">
      <c r="F507958" s="9">
        <v>3</v>
      </c>
    </row>
    <row r="507959" spans="6:6" x14ac:dyDescent="0.25">
      <c r="F507959" s="9">
        <v>4</v>
      </c>
    </row>
    <row r="507960" spans="6:6" x14ac:dyDescent="0.25">
      <c r="F507960" s="9">
        <v>3</v>
      </c>
    </row>
    <row r="507961" spans="6:6" x14ac:dyDescent="0.25">
      <c r="F507961" s="9">
        <v>1</v>
      </c>
    </row>
    <row r="507962" spans="6:6" x14ac:dyDescent="0.25">
      <c r="F507962" s="9">
        <v>5</v>
      </c>
    </row>
    <row r="507963" spans="6:6" x14ac:dyDescent="0.25">
      <c r="F507963" s="9">
        <v>4</v>
      </c>
    </row>
    <row r="507964" spans="6:6" x14ac:dyDescent="0.25">
      <c r="F507964" s="9">
        <v>6</v>
      </c>
    </row>
    <row r="507965" spans="6:6" x14ac:dyDescent="0.25">
      <c r="F507965" s="9">
        <v>2</v>
      </c>
    </row>
    <row r="507966" spans="6:6" x14ac:dyDescent="0.25">
      <c r="F507966" s="9">
        <v>2</v>
      </c>
    </row>
    <row r="507967" spans="6:6" x14ac:dyDescent="0.25">
      <c r="F507967" s="9">
        <v>4</v>
      </c>
    </row>
    <row r="507968" spans="6:6" x14ac:dyDescent="0.25">
      <c r="F507968" s="9">
        <v>3</v>
      </c>
    </row>
    <row r="507969" spans="6:6" x14ac:dyDescent="0.25">
      <c r="F507969" s="9">
        <v>2</v>
      </c>
    </row>
    <row r="507970" spans="6:6" x14ac:dyDescent="0.25">
      <c r="F507970" s="9">
        <v>7</v>
      </c>
    </row>
    <row r="507971" spans="6:6" x14ac:dyDescent="0.25">
      <c r="F507971" s="9">
        <v>8</v>
      </c>
    </row>
    <row r="507972" spans="6:6" x14ac:dyDescent="0.25">
      <c r="F507972" s="9">
        <v>7</v>
      </c>
    </row>
    <row r="507973" spans="6:6" x14ac:dyDescent="0.25">
      <c r="F507973" s="9">
        <v>6</v>
      </c>
    </row>
    <row r="507974" spans="6:6" x14ac:dyDescent="0.25">
      <c r="F507974" s="9">
        <v>3</v>
      </c>
    </row>
    <row r="507975" spans="6:6" x14ac:dyDescent="0.25">
      <c r="F507975" s="9">
        <v>6</v>
      </c>
    </row>
    <row r="507976" spans="6:6" x14ac:dyDescent="0.25">
      <c r="F507976" s="9">
        <v>3</v>
      </c>
    </row>
    <row r="507977" spans="6:6" x14ac:dyDescent="0.25">
      <c r="F507977" s="9">
        <v>2</v>
      </c>
    </row>
    <row r="507978" spans="6:6" x14ac:dyDescent="0.25">
      <c r="F507978" s="9">
        <v>5</v>
      </c>
    </row>
    <row r="507979" spans="6:6" x14ac:dyDescent="0.25">
      <c r="F507979" s="9">
        <v>3</v>
      </c>
    </row>
    <row r="507980" spans="6:6" x14ac:dyDescent="0.25">
      <c r="F507980" s="9">
        <v>4</v>
      </c>
    </row>
    <row r="507981" spans="6:6" x14ac:dyDescent="0.25">
      <c r="F507981" s="9">
        <v>2</v>
      </c>
    </row>
    <row r="507982" spans="6:6" x14ac:dyDescent="0.25">
      <c r="F507982" s="9">
        <v>4</v>
      </c>
    </row>
    <row r="507983" spans="6:6" x14ac:dyDescent="0.25">
      <c r="F507983" s="9">
        <v>3</v>
      </c>
    </row>
    <row r="507984" spans="6:6" x14ac:dyDescent="0.25">
      <c r="F507984" s="9">
        <v>3</v>
      </c>
    </row>
    <row r="507985" spans="6:6" x14ac:dyDescent="0.25">
      <c r="F507985" s="9">
        <v>4</v>
      </c>
    </row>
    <row r="507986" spans="6:6" x14ac:dyDescent="0.25">
      <c r="F507986" s="9">
        <v>3</v>
      </c>
    </row>
    <row r="507987" spans="6:6" x14ac:dyDescent="0.25">
      <c r="F507987" s="9">
        <v>2</v>
      </c>
    </row>
    <row r="507988" spans="6:6" x14ac:dyDescent="0.25">
      <c r="F507988" s="9">
        <v>3</v>
      </c>
    </row>
    <row r="507989" spans="6:6" x14ac:dyDescent="0.25">
      <c r="F507989" s="9">
        <v>7</v>
      </c>
    </row>
    <row r="507990" spans="6:6" x14ac:dyDescent="0.25">
      <c r="F507990" s="9">
        <v>6</v>
      </c>
    </row>
    <row r="507991" spans="6:6" x14ac:dyDescent="0.25">
      <c r="F507991" s="9">
        <v>5</v>
      </c>
    </row>
    <row r="507992" spans="6:6" x14ac:dyDescent="0.25">
      <c r="F507992" s="9">
        <v>5</v>
      </c>
    </row>
    <row r="507993" spans="6:6" x14ac:dyDescent="0.25">
      <c r="F507993" s="9">
        <v>4</v>
      </c>
    </row>
    <row r="507994" spans="6:6" x14ac:dyDescent="0.25">
      <c r="F507994" s="9">
        <v>5</v>
      </c>
    </row>
    <row r="507995" spans="6:6" x14ac:dyDescent="0.25">
      <c r="F507995" s="9">
        <v>5</v>
      </c>
    </row>
    <row r="507996" spans="6:6" x14ac:dyDescent="0.25">
      <c r="F507996" s="9">
        <v>2</v>
      </c>
    </row>
    <row r="507997" spans="6:6" x14ac:dyDescent="0.25">
      <c r="F507997" s="9">
        <v>3</v>
      </c>
    </row>
    <row r="507998" spans="6:6" x14ac:dyDescent="0.25">
      <c r="F507998" s="9">
        <v>2</v>
      </c>
    </row>
    <row r="507999" spans="6:6" x14ac:dyDescent="0.25">
      <c r="F507999" s="9">
        <v>3</v>
      </c>
    </row>
    <row r="508000" spans="6:6" x14ac:dyDescent="0.25">
      <c r="F508000" s="9">
        <v>4</v>
      </c>
    </row>
    <row r="508001" spans="6:6" x14ac:dyDescent="0.25">
      <c r="F508001" s="9">
        <v>4</v>
      </c>
    </row>
    <row r="508002" spans="6:6" x14ac:dyDescent="0.25">
      <c r="F508002" s="9">
        <v>2</v>
      </c>
    </row>
    <row r="508003" spans="6:6" x14ac:dyDescent="0.25">
      <c r="F508003" s="9">
        <v>3</v>
      </c>
    </row>
    <row r="508004" spans="6:6" x14ac:dyDescent="0.25">
      <c r="F508004" s="9">
        <v>3</v>
      </c>
    </row>
    <row r="508005" spans="6:6" x14ac:dyDescent="0.25">
      <c r="F508005" s="9">
        <v>3</v>
      </c>
    </row>
    <row r="508006" spans="6:6" x14ac:dyDescent="0.25">
      <c r="F508006" s="9">
        <v>2</v>
      </c>
    </row>
    <row r="508007" spans="6:6" x14ac:dyDescent="0.25">
      <c r="F508007" s="9">
        <v>3</v>
      </c>
    </row>
    <row r="508008" spans="6:6" x14ac:dyDescent="0.25">
      <c r="F508008" s="9">
        <v>3</v>
      </c>
    </row>
    <row r="508009" spans="6:6" x14ac:dyDescent="0.25">
      <c r="F508009" s="9">
        <v>3</v>
      </c>
    </row>
    <row r="508010" spans="6:6" x14ac:dyDescent="0.25">
      <c r="F508010" s="9">
        <v>4</v>
      </c>
    </row>
    <row r="508011" spans="6:6" x14ac:dyDescent="0.25">
      <c r="F508011" s="9">
        <v>4</v>
      </c>
    </row>
    <row r="508012" spans="6:6" x14ac:dyDescent="0.25">
      <c r="F508012" s="9">
        <v>2</v>
      </c>
    </row>
    <row r="508013" spans="6:6" x14ac:dyDescent="0.25">
      <c r="F508013" s="9">
        <v>3</v>
      </c>
    </row>
    <row r="508014" spans="6:6" x14ac:dyDescent="0.25">
      <c r="F508014" s="9">
        <v>1</v>
      </c>
    </row>
    <row r="508015" spans="6:6" x14ac:dyDescent="0.25">
      <c r="F508015" s="9">
        <v>1</v>
      </c>
    </row>
    <row r="508016" spans="6:6" x14ac:dyDescent="0.25">
      <c r="F508016" s="9">
        <v>1</v>
      </c>
    </row>
    <row r="508017" spans="6:6" x14ac:dyDescent="0.25">
      <c r="F508017" s="9" t="s">
        <v>133</v>
      </c>
    </row>
    <row r="508018" spans="6:6" x14ac:dyDescent="0.25">
      <c r="F508018" s="6" t="s">
        <v>172</v>
      </c>
    </row>
    <row r="508019" spans="6:6" x14ac:dyDescent="0.25">
      <c r="F508019" s="9" t="s">
        <v>263</v>
      </c>
    </row>
    <row r="508020" spans="6:6" x14ac:dyDescent="0.25">
      <c r="F508020" s="33" t="s">
        <v>264</v>
      </c>
    </row>
    <row r="524289" spans="6:6" x14ac:dyDescent="0.25">
      <c r="F524289" s="84"/>
    </row>
    <row r="524290" spans="6:6" x14ac:dyDescent="0.25">
      <c r="F524290" s="46"/>
    </row>
    <row r="524291" spans="6:6" x14ac:dyDescent="0.25">
      <c r="F524291" s="9">
        <v>4</v>
      </c>
    </row>
    <row r="524292" spans="6:6" x14ac:dyDescent="0.25">
      <c r="F524292" s="9">
        <v>6</v>
      </c>
    </row>
    <row r="524293" spans="6:6" x14ac:dyDescent="0.25">
      <c r="F524293" s="9">
        <v>6</v>
      </c>
    </row>
    <row r="524294" spans="6:6" x14ac:dyDescent="0.25">
      <c r="F524294" s="9">
        <v>6</v>
      </c>
    </row>
    <row r="524295" spans="6:6" x14ac:dyDescent="0.25">
      <c r="F524295" s="9">
        <v>4</v>
      </c>
    </row>
    <row r="524296" spans="6:6" x14ac:dyDescent="0.25">
      <c r="F524296" s="9">
        <v>4</v>
      </c>
    </row>
    <row r="524297" spans="6:6" x14ac:dyDescent="0.25">
      <c r="F524297" s="9">
        <v>5</v>
      </c>
    </row>
    <row r="524298" spans="6:6" x14ac:dyDescent="0.25">
      <c r="F524298" s="9">
        <v>5</v>
      </c>
    </row>
    <row r="524299" spans="6:6" x14ac:dyDescent="0.25">
      <c r="F524299" s="9">
        <v>10</v>
      </c>
    </row>
    <row r="524300" spans="6:6" x14ac:dyDescent="0.25">
      <c r="F524300" s="9">
        <v>8</v>
      </c>
    </row>
    <row r="524301" spans="6:6" x14ac:dyDescent="0.25">
      <c r="F524301" s="9">
        <v>9</v>
      </c>
    </row>
    <row r="524302" spans="6:6" x14ac:dyDescent="0.25">
      <c r="F524302" s="9">
        <v>8</v>
      </c>
    </row>
    <row r="524303" spans="6:6" x14ac:dyDescent="0.25">
      <c r="F524303" s="9">
        <v>8</v>
      </c>
    </row>
    <row r="524304" spans="6:6" x14ac:dyDescent="0.25">
      <c r="F524304" s="9">
        <v>8</v>
      </c>
    </row>
    <row r="524305" spans="6:6" x14ac:dyDescent="0.25">
      <c r="F524305" s="9">
        <v>8</v>
      </c>
    </row>
    <row r="524306" spans="6:6" x14ac:dyDescent="0.25">
      <c r="F524306" s="9">
        <v>5</v>
      </c>
    </row>
    <row r="524307" spans="6:6" x14ac:dyDescent="0.25">
      <c r="F524307" s="9">
        <v>5</v>
      </c>
    </row>
    <row r="524308" spans="6:6" x14ac:dyDescent="0.25">
      <c r="F524308" s="9">
        <v>7</v>
      </c>
    </row>
    <row r="524309" spans="6:6" x14ac:dyDescent="0.25">
      <c r="F524309" s="9">
        <v>5</v>
      </c>
    </row>
    <row r="524310" spans="6:6" x14ac:dyDescent="0.25">
      <c r="F524310" s="9">
        <v>5</v>
      </c>
    </row>
    <row r="524311" spans="6:6" x14ac:dyDescent="0.25">
      <c r="F524311" s="9">
        <v>5</v>
      </c>
    </row>
    <row r="524312" spans="6:6" x14ac:dyDescent="0.25">
      <c r="F524312" s="9">
        <v>4</v>
      </c>
    </row>
    <row r="524313" spans="6:6" x14ac:dyDescent="0.25">
      <c r="F524313" s="9">
        <v>6</v>
      </c>
    </row>
    <row r="524314" spans="6:6" x14ac:dyDescent="0.25">
      <c r="F524314" s="9">
        <v>4</v>
      </c>
    </row>
    <row r="524315" spans="6:6" x14ac:dyDescent="0.25">
      <c r="F524315" s="9">
        <v>4</v>
      </c>
    </row>
    <row r="524316" spans="6:6" x14ac:dyDescent="0.25">
      <c r="F524316" s="9">
        <v>6</v>
      </c>
    </row>
    <row r="524317" spans="6:6" x14ac:dyDescent="0.25">
      <c r="F524317" s="9">
        <v>4</v>
      </c>
    </row>
    <row r="524318" spans="6:6" x14ac:dyDescent="0.25">
      <c r="F524318" s="9">
        <v>6</v>
      </c>
    </row>
    <row r="524319" spans="6:6" x14ac:dyDescent="0.25">
      <c r="F524319" s="9">
        <v>4</v>
      </c>
    </row>
    <row r="524320" spans="6:6" x14ac:dyDescent="0.25">
      <c r="F524320" s="9">
        <v>6</v>
      </c>
    </row>
    <row r="524321" spans="6:6" x14ac:dyDescent="0.25">
      <c r="F524321" s="9">
        <v>4</v>
      </c>
    </row>
    <row r="524322" spans="6:6" x14ac:dyDescent="0.25">
      <c r="F524322" s="9">
        <v>6</v>
      </c>
    </row>
    <row r="524323" spans="6:6" x14ac:dyDescent="0.25">
      <c r="F524323" s="9">
        <v>6</v>
      </c>
    </row>
    <row r="524324" spans="6:6" x14ac:dyDescent="0.25">
      <c r="F524324" s="9">
        <v>5</v>
      </c>
    </row>
    <row r="524325" spans="6:6" x14ac:dyDescent="0.25">
      <c r="F524325" s="9">
        <v>3</v>
      </c>
    </row>
    <row r="524326" spans="6:6" x14ac:dyDescent="0.25">
      <c r="F524326" s="9">
        <v>4</v>
      </c>
    </row>
    <row r="524327" spans="6:6" x14ac:dyDescent="0.25">
      <c r="F524327" s="9">
        <v>4</v>
      </c>
    </row>
    <row r="524328" spans="6:6" x14ac:dyDescent="0.25">
      <c r="F524328" s="9">
        <v>5</v>
      </c>
    </row>
    <row r="524329" spans="6:6" x14ac:dyDescent="0.25">
      <c r="F524329" s="9">
        <v>5</v>
      </c>
    </row>
    <row r="524330" spans="6:6" x14ac:dyDescent="0.25">
      <c r="F524330" s="9">
        <v>2</v>
      </c>
    </row>
    <row r="524331" spans="6:6" x14ac:dyDescent="0.25">
      <c r="F524331" s="9">
        <v>6</v>
      </c>
    </row>
    <row r="524332" spans="6:6" x14ac:dyDescent="0.25">
      <c r="F524332" s="9">
        <v>7</v>
      </c>
    </row>
    <row r="524333" spans="6:6" x14ac:dyDescent="0.25">
      <c r="F524333" s="9">
        <v>3</v>
      </c>
    </row>
    <row r="524334" spans="6:6" x14ac:dyDescent="0.25">
      <c r="F524334" s="9">
        <v>3</v>
      </c>
    </row>
    <row r="524335" spans="6:6" x14ac:dyDescent="0.25">
      <c r="F524335" s="9">
        <v>3</v>
      </c>
    </row>
    <row r="524336" spans="6:6" x14ac:dyDescent="0.25">
      <c r="F524336" s="9">
        <v>3</v>
      </c>
    </row>
    <row r="524337" spans="6:6" x14ac:dyDescent="0.25">
      <c r="F524337" s="9">
        <v>6</v>
      </c>
    </row>
    <row r="524338" spans="6:6" x14ac:dyDescent="0.25">
      <c r="F524338" s="9">
        <v>1</v>
      </c>
    </row>
    <row r="524339" spans="6:6" x14ac:dyDescent="0.25">
      <c r="F524339" s="9">
        <v>5</v>
      </c>
    </row>
    <row r="524340" spans="6:6" x14ac:dyDescent="0.25">
      <c r="F524340" s="9">
        <v>6</v>
      </c>
    </row>
    <row r="524341" spans="6:6" x14ac:dyDescent="0.25">
      <c r="F524341" s="9">
        <v>4</v>
      </c>
    </row>
    <row r="524342" spans="6:6" x14ac:dyDescent="0.25">
      <c r="F524342" s="9">
        <v>3</v>
      </c>
    </row>
    <row r="524343" spans="6:6" x14ac:dyDescent="0.25">
      <c r="F524343" s="9">
        <v>4</v>
      </c>
    </row>
    <row r="524344" spans="6:6" x14ac:dyDescent="0.25">
      <c r="F524344" s="9">
        <v>3</v>
      </c>
    </row>
    <row r="524345" spans="6:6" x14ac:dyDescent="0.25">
      <c r="F524345" s="9">
        <v>1</v>
      </c>
    </row>
    <row r="524346" spans="6:6" x14ac:dyDescent="0.25">
      <c r="F524346" s="9">
        <v>5</v>
      </c>
    </row>
    <row r="524347" spans="6:6" x14ac:dyDescent="0.25">
      <c r="F524347" s="9">
        <v>4</v>
      </c>
    </row>
    <row r="524348" spans="6:6" x14ac:dyDescent="0.25">
      <c r="F524348" s="9">
        <v>6</v>
      </c>
    </row>
    <row r="524349" spans="6:6" x14ac:dyDescent="0.25">
      <c r="F524349" s="9">
        <v>2</v>
      </c>
    </row>
    <row r="524350" spans="6:6" x14ac:dyDescent="0.25">
      <c r="F524350" s="9">
        <v>2</v>
      </c>
    </row>
    <row r="524351" spans="6:6" x14ac:dyDescent="0.25">
      <c r="F524351" s="9">
        <v>4</v>
      </c>
    </row>
    <row r="524352" spans="6:6" x14ac:dyDescent="0.25">
      <c r="F524352" s="9">
        <v>3</v>
      </c>
    </row>
    <row r="524353" spans="6:6" x14ac:dyDescent="0.25">
      <c r="F524353" s="9">
        <v>2</v>
      </c>
    </row>
    <row r="524354" spans="6:6" x14ac:dyDescent="0.25">
      <c r="F524354" s="9">
        <v>7</v>
      </c>
    </row>
    <row r="524355" spans="6:6" x14ac:dyDescent="0.25">
      <c r="F524355" s="9">
        <v>8</v>
      </c>
    </row>
    <row r="524356" spans="6:6" x14ac:dyDescent="0.25">
      <c r="F524356" s="9">
        <v>7</v>
      </c>
    </row>
    <row r="524357" spans="6:6" x14ac:dyDescent="0.25">
      <c r="F524357" s="9">
        <v>6</v>
      </c>
    </row>
    <row r="524358" spans="6:6" x14ac:dyDescent="0.25">
      <c r="F524358" s="9">
        <v>3</v>
      </c>
    </row>
    <row r="524359" spans="6:6" x14ac:dyDescent="0.25">
      <c r="F524359" s="9">
        <v>6</v>
      </c>
    </row>
    <row r="524360" spans="6:6" x14ac:dyDescent="0.25">
      <c r="F524360" s="9">
        <v>3</v>
      </c>
    </row>
    <row r="524361" spans="6:6" x14ac:dyDescent="0.25">
      <c r="F524361" s="9">
        <v>2</v>
      </c>
    </row>
    <row r="524362" spans="6:6" x14ac:dyDescent="0.25">
      <c r="F524362" s="9">
        <v>5</v>
      </c>
    </row>
    <row r="524363" spans="6:6" x14ac:dyDescent="0.25">
      <c r="F524363" s="9">
        <v>3</v>
      </c>
    </row>
    <row r="524364" spans="6:6" x14ac:dyDescent="0.25">
      <c r="F524364" s="9">
        <v>4</v>
      </c>
    </row>
    <row r="524365" spans="6:6" x14ac:dyDescent="0.25">
      <c r="F524365" s="9">
        <v>2</v>
      </c>
    </row>
    <row r="524366" spans="6:6" x14ac:dyDescent="0.25">
      <c r="F524366" s="9">
        <v>4</v>
      </c>
    </row>
    <row r="524367" spans="6:6" x14ac:dyDescent="0.25">
      <c r="F524367" s="9">
        <v>3</v>
      </c>
    </row>
    <row r="524368" spans="6:6" x14ac:dyDescent="0.25">
      <c r="F524368" s="9">
        <v>3</v>
      </c>
    </row>
    <row r="524369" spans="6:6" x14ac:dyDescent="0.25">
      <c r="F524369" s="9">
        <v>4</v>
      </c>
    </row>
    <row r="524370" spans="6:6" x14ac:dyDescent="0.25">
      <c r="F524370" s="9">
        <v>3</v>
      </c>
    </row>
    <row r="524371" spans="6:6" x14ac:dyDescent="0.25">
      <c r="F524371" s="9">
        <v>2</v>
      </c>
    </row>
    <row r="524372" spans="6:6" x14ac:dyDescent="0.25">
      <c r="F524372" s="9">
        <v>3</v>
      </c>
    </row>
    <row r="524373" spans="6:6" x14ac:dyDescent="0.25">
      <c r="F524373" s="9">
        <v>7</v>
      </c>
    </row>
    <row r="524374" spans="6:6" x14ac:dyDescent="0.25">
      <c r="F524374" s="9">
        <v>6</v>
      </c>
    </row>
    <row r="524375" spans="6:6" x14ac:dyDescent="0.25">
      <c r="F524375" s="9">
        <v>5</v>
      </c>
    </row>
    <row r="524376" spans="6:6" x14ac:dyDescent="0.25">
      <c r="F524376" s="9">
        <v>5</v>
      </c>
    </row>
    <row r="524377" spans="6:6" x14ac:dyDescent="0.25">
      <c r="F524377" s="9">
        <v>4</v>
      </c>
    </row>
    <row r="524378" spans="6:6" x14ac:dyDescent="0.25">
      <c r="F524378" s="9">
        <v>5</v>
      </c>
    </row>
    <row r="524379" spans="6:6" x14ac:dyDescent="0.25">
      <c r="F524379" s="9">
        <v>5</v>
      </c>
    </row>
    <row r="524380" spans="6:6" x14ac:dyDescent="0.25">
      <c r="F524380" s="9">
        <v>2</v>
      </c>
    </row>
    <row r="524381" spans="6:6" x14ac:dyDescent="0.25">
      <c r="F524381" s="9">
        <v>3</v>
      </c>
    </row>
    <row r="524382" spans="6:6" x14ac:dyDescent="0.25">
      <c r="F524382" s="9">
        <v>2</v>
      </c>
    </row>
    <row r="524383" spans="6:6" x14ac:dyDescent="0.25">
      <c r="F524383" s="9">
        <v>3</v>
      </c>
    </row>
    <row r="524384" spans="6:6" x14ac:dyDescent="0.25">
      <c r="F524384" s="9">
        <v>4</v>
      </c>
    </row>
    <row r="524385" spans="6:6" x14ac:dyDescent="0.25">
      <c r="F524385" s="9">
        <v>4</v>
      </c>
    </row>
    <row r="524386" spans="6:6" x14ac:dyDescent="0.25">
      <c r="F524386" s="9">
        <v>2</v>
      </c>
    </row>
    <row r="524387" spans="6:6" x14ac:dyDescent="0.25">
      <c r="F524387" s="9">
        <v>3</v>
      </c>
    </row>
    <row r="524388" spans="6:6" x14ac:dyDescent="0.25">
      <c r="F524388" s="9">
        <v>3</v>
      </c>
    </row>
    <row r="524389" spans="6:6" x14ac:dyDescent="0.25">
      <c r="F524389" s="9">
        <v>3</v>
      </c>
    </row>
    <row r="524390" spans="6:6" x14ac:dyDescent="0.25">
      <c r="F524390" s="9">
        <v>2</v>
      </c>
    </row>
    <row r="524391" spans="6:6" x14ac:dyDescent="0.25">
      <c r="F524391" s="9">
        <v>3</v>
      </c>
    </row>
    <row r="524392" spans="6:6" x14ac:dyDescent="0.25">
      <c r="F524392" s="9">
        <v>3</v>
      </c>
    </row>
    <row r="524393" spans="6:6" x14ac:dyDescent="0.25">
      <c r="F524393" s="9">
        <v>3</v>
      </c>
    </row>
    <row r="524394" spans="6:6" x14ac:dyDescent="0.25">
      <c r="F524394" s="9">
        <v>4</v>
      </c>
    </row>
    <row r="524395" spans="6:6" x14ac:dyDescent="0.25">
      <c r="F524395" s="9">
        <v>4</v>
      </c>
    </row>
    <row r="524396" spans="6:6" x14ac:dyDescent="0.25">
      <c r="F524396" s="9">
        <v>2</v>
      </c>
    </row>
    <row r="524397" spans="6:6" x14ac:dyDescent="0.25">
      <c r="F524397" s="9">
        <v>3</v>
      </c>
    </row>
    <row r="524398" spans="6:6" x14ac:dyDescent="0.25">
      <c r="F524398" s="9">
        <v>1</v>
      </c>
    </row>
    <row r="524399" spans="6:6" x14ac:dyDescent="0.25">
      <c r="F524399" s="9">
        <v>1</v>
      </c>
    </row>
    <row r="524400" spans="6:6" x14ac:dyDescent="0.25">
      <c r="F524400" s="9">
        <v>1</v>
      </c>
    </row>
    <row r="524401" spans="6:6" x14ac:dyDescent="0.25">
      <c r="F524401" s="9" t="s">
        <v>133</v>
      </c>
    </row>
    <row r="524402" spans="6:6" x14ac:dyDescent="0.25">
      <c r="F524402" s="6" t="s">
        <v>172</v>
      </c>
    </row>
    <row r="524403" spans="6:6" x14ac:dyDescent="0.25">
      <c r="F524403" s="9" t="s">
        <v>263</v>
      </c>
    </row>
    <row r="524404" spans="6:6" x14ac:dyDescent="0.25">
      <c r="F524404" s="33" t="s">
        <v>264</v>
      </c>
    </row>
    <row r="540673" spans="6:6" x14ac:dyDescent="0.25">
      <c r="F540673" s="84"/>
    </row>
    <row r="540674" spans="6:6" x14ac:dyDescent="0.25">
      <c r="F540674" s="46"/>
    </row>
    <row r="540675" spans="6:6" x14ac:dyDescent="0.25">
      <c r="F540675" s="9">
        <v>4</v>
      </c>
    </row>
    <row r="540676" spans="6:6" x14ac:dyDescent="0.25">
      <c r="F540676" s="9">
        <v>6</v>
      </c>
    </row>
    <row r="540677" spans="6:6" x14ac:dyDescent="0.25">
      <c r="F540677" s="9">
        <v>6</v>
      </c>
    </row>
    <row r="540678" spans="6:6" x14ac:dyDescent="0.25">
      <c r="F540678" s="9">
        <v>6</v>
      </c>
    </row>
    <row r="540679" spans="6:6" x14ac:dyDescent="0.25">
      <c r="F540679" s="9">
        <v>4</v>
      </c>
    </row>
    <row r="540680" spans="6:6" x14ac:dyDescent="0.25">
      <c r="F540680" s="9">
        <v>4</v>
      </c>
    </row>
    <row r="540681" spans="6:6" x14ac:dyDescent="0.25">
      <c r="F540681" s="9">
        <v>5</v>
      </c>
    </row>
    <row r="540682" spans="6:6" x14ac:dyDescent="0.25">
      <c r="F540682" s="9">
        <v>5</v>
      </c>
    </row>
    <row r="540683" spans="6:6" x14ac:dyDescent="0.25">
      <c r="F540683" s="9">
        <v>10</v>
      </c>
    </row>
    <row r="540684" spans="6:6" x14ac:dyDescent="0.25">
      <c r="F540684" s="9">
        <v>8</v>
      </c>
    </row>
    <row r="540685" spans="6:6" x14ac:dyDescent="0.25">
      <c r="F540685" s="9">
        <v>9</v>
      </c>
    </row>
    <row r="540686" spans="6:6" x14ac:dyDescent="0.25">
      <c r="F540686" s="9">
        <v>8</v>
      </c>
    </row>
    <row r="540687" spans="6:6" x14ac:dyDescent="0.25">
      <c r="F540687" s="9">
        <v>8</v>
      </c>
    </row>
    <row r="540688" spans="6:6" x14ac:dyDescent="0.25">
      <c r="F540688" s="9">
        <v>8</v>
      </c>
    </row>
    <row r="540689" spans="6:6" x14ac:dyDescent="0.25">
      <c r="F540689" s="9">
        <v>8</v>
      </c>
    </row>
    <row r="540690" spans="6:6" x14ac:dyDescent="0.25">
      <c r="F540690" s="9">
        <v>5</v>
      </c>
    </row>
    <row r="540691" spans="6:6" x14ac:dyDescent="0.25">
      <c r="F540691" s="9">
        <v>5</v>
      </c>
    </row>
    <row r="540692" spans="6:6" x14ac:dyDescent="0.25">
      <c r="F540692" s="9">
        <v>7</v>
      </c>
    </row>
    <row r="540693" spans="6:6" x14ac:dyDescent="0.25">
      <c r="F540693" s="9">
        <v>5</v>
      </c>
    </row>
    <row r="540694" spans="6:6" x14ac:dyDescent="0.25">
      <c r="F540694" s="9">
        <v>5</v>
      </c>
    </row>
    <row r="540695" spans="6:6" x14ac:dyDescent="0.25">
      <c r="F540695" s="9">
        <v>5</v>
      </c>
    </row>
    <row r="540696" spans="6:6" x14ac:dyDescent="0.25">
      <c r="F540696" s="9">
        <v>4</v>
      </c>
    </row>
    <row r="540697" spans="6:6" x14ac:dyDescent="0.25">
      <c r="F540697" s="9">
        <v>6</v>
      </c>
    </row>
    <row r="540698" spans="6:6" x14ac:dyDescent="0.25">
      <c r="F540698" s="9">
        <v>4</v>
      </c>
    </row>
    <row r="540699" spans="6:6" x14ac:dyDescent="0.25">
      <c r="F540699" s="9">
        <v>4</v>
      </c>
    </row>
    <row r="540700" spans="6:6" x14ac:dyDescent="0.25">
      <c r="F540700" s="9">
        <v>6</v>
      </c>
    </row>
    <row r="540701" spans="6:6" x14ac:dyDescent="0.25">
      <c r="F540701" s="9">
        <v>4</v>
      </c>
    </row>
    <row r="540702" spans="6:6" x14ac:dyDescent="0.25">
      <c r="F540702" s="9">
        <v>6</v>
      </c>
    </row>
    <row r="540703" spans="6:6" x14ac:dyDescent="0.25">
      <c r="F540703" s="9">
        <v>4</v>
      </c>
    </row>
    <row r="540704" spans="6:6" x14ac:dyDescent="0.25">
      <c r="F540704" s="9">
        <v>6</v>
      </c>
    </row>
    <row r="540705" spans="6:6" x14ac:dyDescent="0.25">
      <c r="F540705" s="9">
        <v>4</v>
      </c>
    </row>
    <row r="540706" spans="6:6" x14ac:dyDescent="0.25">
      <c r="F540706" s="9">
        <v>6</v>
      </c>
    </row>
    <row r="540707" spans="6:6" x14ac:dyDescent="0.25">
      <c r="F540707" s="9">
        <v>6</v>
      </c>
    </row>
    <row r="540708" spans="6:6" x14ac:dyDescent="0.25">
      <c r="F540708" s="9">
        <v>5</v>
      </c>
    </row>
    <row r="540709" spans="6:6" x14ac:dyDescent="0.25">
      <c r="F540709" s="9">
        <v>3</v>
      </c>
    </row>
    <row r="540710" spans="6:6" x14ac:dyDescent="0.25">
      <c r="F540710" s="9">
        <v>4</v>
      </c>
    </row>
    <row r="540711" spans="6:6" x14ac:dyDescent="0.25">
      <c r="F540711" s="9">
        <v>4</v>
      </c>
    </row>
    <row r="540712" spans="6:6" x14ac:dyDescent="0.25">
      <c r="F540712" s="9">
        <v>5</v>
      </c>
    </row>
    <row r="540713" spans="6:6" x14ac:dyDescent="0.25">
      <c r="F540713" s="9">
        <v>5</v>
      </c>
    </row>
    <row r="540714" spans="6:6" x14ac:dyDescent="0.25">
      <c r="F540714" s="9">
        <v>2</v>
      </c>
    </row>
    <row r="540715" spans="6:6" x14ac:dyDescent="0.25">
      <c r="F540715" s="9">
        <v>6</v>
      </c>
    </row>
    <row r="540716" spans="6:6" x14ac:dyDescent="0.25">
      <c r="F540716" s="9">
        <v>7</v>
      </c>
    </row>
    <row r="540717" spans="6:6" x14ac:dyDescent="0.25">
      <c r="F540717" s="9">
        <v>3</v>
      </c>
    </row>
    <row r="540718" spans="6:6" x14ac:dyDescent="0.25">
      <c r="F540718" s="9">
        <v>3</v>
      </c>
    </row>
    <row r="540719" spans="6:6" x14ac:dyDescent="0.25">
      <c r="F540719" s="9">
        <v>3</v>
      </c>
    </row>
    <row r="540720" spans="6:6" x14ac:dyDescent="0.25">
      <c r="F540720" s="9">
        <v>3</v>
      </c>
    </row>
    <row r="540721" spans="6:6" x14ac:dyDescent="0.25">
      <c r="F540721" s="9">
        <v>6</v>
      </c>
    </row>
    <row r="540722" spans="6:6" x14ac:dyDescent="0.25">
      <c r="F540722" s="9">
        <v>1</v>
      </c>
    </row>
    <row r="540723" spans="6:6" x14ac:dyDescent="0.25">
      <c r="F540723" s="9">
        <v>5</v>
      </c>
    </row>
    <row r="540724" spans="6:6" x14ac:dyDescent="0.25">
      <c r="F540724" s="9">
        <v>6</v>
      </c>
    </row>
    <row r="540725" spans="6:6" x14ac:dyDescent="0.25">
      <c r="F540725" s="9">
        <v>4</v>
      </c>
    </row>
    <row r="540726" spans="6:6" x14ac:dyDescent="0.25">
      <c r="F540726" s="9">
        <v>3</v>
      </c>
    </row>
    <row r="540727" spans="6:6" x14ac:dyDescent="0.25">
      <c r="F540727" s="9">
        <v>4</v>
      </c>
    </row>
    <row r="540728" spans="6:6" x14ac:dyDescent="0.25">
      <c r="F540728" s="9">
        <v>3</v>
      </c>
    </row>
    <row r="540729" spans="6:6" x14ac:dyDescent="0.25">
      <c r="F540729" s="9">
        <v>1</v>
      </c>
    </row>
    <row r="540730" spans="6:6" x14ac:dyDescent="0.25">
      <c r="F540730" s="9">
        <v>5</v>
      </c>
    </row>
    <row r="540731" spans="6:6" x14ac:dyDescent="0.25">
      <c r="F540731" s="9">
        <v>4</v>
      </c>
    </row>
    <row r="540732" spans="6:6" x14ac:dyDescent="0.25">
      <c r="F540732" s="9">
        <v>6</v>
      </c>
    </row>
    <row r="540733" spans="6:6" x14ac:dyDescent="0.25">
      <c r="F540733" s="9">
        <v>2</v>
      </c>
    </row>
    <row r="540734" spans="6:6" x14ac:dyDescent="0.25">
      <c r="F540734" s="9">
        <v>2</v>
      </c>
    </row>
    <row r="540735" spans="6:6" x14ac:dyDescent="0.25">
      <c r="F540735" s="9">
        <v>4</v>
      </c>
    </row>
    <row r="540736" spans="6:6" x14ac:dyDescent="0.25">
      <c r="F540736" s="9">
        <v>3</v>
      </c>
    </row>
    <row r="540737" spans="6:6" x14ac:dyDescent="0.25">
      <c r="F540737" s="9">
        <v>2</v>
      </c>
    </row>
    <row r="540738" spans="6:6" x14ac:dyDescent="0.25">
      <c r="F540738" s="9">
        <v>7</v>
      </c>
    </row>
    <row r="540739" spans="6:6" x14ac:dyDescent="0.25">
      <c r="F540739" s="9">
        <v>8</v>
      </c>
    </row>
    <row r="540740" spans="6:6" x14ac:dyDescent="0.25">
      <c r="F540740" s="9">
        <v>7</v>
      </c>
    </row>
    <row r="540741" spans="6:6" x14ac:dyDescent="0.25">
      <c r="F540741" s="9">
        <v>6</v>
      </c>
    </row>
    <row r="540742" spans="6:6" x14ac:dyDescent="0.25">
      <c r="F540742" s="9">
        <v>3</v>
      </c>
    </row>
    <row r="540743" spans="6:6" x14ac:dyDescent="0.25">
      <c r="F540743" s="9">
        <v>6</v>
      </c>
    </row>
    <row r="540744" spans="6:6" x14ac:dyDescent="0.25">
      <c r="F540744" s="9">
        <v>3</v>
      </c>
    </row>
    <row r="540745" spans="6:6" x14ac:dyDescent="0.25">
      <c r="F540745" s="9">
        <v>2</v>
      </c>
    </row>
    <row r="540746" spans="6:6" x14ac:dyDescent="0.25">
      <c r="F540746" s="9">
        <v>5</v>
      </c>
    </row>
    <row r="540747" spans="6:6" x14ac:dyDescent="0.25">
      <c r="F540747" s="9">
        <v>3</v>
      </c>
    </row>
    <row r="540748" spans="6:6" x14ac:dyDescent="0.25">
      <c r="F540748" s="9">
        <v>4</v>
      </c>
    </row>
    <row r="540749" spans="6:6" x14ac:dyDescent="0.25">
      <c r="F540749" s="9">
        <v>2</v>
      </c>
    </row>
    <row r="540750" spans="6:6" x14ac:dyDescent="0.25">
      <c r="F540750" s="9">
        <v>4</v>
      </c>
    </row>
    <row r="540751" spans="6:6" x14ac:dyDescent="0.25">
      <c r="F540751" s="9">
        <v>3</v>
      </c>
    </row>
    <row r="540752" spans="6:6" x14ac:dyDescent="0.25">
      <c r="F540752" s="9">
        <v>3</v>
      </c>
    </row>
    <row r="540753" spans="6:6" x14ac:dyDescent="0.25">
      <c r="F540753" s="9">
        <v>4</v>
      </c>
    </row>
    <row r="540754" spans="6:6" x14ac:dyDescent="0.25">
      <c r="F540754" s="9">
        <v>3</v>
      </c>
    </row>
    <row r="540755" spans="6:6" x14ac:dyDescent="0.25">
      <c r="F540755" s="9">
        <v>2</v>
      </c>
    </row>
    <row r="540756" spans="6:6" x14ac:dyDescent="0.25">
      <c r="F540756" s="9">
        <v>3</v>
      </c>
    </row>
    <row r="540757" spans="6:6" x14ac:dyDescent="0.25">
      <c r="F540757" s="9">
        <v>7</v>
      </c>
    </row>
    <row r="540758" spans="6:6" x14ac:dyDescent="0.25">
      <c r="F540758" s="9">
        <v>6</v>
      </c>
    </row>
    <row r="540759" spans="6:6" x14ac:dyDescent="0.25">
      <c r="F540759" s="9">
        <v>5</v>
      </c>
    </row>
    <row r="540760" spans="6:6" x14ac:dyDescent="0.25">
      <c r="F540760" s="9">
        <v>5</v>
      </c>
    </row>
    <row r="540761" spans="6:6" x14ac:dyDescent="0.25">
      <c r="F540761" s="9">
        <v>4</v>
      </c>
    </row>
    <row r="540762" spans="6:6" x14ac:dyDescent="0.25">
      <c r="F540762" s="9">
        <v>5</v>
      </c>
    </row>
    <row r="540763" spans="6:6" x14ac:dyDescent="0.25">
      <c r="F540763" s="9">
        <v>5</v>
      </c>
    </row>
    <row r="540764" spans="6:6" x14ac:dyDescent="0.25">
      <c r="F540764" s="9">
        <v>2</v>
      </c>
    </row>
    <row r="540765" spans="6:6" x14ac:dyDescent="0.25">
      <c r="F540765" s="9">
        <v>3</v>
      </c>
    </row>
    <row r="540766" spans="6:6" x14ac:dyDescent="0.25">
      <c r="F540766" s="9">
        <v>2</v>
      </c>
    </row>
    <row r="540767" spans="6:6" x14ac:dyDescent="0.25">
      <c r="F540767" s="9">
        <v>3</v>
      </c>
    </row>
    <row r="540768" spans="6:6" x14ac:dyDescent="0.25">
      <c r="F540768" s="9">
        <v>4</v>
      </c>
    </row>
    <row r="540769" spans="6:6" x14ac:dyDescent="0.25">
      <c r="F540769" s="9">
        <v>4</v>
      </c>
    </row>
    <row r="540770" spans="6:6" x14ac:dyDescent="0.25">
      <c r="F540770" s="9">
        <v>2</v>
      </c>
    </row>
    <row r="540771" spans="6:6" x14ac:dyDescent="0.25">
      <c r="F540771" s="9">
        <v>3</v>
      </c>
    </row>
    <row r="540772" spans="6:6" x14ac:dyDescent="0.25">
      <c r="F540772" s="9">
        <v>3</v>
      </c>
    </row>
    <row r="540773" spans="6:6" x14ac:dyDescent="0.25">
      <c r="F540773" s="9">
        <v>3</v>
      </c>
    </row>
    <row r="540774" spans="6:6" x14ac:dyDescent="0.25">
      <c r="F540774" s="9">
        <v>2</v>
      </c>
    </row>
    <row r="540775" spans="6:6" x14ac:dyDescent="0.25">
      <c r="F540775" s="9">
        <v>3</v>
      </c>
    </row>
    <row r="540776" spans="6:6" x14ac:dyDescent="0.25">
      <c r="F540776" s="9">
        <v>3</v>
      </c>
    </row>
    <row r="540777" spans="6:6" x14ac:dyDescent="0.25">
      <c r="F540777" s="9">
        <v>3</v>
      </c>
    </row>
    <row r="540778" spans="6:6" x14ac:dyDescent="0.25">
      <c r="F540778" s="9">
        <v>4</v>
      </c>
    </row>
    <row r="540779" spans="6:6" x14ac:dyDescent="0.25">
      <c r="F540779" s="9">
        <v>4</v>
      </c>
    </row>
    <row r="540780" spans="6:6" x14ac:dyDescent="0.25">
      <c r="F540780" s="9">
        <v>2</v>
      </c>
    </row>
    <row r="540781" spans="6:6" x14ac:dyDescent="0.25">
      <c r="F540781" s="9">
        <v>3</v>
      </c>
    </row>
    <row r="540782" spans="6:6" x14ac:dyDescent="0.25">
      <c r="F540782" s="9">
        <v>1</v>
      </c>
    </row>
    <row r="540783" spans="6:6" x14ac:dyDescent="0.25">
      <c r="F540783" s="9">
        <v>1</v>
      </c>
    </row>
    <row r="540784" spans="6:6" x14ac:dyDescent="0.25">
      <c r="F540784" s="9">
        <v>1</v>
      </c>
    </row>
    <row r="540785" spans="6:6" x14ac:dyDescent="0.25">
      <c r="F540785" s="9" t="s">
        <v>133</v>
      </c>
    </row>
    <row r="540786" spans="6:6" x14ac:dyDescent="0.25">
      <c r="F540786" s="6" t="s">
        <v>172</v>
      </c>
    </row>
    <row r="540787" spans="6:6" x14ac:dyDescent="0.25">
      <c r="F540787" s="9" t="s">
        <v>263</v>
      </c>
    </row>
    <row r="540788" spans="6:6" x14ac:dyDescent="0.25">
      <c r="F540788" s="33" t="s">
        <v>264</v>
      </c>
    </row>
    <row r="557057" spans="6:6" x14ac:dyDescent="0.25">
      <c r="F557057" s="84"/>
    </row>
    <row r="557058" spans="6:6" x14ac:dyDescent="0.25">
      <c r="F557058" s="46"/>
    </row>
    <row r="557059" spans="6:6" x14ac:dyDescent="0.25">
      <c r="F557059" s="9">
        <v>4</v>
      </c>
    </row>
    <row r="557060" spans="6:6" x14ac:dyDescent="0.25">
      <c r="F557060" s="9">
        <v>6</v>
      </c>
    </row>
    <row r="557061" spans="6:6" x14ac:dyDescent="0.25">
      <c r="F557061" s="9">
        <v>6</v>
      </c>
    </row>
    <row r="557062" spans="6:6" x14ac:dyDescent="0.25">
      <c r="F557062" s="9">
        <v>6</v>
      </c>
    </row>
    <row r="557063" spans="6:6" x14ac:dyDescent="0.25">
      <c r="F557063" s="9">
        <v>4</v>
      </c>
    </row>
    <row r="557064" spans="6:6" x14ac:dyDescent="0.25">
      <c r="F557064" s="9">
        <v>4</v>
      </c>
    </row>
    <row r="557065" spans="6:6" x14ac:dyDescent="0.25">
      <c r="F557065" s="9">
        <v>5</v>
      </c>
    </row>
    <row r="557066" spans="6:6" x14ac:dyDescent="0.25">
      <c r="F557066" s="9">
        <v>5</v>
      </c>
    </row>
    <row r="557067" spans="6:6" x14ac:dyDescent="0.25">
      <c r="F557067" s="9">
        <v>10</v>
      </c>
    </row>
    <row r="557068" spans="6:6" x14ac:dyDescent="0.25">
      <c r="F557068" s="9">
        <v>8</v>
      </c>
    </row>
    <row r="557069" spans="6:6" x14ac:dyDescent="0.25">
      <c r="F557069" s="9">
        <v>9</v>
      </c>
    </row>
    <row r="557070" spans="6:6" x14ac:dyDescent="0.25">
      <c r="F557070" s="9">
        <v>8</v>
      </c>
    </row>
    <row r="557071" spans="6:6" x14ac:dyDescent="0.25">
      <c r="F557071" s="9">
        <v>8</v>
      </c>
    </row>
    <row r="557072" spans="6:6" x14ac:dyDescent="0.25">
      <c r="F557072" s="9">
        <v>8</v>
      </c>
    </row>
    <row r="557073" spans="6:6" x14ac:dyDescent="0.25">
      <c r="F557073" s="9">
        <v>8</v>
      </c>
    </row>
    <row r="557074" spans="6:6" x14ac:dyDescent="0.25">
      <c r="F557074" s="9">
        <v>5</v>
      </c>
    </row>
    <row r="557075" spans="6:6" x14ac:dyDescent="0.25">
      <c r="F557075" s="9">
        <v>5</v>
      </c>
    </row>
    <row r="557076" spans="6:6" x14ac:dyDescent="0.25">
      <c r="F557076" s="9">
        <v>7</v>
      </c>
    </row>
    <row r="557077" spans="6:6" x14ac:dyDescent="0.25">
      <c r="F557077" s="9">
        <v>5</v>
      </c>
    </row>
    <row r="557078" spans="6:6" x14ac:dyDescent="0.25">
      <c r="F557078" s="9">
        <v>5</v>
      </c>
    </row>
    <row r="557079" spans="6:6" x14ac:dyDescent="0.25">
      <c r="F557079" s="9">
        <v>5</v>
      </c>
    </row>
    <row r="557080" spans="6:6" x14ac:dyDescent="0.25">
      <c r="F557080" s="9">
        <v>4</v>
      </c>
    </row>
    <row r="557081" spans="6:6" x14ac:dyDescent="0.25">
      <c r="F557081" s="9">
        <v>6</v>
      </c>
    </row>
    <row r="557082" spans="6:6" x14ac:dyDescent="0.25">
      <c r="F557082" s="9">
        <v>4</v>
      </c>
    </row>
    <row r="557083" spans="6:6" x14ac:dyDescent="0.25">
      <c r="F557083" s="9">
        <v>4</v>
      </c>
    </row>
    <row r="557084" spans="6:6" x14ac:dyDescent="0.25">
      <c r="F557084" s="9">
        <v>6</v>
      </c>
    </row>
    <row r="557085" spans="6:6" x14ac:dyDescent="0.25">
      <c r="F557085" s="9">
        <v>4</v>
      </c>
    </row>
    <row r="557086" spans="6:6" x14ac:dyDescent="0.25">
      <c r="F557086" s="9">
        <v>6</v>
      </c>
    </row>
    <row r="557087" spans="6:6" x14ac:dyDescent="0.25">
      <c r="F557087" s="9">
        <v>4</v>
      </c>
    </row>
    <row r="557088" spans="6:6" x14ac:dyDescent="0.25">
      <c r="F557088" s="9">
        <v>6</v>
      </c>
    </row>
    <row r="557089" spans="6:6" x14ac:dyDescent="0.25">
      <c r="F557089" s="9">
        <v>4</v>
      </c>
    </row>
    <row r="557090" spans="6:6" x14ac:dyDescent="0.25">
      <c r="F557090" s="9">
        <v>6</v>
      </c>
    </row>
    <row r="557091" spans="6:6" x14ac:dyDescent="0.25">
      <c r="F557091" s="9">
        <v>6</v>
      </c>
    </row>
    <row r="557092" spans="6:6" x14ac:dyDescent="0.25">
      <c r="F557092" s="9">
        <v>5</v>
      </c>
    </row>
    <row r="557093" spans="6:6" x14ac:dyDescent="0.25">
      <c r="F557093" s="9">
        <v>3</v>
      </c>
    </row>
    <row r="557094" spans="6:6" x14ac:dyDescent="0.25">
      <c r="F557094" s="9">
        <v>4</v>
      </c>
    </row>
    <row r="557095" spans="6:6" x14ac:dyDescent="0.25">
      <c r="F557095" s="9">
        <v>4</v>
      </c>
    </row>
    <row r="557096" spans="6:6" x14ac:dyDescent="0.25">
      <c r="F557096" s="9">
        <v>5</v>
      </c>
    </row>
    <row r="557097" spans="6:6" x14ac:dyDescent="0.25">
      <c r="F557097" s="9">
        <v>5</v>
      </c>
    </row>
    <row r="557098" spans="6:6" x14ac:dyDescent="0.25">
      <c r="F557098" s="9">
        <v>2</v>
      </c>
    </row>
    <row r="557099" spans="6:6" x14ac:dyDescent="0.25">
      <c r="F557099" s="9">
        <v>6</v>
      </c>
    </row>
    <row r="557100" spans="6:6" x14ac:dyDescent="0.25">
      <c r="F557100" s="9">
        <v>7</v>
      </c>
    </row>
    <row r="557101" spans="6:6" x14ac:dyDescent="0.25">
      <c r="F557101" s="9">
        <v>3</v>
      </c>
    </row>
    <row r="557102" spans="6:6" x14ac:dyDescent="0.25">
      <c r="F557102" s="9">
        <v>3</v>
      </c>
    </row>
    <row r="557103" spans="6:6" x14ac:dyDescent="0.25">
      <c r="F557103" s="9">
        <v>3</v>
      </c>
    </row>
    <row r="557104" spans="6:6" x14ac:dyDescent="0.25">
      <c r="F557104" s="9">
        <v>3</v>
      </c>
    </row>
    <row r="557105" spans="6:6" x14ac:dyDescent="0.25">
      <c r="F557105" s="9">
        <v>6</v>
      </c>
    </row>
    <row r="557106" spans="6:6" x14ac:dyDescent="0.25">
      <c r="F557106" s="9">
        <v>1</v>
      </c>
    </row>
    <row r="557107" spans="6:6" x14ac:dyDescent="0.25">
      <c r="F557107" s="9">
        <v>5</v>
      </c>
    </row>
    <row r="557108" spans="6:6" x14ac:dyDescent="0.25">
      <c r="F557108" s="9">
        <v>6</v>
      </c>
    </row>
    <row r="557109" spans="6:6" x14ac:dyDescent="0.25">
      <c r="F557109" s="9">
        <v>4</v>
      </c>
    </row>
    <row r="557110" spans="6:6" x14ac:dyDescent="0.25">
      <c r="F557110" s="9">
        <v>3</v>
      </c>
    </row>
    <row r="557111" spans="6:6" x14ac:dyDescent="0.25">
      <c r="F557111" s="9">
        <v>4</v>
      </c>
    </row>
    <row r="557112" spans="6:6" x14ac:dyDescent="0.25">
      <c r="F557112" s="9">
        <v>3</v>
      </c>
    </row>
    <row r="557113" spans="6:6" x14ac:dyDescent="0.25">
      <c r="F557113" s="9">
        <v>1</v>
      </c>
    </row>
    <row r="557114" spans="6:6" x14ac:dyDescent="0.25">
      <c r="F557114" s="9">
        <v>5</v>
      </c>
    </row>
    <row r="557115" spans="6:6" x14ac:dyDescent="0.25">
      <c r="F557115" s="9">
        <v>4</v>
      </c>
    </row>
    <row r="557116" spans="6:6" x14ac:dyDescent="0.25">
      <c r="F557116" s="9">
        <v>6</v>
      </c>
    </row>
    <row r="557117" spans="6:6" x14ac:dyDescent="0.25">
      <c r="F557117" s="9">
        <v>2</v>
      </c>
    </row>
    <row r="557118" spans="6:6" x14ac:dyDescent="0.25">
      <c r="F557118" s="9">
        <v>2</v>
      </c>
    </row>
    <row r="557119" spans="6:6" x14ac:dyDescent="0.25">
      <c r="F557119" s="9">
        <v>4</v>
      </c>
    </row>
    <row r="557120" spans="6:6" x14ac:dyDescent="0.25">
      <c r="F557120" s="9">
        <v>3</v>
      </c>
    </row>
    <row r="557121" spans="6:6" x14ac:dyDescent="0.25">
      <c r="F557121" s="9">
        <v>2</v>
      </c>
    </row>
    <row r="557122" spans="6:6" x14ac:dyDescent="0.25">
      <c r="F557122" s="9">
        <v>7</v>
      </c>
    </row>
    <row r="557123" spans="6:6" x14ac:dyDescent="0.25">
      <c r="F557123" s="9">
        <v>8</v>
      </c>
    </row>
    <row r="557124" spans="6:6" x14ac:dyDescent="0.25">
      <c r="F557124" s="9">
        <v>7</v>
      </c>
    </row>
    <row r="557125" spans="6:6" x14ac:dyDescent="0.25">
      <c r="F557125" s="9">
        <v>6</v>
      </c>
    </row>
    <row r="557126" spans="6:6" x14ac:dyDescent="0.25">
      <c r="F557126" s="9">
        <v>3</v>
      </c>
    </row>
    <row r="557127" spans="6:6" x14ac:dyDescent="0.25">
      <c r="F557127" s="9">
        <v>6</v>
      </c>
    </row>
    <row r="557128" spans="6:6" x14ac:dyDescent="0.25">
      <c r="F557128" s="9">
        <v>3</v>
      </c>
    </row>
    <row r="557129" spans="6:6" x14ac:dyDescent="0.25">
      <c r="F557129" s="9">
        <v>2</v>
      </c>
    </row>
    <row r="557130" spans="6:6" x14ac:dyDescent="0.25">
      <c r="F557130" s="9">
        <v>5</v>
      </c>
    </row>
    <row r="557131" spans="6:6" x14ac:dyDescent="0.25">
      <c r="F557131" s="9">
        <v>3</v>
      </c>
    </row>
    <row r="557132" spans="6:6" x14ac:dyDescent="0.25">
      <c r="F557132" s="9">
        <v>4</v>
      </c>
    </row>
    <row r="557133" spans="6:6" x14ac:dyDescent="0.25">
      <c r="F557133" s="9">
        <v>2</v>
      </c>
    </row>
    <row r="557134" spans="6:6" x14ac:dyDescent="0.25">
      <c r="F557134" s="9">
        <v>4</v>
      </c>
    </row>
    <row r="557135" spans="6:6" x14ac:dyDescent="0.25">
      <c r="F557135" s="9">
        <v>3</v>
      </c>
    </row>
    <row r="557136" spans="6:6" x14ac:dyDescent="0.25">
      <c r="F557136" s="9">
        <v>3</v>
      </c>
    </row>
    <row r="557137" spans="6:6" x14ac:dyDescent="0.25">
      <c r="F557137" s="9">
        <v>4</v>
      </c>
    </row>
    <row r="557138" spans="6:6" x14ac:dyDescent="0.25">
      <c r="F557138" s="9">
        <v>3</v>
      </c>
    </row>
    <row r="557139" spans="6:6" x14ac:dyDescent="0.25">
      <c r="F557139" s="9">
        <v>2</v>
      </c>
    </row>
    <row r="557140" spans="6:6" x14ac:dyDescent="0.25">
      <c r="F557140" s="9">
        <v>3</v>
      </c>
    </row>
    <row r="557141" spans="6:6" x14ac:dyDescent="0.25">
      <c r="F557141" s="9">
        <v>7</v>
      </c>
    </row>
    <row r="557142" spans="6:6" x14ac:dyDescent="0.25">
      <c r="F557142" s="9">
        <v>6</v>
      </c>
    </row>
    <row r="557143" spans="6:6" x14ac:dyDescent="0.25">
      <c r="F557143" s="9">
        <v>5</v>
      </c>
    </row>
    <row r="557144" spans="6:6" x14ac:dyDescent="0.25">
      <c r="F557144" s="9">
        <v>5</v>
      </c>
    </row>
    <row r="557145" spans="6:6" x14ac:dyDescent="0.25">
      <c r="F557145" s="9">
        <v>4</v>
      </c>
    </row>
    <row r="557146" spans="6:6" x14ac:dyDescent="0.25">
      <c r="F557146" s="9">
        <v>5</v>
      </c>
    </row>
    <row r="557147" spans="6:6" x14ac:dyDescent="0.25">
      <c r="F557147" s="9">
        <v>5</v>
      </c>
    </row>
    <row r="557148" spans="6:6" x14ac:dyDescent="0.25">
      <c r="F557148" s="9">
        <v>2</v>
      </c>
    </row>
    <row r="557149" spans="6:6" x14ac:dyDescent="0.25">
      <c r="F557149" s="9">
        <v>3</v>
      </c>
    </row>
    <row r="557150" spans="6:6" x14ac:dyDescent="0.25">
      <c r="F557150" s="9">
        <v>2</v>
      </c>
    </row>
    <row r="557151" spans="6:6" x14ac:dyDescent="0.25">
      <c r="F557151" s="9">
        <v>3</v>
      </c>
    </row>
    <row r="557152" spans="6:6" x14ac:dyDescent="0.25">
      <c r="F557152" s="9">
        <v>4</v>
      </c>
    </row>
    <row r="557153" spans="6:6" x14ac:dyDescent="0.25">
      <c r="F557153" s="9">
        <v>4</v>
      </c>
    </row>
    <row r="557154" spans="6:6" x14ac:dyDescent="0.25">
      <c r="F557154" s="9">
        <v>2</v>
      </c>
    </row>
    <row r="557155" spans="6:6" x14ac:dyDescent="0.25">
      <c r="F557155" s="9">
        <v>3</v>
      </c>
    </row>
    <row r="557156" spans="6:6" x14ac:dyDescent="0.25">
      <c r="F557156" s="9">
        <v>3</v>
      </c>
    </row>
    <row r="557157" spans="6:6" x14ac:dyDescent="0.25">
      <c r="F557157" s="9">
        <v>3</v>
      </c>
    </row>
    <row r="557158" spans="6:6" x14ac:dyDescent="0.25">
      <c r="F557158" s="9">
        <v>2</v>
      </c>
    </row>
    <row r="557159" spans="6:6" x14ac:dyDescent="0.25">
      <c r="F557159" s="9">
        <v>3</v>
      </c>
    </row>
    <row r="557160" spans="6:6" x14ac:dyDescent="0.25">
      <c r="F557160" s="9">
        <v>3</v>
      </c>
    </row>
    <row r="557161" spans="6:6" x14ac:dyDescent="0.25">
      <c r="F557161" s="9">
        <v>3</v>
      </c>
    </row>
    <row r="557162" spans="6:6" x14ac:dyDescent="0.25">
      <c r="F557162" s="9">
        <v>4</v>
      </c>
    </row>
    <row r="557163" spans="6:6" x14ac:dyDescent="0.25">
      <c r="F557163" s="9">
        <v>4</v>
      </c>
    </row>
    <row r="557164" spans="6:6" x14ac:dyDescent="0.25">
      <c r="F557164" s="9">
        <v>2</v>
      </c>
    </row>
    <row r="557165" spans="6:6" x14ac:dyDescent="0.25">
      <c r="F557165" s="9">
        <v>3</v>
      </c>
    </row>
    <row r="557166" spans="6:6" x14ac:dyDescent="0.25">
      <c r="F557166" s="9">
        <v>1</v>
      </c>
    </row>
    <row r="557167" spans="6:6" x14ac:dyDescent="0.25">
      <c r="F557167" s="9">
        <v>1</v>
      </c>
    </row>
    <row r="557168" spans="6:6" x14ac:dyDescent="0.25">
      <c r="F557168" s="9">
        <v>1</v>
      </c>
    </row>
    <row r="557169" spans="6:6" x14ac:dyDescent="0.25">
      <c r="F557169" s="9" t="s">
        <v>133</v>
      </c>
    </row>
    <row r="557170" spans="6:6" x14ac:dyDescent="0.25">
      <c r="F557170" s="6" t="s">
        <v>172</v>
      </c>
    </row>
    <row r="557171" spans="6:6" x14ac:dyDescent="0.25">
      <c r="F557171" s="9" t="s">
        <v>263</v>
      </c>
    </row>
    <row r="557172" spans="6:6" x14ac:dyDescent="0.25">
      <c r="F557172" s="33" t="s">
        <v>264</v>
      </c>
    </row>
    <row r="573441" spans="6:6" x14ac:dyDescent="0.25">
      <c r="F573441" s="84"/>
    </row>
    <row r="573442" spans="6:6" x14ac:dyDescent="0.25">
      <c r="F573442" s="46"/>
    </row>
    <row r="573443" spans="6:6" x14ac:dyDescent="0.25">
      <c r="F573443" s="9">
        <v>4</v>
      </c>
    </row>
    <row r="573444" spans="6:6" x14ac:dyDescent="0.25">
      <c r="F573444" s="9">
        <v>6</v>
      </c>
    </row>
    <row r="573445" spans="6:6" x14ac:dyDescent="0.25">
      <c r="F573445" s="9">
        <v>6</v>
      </c>
    </row>
    <row r="573446" spans="6:6" x14ac:dyDescent="0.25">
      <c r="F573446" s="9">
        <v>6</v>
      </c>
    </row>
    <row r="573447" spans="6:6" x14ac:dyDescent="0.25">
      <c r="F573447" s="9">
        <v>4</v>
      </c>
    </row>
    <row r="573448" spans="6:6" x14ac:dyDescent="0.25">
      <c r="F573448" s="9">
        <v>4</v>
      </c>
    </row>
    <row r="573449" spans="6:6" x14ac:dyDescent="0.25">
      <c r="F573449" s="9">
        <v>5</v>
      </c>
    </row>
    <row r="573450" spans="6:6" x14ac:dyDescent="0.25">
      <c r="F573450" s="9">
        <v>5</v>
      </c>
    </row>
    <row r="573451" spans="6:6" x14ac:dyDescent="0.25">
      <c r="F573451" s="9">
        <v>10</v>
      </c>
    </row>
    <row r="573452" spans="6:6" x14ac:dyDescent="0.25">
      <c r="F573452" s="9">
        <v>8</v>
      </c>
    </row>
    <row r="573453" spans="6:6" x14ac:dyDescent="0.25">
      <c r="F573453" s="9">
        <v>9</v>
      </c>
    </row>
    <row r="573454" spans="6:6" x14ac:dyDescent="0.25">
      <c r="F573454" s="9">
        <v>8</v>
      </c>
    </row>
    <row r="573455" spans="6:6" x14ac:dyDescent="0.25">
      <c r="F573455" s="9">
        <v>8</v>
      </c>
    </row>
    <row r="573456" spans="6:6" x14ac:dyDescent="0.25">
      <c r="F573456" s="9">
        <v>8</v>
      </c>
    </row>
    <row r="573457" spans="6:6" x14ac:dyDescent="0.25">
      <c r="F573457" s="9">
        <v>8</v>
      </c>
    </row>
    <row r="573458" spans="6:6" x14ac:dyDescent="0.25">
      <c r="F573458" s="9">
        <v>5</v>
      </c>
    </row>
    <row r="573459" spans="6:6" x14ac:dyDescent="0.25">
      <c r="F573459" s="9">
        <v>5</v>
      </c>
    </row>
    <row r="573460" spans="6:6" x14ac:dyDescent="0.25">
      <c r="F573460" s="9">
        <v>7</v>
      </c>
    </row>
    <row r="573461" spans="6:6" x14ac:dyDescent="0.25">
      <c r="F573461" s="9">
        <v>5</v>
      </c>
    </row>
    <row r="573462" spans="6:6" x14ac:dyDescent="0.25">
      <c r="F573462" s="9">
        <v>5</v>
      </c>
    </row>
    <row r="573463" spans="6:6" x14ac:dyDescent="0.25">
      <c r="F573463" s="9">
        <v>5</v>
      </c>
    </row>
    <row r="573464" spans="6:6" x14ac:dyDescent="0.25">
      <c r="F573464" s="9">
        <v>4</v>
      </c>
    </row>
    <row r="573465" spans="6:6" x14ac:dyDescent="0.25">
      <c r="F573465" s="9">
        <v>6</v>
      </c>
    </row>
    <row r="573466" spans="6:6" x14ac:dyDescent="0.25">
      <c r="F573466" s="9">
        <v>4</v>
      </c>
    </row>
    <row r="573467" spans="6:6" x14ac:dyDescent="0.25">
      <c r="F573467" s="9">
        <v>4</v>
      </c>
    </row>
    <row r="573468" spans="6:6" x14ac:dyDescent="0.25">
      <c r="F573468" s="9">
        <v>6</v>
      </c>
    </row>
    <row r="573469" spans="6:6" x14ac:dyDescent="0.25">
      <c r="F573469" s="9">
        <v>4</v>
      </c>
    </row>
    <row r="573470" spans="6:6" x14ac:dyDescent="0.25">
      <c r="F573470" s="9">
        <v>6</v>
      </c>
    </row>
    <row r="573471" spans="6:6" x14ac:dyDescent="0.25">
      <c r="F573471" s="9">
        <v>4</v>
      </c>
    </row>
    <row r="573472" spans="6:6" x14ac:dyDescent="0.25">
      <c r="F573472" s="9">
        <v>6</v>
      </c>
    </row>
    <row r="573473" spans="6:6" x14ac:dyDescent="0.25">
      <c r="F573473" s="9">
        <v>4</v>
      </c>
    </row>
    <row r="573474" spans="6:6" x14ac:dyDescent="0.25">
      <c r="F573474" s="9">
        <v>6</v>
      </c>
    </row>
    <row r="573475" spans="6:6" x14ac:dyDescent="0.25">
      <c r="F573475" s="9">
        <v>6</v>
      </c>
    </row>
    <row r="573476" spans="6:6" x14ac:dyDescent="0.25">
      <c r="F573476" s="9">
        <v>5</v>
      </c>
    </row>
    <row r="573477" spans="6:6" x14ac:dyDescent="0.25">
      <c r="F573477" s="9">
        <v>3</v>
      </c>
    </row>
    <row r="573478" spans="6:6" x14ac:dyDescent="0.25">
      <c r="F573478" s="9">
        <v>4</v>
      </c>
    </row>
    <row r="573479" spans="6:6" x14ac:dyDescent="0.25">
      <c r="F573479" s="9">
        <v>4</v>
      </c>
    </row>
    <row r="573480" spans="6:6" x14ac:dyDescent="0.25">
      <c r="F573480" s="9">
        <v>5</v>
      </c>
    </row>
    <row r="573481" spans="6:6" x14ac:dyDescent="0.25">
      <c r="F573481" s="9">
        <v>5</v>
      </c>
    </row>
    <row r="573482" spans="6:6" x14ac:dyDescent="0.25">
      <c r="F573482" s="9">
        <v>2</v>
      </c>
    </row>
    <row r="573483" spans="6:6" x14ac:dyDescent="0.25">
      <c r="F573483" s="9">
        <v>6</v>
      </c>
    </row>
    <row r="573484" spans="6:6" x14ac:dyDescent="0.25">
      <c r="F573484" s="9">
        <v>7</v>
      </c>
    </row>
    <row r="573485" spans="6:6" x14ac:dyDescent="0.25">
      <c r="F573485" s="9">
        <v>3</v>
      </c>
    </row>
    <row r="573486" spans="6:6" x14ac:dyDescent="0.25">
      <c r="F573486" s="9">
        <v>3</v>
      </c>
    </row>
    <row r="573487" spans="6:6" x14ac:dyDescent="0.25">
      <c r="F573487" s="9">
        <v>3</v>
      </c>
    </row>
    <row r="573488" spans="6:6" x14ac:dyDescent="0.25">
      <c r="F573488" s="9">
        <v>3</v>
      </c>
    </row>
    <row r="573489" spans="6:6" x14ac:dyDescent="0.25">
      <c r="F573489" s="9">
        <v>6</v>
      </c>
    </row>
    <row r="573490" spans="6:6" x14ac:dyDescent="0.25">
      <c r="F573490" s="9">
        <v>1</v>
      </c>
    </row>
    <row r="573491" spans="6:6" x14ac:dyDescent="0.25">
      <c r="F573491" s="9">
        <v>5</v>
      </c>
    </row>
    <row r="573492" spans="6:6" x14ac:dyDescent="0.25">
      <c r="F573492" s="9">
        <v>6</v>
      </c>
    </row>
    <row r="573493" spans="6:6" x14ac:dyDescent="0.25">
      <c r="F573493" s="9">
        <v>4</v>
      </c>
    </row>
    <row r="573494" spans="6:6" x14ac:dyDescent="0.25">
      <c r="F573494" s="9">
        <v>3</v>
      </c>
    </row>
    <row r="573495" spans="6:6" x14ac:dyDescent="0.25">
      <c r="F573495" s="9">
        <v>4</v>
      </c>
    </row>
    <row r="573496" spans="6:6" x14ac:dyDescent="0.25">
      <c r="F573496" s="9">
        <v>3</v>
      </c>
    </row>
    <row r="573497" spans="6:6" x14ac:dyDescent="0.25">
      <c r="F573497" s="9">
        <v>1</v>
      </c>
    </row>
    <row r="573498" spans="6:6" x14ac:dyDescent="0.25">
      <c r="F573498" s="9">
        <v>5</v>
      </c>
    </row>
    <row r="573499" spans="6:6" x14ac:dyDescent="0.25">
      <c r="F573499" s="9">
        <v>4</v>
      </c>
    </row>
    <row r="573500" spans="6:6" x14ac:dyDescent="0.25">
      <c r="F573500" s="9">
        <v>6</v>
      </c>
    </row>
    <row r="573501" spans="6:6" x14ac:dyDescent="0.25">
      <c r="F573501" s="9">
        <v>2</v>
      </c>
    </row>
    <row r="573502" spans="6:6" x14ac:dyDescent="0.25">
      <c r="F573502" s="9">
        <v>2</v>
      </c>
    </row>
    <row r="573503" spans="6:6" x14ac:dyDescent="0.25">
      <c r="F573503" s="9">
        <v>4</v>
      </c>
    </row>
    <row r="573504" spans="6:6" x14ac:dyDescent="0.25">
      <c r="F573504" s="9">
        <v>3</v>
      </c>
    </row>
    <row r="573505" spans="6:6" x14ac:dyDescent="0.25">
      <c r="F573505" s="9">
        <v>2</v>
      </c>
    </row>
    <row r="573506" spans="6:6" x14ac:dyDescent="0.25">
      <c r="F573506" s="9">
        <v>7</v>
      </c>
    </row>
    <row r="573507" spans="6:6" x14ac:dyDescent="0.25">
      <c r="F573507" s="9">
        <v>8</v>
      </c>
    </row>
    <row r="573508" spans="6:6" x14ac:dyDescent="0.25">
      <c r="F573508" s="9">
        <v>7</v>
      </c>
    </row>
    <row r="573509" spans="6:6" x14ac:dyDescent="0.25">
      <c r="F573509" s="9">
        <v>6</v>
      </c>
    </row>
    <row r="573510" spans="6:6" x14ac:dyDescent="0.25">
      <c r="F573510" s="9">
        <v>3</v>
      </c>
    </row>
    <row r="573511" spans="6:6" x14ac:dyDescent="0.25">
      <c r="F573511" s="9">
        <v>6</v>
      </c>
    </row>
    <row r="573512" spans="6:6" x14ac:dyDescent="0.25">
      <c r="F573512" s="9">
        <v>3</v>
      </c>
    </row>
    <row r="573513" spans="6:6" x14ac:dyDescent="0.25">
      <c r="F573513" s="9">
        <v>2</v>
      </c>
    </row>
    <row r="573514" spans="6:6" x14ac:dyDescent="0.25">
      <c r="F573514" s="9">
        <v>5</v>
      </c>
    </row>
    <row r="573515" spans="6:6" x14ac:dyDescent="0.25">
      <c r="F573515" s="9">
        <v>3</v>
      </c>
    </row>
    <row r="573516" spans="6:6" x14ac:dyDescent="0.25">
      <c r="F573516" s="9">
        <v>4</v>
      </c>
    </row>
    <row r="573517" spans="6:6" x14ac:dyDescent="0.25">
      <c r="F573517" s="9">
        <v>2</v>
      </c>
    </row>
    <row r="573518" spans="6:6" x14ac:dyDescent="0.25">
      <c r="F573518" s="9">
        <v>4</v>
      </c>
    </row>
    <row r="573519" spans="6:6" x14ac:dyDescent="0.25">
      <c r="F573519" s="9">
        <v>3</v>
      </c>
    </row>
    <row r="573520" spans="6:6" x14ac:dyDescent="0.25">
      <c r="F573520" s="9">
        <v>3</v>
      </c>
    </row>
    <row r="573521" spans="6:6" x14ac:dyDescent="0.25">
      <c r="F573521" s="9">
        <v>4</v>
      </c>
    </row>
    <row r="573522" spans="6:6" x14ac:dyDescent="0.25">
      <c r="F573522" s="9">
        <v>3</v>
      </c>
    </row>
    <row r="573523" spans="6:6" x14ac:dyDescent="0.25">
      <c r="F573523" s="9">
        <v>2</v>
      </c>
    </row>
    <row r="573524" spans="6:6" x14ac:dyDescent="0.25">
      <c r="F573524" s="9">
        <v>3</v>
      </c>
    </row>
    <row r="573525" spans="6:6" x14ac:dyDescent="0.25">
      <c r="F573525" s="9">
        <v>7</v>
      </c>
    </row>
    <row r="573526" spans="6:6" x14ac:dyDescent="0.25">
      <c r="F573526" s="9">
        <v>6</v>
      </c>
    </row>
    <row r="573527" spans="6:6" x14ac:dyDescent="0.25">
      <c r="F573527" s="9">
        <v>5</v>
      </c>
    </row>
    <row r="573528" spans="6:6" x14ac:dyDescent="0.25">
      <c r="F573528" s="9">
        <v>5</v>
      </c>
    </row>
    <row r="573529" spans="6:6" x14ac:dyDescent="0.25">
      <c r="F573529" s="9">
        <v>4</v>
      </c>
    </row>
    <row r="573530" spans="6:6" x14ac:dyDescent="0.25">
      <c r="F573530" s="9">
        <v>5</v>
      </c>
    </row>
    <row r="573531" spans="6:6" x14ac:dyDescent="0.25">
      <c r="F573531" s="9">
        <v>5</v>
      </c>
    </row>
    <row r="573532" spans="6:6" x14ac:dyDescent="0.25">
      <c r="F573532" s="9">
        <v>2</v>
      </c>
    </row>
    <row r="573533" spans="6:6" x14ac:dyDescent="0.25">
      <c r="F573533" s="9">
        <v>3</v>
      </c>
    </row>
    <row r="573534" spans="6:6" x14ac:dyDescent="0.25">
      <c r="F573534" s="9">
        <v>2</v>
      </c>
    </row>
    <row r="573535" spans="6:6" x14ac:dyDescent="0.25">
      <c r="F573535" s="9">
        <v>3</v>
      </c>
    </row>
    <row r="573536" spans="6:6" x14ac:dyDescent="0.25">
      <c r="F573536" s="9">
        <v>4</v>
      </c>
    </row>
    <row r="573537" spans="6:6" x14ac:dyDescent="0.25">
      <c r="F573537" s="9">
        <v>4</v>
      </c>
    </row>
    <row r="573538" spans="6:6" x14ac:dyDescent="0.25">
      <c r="F573538" s="9">
        <v>2</v>
      </c>
    </row>
    <row r="573539" spans="6:6" x14ac:dyDescent="0.25">
      <c r="F573539" s="9">
        <v>3</v>
      </c>
    </row>
    <row r="573540" spans="6:6" x14ac:dyDescent="0.25">
      <c r="F573540" s="9">
        <v>3</v>
      </c>
    </row>
    <row r="573541" spans="6:6" x14ac:dyDescent="0.25">
      <c r="F573541" s="9">
        <v>3</v>
      </c>
    </row>
    <row r="573542" spans="6:6" x14ac:dyDescent="0.25">
      <c r="F573542" s="9">
        <v>2</v>
      </c>
    </row>
    <row r="573543" spans="6:6" x14ac:dyDescent="0.25">
      <c r="F573543" s="9">
        <v>3</v>
      </c>
    </row>
    <row r="573544" spans="6:6" x14ac:dyDescent="0.25">
      <c r="F573544" s="9">
        <v>3</v>
      </c>
    </row>
    <row r="573545" spans="6:6" x14ac:dyDescent="0.25">
      <c r="F573545" s="9">
        <v>3</v>
      </c>
    </row>
    <row r="573546" spans="6:6" x14ac:dyDescent="0.25">
      <c r="F573546" s="9">
        <v>4</v>
      </c>
    </row>
    <row r="573547" spans="6:6" x14ac:dyDescent="0.25">
      <c r="F573547" s="9">
        <v>4</v>
      </c>
    </row>
    <row r="573548" spans="6:6" x14ac:dyDescent="0.25">
      <c r="F573548" s="9">
        <v>2</v>
      </c>
    </row>
    <row r="573549" spans="6:6" x14ac:dyDescent="0.25">
      <c r="F573549" s="9">
        <v>3</v>
      </c>
    </row>
    <row r="573550" spans="6:6" x14ac:dyDescent="0.25">
      <c r="F573550" s="9">
        <v>1</v>
      </c>
    </row>
    <row r="573551" spans="6:6" x14ac:dyDescent="0.25">
      <c r="F573551" s="9">
        <v>1</v>
      </c>
    </row>
    <row r="573552" spans="6:6" x14ac:dyDescent="0.25">
      <c r="F573552" s="9">
        <v>1</v>
      </c>
    </row>
    <row r="573553" spans="6:6" x14ac:dyDescent="0.25">
      <c r="F573553" s="9" t="s">
        <v>133</v>
      </c>
    </row>
    <row r="573554" spans="6:6" x14ac:dyDescent="0.25">
      <c r="F573554" s="6" t="s">
        <v>172</v>
      </c>
    </row>
    <row r="573555" spans="6:6" x14ac:dyDescent="0.25">
      <c r="F573555" s="9" t="s">
        <v>263</v>
      </c>
    </row>
    <row r="573556" spans="6:6" x14ac:dyDescent="0.25">
      <c r="F573556" s="33" t="s">
        <v>264</v>
      </c>
    </row>
    <row r="589825" spans="6:6" x14ac:dyDescent="0.25">
      <c r="F589825" s="84"/>
    </row>
    <row r="589826" spans="6:6" x14ac:dyDescent="0.25">
      <c r="F589826" s="46"/>
    </row>
    <row r="589827" spans="6:6" x14ac:dyDescent="0.25">
      <c r="F589827" s="9">
        <v>4</v>
      </c>
    </row>
    <row r="589828" spans="6:6" x14ac:dyDescent="0.25">
      <c r="F589828" s="9">
        <v>6</v>
      </c>
    </row>
    <row r="589829" spans="6:6" x14ac:dyDescent="0.25">
      <c r="F589829" s="9">
        <v>6</v>
      </c>
    </row>
    <row r="589830" spans="6:6" x14ac:dyDescent="0.25">
      <c r="F589830" s="9">
        <v>6</v>
      </c>
    </row>
    <row r="589831" spans="6:6" x14ac:dyDescent="0.25">
      <c r="F589831" s="9">
        <v>4</v>
      </c>
    </row>
    <row r="589832" spans="6:6" x14ac:dyDescent="0.25">
      <c r="F589832" s="9">
        <v>4</v>
      </c>
    </row>
    <row r="589833" spans="6:6" x14ac:dyDescent="0.25">
      <c r="F589833" s="9">
        <v>5</v>
      </c>
    </row>
    <row r="589834" spans="6:6" x14ac:dyDescent="0.25">
      <c r="F589834" s="9">
        <v>5</v>
      </c>
    </row>
    <row r="589835" spans="6:6" x14ac:dyDescent="0.25">
      <c r="F589835" s="9">
        <v>10</v>
      </c>
    </row>
    <row r="589836" spans="6:6" x14ac:dyDescent="0.25">
      <c r="F589836" s="9">
        <v>8</v>
      </c>
    </row>
    <row r="589837" spans="6:6" x14ac:dyDescent="0.25">
      <c r="F589837" s="9">
        <v>9</v>
      </c>
    </row>
    <row r="589838" spans="6:6" x14ac:dyDescent="0.25">
      <c r="F589838" s="9">
        <v>8</v>
      </c>
    </row>
    <row r="589839" spans="6:6" x14ac:dyDescent="0.25">
      <c r="F589839" s="9">
        <v>8</v>
      </c>
    </row>
    <row r="589840" spans="6:6" x14ac:dyDescent="0.25">
      <c r="F589840" s="9">
        <v>8</v>
      </c>
    </row>
    <row r="589841" spans="6:6" x14ac:dyDescent="0.25">
      <c r="F589841" s="9">
        <v>8</v>
      </c>
    </row>
    <row r="589842" spans="6:6" x14ac:dyDescent="0.25">
      <c r="F589842" s="9">
        <v>5</v>
      </c>
    </row>
    <row r="589843" spans="6:6" x14ac:dyDescent="0.25">
      <c r="F589843" s="9">
        <v>5</v>
      </c>
    </row>
    <row r="589844" spans="6:6" x14ac:dyDescent="0.25">
      <c r="F589844" s="9">
        <v>7</v>
      </c>
    </row>
    <row r="589845" spans="6:6" x14ac:dyDescent="0.25">
      <c r="F589845" s="9">
        <v>5</v>
      </c>
    </row>
    <row r="589846" spans="6:6" x14ac:dyDescent="0.25">
      <c r="F589846" s="9">
        <v>5</v>
      </c>
    </row>
    <row r="589847" spans="6:6" x14ac:dyDescent="0.25">
      <c r="F589847" s="9">
        <v>5</v>
      </c>
    </row>
    <row r="589848" spans="6:6" x14ac:dyDescent="0.25">
      <c r="F589848" s="9">
        <v>4</v>
      </c>
    </row>
    <row r="589849" spans="6:6" x14ac:dyDescent="0.25">
      <c r="F589849" s="9">
        <v>6</v>
      </c>
    </row>
    <row r="589850" spans="6:6" x14ac:dyDescent="0.25">
      <c r="F589850" s="9">
        <v>4</v>
      </c>
    </row>
    <row r="589851" spans="6:6" x14ac:dyDescent="0.25">
      <c r="F589851" s="9">
        <v>4</v>
      </c>
    </row>
    <row r="589852" spans="6:6" x14ac:dyDescent="0.25">
      <c r="F589852" s="9">
        <v>6</v>
      </c>
    </row>
    <row r="589853" spans="6:6" x14ac:dyDescent="0.25">
      <c r="F589853" s="9">
        <v>4</v>
      </c>
    </row>
    <row r="589854" spans="6:6" x14ac:dyDescent="0.25">
      <c r="F589854" s="9">
        <v>6</v>
      </c>
    </row>
    <row r="589855" spans="6:6" x14ac:dyDescent="0.25">
      <c r="F589855" s="9">
        <v>4</v>
      </c>
    </row>
    <row r="589856" spans="6:6" x14ac:dyDescent="0.25">
      <c r="F589856" s="9">
        <v>6</v>
      </c>
    </row>
    <row r="589857" spans="6:6" x14ac:dyDescent="0.25">
      <c r="F589857" s="9">
        <v>4</v>
      </c>
    </row>
    <row r="589858" spans="6:6" x14ac:dyDescent="0.25">
      <c r="F589858" s="9">
        <v>6</v>
      </c>
    </row>
    <row r="589859" spans="6:6" x14ac:dyDescent="0.25">
      <c r="F589859" s="9">
        <v>6</v>
      </c>
    </row>
    <row r="589860" spans="6:6" x14ac:dyDescent="0.25">
      <c r="F589860" s="9">
        <v>5</v>
      </c>
    </row>
    <row r="589861" spans="6:6" x14ac:dyDescent="0.25">
      <c r="F589861" s="9">
        <v>3</v>
      </c>
    </row>
    <row r="589862" spans="6:6" x14ac:dyDescent="0.25">
      <c r="F589862" s="9">
        <v>4</v>
      </c>
    </row>
    <row r="589863" spans="6:6" x14ac:dyDescent="0.25">
      <c r="F589863" s="9">
        <v>4</v>
      </c>
    </row>
    <row r="589864" spans="6:6" x14ac:dyDescent="0.25">
      <c r="F589864" s="9">
        <v>5</v>
      </c>
    </row>
    <row r="589865" spans="6:6" x14ac:dyDescent="0.25">
      <c r="F589865" s="9">
        <v>5</v>
      </c>
    </row>
    <row r="589866" spans="6:6" x14ac:dyDescent="0.25">
      <c r="F589866" s="9">
        <v>2</v>
      </c>
    </row>
    <row r="589867" spans="6:6" x14ac:dyDescent="0.25">
      <c r="F589867" s="9">
        <v>6</v>
      </c>
    </row>
    <row r="589868" spans="6:6" x14ac:dyDescent="0.25">
      <c r="F589868" s="9">
        <v>7</v>
      </c>
    </row>
    <row r="589869" spans="6:6" x14ac:dyDescent="0.25">
      <c r="F589869" s="9">
        <v>3</v>
      </c>
    </row>
    <row r="589870" spans="6:6" x14ac:dyDescent="0.25">
      <c r="F589870" s="9">
        <v>3</v>
      </c>
    </row>
    <row r="589871" spans="6:6" x14ac:dyDescent="0.25">
      <c r="F589871" s="9">
        <v>3</v>
      </c>
    </row>
    <row r="589872" spans="6:6" x14ac:dyDescent="0.25">
      <c r="F589872" s="9">
        <v>3</v>
      </c>
    </row>
    <row r="589873" spans="6:6" x14ac:dyDescent="0.25">
      <c r="F589873" s="9">
        <v>6</v>
      </c>
    </row>
    <row r="589874" spans="6:6" x14ac:dyDescent="0.25">
      <c r="F589874" s="9">
        <v>1</v>
      </c>
    </row>
    <row r="589875" spans="6:6" x14ac:dyDescent="0.25">
      <c r="F589875" s="9">
        <v>5</v>
      </c>
    </row>
    <row r="589876" spans="6:6" x14ac:dyDescent="0.25">
      <c r="F589876" s="9">
        <v>6</v>
      </c>
    </row>
    <row r="589877" spans="6:6" x14ac:dyDescent="0.25">
      <c r="F589877" s="9">
        <v>4</v>
      </c>
    </row>
    <row r="589878" spans="6:6" x14ac:dyDescent="0.25">
      <c r="F589878" s="9">
        <v>3</v>
      </c>
    </row>
    <row r="589879" spans="6:6" x14ac:dyDescent="0.25">
      <c r="F589879" s="9">
        <v>4</v>
      </c>
    </row>
    <row r="589880" spans="6:6" x14ac:dyDescent="0.25">
      <c r="F589880" s="9">
        <v>3</v>
      </c>
    </row>
    <row r="589881" spans="6:6" x14ac:dyDescent="0.25">
      <c r="F589881" s="9">
        <v>1</v>
      </c>
    </row>
    <row r="589882" spans="6:6" x14ac:dyDescent="0.25">
      <c r="F589882" s="9">
        <v>5</v>
      </c>
    </row>
    <row r="589883" spans="6:6" x14ac:dyDescent="0.25">
      <c r="F589883" s="9">
        <v>4</v>
      </c>
    </row>
    <row r="589884" spans="6:6" x14ac:dyDescent="0.25">
      <c r="F589884" s="9">
        <v>6</v>
      </c>
    </row>
    <row r="589885" spans="6:6" x14ac:dyDescent="0.25">
      <c r="F589885" s="9">
        <v>2</v>
      </c>
    </row>
    <row r="589886" spans="6:6" x14ac:dyDescent="0.25">
      <c r="F589886" s="9">
        <v>2</v>
      </c>
    </row>
    <row r="589887" spans="6:6" x14ac:dyDescent="0.25">
      <c r="F589887" s="9">
        <v>4</v>
      </c>
    </row>
    <row r="589888" spans="6:6" x14ac:dyDescent="0.25">
      <c r="F589888" s="9">
        <v>3</v>
      </c>
    </row>
    <row r="589889" spans="6:6" x14ac:dyDescent="0.25">
      <c r="F589889" s="9">
        <v>2</v>
      </c>
    </row>
    <row r="589890" spans="6:6" x14ac:dyDescent="0.25">
      <c r="F589890" s="9">
        <v>7</v>
      </c>
    </row>
    <row r="589891" spans="6:6" x14ac:dyDescent="0.25">
      <c r="F589891" s="9">
        <v>8</v>
      </c>
    </row>
    <row r="589892" spans="6:6" x14ac:dyDescent="0.25">
      <c r="F589892" s="9">
        <v>7</v>
      </c>
    </row>
    <row r="589893" spans="6:6" x14ac:dyDescent="0.25">
      <c r="F589893" s="9">
        <v>6</v>
      </c>
    </row>
    <row r="589894" spans="6:6" x14ac:dyDescent="0.25">
      <c r="F589894" s="9">
        <v>3</v>
      </c>
    </row>
    <row r="589895" spans="6:6" x14ac:dyDescent="0.25">
      <c r="F589895" s="9">
        <v>6</v>
      </c>
    </row>
    <row r="589896" spans="6:6" x14ac:dyDescent="0.25">
      <c r="F589896" s="9">
        <v>3</v>
      </c>
    </row>
    <row r="589897" spans="6:6" x14ac:dyDescent="0.25">
      <c r="F589897" s="9">
        <v>2</v>
      </c>
    </row>
    <row r="589898" spans="6:6" x14ac:dyDescent="0.25">
      <c r="F589898" s="9">
        <v>5</v>
      </c>
    </row>
    <row r="589899" spans="6:6" x14ac:dyDescent="0.25">
      <c r="F589899" s="9">
        <v>3</v>
      </c>
    </row>
    <row r="589900" spans="6:6" x14ac:dyDescent="0.25">
      <c r="F589900" s="9">
        <v>4</v>
      </c>
    </row>
    <row r="589901" spans="6:6" x14ac:dyDescent="0.25">
      <c r="F589901" s="9">
        <v>2</v>
      </c>
    </row>
    <row r="589902" spans="6:6" x14ac:dyDescent="0.25">
      <c r="F589902" s="9">
        <v>4</v>
      </c>
    </row>
    <row r="589903" spans="6:6" x14ac:dyDescent="0.25">
      <c r="F589903" s="9">
        <v>3</v>
      </c>
    </row>
    <row r="589904" spans="6:6" x14ac:dyDescent="0.25">
      <c r="F589904" s="9">
        <v>3</v>
      </c>
    </row>
    <row r="589905" spans="6:6" x14ac:dyDescent="0.25">
      <c r="F589905" s="9">
        <v>4</v>
      </c>
    </row>
    <row r="589906" spans="6:6" x14ac:dyDescent="0.25">
      <c r="F589906" s="9">
        <v>3</v>
      </c>
    </row>
    <row r="589907" spans="6:6" x14ac:dyDescent="0.25">
      <c r="F589907" s="9">
        <v>2</v>
      </c>
    </row>
    <row r="589908" spans="6:6" x14ac:dyDescent="0.25">
      <c r="F589908" s="9">
        <v>3</v>
      </c>
    </row>
    <row r="589909" spans="6:6" x14ac:dyDescent="0.25">
      <c r="F589909" s="9">
        <v>7</v>
      </c>
    </row>
    <row r="589910" spans="6:6" x14ac:dyDescent="0.25">
      <c r="F589910" s="9">
        <v>6</v>
      </c>
    </row>
    <row r="589911" spans="6:6" x14ac:dyDescent="0.25">
      <c r="F589911" s="9">
        <v>5</v>
      </c>
    </row>
    <row r="589912" spans="6:6" x14ac:dyDescent="0.25">
      <c r="F589912" s="9">
        <v>5</v>
      </c>
    </row>
    <row r="589913" spans="6:6" x14ac:dyDescent="0.25">
      <c r="F589913" s="9">
        <v>4</v>
      </c>
    </row>
    <row r="589914" spans="6:6" x14ac:dyDescent="0.25">
      <c r="F589914" s="9">
        <v>5</v>
      </c>
    </row>
    <row r="589915" spans="6:6" x14ac:dyDescent="0.25">
      <c r="F589915" s="9">
        <v>5</v>
      </c>
    </row>
    <row r="589916" spans="6:6" x14ac:dyDescent="0.25">
      <c r="F589916" s="9">
        <v>2</v>
      </c>
    </row>
    <row r="589917" spans="6:6" x14ac:dyDescent="0.25">
      <c r="F589917" s="9">
        <v>3</v>
      </c>
    </row>
    <row r="589918" spans="6:6" x14ac:dyDescent="0.25">
      <c r="F589918" s="9">
        <v>2</v>
      </c>
    </row>
    <row r="589919" spans="6:6" x14ac:dyDescent="0.25">
      <c r="F589919" s="9">
        <v>3</v>
      </c>
    </row>
    <row r="589920" spans="6:6" x14ac:dyDescent="0.25">
      <c r="F589920" s="9">
        <v>4</v>
      </c>
    </row>
    <row r="589921" spans="6:6" x14ac:dyDescent="0.25">
      <c r="F589921" s="9">
        <v>4</v>
      </c>
    </row>
    <row r="589922" spans="6:6" x14ac:dyDescent="0.25">
      <c r="F589922" s="9">
        <v>2</v>
      </c>
    </row>
    <row r="589923" spans="6:6" x14ac:dyDescent="0.25">
      <c r="F589923" s="9">
        <v>3</v>
      </c>
    </row>
    <row r="589924" spans="6:6" x14ac:dyDescent="0.25">
      <c r="F589924" s="9">
        <v>3</v>
      </c>
    </row>
    <row r="589925" spans="6:6" x14ac:dyDescent="0.25">
      <c r="F589925" s="9">
        <v>3</v>
      </c>
    </row>
    <row r="589926" spans="6:6" x14ac:dyDescent="0.25">
      <c r="F589926" s="9">
        <v>2</v>
      </c>
    </row>
    <row r="589927" spans="6:6" x14ac:dyDescent="0.25">
      <c r="F589927" s="9">
        <v>3</v>
      </c>
    </row>
    <row r="589928" spans="6:6" x14ac:dyDescent="0.25">
      <c r="F589928" s="9">
        <v>3</v>
      </c>
    </row>
    <row r="589929" spans="6:6" x14ac:dyDescent="0.25">
      <c r="F589929" s="9">
        <v>3</v>
      </c>
    </row>
    <row r="589930" spans="6:6" x14ac:dyDescent="0.25">
      <c r="F589930" s="9">
        <v>4</v>
      </c>
    </row>
    <row r="589931" spans="6:6" x14ac:dyDescent="0.25">
      <c r="F589931" s="9">
        <v>4</v>
      </c>
    </row>
    <row r="589932" spans="6:6" x14ac:dyDescent="0.25">
      <c r="F589932" s="9">
        <v>2</v>
      </c>
    </row>
    <row r="589933" spans="6:6" x14ac:dyDescent="0.25">
      <c r="F589933" s="9">
        <v>3</v>
      </c>
    </row>
    <row r="589934" spans="6:6" x14ac:dyDescent="0.25">
      <c r="F589934" s="9">
        <v>1</v>
      </c>
    </row>
    <row r="589935" spans="6:6" x14ac:dyDescent="0.25">
      <c r="F589935" s="9">
        <v>1</v>
      </c>
    </row>
    <row r="589936" spans="6:6" x14ac:dyDescent="0.25">
      <c r="F589936" s="9">
        <v>1</v>
      </c>
    </row>
    <row r="589937" spans="6:6" x14ac:dyDescent="0.25">
      <c r="F589937" s="9" t="s">
        <v>133</v>
      </c>
    </row>
    <row r="589938" spans="6:6" x14ac:dyDescent="0.25">
      <c r="F589938" s="6" t="s">
        <v>172</v>
      </c>
    </row>
    <row r="589939" spans="6:6" x14ac:dyDescent="0.25">
      <c r="F589939" s="9" t="s">
        <v>263</v>
      </c>
    </row>
    <row r="589940" spans="6:6" x14ac:dyDescent="0.25">
      <c r="F589940" s="33" t="s">
        <v>264</v>
      </c>
    </row>
    <row r="606209" spans="6:6" x14ac:dyDescent="0.25">
      <c r="F606209" s="84"/>
    </row>
    <row r="606210" spans="6:6" x14ac:dyDescent="0.25">
      <c r="F606210" s="46"/>
    </row>
    <row r="606211" spans="6:6" x14ac:dyDescent="0.25">
      <c r="F606211" s="9">
        <v>4</v>
      </c>
    </row>
    <row r="606212" spans="6:6" x14ac:dyDescent="0.25">
      <c r="F606212" s="9">
        <v>6</v>
      </c>
    </row>
    <row r="606213" spans="6:6" x14ac:dyDescent="0.25">
      <c r="F606213" s="9">
        <v>6</v>
      </c>
    </row>
    <row r="606214" spans="6:6" x14ac:dyDescent="0.25">
      <c r="F606214" s="9">
        <v>6</v>
      </c>
    </row>
    <row r="606215" spans="6:6" x14ac:dyDescent="0.25">
      <c r="F606215" s="9">
        <v>4</v>
      </c>
    </row>
    <row r="606216" spans="6:6" x14ac:dyDescent="0.25">
      <c r="F606216" s="9">
        <v>4</v>
      </c>
    </row>
    <row r="606217" spans="6:6" x14ac:dyDescent="0.25">
      <c r="F606217" s="9">
        <v>5</v>
      </c>
    </row>
    <row r="606218" spans="6:6" x14ac:dyDescent="0.25">
      <c r="F606218" s="9">
        <v>5</v>
      </c>
    </row>
    <row r="606219" spans="6:6" x14ac:dyDescent="0.25">
      <c r="F606219" s="9">
        <v>10</v>
      </c>
    </row>
    <row r="606220" spans="6:6" x14ac:dyDescent="0.25">
      <c r="F606220" s="9">
        <v>8</v>
      </c>
    </row>
    <row r="606221" spans="6:6" x14ac:dyDescent="0.25">
      <c r="F606221" s="9">
        <v>9</v>
      </c>
    </row>
    <row r="606222" spans="6:6" x14ac:dyDescent="0.25">
      <c r="F606222" s="9">
        <v>8</v>
      </c>
    </row>
    <row r="606223" spans="6:6" x14ac:dyDescent="0.25">
      <c r="F606223" s="9">
        <v>8</v>
      </c>
    </row>
    <row r="606224" spans="6:6" x14ac:dyDescent="0.25">
      <c r="F606224" s="9">
        <v>8</v>
      </c>
    </row>
    <row r="606225" spans="6:6" x14ac:dyDescent="0.25">
      <c r="F606225" s="9">
        <v>8</v>
      </c>
    </row>
    <row r="606226" spans="6:6" x14ac:dyDescent="0.25">
      <c r="F606226" s="9">
        <v>5</v>
      </c>
    </row>
    <row r="606227" spans="6:6" x14ac:dyDescent="0.25">
      <c r="F606227" s="9">
        <v>5</v>
      </c>
    </row>
    <row r="606228" spans="6:6" x14ac:dyDescent="0.25">
      <c r="F606228" s="9">
        <v>7</v>
      </c>
    </row>
    <row r="606229" spans="6:6" x14ac:dyDescent="0.25">
      <c r="F606229" s="9">
        <v>5</v>
      </c>
    </row>
    <row r="606230" spans="6:6" x14ac:dyDescent="0.25">
      <c r="F606230" s="9">
        <v>5</v>
      </c>
    </row>
    <row r="606231" spans="6:6" x14ac:dyDescent="0.25">
      <c r="F606231" s="9">
        <v>5</v>
      </c>
    </row>
    <row r="606232" spans="6:6" x14ac:dyDescent="0.25">
      <c r="F606232" s="9">
        <v>4</v>
      </c>
    </row>
    <row r="606233" spans="6:6" x14ac:dyDescent="0.25">
      <c r="F606233" s="9">
        <v>6</v>
      </c>
    </row>
    <row r="606234" spans="6:6" x14ac:dyDescent="0.25">
      <c r="F606234" s="9">
        <v>4</v>
      </c>
    </row>
    <row r="606235" spans="6:6" x14ac:dyDescent="0.25">
      <c r="F606235" s="9">
        <v>4</v>
      </c>
    </row>
    <row r="606236" spans="6:6" x14ac:dyDescent="0.25">
      <c r="F606236" s="9">
        <v>6</v>
      </c>
    </row>
    <row r="606237" spans="6:6" x14ac:dyDescent="0.25">
      <c r="F606237" s="9">
        <v>4</v>
      </c>
    </row>
    <row r="606238" spans="6:6" x14ac:dyDescent="0.25">
      <c r="F606238" s="9">
        <v>6</v>
      </c>
    </row>
    <row r="606239" spans="6:6" x14ac:dyDescent="0.25">
      <c r="F606239" s="9">
        <v>4</v>
      </c>
    </row>
    <row r="606240" spans="6:6" x14ac:dyDescent="0.25">
      <c r="F606240" s="9">
        <v>6</v>
      </c>
    </row>
    <row r="606241" spans="6:6" x14ac:dyDescent="0.25">
      <c r="F606241" s="9">
        <v>4</v>
      </c>
    </row>
    <row r="606242" spans="6:6" x14ac:dyDescent="0.25">
      <c r="F606242" s="9">
        <v>6</v>
      </c>
    </row>
    <row r="606243" spans="6:6" x14ac:dyDescent="0.25">
      <c r="F606243" s="9">
        <v>6</v>
      </c>
    </row>
    <row r="606244" spans="6:6" x14ac:dyDescent="0.25">
      <c r="F606244" s="9">
        <v>5</v>
      </c>
    </row>
    <row r="606245" spans="6:6" x14ac:dyDescent="0.25">
      <c r="F606245" s="9">
        <v>3</v>
      </c>
    </row>
    <row r="606246" spans="6:6" x14ac:dyDescent="0.25">
      <c r="F606246" s="9">
        <v>4</v>
      </c>
    </row>
    <row r="606247" spans="6:6" x14ac:dyDescent="0.25">
      <c r="F606247" s="9">
        <v>4</v>
      </c>
    </row>
    <row r="606248" spans="6:6" x14ac:dyDescent="0.25">
      <c r="F606248" s="9">
        <v>5</v>
      </c>
    </row>
    <row r="606249" spans="6:6" x14ac:dyDescent="0.25">
      <c r="F606249" s="9">
        <v>5</v>
      </c>
    </row>
    <row r="606250" spans="6:6" x14ac:dyDescent="0.25">
      <c r="F606250" s="9">
        <v>2</v>
      </c>
    </row>
    <row r="606251" spans="6:6" x14ac:dyDescent="0.25">
      <c r="F606251" s="9">
        <v>6</v>
      </c>
    </row>
    <row r="606252" spans="6:6" x14ac:dyDescent="0.25">
      <c r="F606252" s="9">
        <v>7</v>
      </c>
    </row>
    <row r="606253" spans="6:6" x14ac:dyDescent="0.25">
      <c r="F606253" s="9">
        <v>3</v>
      </c>
    </row>
    <row r="606254" spans="6:6" x14ac:dyDescent="0.25">
      <c r="F606254" s="9">
        <v>3</v>
      </c>
    </row>
    <row r="606255" spans="6:6" x14ac:dyDescent="0.25">
      <c r="F606255" s="9">
        <v>3</v>
      </c>
    </row>
    <row r="606256" spans="6:6" x14ac:dyDescent="0.25">
      <c r="F606256" s="9">
        <v>3</v>
      </c>
    </row>
    <row r="606257" spans="6:6" x14ac:dyDescent="0.25">
      <c r="F606257" s="9">
        <v>6</v>
      </c>
    </row>
    <row r="606258" spans="6:6" x14ac:dyDescent="0.25">
      <c r="F606258" s="9">
        <v>1</v>
      </c>
    </row>
    <row r="606259" spans="6:6" x14ac:dyDescent="0.25">
      <c r="F606259" s="9">
        <v>5</v>
      </c>
    </row>
    <row r="606260" spans="6:6" x14ac:dyDescent="0.25">
      <c r="F606260" s="9">
        <v>6</v>
      </c>
    </row>
    <row r="606261" spans="6:6" x14ac:dyDescent="0.25">
      <c r="F606261" s="9">
        <v>4</v>
      </c>
    </row>
    <row r="606262" spans="6:6" x14ac:dyDescent="0.25">
      <c r="F606262" s="9">
        <v>3</v>
      </c>
    </row>
    <row r="606263" spans="6:6" x14ac:dyDescent="0.25">
      <c r="F606263" s="9">
        <v>4</v>
      </c>
    </row>
    <row r="606264" spans="6:6" x14ac:dyDescent="0.25">
      <c r="F606264" s="9">
        <v>3</v>
      </c>
    </row>
    <row r="606265" spans="6:6" x14ac:dyDescent="0.25">
      <c r="F606265" s="9">
        <v>1</v>
      </c>
    </row>
    <row r="606266" spans="6:6" x14ac:dyDescent="0.25">
      <c r="F606266" s="9">
        <v>5</v>
      </c>
    </row>
    <row r="606267" spans="6:6" x14ac:dyDescent="0.25">
      <c r="F606267" s="9">
        <v>4</v>
      </c>
    </row>
    <row r="606268" spans="6:6" x14ac:dyDescent="0.25">
      <c r="F606268" s="9">
        <v>6</v>
      </c>
    </row>
    <row r="606269" spans="6:6" x14ac:dyDescent="0.25">
      <c r="F606269" s="9">
        <v>2</v>
      </c>
    </row>
    <row r="606270" spans="6:6" x14ac:dyDescent="0.25">
      <c r="F606270" s="9">
        <v>2</v>
      </c>
    </row>
    <row r="606271" spans="6:6" x14ac:dyDescent="0.25">
      <c r="F606271" s="9">
        <v>4</v>
      </c>
    </row>
    <row r="606272" spans="6:6" x14ac:dyDescent="0.25">
      <c r="F606272" s="9">
        <v>3</v>
      </c>
    </row>
    <row r="606273" spans="6:6" x14ac:dyDescent="0.25">
      <c r="F606273" s="9">
        <v>2</v>
      </c>
    </row>
    <row r="606274" spans="6:6" x14ac:dyDescent="0.25">
      <c r="F606274" s="9">
        <v>7</v>
      </c>
    </row>
    <row r="606275" spans="6:6" x14ac:dyDescent="0.25">
      <c r="F606275" s="9">
        <v>8</v>
      </c>
    </row>
    <row r="606276" spans="6:6" x14ac:dyDescent="0.25">
      <c r="F606276" s="9">
        <v>7</v>
      </c>
    </row>
    <row r="606277" spans="6:6" x14ac:dyDescent="0.25">
      <c r="F606277" s="9">
        <v>6</v>
      </c>
    </row>
    <row r="606278" spans="6:6" x14ac:dyDescent="0.25">
      <c r="F606278" s="9">
        <v>3</v>
      </c>
    </row>
    <row r="606279" spans="6:6" x14ac:dyDescent="0.25">
      <c r="F606279" s="9">
        <v>6</v>
      </c>
    </row>
    <row r="606280" spans="6:6" x14ac:dyDescent="0.25">
      <c r="F606280" s="9">
        <v>3</v>
      </c>
    </row>
    <row r="606281" spans="6:6" x14ac:dyDescent="0.25">
      <c r="F606281" s="9">
        <v>2</v>
      </c>
    </row>
    <row r="606282" spans="6:6" x14ac:dyDescent="0.25">
      <c r="F606282" s="9">
        <v>5</v>
      </c>
    </row>
    <row r="606283" spans="6:6" x14ac:dyDescent="0.25">
      <c r="F606283" s="9">
        <v>3</v>
      </c>
    </row>
    <row r="606284" spans="6:6" x14ac:dyDescent="0.25">
      <c r="F606284" s="9">
        <v>4</v>
      </c>
    </row>
    <row r="606285" spans="6:6" x14ac:dyDescent="0.25">
      <c r="F606285" s="9">
        <v>2</v>
      </c>
    </row>
    <row r="606286" spans="6:6" x14ac:dyDescent="0.25">
      <c r="F606286" s="9">
        <v>4</v>
      </c>
    </row>
    <row r="606287" spans="6:6" x14ac:dyDescent="0.25">
      <c r="F606287" s="9">
        <v>3</v>
      </c>
    </row>
    <row r="606288" spans="6:6" x14ac:dyDescent="0.25">
      <c r="F606288" s="9">
        <v>3</v>
      </c>
    </row>
    <row r="606289" spans="6:6" x14ac:dyDescent="0.25">
      <c r="F606289" s="9">
        <v>4</v>
      </c>
    </row>
    <row r="606290" spans="6:6" x14ac:dyDescent="0.25">
      <c r="F606290" s="9">
        <v>3</v>
      </c>
    </row>
    <row r="606291" spans="6:6" x14ac:dyDescent="0.25">
      <c r="F606291" s="9">
        <v>2</v>
      </c>
    </row>
    <row r="606292" spans="6:6" x14ac:dyDescent="0.25">
      <c r="F606292" s="9">
        <v>3</v>
      </c>
    </row>
    <row r="606293" spans="6:6" x14ac:dyDescent="0.25">
      <c r="F606293" s="9">
        <v>7</v>
      </c>
    </row>
    <row r="606294" spans="6:6" x14ac:dyDescent="0.25">
      <c r="F606294" s="9">
        <v>6</v>
      </c>
    </row>
    <row r="606295" spans="6:6" x14ac:dyDescent="0.25">
      <c r="F606295" s="9">
        <v>5</v>
      </c>
    </row>
    <row r="606296" spans="6:6" x14ac:dyDescent="0.25">
      <c r="F606296" s="9">
        <v>5</v>
      </c>
    </row>
    <row r="606297" spans="6:6" x14ac:dyDescent="0.25">
      <c r="F606297" s="9">
        <v>4</v>
      </c>
    </row>
    <row r="606298" spans="6:6" x14ac:dyDescent="0.25">
      <c r="F606298" s="9">
        <v>5</v>
      </c>
    </row>
    <row r="606299" spans="6:6" x14ac:dyDescent="0.25">
      <c r="F606299" s="9">
        <v>5</v>
      </c>
    </row>
    <row r="606300" spans="6:6" x14ac:dyDescent="0.25">
      <c r="F606300" s="9">
        <v>2</v>
      </c>
    </row>
    <row r="606301" spans="6:6" x14ac:dyDescent="0.25">
      <c r="F606301" s="9">
        <v>3</v>
      </c>
    </row>
    <row r="606302" spans="6:6" x14ac:dyDescent="0.25">
      <c r="F606302" s="9">
        <v>2</v>
      </c>
    </row>
    <row r="606303" spans="6:6" x14ac:dyDescent="0.25">
      <c r="F606303" s="9">
        <v>3</v>
      </c>
    </row>
    <row r="606304" spans="6:6" x14ac:dyDescent="0.25">
      <c r="F606304" s="9">
        <v>4</v>
      </c>
    </row>
    <row r="606305" spans="6:6" x14ac:dyDescent="0.25">
      <c r="F606305" s="9">
        <v>4</v>
      </c>
    </row>
    <row r="606306" spans="6:6" x14ac:dyDescent="0.25">
      <c r="F606306" s="9">
        <v>2</v>
      </c>
    </row>
    <row r="606307" spans="6:6" x14ac:dyDescent="0.25">
      <c r="F606307" s="9">
        <v>3</v>
      </c>
    </row>
    <row r="606308" spans="6:6" x14ac:dyDescent="0.25">
      <c r="F606308" s="9">
        <v>3</v>
      </c>
    </row>
    <row r="606309" spans="6:6" x14ac:dyDescent="0.25">
      <c r="F606309" s="9">
        <v>3</v>
      </c>
    </row>
    <row r="606310" spans="6:6" x14ac:dyDescent="0.25">
      <c r="F606310" s="9">
        <v>2</v>
      </c>
    </row>
    <row r="606311" spans="6:6" x14ac:dyDescent="0.25">
      <c r="F606311" s="9">
        <v>3</v>
      </c>
    </row>
    <row r="606312" spans="6:6" x14ac:dyDescent="0.25">
      <c r="F606312" s="9">
        <v>3</v>
      </c>
    </row>
    <row r="606313" spans="6:6" x14ac:dyDescent="0.25">
      <c r="F606313" s="9">
        <v>3</v>
      </c>
    </row>
    <row r="606314" spans="6:6" x14ac:dyDescent="0.25">
      <c r="F606314" s="9">
        <v>4</v>
      </c>
    </row>
    <row r="606315" spans="6:6" x14ac:dyDescent="0.25">
      <c r="F606315" s="9">
        <v>4</v>
      </c>
    </row>
    <row r="606316" spans="6:6" x14ac:dyDescent="0.25">
      <c r="F606316" s="9">
        <v>2</v>
      </c>
    </row>
    <row r="606317" spans="6:6" x14ac:dyDescent="0.25">
      <c r="F606317" s="9">
        <v>3</v>
      </c>
    </row>
    <row r="606318" spans="6:6" x14ac:dyDescent="0.25">
      <c r="F606318" s="9">
        <v>1</v>
      </c>
    </row>
    <row r="606319" spans="6:6" x14ac:dyDescent="0.25">
      <c r="F606319" s="9">
        <v>1</v>
      </c>
    </row>
    <row r="606320" spans="6:6" x14ac:dyDescent="0.25">
      <c r="F606320" s="9">
        <v>1</v>
      </c>
    </row>
    <row r="606321" spans="6:6" x14ac:dyDescent="0.25">
      <c r="F606321" s="9" t="s">
        <v>133</v>
      </c>
    </row>
    <row r="606322" spans="6:6" x14ac:dyDescent="0.25">
      <c r="F606322" s="6" t="s">
        <v>172</v>
      </c>
    </row>
    <row r="606323" spans="6:6" x14ac:dyDescent="0.25">
      <c r="F606323" s="9" t="s">
        <v>263</v>
      </c>
    </row>
    <row r="606324" spans="6:6" x14ac:dyDescent="0.25">
      <c r="F606324" s="33" t="s">
        <v>264</v>
      </c>
    </row>
    <row r="622593" spans="6:6" x14ac:dyDescent="0.25">
      <c r="F622593" s="84"/>
    </row>
    <row r="622594" spans="6:6" x14ac:dyDescent="0.25">
      <c r="F622594" s="46"/>
    </row>
    <row r="622595" spans="6:6" x14ac:dyDescent="0.25">
      <c r="F622595" s="9">
        <v>4</v>
      </c>
    </row>
    <row r="622596" spans="6:6" x14ac:dyDescent="0.25">
      <c r="F622596" s="9">
        <v>6</v>
      </c>
    </row>
    <row r="622597" spans="6:6" x14ac:dyDescent="0.25">
      <c r="F622597" s="9">
        <v>6</v>
      </c>
    </row>
    <row r="622598" spans="6:6" x14ac:dyDescent="0.25">
      <c r="F622598" s="9">
        <v>6</v>
      </c>
    </row>
    <row r="622599" spans="6:6" x14ac:dyDescent="0.25">
      <c r="F622599" s="9">
        <v>4</v>
      </c>
    </row>
    <row r="622600" spans="6:6" x14ac:dyDescent="0.25">
      <c r="F622600" s="9">
        <v>4</v>
      </c>
    </row>
    <row r="622601" spans="6:6" x14ac:dyDescent="0.25">
      <c r="F622601" s="9">
        <v>5</v>
      </c>
    </row>
    <row r="622602" spans="6:6" x14ac:dyDescent="0.25">
      <c r="F622602" s="9">
        <v>5</v>
      </c>
    </row>
    <row r="622603" spans="6:6" x14ac:dyDescent="0.25">
      <c r="F622603" s="9">
        <v>10</v>
      </c>
    </row>
    <row r="622604" spans="6:6" x14ac:dyDescent="0.25">
      <c r="F622604" s="9">
        <v>8</v>
      </c>
    </row>
    <row r="622605" spans="6:6" x14ac:dyDescent="0.25">
      <c r="F622605" s="9">
        <v>9</v>
      </c>
    </row>
    <row r="622606" spans="6:6" x14ac:dyDescent="0.25">
      <c r="F622606" s="9">
        <v>8</v>
      </c>
    </row>
    <row r="622607" spans="6:6" x14ac:dyDescent="0.25">
      <c r="F622607" s="9">
        <v>8</v>
      </c>
    </row>
    <row r="622608" spans="6:6" x14ac:dyDescent="0.25">
      <c r="F622608" s="9">
        <v>8</v>
      </c>
    </row>
    <row r="622609" spans="6:6" x14ac:dyDescent="0.25">
      <c r="F622609" s="9">
        <v>8</v>
      </c>
    </row>
    <row r="622610" spans="6:6" x14ac:dyDescent="0.25">
      <c r="F622610" s="9">
        <v>5</v>
      </c>
    </row>
    <row r="622611" spans="6:6" x14ac:dyDescent="0.25">
      <c r="F622611" s="9">
        <v>5</v>
      </c>
    </row>
    <row r="622612" spans="6:6" x14ac:dyDescent="0.25">
      <c r="F622612" s="9">
        <v>7</v>
      </c>
    </row>
    <row r="622613" spans="6:6" x14ac:dyDescent="0.25">
      <c r="F622613" s="9">
        <v>5</v>
      </c>
    </row>
    <row r="622614" spans="6:6" x14ac:dyDescent="0.25">
      <c r="F622614" s="9">
        <v>5</v>
      </c>
    </row>
    <row r="622615" spans="6:6" x14ac:dyDescent="0.25">
      <c r="F622615" s="9">
        <v>5</v>
      </c>
    </row>
    <row r="622616" spans="6:6" x14ac:dyDescent="0.25">
      <c r="F622616" s="9">
        <v>4</v>
      </c>
    </row>
    <row r="622617" spans="6:6" x14ac:dyDescent="0.25">
      <c r="F622617" s="9">
        <v>6</v>
      </c>
    </row>
    <row r="622618" spans="6:6" x14ac:dyDescent="0.25">
      <c r="F622618" s="9">
        <v>4</v>
      </c>
    </row>
    <row r="622619" spans="6:6" x14ac:dyDescent="0.25">
      <c r="F622619" s="9">
        <v>4</v>
      </c>
    </row>
    <row r="622620" spans="6:6" x14ac:dyDescent="0.25">
      <c r="F622620" s="9">
        <v>6</v>
      </c>
    </row>
    <row r="622621" spans="6:6" x14ac:dyDescent="0.25">
      <c r="F622621" s="9">
        <v>4</v>
      </c>
    </row>
    <row r="622622" spans="6:6" x14ac:dyDescent="0.25">
      <c r="F622622" s="9">
        <v>6</v>
      </c>
    </row>
    <row r="622623" spans="6:6" x14ac:dyDescent="0.25">
      <c r="F622623" s="9">
        <v>4</v>
      </c>
    </row>
    <row r="622624" spans="6:6" x14ac:dyDescent="0.25">
      <c r="F622624" s="9">
        <v>6</v>
      </c>
    </row>
    <row r="622625" spans="6:6" x14ac:dyDescent="0.25">
      <c r="F622625" s="9">
        <v>4</v>
      </c>
    </row>
    <row r="622626" spans="6:6" x14ac:dyDescent="0.25">
      <c r="F622626" s="9">
        <v>6</v>
      </c>
    </row>
    <row r="622627" spans="6:6" x14ac:dyDescent="0.25">
      <c r="F622627" s="9">
        <v>6</v>
      </c>
    </row>
    <row r="622628" spans="6:6" x14ac:dyDescent="0.25">
      <c r="F622628" s="9">
        <v>5</v>
      </c>
    </row>
    <row r="622629" spans="6:6" x14ac:dyDescent="0.25">
      <c r="F622629" s="9">
        <v>3</v>
      </c>
    </row>
    <row r="622630" spans="6:6" x14ac:dyDescent="0.25">
      <c r="F622630" s="9">
        <v>4</v>
      </c>
    </row>
    <row r="622631" spans="6:6" x14ac:dyDescent="0.25">
      <c r="F622631" s="9">
        <v>4</v>
      </c>
    </row>
    <row r="622632" spans="6:6" x14ac:dyDescent="0.25">
      <c r="F622632" s="9">
        <v>5</v>
      </c>
    </row>
    <row r="622633" spans="6:6" x14ac:dyDescent="0.25">
      <c r="F622633" s="9">
        <v>5</v>
      </c>
    </row>
    <row r="622634" spans="6:6" x14ac:dyDescent="0.25">
      <c r="F622634" s="9">
        <v>2</v>
      </c>
    </row>
    <row r="622635" spans="6:6" x14ac:dyDescent="0.25">
      <c r="F622635" s="9">
        <v>6</v>
      </c>
    </row>
    <row r="622636" spans="6:6" x14ac:dyDescent="0.25">
      <c r="F622636" s="9">
        <v>7</v>
      </c>
    </row>
    <row r="622637" spans="6:6" x14ac:dyDescent="0.25">
      <c r="F622637" s="9">
        <v>3</v>
      </c>
    </row>
    <row r="622638" spans="6:6" x14ac:dyDescent="0.25">
      <c r="F622638" s="9">
        <v>3</v>
      </c>
    </row>
    <row r="622639" spans="6:6" x14ac:dyDescent="0.25">
      <c r="F622639" s="9">
        <v>3</v>
      </c>
    </row>
    <row r="622640" spans="6:6" x14ac:dyDescent="0.25">
      <c r="F622640" s="9">
        <v>3</v>
      </c>
    </row>
    <row r="622641" spans="6:6" x14ac:dyDescent="0.25">
      <c r="F622641" s="9">
        <v>6</v>
      </c>
    </row>
    <row r="622642" spans="6:6" x14ac:dyDescent="0.25">
      <c r="F622642" s="9">
        <v>1</v>
      </c>
    </row>
    <row r="622643" spans="6:6" x14ac:dyDescent="0.25">
      <c r="F622643" s="9">
        <v>5</v>
      </c>
    </row>
    <row r="622644" spans="6:6" x14ac:dyDescent="0.25">
      <c r="F622644" s="9">
        <v>6</v>
      </c>
    </row>
    <row r="622645" spans="6:6" x14ac:dyDescent="0.25">
      <c r="F622645" s="9">
        <v>4</v>
      </c>
    </row>
    <row r="622646" spans="6:6" x14ac:dyDescent="0.25">
      <c r="F622646" s="9">
        <v>3</v>
      </c>
    </row>
    <row r="622647" spans="6:6" x14ac:dyDescent="0.25">
      <c r="F622647" s="9">
        <v>4</v>
      </c>
    </row>
    <row r="622648" spans="6:6" x14ac:dyDescent="0.25">
      <c r="F622648" s="9">
        <v>3</v>
      </c>
    </row>
    <row r="622649" spans="6:6" x14ac:dyDescent="0.25">
      <c r="F622649" s="9">
        <v>1</v>
      </c>
    </row>
    <row r="622650" spans="6:6" x14ac:dyDescent="0.25">
      <c r="F622650" s="9">
        <v>5</v>
      </c>
    </row>
    <row r="622651" spans="6:6" x14ac:dyDescent="0.25">
      <c r="F622651" s="9">
        <v>4</v>
      </c>
    </row>
    <row r="622652" spans="6:6" x14ac:dyDescent="0.25">
      <c r="F622652" s="9">
        <v>6</v>
      </c>
    </row>
    <row r="622653" spans="6:6" x14ac:dyDescent="0.25">
      <c r="F622653" s="9">
        <v>2</v>
      </c>
    </row>
    <row r="622654" spans="6:6" x14ac:dyDescent="0.25">
      <c r="F622654" s="9">
        <v>2</v>
      </c>
    </row>
    <row r="622655" spans="6:6" x14ac:dyDescent="0.25">
      <c r="F622655" s="9">
        <v>4</v>
      </c>
    </row>
    <row r="622656" spans="6:6" x14ac:dyDescent="0.25">
      <c r="F622656" s="9">
        <v>3</v>
      </c>
    </row>
    <row r="622657" spans="6:6" x14ac:dyDescent="0.25">
      <c r="F622657" s="9">
        <v>2</v>
      </c>
    </row>
    <row r="622658" spans="6:6" x14ac:dyDescent="0.25">
      <c r="F622658" s="9">
        <v>7</v>
      </c>
    </row>
    <row r="622659" spans="6:6" x14ac:dyDescent="0.25">
      <c r="F622659" s="9">
        <v>8</v>
      </c>
    </row>
    <row r="622660" spans="6:6" x14ac:dyDescent="0.25">
      <c r="F622660" s="9">
        <v>7</v>
      </c>
    </row>
    <row r="622661" spans="6:6" x14ac:dyDescent="0.25">
      <c r="F622661" s="9">
        <v>6</v>
      </c>
    </row>
    <row r="622662" spans="6:6" x14ac:dyDescent="0.25">
      <c r="F622662" s="9">
        <v>3</v>
      </c>
    </row>
    <row r="622663" spans="6:6" x14ac:dyDescent="0.25">
      <c r="F622663" s="9">
        <v>6</v>
      </c>
    </row>
    <row r="622664" spans="6:6" x14ac:dyDescent="0.25">
      <c r="F622664" s="9">
        <v>3</v>
      </c>
    </row>
    <row r="622665" spans="6:6" x14ac:dyDescent="0.25">
      <c r="F622665" s="9">
        <v>2</v>
      </c>
    </row>
    <row r="622666" spans="6:6" x14ac:dyDescent="0.25">
      <c r="F622666" s="9">
        <v>5</v>
      </c>
    </row>
    <row r="622667" spans="6:6" x14ac:dyDescent="0.25">
      <c r="F622667" s="9">
        <v>3</v>
      </c>
    </row>
    <row r="622668" spans="6:6" x14ac:dyDescent="0.25">
      <c r="F622668" s="9">
        <v>4</v>
      </c>
    </row>
    <row r="622669" spans="6:6" x14ac:dyDescent="0.25">
      <c r="F622669" s="9">
        <v>2</v>
      </c>
    </row>
    <row r="622670" spans="6:6" x14ac:dyDescent="0.25">
      <c r="F622670" s="9">
        <v>4</v>
      </c>
    </row>
    <row r="622671" spans="6:6" x14ac:dyDescent="0.25">
      <c r="F622671" s="9">
        <v>3</v>
      </c>
    </row>
    <row r="622672" spans="6:6" x14ac:dyDescent="0.25">
      <c r="F622672" s="9">
        <v>3</v>
      </c>
    </row>
    <row r="622673" spans="6:6" x14ac:dyDescent="0.25">
      <c r="F622673" s="9">
        <v>4</v>
      </c>
    </row>
    <row r="622674" spans="6:6" x14ac:dyDescent="0.25">
      <c r="F622674" s="9">
        <v>3</v>
      </c>
    </row>
    <row r="622675" spans="6:6" x14ac:dyDescent="0.25">
      <c r="F622675" s="9">
        <v>2</v>
      </c>
    </row>
    <row r="622676" spans="6:6" x14ac:dyDescent="0.25">
      <c r="F622676" s="9">
        <v>3</v>
      </c>
    </row>
    <row r="622677" spans="6:6" x14ac:dyDescent="0.25">
      <c r="F622677" s="9">
        <v>7</v>
      </c>
    </row>
    <row r="622678" spans="6:6" x14ac:dyDescent="0.25">
      <c r="F622678" s="9">
        <v>6</v>
      </c>
    </row>
    <row r="622679" spans="6:6" x14ac:dyDescent="0.25">
      <c r="F622679" s="9">
        <v>5</v>
      </c>
    </row>
    <row r="622680" spans="6:6" x14ac:dyDescent="0.25">
      <c r="F622680" s="9">
        <v>5</v>
      </c>
    </row>
    <row r="622681" spans="6:6" x14ac:dyDescent="0.25">
      <c r="F622681" s="9">
        <v>4</v>
      </c>
    </row>
    <row r="622682" spans="6:6" x14ac:dyDescent="0.25">
      <c r="F622682" s="9">
        <v>5</v>
      </c>
    </row>
    <row r="622683" spans="6:6" x14ac:dyDescent="0.25">
      <c r="F622683" s="9">
        <v>5</v>
      </c>
    </row>
    <row r="622684" spans="6:6" x14ac:dyDescent="0.25">
      <c r="F622684" s="9">
        <v>2</v>
      </c>
    </row>
    <row r="622685" spans="6:6" x14ac:dyDescent="0.25">
      <c r="F622685" s="9">
        <v>3</v>
      </c>
    </row>
    <row r="622686" spans="6:6" x14ac:dyDescent="0.25">
      <c r="F622686" s="9">
        <v>2</v>
      </c>
    </row>
    <row r="622687" spans="6:6" x14ac:dyDescent="0.25">
      <c r="F622687" s="9">
        <v>3</v>
      </c>
    </row>
    <row r="622688" spans="6:6" x14ac:dyDescent="0.25">
      <c r="F622688" s="9">
        <v>4</v>
      </c>
    </row>
    <row r="622689" spans="6:6" x14ac:dyDescent="0.25">
      <c r="F622689" s="9">
        <v>4</v>
      </c>
    </row>
    <row r="622690" spans="6:6" x14ac:dyDescent="0.25">
      <c r="F622690" s="9">
        <v>2</v>
      </c>
    </row>
    <row r="622691" spans="6:6" x14ac:dyDescent="0.25">
      <c r="F622691" s="9">
        <v>3</v>
      </c>
    </row>
    <row r="622692" spans="6:6" x14ac:dyDescent="0.25">
      <c r="F622692" s="9">
        <v>3</v>
      </c>
    </row>
    <row r="622693" spans="6:6" x14ac:dyDescent="0.25">
      <c r="F622693" s="9">
        <v>3</v>
      </c>
    </row>
    <row r="622694" spans="6:6" x14ac:dyDescent="0.25">
      <c r="F622694" s="9">
        <v>2</v>
      </c>
    </row>
    <row r="622695" spans="6:6" x14ac:dyDescent="0.25">
      <c r="F622695" s="9">
        <v>3</v>
      </c>
    </row>
    <row r="622696" spans="6:6" x14ac:dyDescent="0.25">
      <c r="F622696" s="9">
        <v>3</v>
      </c>
    </row>
    <row r="622697" spans="6:6" x14ac:dyDescent="0.25">
      <c r="F622697" s="9">
        <v>3</v>
      </c>
    </row>
    <row r="622698" spans="6:6" x14ac:dyDescent="0.25">
      <c r="F622698" s="9">
        <v>4</v>
      </c>
    </row>
    <row r="622699" spans="6:6" x14ac:dyDescent="0.25">
      <c r="F622699" s="9">
        <v>4</v>
      </c>
    </row>
    <row r="622700" spans="6:6" x14ac:dyDescent="0.25">
      <c r="F622700" s="9">
        <v>2</v>
      </c>
    </row>
    <row r="622701" spans="6:6" x14ac:dyDescent="0.25">
      <c r="F622701" s="9">
        <v>3</v>
      </c>
    </row>
    <row r="622702" spans="6:6" x14ac:dyDescent="0.25">
      <c r="F622702" s="9">
        <v>1</v>
      </c>
    </row>
    <row r="622703" spans="6:6" x14ac:dyDescent="0.25">
      <c r="F622703" s="9">
        <v>1</v>
      </c>
    </row>
    <row r="622704" spans="6:6" x14ac:dyDescent="0.25">
      <c r="F622704" s="9">
        <v>1</v>
      </c>
    </row>
    <row r="622705" spans="6:6" x14ac:dyDescent="0.25">
      <c r="F622705" s="9" t="s">
        <v>133</v>
      </c>
    </row>
    <row r="622706" spans="6:6" x14ac:dyDescent="0.25">
      <c r="F622706" s="6" t="s">
        <v>172</v>
      </c>
    </row>
    <row r="622707" spans="6:6" x14ac:dyDescent="0.25">
      <c r="F622707" s="9" t="s">
        <v>263</v>
      </c>
    </row>
    <row r="622708" spans="6:6" x14ac:dyDescent="0.25">
      <c r="F622708" s="33" t="s">
        <v>264</v>
      </c>
    </row>
    <row r="638977" spans="6:6" x14ac:dyDescent="0.25">
      <c r="F638977" s="84"/>
    </row>
    <row r="638978" spans="6:6" x14ac:dyDescent="0.25">
      <c r="F638978" s="46"/>
    </row>
    <row r="638979" spans="6:6" x14ac:dyDescent="0.25">
      <c r="F638979" s="9">
        <v>4</v>
      </c>
    </row>
    <row r="638980" spans="6:6" x14ac:dyDescent="0.25">
      <c r="F638980" s="9">
        <v>6</v>
      </c>
    </row>
    <row r="638981" spans="6:6" x14ac:dyDescent="0.25">
      <c r="F638981" s="9">
        <v>6</v>
      </c>
    </row>
    <row r="638982" spans="6:6" x14ac:dyDescent="0.25">
      <c r="F638982" s="9">
        <v>6</v>
      </c>
    </row>
    <row r="638983" spans="6:6" x14ac:dyDescent="0.25">
      <c r="F638983" s="9">
        <v>4</v>
      </c>
    </row>
    <row r="638984" spans="6:6" x14ac:dyDescent="0.25">
      <c r="F638984" s="9">
        <v>4</v>
      </c>
    </row>
    <row r="638985" spans="6:6" x14ac:dyDescent="0.25">
      <c r="F638985" s="9">
        <v>5</v>
      </c>
    </row>
    <row r="638986" spans="6:6" x14ac:dyDescent="0.25">
      <c r="F638986" s="9">
        <v>5</v>
      </c>
    </row>
    <row r="638987" spans="6:6" x14ac:dyDescent="0.25">
      <c r="F638987" s="9">
        <v>10</v>
      </c>
    </row>
    <row r="638988" spans="6:6" x14ac:dyDescent="0.25">
      <c r="F638988" s="9">
        <v>8</v>
      </c>
    </row>
    <row r="638989" spans="6:6" x14ac:dyDescent="0.25">
      <c r="F638989" s="9">
        <v>9</v>
      </c>
    </row>
    <row r="638990" spans="6:6" x14ac:dyDescent="0.25">
      <c r="F638990" s="9">
        <v>8</v>
      </c>
    </row>
    <row r="638991" spans="6:6" x14ac:dyDescent="0.25">
      <c r="F638991" s="9">
        <v>8</v>
      </c>
    </row>
    <row r="638992" spans="6:6" x14ac:dyDescent="0.25">
      <c r="F638992" s="9">
        <v>8</v>
      </c>
    </row>
    <row r="638993" spans="6:6" x14ac:dyDescent="0.25">
      <c r="F638993" s="9">
        <v>8</v>
      </c>
    </row>
    <row r="638994" spans="6:6" x14ac:dyDescent="0.25">
      <c r="F638994" s="9">
        <v>5</v>
      </c>
    </row>
    <row r="638995" spans="6:6" x14ac:dyDescent="0.25">
      <c r="F638995" s="9">
        <v>5</v>
      </c>
    </row>
    <row r="638996" spans="6:6" x14ac:dyDescent="0.25">
      <c r="F638996" s="9">
        <v>7</v>
      </c>
    </row>
    <row r="638997" spans="6:6" x14ac:dyDescent="0.25">
      <c r="F638997" s="9">
        <v>5</v>
      </c>
    </row>
    <row r="638998" spans="6:6" x14ac:dyDescent="0.25">
      <c r="F638998" s="9">
        <v>5</v>
      </c>
    </row>
    <row r="638999" spans="6:6" x14ac:dyDescent="0.25">
      <c r="F638999" s="9">
        <v>5</v>
      </c>
    </row>
    <row r="639000" spans="6:6" x14ac:dyDescent="0.25">
      <c r="F639000" s="9">
        <v>4</v>
      </c>
    </row>
    <row r="639001" spans="6:6" x14ac:dyDescent="0.25">
      <c r="F639001" s="9">
        <v>6</v>
      </c>
    </row>
    <row r="639002" spans="6:6" x14ac:dyDescent="0.25">
      <c r="F639002" s="9">
        <v>4</v>
      </c>
    </row>
    <row r="639003" spans="6:6" x14ac:dyDescent="0.25">
      <c r="F639003" s="9">
        <v>4</v>
      </c>
    </row>
    <row r="639004" spans="6:6" x14ac:dyDescent="0.25">
      <c r="F639004" s="9">
        <v>6</v>
      </c>
    </row>
    <row r="639005" spans="6:6" x14ac:dyDescent="0.25">
      <c r="F639005" s="9">
        <v>4</v>
      </c>
    </row>
    <row r="639006" spans="6:6" x14ac:dyDescent="0.25">
      <c r="F639006" s="9">
        <v>6</v>
      </c>
    </row>
    <row r="639007" spans="6:6" x14ac:dyDescent="0.25">
      <c r="F639007" s="9">
        <v>4</v>
      </c>
    </row>
    <row r="639008" spans="6:6" x14ac:dyDescent="0.25">
      <c r="F639008" s="9">
        <v>6</v>
      </c>
    </row>
    <row r="639009" spans="6:6" x14ac:dyDescent="0.25">
      <c r="F639009" s="9">
        <v>4</v>
      </c>
    </row>
    <row r="639010" spans="6:6" x14ac:dyDescent="0.25">
      <c r="F639010" s="9">
        <v>6</v>
      </c>
    </row>
    <row r="639011" spans="6:6" x14ac:dyDescent="0.25">
      <c r="F639011" s="9">
        <v>6</v>
      </c>
    </row>
    <row r="639012" spans="6:6" x14ac:dyDescent="0.25">
      <c r="F639012" s="9">
        <v>5</v>
      </c>
    </row>
    <row r="639013" spans="6:6" x14ac:dyDescent="0.25">
      <c r="F639013" s="9">
        <v>3</v>
      </c>
    </row>
    <row r="639014" spans="6:6" x14ac:dyDescent="0.25">
      <c r="F639014" s="9">
        <v>4</v>
      </c>
    </row>
    <row r="639015" spans="6:6" x14ac:dyDescent="0.25">
      <c r="F639015" s="9">
        <v>4</v>
      </c>
    </row>
    <row r="639016" spans="6:6" x14ac:dyDescent="0.25">
      <c r="F639016" s="9">
        <v>5</v>
      </c>
    </row>
    <row r="639017" spans="6:6" x14ac:dyDescent="0.25">
      <c r="F639017" s="9">
        <v>5</v>
      </c>
    </row>
    <row r="639018" spans="6:6" x14ac:dyDescent="0.25">
      <c r="F639018" s="9">
        <v>2</v>
      </c>
    </row>
    <row r="639019" spans="6:6" x14ac:dyDescent="0.25">
      <c r="F639019" s="9">
        <v>6</v>
      </c>
    </row>
    <row r="639020" spans="6:6" x14ac:dyDescent="0.25">
      <c r="F639020" s="9">
        <v>7</v>
      </c>
    </row>
    <row r="639021" spans="6:6" x14ac:dyDescent="0.25">
      <c r="F639021" s="9">
        <v>3</v>
      </c>
    </row>
    <row r="639022" spans="6:6" x14ac:dyDescent="0.25">
      <c r="F639022" s="9">
        <v>3</v>
      </c>
    </row>
    <row r="639023" spans="6:6" x14ac:dyDescent="0.25">
      <c r="F639023" s="9">
        <v>3</v>
      </c>
    </row>
    <row r="639024" spans="6:6" x14ac:dyDescent="0.25">
      <c r="F639024" s="9">
        <v>3</v>
      </c>
    </row>
    <row r="639025" spans="6:6" x14ac:dyDescent="0.25">
      <c r="F639025" s="9">
        <v>6</v>
      </c>
    </row>
    <row r="639026" spans="6:6" x14ac:dyDescent="0.25">
      <c r="F639026" s="9">
        <v>1</v>
      </c>
    </row>
    <row r="639027" spans="6:6" x14ac:dyDescent="0.25">
      <c r="F639027" s="9">
        <v>5</v>
      </c>
    </row>
    <row r="639028" spans="6:6" x14ac:dyDescent="0.25">
      <c r="F639028" s="9">
        <v>6</v>
      </c>
    </row>
    <row r="639029" spans="6:6" x14ac:dyDescent="0.25">
      <c r="F639029" s="9">
        <v>4</v>
      </c>
    </row>
    <row r="639030" spans="6:6" x14ac:dyDescent="0.25">
      <c r="F639030" s="9">
        <v>3</v>
      </c>
    </row>
    <row r="639031" spans="6:6" x14ac:dyDescent="0.25">
      <c r="F639031" s="9">
        <v>4</v>
      </c>
    </row>
    <row r="639032" spans="6:6" x14ac:dyDescent="0.25">
      <c r="F639032" s="9">
        <v>3</v>
      </c>
    </row>
    <row r="639033" spans="6:6" x14ac:dyDescent="0.25">
      <c r="F639033" s="9">
        <v>1</v>
      </c>
    </row>
    <row r="639034" spans="6:6" x14ac:dyDescent="0.25">
      <c r="F639034" s="9">
        <v>5</v>
      </c>
    </row>
    <row r="639035" spans="6:6" x14ac:dyDescent="0.25">
      <c r="F639035" s="9">
        <v>4</v>
      </c>
    </row>
    <row r="639036" spans="6:6" x14ac:dyDescent="0.25">
      <c r="F639036" s="9">
        <v>6</v>
      </c>
    </row>
    <row r="639037" spans="6:6" x14ac:dyDescent="0.25">
      <c r="F639037" s="9">
        <v>2</v>
      </c>
    </row>
    <row r="639038" spans="6:6" x14ac:dyDescent="0.25">
      <c r="F639038" s="9">
        <v>2</v>
      </c>
    </row>
    <row r="639039" spans="6:6" x14ac:dyDescent="0.25">
      <c r="F639039" s="9">
        <v>4</v>
      </c>
    </row>
    <row r="639040" spans="6:6" x14ac:dyDescent="0.25">
      <c r="F639040" s="9">
        <v>3</v>
      </c>
    </row>
    <row r="639041" spans="6:6" x14ac:dyDescent="0.25">
      <c r="F639041" s="9">
        <v>2</v>
      </c>
    </row>
    <row r="639042" spans="6:6" x14ac:dyDescent="0.25">
      <c r="F639042" s="9">
        <v>7</v>
      </c>
    </row>
    <row r="639043" spans="6:6" x14ac:dyDescent="0.25">
      <c r="F639043" s="9">
        <v>8</v>
      </c>
    </row>
    <row r="639044" spans="6:6" x14ac:dyDescent="0.25">
      <c r="F639044" s="9">
        <v>7</v>
      </c>
    </row>
    <row r="639045" spans="6:6" x14ac:dyDescent="0.25">
      <c r="F639045" s="9">
        <v>6</v>
      </c>
    </row>
    <row r="639046" spans="6:6" x14ac:dyDescent="0.25">
      <c r="F639046" s="9">
        <v>3</v>
      </c>
    </row>
    <row r="639047" spans="6:6" x14ac:dyDescent="0.25">
      <c r="F639047" s="9">
        <v>6</v>
      </c>
    </row>
    <row r="639048" spans="6:6" x14ac:dyDescent="0.25">
      <c r="F639048" s="9">
        <v>3</v>
      </c>
    </row>
    <row r="639049" spans="6:6" x14ac:dyDescent="0.25">
      <c r="F639049" s="9">
        <v>2</v>
      </c>
    </row>
    <row r="639050" spans="6:6" x14ac:dyDescent="0.25">
      <c r="F639050" s="9">
        <v>5</v>
      </c>
    </row>
    <row r="639051" spans="6:6" x14ac:dyDescent="0.25">
      <c r="F639051" s="9">
        <v>3</v>
      </c>
    </row>
    <row r="639052" spans="6:6" x14ac:dyDescent="0.25">
      <c r="F639052" s="9">
        <v>4</v>
      </c>
    </row>
    <row r="639053" spans="6:6" x14ac:dyDescent="0.25">
      <c r="F639053" s="9">
        <v>2</v>
      </c>
    </row>
    <row r="639054" spans="6:6" x14ac:dyDescent="0.25">
      <c r="F639054" s="9">
        <v>4</v>
      </c>
    </row>
    <row r="639055" spans="6:6" x14ac:dyDescent="0.25">
      <c r="F639055" s="9">
        <v>3</v>
      </c>
    </row>
    <row r="639056" spans="6:6" x14ac:dyDescent="0.25">
      <c r="F639056" s="9">
        <v>3</v>
      </c>
    </row>
    <row r="639057" spans="6:6" x14ac:dyDescent="0.25">
      <c r="F639057" s="9">
        <v>4</v>
      </c>
    </row>
    <row r="639058" spans="6:6" x14ac:dyDescent="0.25">
      <c r="F639058" s="9">
        <v>3</v>
      </c>
    </row>
    <row r="639059" spans="6:6" x14ac:dyDescent="0.25">
      <c r="F639059" s="9">
        <v>2</v>
      </c>
    </row>
    <row r="639060" spans="6:6" x14ac:dyDescent="0.25">
      <c r="F639060" s="9">
        <v>3</v>
      </c>
    </row>
    <row r="639061" spans="6:6" x14ac:dyDescent="0.25">
      <c r="F639061" s="9">
        <v>7</v>
      </c>
    </row>
    <row r="639062" spans="6:6" x14ac:dyDescent="0.25">
      <c r="F639062" s="9">
        <v>6</v>
      </c>
    </row>
    <row r="639063" spans="6:6" x14ac:dyDescent="0.25">
      <c r="F639063" s="9">
        <v>5</v>
      </c>
    </row>
    <row r="639064" spans="6:6" x14ac:dyDescent="0.25">
      <c r="F639064" s="9">
        <v>5</v>
      </c>
    </row>
    <row r="639065" spans="6:6" x14ac:dyDescent="0.25">
      <c r="F639065" s="9">
        <v>4</v>
      </c>
    </row>
    <row r="639066" spans="6:6" x14ac:dyDescent="0.25">
      <c r="F639066" s="9">
        <v>5</v>
      </c>
    </row>
    <row r="639067" spans="6:6" x14ac:dyDescent="0.25">
      <c r="F639067" s="9">
        <v>5</v>
      </c>
    </row>
    <row r="639068" spans="6:6" x14ac:dyDescent="0.25">
      <c r="F639068" s="9">
        <v>2</v>
      </c>
    </row>
    <row r="639069" spans="6:6" x14ac:dyDescent="0.25">
      <c r="F639069" s="9">
        <v>3</v>
      </c>
    </row>
    <row r="639070" spans="6:6" x14ac:dyDescent="0.25">
      <c r="F639070" s="9">
        <v>2</v>
      </c>
    </row>
    <row r="639071" spans="6:6" x14ac:dyDescent="0.25">
      <c r="F639071" s="9">
        <v>3</v>
      </c>
    </row>
    <row r="639072" spans="6:6" x14ac:dyDescent="0.25">
      <c r="F639072" s="9">
        <v>4</v>
      </c>
    </row>
    <row r="639073" spans="6:6" x14ac:dyDescent="0.25">
      <c r="F639073" s="9">
        <v>4</v>
      </c>
    </row>
    <row r="639074" spans="6:6" x14ac:dyDescent="0.25">
      <c r="F639074" s="9">
        <v>2</v>
      </c>
    </row>
    <row r="639075" spans="6:6" x14ac:dyDescent="0.25">
      <c r="F639075" s="9">
        <v>3</v>
      </c>
    </row>
    <row r="639076" spans="6:6" x14ac:dyDescent="0.25">
      <c r="F639076" s="9">
        <v>3</v>
      </c>
    </row>
    <row r="639077" spans="6:6" x14ac:dyDescent="0.25">
      <c r="F639077" s="9">
        <v>3</v>
      </c>
    </row>
    <row r="639078" spans="6:6" x14ac:dyDescent="0.25">
      <c r="F639078" s="9">
        <v>2</v>
      </c>
    </row>
    <row r="639079" spans="6:6" x14ac:dyDescent="0.25">
      <c r="F639079" s="9">
        <v>3</v>
      </c>
    </row>
    <row r="639080" spans="6:6" x14ac:dyDescent="0.25">
      <c r="F639080" s="9">
        <v>3</v>
      </c>
    </row>
    <row r="639081" spans="6:6" x14ac:dyDescent="0.25">
      <c r="F639081" s="9">
        <v>3</v>
      </c>
    </row>
    <row r="639082" spans="6:6" x14ac:dyDescent="0.25">
      <c r="F639082" s="9">
        <v>4</v>
      </c>
    </row>
    <row r="639083" spans="6:6" x14ac:dyDescent="0.25">
      <c r="F639083" s="9">
        <v>4</v>
      </c>
    </row>
    <row r="639084" spans="6:6" x14ac:dyDescent="0.25">
      <c r="F639084" s="9">
        <v>2</v>
      </c>
    </row>
    <row r="639085" spans="6:6" x14ac:dyDescent="0.25">
      <c r="F639085" s="9">
        <v>3</v>
      </c>
    </row>
    <row r="639086" spans="6:6" x14ac:dyDescent="0.25">
      <c r="F639086" s="9">
        <v>1</v>
      </c>
    </row>
    <row r="639087" spans="6:6" x14ac:dyDescent="0.25">
      <c r="F639087" s="9">
        <v>1</v>
      </c>
    </row>
    <row r="639088" spans="6:6" x14ac:dyDescent="0.25">
      <c r="F639088" s="9">
        <v>1</v>
      </c>
    </row>
    <row r="639089" spans="6:6" x14ac:dyDescent="0.25">
      <c r="F639089" s="9" t="s">
        <v>133</v>
      </c>
    </row>
    <row r="639090" spans="6:6" x14ac:dyDescent="0.25">
      <c r="F639090" s="6" t="s">
        <v>172</v>
      </c>
    </row>
    <row r="639091" spans="6:6" x14ac:dyDescent="0.25">
      <c r="F639091" s="9" t="s">
        <v>263</v>
      </c>
    </row>
    <row r="639092" spans="6:6" x14ac:dyDescent="0.25">
      <c r="F639092" s="33" t="s">
        <v>264</v>
      </c>
    </row>
    <row r="655361" spans="6:6" x14ac:dyDescent="0.25">
      <c r="F655361" s="84"/>
    </row>
    <row r="655362" spans="6:6" x14ac:dyDescent="0.25">
      <c r="F655362" s="46"/>
    </row>
    <row r="655363" spans="6:6" x14ac:dyDescent="0.25">
      <c r="F655363" s="9">
        <v>4</v>
      </c>
    </row>
    <row r="655364" spans="6:6" x14ac:dyDescent="0.25">
      <c r="F655364" s="9">
        <v>6</v>
      </c>
    </row>
    <row r="655365" spans="6:6" x14ac:dyDescent="0.25">
      <c r="F655365" s="9">
        <v>6</v>
      </c>
    </row>
    <row r="655366" spans="6:6" x14ac:dyDescent="0.25">
      <c r="F655366" s="9">
        <v>6</v>
      </c>
    </row>
    <row r="655367" spans="6:6" x14ac:dyDescent="0.25">
      <c r="F655367" s="9">
        <v>4</v>
      </c>
    </row>
    <row r="655368" spans="6:6" x14ac:dyDescent="0.25">
      <c r="F655368" s="9">
        <v>4</v>
      </c>
    </row>
    <row r="655369" spans="6:6" x14ac:dyDescent="0.25">
      <c r="F655369" s="9">
        <v>5</v>
      </c>
    </row>
    <row r="655370" spans="6:6" x14ac:dyDescent="0.25">
      <c r="F655370" s="9">
        <v>5</v>
      </c>
    </row>
    <row r="655371" spans="6:6" x14ac:dyDescent="0.25">
      <c r="F655371" s="9">
        <v>10</v>
      </c>
    </row>
    <row r="655372" spans="6:6" x14ac:dyDescent="0.25">
      <c r="F655372" s="9">
        <v>8</v>
      </c>
    </row>
    <row r="655373" spans="6:6" x14ac:dyDescent="0.25">
      <c r="F655373" s="9">
        <v>9</v>
      </c>
    </row>
    <row r="655374" spans="6:6" x14ac:dyDescent="0.25">
      <c r="F655374" s="9">
        <v>8</v>
      </c>
    </row>
    <row r="655375" spans="6:6" x14ac:dyDescent="0.25">
      <c r="F655375" s="9">
        <v>8</v>
      </c>
    </row>
    <row r="655376" spans="6:6" x14ac:dyDescent="0.25">
      <c r="F655376" s="9">
        <v>8</v>
      </c>
    </row>
    <row r="655377" spans="6:6" x14ac:dyDescent="0.25">
      <c r="F655377" s="9">
        <v>8</v>
      </c>
    </row>
    <row r="655378" spans="6:6" x14ac:dyDescent="0.25">
      <c r="F655378" s="9">
        <v>5</v>
      </c>
    </row>
    <row r="655379" spans="6:6" x14ac:dyDescent="0.25">
      <c r="F655379" s="9">
        <v>5</v>
      </c>
    </row>
    <row r="655380" spans="6:6" x14ac:dyDescent="0.25">
      <c r="F655380" s="9">
        <v>7</v>
      </c>
    </row>
    <row r="655381" spans="6:6" x14ac:dyDescent="0.25">
      <c r="F655381" s="9">
        <v>5</v>
      </c>
    </row>
    <row r="655382" spans="6:6" x14ac:dyDescent="0.25">
      <c r="F655382" s="9">
        <v>5</v>
      </c>
    </row>
    <row r="655383" spans="6:6" x14ac:dyDescent="0.25">
      <c r="F655383" s="9">
        <v>5</v>
      </c>
    </row>
    <row r="655384" spans="6:6" x14ac:dyDescent="0.25">
      <c r="F655384" s="9">
        <v>4</v>
      </c>
    </row>
    <row r="655385" spans="6:6" x14ac:dyDescent="0.25">
      <c r="F655385" s="9">
        <v>6</v>
      </c>
    </row>
    <row r="655386" spans="6:6" x14ac:dyDescent="0.25">
      <c r="F655386" s="9">
        <v>4</v>
      </c>
    </row>
    <row r="655387" spans="6:6" x14ac:dyDescent="0.25">
      <c r="F655387" s="9">
        <v>4</v>
      </c>
    </row>
    <row r="655388" spans="6:6" x14ac:dyDescent="0.25">
      <c r="F655388" s="9">
        <v>6</v>
      </c>
    </row>
    <row r="655389" spans="6:6" x14ac:dyDescent="0.25">
      <c r="F655389" s="9">
        <v>4</v>
      </c>
    </row>
    <row r="655390" spans="6:6" x14ac:dyDescent="0.25">
      <c r="F655390" s="9">
        <v>6</v>
      </c>
    </row>
    <row r="655391" spans="6:6" x14ac:dyDescent="0.25">
      <c r="F655391" s="9">
        <v>4</v>
      </c>
    </row>
    <row r="655392" spans="6:6" x14ac:dyDescent="0.25">
      <c r="F655392" s="9">
        <v>6</v>
      </c>
    </row>
    <row r="655393" spans="6:6" x14ac:dyDescent="0.25">
      <c r="F655393" s="9">
        <v>4</v>
      </c>
    </row>
    <row r="655394" spans="6:6" x14ac:dyDescent="0.25">
      <c r="F655394" s="9">
        <v>6</v>
      </c>
    </row>
    <row r="655395" spans="6:6" x14ac:dyDescent="0.25">
      <c r="F655395" s="9">
        <v>6</v>
      </c>
    </row>
    <row r="655396" spans="6:6" x14ac:dyDescent="0.25">
      <c r="F655396" s="9">
        <v>5</v>
      </c>
    </row>
    <row r="655397" spans="6:6" x14ac:dyDescent="0.25">
      <c r="F655397" s="9">
        <v>3</v>
      </c>
    </row>
    <row r="655398" spans="6:6" x14ac:dyDescent="0.25">
      <c r="F655398" s="9">
        <v>4</v>
      </c>
    </row>
    <row r="655399" spans="6:6" x14ac:dyDescent="0.25">
      <c r="F655399" s="9">
        <v>4</v>
      </c>
    </row>
    <row r="655400" spans="6:6" x14ac:dyDescent="0.25">
      <c r="F655400" s="9">
        <v>5</v>
      </c>
    </row>
    <row r="655401" spans="6:6" x14ac:dyDescent="0.25">
      <c r="F655401" s="9">
        <v>5</v>
      </c>
    </row>
    <row r="655402" spans="6:6" x14ac:dyDescent="0.25">
      <c r="F655402" s="9">
        <v>2</v>
      </c>
    </row>
    <row r="655403" spans="6:6" x14ac:dyDescent="0.25">
      <c r="F655403" s="9">
        <v>6</v>
      </c>
    </row>
    <row r="655404" spans="6:6" x14ac:dyDescent="0.25">
      <c r="F655404" s="9">
        <v>7</v>
      </c>
    </row>
    <row r="655405" spans="6:6" x14ac:dyDescent="0.25">
      <c r="F655405" s="9">
        <v>3</v>
      </c>
    </row>
    <row r="655406" spans="6:6" x14ac:dyDescent="0.25">
      <c r="F655406" s="9">
        <v>3</v>
      </c>
    </row>
    <row r="655407" spans="6:6" x14ac:dyDescent="0.25">
      <c r="F655407" s="9">
        <v>3</v>
      </c>
    </row>
    <row r="655408" spans="6:6" x14ac:dyDescent="0.25">
      <c r="F655408" s="9">
        <v>3</v>
      </c>
    </row>
    <row r="655409" spans="6:6" x14ac:dyDescent="0.25">
      <c r="F655409" s="9">
        <v>6</v>
      </c>
    </row>
    <row r="655410" spans="6:6" x14ac:dyDescent="0.25">
      <c r="F655410" s="9">
        <v>1</v>
      </c>
    </row>
    <row r="655411" spans="6:6" x14ac:dyDescent="0.25">
      <c r="F655411" s="9">
        <v>5</v>
      </c>
    </row>
    <row r="655412" spans="6:6" x14ac:dyDescent="0.25">
      <c r="F655412" s="9">
        <v>6</v>
      </c>
    </row>
    <row r="655413" spans="6:6" x14ac:dyDescent="0.25">
      <c r="F655413" s="9">
        <v>4</v>
      </c>
    </row>
    <row r="655414" spans="6:6" x14ac:dyDescent="0.25">
      <c r="F655414" s="9">
        <v>3</v>
      </c>
    </row>
    <row r="655415" spans="6:6" x14ac:dyDescent="0.25">
      <c r="F655415" s="9">
        <v>4</v>
      </c>
    </row>
    <row r="655416" spans="6:6" x14ac:dyDescent="0.25">
      <c r="F655416" s="9">
        <v>3</v>
      </c>
    </row>
    <row r="655417" spans="6:6" x14ac:dyDescent="0.25">
      <c r="F655417" s="9">
        <v>1</v>
      </c>
    </row>
    <row r="655418" spans="6:6" x14ac:dyDescent="0.25">
      <c r="F655418" s="9">
        <v>5</v>
      </c>
    </row>
    <row r="655419" spans="6:6" x14ac:dyDescent="0.25">
      <c r="F655419" s="9">
        <v>4</v>
      </c>
    </row>
    <row r="655420" spans="6:6" x14ac:dyDescent="0.25">
      <c r="F655420" s="9">
        <v>6</v>
      </c>
    </row>
    <row r="655421" spans="6:6" x14ac:dyDescent="0.25">
      <c r="F655421" s="9">
        <v>2</v>
      </c>
    </row>
    <row r="655422" spans="6:6" x14ac:dyDescent="0.25">
      <c r="F655422" s="9">
        <v>2</v>
      </c>
    </row>
    <row r="655423" spans="6:6" x14ac:dyDescent="0.25">
      <c r="F655423" s="9">
        <v>4</v>
      </c>
    </row>
    <row r="655424" spans="6:6" x14ac:dyDescent="0.25">
      <c r="F655424" s="9">
        <v>3</v>
      </c>
    </row>
    <row r="655425" spans="6:6" x14ac:dyDescent="0.25">
      <c r="F655425" s="9">
        <v>2</v>
      </c>
    </row>
    <row r="655426" spans="6:6" x14ac:dyDescent="0.25">
      <c r="F655426" s="9">
        <v>7</v>
      </c>
    </row>
    <row r="655427" spans="6:6" x14ac:dyDescent="0.25">
      <c r="F655427" s="9">
        <v>8</v>
      </c>
    </row>
    <row r="655428" spans="6:6" x14ac:dyDescent="0.25">
      <c r="F655428" s="9">
        <v>7</v>
      </c>
    </row>
    <row r="655429" spans="6:6" x14ac:dyDescent="0.25">
      <c r="F655429" s="9">
        <v>6</v>
      </c>
    </row>
    <row r="655430" spans="6:6" x14ac:dyDescent="0.25">
      <c r="F655430" s="9">
        <v>3</v>
      </c>
    </row>
    <row r="655431" spans="6:6" x14ac:dyDescent="0.25">
      <c r="F655431" s="9">
        <v>6</v>
      </c>
    </row>
    <row r="655432" spans="6:6" x14ac:dyDescent="0.25">
      <c r="F655432" s="9">
        <v>3</v>
      </c>
    </row>
    <row r="655433" spans="6:6" x14ac:dyDescent="0.25">
      <c r="F655433" s="9">
        <v>2</v>
      </c>
    </row>
    <row r="655434" spans="6:6" x14ac:dyDescent="0.25">
      <c r="F655434" s="9">
        <v>5</v>
      </c>
    </row>
    <row r="655435" spans="6:6" x14ac:dyDescent="0.25">
      <c r="F655435" s="9">
        <v>3</v>
      </c>
    </row>
    <row r="655436" spans="6:6" x14ac:dyDescent="0.25">
      <c r="F655436" s="9">
        <v>4</v>
      </c>
    </row>
    <row r="655437" spans="6:6" x14ac:dyDescent="0.25">
      <c r="F655437" s="9">
        <v>2</v>
      </c>
    </row>
    <row r="655438" spans="6:6" x14ac:dyDescent="0.25">
      <c r="F655438" s="9">
        <v>4</v>
      </c>
    </row>
    <row r="655439" spans="6:6" x14ac:dyDescent="0.25">
      <c r="F655439" s="9">
        <v>3</v>
      </c>
    </row>
    <row r="655440" spans="6:6" x14ac:dyDescent="0.25">
      <c r="F655440" s="9">
        <v>3</v>
      </c>
    </row>
    <row r="655441" spans="6:6" x14ac:dyDescent="0.25">
      <c r="F655441" s="9">
        <v>4</v>
      </c>
    </row>
    <row r="655442" spans="6:6" x14ac:dyDescent="0.25">
      <c r="F655442" s="9">
        <v>3</v>
      </c>
    </row>
    <row r="655443" spans="6:6" x14ac:dyDescent="0.25">
      <c r="F655443" s="9">
        <v>2</v>
      </c>
    </row>
    <row r="655444" spans="6:6" x14ac:dyDescent="0.25">
      <c r="F655444" s="9">
        <v>3</v>
      </c>
    </row>
    <row r="655445" spans="6:6" x14ac:dyDescent="0.25">
      <c r="F655445" s="9">
        <v>7</v>
      </c>
    </row>
    <row r="655446" spans="6:6" x14ac:dyDescent="0.25">
      <c r="F655446" s="9">
        <v>6</v>
      </c>
    </row>
    <row r="655447" spans="6:6" x14ac:dyDescent="0.25">
      <c r="F655447" s="9">
        <v>5</v>
      </c>
    </row>
    <row r="655448" spans="6:6" x14ac:dyDescent="0.25">
      <c r="F655448" s="9">
        <v>5</v>
      </c>
    </row>
    <row r="655449" spans="6:6" x14ac:dyDescent="0.25">
      <c r="F655449" s="9">
        <v>4</v>
      </c>
    </row>
    <row r="655450" spans="6:6" x14ac:dyDescent="0.25">
      <c r="F655450" s="9">
        <v>5</v>
      </c>
    </row>
    <row r="655451" spans="6:6" x14ac:dyDescent="0.25">
      <c r="F655451" s="9">
        <v>5</v>
      </c>
    </row>
    <row r="655452" spans="6:6" x14ac:dyDescent="0.25">
      <c r="F655452" s="9">
        <v>2</v>
      </c>
    </row>
    <row r="655453" spans="6:6" x14ac:dyDescent="0.25">
      <c r="F655453" s="9">
        <v>3</v>
      </c>
    </row>
    <row r="655454" spans="6:6" x14ac:dyDescent="0.25">
      <c r="F655454" s="9">
        <v>2</v>
      </c>
    </row>
    <row r="655455" spans="6:6" x14ac:dyDescent="0.25">
      <c r="F655455" s="9">
        <v>3</v>
      </c>
    </row>
    <row r="655456" spans="6:6" x14ac:dyDescent="0.25">
      <c r="F655456" s="9">
        <v>4</v>
      </c>
    </row>
    <row r="655457" spans="6:6" x14ac:dyDescent="0.25">
      <c r="F655457" s="9">
        <v>4</v>
      </c>
    </row>
    <row r="655458" spans="6:6" x14ac:dyDescent="0.25">
      <c r="F655458" s="9">
        <v>2</v>
      </c>
    </row>
    <row r="655459" spans="6:6" x14ac:dyDescent="0.25">
      <c r="F655459" s="9">
        <v>3</v>
      </c>
    </row>
    <row r="655460" spans="6:6" x14ac:dyDescent="0.25">
      <c r="F655460" s="9">
        <v>3</v>
      </c>
    </row>
    <row r="655461" spans="6:6" x14ac:dyDescent="0.25">
      <c r="F655461" s="9">
        <v>3</v>
      </c>
    </row>
    <row r="655462" spans="6:6" x14ac:dyDescent="0.25">
      <c r="F655462" s="9">
        <v>2</v>
      </c>
    </row>
    <row r="655463" spans="6:6" x14ac:dyDescent="0.25">
      <c r="F655463" s="9">
        <v>3</v>
      </c>
    </row>
    <row r="655464" spans="6:6" x14ac:dyDescent="0.25">
      <c r="F655464" s="9">
        <v>3</v>
      </c>
    </row>
    <row r="655465" spans="6:6" x14ac:dyDescent="0.25">
      <c r="F655465" s="9">
        <v>3</v>
      </c>
    </row>
    <row r="655466" spans="6:6" x14ac:dyDescent="0.25">
      <c r="F655466" s="9">
        <v>4</v>
      </c>
    </row>
    <row r="655467" spans="6:6" x14ac:dyDescent="0.25">
      <c r="F655467" s="9">
        <v>4</v>
      </c>
    </row>
    <row r="655468" spans="6:6" x14ac:dyDescent="0.25">
      <c r="F655468" s="9">
        <v>2</v>
      </c>
    </row>
    <row r="655469" spans="6:6" x14ac:dyDescent="0.25">
      <c r="F655469" s="9">
        <v>3</v>
      </c>
    </row>
    <row r="655470" spans="6:6" x14ac:dyDescent="0.25">
      <c r="F655470" s="9">
        <v>1</v>
      </c>
    </row>
    <row r="655471" spans="6:6" x14ac:dyDescent="0.25">
      <c r="F655471" s="9">
        <v>1</v>
      </c>
    </row>
    <row r="655472" spans="6:6" x14ac:dyDescent="0.25">
      <c r="F655472" s="9">
        <v>1</v>
      </c>
    </row>
    <row r="655473" spans="6:6" x14ac:dyDescent="0.25">
      <c r="F655473" s="9" t="s">
        <v>133</v>
      </c>
    </row>
    <row r="655474" spans="6:6" x14ac:dyDescent="0.25">
      <c r="F655474" s="6" t="s">
        <v>172</v>
      </c>
    </row>
    <row r="655475" spans="6:6" x14ac:dyDescent="0.25">
      <c r="F655475" s="9" t="s">
        <v>263</v>
      </c>
    </row>
    <row r="655476" spans="6:6" x14ac:dyDescent="0.25">
      <c r="F655476" s="33" t="s">
        <v>264</v>
      </c>
    </row>
    <row r="671745" spans="6:6" x14ac:dyDescent="0.25">
      <c r="F671745" s="84"/>
    </row>
    <row r="671746" spans="6:6" x14ac:dyDescent="0.25">
      <c r="F671746" s="46"/>
    </row>
    <row r="671747" spans="6:6" x14ac:dyDescent="0.25">
      <c r="F671747" s="9">
        <v>4</v>
      </c>
    </row>
    <row r="671748" spans="6:6" x14ac:dyDescent="0.25">
      <c r="F671748" s="9">
        <v>6</v>
      </c>
    </row>
    <row r="671749" spans="6:6" x14ac:dyDescent="0.25">
      <c r="F671749" s="9">
        <v>6</v>
      </c>
    </row>
    <row r="671750" spans="6:6" x14ac:dyDescent="0.25">
      <c r="F671750" s="9">
        <v>6</v>
      </c>
    </row>
    <row r="671751" spans="6:6" x14ac:dyDescent="0.25">
      <c r="F671751" s="9">
        <v>4</v>
      </c>
    </row>
    <row r="671752" spans="6:6" x14ac:dyDescent="0.25">
      <c r="F671752" s="9">
        <v>4</v>
      </c>
    </row>
    <row r="671753" spans="6:6" x14ac:dyDescent="0.25">
      <c r="F671753" s="9">
        <v>5</v>
      </c>
    </row>
    <row r="671754" spans="6:6" x14ac:dyDescent="0.25">
      <c r="F671754" s="9">
        <v>5</v>
      </c>
    </row>
    <row r="671755" spans="6:6" x14ac:dyDescent="0.25">
      <c r="F671755" s="9">
        <v>10</v>
      </c>
    </row>
    <row r="671756" spans="6:6" x14ac:dyDescent="0.25">
      <c r="F671756" s="9">
        <v>8</v>
      </c>
    </row>
    <row r="671757" spans="6:6" x14ac:dyDescent="0.25">
      <c r="F671757" s="9">
        <v>9</v>
      </c>
    </row>
    <row r="671758" spans="6:6" x14ac:dyDescent="0.25">
      <c r="F671758" s="9">
        <v>8</v>
      </c>
    </row>
    <row r="671759" spans="6:6" x14ac:dyDescent="0.25">
      <c r="F671759" s="9">
        <v>8</v>
      </c>
    </row>
    <row r="671760" spans="6:6" x14ac:dyDescent="0.25">
      <c r="F671760" s="9">
        <v>8</v>
      </c>
    </row>
    <row r="671761" spans="6:6" x14ac:dyDescent="0.25">
      <c r="F671761" s="9">
        <v>8</v>
      </c>
    </row>
    <row r="671762" spans="6:6" x14ac:dyDescent="0.25">
      <c r="F671762" s="9">
        <v>5</v>
      </c>
    </row>
    <row r="671763" spans="6:6" x14ac:dyDescent="0.25">
      <c r="F671763" s="9">
        <v>5</v>
      </c>
    </row>
    <row r="671764" spans="6:6" x14ac:dyDescent="0.25">
      <c r="F671764" s="9">
        <v>7</v>
      </c>
    </row>
    <row r="671765" spans="6:6" x14ac:dyDescent="0.25">
      <c r="F671765" s="9">
        <v>5</v>
      </c>
    </row>
    <row r="671766" spans="6:6" x14ac:dyDescent="0.25">
      <c r="F671766" s="9">
        <v>5</v>
      </c>
    </row>
    <row r="671767" spans="6:6" x14ac:dyDescent="0.25">
      <c r="F671767" s="9">
        <v>5</v>
      </c>
    </row>
    <row r="671768" spans="6:6" x14ac:dyDescent="0.25">
      <c r="F671768" s="9">
        <v>4</v>
      </c>
    </row>
    <row r="671769" spans="6:6" x14ac:dyDescent="0.25">
      <c r="F671769" s="9">
        <v>6</v>
      </c>
    </row>
    <row r="671770" spans="6:6" x14ac:dyDescent="0.25">
      <c r="F671770" s="9">
        <v>4</v>
      </c>
    </row>
    <row r="671771" spans="6:6" x14ac:dyDescent="0.25">
      <c r="F671771" s="9">
        <v>4</v>
      </c>
    </row>
    <row r="671772" spans="6:6" x14ac:dyDescent="0.25">
      <c r="F671772" s="9">
        <v>6</v>
      </c>
    </row>
    <row r="671773" spans="6:6" x14ac:dyDescent="0.25">
      <c r="F671773" s="9">
        <v>4</v>
      </c>
    </row>
    <row r="671774" spans="6:6" x14ac:dyDescent="0.25">
      <c r="F671774" s="9">
        <v>6</v>
      </c>
    </row>
    <row r="671775" spans="6:6" x14ac:dyDescent="0.25">
      <c r="F671775" s="9">
        <v>4</v>
      </c>
    </row>
    <row r="671776" spans="6:6" x14ac:dyDescent="0.25">
      <c r="F671776" s="9">
        <v>6</v>
      </c>
    </row>
    <row r="671777" spans="6:6" x14ac:dyDescent="0.25">
      <c r="F671777" s="9">
        <v>4</v>
      </c>
    </row>
    <row r="671778" spans="6:6" x14ac:dyDescent="0.25">
      <c r="F671778" s="9">
        <v>6</v>
      </c>
    </row>
    <row r="671779" spans="6:6" x14ac:dyDescent="0.25">
      <c r="F671779" s="9">
        <v>6</v>
      </c>
    </row>
    <row r="671780" spans="6:6" x14ac:dyDescent="0.25">
      <c r="F671780" s="9">
        <v>5</v>
      </c>
    </row>
    <row r="671781" spans="6:6" x14ac:dyDescent="0.25">
      <c r="F671781" s="9">
        <v>3</v>
      </c>
    </row>
    <row r="671782" spans="6:6" x14ac:dyDescent="0.25">
      <c r="F671782" s="9">
        <v>4</v>
      </c>
    </row>
    <row r="671783" spans="6:6" x14ac:dyDescent="0.25">
      <c r="F671783" s="9">
        <v>4</v>
      </c>
    </row>
    <row r="671784" spans="6:6" x14ac:dyDescent="0.25">
      <c r="F671784" s="9">
        <v>5</v>
      </c>
    </row>
    <row r="671785" spans="6:6" x14ac:dyDescent="0.25">
      <c r="F671785" s="9">
        <v>5</v>
      </c>
    </row>
    <row r="671786" spans="6:6" x14ac:dyDescent="0.25">
      <c r="F671786" s="9">
        <v>2</v>
      </c>
    </row>
    <row r="671787" spans="6:6" x14ac:dyDescent="0.25">
      <c r="F671787" s="9">
        <v>6</v>
      </c>
    </row>
    <row r="671788" spans="6:6" x14ac:dyDescent="0.25">
      <c r="F671788" s="9">
        <v>7</v>
      </c>
    </row>
    <row r="671789" spans="6:6" x14ac:dyDescent="0.25">
      <c r="F671789" s="9">
        <v>3</v>
      </c>
    </row>
    <row r="671790" spans="6:6" x14ac:dyDescent="0.25">
      <c r="F671790" s="9">
        <v>3</v>
      </c>
    </row>
    <row r="671791" spans="6:6" x14ac:dyDescent="0.25">
      <c r="F671791" s="9">
        <v>3</v>
      </c>
    </row>
    <row r="671792" spans="6:6" x14ac:dyDescent="0.25">
      <c r="F671792" s="9">
        <v>3</v>
      </c>
    </row>
    <row r="671793" spans="6:6" x14ac:dyDescent="0.25">
      <c r="F671793" s="9">
        <v>6</v>
      </c>
    </row>
    <row r="671794" spans="6:6" x14ac:dyDescent="0.25">
      <c r="F671794" s="9">
        <v>1</v>
      </c>
    </row>
    <row r="671795" spans="6:6" x14ac:dyDescent="0.25">
      <c r="F671795" s="9">
        <v>5</v>
      </c>
    </row>
    <row r="671796" spans="6:6" x14ac:dyDescent="0.25">
      <c r="F671796" s="9">
        <v>6</v>
      </c>
    </row>
    <row r="671797" spans="6:6" x14ac:dyDescent="0.25">
      <c r="F671797" s="9">
        <v>4</v>
      </c>
    </row>
    <row r="671798" spans="6:6" x14ac:dyDescent="0.25">
      <c r="F671798" s="9">
        <v>3</v>
      </c>
    </row>
    <row r="671799" spans="6:6" x14ac:dyDescent="0.25">
      <c r="F671799" s="9">
        <v>4</v>
      </c>
    </row>
    <row r="671800" spans="6:6" x14ac:dyDescent="0.25">
      <c r="F671800" s="9">
        <v>3</v>
      </c>
    </row>
    <row r="671801" spans="6:6" x14ac:dyDescent="0.25">
      <c r="F671801" s="9">
        <v>1</v>
      </c>
    </row>
    <row r="671802" spans="6:6" x14ac:dyDescent="0.25">
      <c r="F671802" s="9">
        <v>5</v>
      </c>
    </row>
    <row r="671803" spans="6:6" x14ac:dyDescent="0.25">
      <c r="F671803" s="9">
        <v>4</v>
      </c>
    </row>
    <row r="671804" spans="6:6" x14ac:dyDescent="0.25">
      <c r="F671804" s="9">
        <v>6</v>
      </c>
    </row>
    <row r="671805" spans="6:6" x14ac:dyDescent="0.25">
      <c r="F671805" s="9">
        <v>2</v>
      </c>
    </row>
    <row r="671806" spans="6:6" x14ac:dyDescent="0.25">
      <c r="F671806" s="9">
        <v>2</v>
      </c>
    </row>
    <row r="671807" spans="6:6" x14ac:dyDescent="0.25">
      <c r="F671807" s="9">
        <v>4</v>
      </c>
    </row>
    <row r="671808" spans="6:6" x14ac:dyDescent="0.25">
      <c r="F671808" s="9">
        <v>3</v>
      </c>
    </row>
    <row r="671809" spans="6:6" x14ac:dyDescent="0.25">
      <c r="F671809" s="9">
        <v>2</v>
      </c>
    </row>
    <row r="671810" spans="6:6" x14ac:dyDescent="0.25">
      <c r="F671810" s="9">
        <v>7</v>
      </c>
    </row>
    <row r="671811" spans="6:6" x14ac:dyDescent="0.25">
      <c r="F671811" s="9">
        <v>8</v>
      </c>
    </row>
    <row r="671812" spans="6:6" x14ac:dyDescent="0.25">
      <c r="F671812" s="9">
        <v>7</v>
      </c>
    </row>
    <row r="671813" spans="6:6" x14ac:dyDescent="0.25">
      <c r="F671813" s="9">
        <v>6</v>
      </c>
    </row>
    <row r="671814" spans="6:6" x14ac:dyDescent="0.25">
      <c r="F671814" s="9">
        <v>3</v>
      </c>
    </row>
    <row r="671815" spans="6:6" x14ac:dyDescent="0.25">
      <c r="F671815" s="9">
        <v>6</v>
      </c>
    </row>
    <row r="671816" spans="6:6" x14ac:dyDescent="0.25">
      <c r="F671816" s="9">
        <v>3</v>
      </c>
    </row>
    <row r="671817" spans="6:6" x14ac:dyDescent="0.25">
      <c r="F671817" s="9">
        <v>2</v>
      </c>
    </row>
    <row r="671818" spans="6:6" x14ac:dyDescent="0.25">
      <c r="F671818" s="9">
        <v>5</v>
      </c>
    </row>
    <row r="671819" spans="6:6" x14ac:dyDescent="0.25">
      <c r="F671819" s="9">
        <v>3</v>
      </c>
    </row>
    <row r="671820" spans="6:6" x14ac:dyDescent="0.25">
      <c r="F671820" s="9">
        <v>4</v>
      </c>
    </row>
    <row r="671821" spans="6:6" x14ac:dyDescent="0.25">
      <c r="F671821" s="9">
        <v>2</v>
      </c>
    </row>
    <row r="671822" spans="6:6" x14ac:dyDescent="0.25">
      <c r="F671822" s="9">
        <v>4</v>
      </c>
    </row>
    <row r="671823" spans="6:6" x14ac:dyDescent="0.25">
      <c r="F671823" s="9">
        <v>3</v>
      </c>
    </row>
    <row r="671824" spans="6:6" x14ac:dyDescent="0.25">
      <c r="F671824" s="9">
        <v>3</v>
      </c>
    </row>
    <row r="671825" spans="6:6" x14ac:dyDescent="0.25">
      <c r="F671825" s="9">
        <v>4</v>
      </c>
    </row>
    <row r="671826" spans="6:6" x14ac:dyDescent="0.25">
      <c r="F671826" s="9">
        <v>3</v>
      </c>
    </row>
    <row r="671827" spans="6:6" x14ac:dyDescent="0.25">
      <c r="F671827" s="9">
        <v>2</v>
      </c>
    </row>
    <row r="671828" spans="6:6" x14ac:dyDescent="0.25">
      <c r="F671828" s="9">
        <v>3</v>
      </c>
    </row>
    <row r="671829" spans="6:6" x14ac:dyDescent="0.25">
      <c r="F671829" s="9">
        <v>7</v>
      </c>
    </row>
    <row r="671830" spans="6:6" x14ac:dyDescent="0.25">
      <c r="F671830" s="9">
        <v>6</v>
      </c>
    </row>
    <row r="671831" spans="6:6" x14ac:dyDescent="0.25">
      <c r="F671831" s="9">
        <v>5</v>
      </c>
    </row>
    <row r="671832" spans="6:6" x14ac:dyDescent="0.25">
      <c r="F671832" s="9">
        <v>5</v>
      </c>
    </row>
    <row r="671833" spans="6:6" x14ac:dyDescent="0.25">
      <c r="F671833" s="9">
        <v>4</v>
      </c>
    </row>
    <row r="671834" spans="6:6" x14ac:dyDescent="0.25">
      <c r="F671834" s="9">
        <v>5</v>
      </c>
    </row>
    <row r="671835" spans="6:6" x14ac:dyDescent="0.25">
      <c r="F671835" s="9">
        <v>5</v>
      </c>
    </row>
    <row r="671836" spans="6:6" x14ac:dyDescent="0.25">
      <c r="F671836" s="9">
        <v>2</v>
      </c>
    </row>
    <row r="671837" spans="6:6" x14ac:dyDescent="0.25">
      <c r="F671837" s="9">
        <v>3</v>
      </c>
    </row>
    <row r="671838" spans="6:6" x14ac:dyDescent="0.25">
      <c r="F671838" s="9">
        <v>2</v>
      </c>
    </row>
    <row r="671839" spans="6:6" x14ac:dyDescent="0.25">
      <c r="F671839" s="9">
        <v>3</v>
      </c>
    </row>
    <row r="671840" spans="6:6" x14ac:dyDescent="0.25">
      <c r="F671840" s="9">
        <v>4</v>
      </c>
    </row>
    <row r="671841" spans="6:6" x14ac:dyDescent="0.25">
      <c r="F671841" s="9">
        <v>4</v>
      </c>
    </row>
    <row r="671842" spans="6:6" x14ac:dyDescent="0.25">
      <c r="F671842" s="9">
        <v>2</v>
      </c>
    </row>
    <row r="671843" spans="6:6" x14ac:dyDescent="0.25">
      <c r="F671843" s="9">
        <v>3</v>
      </c>
    </row>
    <row r="671844" spans="6:6" x14ac:dyDescent="0.25">
      <c r="F671844" s="9">
        <v>3</v>
      </c>
    </row>
    <row r="671845" spans="6:6" x14ac:dyDescent="0.25">
      <c r="F671845" s="9">
        <v>3</v>
      </c>
    </row>
    <row r="671846" spans="6:6" x14ac:dyDescent="0.25">
      <c r="F671846" s="9">
        <v>2</v>
      </c>
    </row>
    <row r="671847" spans="6:6" x14ac:dyDescent="0.25">
      <c r="F671847" s="9">
        <v>3</v>
      </c>
    </row>
    <row r="671848" spans="6:6" x14ac:dyDescent="0.25">
      <c r="F671848" s="9">
        <v>3</v>
      </c>
    </row>
    <row r="671849" spans="6:6" x14ac:dyDescent="0.25">
      <c r="F671849" s="9">
        <v>3</v>
      </c>
    </row>
    <row r="671850" spans="6:6" x14ac:dyDescent="0.25">
      <c r="F671850" s="9">
        <v>4</v>
      </c>
    </row>
    <row r="671851" spans="6:6" x14ac:dyDescent="0.25">
      <c r="F671851" s="9">
        <v>4</v>
      </c>
    </row>
    <row r="671852" spans="6:6" x14ac:dyDescent="0.25">
      <c r="F671852" s="9">
        <v>2</v>
      </c>
    </row>
    <row r="671853" spans="6:6" x14ac:dyDescent="0.25">
      <c r="F671853" s="9">
        <v>3</v>
      </c>
    </row>
    <row r="671854" spans="6:6" x14ac:dyDescent="0.25">
      <c r="F671854" s="9">
        <v>1</v>
      </c>
    </row>
    <row r="671855" spans="6:6" x14ac:dyDescent="0.25">
      <c r="F671855" s="9">
        <v>1</v>
      </c>
    </row>
    <row r="671856" spans="6:6" x14ac:dyDescent="0.25">
      <c r="F671856" s="9">
        <v>1</v>
      </c>
    </row>
    <row r="671857" spans="6:6" x14ac:dyDescent="0.25">
      <c r="F671857" s="9" t="s">
        <v>133</v>
      </c>
    </row>
    <row r="671858" spans="6:6" x14ac:dyDescent="0.25">
      <c r="F671858" s="6" t="s">
        <v>172</v>
      </c>
    </row>
    <row r="671859" spans="6:6" x14ac:dyDescent="0.25">
      <c r="F671859" s="9" t="s">
        <v>263</v>
      </c>
    </row>
    <row r="671860" spans="6:6" x14ac:dyDescent="0.25">
      <c r="F671860" s="33" t="s">
        <v>264</v>
      </c>
    </row>
    <row r="688129" spans="6:6" x14ac:dyDescent="0.25">
      <c r="F688129" s="84"/>
    </row>
    <row r="688130" spans="6:6" x14ac:dyDescent="0.25">
      <c r="F688130" s="46"/>
    </row>
    <row r="688131" spans="6:6" x14ac:dyDescent="0.25">
      <c r="F688131" s="9">
        <v>4</v>
      </c>
    </row>
    <row r="688132" spans="6:6" x14ac:dyDescent="0.25">
      <c r="F688132" s="9">
        <v>6</v>
      </c>
    </row>
    <row r="688133" spans="6:6" x14ac:dyDescent="0.25">
      <c r="F688133" s="9">
        <v>6</v>
      </c>
    </row>
    <row r="688134" spans="6:6" x14ac:dyDescent="0.25">
      <c r="F688134" s="9">
        <v>6</v>
      </c>
    </row>
    <row r="688135" spans="6:6" x14ac:dyDescent="0.25">
      <c r="F688135" s="9">
        <v>4</v>
      </c>
    </row>
    <row r="688136" spans="6:6" x14ac:dyDescent="0.25">
      <c r="F688136" s="9">
        <v>4</v>
      </c>
    </row>
    <row r="688137" spans="6:6" x14ac:dyDescent="0.25">
      <c r="F688137" s="9">
        <v>5</v>
      </c>
    </row>
    <row r="688138" spans="6:6" x14ac:dyDescent="0.25">
      <c r="F688138" s="9">
        <v>5</v>
      </c>
    </row>
    <row r="688139" spans="6:6" x14ac:dyDescent="0.25">
      <c r="F688139" s="9">
        <v>10</v>
      </c>
    </row>
    <row r="688140" spans="6:6" x14ac:dyDescent="0.25">
      <c r="F688140" s="9">
        <v>8</v>
      </c>
    </row>
    <row r="688141" spans="6:6" x14ac:dyDescent="0.25">
      <c r="F688141" s="9">
        <v>9</v>
      </c>
    </row>
    <row r="688142" spans="6:6" x14ac:dyDescent="0.25">
      <c r="F688142" s="9">
        <v>8</v>
      </c>
    </row>
    <row r="688143" spans="6:6" x14ac:dyDescent="0.25">
      <c r="F688143" s="9">
        <v>8</v>
      </c>
    </row>
    <row r="688144" spans="6:6" x14ac:dyDescent="0.25">
      <c r="F688144" s="9">
        <v>8</v>
      </c>
    </row>
    <row r="688145" spans="6:6" x14ac:dyDescent="0.25">
      <c r="F688145" s="9">
        <v>8</v>
      </c>
    </row>
    <row r="688146" spans="6:6" x14ac:dyDescent="0.25">
      <c r="F688146" s="9">
        <v>5</v>
      </c>
    </row>
    <row r="688147" spans="6:6" x14ac:dyDescent="0.25">
      <c r="F688147" s="9">
        <v>5</v>
      </c>
    </row>
    <row r="688148" spans="6:6" x14ac:dyDescent="0.25">
      <c r="F688148" s="9">
        <v>7</v>
      </c>
    </row>
    <row r="688149" spans="6:6" x14ac:dyDescent="0.25">
      <c r="F688149" s="9">
        <v>5</v>
      </c>
    </row>
    <row r="688150" spans="6:6" x14ac:dyDescent="0.25">
      <c r="F688150" s="9">
        <v>5</v>
      </c>
    </row>
    <row r="688151" spans="6:6" x14ac:dyDescent="0.25">
      <c r="F688151" s="9">
        <v>5</v>
      </c>
    </row>
    <row r="688152" spans="6:6" x14ac:dyDescent="0.25">
      <c r="F688152" s="9">
        <v>4</v>
      </c>
    </row>
    <row r="688153" spans="6:6" x14ac:dyDescent="0.25">
      <c r="F688153" s="9">
        <v>6</v>
      </c>
    </row>
    <row r="688154" spans="6:6" x14ac:dyDescent="0.25">
      <c r="F688154" s="9">
        <v>4</v>
      </c>
    </row>
    <row r="688155" spans="6:6" x14ac:dyDescent="0.25">
      <c r="F688155" s="9">
        <v>4</v>
      </c>
    </row>
    <row r="688156" spans="6:6" x14ac:dyDescent="0.25">
      <c r="F688156" s="9">
        <v>6</v>
      </c>
    </row>
    <row r="688157" spans="6:6" x14ac:dyDescent="0.25">
      <c r="F688157" s="9">
        <v>4</v>
      </c>
    </row>
    <row r="688158" spans="6:6" x14ac:dyDescent="0.25">
      <c r="F688158" s="9">
        <v>6</v>
      </c>
    </row>
    <row r="688159" spans="6:6" x14ac:dyDescent="0.25">
      <c r="F688159" s="9">
        <v>4</v>
      </c>
    </row>
    <row r="688160" spans="6:6" x14ac:dyDescent="0.25">
      <c r="F688160" s="9">
        <v>6</v>
      </c>
    </row>
    <row r="688161" spans="6:6" x14ac:dyDescent="0.25">
      <c r="F688161" s="9">
        <v>4</v>
      </c>
    </row>
    <row r="688162" spans="6:6" x14ac:dyDescent="0.25">
      <c r="F688162" s="9">
        <v>6</v>
      </c>
    </row>
    <row r="688163" spans="6:6" x14ac:dyDescent="0.25">
      <c r="F688163" s="9">
        <v>6</v>
      </c>
    </row>
    <row r="688164" spans="6:6" x14ac:dyDescent="0.25">
      <c r="F688164" s="9">
        <v>5</v>
      </c>
    </row>
    <row r="688165" spans="6:6" x14ac:dyDescent="0.25">
      <c r="F688165" s="9">
        <v>3</v>
      </c>
    </row>
    <row r="688166" spans="6:6" x14ac:dyDescent="0.25">
      <c r="F688166" s="9">
        <v>4</v>
      </c>
    </row>
    <row r="688167" spans="6:6" x14ac:dyDescent="0.25">
      <c r="F688167" s="9">
        <v>4</v>
      </c>
    </row>
    <row r="688168" spans="6:6" x14ac:dyDescent="0.25">
      <c r="F688168" s="9">
        <v>5</v>
      </c>
    </row>
    <row r="688169" spans="6:6" x14ac:dyDescent="0.25">
      <c r="F688169" s="9">
        <v>5</v>
      </c>
    </row>
    <row r="688170" spans="6:6" x14ac:dyDescent="0.25">
      <c r="F688170" s="9">
        <v>2</v>
      </c>
    </row>
    <row r="688171" spans="6:6" x14ac:dyDescent="0.25">
      <c r="F688171" s="9">
        <v>6</v>
      </c>
    </row>
    <row r="688172" spans="6:6" x14ac:dyDescent="0.25">
      <c r="F688172" s="9">
        <v>7</v>
      </c>
    </row>
    <row r="688173" spans="6:6" x14ac:dyDescent="0.25">
      <c r="F688173" s="9">
        <v>3</v>
      </c>
    </row>
    <row r="688174" spans="6:6" x14ac:dyDescent="0.25">
      <c r="F688174" s="9">
        <v>3</v>
      </c>
    </row>
    <row r="688175" spans="6:6" x14ac:dyDescent="0.25">
      <c r="F688175" s="9">
        <v>3</v>
      </c>
    </row>
    <row r="688176" spans="6:6" x14ac:dyDescent="0.25">
      <c r="F688176" s="9">
        <v>3</v>
      </c>
    </row>
    <row r="688177" spans="6:6" x14ac:dyDescent="0.25">
      <c r="F688177" s="9">
        <v>6</v>
      </c>
    </row>
    <row r="688178" spans="6:6" x14ac:dyDescent="0.25">
      <c r="F688178" s="9">
        <v>1</v>
      </c>
    </row>
    <row r="688179" spans="6:6" x14ac:dyDescent="0.25">
      <c r="F688179" s="9">
        <v>5</v>
      </c>
    </row>
    <row r="688180" spans="6:6" x14ac:dyDescent="0.25">
      <c r="F688180" s="9">
        <v>6</v>
      </c>
    </row>
    <row r="688181" spans="6:6" x14ac:dyDescent="0.25">
      <c r="F688181" s="9">
        <v>4</v>
      </c>
    </row>
    <row r="688182" spans="6:6" x14ac:dyDescent="0.25">
      <c r="F688182" s="9">
        <v>3</v>
      </c>
    </row>
    <row r="688183" spans="6:6" x14ac:dyDescent="0.25">
      <c r="F688183" s="9">
        <v>4</v>
      </c>
    </row>
    <row r="688184" spans="6:6" x14ac:dyDescent="0.25">
      <c r="F688184" s="9">
        <v>3</v>
      </c>
    </row>
    <row r="688185" spans="6:6" x14ac:dyDescent="0.25">
      <c r="F688185" s="9">
        <v>1</v>
      </c>
    </row>
    <row r="688186" spans="6:6" x14ac:dyDescent="0.25">
      <c r="F688186" s="9">
        <v>5</v>
      </c>
    </row>
    <row r="688187" spans="6:6" x14ac:dyDescent="0.25">
      <c r="F688187" s="9">
        <v>4</v>
      </c>
    </row>
    <row r="688188" spans="6:6" x14ac:dyDescent="0.25">
      <c r="F688188" s="9">
        <v>6</v>
      </c>
    </row>
    <row r="688189" spans="6:6" x14ac:dyDescent="0.25">
      <c r="F688189" s="9">
        <v>2</v>
      </c>
    </row>
    <row r="688190" spans="6:6" x14ac:dyDescent="0.25">
      <c r="F688190" s="9">
        <v>2</v>
      </c>
    </row>
    <row r="688191" spans="6:6" x14ac:dyDescent="0.25">
      <c r="F688191" s="9">
        <v>4</v>
      </c>
    </row>
    <row r="688192" spans="6:6" x14ac:dyDescent="0.25">
      <c r="F688192" s="9">
        <v>3</v>
      </c>
    </row>
    <row r="688193" spans="6:6" x14ac:dyDescent="0.25">
      <c r="F688193" s="9">
        <v>2</v>
      </c>
    </row>
    <row r="688194" spans="6:6" x14ac:dyDescent="0.25">
      <c r="F688194" s="9">
        <v>7</v>
      </c>
    </row>
    <row r="688195" spans="6:6" x14ac:dyDescent="0.25">
      <c r="F688195" s="9">
        <v>8</v>
      </c>
    </row>
    <row r="688196" spans="6:6" x14ac:dyDescent="0.25">
      <c r="F688196" s="9">
        <v>7</v>
      </c>
    </row>
    <row r="688197" spans="6:6" x14ac:dyDescent="0.25">
      <c r="F688197" s="9">
        <v>6</v>
      </c>
    </row>
    <row r="688198" spans="6:6" x14ac:dyDescent="0.25">
      <c r="F688198" s="9">
        <v>3</v>
      </c>
    </row>
    <row r="688199" spans="6:6" x14ac:dyDescent="0.25">
      <c r="F688199" s="9">
        <v>6</v>
      </c>
    </row>
    <row r="688200" spans="6:6" x14ac:dyDescent="0.25">
      <c r="F688200" s="9">
        <v>3</v>
      </c>
    </row>
    <row r="688201" spans="6:6" x14ac:dyDescent="0.25">
      <c r="F688201" s="9">
        <v>2</v>
      </c>
    </row>
    <row r="688202" spans="6:6" x14ac:dyDescent="0.25">
      <c r="F688202" s="9">
        <v>5</v>
      </c>
    </row>
    <row r="688203" spans="6:6" x14ac:dyDescent="0.25">
      <c r="F688203" s="9">
        <v>3</v>
      </c>
    </row>
    <row r="688204" spans="6:6" x14ac:dyDescent="0.25">
      <c r="F688204" s="9">
        <v>4</v>
      </c>
    </row>
    <row r="688205" spans="6:6" x14ac:dyDescent="0.25">
      <c r="F688205" s="9">
        <v>2</v>
      </c>
    </row>
    <row r="688206" spans="6:6" x14ac:dyDescent="0.25">
      <c r="F688206" s="9">
        <v>4</v>
      </c>
    </row>
    <row r="688207" spans="6:6" x14ac:dyDescent="0.25">
      <c r="F688207" s="9">
        <v>3</v>
      </c>
    </row>
    <row r="688208" spans="6:6" x14ac:dyDescent="0.25">
      <c r="F688208" s="9">
        <v>3</v>
      </c>
    </row>
    <row r="688209" spans="6:6" x14ac:dyDescent="0.25">
      <c r="F688209" s="9">
        <v>4</v>
      </c>
    </row>
    <row r="688210" spans="6:6" x14ac:dyDescent="0.25">
      <c r="F688210" s="9">
        <v>3</v>
      </c>
    </row>
    <row r="688211" spans="6:6" x14ac:dyDescent="0.25">
      <c r="F688211" s="9">
        <v>2</v>
      </c>
    </row>
    <row r="688212" spans="6:6" x14ac:dyDescent="0.25">
      <c r="F688212" s="9">
        <v>3</v>
      </c>
    </row>
    <row r="688213" spans="6:6" x14ac:dyDescent="0.25">
      <c r="F688213" s="9">
        <v>7</v>
      </c>
    </row>
    <row r="688214" spans="6:6" x14ac:dyDescent="0.25">
      <c r="F688214" s="9">
        <v>6</v>
      </c>
    </row>
    <row r="688215" spans="6:6" x14ac:dyDescent="0.25">
      <c r="F688215" s="9">
        <v>5</v>
      </c>
    </row>
    <row r="688216" spans="6:6" x14ac:dyDescent="0.25">
      <c r="F688216" s="9">
        <v>5</v>
      </c>
    </row>
    <row r="688217" spans="6:6" x14ac:dyDescent="0.25">
      <c r="F688217" s="9">
        <v>4</v>
      </c>
    </row>
    <row r="688218" spans="6:6" x14ac:dyDescent="0.25">
      <c r="F688218" s="9">
        <v>5</v>
      </c>
    </row>
    <row r="688219" spans="6:6" x14ac:dyDescent="0.25">
      <c r="F688219" s="9">
        <v>5</v>
      </c>
    </row>
    <row r="688220" spans="6:6" x14ac:dyDescent="0.25">
      <c r="F688220" s="9">
        <v>2</v>
      </c>
    </row>
    <row r="688221" spans="6:6" x14ac:dyDescent="0.25">
      <c r="F688221" s="9">
        <v>3</v>
      </c>
    </row>
    <row r="688222" spans="6:6" x14ac:dyDescent="0.25">
      <c r="F688222" s="9">
        <v>2</v>
      </c>
    </row>
    <row r="688223" spans="6:6" x14ac:dyDescent="0.25">
      <c r="F688223" s="9">
        <v>3</v>
      </c>
    </row>
    <row r="688224" spans="6:6" x14ac:dyDescent="0.25">
      <c r="F688224" s="9">
        <v>4</v>
      </c>
    </row>
    <row r="688225" spans="6:6" x14ac:dyDescent="0.25">
      <c r="F688225" s="9">
        <v>4</v>
      </c>
    </row>
    <row r="688226" spans="6:6" x14ac:dyDescent="0.25">
      <c r="F688226" s="9">
        <v>2</v>
      </c>
    </row>
    <row r="688227" spans="6:6" x14ac:dyDescent="0.25">
      <c r="F688227" s="9">
        <v>3</v>
      </c>
    </row>
    <row r="688228" spans="6:6" x14ac:dyDescent="0.25">
      <c r="F688228" s="9">
        <v>3</v>
      </c>
    </row>
    <row r="688229" spans="6:6" x14ac:dyDescent="0.25">
      <c r="F688229" s="9">
        <v>3</v>
      </c>
    </row>
    <row r="688230" spans="6:6" x14ac:dyDescent="0.25">
      <c r="F688230" s="9">
        <v>2</v>
      </c>
    </row>
    <row r="688231" spans="6:6" x14ac:dyDescent="0.25">
      <c r="F688231" s="9">
        <v>3</v>
      </c>
    </row>
    <row r="688232" spans="6:6" x14ac:dyDescent="0.25">
      <c r="F688232" s="9">
        <v>3</v>
      </c>
    </row>
    <row r="688233" spans="6:6" x14ac:dyDescent="0.25">
      <c r="F688233" s="9">
        <v>3</v>
      </c>
    </row>
    <row r="688234" spans="6:6" x14ac:dyDescent="0.25">
      <c r="F688234" s="9">
        <v>4</v>
      </c>
    </row>
    <row r="688235" spans="6:6" x14ac:dyDescent="0.25">
      <c r="F688235" s="9">
        <v>4</v>
      </c>
    </row>
    <row r="688236" spans="6:6" x14ac:dyDescent="0.25">
      <c r="F688236" s="9">
        <v>2</v>
      </c>
    </row>
    <row r="688237" spans="6:6" x14ac:dyDescent="0.25">
      <c r="F688237" s="9">
        <v>3</v>
      </c>
    </row>
    <row r="688238" spans="6:6" x14ac:dyDescent="0.25">
      <c r="F688238" s="9">
        <v>1</v>
      </c>
    </row>
    <row r="688239" spans="6:6" x14ac:dyDescent="0.25">
      <c r="F688239" s="9">
        <v>1</v>
      </c>
    </row>
    <row r="688240" spans="6:6" x14ac:dyDescent="0.25">
      <c r="F688240" s="9">
        <v>1</v>
      </c>
    </row>
    <row r="688241" spans="6:6" x14ac:dyDescent="0.25">
      <c r="F688241" s="9" t="s">
        <v>133</v>
      </c>
    </row>
    <row r="688242" spans="6:6" x14ac:dyDescent="0.25">
      <c r="F688242" s="6" t="s">
        <v>172</v>
      </c>
    </row>
    <row r="688243" spans="6:6" x14ac:dyDescent="0.25">
      <c r="F688243" s="9" t="s">
        <v>263</v>
      </c>
    </row>
    <row r="688244" spans="6:6" x14ac:dyDescent="0.25">
      <c r="F688244" s="33" t="s">
        <v>264</v>
      </c>
    </row>
    <row r="704513" spans="6:6" x14ac:dyDescent="0.25">
      <c r="F704513" s="84"/>
    </row>
    <row r="704514" spans="6:6" x14ac:dyDescent="0.25">
      <c r="F704514" s="46"/>
    </row>
    <row r="704515" spans="6:6" x14ac:dyDescent="0.25">
      <c r="F704515" s="9">
        <v>4</v>
      </c>
    </row>
    <row r="704516" spans="6:6" x14ac:dyDescent="0.25">
      <c r="F704516" s="9">
        <v>6</v>
      </c>
    </row>
    <row r="704517" spans="6:6" x14ac:dyDescent="0.25">
      <c r="F704517" s="9">
        <v>6</v>
      </c>
    </row>
    <row r="704518" spans="6:6" x14ac:dyDescent="0.25">
      <c r="F704518" s="9">
        <v>6</v>
      </c>
    </row>
    <row r="704519" spans="6:6" x14ac:dyDescent="0.25">
      <c r="F704519" s="9">
        <v>4</v>
      </c>
    </row>
    <row r="704520" spans="6:6" x14ac:dyDescent="0.25">
      <c r="F704520" s="9">
        <v>4</v>
      </c>
    </row>
    <row r="704521" spans="6:6" x14ac:dyDescent="0.25">
      <c r="F704521" s="9">
        <v>5</v>
      </c>
    </row>
    <row r="704522" spans="6:6" x14ac:dyDescent="0.25">
      <c r="F704522" s="9">
        <v>5</v>
      </c>
    </row>
    <row r="704523" spans="6:6" x14ac:dyDescent="0.25">
      <c r="F704523" s="9">
        <v>10</v>
      </c>
    </row>
    <row r="704524" spans="6:6" x14ac:dyDescent="0.25">
      <c r="F704524" s="9">
        <v>8</v>
      </c>
    </row>
    <row r="704525" spans="6:6" x14ac:dyDescent="0.25">
      <c r="F704525" s="9">
        <v>9</v>
      </c>
    </row>
    <row r="704526" spans="6:6" x14ac:dyDescent="0.25">
      <c r="F704526" s="9">
        <v>8</v>
      </c>
    </row>
    <row r="704527" spans="6:6" x14ac:dyDescent="0.25">
      <c r="F704527" s="9">
        <v>8</v>
      </c>
    </row>
    <row r="704528" spans="6:6" x14ac:dyDescent="0.25">
      <c r="F704528" s="9">
        <v>8</v>
      </c>
    </row>
    <row r="704529" spans="6:6" x14ac:dyDescent="0.25">
      <c r="F704529" s="9">
        <v>8</v>
      </c>
    </row>
    <row r="704530" spans="6:6" x14ac:dyDescent="0.25">
      <c r="F704530" s="9">
        <v>5</v>
      </c>
    </row>
    <row r="704531" spans="6:6" x14ac:dyDescent="0.25">
      <c r="F704531" s="9">
        <v>5</v>
      </c>
    </row>
    <row r="704532" spans="6:6" x14ac:dyDescent="0.25">
      <c r="F704532" s="9">
        <v>7</v>
      </c>
    </row>
    <row r="704533" spans="6:6" x14ac:dyDescent="0.25">
      <c r="F704533" s="9">
        <v>5</v>
      </c>
    </row>
    <row r="704534" spans="6:6" x14ac:dyDescent="0.25">
      <c r="F704534" s="9">
        <v>5</v>
      </c>
    </row>
    <row r="704535" spans="6:6" x14ac:dyDescent="0.25">
      <c r="F704535" s="9">
        <v>5</v>
      </c>
    </row>
    <row r="704536" spans="6:6" x14ac:dyDescent="0.25">
      <c r="F704536" s="9">
        <v>4</v>
      </c>
    </row>
    <row r="704537" spans="6:6" x14ac:dyDescent="0.25">
      <c r="F704537" s="9">
        <v>6</v>
      </c>
    </row>
    <row r="704538" spans="6:6" x14ac:dyDescent="0.25">
      <c r="F704538" s="9">
        <v>4</v>
      </c>
    </row>
    <row r="704539" spans="6:6" x14ac:dyDescent="0.25">
      <c r="F704539" s="9">
        <v>4</v>
      </c>
    </row>
    <row r="704540" spans="6:6" x14ac:dyDescent="0.25">
      <c r="F704540" s="9">
        <v>6</v>
      </c>
    </row>
    <row r="704541" spans="6:6" x14ac:dyDescent="0.25">
      <c r="F704541" s="9">
        <v>4</v>
      </c>
    </row>
    <row r="704542" spans="6:6" x14ac:dyDescent="0.25">
      <c r="F704542" s="9">
        <v>6</v>
      </c>
    </row>
    <row r="704543" spans="6:6" x14ac:dyDescent="0.25">
      <c r="F704543" s="9">
        <v>4</v>
      </c>
    </row>
    <row r="704544" spans="6:6" x14ac:dyDescent="0.25">
      <c r="F704544" s="9">
        <v>6</v>
      </c>
    </row>
    <row r="704545" spans="6:6" x14ac:dyDescent="0.25">
      <c r="F704545" s="9">
        <v>4</v>
      </c>
    </row>
    <row r="704546" spans="6:6" x14ac:dyDescent="0.25">
      <c r="F704546" s="9">
        <v>6</v>
      </c>
    </row>
    <row r="704547" spans="6:6" x14ac:dyDescent="0.25">
      <c r="F704547" s="9">
        <v>6</v>
      </c>
    </row>
    <row r="704548" spans="6:6" x14ac:dyDescent="0.25">
      <c r="F704548" s="9">
        <v>5</v>
      </c>
    </row>
    <row r="704549" spans="6:6" x14ac:dyDescent="0.25">
      <c r="F704549" s="9">
        <v>3</v>
      </c>
    </row>
    <row r="704550" spans="6:6" x14ac:dyDescent="0.25">
      <c r="F704550" s="9">
        <v>4</v>
      </c>
    </row>
    <row r="704551" spans="6:6" x14ac:dyDescent="0.25">
      <c r="F704551" s="9">
        <v>4</v>
      </c>
    </row>
    <row r="704552" spans="6:6" x14ac:dyDescent="0.25">
      <c r="F704552" s="9">
        <v>5</v>
      </c>
    </row>
    <row r="704553" spans="6:6" x14ac:dyDescent="0.25">
      <c r="F704553" s="9">
        <v>5</v>
      </c>
    </row>
    <row r="704554" spans="6:6" x14ac:dyDescent="0.25">
      <c r="F704554" s="9">
        <v>2</v>
      </c>
    </row>
    <row r="704555" spans="6:6" x14ac:dyDescent="0.25">
      <c r="F704555" s="9">
        <v>6</v>
      </c>
    </row>
    <row r="704556" spans="6:6" x14ac:dyDescent="0.25">
      <c r="F704556" s="9">
        <v>7</v>
      </c>
    </row>
    <row r="704557" spans="6:6" x14ac:dyDescent="0.25">
      <c r="F704557" s="9">
        <v>3</v>
      </c>
    </row>
    <row r="704558" spans="6:6" x14ac:dyDescent="0.25">
      <c r="F704558" s="9">
        <v>3</v>
      </c>
    </row>
    <row r="704559" spans="6:6" x14ac:dyDescent="0.25">
      <c r="F704559" s="9">
        <v>3</v>
      </c>
    </row>
    <row r="704560" spans="6:6" x14ac:dyDescent="0.25">
      <c r="F704560" s="9">
        <v>3</v>
      </c>
    </row>
    <row r="704561" spans="6:6" x14ac:dyDescent="0.25">
      <c r="F704561" s="9">
        <v>6</v>
      </c>
    </row>
    <row r="704562" spans="6:6" x14ac:dyDescent="0.25">
      <c r="F704562" s="9">
        <v>1</v>
      </c>
    </row>
    <row r="704563" spans="6:6" x14ac:dyDescent="0.25">
      <c r="F704563" s="9">
        <v>5</v>
      </c>
    </row>
    <row r="704564" spans="6:6" x14ac:dyDescent="0.25">
      <c r="F704564" s="9">
        <v>6</v>
      </c>
    </row>
    <row r="704565" spans="6:6" x14ac:dyDescent="0.25">
      <c r="F704565" s="9">
        <v>4</v>
      </c>
    </row>
    <row r="704566" spans="6:6" x14ac:dyDescent="0.25">
      <c r="F704566" s="9">
        <v>3</v>
      </c>
    </row>
    <row r="704567" spans="6:6" x14ac:dyDescent="0.25">
      <c r="F704567" s="9">
        <v>4</v>
      </c>
    </row>
    <row r="704568" spans="6:6" x14ac:dyDescent="0.25">
      <c r="F704568" s="9">
        <v>3</v>
      </c>
    </row>
    <row r="704569" spans="6:6" x14ac:dyDescent="0.25">
      <c r="F704569" s="9">
        <v>1</v>
      </c>
    </row>
    <row r="704570" spans="6:6" x14ac:dyDescent="0.25">
      <c r="F704570" s="9">
        <v>5</v>
      </c>
    </row>
    <row r="704571" spans="6:6" x14ac:dyDescent="0.25">
      <c r="F704571" s="9">
        <v>4</v>
      </c>
    </row>
    <row r="704572" spans="6:6" x14ac:dyDescent="0.25">
      <c r="F704572" s="9">
        <v>6</v>
      </c>
    </row>
    <row r="704573" spans="6:6" x14ac:dyDescent="0.25">
      <c r="F704573" s="9">
        <v>2</v>
      </c>
    </row>
    <row r="704574" spans="6:6" x14ac:dyDescent="0.25">
      <c r="F704574" s="9">
        <v>2</v>
      </c>
    </row>
    <row r="704575" spans="6:6" x14ac:dyDescent="0.25">
      <c r="F704575" s="9">
        <v>4</v>
      </c>
    </row>
    <row r="704576" spans="6:6" x14ac:dyDescent="0.25">
      <c r="F704576" s="9">
        <v>3</v>
      </c>
    </row>
    <row r="704577" spans="6:6" x14ac:dyDescent="0.25">
      <c r="F704577" s="9">
        <v>2</v>
      </c>
    </row>
    <row r="704578" spans="6:6" x14ac:dyDescent="0.25">
      <c r="F704578" s="9">
        <v>7</v>
      </c>
    </row>
    <row r="704579" spans="6:6" x14ac:dyDescent="0.25">
      <c r="F704579" s="9">
        <v>8</v>
      </c>
    </row>
    <row r="704580" spans="6:6" x14ac:dyDescent="0.25">
      <c r="F704580" s="9">
        <v>7</v>
      </c>
    </row>
    <row r="704581" spans="6:6" x14ac:dyDescent="0.25">
      <c r="F704581" s="9">
        <v>6</v>
      </c>
    </row>
    <row r="704582" spans="6:6" x14ac:dyDescent="0.25">
      <c r="F704582" s="9">
        <v>3</v>
      </c>
    </row>
    <row r="704583" spans="6:6" x14ac:dyDescent="0.25">
      <c r="F704583" s="9">
        <v>6</v>
      </c>
    </row>
    <row r="704584" spans="6:6" x14ac:dyDescent="0.25">
      <c r="F704584" s="9">
        <v>3</v>
      </c>
    </row>
    <row r="704585" spans="6:6" x14ac:dyDescent="0.25">
      <c r="F704585" s="9">
        <v>2</v>
      </c>
    </row>
    <row r="704586" spans="6:6" x14ac:dyDescent="0.25">
      <c r="F704586" s="9">
        <v>5</v>
      </c>
    </row>
    <row r="704587" spans="6:6" x14ac:dyDescent="0.25">
      <c r="F704587" s="9">
        <v>3</v>
      </c>
    </row>
    <row r="704588" spans="6:6" x14ac:dyDescent="0.25">
      <c r="F704588" s="9">
        <v>4</v>
      </c>
    </row>
    <row r="704589" spans="6:6" x14ac:dyDescent="0.25">
      <c r="F704589" s="9">
        <v>2</v>
      </c>
    </row>
    <row r="704590" spans="6:6" x14ac:dyDescent="0.25">
      <c r="F704590" s="9">
        <v>4</v>
      </c>
    </row>
    <row r="704591" spans="6:6" x14ac:dyDescent="0.25">
      <c r="F704591" s="9">
        <v>3</v>
      </c>
    </row>
    <row r="704592" spans="6:6" x14ac:dyDescent="0.25">
      <c r="F704592" s="9">
        <v>3</v>
      </c>
    </row>
    <row r="704593" spans="6:6" x14ac:dyDescent="0.25">
      <c r="F704593" s="9">
        <v>4</v>
      </c>
    </row>
    <row r="704594" spans="6:6" x14ac:dyDescent="0.25">
      <c r="F704594" s="9">
        <v>3</v>
      </c>
    </row>
    <row r="704595" spans="6:6" x14ac:dyDescent="0.25">
      <c r="F704595" s="9">
        <v>2</v>
      </c>
    </row>
    <row r="704596" spans="6:6" x14ac:dyDescent="0.25">
      <c r="F704596" s="9">
        <v>3</v>
      </c>
    </row>
    <row r="704597" spans="6:6" x14ac:dyDescent="0.25">
      <c r="F704597" s="9">
        <v>7</v>
      </c>
    </row>
    <row r="704598" spans="6:6" x14ac:dyDescent="0.25">
      <c r="F704598" s="9">
        <v>6</v>
      </c>
    </row>
    <row r="704599" spans="6:6" x14ac:dyDescent="0.25">
      <c r="F704599" s="9">
        <v>5</v>
      </c>
    </row>
    <row r="704600" spans="6:6" x14ac:dyDescent="0.25">
      <c r="F704600" s="9">
        <v>5</v>
      </c>
    </row>
    <row r="704601" spans="6:6" x14ac:dyDescent="0.25">
      <c r="F704601" s="9">
        <v>4</v>
      </c>
    </row>
    <row r="704602" spans="6:6" x14ac:dyDescent="0.25">
      <c r="F704602" s="9">
        <v>5</v>
      </c>
    </row>
    <row r="704603" spans="6:6" x14ac:dyDescent="0.25">
      <c r="F704603" s="9">
        <v>5</v>
      </c>
    </row>
    <row r="704604" spans="6:6" x14ac:dyDescent="0.25">
      <c r="F704604" s="9">
        <v>2</v>
      </c>
    </row>
    <row r="704605" spans="6:6" x14ac:dyDescent="0.25">
      <c r="F704605" s="9">
        <v>3</v>
      </c>
    </row>
    <row r="704606" spans="6:6" x14ac:dyDescent="0.25">
      <c r="F704606" s="9">
        <v>2</v>
      </c>
    </row>
    <row r="704607" spans="6:6" x14ac:dyDescent="0.25">
      <c r="F704607" s="9">
        <v>3</v>
      </c>
    </row>
    <row r="704608" spans="6:6" x14ac:dyDescent="0.25">
      <c r="F704608" s="9">
        <v>4</v>
      </c>
    </row>
    <row r="704609" spans="6:6" x14ac:dyDescent="0.25">
      <c r="F704609" s="9">
        <v>4</v>
      </c>
    </row>
    <row r="704610" spans="6:6" x14ac:dyDescent="0.25">
      <c r="F704610" s="9">
        <v>2</v>
      </c>
    </row>
    <row r="704611" spans="6:6" x14ac:dyDescent="0.25">
      <c r="F704611" s="9">
        <v>3</v>
      </c>
    </row>
    <row r="704612" spans="6:6" x14ac:dyDescent="0.25">
      <c r="F704612" s="9">
        <v>3</v>
      </c>
    </row>
    <row r="704613" spans="6:6" x14ac:dyDescent="0.25">
      <c r="F704613" s="9">
        <v>3</v>
      </c>
    </row>
    <row r="704614" spans="6:6" x14ac:dyDescent="0.25">
      <c r="F704614" s="9">
        <v>2</v>
      </c>
    </row>
    <row r="704615" spans="6:6" x14ac:dyDescent="0.25">
      <c r="F704615" s="9">
        <v>3</v>
      </c>
    </row>
    <row r="704616" spans="6:6" x14ac:dyDescent="0.25">
      <c r="F704616" s="9">
        <v>3</v>
      </c>
    </row>
    <row r="704617" spans="6:6" x14ac:dyDescent="0.25">
      <c r="F704617" s="9">
        <v>3</v>
      </c>
    </row>
    <row r="704618" spans="6:6" x14ac:dyDescent="0.25">
      <c r="F704618" s="9">
        <v>4</v>
      </c>
    </row>
    <row r="704619" spans="6:6" x14ac:dyDescent="0.25">
      <c r="F704619" s="9">
        <v>4</v>
      </c>
    </row>
    <row r="704620" spans="6:6" x14ac:dyDescent="0.25">
      <c r="F704620" s="9">
        <v>2</v>
      </c>
    </row>
    <row r="704621" spans="6:6" x14ac:dyDescent="0.25">
      <c r="F704621" s="9">
        <v>3</v>
      </c>
    </row>
    <row r="704622" spans="6:6" x14ac:dyDescent="0.25">
      <c r="F704622" s="9">
        <v>1</v>
      </c>
    </row>
    <row r="704623" spans="6:6" x14ac:dyDescent="0.25">
      <c r="F704623" s="9">
        <v>1</v>
      </c>
    </row>
    <row r="704624" spans="6:6" x14ac:dyDescent="0.25">
      <c r="F704624" s="9">
        <v>1</v>
      </c>
    </row>
    <row r="704625" spans="6:6" x14ac:dyDescent="0.25">
      <c r="F704625" s="9" t="s">
        <v>133</v>
      </c>
    </row>
    <row r="704626" spans="6:6" x14ac:dyDescent="0.25">
      <c r="F704626" s="6" t="s">
        <v>172</v>
      </c>
    </row>
    <row r="704627" spans="6:6" x14ac:dyDescent="0.25">
      <c r="F704627" s="9" t="s">
        <v>263</v>
      </c>
    </row>
    <row r="704628" spans="6:6" x14ac:dyDescent="0.25">
      <c r="F704628" s="33" t="s">
        <v>264</v>
      </c>
    </row>
    <row r="720897" spans="6:6" x14ac:dyDescent="0.25">
      <c r="F720897" s="84"/>
    </row>
    <row r="720898" spans="6:6" x14ac:dyDescent="0.25">
      <c r="F720898" s="46"/>
    </row>
    <row r="720899" spans="6:6" x14ac:dyDescent="0.25">
      <c r="F720899" s="9">
        <v>4</v>
      </c>
    </row>
    <row r="720900" spans="6:6" x14ac:dyDescent="0.25">
      <c r="F720900" s="9">
        <v>6</v>
      </c>
    </row>
    <row r="720901" spans="6:6" x14ac:dyDescent="0.25">
      <c r="F720901" s="9">
        <v>6</v>
      </c>
    </row>
    <row r="720902" spans="6:6" x14ac:dyDescent="0.25">
      <c r="F720902" s="9">
        <v>6</v>
      </c>
    </row>
    <row r="720903" spans="6:6" x14ac:dyDescent="0.25">
      <c r="F720903" s="9">
        <v>4</v>
      </c>
    </row>
    <row r="720904" spans="6:6" x14ac:dyDescent="0.25">
      <c r="F720904" s="9">
        <v>4</v>
      </c>
    </row>
    <row r="720905" spans="6:6" x14ac:dyDescent="0.25">
      <c r="F720905" s="9">
        <v>5</v>
      </c>
    </row>
    <row r="720906" spans="6:6" x14ac:dyDescent="0.25">
      <c r="F720906" s="9">
        <v>5</v>
      </c>
    </row>
    <row r="720907" spans="6:6" x14ac:dyDescent="0.25">
      <c r="F720907" s="9">
        <v>10</v>
      </c>
    </row>
    <row r="720908" spans="6:6" x14ac:dyDescent="0.25">
      <c r="F720908" s="9">
        <v>8</v>
      </c>
    </row>
    <row r="720909" spans="6:6" x14ac:dyDescent="0.25">
      <c r="F720909" s="9">
        <v>9</v>
      </c>
    </row>
    <row r="720910" spans="6:6" x14ac:dyDescent="0.25">
      <c r="F720910" s="9">
        <v>8</v>
      </c>
    </row>
    <row r="720911" spans="6:6" x14ac:dyDescent="0.25">
      <c r="F720911" s="9">
        <v>8</v>
      </c>
    </row>
    <row r="720912" spans="6:6" x14ac:dyDescent="0.25">
      <c r="F720912" s="9">
        <v>8</v>
      </c>
    </row>
    <row r="720913" spans="6:6" x14ac:dyDescent="0.25">
      <c r="F720913" s="9">
        <v>8</v>
      </c>
    </row>
    <row r="720914" spans="6:6" x14ac:dyDescent="0.25">
      <c r="F720914" s="9">
        <v>5</v>
      </c>
    </row>
    <row r="720915" spans="6:6" x14ac:dyDescent="0.25">
      <c r="F720915" s="9">
        <v>5</v>
      </c>
    </row>
    <row r="720916" spans="6:6" x14ac:dyDescent="0.25">
      <c r="F720916" s="9">
        <v>7</v>
      </c>
    </row>
    <row r="720917" spans="6:6" x14ac:dyDescent="0.25">
      <c r="F720917" s="9">
        <v>5</v>
      </c>
    </row>
    <row r="720918" spans="6:6" x14ac:dyDescent="0.25">
      <c r="F720918" s="9">
        <v>5</v>
      </c>
    </row>
    <row r="720919" spans="6:6" x14ac:dyDescent="0.25">
      <c r="F720919" s="9">
        <v>5</v>
      </c>
    </row>
    <row r="720920" spans="6:6" x14ac:dyDescent="0.25">
      <c r="F720920" s="9">
        <v>4</v>
      </c>
    </row>
    <row r="720921" spans="6:6" x14ac:dyDescent="0.25">
      <c r="F720921" s="9">
        <v>6</v>
      </c>
    </row>
    <row r="720922" spans="6:6" x14ac:dyDescent="0.25">
      <c r="F720922" s="9">
        <v>4</v>
      </c>
    </row>
    <row r="720923" spans="6:6" x14ac:dyDescent="0.25">
      <c r="F720923" s="9">
        <v>4</v>
      </c>
    </row>
    <row r="720924" spans="6:6" x14ac:dyDescent="0.25">
      <c r="F720924" s="9">
        <v>6</v>
      </c>
    </row>
    <row r="720925" spans="6:6" x14ac:dyDescent="0.25">
      <c r="F720925" s="9">
        <v>4</v>
      </c>
    </row>
    <row r="720926" spans="6:6" x14ac:dyDescent="0.25">
      <c r="F720926" s="9">
        <v>6</v>
      </c>
    </row>
    <row r="720927" spans="6:6" x14ac:dyDescent="0.25">
      <c r="F720927" s="9">
        <v>4</v>
      </c>
    </row>
    <row r="720928" spans="6:6" x14ac:dyDescent="0.25">
      <c r="F720928" s="9">
        <v>6</v>
      </c>
    </row>
    <row r="720929" spans="6:6" x14ac:dyDescent="0.25">
      <c r="F720929" s="9">
        <v>4</v>
      </c>
    </row>
    <row r="720930" spans="6:6" x14ac:dyDescent="0.25">
      <c r="F720930" s="9">
        <v>6</v>
      </c>
    </row>
    <row r="720931" spans="6:6" x14ac:dyDescent="0.25">
      <c r="F720931" s="9">
        <v>6</v>
      </c>
    </row>
    <row r="720932" spans="6:6" x14ac:dyDescent="0.25">
      <c r="F720932" s="9">
        <v>5</v>
      </c>
    </row>
    <row r="720933" spans="6:6" x14ac:dyDescent="0.25">
      <c r="F720933" s="9">
        <v>3</v>
      </c>
    </row>
    <row r="720934" spans="6:6" x14ac:dyDescent="0.25">
      <c r="F720934" s="9">
        <v>4</v>
      </c>
    </row>
    <row r="720935" spans="6:6" x14ac:dyDescent="0.25">
      <c r="F720935" s="9">
        <v>4</v>
      </c>
    </row>
    <row r="720936" spans="6:6" x14ac:dyDescent="0.25">
      <c r="F720936" s="9">
        <v>5</v>
      </c>
    </row>
    <row r="720937" spans="6:6" x14ac:dyDescent="0.25">
      <c r="F720937" s="9">
        <v>5</v>
      </c>
    </row>
    <row r="720938" spans="6:6" x14ac:dyDescent="0.25">
      <c r="F720938" s="9">
        <v>2</v>
      </c>
    </row>
    <row r="720939" spans="6:6" x14ac:dyDescent="0.25">
      <c r="F720939" s="9">
        <v>6</v>
      </c>
    </row>
    <row r="720940" spans="6:6" x14ac:dyDescent="0.25">
      <c r="F720940" s="9">
        <v>7</v>
      </c>
    </row>
    <row r="720941" spans="6:6" x14ac:dyDescent="0.25">
      <c r="F720941" s="9">
        <v>3</v>
      </c>
    </row>
    <row r="720942" spans="6:6" x14ac:dyDescent="0.25">
      <c r="F720942" s="9">
        <v>3</v>
      </c>
    </row>
    <row r="720943" spans="6:6" x14ac:dyDescent="0.25">
      <c r="F720943" s="9">
        <v>3</v>
      </c>
    </row>
    <row r="720944" spans="6:6" x14ac:dyDescent="0.25">
      <c r="F720944" s="9">
        <v>3</v>
      </c>
    </row>
    <row r="720945" spans="6:6" x14ac:dyDescent="0.25">
      <c r="F720945" s="9">
        <v>6</v>
      </c>
    </row>
    <row r="720946" spans="6:6" x14ac:dyDescent="0.25">
      <c r="F720946" s="9">
        <v>1</v>
      </c>
    </row>
    <row r="720947" spans="6:6" x14ac:dyDescent="0.25">
      <c r="F720947" s="9">
        <v>5</v>
      </c>
    </row>
    <row r="720948" spans="6:6" x14ac:dyDescent="0.25">
      <c r="F720948" s="9">
        <v>6</v>
      </c>
    </row>
    <row r="720949" spans="6:6" x14ac:dyDescent="0.25">
      <c r="F720949" s="9">
        <v>4</v>
      </c>
    </row>
    <row r="720950" spans="6:6" x14ac:dyDescent="0.25">
      <c r="F720950" s="9">
        <v>3</v>
      </c>
    </row>
    <row r="720951" spans="6:6" x14ac:dyDescent="0.25">
      <c r="F720951" s="9">
        <v>4</v>
      </c>
    </row>
    <row r="720952" spans="6:6" x14ac:dyDescent="0.25">
      <c r="F720952" s="9">
        <v>3</v>
      </c>
    </row>
    <row r="720953" spans="6:6" x14ac:dyDescent="0.25">
      <c r="F720953" s="9">
        <v>1</v>
      </c>
    </row>
    <row r="720954" spans="6:6" x14ac:dyDescent="0.25">
      <c r="F720954" s="9">
        <v>5</v>
      </c>
    </row>
    <row r="720955" spans="6:6" x14ac:dyDescent="0.25">
      <c r="F720955" s="9">
        <v>4</v>
      </c>
    </row>
    <row r="720956" spans="6:6" x14ac:dyDescent="0.25">
      <c r="F720956" s="9">
        <v>6</v>
      </c>
    </row>
    <row r="720957" spans="6:6" x14ac:dyDescent="0.25">
      <c r="F720957" s="9">
        <v>2</v>
      </c>
    </row>
    <row r="720958" spans="6:6" x14ac:dyDescent="0.25">
      <c r="F720958" s="9">
        <v>2</v>
      </c>
    </row>
    <row r="720959" spans="6:6" x14ac:dyDescent="0.25">
      <c r="F720959" s="9">
        <v>4</v>
      </c>
    </row>
    <row r="720960" spans="6:6" x14ac:dyDescent="0.25">
      <c r="F720960" s="9">
        <v>3</v>
      </c>
    </row>
    <row r="720961" spans="6:6" x14ac:dyDescent="0.25">
      <c r="F720961" s="9">
        <v>2</v>
      </c>
    </row>
    <row r="720962" spans="6:6" x14ac:dyDescent="0.25">
      <c r="F720962" s="9">
        <v>7</v>
      </c>
    </row>
    <row r="720963" spans="6:6" x14ac:dyDescent="0.25">
      <c r="F720963" s="9">
        <v>8</v>
      </c>
    </row>
    <row r="720964" spans="6:6" x14ac:dyDescent="0.25">
      <c r="F720964" s="9">
        <v>7</v>
      </c>
    </row>
    <row r="720965" spans="6:6" x14ac:dyDescent="0.25">
      <c r="F720965" s="9">
        <v>6</v>
      </c>
    </row>
    <row r="720966" spans="6:6" x14ac:dyDescent="0.25">
      <c r="F720966" s="9">
        <v>3</v>
      </c>
    </row>
    <row r="720967" spans="6:6" x14ac:dyDescent="0.25">
      <c r="F720967" s="9">
        <v>6</v>
      </c>
    </row>
    <row r="720968" spans="6:6" x14ac:dyDescent="0.25">
      <c r="F720968" s="9">
        <v>3</v>
      </c>
    </row>
    <row r="720969" spans="6:6" x14ac:dyDescent="0.25">
      <c r="F720969" s="9">
        <v>2</v>
      </c>
    </row>
    <row r="720970" spans="6:6" x14ac:dyDescent="0.25">
      <c r="F720970" s="9">
        <v>5</v>
      </c>
    </row>
    <row r="720971" spans="6:6" x14ac:dyDescent="0.25">
      <c r="F720971" s="9">
        <v>3</v>
      </c>
    </row>
    <row r="720972" spans="6:6" x14ac:dyDescent="0.25">
      <c r="F720972" s="9">
        <v>4</v>
      </c>
    </row>
    <row r="720973" spans="6:6" x14ac:dyDescent="0.25">
      <c r="F720973" s="9">
        <v>2</v>
      </c>
    </row>
    <row r="720974" spans="6:6" x14ac:dyDescent="0.25">
      <c r="F720974" s="9">
        <v>4</v>
      </c>
    </row>
    <row r="720975" spans="6:6" x14ac:dyDescent="0.25">
      <c r="F720975" s="9">
        <v>3</v>
      </c>
    </row>
    <row r="720976" spans="6:6" x14ac:dyDescent="0.25">
      <c r="F720976" s="9">
        <v>3</v>
      </c>
    </row>
    <row r="720977" spans="6:6" x14ac:dyDescent="0.25">
      <c r="F720977" s="9">
        <v>4</v>
      </c>
    </row>
    <row r="720978" spans="6:6" x14ac:dyDescent="0.25">
      <c r="F720978" s="9">
        <v>3</v>
      </c>
    </row>
    <row r="720979" spans="6:6" x14ac:dyDescent="0.25">
      <c r="F720979" s="9">
        <v>2</v>
      </c>
    </row>
    <row r="720980" spans="6:6" x14ac:dyDescent="0.25">
      <c r="F720980" s="9">
        <v>3</v>
      </c>
    </row>
    <row r="720981" spans="6:6" x14ac:dyDescent="0.25">
      <c r="F720981" s="9">
        <v>7</v>
      </c>
    </row>
    <row r="720982" spans="6:6" x14ac:dyDescent="0.25">
      <c r="F720982" s="9">
        <v>6</v>
      </c>
    </row>
    <row r="720983" spans="6:6" x14ac:dyDescent="0.25">
      <c r="F720983" s="9">
        <v>5</v>
      </c>
    </row>
    <row r="720984" spans="6:6" x14ac:dyDescent="0.25">
      <c r="F720984" s="9">
        <v>5</v>
      </c>
    </row>
    <row r="720985" spans="6:6" x14ac:dyDescent="0.25">
      <c r="F720985" s="9">
        <v>4</v>
      </c>
    </row>
    <row r="720986" spans="6:6" x14ac:dyDescent="0.25">
      <c r="F720986" s="9">
        <v>5</v>
      </c>
    </row>
    <row r="720987" spans="6:6" x14ac:dyDescent="0.25">
      <c r="F720987" s="9">
        <v>5</v>
      </c>
    </row>
    <row r="720988" spans="6:6" x14ac:dyDescent="0.25">
      <c r="F720988" s="9">
        <v>2</v>
      </c>
    </row>
    <row r="720989" spans="6:6" x14ac:dyDescent="0.25">
      <c r="F720989" s="9">
        <v>3</v>
      </c>
    </row>
    <row r="720990" spans="6:6" x14ac:dyDescent="0.25">
      <c r="F720990" s="9">
        <v>2</v>
      </c>
    </row>
    <row r="720991" spans="6:6" x14ac:dyDescent="0.25">
      <c r="F720991" s="9">
        <v>3</v>
      </c>
    </row>
    <row r="720992" spans="6:6" x14ac:dyDescent="0.25">
      <c r="F720992" s="9">
        <v>4</v>
      </c>
    </row>
    <row r="720993" spans="6:6" x14ac:dyDescent="0.25">
      <c r="F720993" s="9">
        <v>4</v>
      </c>
    </row>
    <row r="720994" spans="6:6" x14ac:dyDescent="0.25">
      <c r="F720994" s="9">
        <v>2</v>
      </c>
    </row>
    <row r="720995" spans="6:6" x14ac:dyDescent="0.25">
      <c r="F720995" s="9">
        <v>3</v>
      </c>
    </row>
    <row r="720996" spans="6:6" x14ac:dyDescent="0.25">
      <c r="F720996" s="9">
        <v>3</v>
      </c>
    </row>
    <row r="720997" spans="6:6" x14ac:dyDescent="0.25">
      <c r="F720997" s="9">
        <v>3</v>
      </c>
    </row>
    <row r="720998" spans="6:6" x14ac:dyDescent="0.25">
      <c r="F720998" s="9">
        <v>2</v>
      </c>
    </row>
    <row r="720999" spans="6:6" x14ac:dyDescent="0.25">
      <c r="F720999" s="9">
        <v>3</v>
      </c>
    </row>
    <row r="721000" spans="6:6" x14ac:dyDescent="0.25">
      <c r="F721000" s="9">
        <v>3</v>
      </c>
    </row>
    <row r="721001" spans="6:6" x14ac:dyDescent="0.25">
      <c r="F721001" s="9">
        <v>3</v>
      </c>
    </row>
    <row r="721002" spans="6:6" x14ac:dyDescent="0.25">
      <c r="F721002" s="9">
        <v>4</v>
      </c>
    </row>
    <row r="721003" spans="6:6" x14ac:dyDescent="0.25">
      <c r="F721003" s="9">
        <v>4</v>
      </c>
    </row>
    <row r="721004" spans="6:6" x14ac:dyDescent="0.25">
      <c r="F721004" s="9">
        <v>2</v>
      </c>
    </row>
    <row r="721005" spans="6:6" x14ac:dyDescent="0.25">
      <c r="F721005" s="9">
        <v>3</v>
      </c>
    </row>
    <row r="721006" spans="6:6" x14ac:dyDescent="0.25">
      <c r="F721006" s="9">
        <v>1</v>
      </c>
    </row>
    <row r="721007" spans="6:6" x14ac:dyDescent="0.25">
      <c r="F721007" s="9">
        <v>1</v>
      </c>
    </row>
    <row r="721008" spans="6:6" x14ac:dyDescent="0.25">
      <c r="F721008" s="9">
        <v>1</v>
      </c>
    </row>
    <row r="721009" spans="6:6" x14ac:dyDescent="0.25">
      <c r="F721009" s="9" t="s">
        <v>133</v>
      </c>
    </row>
    <row r="721010" spans="6:6" x14ac:dyDescent="0.25">
      <c r="F721010" s="6" t="s">
        <v>172</v>
      </c>
    </row>
    <row r="721011" spans="6:6" x14ac:dyDescent="0.25">
      <c r="F721011" s="9" t="s">
        <v>263</v>
      </c>
    </row>
    <row r="721012" spans="6:6" x14ac:dyDescent="0.25">
      <c r="F721012" s="33" t="s">
        <v>264</v>
      </c>
    </row>
    <row r="737281" spans="6:6" x14ac:dyDescent="0.25">
      <c r="F737281" s="84"/>
    </row>
    <row r="737282" spans="6:6" x14ac:dyDescent="0.25">
      <c r="F737282" s="46"/>
    </row>
    <row r="737283" spans="6:6" x14ac:dyDescent="0.25">
      <c r="F737283" s="9">
        <v>4</v>
      </c>
    </row>
    <row r="737284" spans="6:6" x14ac:dyDescent="0.25">
      <c r="F737284" s="9">
        <v>6</v>
      </c>
    </row>
    <row r="737285" spans="6:6" x14ac:dyDescent="0.25">
      <c r="F737285" s="9">
        <v>6</v>
      </c>
    </row>
    <row r="737286" spans="6:6" x14ac:dyDescent="0.25">
      <c r="F737286" s="9">
        <v>6</v>
      </c>
    </row>
    <row r="737287" spans="6:6" x14ac:dyDescent="0.25">
      <c r="F737287" s="9">
        <v>4</v>
      </c>
    </row>
    <row r="737288" spans="6:6" x14ac:dyDescent="0.25">
      <c r="F737288" s="9">
        <v>4</v>
      </c>
    </row>
    <row r="737289" spans="6:6" x14ac:dyDescent="0.25">
      <c r="F737289" s="9">
        <v>5</v>
      </c>
    </row>
    <row r="737290" spans="6:6" x14ac:dyDescent="0.25">
      <c r="F737290" s="9">
        <v>5</v>
      </c>
    </row>
    <row r="737291" spans="6:6" x14ac:dyDescent="0.25">
      <c r="F737291" s="9">
        <v>10</v>
      </c>
    </row>
    <row r="737292" spans="6:6" x14ac:dyDescent="0.25">
      <c r="F737292" s="9">
        <v>8</v>
      </c>
    </row>
    <row r="737293" spans="6:6" x14ac:dyDescent="0.25">
      <c r="F737293" s="9">
        <v>9</v>
      </c>
    </row>
    <row r="737294" spans="6:6" x14ac:dyDescent="0.25">
      <c r="F737294" s="9">
        <v>8</v>
      </c>
    </row>
    <row r="737295" spans="6:6" x14ac:dyDescent="0.25">
      <c r="F737295" s="9">
        <v>8</v>
      </c>
    </row>
    <row r="737296" spans="6:6" x14ac:dyDescent="0.25">
      <c r="F737296" s="9">
        <v>8</v>
      </c>
    </row>
    <row r="737297" spans="6:6" x14ac:dyDescent="0.25">
      <c r="F737297" s="9">
        <v>8</v>
      </c>
    </row>
    <row r="737298" spans="6:6" x14ac:dyDescent="0.25">
      <c r="F737298" s="9">
        <v>5</v>
      </c>
    </row>
    <row r="737299" spans="6:6" x14ac:dyDescent="0.25">
      <c r="F737299" s="9">
        <v>5</v>
      </c>
    </row>
    <row r="737300" spans="6:6" x14ac:dyDescent="0.25">
      <c r="F737300" s="9">
        <v>7</v>
      </c>
    </row>
    <row r="737301" spans="6:6" x14ac:dyDescent="0.25">
      <c r="F737301" s="9">
        <v>5</v>
      </c>
    </row>
    <row r="737302" spans="6:6" x14ac:dyDescent="0.25">
      <c r="F737302" s="9">
        <v>5</v>
      </c>
    </row>
    <row r="737303" spans="6:6" x14ac:dyDescent="0.25">
      <c r="F737303" s="9">
        <v>5</v>
      </c>
    </row>
    <row r="737304" spans="6:6" x14ac:dyDescent="0.25">
      <c r="F737304" s="9">
        <v>4</v>
      </c>
    </row>
    <row r="737305" spans="6:6" x14ac:dyDescent="0.25">
      <c r="F737305" s="9">
        <v>6</v>
      </c>
    </row>
    <row r="737306" spans="6:6" x14ac:dyDescent="0.25">
      <c r="F737306" s="9">
        <v>4</v>
      </c>
    </row>
    <row r="737307" spans="6:6" x14ac:dyDescent="0.25">
      <c r="F737307" s="9">
        <v>4</v>
      </c>
    </row>
    <row r="737308" spans="6:6" x14ac:dyDescent="0.25">
      <c r="F737308" s="9">
        <v>6</v>
      </c>
    </row>
    <row r="737309" spans="6:6" x14ac:dyDescent="0.25">
      <c r="F737309" s="9">
        <v>4</v>
      </c>
    </row>
    <row r="737310" spans="6:6" x14ac:dyDescent="0.25">
      <c r="F737310" s="9">
        <v>6</v>
      </c>
    </row>
    <row r="737311" spans="6:6" x14ac:dyDescent="0.25">
      <c r="F737311" s="9">
        <v>4</v>
      </c>
    </row>
    <row r="737312" spans="6:6" x14ac:dyDescent="0.25">
      <c r="F737312" s="9">
        <v>6</v>
      </c>
    </row>
    <row r="737313" spans="6:6" x14ac:dyDescent="0.25">
      <c r="F737313" s="9">
        <v>4</v>
      </c>
    </row>
    <row r="737314" spans="6:6" x14ac:dyDescent="0.25">
      <c r="F737314" s="9">
        <v>6</v>
      </c>
    </row>
    <row r="737315" spans="6:6" x14ac:dyDescent="0.25">
      <c r="F737315" s="9">
        <v>6</v>
      </c>
    </row>
    <row r="737316" spans="6:6" x14ac:dyDescent="0.25">
      <c r="F737316" s="9">
        <v>5</v>
      </c>
    </row>
    <row r="737317" spans="6:6" x14ac:dyDescent="0.25">
      <c r="F737317" s="9">
        <v>3</v>
      </c>
    </row>
    <row r="737318" spans="6:6" x14ac:dyDescent="0.25">
      <c r="F737318" s="9">
        <v>4</v>
      </c>
    </row>
    <row r="737319" spans="6:6" x14ac:dyDescent="0.25">
      <c r="F737319" s="9">
        <v>4</v>
      </c>
    </row>
    <row r="737320" spans="6:6" x14ac:dyDescent="0.25">
      <c r="F737320" s="9">
        <v>5</v>
      </c>
    </row>
    <row r="737321" spans="6:6" x14ac:dyDescent="0.25">
      <c r="F737321" s="9">
        <v>5</v>
      </c>
    </row>
    <row r="737322" spans="6:6" x14ac:dyDescent="0.25">
      <c r="F737322" s="9">
        <v>2</v>
      </c>
    </row>
    <row r="737323" spans="6:6" x14ac:dyDescent="0.25">
      <c r="F737323" s="9">
        <v>6</v>
      </c>
    </row>
    <row r="737324" spans="6:6" x14ac:dyDescent="0.25">
      <c r="F737324" s="9">
        <v>7</v>
      </c>
    </row>
    <row r="737325" spans="6:6" x14ac:dyDescent="0.25">
      <c r="F737325" s="9">
        <v>3</v>
      </c>
    </row>
    <row r="737326" spans="6:6" x14ac:dyDescent="0.25">
      <c r="F737326" s="9">
        <v>3</v>
      </c>
    </row>
    <row r="737327" spans="6:6" x14ac:dyDescent="0.25">
      <c r="F737327" s="9">
        <v>3</v>
      </c>
    </row>
    <row r="737328" spans="6:6" x14ac:dyDescent="0.25">
      <c r="F737328" s="9">
        <v>3</v>
      </c>
    </row>
    <row r="737329" spans="6:6" x14ac:dyDescent="0.25">
      <c r="F737329" s="9">
        <v>6</v>
      </c>
    </row>
    <row r="737330" spans="6:6" x14ac:dyDescent="0.25">
      <c r="F737330" s="9">
        <v>1</v>
      </c>
    </row>
    <row r="737331" spans="6:6" x14ac:dyDescent="0.25">
      <c r="F737331" s="9">
        <v>5</v>
      </c>
    </row>
    <row r="737332" spans="6:6" x14ac:dyDescent="0.25">
      <c r="F737332" s="9">
        <v>6</v>
      </c>
    </row>
    <row r="737333" spans="6:6" x14ac:dyDescent="0.25">
      <c r="F737333" s="9">
        <v>4</v>
      </c>
    </row>
    <row r="737334" spans="6:6" x14ac:dyDescent="0.25">
      <c r="F737334" s="9">
        <v>3</v>
      </c>
    </row>
    <row r="737335" spans="6:6" x14ac:dyDescent="0.25">
      <c r="F737335" s="9">
        <v>4</v>
      </c>
    </row>
    <row r="737336" spans="6:6" x14ac:dyDescent="0.25">
      <c r="F737336" s="9">
        <v>3</v>
      </c>
    </row>
    <row r="737337" spans="6:6" x14ac:dyDescent="0.25">
      <c r="F737337" s="9">
        <v>1</v>
      </c>
    </row>
    <row r="737338" spans="6:6" x14ac:dyDescent="0.25">
      <c r="F737338" s="9">
        <v>5</v>
      </c>
    </row>
    <row r="737339" spans="6:6" x14ac:dyDescent="0.25">
      <c r="F737339" s="9">
        <v>4</v>
      </c>
    </row>
    <row r="737340" spans="6:6" x14ac:dyDescent="0.25">
      <c r="F737340" s="9">
        <v>6</v>
      </c>
    </row>
    <row r="737341" spans="6:6" x14ac:dyDescent="0.25">
      <c r="F737341" s="9">
        <v>2</v>
      </c>
    </row>
    <row r="737342" spans="6:6" x14ac:dyDescent="0.25">
      <c r="F737342" s="9">
        <v>2</v>
      </c>
    </row>
    <row r="737343" spans="6:6" x14ac:dyDescent="0.25">
      <c r="F737343" s="9">
        <v>4</v>
      </c>
    </row>
    <row r="737344" spans="6:6" x14ac:dyDescent="0.25">
      <c r="F737344" s="9">
        <v>3</v>
      </c>
    </row>
    <row r="737345" spans="6:6" x14ac:dyDescent="0.25">
      <c r="F737345" s="9">
        <v>2</v>
      </c>
    </row>
    <row r="737346" spans="6:6" x14ac:dyDescent="0.25">
      <c r="F737346" s="9">
        <v>7</v>
      </c>
    </row>
    <row r="737347" spans="6:6" x14ac:dyDescent="0.25">
      <c r="F737347" s="9">
        <v>8</v>
      </c>
    </row>
    <row r="737348" spans="6:6" x14ac:dyDescent="0.25">
      <c r="F737348" s="9">
        <v>7</v>
      </c>
    </row>
    <row r="737349" spans="6:6" x14ac:dyDescent="0.25">
      <c r="F737349" s="9">
        <v>6</v>
      </c>
    </row>
    <row r="737350" spans="6:6" x14ac:dyDescent="0.25">
      <c r="F737350" s="9">
        <v>3</v>
      </c>
    </row>
    <row r="737351" spans="6:6" x14ac:dyDescent="0.25">
      <c r="F737351" s="9">
        <v>6</v>
      </c>
    </row>
    <row r="737352" spans="6:6" x14ac:dyDescent="0.25">
      <c r="F737352" s="9">
        <v>3</v>
      </c>
    </row>
    <row r="737353" spans="6:6" x14ac:dyDescent="0.25">
      <c r="F737353" s="9">
        <v>2</v>
      </c>
    </row>
    <row r="737354" spans="6:6" x14ac:dyDescent="0.25">
      <c r="F737354" s="9">
        <v>5</v>
      </c>
    </row>
    <row r="737355" spans="6:6" x14ac:dyDescent="0.25">
      <c r="F737355" s="9">
        <v>3</v>
      </c>
    </row>
    <row r="737356" spans="6:6" x14ac:dyDescent="0.25">
      <c r="F737356" s="9">
        <v>4</v>
      </c>
    </row>
    <row r="737357" spans="6:6" x14ac:dyDescent="0.25">
      <c r="F737357" s="9">
        <v>2</v>
      </c>
    </row>
    <row r="737358" spans="6:6" x14ac:dyDescent="0.25">
      <c r="F737358" s="9">
        <v>4</v>
      </c>
    </row>
    <row r="737359" spans="6:6" x14ac:dyDescent="0.25">
      <c r="F737359" s="9">
        <v>3</v>
      </c>
    </row>
    <row r="737360" spans="6:6" x14ac:dyDescent="0.25">
      <c r="F737360" s="9">
        <v>3</v>
      </c>
    </row>
    <row r="737361" spans="6:6" x14ac:dyDescent="0.25">
      <c r="F737361" s="9">
        <v>4</v>
      </c>
    </row>
    <row r="737362" spans="6:6" x14ac:dyDescent="0.25">
      <c r="F737362" s="9">
        <v>3</v>
      </c>
    </row>
    <row r="737363" spans="6:6" x14ac:dyDescent="0.25">
      <c r="F737363" s="9">
        <v>2</v>
      </c>
    </row>
    <row r="737364" spans="6:6" x14ac:dyDescent="0.25">
      <c r="F737364" s="9">
        <v>3</v>
      </c>
    </row>
    <row r="737365" spans="6:6" x14ac:dyDescent="0.25">
      <c r="F737365" s="9">
        <v>7</v>
      </c>
    </row>
    <row r="737366" spans="6:6" x14ac:dyDescent="0.25">
      <c r="F737366" s="9">
        <v>6</v>
      </c>
    </row>
    <row r="737367" spans="6:6" x14ac:dyDescent="0.25">
      <c r="F737367" s="9">
        <v>5</v>
      </c>
    </row>
    <row r="737368" spans="6:6" x14ac:dyDescent="0.25">
      <c r="F737368" s="9">
        <v>5</v>
      </c>
    </row>
    <row r="737369" spans="6:6" x14ac:dyDescent="0.25">
      <c r="F737369" s="9">
        <v>4</v>
      </c>
    </row>
    <row r="737370" spans="6:6" x14ac:dyDescent="0.25">
      <c r="F737370" s="9">
        <v>5</v>
      </c>
    </row>
    <row r="737371" spans="6:6" x14ac:dyDescent="0.25">
      <c r="F737371" s="9">
        <v>5</v>
      </c>
    </row>
    <row r="737372" spans="6:6" x14ac:dyDescent="0.25">
      <c r="F737372" s="9">
        <v>2</v>
      </c>
    </row>
    <row r="737373" spans="6:6" x14ac:dyDescent="0.25">
      <c r="F737373" s="9">
        <v>3</v>
      </c>
    </row>
    <row r="737374" spans="6:6" x14ac:dyDescent="0.25">
      <c r="F737374" s="9">
        <v>2</v>
      </c>
    </row>
    <row r="737375" spans="6:6" x14ac:dyDescent="0.25">
      <c r="F737375" s="9">
        <v>3</v>
      </c>
    </row>
    <row r="737376" spans="6:6" x14ac:dyDescent="0.25">
      <c r="F737376" s="9">
        <v>4</v>
      </c>
    </row>
    <row r="737377" spans="6:6" x14ac:dyDescent="0.25">
      <c r="F737377" s="9">
        <v>4</v>
      </c>
    </row>
    <row r="737378" spans="6:6" x14ac:dyDescent="0.25">
      <c r="F737378" s="9">
        <v>2</v>
      </c>
    </row>
    <row r="737379" spans="6:6" x14ac:dyDescent="0.25">
      <c r="F737379" s="9">
        <v>3</v>
      </c>
    </row>
    <row r="737380" spans="6:6" x14ac:dyDescent="0.25">
      <c r="F737380" s="9">
        <v>3</v>
      </c>
    </row>
    <row r="737381" spans="6:6" x14ac:dyDescent="0.25">
      <c r="F737381" s="9">
        <v>3</v>
      </c>
    </row>
    <row r="737382" spans="6:6" x14ac:dyDescent="0.25">
      <c r="F737382" s="9">
        <v>2</v>
      </c>
    </row>
    <row r="737383" spans="6:6" x14ac:dyDescent="0.25">
      <c r="F737383" s="9">
        <v>3</v>
      </c>
    </row>
    <row r="737384" spans="6:6" x14ac:dyDescent="0.25">
      <c r="F737384" s="9">
        <v>3</v>
      </c>
    </row>
    <row r="737385" spans="6:6" x14ac:dyDescent="0.25">
      <c r="F737385" s="9">
        <v>3</v>
      </c>
    </row>
    <row r="737386" spans="6:6" x14ac:dyDescent="0.25">
      <c r="F737386" s="9">
        <v>4</v>
      </c>
    </row>
    <row r="737387" spans="6:6" x14ac:dyDescent="0.25">
      <c r="F737387" s="9">
        <v>4</v>
      </c>
    </row>
    <row r="737388" spans="6:6" x14ac:dyDescent="0.25">
      <c r="F737388" s="9">
        <v>2</v>
      </c>
    </row>
    <row r="737389" spans="6:6" x14ac:dyDescent="0.25">
      <c r="F737389" s="9">
        <v>3</v>
      </c>
    </row>
    <row r="737390" spans="6:6" x14ac:dyDescent="0.25">
      <c r="F737390" s="9">
        <v>1</v>
      </c>
    </row>
    <row r="737391" spans="6:6" x14ac:dyDescent="0.25">
      <c r="F737391" s="9">
        <v>1</v>
      </c>
    </row>
    <row r="737392" spans="6:6" x14ac:dyDescent="0.25">
      <c r="F737392" s="9">
        <v>1</v>
      </c>
    </row>
    <row r="737393" spans="6:6" x14ac:dyDescent="0.25">
      <c r="F737393" s="9" t="s">
        <v>133</v>
      </c>
    </row>
    <row r="737394" spans="6:6" x14ac:dyDescent="0.25">
      <c r="F737394" s="6" t="s">
        <v>172</v>
      </c>
    </row>
    <row r="737395" spans="6:6" x14ac:dyDescent="0.25">
      <c r="F737395" s="9" t="s">
        <v>263</v>
      </c>
    </row>
    <row r="737396" spans="6:6" x14ac:dyDescent="0.25">
      <c r="F737396" s="33" t="s">
        <v>264</v>
      </c>
    </row>
    <row r="753665" spans="6:6" x14ac:dyDescent="0.25">
      <c r="F753665" s="84"/>
    </row>
    <row r="753666" spans="6:6" x14ac:dyDescent="0.25">
      <c r="F753666" s="46"/>
    </row>
    <row r="753667" spans="6:6" x14ac:dyDescent="0.25">
      <c r="F753667" s="9">
        <v>4</v>
      </c>
    </row>
    <row r="753668" spans="6:6" x14ac:dyDescent="0.25">
      <c r="F753668" s="9">
        <v>6</v>
      </c>
    </row>
    <row r="753669" spans="6:6" x14ac:dyDescent="0.25">
      <c r="F753669" s="9">
        <v>6</v>
      </c>
    </row>
    <row r="753670" spans="6:6" x14ac:dyDescent="0.25">
      <c r="F753670" s="9">
        <v>6</v>
      </c>
    </row>
    <row r="753671" spans="6:6" x14ac:dyDescent="0.25">
      <c r="F753671" s="9">
        <v>4</v>
      </c>
    </row>
    <row r="753672" spans="6:6" x14ac:dyDescent="0.25">
      <c r="F753672" s="9">
        <v>4</v>
      </c>
    </row>
    <row r="753673" spans="6:6" x14ac:dyDescent="0.25">
      <c r="F753673" s="9">
        <v>5</v>
      </c>
    </row>
    <row r="753674" spans="6:6" x14ac:dyDescent="0.25">
      <c r="F753674" s="9">
        <v>5</v>
      </c>
    </row>
    <row r="753675" spans="6:6" x14ac:dyDescent="0.25">
      <c r="F753675" s="9">
        <v>10</v>
      </c>
    </row>
    <row r="753676" spans="6:6" x14ac:dyDescent="0.25">
      <c r="F753676" s="9">
        <v>8</v>
      </c>
    </row>
    <row r="753677" spans="6:6" x14ac:dyDescent="0.25">
      <c r="F753677" s="9">
        <v>9</v>
      </c>
    </row>
    <row r="753678" spans="6:6" x14ac:dyDescent="0.25">
      <c r="F753678" s="9">
        <v>8</v>
      </c>
    </row>
    <row r="753679" spans="6:6" x14ac:dyDescent="0.25">
      <c r="F753679" s="9">
        <v>8</v>
      </c>
    </row>
    <row r="753680" spans="6:6" x14ac:dyDescent="0.25">
      <c r="F753680" s="9">
        <v>8</v>
      </c>
    </row>
    <row r="753681" spans="6:6" x14ac:dyDescent="0.25">
      <c r="F753681" s="9">
        <v>8</v>
      </c>
    </row>
    <row r="753682" spans="6:6" x14ac:dyDescent="0.25">
      <c r="F753682" s="9">
        <v>5</v>
      </c>
    </row>
    <row r="753683" spans="6:6" x14ac:dyDescent="0.25">
      <c r="F753683" s="9">
        <v>5</v>
      </c>
    </row>
    <row r="753684" spans="6:6" x14ac:dyDescent="0.25">
      <c r="F753684" s="9">
        <v>7</v>
      </c>
    </row>
    <row r="753685" spans="6:6" x14ac:dyDescent="0.25">
      <c r="F753685" s="9">
        <v>5</v>
      </c>
    </row>
    <row r="753686" spans="6:6" x14ac:dyDescent="0.25">
      <c r="F753686" s="9">
        <v>5</v>
      </c>
    </row>
    <row r="753687" spans="6:6" x14ac:dyDescent="0.25">
      <c r="F753687" s="9">
        <v>5</v>
      </c>
    </row>
    <row r="753688" spans="6:6" x14ac:dyDescent="0.25">
      <c r="F753688" s="9">
        <v>4</v>
      </c>
    </row>
    <row r="753689" spans="6:6" x14ac:dyDescent="0.25">
      <c r="F753689" s="9">
        <v>6</v>
      </c>
    </row>
    <row r="753690" spans="6:6" x14ac:dyDescent="0.25">
      <c r="F753690" s="9">
        <v>4</v>
      </c>
    </row>
    <row r="753691" spans="6:6" x14ac:dyDescent="0.25">
      <c r="F753691" s="9">
        <v>4</v>
      </c>
    </row>
    <row r="753692" spans="6:6" x14ac:dyDescent="0.25">
      <c r="F753692" s="9">
        <v>6</v>
      </c>
    </row>
    <row r="753693" spans="6:6" x14ac:dyDescent="0.25">
      <c r="F753693" s="9">
        <v>4</v>
      </c>
    </row>
    <row r="753694" spans="6:6" x14ac:dyDescent="0.25">
      <c r="F753694" s="9">
        <v>6</v>
      </c>
    </row>
    <row r="753695" spans="6:6" x14ac:dyDescent="0.25">
      <c r="F753695" s="9">
        <v>4</v>
      </c>
    </row>
    <row r="753696" spans="6:6" x14ac:dyDescent="0.25">
      <c r="F753696" s="9">
        <v>6</v>
      </c>
    </row>
    <row r="753697" spans="6:6" x14ac:dyDescent="0.25">
      <c r="F753697" s="9">
        <v>4</v>
      </c>
    </row>
    <row r="753698" spans="6:6" x14ac:dyDescent="0.25">
      <c r="F753698" s="9">
        <v>6</v>
      </c>
    </row>
    <row r="753699" spans="6:6" x14ac:dyDescent="0.25">
      <c r="F753699" s="9">
        <v>6</v>
      </c>
    </row>
    <row r="753700" spans="6:6" x14ac:dyDescent="0.25">
      <c r="F753700" s="9">
        <v>5</v>
      </c>
    </row>
    <row r="753701" spans="6:6" x14ac:dyDescent="0.25">
      <c r="F753701" s="9">
        <v>3</v>
      </c>
    </row>
    <row r="753702" spans="6:6" x14ac:dyDescent="0.25">
      <c r="F753702" s="9">
        <v>4</v>
      </c>
    </row>
    <row r="753703" spans="6:6" x14ac:dyDescent="0.25">
      <c r="F753703" s="9">
        <v>4</v>
      </c>
    </row>
    <row r="753704" spans="6:6" x14ac:dyDescent="0.25">
      <c r="F753704" s="9">
        <v>5</v>
      </c>
    </row>
    <row r="753705" spans="6:6" x14ac:dyDescent="0.25">
      <c r="F753705" s="9">
        <v>5</v>
      </c>
    </row>
    <row r="753706" spans="6:6" x14ac:dyDescent="0.25">
      <c r="F753706" s="9">
        <v>2</v>
      </c>
    </row>
    <row r="753707" spans="6:6" x14ac:dyDescent="0.25">
      <c r="F753707" s="9">
        <v>6</v>
      </c>
    </row>
    <row r="753708" spans="6:6" x14ac:dyDescent="0.25">
      <c r="F753708" s="9">
        <v>7</v>
      </c>
    </row>
    <row r="753709" spans="6:6" x14ac:dyDescent="0.25">
      <c r="F753709" s="9">
        <v>3</v>
      </c>
    </row>
    <row r="753710" spans="6:6" x14ac:dyDescent="0.25">
      <c r="F753710" s="9">
        <v>3</v>
      </c>
    </row>
    <row r="753711" spans="6:6" x14ac:dyDescent="0.25">
      <c r="F753711" s="9">
        <v>3</v>
      </c>
    </row>
    <row r="753712" spans="6:6" x14ac:dyDescent="0.25">
      <c r="F753712" s="9">
        <v>3</v>
      </c>
    </row>
    <row r="753713" spans="6:6" x14ac:dyDescent="0.25">
      <c r="F753713" s="9">
        <v>6</v>
      </c>
    </row>
    <row r="753714" spans="6:6" x14ac:dyDescent="0.25">
      <c r="F753714" s="9">
        <v>1</v>
      </c>
    </row>
    <row r="753715" spans="6:6" x14ac:dyDescent="0.25">
      <c r="F753715" s="9">
        <v>5</v>
      </c>
    </row>
    <row r="753716" spans="6:6" x14ac:dyDescent="0.25">
      <c r="F753716" s="9">
        <v>6</v>
      </c>
    </row>
    <row r="753717" spans="6:6" x14ac:dyDescent="0.25">
      <c r="F753717" s="9">
        <v>4</v>
      </c>
    </row>
    <row r="753718" spans="6:6" x14ac:dyDescent="0.25">
      <c r="F753718" s="9">
        <v>3</v>
      </c>
    </row>
    <row r="753719" spans="6:6" x14ac:dyDescent="0.25">
      <c r="F753719" s="9">
        <v>4</v>
      </c>
    </row>
    <row r="753720" spans="6:6" x14ac:dyDescent="0.25">
      <c r="F753720" s="9">
        <v>3</v>
      </c>
    </row>
    <row r="753721" spans="6:6" x14ac:dyDescent="0.25">
      <c r="F753721" s="9">
        <v>1</v>
      </c>
    </row>
    <row r="753722" spans="6:6" x14ac:dyDescent="0.25">
      <c r="F753722" s="9">
        <v>5</v>
      </c>
    </row>
    <row r="753723" spans="6:6" x14ac:dyDescent="0.25">
      <c r="F753723" s="9">
        <v>4</v>
      </c>
    </row>
    <row r="753724" spans="6:6" x14ac:dyDescent="0.25">
      <c r="F753724" s="9">
        <v>6</v>
      </c>
    </row>
    <row r="753725" spans="6:6" x14ac:dyDescent="0.25">
      <c r="F753725" s="9">
        <v>2</v>
      </c>
    </row>
    <row r="753726" spans="6:6" x14ac:dyDescent="0.25">
      <c r="F753726" s="9">
        <v>2</v>
      </c>
    </row>
    <row r="753727" spans="6:6" x14ac:dyDescent="0.25">
      <c r="F753727" s="9">
        <v>4</v>
      </c>
    </row>
    <row r="753728" spans="6:6" x14ac:dyDescent="0.25">
      <c r="F753728" s="9">
        <v>3</v>
      </c>
    </row>
    <row r="753729" spans="6:6" x14ac:dyDescent="0.25">
      <c r="F753729" s="9">
        <v>2</v>
      </c>
    </row>
    <row r="753730" spans="6:6" x14ac:dyDescent="0.25">
      <c r="F753730" s="9">
        <v>7</v>
      </c>
    </row>
    <row r="753731" spans="6:6" x14ac:dyDescent="0.25">
      <c r="F753731" s="9">
        <v>8</v>
      </c>
    </row>
    <row r="753732" spans="6:6" x14ac:dyDescent="0.25">
      <c r="F753732" s="9">
        <v>7</v>
      </c>
    </row>
    <row r="753733" spans="6:6" x14ac:dyDescent="0.25">
      <c r="F753733" s="9">
        <v>6</v>
      </c>
    </row>
    <row r="753734" spans="6:6" x14ac:dyDescent="0.25">
      <c r="F753734" s="9">
        <v>3</v>
      </c>
    </row>
    <row r="753735" spans="6:6" x14ac:dyDescent="0.25">
      <c r="F753735" s="9">
        <v>6</v>
      </c>
    </row>
    <row r="753736" spans="6:6" x14ac:dyDescent="0.25">
      <c r="F753736" s="9">
        <v>3</v>
      </c>
    </row>
    <row r="753737" spans="6:6" x14ac:dyDescent="0.25">
      <c r="F753737" s="9">
        <v>2</v>
      </c>
    </row>
    <row r="753738" spans="6:6" x14ac:dyDescent="0.25">
      <c r="F753738" s="9">
        <v>5</v>
      </c>
    </row>
    <row r="753739" spans="6:6" x14ac:dyDescent="0.25">
      <c r="F753739" s="9">
        <v>3</v>
      </c>
    </row>
    <row r="753740" spans="6:6" x14ac:dyDescent="0.25">
      <c r="F753740" s="9">
        <v>4</v>
      </c>
    </row>
    <row r="753741" spans="6:6" x14ac:dyDescent="0.25">
      <c r="F753741" s="9">
        <v>2</v>
      </c>
    </row>
    <row r="753742" spans="6:6" x14ac:dyDescent="0.25">
      <c r="F753742" s="9">
        <v>4</v>
      </c>
    </row>
    <row r="753743" spans="6:6" x14ac:dyDescent="0.25">
      <c r="F753743" s="9">
        <v>3</v>
      </c>
    </row>
    <row r="753744" spans="6:6" x14ac:dyDescent="0.25">
      <c r="F753744" s="9">
        <v>3</v>
      </c>
    </row>
    <row r="753745" spans="6:6" x14ac:dyDescent="0.25">
      <c r="F753745" s="9">
        <v>4</v>
      </c>
    </row>
    <row r="753746" spans="6:6" x14ac:dyDescent="0.25">
      <c r="F753746" s="9">
        <v>3</v>
      </c>
    </row>
    <row r="753747" spans="6:6" x14ac:dyDescent="0.25">
      <c r="F753747" s="9">
        <v>2</v>
      </c>
    </row>
    <row r="753748" spans="6:6" x14ac:dyDescent="0.25">
      <c r="F753748" s="9">
        <v>3</v>
      </c>
    </row>
    <row r="753749" spans="6:6" x14ac:dyDescent="0.25">
      <c r="F753749" s="9">
        <v>7</v>
      </c>
    </row>
    <row r="753750" spans="6:6" x14ac:dyDescent="0.25">
      <c r="F753750" s="9">
        <v>6</v>
      </c>
    </row>
    <row r="753751" spans="6:6" x14ac:dyDescent="0.25">
      <c r="F753751" s="9">
        <v>5</v>
      </c>
    </row>
    <row r="753752" spans="6:6" x14ac:dyDescent="0.25">
      <c r="F753752" s="9">
        <v>5</v>
      </c>
    </row>
    <row r="753753" spans="6:6" x14ac:dyDescent="0.25">
      <c r="F753753" s="9">
        <v>4</v>
      </c>
    </row>
    <row r="753754" spans="6:6" x14ac:dyDescent="0.25">
      <c r="F753754" s="9">
        <v>5</v>
      </c>
    </row>
    <row r="753755" spans="6:6" x14ac:dyDescent="0.25">
      <c r="F753755" s="9">
        <v>5</v>
      </c>
    </row>
    <row r="753756" spans="6:6" x14ac:dyDescent="0.25">
      <c r="F753756" s="9">
        <v>2</v>
      </c>
    </row>
    <row r="753757" spans="6:6" x14ac:dyDescent="0.25">
      <c r="F753757" s="9">
        <v>3</v>
      </c>
    </row>
    <row r="753758" spans="6:6" x14ac:dyDescent="0.25">
      <c r="F753758" s="9">
        <v>2</v>
      </c>
    </row>
    <row r="753759" spans="6:6" x14ac:dyDescent="0.25">
      <c r="F753759" s="9">
        <v>3</v>
      </c>
    </row>
    <row r="753760" spans="6:6" x14ac:dyDescent="0.25">
      <c r="F753760" s="9">
        <v>4</v>
      </c>
    </row>
    <row r="753761" spans="6:6" x14ac:dyDescent="0.25">
      <c r="F753761" s="9">
        <v>4</v>
      </c>
    </row>
    <row r="753762" spans="6:6" x14ac:dyDescent="0.25">
      <c r="F753762" s="9">
        <v>2</v>
      </c>
    </row>
    <row r="753763" spans="6:6" x14ac:dyDescent="0.25">
      <c r="F753763" s="9">
        <v>3</v>
      </c>
    </row>
    <row r="753764" spans="6:6" x14ac:dyDescent="0.25">
      <c r="F753764" s="9">
        <v>3</v>
      </c>
    </row>
    <row r="753765" spans="6:6" x14ac:dyDescent="0.25">
      <c r="F753765" s="9">
        <v>3</v>
      </c>
    </row>
    <row r="753766" spans="6:6" x14ac:dyDescent="0.25">
      <c r="F753766" s="9">
        <v>2</v>
      </c>
    </row>
    <row r="753767" spans="6:6" x14ac:dyDescent="0.25">
      <c r="F753767" s="9">
        <v>3</v>
      </c>
    </row>
    <row r="753768" spans="6:6" x14ac:dyDescent="0.25">
      <c r="F753768" s="9">
        <v>3</v>
      </c>
    </row>
    <row r="753769" spans="6:6" x14ac:dyDescent="0.25">
      <c r="F753769" s="9">
        <v>3</v>
      </c>
    </row>
    <row r="753770" spans="6:6" x14ac:dyDescent="0.25">
      <c r="F753770" s="9">
        <v>4</v>
      </c>
    </row>
    <row r="753771" spans="6:6" x14ac:dyDescent="0.25">
      <c r="F753771" s="9">
        <v>4</v>
      </c>
    </row>
    <row r="753772" spans="6:6" x14ac:dyDescent="0.25">
      <c r="F753772" s="9">
        <v>2</v>
      </c>
    </row>
    <row r="753773" spans="6:6" x14ac:dyDescent="0.25">
      <c r="F753773" s="9">
        <v>3</v>
      </c>
    </row>
    <row r="753774" spans="6:6" x14ac:dyDescent="0.25">
      <c r="F753774" s="9">
        <v>1</v>
      </c>
    </row>
    <row r="753775" spans="6:6" x14ac:dyDescent="0.25">
      <c r="F753775" s="9">
        <v>1</v>
      </c>
    </row>
    <row r="753776" spans="6:6" x14ac:dyDescent="0.25">
      <c r="F753776" s="9">
        <v>1</v>
      </c>
    </row>
    <row r="753777" spans="6:6" x14ac:dyDescent="0.25">
      <c r="F753777" s="9" t="s">
        <v>133</v>
      </c>
    </row>
    <row r="753778" spans="6:6" x14ac:dyDescent="0.25">
      <c r="F753778" s="6" t="s">
        <v>172</v>
      </c>
    </row>
    <row r="753779" spans="6:6" x14ac:dyDescent="0.25">
      <c r="F753779" s="9" t="s">
        <v>263</v>
      </c>
    </row>
    <row r="753780" spans="6:6" x14ac:dyDescent="0.25">
      <c r="F753780" s="33" t="s">
        <v>264</v>
      </c>
    </row>
    <row r="770049" spans="6:6" x14ac:dyDescent="0.25">
      <c r="F770049" s="84"/>
    </row>
    <row r="770050" spans="6:6" x14ac:dyDescent="0.25">
      <c r="F770050" s="46"/>
    </row>
    <row r="770051" spans="6:6" x14ac:dyDescent="0.25">
      <c r="F770051" s="9">
        <v>4</v>
      </c>
    </row>
    <row r="770052" spans="6:6" x14ac:dyDescent="0.25">
      <c r="F770052" s="9">
        <v>6</v>
      </c>
    </row>
    <row r="770053" spans="6:6" x14ac:dyDescent="0.25">
      <c r="F770053" s="9">
        <v>6</v>
      </c>
    </row>
    <row r="770054" spans="6:6" x14ac:dyDescent="0.25">
      <c r="F770054" s="9">
        <v>6</v>
      </c>
    </row>
    <row r="770055" spans="6:6" x14ac:dyDescent="0.25">
      <c r="F770055" s="9">
        <v>4</v>
      </c>
    </row>
    <row r="770056" spans="6:6" x14ac:dyDescent="0.25">
      <c r="F770056" s="9">
        <v>4</v>
      </c>
    </row>
    <row r="770057" spans="6:6" x14ac:dyDescent="0.25">
      <c r="F770057" s="9">
        <v>5</v>
      </c>
    </row>
    <row r="770058" spans="6:6" x14ac:dyDescent="0.25">
      <c r="F770058" s="9">
        <v>5</v>
      </c>
    </row>
    <row r="770059" spans="6:6" x14ac:dyDescent="0.25">
      <c r="F770059" s="9">
        <v>10</v>
      </c>
    </row>
    <row r="770060" spans="6:6" x14ac:dyDescent="0.25">
      <c r="F770060" s="9">
        <v>8</v>
      </c>
    </row>
    <row r="770061" spans="6:6" x14ac:dyDescent="0.25">
      <c r="F770061" s="9">
        <v>9</v>
      </c>
    </row>
    <row r="770062" spans="6:6" x14ac:dyDescent="0.25">
      <c r="F770062" s="9">
        <v>8</v>
      </c>
    </row>
    <row r="770063" spans="6:6" x14ac:dyDescent="0.25">
      <c r="F770063" s="9">
        <v>8</v>
      </c>
    </row>
    <row r="770064" spans="6:6" x14ac:dyDescent="0.25">
      <c r="F770064" s="9">
        <v>8</v>
      </c>
    </row>
    <row r="770065" spans="6:6" x14ac:dyDescent="0.25">
      <c r="F770065" s="9">
        <v>8</v>
      </c>
    </row>
    <row r="770066" spans="6:6" x14ac:dyDescent="0.25">
      <c r="F770066" s="9">
        <v>5</v>
      </c>
    </row>
    <row r="770067" spans="6:6" x14ac:dyDescent="0.25">
      <c r="F770067" s="9">
        <v>5</v>
      </c>
    </row>
    <row r="770068" spans="6:6" x14ac:dyDescent="0.25">
      <c r="F770068" s="9">
        <v>7</v>
      </c>
    </row>
    <row r="770069" spans="6:6" x14ac:dyDescent="0.25">
      <c r="F770069" s="9">
        <v>5</v>
      </c>
    </row>
    <row r="770070" spans="6:6" x14ac:dyDescent="0.25">
      <c r="F770070" s="9">
        <v>5</v>
      </c>
    </row>
    <row r="770071" spans="6:6" x14ac:dyDescent="0.25">
      <c r="F770071" s="9">
        <v>5</v>
      </c>
    </row>
    <row r="770072" spans="6:6" x14ac:dyDescent="0.25">
      <c r="F770072" s="9">
        <v>4</v>
      </c>
    </row>
    <row r="770073" spans="6:6" x14ac:dyDescent="0.25">
      <c r="F770073" s="9">
        <v>6</v>
      </c>
    </row>
    <row r="770074" spans="6:6" x14ac:dyDescent="0.25">
      <c r="F770074" s="9">
        <v>4</v>
      </c>
    </row>
    <row r="770075" spans="6:6" x14ac:dyDescent="0.25">
      <c r="F770075" s="9">
        <v>4</v>
      </c>
    </row>
    <row r="770076" spans="6:6" x14ac:dyDescent="0.25">
      <c r="F770076" s="9">
        <v>6</v>
      </c>
    </row>
    <row r="770077" spans="6:6" x14ac:dyDescent="0.25">
      <c r="F770077" s="9">
        <v>4</v>
      </c>
    </row>
    <row r="770078" spans="6:6" x14ac:dyDescent="0.25">
      <c r="F770078" s="9">
        <v>6</v>
      </c>
    </row>
    <row r="770079" spans="6:6" x14ac:dyDescent="0.25">
      <c r="F770079" s="9">
        <v>4</v>
      </c>
    </row>
    <row r="770080" spans="6:6" x14ac:dyDescent="0.25">
      <c r="F770080" s="9">
        <v>6</v>
      </c>
    </row>
    <row r="770081" spans="6:6" x14ac:dyDescent="0.25">
      <c r="F770081" s="9">
        <v>4</v>
      </c>
    </row>
    <row r="770082" spans="6:6" x14ac:dyDescent="0.25">
      <c r="F770082" s="9">
        <v>6</v>
      </c>
    </row>
    <row r="770083" spans="6:6" x14ac:dyDescent="0.25">
      <c r="F770083" s="9">
        <v>6</v>
      </c>
    </row>
    <row r="770084" spans="6:6" x14ac:dyDescent="0.25">
      <c r="F770084" s="9">
        <v>5</v>
      </c>
    </row>
    <row r="770085" spans="6:6" x14ac:dyDescent="0.25">
      <c r="F770085" s="9">
        <v>3</v>
      </c>
    </row>
    <row r="770086" spans="6:6" x14ac:dyDescent="0.25">
      <c r="F770086" s="9">
        <v>4</v>
      </c>
    </row>
    <row r="770087" spans="6:6" x14ac:dyDescent="0.25">
      <c r="F770087" s="9">
        <v>4</v>
      </c>
    </row>
    <row r="770088" spans="6:6" x14ac:dyDescent="0.25">
      <c r="F770088" s="9">
        <v>5</v>
      </c>
    </row>
    <row r="770089" spans="6:6" x14ac:dyDescent="0.25">
      <c r="F770089" s="9">
        <v>5</v>
      </c>
    </row>
    <row r="770090" spans="6:6" x14ac:dyDescent="0.25">
      <c r="F770090" s="9">
        <v>2</v>
      </c>
    </row>
    <row r="770091" spans="6:6" x14ac:dyDescent="0.25">
      <c r="F770091" s="9">
        <v>6</v>
      </c>
    </row>
    <row r="770092" spans="6:6" x14ac:dyDescent="0.25">
      <c r="F770092" s="9">
        <v>7</v>
      </c>
    </row>
    <row r="770093" spans="6:6" x14ac:dyDescent="0.25">
      <c r="F770093" s="9">
        <v>3</v>
      </c>
    </row>
    <row r="770094" spans="6:6" x14ac:dyDescent="0.25">
      <c r="F770094" s="9">
        <v>3</v>
      </c>
    </row>
    <row r="770095" spans="6:6" x14ac:dyDescent="0.25">
      <c r="F770095" s="9">
        <v>3</v>
      </c>
    </row>
    <row r="770096" spans="6:6" x14ac:dyDescent="0.25">
      <c r="F770096" s="9">
        <v>3</v>
      </c>
    </row>
    <row r="770097" spans="6:6" x14ac:dyDescent="0.25">
      <c r="F770097" s="9">
        <v>6</v>
      </c>
    </row>
    <row r="770098" spans="6:6" x14ac:dyDescent="0.25">
      <c r="F770098" s="9">
        <v>1</v>
      </c>
    </row>
    <row r="770099" spans="6:6" x14ac:dyDescent="0.25">
      <c r="F770099" s="9">
        <v>5</v>
      </c>
    </row>
    <row r="770100" spans="6:6" x14ac:dyDescent="0.25">
      <c r="F770100" s="9">
        <v>6</v>
      </c>
    </row>
    <row r="770101" spans="6:6" x14ac:dyDescent="0.25">
      <c r="F770101" s="9">
        <v>4</v>
      </c>
    </row>
    <row r="770102" spans="6:6" x14ac:dyDescent="0.25">
      <c r="F770102" s="9">
        <v>3</v>
      </c>
    </row>
    <row r="770103" spans="6:6" x14ac:dyDescent="0.25">
      <c r="F770103" s="9">
        <v>4</v>
      </c>
    </row>
    <row r="770104" spans="6:6" x14ac:dyDescent="0.25">
      <c r="F770104" s="9">
        <v>3</v>
      </c>
    </row>
    <row r="770105" spans="6:6" x14ac:dyDescent="0.25">
      <c r="F770105" s="9">
        <v>1</v>
      </c>
    </row>
    <row r="770106" spans="6:6" x14ac:dyDescent="0.25">
      <c r="F770106" s="9">
        <v>5</v>
      </c>
    </row>
    <row r="770107" spans="6:6" x14ac:dyDescent="0.25">
      <c r="F770107" s="9">
        <v>4</v>
      </c>
    </row>
    <row r="770108" spans="6:6" x14ac:dyDescent="0.25">
      <c r="F770108" s="9">
        <v>6</v>
      </c>
    </row>
    <row r="770109" spans="6:6" x14ac:dyDescent="0.25">
      <c r="F770109" s="9">
        <v>2</v>
      </c>
    </row>
    <row r="770110" spans="6:6" x14ac:dyDescent="0.25">
      <c r="F770110" s="9">
        <v>2</v>
      </c>
    </row>
    <row r="770111" spans="6:6" x14ac:dyDescent="0.25">
      <c r="F770111" s="9">
        <v>4</v>
      </c>
    </row>
    <row r="770112" spans="6:6" x14ac:dyDescent="0.25">
      <c r="F770112" s="9">
        <v>3</v>
      </c>
    </row>
    <row r="770113" spans="6:6" x14ac:dyDescent="0.25">
      <c r="F770113" s="9">
        <v>2</v>
      </c>
    </row>
    <row r="770114" spans="6:6" x14ac:dyDescent="0.25">
      <c r="F770114" s="9">
        <v>7</v>
      </c>
    </row>
    <row r="770115" spans="6:6" x14ac:dyDescent="0.25">
      <c r="F770115" s="9">
        <v>8</v>
      </c>
    </row>
    <row r="770116" spans="6:6" x14ac:dyDescent="0.25">
      <c r="F770116" s="9">
        <v>7</v>
      </c>
    </row>
    <row r="770117" spans="6:6" x14ac:dyDescent="0.25">
      <c r="F770117" s="9">
        <v>6</v>
      </c>
    </row>
    <row r="770118" spans="6:6" x14ac:dyDescent="0.25">
      <c r="F770118" s="9">
        <v>3</v>
      </c>
    </row>
    <row r="770119" spans="6:6" x14ac:dyDescent="0.25">
      <c r="F770119" s="9">
        <v>6</v>
      </c>
    </row>
    <row r="770120" spans="6:6" x14ac:dyDescent="0.25">
      <c r="F770120" s="9">
        <v>3</v>
      </c>
    </row>
    <row r="770121" spans="6:6" x14ac:dyDescent="0.25">
      <c r="F770121" s="9">
        <v>2</v>
      </c>
    </row>
    <row r="770122" spans="6:6" x14ac:dyDescent="0.25">
      <c r="F770122" s="9">
        <v>5</v>
      </c>
    </row>
    <row r="770123" spans="6:6" x14ac:dyDescent="0.25">
      <c r="F770123" s="9">
        <v>3</v>
      </c>
    </row>
    <row r="770124" spans="6:6" x14ac:dyDescent="0.25">
      <c r="F770124" s="9">
        <v>4</v>
      </c>
    </row>
    <row r="770125" spans="6:6" x14ac:dyDescent="0.25">
      <c r="F770125" s="9">
        <v>2</v>
      </c>
    </row>
    <row r="770126" spans="6:6" x14ac:dyDescent="0.25">
      <c r="F770126" s="9">
        <v>4</v>
      </c>
    </row>
    <row r="770127" spans="6:6" x14ac:dyDescent="0.25">
      <c r="F770127" s="9">
        <v>3</v>
      </c>
    </row>
    <row r="770128" spans="6:6" x14ac:dyDescent="0.25">
      <c r="F770128" s="9">
        <v>3</v>
      </c>
    </row>
    <row r="770129" spans="6:6" x14ac:dyDescent="0.25">
      <c r="F770129" s="9">
        <v>4</v>
      </c>
    </row>
    <row r="770130" spans="6:6" x14ac:dyDescent="0.25">
      <c r="F770130" s="9">
        <v>3</v>
      </c>
    </row>
    <row r="770131" spans="6:6" x14ac:dyDescent="0.25">
      <c r="F770131" s="9">
        <v>2</v>
      </c>
    </row>
    <row r="770132" spans="6:6" x14ac:dyDescent="0.25">
      <c r="F770132" s="9">
        <v>3</v>
      </c>
    </row>
    <row r="770133" spans="6:6" x14ac:dyDescent="0.25">
      <c r="F770133" s="9">
        <v>7</v>
      </c>
    </row>
    <row r="770134" spans="6:6" x14ac:dyDescent="0.25">
      <c r="F770134" s="9">
        <v>6</v>
      </c>
    </row>
    <row r="770135" spans="6:6" x14ac:dyDescent="0.25">
      <c r="F770135" s="9">
        <v>5</v>
      </c>
    </row>
    <row r="770136" spans="6:6" x14ac:dyDescent="0.25">
      <c r="F770136" s="9">
        <v>5</v>
      </c>
    </row>
    <row r="770137" spans="6:6" x14ac:dyDescent="0.25">
      <c r="F770137" s="9">
        <v>4</v>
      </c>
    </row>
    <row r="770138" spans="6:6" x14ac:dyDescent="0.25">
      <c r="F770138" s="9">
        <v>5</v>
      </c>
    </row>
    <row r="770139" spans="6:6" x14ac:dyDescent="0.25">
      <c r="F770139" s="9">
        <v>5</v>
      </c>
    </row>
    <row r="770140" spans="6:6" x14ac:dyDescent="0.25">
      <c r="F770140" s="9">
        <v>2</v>
      </c>
    </row>
    <row r="770141" spans="6:6" x14ac:dyDescent="0.25">
      <c r="F770141" s="9">
        <v>3</v>
      </c>
    </row>
    <row r="770142" spans="6:6" x14ac:dyDescent="0.25">
      <c r="F770142" s="9">
        <v>2</v>
      </c>
    </row>
    <row r="770143" spans="6:6" x14ac:dyDescent="0.25">
      <c r="F770143" s="9">
        <v>3</v>
      </c>
    </row>
    <row r="770144" spans="6:6" x14ac:dyDescent="0.25">
      <c r="F770144" s="9">
        <v>4</v>
      </c>
    </row>
    <row r="770145" spans="6:6" x14ac:dyDescent="0.25">
      <c r="F770145" s="9">
        <v>4</v>
      </c>
    </row>
    <row r="770146" spans="6:6" x14ac:dyDescent="0.25">
      <c r="F770146" s="9">
        <v>2</v>
      </c>
    </row>
    <row r="770147" spans="6:6" x14ac:dyDescent="0.25">
      <c r="F770147" s="9">
        <v>3</v>
      </c>
    </row>
    <row r="770148" spans="6:6" x14ac:dyDescent="0.25">
      <c r="F770148" s="9">
        <v>3</v>
      </c>
    </row>
    <row r="770149" spans="6:6" x14ac:dyDescent="0.25">
      <c r="F770149" s="9">
        <v>3</v>
      </c>
    </row>
    <row r="770150" spans="6:6" x14ac:dyDescent="0.25">
      <c r="F770150" s="9">
        <v>2</v>
      </c>
    </row>
    <row r="770151" spans="6:6" x14ac:dyDescent="0.25">
      <c r="F770151" s="9">
        <v>3</v>
      </c>
    </row>
    <row r="770152" spans="6:6" x14ac:dyDescent="0.25">
      <c r="F770152" s="9">
        <v>3</v>
      </c>
    </row>
    <row r="770153" spans="6:6" x14ac:dyDescent="0.25">
      <c r="F770153" s="9">
        <v>3</v>
      </c>
    </row>
    <row r="770154" spans="6:6" x14ac:dyDescent="0.25">
      <c r="F770154" s="9">
        <v>4</v>
      </c>
    </row>
    <row r="770155" spans="6:6" x14ac:dyDescent="0.25">
      <c r="F770155" s="9">
        <v>4</v>
      </c>
    </row>
    <row r="770156" spans="6:6" x14ac:dyDescent="0.25">
      <c r="F770156" s="9">
        <v>2</v>
      </c>
    </row>
    <row r="770157" spans="6:6" x14ac:dyDescent="0.25">
      <c r="F770157" s="9">
        <v>3</v>
      </c>
    </row>
    <row r="770158" spans="6:6" x14ac:dyDescent="0.25">
      <c r="F770158" s="9">
        <v>1</v>
      </c>
    </row>
    <row r="770159" spans="6:6" x14ac:dyDescent="0.25">
      <c r="F770159" s="9">
        <v>1</v>
      </c>
    </row>
    <row r="770160" spans="6:6" x14ac:dyDescent="0.25">
      <c r="F770160" s="9">
        <v>1</v>
      </c>
    </row>
    <row r="770161" spans="6:6" x14ac:dyDescent="0.25">
      <c r="F770161" s="9" t="s">
        <v>133</v>
      </c>
    </row>
    <row r="770162" spans="6:6" x14ac:dyDescent="0.25">
      <c r="F770162" s="6" t="s">
        <v>172</v>
      </c>
    </row>
    <row r="770163" spans="6:6" x14ac:dyDescent="0.25">
      <c r="F770163" s="9" t="s">
        <v>263</v>
      </c>
    </row>
    <row r="770164" spans="6:6" x14ac:dyDescent="0.25">
      <c r="F770164" s="33" t="s">
        <v>264</v>
      </c>
    </row>
    <row r="786433" spans="6:6" x14ac:dyDescent="0.25">
      <c r="F786433" s="84"/>
    </row>
    <row r="786434" spans="6:6" x14ac:dyDescent="0.25">
      <c r="F786434" s="46"/>
    </row>
    <row r="786435" spans="6:6" x14ac:dyDescent="0.25">
      <c r="F786435" s="9">
        <v>4</v>
      </c>
    </row>
    <row r="786436" spans="6:6" x14ac:dyDescent="0.25">
      <c r="F786436" s="9">
        <v>6</v>
      </c>
    </row>
    <row r="786437" spans="6:6" x14ac:dyDescent="0.25">
      <c r="F786437" s="9">
        <v>6</v>
      </c>
    </row>
    <row r="786438" spans="6:6" x14ac:dyDescent="0.25">
      <c r="F786438" s="9">
        <v>6</v>
      </c>
    </row>
    <row r="786439" spans="6:6" x14ac:dyDescent="0.25">
      <c r="F786439" s="9">
        <v>4</v>
      </c>
    </row>
    <row r="786440" spans="6:6" x14ac:dyDescent="0.25">
      <c r="F786440" s="9">
        <v>4</v>
      </c>
    </row>
    <row r="786441" spans="6:6" x14ac:dyDescent="0.25">
      <c r="F786441" s="9">
        <v>5</v>
      </c>
    </row>
    <row r="786442" spans="6:6" x14ac:dyDescent="0.25">
      <c r="F786442" s="9">
        <v>5</v>
      </c>
    </row>
    <row r="786443" spans="6:6" x14ac:dyDescent="0.25">
      <c r="F786443" s="9">
        <v>10</v>
      </c>
    </row>
    <row r="786444" spans="6:6" x14ac:dyDescent="0.25">
      <c r="F786444" s="9">
        <v>8</v>
      </c>
    </row>
    <row r="786445" spans="6:6" x14ac:dyDescent="0.25">
      <c r="F786445" s="9">
        <v>9</v>
      </c>
    </row>
    <row r="786446" spans="6:6" x14ac:dyDescent="0.25">
      <c r="F786446" s="9">
        <v>8</v>
      </c>
    </row>
    <row r="786447" spans="6:6" x14ac:dyDescent="0.25">
      <c r="F786447" s="9">
        <v>8</v>
      </c>
    </row>
    <row r="786448" spans="6:6" x14ac:dyDescent="0.25">
      <c r="F786448" s="9">
        <v>8</v>
      </c>
    </row>
    <row r="786449" spans="6:6" x14ac:dyDescent="0.25">
      <c r="F786449" s="9">
        <v>8</v>
      </c>
    </row>
    <row r="786450" spans="6:6" x14ac:dyDescent="0.25">
      <c r="F786450" s="9">
        <v>5</v>
      </c>
    </row>
    <row r="786451" spans="6:6" x14ac:dyDescent="0.25">
      <c r="F786451" s="9">
        <v>5</v>
      </c>
    </row>
    <row r="786452" spans="6:6" x14ac:dyDescent="0.25">
      <c r="F786452" s="9">
        <v>7</v>
      </c>
    </row>
    <row r="786453" spans="6:6" x14ac:dyDescent="0.25">
      <c r="F786453" s="9">
        <v>5</v>
      </c>
    </row>
    <row r="786454" spans="6:6" x14ac:dyDescent="0.25">
      <c r="F786454" s="9">
        <v>5</v>
      </c>
    </row>
    <row r="786455" spans="6:6" x14ac:dyDescent="0.25">
      <c r="F786455" s="9">
        <v>5</v>
      </c>
    </row>
    <row r="786456" spans="6:6" x14ac:dyDescent="0.25">
      <c r="F786456" s="9">
        <v>4</v>
      </c>
    </row>
    <row r="786457" spans="6:6" x14ac:dyDescent="0.25">
      <c r="F786457" s="9">
        <v>6</v>
      </c>
    </row>
    <row r="786458" spans="6:6" x14ac:dyDescent="0.25">
      <c r="F786458" s="9">
        <v>4</v>
      </c>
    </row>
    <row r="786459" spans="6:6" x14ac:dyDescent="0.25">
      <c r="F786459" s="9">
        <v>4</v>
      </c>
    </row>
    <row r="786460" spans="6:6" x14ac:dyDescent="0.25">
      <c r="F786460" s="9">
        <v>6</v>
      </c>
    </row>
    <row r="786461" spans="6:6" x14ac:dyDescent="0.25">
      <c r="F786461" s="9">
        <v>4</v>
      </c>
    </row>
    <row r="786462" spans="6:6" x14ac:dyDescent="0.25">
      <c r="F786462" s="9">
        <v>6</v>
      </c>
    </row>
    <row r="786463" spans="6:6" x14ac:dyDescent="0.25">
      <c r="F786463" s="9">
        <v>4</v>
      </c>
    </row>
    <row r="786464" spans="6:6" x14ac:dyDescent="0.25">
      <c r="F786464" s="9">
        <v>6</v>
      </c>
    </row>
    <row r="786465" spans="6:6" x14ac:dyDescent="0.25">
      <c r="F786465" s="9">
        <v>4</v>
      </c>
    </row>
    <row r="786466" spans="6:6" x14ac:dyDescent="0.25">
      <c r="F786466" s="9">
        <v>6</v>
      </c>
    </row>
    <row r="786467" spans="6:6" x14ac:dyDescent="0.25">
      <c r="F786467" s="9">
        <v>6</v>
      </c>
    </row>
    <row r="786468" spans="6:6" x14ac:dyDescent="0.25">
      <c r="F786468" s="9">
        <v>5</v>
      </c>
    </row>
    <row r="786469" spans="6:6" x14ac:dyDescent="0.25">
      <c r="F786469" s="9">
        <v>3</v>
      </c>
    </row>
    <row r="786470" spans="6:6" x14ac:dyDescent="0.25">
      <c r="F786470" s="9">
        <v>4</v>
      </c>
    </row>
    <row r="786471" spans="6:6" x14ac:dyDescent="0.25">
      <c r="F786471" s="9">
        <v>4</v>
      </c>
    </row>
    <row r="786472" spans="6:6" x14ac:dyDescent="0.25">
      <c r="F786472" s="9">
        <v>5</v>
      </c>
    </row>
    <row r="786473" spans="6:6" x14ac:dyDescent="0.25">
      <c r="F786473" s="9">
        <v>5</v>
      </c>
    </row>
    <row r="786474" spans="6:6" x14ac:dyDescent="0.25">
      <c r="F786474" s="9">
        <v>2</v>
      </c>
    </row>
    <row r="786475" spans="6:6" x14ac:dyDescent="0.25">
      <c r="F786475" s="9">
        <v>6</v>
      </c>
    </row>
    <row r="786476" spans="6:6" x14ac:dyDescent="0.25">
      <c r="F786476" s="9">
        <v>7</v>
      </c>
    </row>
    <row r="786477" spans="6:6" x14ac:dyDescent="0.25">
      <c r="F786477" s="9">
        <v>3</v>
      </c>
    </row>
    <row r="786478" spans="6:6" x14ac:dyDescent="0.25">
      <c r="F786478" s="9">
        <v>3</v>
      </c>
    </row>
    <row r="786479" spans="6:6" x14ac:dyDescent="0.25">
      <c r="F786479" s="9">
        <v>3</v>
      </c>
    </row>
    <row r="786480" spans="6:6" x14ac:dyDescent="0.25">
      <c r="F786480" s="9">
        <v>3</v>
      </c>
    </row>
    <row r="786481" spans="6:6" x14ac:dyDescent="0.25">
      <c r="F786481" s="9">
        <v>6</v>
      </c>
    </row>
    <row r="786482" spans="6:6" x14ac:dyDescent="0.25">
      <c r="F786482" s="9">
        <v>1</v>
      </c>
    </row>
    <row r="786483" spans="6:6" x14ac:dyDescent="0.25">
      <c r="F786483" s="9">
        <v>5</v>
      </c>
    </row>
    <row r="786484" spans="6:6" x14ac:dyDescent="0.25">
      <c r="F786484" s="9">
        <v>6</v>
      </c>
    </row>
    <row r="786485" spans="6:6" x14ac:dyDescent="0.25">
      <c r="F786485" s="9">
        <v>4</v>
      </c>
    </row>
    <row r="786486" spans="6:6" x14ac:dyDescent="0.25">
      <c r="F786486" s="9">
        <v>3</v>
      </c>
    </row>
    <row r="786487" spans="6:6" x14ac:dyDescent="0.25">
      <c r="F786487" s="9">
        <v>4</v>
      </c>
    </row>
    <row r="786488" spans="6:6" x14ac:dyDescent="0.25">
      <c r="F786488" s="9">
        <v>3</v>
      </c>
    </row>
    <row r="786489" spans="6:6" x14ac:dyDescent="0.25">
      <c r="F786489" s="9">
        <v>1</v>
      </c>
    </row>
    <row r="786490" spans="6:6" x14ac:dyDescent="0.25">
      <c r="F786490" s="9">
        <v>5</v>
      </c>
    </row>
    <row r="786491" spans="6:6" x14ac:dyDescent="0.25">
      <c r="F786491" s="9">
        <v>4</v>
      </c>
    </row>
    <row r="786492" spans="6:6" x14ac:dyDescent="0.25">
      <c r="F786492" s="9">
        <v>6</v>
      </c>
    </row>
    <row r="786493" spans="6:6" x14ac:dyDescent="0.25">
      <c r="F786493" s="9">
        <v>2</v>
      </c>
    </row>
    <row r="786494" spans="6:6" x14ac:dyDescent="0.25">
      <c r="F786494" s="9">
        <v>2</v>
      </c>
    </row>
    <row r="786495" spans="6:6" x14ac:dyDescent="0.25">
      <c r="F786495" s="9">
        <v>4</v>
      </c>
    </row>
    <row r="786496" spans="6:6" x14ac:dyDescent="0.25">
      <c r="F786496" s="9">
        <v>3</v>
      </c>
    </row>
    <row r="786497" spans="6:6" x14ac:dyDescent="0.25">
      <c r="F786497" s="9">
        <v>2</v>
      </c>
    </row>
    <row r="786498" spans="6:6" x14ac:dyDescent="0.25">
      <c r="F786498" s="9">
        <v>7</v>
      </c>
    </row>
    <row r="786499" spans="6:6" x14ac:dyDescent="0.25">
      <c r="F786499" s="9">
        <v>8</v>
      </c>
    </row>
    <row r="786500" spans="6:6" x14ac:dyDescent="0.25">
      <c r="F786500" s="9">
        <v>7</v>
      </c>
    </row>
    <row r="786501" spans="6:6" x14ac:dyDescent="0.25">
      <c r="F786501" s="9">
        <v>6</v>
      </c>
    </row>
    <row r="786502" spans="6:6" x14ac:dyDescent="0.25">
      <c r="F786502" s="9">
        <v>3</v>
      </c>
    </row>
    <row r="786503" spans="6:6" x14ac:dyDescent="0.25">
      <c r="F786503" s="9">
        <v>6</v>
      </c>
    </row>
    <row r="786504" spans="6:6" x14ac:dyDescent="0.25">
      <c r="F786504" s="9">
        <v>3</v>
      </c>
    </row>
    <row r="786505" spans="6:6" x14ac:dyDescent="0.25">
      <c r="F786505" s="9">
        <v>2</v>
      </c>
    </row>
    <row r="786506" spans="6:6" x14ac:dyDescent="0.25">
      <c r="F786506" s="9">
        <v>5</v>
      </c>
    </row>
    <row r="786507" spans="6:6" x14ac:dyDescent="0.25">
      <c r="F786507" s="9">
        <v>3</v>
      </c>
    </row>
    <row r="786508" spans="6:6" x14ac:dyDescent="0.25">
      <c r="F786508" s="9">
        <v>4</v>
      </c>
    </row>
    <row r="786509" spans="6:6" x14ac:dyDescent="0.25">
      <c r="F786509" s="9">
        <v>2</v>
      </c>
    </row>
    <row r="786510" spans="6:6" x14ac:dyDescent="0.25">
      <c r="F786510" s="9">
        <v>4</v>
      </c>
    </row>
    <row r="786511" spans="6:6" x14ac:dyDescent="0.25">
      <c r="F786511" s="9">
        <v>3</v>
      </c>
    </row>
    <row r="786512" spans="6:6" x14ac:dyDescent="0.25">
      <c r="F786512" s="9">
        <v>3</v>
      </c>
    </row>
    <row r="786513" spans="6:6" x14ac:dyDescent="0.25">
      <c r="F786513" s="9">
        <v>4</v>
      </c>
    </row>
    <row r="786514" spans="6:6" x14ac:dyDescent="0.25">
      <c r="F786514" s="9">
        <v>3</v>
      </c>
    </row>
    <row r="786515" spans="6:6" x14ac:dyDescent="0.25">
      <c r="F786515" s="9">
        <v>2</v>
      </c>
    </row>
    <row r="786516" spans="6:6" x14ac:dyDescent="0.25">
      <c r="F786516" s="9">
        <v>3</v>
      </c>
    </row>
    <row r="786517" spans="6:6" x14ac:dyDescent="0.25">
      <c r="F786517" s="9">
        <v>7</v>
      </c>
    </row>
    <row r="786518" spans="6:6" x14ac:dyDescent="0.25">
      <c r="F786518" s="9">
        <v>6</v>
      </c>
    </row>
    <row r="786519" spans="6:6" x14ac:dyDescent="0.25">
      <c r="F786519" s="9">
        <v>5</v>
      </c>
    </row>
    <row r="786520" spans="6:6" x14ac:dyDescent="0.25">
      <c r="F786520" s="9">
        <v>5</v>
      </c>
    </row>
    <row r="786521" spans="6:6" x14ac:dyDescent="0.25">
      <c r="F786521" s="9">
        <v>4</v>
      </c>
    </row>
    <row r="786522" spans="6:6" x14ac:dyDescent="0.25">
      <c r="F786522" s="9">
        <v>5</v>
      </c>
    </row>
    <row r="786523" spans="6:6" x14ac:dyDescent="0.25">
      <c r="F786523" s="9">
        <v>5</v>
      </c>
    </row>
    <row r="786524" spans="6:6" x14ac:dyDescent="0.25">
      <c r="F786524" s="9">
        <v>2</v>
      </c>
    </row>
    <row r="786525" spans="6:6" x14ac:dyDescent="0.25">
      <c r="F786525" s="9">
        <v>3</v>
      </c>
    </row>
    <row r="786526" spans="6:6" x14ac:dyDescent="0.25">
      <c r="F786526" s="9">
        <v>2</v>
      </c>
    </row>
    <row r="786527" spans="6:6" x14ac:dyDescent="0.25">
      <c r="F786527" s="9">
        <v>3</v>
      </c>
    </row>
    <row r="786528" spans="6:6" x14ac:dyDescent="0.25">
      <c r="F786528" s="9">
        <v>4</v>
      </c>
    </row>
    <row r="786529" spans="6:6" x14ac:dyDescent="0.25">
      <c r="F786529" s="9">
        <v>4</v>
      </c>
    </row>
    <row r="786530" spans="6:6" x14ac:dyDescent="0.25">
      <c r="F786530" s="9">
        <v>2</v>
      </c>
    </row>
    <row r="786531" spans="6:6" x14ac:dyDescent="0.25">
      <c r="F786531" s="9">
        <v>3</v>
      </c>
    </row>
    <row r="786532" spans="6:6" x14ac:dyDescent="0.25">
      <c r="F786532" s="9">
        <v>3</v>
      </c>
    </row>
    <row r="786533" spans="6:6" x14ac:dyDescent="0.25">
      <c r="F786533" s="9">
        <v>3</v>
      </c>
    </row>
    <row r="786534" spans="6:6" x14ac:dyDescent="0.25">
      <c r="F786534" s="9">
        <v>2</v>
      </c>
    </row>
    <row r="786535" spans="6:6" x14ac:dyDescent="0.25">
      <c r="F786535" s="9">
        <v>3</v>
      </c>
    </row>
    <row r="786536" spans="6:6" x14ac:dyDescent="0.25">
      <c r="F786536" s="9">
        <v>3</v>
      </c>
    </row>
    <row r="786537" spans="6:6" x14ac:dyDescent="0.25">
      <c r="F786537" s="9">
        <v>3</v>
      </c>
    </row>
    <row r="786538" spans="6:6" x14ac:dyDescent="0.25">
      <c r="F786538" s="9">
        <v>4</v>
      </c>
    </row>
    <row r="786539" spans="6:6" x14ac:dyDescent="0.25">
      <c r="F786539" s="9">
        <v>4</v>
      </c>
    </row>
    <row r="786540" spans="6:6" x14ac:dyDescent="0.25">
      <c r="F786540" s="9">
        <v>2</v>
      </c>
    </row>
    <row r="786541" spans="6:6" x14ac:dyDescent="0.25">
      <c r="F786541" s="9">
        <v>3</v>
      </c>
    </row>
    <row r="786542" spans="6:6" x14ac:dyDescent="0.25">
      <c r="F786542" s="9">
        <v>1</v>
      </c>
    </row>
    <row r="786543" spans="6:6" x14ac:dyDescent="0.25">
      <c r="F786543" s="9">
        <v>1</v>
      </c>
    </row>
    <row r="786544" spans="6:6" x14ac:dyDescent="0.25">
      <c r="F786544" s="9">
        <v>1</v>
      </c>
    </row>
    <row r="786545" spans="6:6" x14ac:dyDescent="0.25">
      <c r="F786545" s="9" t="s">
        <v>133</v>
      </c>
    </row>
    <row r="786546" spans="6:6" x14ac:dyDescent="0.25">
      <c r="F786546" s="6" t="s">
        <v>172</v>
      </c>
    </row>
    <row r="786547" spans="6:6" x14ac:dyDescent="0.25">
      <c r="F786547" s="9" t="s">
        <v>263</v>
      </c>
    </row>
    <row r="786548" spans="6:6" x14ac:dyDescent="0.25">
      <c r="F786548" s="33" t="s">
        <v>264</v>
      </c>
    </row>
    <row r="802817" spans="6:6" x14ac:dyDescent="0.25">
      <c r="F802817" s="84"/>
    </row>
    <row r="802818" spans="6:6" x14ac:dyDescent="0.25">
      <c r="F802818" s="46"/>
    </row>
    <row r="802819" spans="6:6" x14ac:dyDescent="0.25">
      <c r="F802819" s="9">
        <v>4</v>
      </c>
    </row>
    <row r="802820" spans="6:6" x14ac:dyDescent="0.25">
      <c r="F802820" s="9">
        <v>6</v>
      </c>
    </row>
    <row r="802821" spans="6:6" x14ac:dyDescent="0.25">
      <c r="F802821" s="9">
        <v>6</v>
      </c>
    </row>
    <row r="802822" spans="6:6" x14ac:dyDescent="0.25">
      <c r="F802822" s="9">
        <v>6</v>
      </c>
    </row>
    <row r="802823" spans="6:6" x14ac:dyDescent="0.25">
      <c r="F802823" s="9">
        <v>4</v>
      </c>
    </row>
    <row r="802824" spans="6:6" x14ac:dyDescent="0.25">
      <c r="F802824" s="9">
        <v>4</v>
      </c>
    </row>
    <row r="802825" spans="6:6" x14ac:dyDescent="0.25">
      <c r="F802825" s="9">
        <v>5</v>
      </c>
    </row>
    <row r="802826" spans="6:6" x14ac:dyDescent="0.25">
      <c r="F802826" s="9">
        <v>5</v>
      </c>
    </row>
    <row r="802827" spans="6:6" x14ac:dyDescent="0.25">
      <c r="F802827" s="9">
        <v>10</v>
      </c>
    </row>
    <row r="802828" spans="6:6" x14ac:dyDescent="0.25">
      <c r="F802828" s="9">
        <v>8</v>
      </c>
    </row>
    <row r="802829" spans="6:6" x14ac:dyDescent="0.25">
      <c r="F802829" s="9">
        <v>9</v>
      </c>
    </row>
    <row r="802830" spans="6:6" x14ac:dyDescent="0.25">
      <c r="F802830" s="9">
        <v>8</v>
      </c>
    </row>
    <row r="802831" spans="6:6" x14ac:dyDescent="0.25">
      <c r="F802831" s="9">
        <v>8</v>
      </c>
    </row>
    <row r="802832" spans="6:6" x14ac:dyDescent="0.25">
      <c r="F802832" s="9">
        <v>8</v>
      </c>
    </row>
    <row r="802833" spans="6:6" x14ac:dyDescent="0.25">
      <c r="F802833" s="9">
        <v>8</v>
      </c>
    </row>
    <row r="802834" spans="6:6" x14ac:dyDescent="0.25">
      <c r="F802834" s="9">
        <v>5</v>
      </c>
    </row>
    <row r="802835" spans="6:6" x14ac:dyDescent="0.25">
      <c r="F802835" s="9">
        <v>5</v>
      </c>
    </row>
    <row r="802836" spans="6:6" x14ac:dyDescent="0.25">
      <c r="F802836" s="9">
        <v>7</v>
      </c>
    </row>
    <row r="802837" spans="6:6" x14ac:dyDescent="0.25">
      <c r="F802837" s="9">
        <v>5</v>
      </c>
    </row>
    <row r="802838" spans="6:6" x14ac:dyDescent="0.25">
      <c r="F802838" s="9">
        <v>5</v>
      </c>
    </row>
    <row r="802839" spans="6:6" x14ac:dyDescent="0.25">
      <c r="F802839" s="9">
        <v>5</v>
      </c>
    </row>
    <row r="802840" spans="6:6" x14ac:dyDescent="0.25">
      <c r="F802840" s="9">
        <v>4</v>
      </c>
    </row>
    <row r="802841" spans="6:6" x14ac:dyDescent="0.25">
      <c r="F802841" s="9">
        <v>6</v>
      </c>
    </row>
    <row r="802842" spans="6:6" x14ac:dyDescent="0.25">
      <c r="F802842" s="9">
        <v>4</v>
      </c>
    </row>
    <row r="802843" spans="6:6" x14ac:dyDescent="0.25">
      <c r="F802843" s="9">
        <v>4</v>
      </c>
    </row>
    <row r="802844" spans="6:6" x14ac:dyDescent="0.25">
      <c r="F802844" s="9">
        <v>6</v>
      </c>
    </row>
    <row r="802845" spans="6:6" x14ac:dyDescent="0.25">
      <c r="F802845" s="9">
        <v>4</v>
      </c>
    </row>
    <row r="802846" spans="6:6" x14ac:dyDescent="0.25">
      <c r="F802846" s="9">
        <v>6</v>
      </c>
    </row>
    <row r="802847" spans="6:6" x14ac:dyDescent="0.25">
      <c r="F802847" s="9">
        <v>4</v>
      </c>
    </row>
    <row r="802848" spans="6:6" x14ac:dyDescent="0.25">
      <c r="F802848" s="9">
        <v>6</v>
      </c>
    </row>
    <row r="802849" spans="6:6" x14ac:dyDescent="0.25">
      <c r="F802849" s="9">
        <v>4</v>
      </c>
    </row>
    <row r="802850" spans="6:6" x14ac:dyDescent="0.25">
      <c r="F802850" s="9">
        <v>6</v>
      </c>
    </row>
    <row r="802851" spans="6:6" x14ac:dyDescent="0.25">
      <c r="F802851" s="9">
        <v>6</v>
      </c>
    </row>
    <row r="802852" spans="6:6" x14ac:dyDescent="0.25">
      <c r="F802852" s="9">
        <v>5</v>
      </c>
    </row>
    <row r="802853" spans="6:6" x14ac:dyDescent="0.25">
      <c r="F802853" s="9">
        <v>3</v>
      </c>
    </row>
    <row r="802854" spans="6:6" x14ac:dyDescent="0.25">
      <c r="F802854" s="9">
        <v>4</v>
      </c>
    </row>
    <row r="802855" spans="6:6" x14ac:dyDescent="0.25">
      <c r="F802855" s="9">
        <v>4</v>
      </c>
    </row>
    <row r="802856" spans="6:6" x14ac:dyDescent="0.25">
      <c r="F802856" s="9">
        <v>5</v>
      </c>
    </row>
    <row r="802857" spans="6:6" x14ac:dyDescent="0.25">
      <c r="F802857" s="9">
        <v>5</v>
      </c>
    </row>
    <row r="802858" spans="6:6" x14ac:dyDescent="0.25">
      <c r="F802858" s="9">
        <v>2</v>
      </c>
    </row>
    <row r="802859" spans="6:6" x14ac:dyDescent="0.25">
      <c r="F802859" s="9">
        <v>6</v>
      </c>
    </row>
    <row r="802860" spans="6:6" x14ac:dyDescent="0.25">
      <c r="F802860" s="9">
        <v>7</v>
      </c>
    </row>
    <row r="802861" spans="6:6" x14ac:dyDescent="0.25">
      <c r="F802861" s="9">
        <v>3</v>
      </c>
    </row>
    <row r="802862" spans="6:6" x14ac:dyDescent="0.25">
      <c r="F802862" s="9">
        <v>3</v>
      </c>
    </row>
    <row r="802863" spans="6:6" x14ac:dyDescent="0.25">
      <c r="F802863" s="9">
        <v>3</v>
      </c>
    </row>
    <row r="802864" spans="6:6" x14ac:dyDescent="0.25">
      <c r="F802864" s="9">
        <v>3</v>
      </c>
    </row>
    <row r="802865" spans="6:6" x14ac:dyDescent="0.25">
      <c r="F802865" s="9">
        <v>6</v>
      </c>
    </row>
    <row r="802866" spans="6:6" x14ac:dyDescent="0.25">
      <c r="F802866" s="9">
        <v>1</v>
      </c>
    </row>
    <row r="802867" spans="6:6" x14ac:dyDescent="0.25">
      <c r="F802867" s="9">
        <v>5</v>
      </c>
    </row>
    <row r="802868" spans="6:6" x14ac:dyDescent="0.25">
      <c r="F802868" s="9">
        <v>6</v>
      </c>
    </row>
    <row r="802869" spans="6:6" x14ac:dyDescent="0.25">
      <c r="F802869" s="9">
        <v>4</v>
      </c>
    </row>
    <row r="802870" spans="6:6" x14ac:dyDescent="0.25">
      <c r="F802870" s="9">
        <v>3</v>
      </c>
    </row>
    <row r="802871" spans="6:6" x14ac:dyDescent="0.25">
      <c r="F802871" s="9">
        <v>4</v>
      </c>
    </row>
    <row r="802872" spans="6:6" x14ac:dyDescent="0.25">
      <c r="F802872" s="9">
        <v>3</v>
      </c>
    </row>
    <row r="802873" spans="6:6" x14ac:dyDescent="0.25">
      <c r="F802873" s="9">
        <v>1</v>
      </c>
    </row>
    <row r="802874" spans="6:6" x14ac:dyDescent="0.25">
      <c r="F802874" s="9">
        <v>5</v>
      </c>
    </row>
    <row r="802875" spans="6:6" x14ac:dyDescent="0.25">
      <c r="F802875" s="9">
        <v>4</v>
      </c>
    </row>
    <row r="802876" spans="6:6" x14ac:dyDescent="0.25">
      <c r="F802876" s="9">
        <v>6</v>
      </c>
    </row>
    <row r="802877" spans="6:6" x14ac:dyDescent="0.25">
      <c r="F802877" s="9">
        <v>2</v>
      </c>
    </row>
    <row r="802878" spans="6:6" x14ac:dyDescent="0.25">
      <c r="F802878" s="9">
        <v>2</v>
      </c>
    </row>
    <row r="802879" spans="6:6" x14ac:dyDescent="0.25">
      <c r="F802879" s="9">
        <v>4</v>
      </c>
    </row>
    <row r="802880" spans="6:6" x14ac:dyDescent="0.25">
      <c r="F802880" s="9">
        <v>3</v>
      </c>
    </row>
    <row r="802881" spans="6:6" x14ac:dyDescent="0.25">
      <c r="F802881" s="9">
        <v>2</v>
      </c>
    </row>
    <row r="802882" spans="6:6" x14ac:dyDescent="0.25">
      <c r="F802882" s="9">
        <v>7</v>
      </c>
    </row>
    <row r="802883" spans="6:6" x14ac:dyDescent="0.25">
      <c r="F802883" s="9">
        <v>8</v>
      </c>
    </row>
    <row r="802884" spans="6:6" x14ac:dyDescent="0.25">
      <c r="F802884" s="9">
        <v>7</v>
      </c>
    </row>
    <row r="802885" spans="6:6" x14ac:dyDescent="0.25">
      <c r="F802885" s="9">
        <v>6</v>
      </c>
    </row>
    <row r="802886" spans="6:6" x14ac:dyDescent="0.25">
      <c r="F802886" s="9">
        <v>3</v>
      </c>
    </row>
    <row r="802887" spans="6:6" x14ac:dyDescent="0.25">
      <c r="F802887" s="9">
        <v>6</v>
      </c>
    </row>
    <row r="802888" spans="6:6" x14ac:dyDescent="0.25">
      <c r="F802888" s="9">
        <v>3</v>
      </c>
    </row>
    <row r="802889" spans="6:6" x14ac:dyDescent="0.25">
      <c r="F802889" s="9">
        <v>2</v>
      </c>
    </row>
    <row r="802890" spans="6:6" x14ac:dyDescent="0.25">
      <c r="F802890" s="9">
        <v>5</v>
      </c>
    </row>
    <row r="802891" spans="6:6" x14ac:dyDescent="0.25">
      <c r="F802891" s="9">
        <v>3</v>
      </c>
    </row>
    <row r="802892" spans="6:6" x14ac:dyDescent="0.25">
      <c r="F802892" s="9">
        <v>4</v>
      </c>
    </row>
    <row r="802893" spans="6:6" x14ac:dyDescent="0.25">
      <c r="F802893" s="9">
        <v>2</v>
      </c>
    </row>
    <row r="802894" spans="6:6" x14ac:dyDescent="0.25">
      <c r="F802894" s="9">
        <v>4</v>
      </c>
    </row>
    <row r="802895" spans="6:6" x14ac:dyDescent="0.25">
      <c r="F802895" s="9">
        <v>3</v>
      </c>
    </row>
    <row r="802896" spans="6:6" x14ac:dyDescent="0.25">
      <c r="F802896" s="9">
        <v>3</v>
      </c>
    </row>
    <row r="802897" spans="6:6" x14ac:dyDescent="0.25">
      <c r="F802897" s="9">
        <v>4</v>
      </c>
    </row>
    <row r="802898" spans="6:6" x14ac:dyDescent="0.25">
      <c r="F802898" s="9">
        <v>3</v>
      </c>
    </row>
    <row r="802899" spans="6:6" x14ac:dyDescent="0.25">
      <c r="F802899" s="9">
        <v>2</v>
      </c>
    </row>
    <row r="802900" spans="6:6" x14ac:dyDescent="0.25">
      <c r="F802900" s="9">
        <v>3</v>
      </c>
    </row>
    <row r="802901" spans="6:6" x14ac:dyDescent="0.25">
      <c r="F802901" s="9">
        <v>7</v>
      </c>
    </row>
    <row r="802902" spans="6:6" x14ac:dyDescent="0.25">
      <c r="F802902" s="9">
        <v>6</v>
      </c>
    </row>
    <row r="802903" spans="6:6" x14ac:dyDescent="0.25">
      <c r="F802903" s="9">
        <v>5</v>
      </c>
    </row>
    <row r="802904" spans="6:6" x14ac:dyDescent="0.25">
      <c r="F802904" s="9">
        <v>5</v>
      </c>
    </row>
    <row r="802905" spans="6:6" x14ac:dyDescent="0.25">
      <c r="F802905" s="9">
        <v>4</v>
      </c>
    </row>
    <row r="802906" spans="6:6" x14ac:dyDescent="0.25">
      <c r="F802906" s="9">
        <v>5</v>
      </c>
    </row>
    <row r="802907" spans="6:6" x14ac:dyDescent="0.25">
      <c r="F802907" s="9">
        <v>5</v>
      </c>
    </row>
    <row r="802908" spans="6:6" x14ac:dyDescent="0.25">
      <c r="F802908" s="9">
        <v>2</v>
      </c>
    </row>
    <row r="802909" spans="6:6" x14ac:dyDescent="0.25">
      <c r="F802909" s="9">
        <v>3</v>
      </c>
    </row>
    <row r="802910" spans="6:6" x14ac:dyDescent="0.25">
      <c r="F802910" s="9">
        <v>2</v>
      </c>
    </row>
    <row r="802911" spans="6:6" x14ac:dyDescent="0.25">
      <c r="F802911" s="9">
        <v>3</v>
      </c>
    </row>
    <row r="802912" spans="6:6" x14ac:dyDescent="0.25">
      <c r="F802912" s="9">
        <v>4</v>
      </c>
    </row>
    <row r="802913" spans="6:6" x14ac:dyDescent="0.25">
      <c r="F802913" s="9">
        <v>4</v>
      </c>
    </row>
    <row r="802914" spans="6:6" x14ac:dyDescent="0.25">
      <c r="F802914" s="9">
        <v>2</v>
      </c>
    </row>
    <row r="802915" spans="6:6" x14ac:dyDescent="0.25">
      <c r="F802915" s="9">
        <v>3</v>
      </c>
    </row>
    <row r="802916" spans="6:6" x14ac:dyDescent="0.25">
      <c r="F802916" s="9">
        <v>3</v>
      </c>
    </row>
    <row r="802917" spans="6:6" x14ac:dyDescent="0.25">
      <c r="F802917" s="9">
        <v>3</v>
      </c>
    </row>
    <row r="802918" spans="6:6" x14ac:dyDescent="0.25">
      <c r="F802918" s="9">
        <v>2</v>
      </c>
    </row>
    <row r="802919" spans="6:6" x14ac:dyDescent="0.25">
      <c r="F802919" s="9">
        <v>3</v>
      </c>
    </row>
    <row r="802920" spans="6:6" x14ac:dyDescent="0.25">
      <c r="F802920" s="9">
        <v>3</v>
      </c>
    </row>
    <row r="802921" spans="6:6" x14ac:dyDescent="0.25">
      <c r="F802921" s="9">
        <v>3</v>
      </c>
    </row>
    <row r="802922" spans="6:6" x14ac:dyDescent="0.25">
      <c r="F802922" s="9">
        <v>4</v>
      </c>
    </row>
    <row r="802923" spans="6:6" x14ac:dyDescent="0.25">
      <c r="F802923" s="9">
        <v>4</v>
      </c>
    </row>
    <row r="802924" spans="6:6" x14ac:dyDescent="0.25">
      <c r="F802924" s="9">
        <v>2</v>
      </c>
    </row>
    <row r="802925" spans="6:6" x14ac:dyDescent="0.25">
      <c r="F802925" s="9">
        <v>3</v>
      </c>
    </row>
    <row r="802926" spans="6:6" x14ac:dyDescent="0.25">
      <c r="F802926" s="9">
        <v>1</v>
      </c>
    </row>
    <row r="802927" spans="6:6" x14ac:dyDescent="0.25">
      <c r="F802927" s="9">
        <v>1</v>
      </c>
    </row>
    <row r="802928" spans="6:6" x14ac:dyDescent="0.25">
      <c r="F802928" s="9">
        <v>1</v>
      </c>
    </row>
    <row r="802929" spans="6:6" x14ac:dyDescent="0.25">
      <c r="F802929" s="9" t="s">
        <v>133</v>
      </c>
    </row>
    <row r="802930" spans="6:6" x14ac:dyDescent="0.25">
      <c r="F802930" s="6" t="s">
        <v>172</v>
      </c>
    </row>
    <row r="802931" spans="6:6" x14ac:dyDescent="0.25">
      <c r="F802931" s="9" t="s">
        <v>263</v>
      </c>
    </row>
    <row r="802932" spans="6:6" x14ac:dyDescent="0.25">
      <c r="F802932" s="33" t="s">
        <v>264</v>
      </c>
    </row>
    <row r="819201" spans="6:6" x14ac:dyDescent="0.25">
      <c r="F819201" s="84"/>
    </row>
    <row r="819202" spans="6:6" x14ac:dyDescent="0.25">
      <c r="F819202" s="46"/>
    </row>
    <row r="819203" spans="6:6" x14ac:dyDescent="0.25">
      <c r="F819203" s="9">
        <v>4</v>
      </c>
    </row>
    <row r="819204" spans="6:6" x14ac:dyDescent="0.25">
      <c r="F819204" s="9">
        <v>6</v>
      </c>
    </row>
    <row r="819205" spans="6:6" x14ac:dyDescent="0.25">
      <c r="F819205" s="9">
        <v>6</v>
      </c>
    </row>
    <row r="819206" spans="6:6" x14ac:dyDescent="0.25">
      <c r="F819206" s="9">
        <v>6</v>
      </c>
    </row>
    <row r="819207" spans="6:6" x14ac:dyDescent="0.25">
      <c r="F819207" s="9">
        <v>4</v>
      </c>
    </row>
    <row r="819208" spans="6:6" x14ac:dyDescent="0.25">
      <c r="F819208" s="9">
        <v>4</v>
      </c>
    </row>
    <row r="819209" spans="6:6" x14ac:dyDescent="0.25">
      <c r="F819209" s="9">
        <v>5</v>
      </c>
    </row>
    <row r="819210" spans="6:6" x14ac:dyDescent="0.25">
      <c r="F819210" s="9">
        <v>5</v>
      </c>
    </row>
    <row r="819211" spans="6:6" x14ac:dyDescent="0.25">
      <c r="F819211" s="9">
        <v>10</v>
      </c>
    </row>
    <row r="819212" spans="6:6" x14ac:dyDescent="0.25">
      <c r="F819212" s="9">
        <v>8</v>
      </c>
    </row>
    <row r="819213" spans="6:6" x14ac:dyDescent="0.25">
      <c r="F819213" s="9">
        <v>9</v>
      </c>
    </row>
    <row r="819214" spans="6:6" x14ac:dyDescent="0.25">
      <c r="F819214" s="9">
        <v>8</v>
      </c>
    </row>
    <row r="819215" spans="6:6" x14ac:dyDescent="0.25">
      <c r="F819215" s="9">
        <v>8</v>
      </c>
    </row>
    <row r="819216" spans="6:6" x14ac:dyDescent="0.25">
      <c r="F819216" s="9">
        <v>8</v>
      </c>
    </row>
    <row r="819217" spans="6:6" x14ac:dyDescent="0.25">
      <c r="F819217" s="9">
        <v>8</v>
      </c>
    </row>
    <row r="819218" spans="6:6" x14ac:dyDescent="0.25">
      <c r="F819218" s="9">
        <v>5</v>
      </c>
    </row>
    <row r="819219" spans="6:6" x14ac:dyDescent="0.25">
      <c r="F819219" s="9">
        <v>5</v>
      </c>
    </row>
    <row r="819220" spans="6:6" x14ac:dyDescent="0.25">
      <c r="F819220" s="9">
        <v>7</v>
      </c>
    </row>
    <row r="819221" spans="6:6" x14ac:dyDescent="0.25">
      <c r="F819221" s="9">
        <v>5</v>
      </c>
    </row>
    <row r="819222" spans="6:6" x14ac:dyDescent="0.25">
      <c r="F819222" s="9">
        <v>5</v>
      </c>
    </row>
    <row r="819223" spans="6:6" x14ac:dyDescent="0.25">
      <c r="F819223" s="9">
        <v>5</v>
      </c>
    </row>
    <row r="819224" spans="6:6" x14ac:dyDescent="0.25">
      <c r="F819224" s="9">
        <v>4</v>
      </c>
    </row>
    <row r="819225" spans="6:6" x14ac:dyDescent="0.25">
      <c r="F819225" s="9">
        <v>6</v>
      </c>
    </row>
    <row r="819226" spans="6:6" x14ac:dyDescent="0.25">
      <c r="F819226" s="9">
        <v>4</v>
      </c>
    </row>
    <row r="819227" spans="6:6" x14ac:dyDescent="0.25">
      <c r="F819227" s="9">
        <v>4</v>
      </c>
    </row>
    <row r="819228" spans="6:6" x14ac:dyDescent="0.25">
      <c r="F819228" s="9">
        <v>6</v>
      </c>
    </row>
    <row r="819229" spans="6:6" x14ac:dyDescent="0.25">
      <c r="F819229" s="9">
        <v>4</v>
      </c>
    </row>
    <row r="819230" spans="6:6" x14ac:dyDescent="0.25">
      <c r="F819230" s="9">
        <v>6</v>
      </c>
    </row>
    <row r="819231" spans="6:6" x14ac:dyDescent="0.25">
      <c r="F819231" s="9">
        <v>4</v>
      </c>
    </row>
    <row r="819232" spans="6:6" x14ac:dyDescent="0.25">
      <c r="F819232" s="9">
        <v>6</v>
      </c>
    </row>
    <row r="819233" spans="6:6" x14ac:dyDescent="0.25">
      <c r="F819233" s="9">
        <v>4</v>
      </c>
    </row>
    <row r="819234" spans="6:6" x14ac:dyDescent="0.25">
      <c r="F819234" s="9">
        <v>6</v>
      </c>
    </row>
    <row r="819235" spans="6:6" x14ac:dyDescent="0.25">
      <c r="F819235" s="9">
        <v>6</v>
      </c>
    </row>
    <row r="819236" spans="6:6" x14ac:dyDescent="0.25">
      <c r="F819236" s="9">
        <v>5</v>
      </c>
    </row>
    <row r="819237" spans="6:6" x14ac:dyDescent="0.25">
      <c r="F819237" s="9">
        <v>3</v>
      </c>
    </row>
    <row r="819238" spans="6:6" x14ac:dyDescent="0.25">
      <c r="F819238" s="9">
        <v>4</v>
      </c>
    </row>
    <row r="819239" spans="6:6" x14ac:dyDescent="0.25">
      <c r="F819239" s="9">
        <v>4</v>
      </c>
    </row>
    <row r="819240" spans="6:6" x14ac:dyDescent="0.25">
      <c r="F819240" s="9">
        <v>5</v>
      </c>
    </row>
    <row r="819241" spans="6:6" x14ac:dyDescent="0.25">
      <c r="F819241" s="9">
        <v>5</v>
      </c>
    </row>
    <row r="819242" spans="6:6" x14ac:dyDescent="0.25">
      <c r="F819242" s="9">
        <v>2</v>
      </c>
    </row>
    <row r="819243" spans="6:6" x14ac:dyDescent="0.25">
      <c r="F819243" s="9">
        <v>6</v>
      </c>
    </row>
    <row r="819244" spans="6:6" x14ac:dyDescent="0.25">
      <c r="F819244" s="9">
        <v>7</v>
      </c>
    </row>
    <row r="819245" spans="6:6" x14ac:dyDescent="0.25">
      <c r="F819245" s="9">
        <v>3</v>
      </c>
    </row>
    <row r="819246" spans="6:6" x14ac:dyDescent="0.25">
      <c r="F819246" s="9">
        <v>3</v>
      </c>
    </row>
    <row r="819247" spans="6:6" x14ac:dyDescent="0.25">
      <c r="F819247" s="9">
        <v>3</v>
      </c>
    </row>
    <row r="819248" spans="6:6" x14ac:dyDescent="0.25">
      <c r="F819248" s="9">
        <v>3</v>
      </c>
    </row>
    <row r="819249" spans="6:6" x14ac:dyDescent="0.25">
      <c r="F819249" s="9">
        <v>6</v>
      </c>
    </row>
    <row r="819250" spans="6:6" x14ac:dyDescent="0.25">
      <c r="F819250" s="9">
        <v>1</v>
      </c>
    </row>
    <row r="819251" spans="6:6" x14ac:dyDescent="0.25">
      <c r="F819251" s="9">
        <v>5</v>
      </c>
    </row>
    <row r="819252" spans="6:6" x14ac:dyDescent="0.25">
      <c r="F819252" s="9">
        <v>6</v>
      </c>
    </row>
    <row r="819253" spans="6:6" x14ac:dyDescent="0.25">
      <c r="F819253" s="9">
        <v>4</v>
      </c>
    </row>
    <row r="819254" spans="6:6" x14ac:dyDescent="0.25">
      <c r="F819254" s="9">
        <v>3</v>
      </c>
    </row>
    <row r="819255" spans="6:6" x14ac:dyDescent="0.25">
      <c r="F819255" s="9">
        <v>4</v>
      </c>
    </row>
    <row r="819256" spans="6:6" x14ac:dyDescent="0.25">
      <c r="F819256" s="9">
        <v>3</v>
      </c>
    </row>
    <row r="819257" spans="6:6" x14ac:dyDescent="0.25">
      <c r="F819257" s="9">
        <v>1</v>
      </c>
    </row>
    <row r="819258" spans="6:6" x14ac:dyDescent="0.25">
      <c r="F819258" s="9">
        <v>5</v>
      </c>
    </row>
    <row r="819259" spans="6:6" x14ac:dyDescent="0.25">
      <c r="F819259" s="9">
        <v>4</v>
      </c>
    </row>
    <row r="819260" spans="6:6" x14ac:dyDescent="0.25">
      <c r="F819260" s="9">
        <v>6</v>
      </c>
    </row>
    <row r="819261" spans="6:6" x14ac:dyDescent="0.25">
      <c r="F819261" s="9">
        <v>2</v>
      </c>
    </row>
    <row r="819262" spans="6:6" x14ac:dyDescent="0.25">
      <c r="F819262" s="9">
        <v>2</v>
      </c>
    </row>
    <row r="819263" spans="6:6" x14ac:dyDescent="0.25">
      <c r="F819263" s="9">
        <v>4</v>
      </c>
    </row>
    <row r="819264" spans="6:6" x14ac:dyDescent="0.25">
      <c r="F819264" s="9">
        <v>3</v>
      </c>
    </row>
    <row r="819265" spans="6:6" x14ac:dyDescent="0.25">
      <c r="F819265" s="9">
        <v>2</v>
      </c>
    </row>
    <row r="819266" spans="6:6" x14ac:dyDescent="0.25">
      <c r="F819266" s="9">
        <v>7</v>
      </c>
    </row>
    <row r="819267" spans="6:6" x14ac:dyDescent="0.25">
      <c r="F819267" s="9">
        <v>8</v>
      </c>
    </row>
    <row r="819268" spans="6:6" x14ac:dyDescent="0.25">
      <c r="F819268" s="9">
        <v>7</v>
      </c>
    </row>
    <row r="819269" spans="6:6" x14ac:dyDescent="0.25">
      <c r="F819269" s="9">
        <v>6</v>
      </c>
    </row>
    <row r="819270" spans="6:6" x14ac:dyDescent="0.25">
      <c r="F819270" s="9">
        <v>3</v>
      </c>
    </row>
    <row r="819271" spans="6:6" x14ac:dyDescent="0.25">
      <c r="F819271" s="9">
        <v>6</v>
      </c>
    </row>
    <row r="819272" spans="6:6" x14ac:dyDescent="0.25">
      <c r="F819272" s="9">
        <v>3</v>
      </c>
    </row>
    <row r="819273" spans="6:6" x14ac:dyDescent="0.25">
      <c r="F819273" s="9">
        <v>2</v>
      </c>
    </row>
    <row r="819274" spans="6:6" x14ac:dyDescent="0.25">
      <c r="F819274" s="9">
        <v>5</v>
      </c>
    </row>
    <row r="819275" spans="6:6" x14ac:dyDescent="0.25">
      <c r="F819275" s="9">
        <v>3</v>
      </c>
    </row>
    <row r="819276" spans="6:6" x14ac:dyDescent="0.25">
      <c r="F819276" s="9">
        <v>4</v>
      </c>
    </row>
    <row r="819277" spans="6:6" x14ac:dyDescent="0.25">
      <c r="F819277" s="9">
        <v>2</v>
      </c>
    </row>
    <row r="819278" spans="6:6" x14ac:dyDescent="0.25">
      <c r="F819278" s="9">
        <v>4</v>
      </c>
    </row>
    <row r="819279" spans="6:6" x14ac:dyDescent="0.25">
      <c r="F819279" s="9">
        <v>3</v>
      </c>
    </row>
    <row r="819280" spans="6:6" x14ac:dyDescent="0.25">
      <c r="F819280" s="9">
        <v>3</v>
      </c>
    </row>
    <row r="819281" spans="6:6" x14ac:dyDescent="0.25">
      <c r="F819281" s="9">
        <v>4</v>
      </c>
    </row>
    <row r="819282" spans="6:6" x14ac:dyDescent="0.25">
      <c r="F819282" s="9">
        <v>3</v>
      </c>
    </row>
    <row r="819283" spans="6:6" x14ac:dyDescent="0.25">
      <c r="F819283" s="9">
        <v>2</v>
      </c>
    </row>
    <row r="819284" spans="6:6" x14ac:dyDescent="0.25">
      <c r="F819284" s="9">
        <v>3</v>
      </c>
    </row>
    <row r="819285" spans="6:6" x14ac:dyDescent="0.25">
      <c r="F819285" s="9">
        <v>7</v>
      </c>
    </row>
    <row r="819286" spans="6:6" x14ac:dyDescent="0.25">
      <c r="F819286" s="9">
        <v>6</v>
      </c>
    </row>
    <row r="819287" spans="6:6" x14ac:dyDescent="0.25">
      <c r="F819287" s="9">
        <v>5</v>
      </c>
    </row>
    <row r="819288" spans="6:6" x14ac:dyDescent="0.25">
      <c r="F819288" s="9">
        <v>5</v>
      </c>
    </row>
    <row r="819289" spans="6:6" x14ac:dyDescent="0.25">
      <c r="F819289" s="9">
        <v>4</v>
      </c>
    </row>
    <row r="819290" spans="6:6" x14ac:dyDescent="0.25">
      <c r="F819290" s="9">
        <v>5</v>
      </c>
    </row>
    <row r="819291" spans="6:6" x14ac:dyDescent="0.25">
      <c r="F819291" s="9">
        <v>5</v>
      </c>
    </row>
    <row r="819292" spans="6:6" x14ac:dyDescent="0.25">
      <c r="F819292" s="9">
        <v>2</v>
      </c>
    </row>
    <row r="819293" spans="6:6" x14ac:dyDescent="0.25">
      <c r="F819293" s="9">
        <v>3</v>
      </c>
    </row>
    <row r="819294" spans="6:6" x14ac:dyDescent="0.25">
      <c r="F819294" s="9">
        <v>2</v>
      </c>
    </row>
    <row r="819295" spans="6:6" x14ac:dyDescent="0.25">
      <c r="F819295" s="9">
        <v>3</v>
      </c>
    </row>
    <row r="819296" spans="6:6" x14ac:dyDescent="0.25">
      <c r="F819296" s="9">
        <v>4</v>
      </c>
    </row>
    <row r="819297" spans="6:6" x14ac:dyDescent="0.25">
      <c r="F819297" s="9">
        <v>4</v>
      </c>
    </row>
    <row r="819298" spans="6:6" x14ac:dyDescent="0.25">
      <c r="F819298" s="9">
        <v>2</v>
      </c>
    </row>
    <row r="819299" spans="6:6" x14ac:dyDescent="0.25">
      <c r="F819299" s="9">
        <v>3</v>
      </c>
    </row>
    <row r="819300" spans="6:6" x14ac:dyDescent="0.25">
      <c r="F819300" s="9">
        <v>3</v>
      </c>
    </row>
    <row r="819301" spans="6:6" x14ac:dyDescent="0.25">
      <c r="F819301" s="9">
        <v>3</v>
      </c>
    </row>
    <row r="819302" spans="6:6" x14ac:dyDescent="0.25">
      <c r="F819302" s="9">
        <v>2</v>
      </c>
    </row>
    <row r="819303" spans="6:6" x14ac:dyDescent="0.25">
      <c r="F819303" s="9">
        <v>3</v>
      </c>
    </row>
    <row r="819304" spans="6:6" x14ac:dyDescent="0.25">
      <c r="F819304" s="9">
        <v>3</v>
      </c>
    </row>
    <row r="819305" spans="6:6" x14ac:dyDescent="0.25">
      <c r="F819305" s="9">
        <v>3</v>
      </c>
    </row>
    <row r="819306" spans="6:6" x14ac:dyDescent="0.25">
      <c r="F819306" s="9">
        <v>4</v>
      </c>
    </row>
    <row r="819307" spans="6:6" x14ac:dyDescent="0.25">
      <c r="F819307" s="9">
        <v>4</v>
      </c>
    </row>
    <row r="819308" spans="6:6" x14ac:dyDescent="0.25">
      <c r="F819308" s="9">
        <v>2</v>
      </c>
    </row>
    <row r="819309" spans="6:6" x14ac:dyDescent="0.25">
      <c r="F819309" s="9">
        <v>3</v>
      </c>
    </row>
    <row r="819310" spans="6:6" x14ac:dyDescent="0.25">
      <c r="F819310" s="9">
        <v>1</v>
      </c>
    </row>
    <row r="819311" spans="6:6" x14ac:dyDescent="0.25">
      <c r="F819311" s="9">
        <v>1</v>
      </c>
    </row>
    <row r="819312" spans="6:6" x14ac:dyDescent="0.25">
      <c r="F819312" s="9">
        <v>1</v>
      </c>
    </row>
    <row r="819313" spans="6:6" x14ac:dyDescent="0.25">
      <c r="F819313" s="9" t="s">
        <v>133</v>
      </c>
    </row>
    <row r="819314" spans="6:6" x14ac:dyDescent="0.25">
      <c r="F819314" s="6" t="s">
        <v>172</v>
      </c>
    </row>
    <row r="819315" spans="6:6" x14ac:dyDescent="0.25">
      <c r="F819315" s="9" t="s">
        <v>263</v>
      </c>
    </row>
    <row r="819316" spans="6:6" x14ac:dyDescent="0.25">
      <c r="F819316" s="33" t="s">
        <v>264</v>
      </c>
    </row>
    <row r="835585" spans="6:6" x14ac:dyDescent="0.25">
      <c r="F835585" s="84"/>
    </row>
    <row r="835586" spans="6:6" x14ac:dyDescent="0.25">
      <c r="F835586" s="46"/>
    </row>
    <row r="835587" spans="6:6" x14ac:dyDescent="0.25">
      <c r="F835587" s="9">
        <v>4</v>
      </c>
    </row>
    <row r="835588" spans="6:6" x14ac:dyDescent="0.25">
      <c r="F835588" s="9">
        <v>6</v>
      </c>
    </row>
    <row r="835589" spans="6:6" x14ac:dyDescent="0.25">
      <c r="F835589" s="9">
        <v>6</v>
      </c>
    </row>
    <row r="835590" spans="6:6" x14ac:dyDescent="0.25">
      <c r="F835590" s="9">
        <v>6</v>
      </c>
    </row>
    <row r="835591" spans="6:6" x14ac:dyDescent="0.25">
      <c r="F835591" s="9">
        <v>4</v>
      </c>
    </row>
    <row r="835592" spans="6:6" x14ac:dyDescent="0.25">
      <c r="F835592" s="9">
        <v>4</v>
      </c>
    </row>
    <row r="835593" spans="6:6" x14ac:dyDescent="0.25">
      <c r="F835593" s="9">
        <v>5</v>
      </c>
    </row>
    <row r="835594" spans="6:6" x14ac:dyDescent="0.25">
      <c r="F835594" s="9">
        <v>5</v>
      </c>
    </row>
    <row r="835595" spans="6:6" x14ac:dyDescent="0.25">
      <c r="F835595" s="9">
        <v>10</v>
      </c>
    </row>
    <row r="835596" spans="6:6" x14ac:dyDescent="0.25">
      <c r="F835596" s="9">
        <v>8</v>
      </c>
    </row>
    <row r="835597" spans="6:6" x14ac:dyDescent="0.25">
      <c r="F835597" s="9">
        <v>9</v>
      </c>
    </row>
    <row r="835598" spans="6:6" x14ac:dyDescent="0.25">
      <c r="F835598" s="9">
        <v>8</v>
      </c>
    </row>
    <row r="835599" spans="6:6" x14ac:dyDescent="0.25">
      <c r="F835599" s="9">
        <v>8</v>
      </c>
    </row>
    <row r="835600" spans="6:6" x14ac:dyDescent="0.25">
      <c r="F835600" s="9">
        <v>8</v>
      </c>
    </row>
    <row r="835601" spans="6:6" x14ac:dyDescent="0.25">
      <c r="F835601" s="9">
        <v>8</v>
      </c>
    </row>
    <row r="835602" spans="6:6" x14ac:dyDescent="0.25">
      <c r="F835602" s="9">
        <v>5</v>
      </c>
    </row>
    <row r="835603" spans="6:6" x14ac:dyDescent="0.25">
      <c r="F835603" s="9">
        <v>5</v>
      </c>
    </row>
    <row r="835604" spans="6:6" x14ac:dyDescent="0.25">
      <c r="F835604" s="9">
        <v>7</v>
      </c>
    </row>
    <row r="835605" spans="6:6" x14ac:dyDescent="0.25">
      <c r="F835605" s="9">
        <v>5</v>
      </c>
    </row>
    <row r="835606" spans="6:6" x14ac:dyDescent="0.25">
      <c r="F835606" s="9">
        <v>5</v>
      </c>
    </row>
    <row r="835607" spans="6:6" x14ac:dyDescent="0.25">
      <c r="F835607" s="9">
        <v>5</v>
      </c>
    </row>
    <row r="835608" spans="6:6" x14ac:dyDescent="0.25">
      <c r="F835608" s="9">
        <v>4</v>
      </c>
    </row>
    <row r="835609" spans="6:6" x14ac:dyDescent="0.25">
      <c r="F835609" s="9">
        <v>6</v>
      </c>
    </row>
    <row r="835610" spans="6:6" x14ac:dyDescent="0.25">
      <c r="F835610" s="9">
        <v>4</v>
      </c>
    </row>
    <row r="835611" spans="6:6" x14ac:dyDescent="0.25">
      <c r="F835611" s="9">
        <v>4</v>
      </c>
    </row>
    <row r="835612" spans="6:6" x14ac:dyDescent="0.25">
      <c r="F835612" s="9">
        <v>6</v>
      </c>
    </row>
    <row r="835613" spans="6:6" x14ac:dyDescent="0.25">
      <c r="F835613" s="9">
        <v>4</v>
      </c>
    </row>
    <row r="835614" spans="6:6" x14ac:dyDescent="0.25">
      <c r="F835614" s="9">
        <v>6</v>
      </c>
    </row>
    <row r="835615" spans="6:6" x14ac:dyDescent="0.25">
      <c r="F835615" s="9">
        <v>4</v>
      </c>
    </row>
    <row r="835616" spans="6:6" x14ac:dyDescent="0.25">
      <c r="F835616" s="9">
        <v>6</v>
      </c>
    </row>
    <row r="835617" spans="6:6" x14ac:dyDescent="0.25">
      <c r="F835617" s="9">
        <v>4</v>
      </c>
    </row>
    <row r="835618" spans="6:6" x14ac:dyDescent="0.25">
      <c r="F835618" s="9">
        <v>6</v>
      </c>
    </row>
    <row r="835619" spans="6:6" x14ac:dyDescent="0.25">
      <c r="F835619" s="9">
        <v>6</v>
      </c>
    </row>
    <row r="835620" spans="6:6" x14ac:dyDescent="0.25">
      <c r="F835620" s="9">
        <v>5</v>
      </c>
    </row>
    <row r="835621" spans="6:6" x14ac:dyDescent="0.25">
      <c r="F835621" s="9">
        <v>3</v>
      </c>
    </row>
    <row r="835622" spans="6:6" x14ac:dyDescent="0.25">
      <c r="F835622" s="9">
        <v>4</v>
      </c>
    </row>
    <row r="835623" spans="6:6" x14ac:dyDescent="0.25">
      <c r="F835623" s="9">
        <v>4</v>
      </c>
    </row>
    <row r="835624" spans="6:6" x14ac:dyDescent="0.25">
      <c r="F835624" s="9">
        <v>5</v>
      </c>
    </row>
    <row r="835625" spans="6:6" x14ac:dyDescent="0.25">
      <c r="F835625" s="9">
        <v>5</v>
      </c>
    </row>
    <row r="835626" spans="6:6" x14ac:dyDescent="0.25">
      <c r="F835626" s="9">
        <v>2</v>
      </c>
    </row>
    <row r="835627" spans="6:6" x14ac:dyDescent="0.25">
      <c r="F835627" s="9">
        <v>6</v>
      </c>
    </row>
    <row r="835628" spans="6:6" x14ac:dyDescent="0.25">
      <c r="F835628" s="9">
        <v>7</v>
      </c>
    </row>
    <row r="835629" spans="6:6" x14ac:dyDescent="0.25">
      <c r="F835629" s="9">
        <v>3</v>
      </c>
    </row>
    <row r="835630" spans="6:6" x14ac:dyDescent="0.25">
      <c r="F835630" s="9">
        <v>3</v>
      </c>
    </row>
    <row r="835631" spans="6:6" x14ac:dyDescent="0.25">
      <c r="F835631" s="9">
        <v>3</v>
      </c>
    </row>
    <row r="835632" spans="6:6" x14ac:dyDescent="0.25">
      <c r="F835632" s="9">
        <v>3</v>
      </c>
    </row>
    <row r="835633" spans="6:6" x14ac:dyDescent="0.25">
      <c r="F835633" s="9">
        <v>6</v>
      </c>
    </row>
    <row r="835634" spans="6:6" x14ac:dyDescent="0.25">
      <c r="F835634" s="9">
        <v>1</v>
      </c>
    </row>
    <row r="835635" spans="6:6" x14ac:dyDescent="0.25">
      <c r="F835635" s="9">
        <v>5</v>
      </c>
    </row>
    <row r="835636" spans="6:6" x14ac:dyDescent="0.25">
      <c r="F835636" s="9">
        <v>6</v>
      </c>
    </row>
    <row r="835637" spans="6:6" x14ac:dyDescent="0.25">
      <c r="F835637" s="9">
        <v>4</v>
      </c>
    </row>
    <row r="835638" spans="6:6" x14ac:dyDescent="0.25">
      <c r="F835638" s="9">
        <v>3</v>
      </c>
    </row>
    <row r="835639" spans="6:6" x14ac:dyDescent="0.25">
      <c r="F835639" s="9">
        <v>4</v>
      </c>
    </row>
    <row r="835640" spans="6:6" x14ac:dyDescent="0.25">
      <c r="F835640" s="9">
        <v>3</v>
      </c>
    </row>
    <row r="835641" spans="6:6" x14ac:dyDescent="0.25">
      <c r="F835641" s="9">
        <v>1</v>
      </c>
    </row>
    <row r="835642" spans="6:6" x14ac:dyDescent="0.25">
      <c r="F835642" s="9">
        <v>5</v>
      </c>
    </row>
    <row r="835643" spans="6:6" x14ac:dyDescent="0.25">
      <c r="F835643" s="9">
        <v>4</v>
      </c>
    </row>
    <row r="835644" spans="6:6" x14ac:dyDescent="0.25">
      <c r="F835644" s="9">
        <v>6</v>
      </c>
    </row>
    <row r="835645" spans="6:6" x14ac:dyDescent="0.25">
      <c r="F835645" s="9">
        <v>2</v>
      </c>
    </row>
    <row r="835646" spans="6:6" x14ac:dyDescent="0.25">
      <c r="F835646" s="9">
        <v>2</v>
      </c>
    </row>
    <row r="835647" spans="6:6" x14ac:dyDescent="0.25">
      <c r="F835647" s="9">
        <v>4</v>
      </c>
    </row>
    <row r="835648" spans="6:6" x14ac:dyDescent="0.25">
      <c r="F835648" s="9">
        <v>3</v>
      </c>
    </row>
    <row r="835649" spans="6:6" x14ac:dyDescent="0.25">
      <c r="F835649" s="9">
        <v>2</v>
      </c>
    </row>
    <row r="835650" spans="6:6" x14ac:dyDescent="0.25">
      <c r="F835650" s="9">
        <v>7</v>
      </c>
    </row>
    <row r="835651" spans="6:6" x14ac:dyDescent="0.25">
      <c r="F835651" s="9">
        <v>8</v>
      </c>
    </row>
    <row r="835652" spans="6:6" x14ac:dyDescent="0.25">
      <c r="F835652" s="9">
        <v>7</v>
      </c>
    </row>
    <row r="835653" spans="6:6" x14ac:dyDescent="0.25">
      <c r="F835653" s="9">
        <v>6</v>
      </c>
    </row>
    <row r="835654" spans="6:6" x14ac:dyDescent="0.25">
      <c r="F835654" s="9">
        <v>3</v>
      </c>
    </row>
    <row r="835655" spans="6:6" x14ac:dyDescent="0.25">
      <c r="F835655" s="9">
        <v>6</v>
      </c>
    </row>
    <row r="835656" spans="6:6" x14ac:dyDescent="0.25">
      <c r="F835656" s="9">
        <v>3</v>
      </c>
    </row>
    <row r="835657" spans="6:6" x14ac:dyDescent="0.25">
      <c r="F835657" s="9">
        <v>2</v>
      </c>
    </row>
    <row r="835658" spans="6:6" x14ac:dyDescent="0.25">
      <c r="F835658" s="9">
        <v>5</v>
      </c>
    </row>
    <row r="835659" spans="6:6" x14ac:dyDescent="0.25">
      <c r="F835659" s="9">
        <v>3</v>
      </c>
    </row>
    <row r="835660" spans="6:6" x14ac:dyDescent="0.25">
      <c r="F835660" s="9">
        <v>4</v>
      </c>
    </row>
    <row r="835661" spans="6:6" x14ac:dyDescent="0.25">
      <c r="F835661" s="9">
        <v>2</v>
      </c>
    </row>
    <row r="835662" spans="6:6" x14ac:dyDescent="0.25">
      <c r="F835662" s="9">
        <v>4</v>
      </c>
    </row>
    <row r="835663" spans="6:6" x14ac:dyDescent="0.25">
      <c r="F835663" s="9">
        <v>3</v>
      </c>
    </row>
    <row r="835664" spans="6:6" x14ac:dyDescent="0.25">
      <c r="F835664" s="9">
        <v>3</v>
      </c>
    </row>
    <row r="835665" spans="6:6" x14ac:dyDescent="0.25">
      <c r="F835665" s="9">
        <v>4</v>
      </c>
    </row>
    <row r="835666" spans="6:6" x14ac:dyDescent="0.25">
      <c r="F835666" s="9">
        <v>3</v>
      </c>
    </row>
    <row r="835667" spans="6:6" x14ac:dyDescent="0.25">
      <c r="F835667" s="9">
        <v>2</v>
      </c>
    </row>
    <row r="835668" spans="6:6" x14ac:dyDescent="0.25">
      <c r="F835668" s="9">
        <v>3</v>
      </c>
    </row>
    <row r="835669" spans="6:6" x14ac:dyDescent="0.25">
      <c r="F835669" s="9">
        <v>7</v>
      </c>
    </row>
    <row r="835670" spans="6:6" x14ac:dyDescent="0.25">
      <c r="F835670" s="9">
        <v>6</v>
      </c>
    </row>
    <row r="835671" spans="6:6" x14ac:dyDescent="0.25">
      <c r="F835671" s="9">
        <v>5</v>
      </c>
    </row>
    <row r="835672" spans="6:6" x14ac:dyDescent="0.25">
      <c r="F835672" s="9">
        <v>5</v>
      </c>
    </row>
    <row r="835673" spans="6:6" x14ac:dyDescent="0.25">
      <c r="F835673" s="9">
        <v>4</v>
      </c>
    </row>
    <row r="835674" spans="6:6" x14ac:dyDescent="0.25">
      <c r="F835674" s="9">
        <v>5</v>
      </c>
    </row>
    <row r="835675" spans="6:6" x14ac:dyDescent="0.25">
      <c r="F835675" s="9">
        <v>5</v>
      </c>
    </row>
    <row r="835676" spans="6:6" x14ac:dyDescent="0.25">
      <c r="F835676" s="9">
        <v>2</v>
      </c>
    </row>
    <row r="835677" spans="6:6" x14ac:dyDescent="0.25">
      <c r="F835677" s="9">
        <v>3</v>
      </c>
    </row>
    <row r="835678" spans="6:6" x14ac:dyDescent="0.25">
      <c r="F835678" s="9">
        <v>2</v>
      </c>
    </row>
    <row r="835679" spans="6:6" x14ac:dyDescent="0.25">
      <c r="F835679" s="9">
        <v>3</v>
      </c>
    </row>
    <row r="835680" spans="6:6" x14ac:dyDescent="0.25">
      <c r="F835680" s="9">
        <v>4</v>
      </c>
    </row>
    <row r="835681" spans="6:6" x14ac:dyDescent="0.25">
      <c r="F835681" s="9">
        <v>4</v>
      </c>
    </row>
    <row r="835682" spans="6:6" x14ac:dyDescent="0.25">
      <c r="F835682" s="9">
        <v>2</v>
      </c>
    </row>
    <row r="835683" spans="6:6" x14ac:dyDescent="0.25">
      <c r="F835683" s="9">
        <v>3</v>
      </c>
    </row>
    <row r="835684" spans="6:6" x14ac:dyDescent="0.25">
      <c r="F835684" s="9">
        <v>3</v>
      </c>
    </row>
    <row r="835685" spans="6:6" x14ac:dyDescent="0.25">
      <c r="F835685" s="9">
        <v>3</v>
      </c>
    </row>
    <row r="835686" spans="6:6" x14ac:dyDescent="0.25">
      <c r="F835686" s="9">
        <v>2</v>
      </c>
    </row>
    <row r="835687" spans="6:6" x14ac:dyDescent="0.25">
      <c r="F835687" s="9">
        <v>3</v>
      </c>
    </row>
    <row r="835688" spans="6:6" x14ac:dyDescent="0.25">
      <c r="F835688" s="9">
        <v>3</v>
      </c>
    </row>
    <row r="835689" spans="6:6" x14ac:dyDescent="0.25">
      <c r="F835689" s="9">
        <v>3</v>
      </c>
    </row>
    <row r="835690" spans="6:6" x14ac:dyDescent="0.25">
      <c r="F835690" s="9">
        <v>4</v>
      </c>
    </row>
    <row r="835691" spans="6:6" x14ac:dyDescent="0.25">
      <c r="F835691" s="9">
        <v>4</v>
      </c>
    </row>
    <row r="835692" spans="6:6" x14ac:dyDescent="0.25">
      <c r="F835692" s="9">
        <v>2</v>
      </c>
    </row>
    <row r="835693" spans="6:6" x14ac:dyDescent="0.25">
      <c r="F835693" s="9">
        <v>3</v>
      </c>
    </row>
    <row r="835694" spans="6:6" x14ac:dyDescent="0.25">
      <c r="F835694" s="9">
        <v>1</v>
      </c>
    </row>
    <row r="835695" spans="6:6" x14ac:dyDescent="0.25">
      <c r="F835695" s="9">
        <v>1</v>
      </c>
    </row>
    <row r="835696" spans="6:6" x14ac:dyDescent="0.25">
      <c r="F835696" s="9">
        <v>1</v>
      </c>
    </row>
    <row r="835697" spans="6:6" x14ac:dyDescent="0.25">
      <c r="F835697" s="9" t="s">
        <v>133</v>
      </c>
    </row>
    <row r="835698" spans="6:6" x14ac:dyDescent="0.25">
      <c r="F835698" s="6" t="s">
        <v>172</v>
      </c>
    </row>
    <row r="835699" spans="6:6" x14ac:dyDescent="0.25">
      <c r="F835699" s="9" t="s">
        <v>263</v>
      </c>
    </row>
    <row r="835700" spans="6:6" x14ac:dyDescent="0.25">
      <c r="F835700" s="33" t="s">
        <v>264</v>
      </c>
    </row>
    <row r="851969" spans="6:6" x14ac:dyDescent="0.25">
      <c r="F851969" s="84"/>
    </row>
    <row r="851970" spans="6:6" x14ac:dyDescent="0.25">
      <c r="F851970" s="46"/>
    </row>
    <row r="851971" spans="6:6" x14ac:dyDescent="0.25">
      <c r="F851971" s="9">
        <v>4</v>
      </c>
    </row>
    <row r="851972" spans="6:6" x14ac:dyDescent="0.25">
      <c r="F851972" s="9">
        <v>6</v>
      </c>
    </row>
    <row r="851973" spans="6:6" x14ac:dyDescent="0.25">
      <c r="F851973" s="9">
        <v>6</v>
      </c>
    </row>
    <row r="851974" spans="6:6" x14ac:dyDescent="0.25">
      <c r="F851974" s="9">
        <v>6</v>
      </c>
    </row>
    <row r="851975" spans="6:6" x14ac:dyDescent="0.25">
      <c r="F851975" s="9">
        <v>4</v>
      </c>
    </row>
    <row r="851976" spans="6:6" x14ac:dyDescent="0.25">
      <c r="F851976" s="9">
        <v>4</v>
      </c>
    </row>
    <row r="851977" spans="6:6" x14ac:dyDescent="0.25">
      <c r="F851977" s="9">
        <v>5</v>
      </c>
    </row>
    <row r="851978" spans="6:6" x14ac:dyDescent="0.25">
      <c r="F851978" s="9">
        <v>5</v>
      </c>
    </row>
    <row r="851979" spans="6:6" x14ac:dyDescent="0.25">
      <c r="F851979" s="9">
        <v>10</v>
      </c>
    </row>
    <row r="851980" spans="6:6" x14ac:dyDescent="0.25">
      <c r="F851980" s="9">
        <v>8</v>
      </c>
    </row>
    <row r="851981" spans="6:6" x14ac:dyDescent="0.25">
      <c r="F851981" s="9">
        <v>9</v>
      </c>
    </row>
    <row r="851982" spans="6:6" x14ac:dyDescent="0.25">
      <c r="F851982" s="9">
        <v>8</v>
      </c>
    </row>
    <row r="851983" spans="6:6" x14ac:dyDescent="0.25">
      <c r="F851983" s="9">
        <v>8</v>
      </c>
    </row>
    <row r="851984" spans="6:6" x14ac:dyDescent="0.25">
      <c r="F851984" s="9">
        <v>8</v>
      </c>
    </row>
    <row r="851985" spans="6:6" x14ac:dyDescent="0.25">
      <c r="F851985" s="9">
        <v>8</v>
      </c>
    </row>
    <row r="851986" spans="6:6" x14ac:dyDescent="0.25">
      <c r="F851986" s="9">
        <v>5</v>
      </c>
    </row>
    <row r="851987" spans="6:6" x14ac:dyDescent="0.25">
      <c r="F851987" s="9">
        <v>5</v>
      </c>
    </row>
    <row r="851988" spans="6:6" x14ac:dyDescent="0.25">
      <c r="F851988" s="9">
        <v>7</v>
      </c>
    </row>
    <row r="851989" spans="6:6" x14ac:dyDescent="0.25">
      <c r="F851989" s="9">
        <v>5</v>
      </c>
    </row>
    <row r="851990" spans="6:6" x14ac:dyDescent="0.25">
      <c r="F851990" s="9">
        <v>5</v>
      </c>
    </row>
    <row r="851991" spans="6:6" x14ac:dyDescent="0.25">
      <c r="F851991" s="9">
        <v>5</v>
      </c>
    </row>
    <row r="851992" spans="6:6" x14ac:dyDescent="0.25">
      <c r="F851992" s="9">
        <v>4</v>
      </c>
    </row>
    <row r="851993" spans="6:6" x14ac:dyDescent="0.25">
      <c r="F851993" s="9">
        <v>6</v>
      </c>
    </row>
    <row r="851994" spans="6:6" x14ac:dyDescent="0.25">
      <c r="F851994" s="9">
        <v>4</v>
      </c>
    </row>
    <row r="851995" spans="6:6" x14ac:dyDescent="0.25">
      <c r="F851995" s="9">
        <v>4</v>
      </c>
    </row>
    <row r="851996" spans="6:6" x14ac:dyDescent="0.25">
      <c r="F851996" s="9">
        <v>6</v>
      </c>
    </row>
    <row r="851997" spans="6:6" x14ac:dyDescent="0.25">
      <c r="F851997" s="9">
        <v>4</v>
      </c>
    </row>
    <row r="851998" spans="6:6" x14ac:dyDescent="0.25">
      <c r="F851998" s="9">
        <v>6</v>
      </c>
    </row>
    <row r="851999" spans="6:6" x14ac:dyDescent="0.25">
      <c r="F851999" s="9">
        <v>4</v>
      </c>
    </row>
    <row r="852000" spans="6:6" x14ac:dyDescent="0.25">
      <c r="F852000" s="9">
        <v>6</v>
      </c>
    </row>
    <row r="852001" spans="6:6" x14ac:dyDescent="0.25">
      <c r="F852001" s="9">
        <v>4</v>
      </c>
    </row>
    <row r="852002" spans="6:6" x14ac:dyDescent="0.25">
      <c r="F852002" s="9">
        <v>6</v>
      </c>
    </row>
    <row r="852003" spans="6:6" x14ac:dyDescent="0.25">
      <c r="F852003" s="9">
        <v>6</v>
      </c>
    </row>
    <row r="852004" spans="6:6" x14ac:dyDescent="0.25">
      <c r="F852004" s="9">
        <v>5</v>
      </c>
    </row>
    <row r="852005" spans="6:6" x14ac:dyDescent="0.25">
      <c r="F852005" s="9">
        <v>3</v>
      </c>
    </row>
    <row r="852006" spans="6:6" x14ac:dyDescent="0.25">
      <c r="F852006" s="9">
        <v>4</v>
      </c>
    </row>
    <row r="852007" spans="6:6" x14ac:dyDescent="0.25">
      <c r="F852007" s="9">
        <v>4</v>
      </c>
    </row>
    <row r="852008" spans="6:6" x14ac:dyDescent="0.25">
      <c r="F852008" s="9">
        <v>5</v>
      </c>
    </row>
    <row r="852009" spans="6:6" x14ac:dyDescent="0.25">
      <c r="F852009" s="9">
        <v>5</v>
      </c>
    </row>
    <row r="852010" spans="6:6" x14ac:dyDescent="0.25">
      <c r="F852010" s="9">
        <v>2</v>
      </c>
    </row>
    <row r="852011" spans="6:6" x14ac:dyDescent="0.25">
      <c r="F852011" s="9">
        <v>6</v>
      </c>
    </row>
    <row r="852012" spans="6:6" x14ac:dyDescent="0.25">
      <c r="F852012" s="9">
        <v>7</v>
      </c>
    </row>
    <row r="852013" spans="6:6" x14ac:dyDescent="0.25">
      <c r="F852013" s="9">
        <v>3</v>
      </c>
    </row>
    <row r="852014" spans="6:6" x14ac:dyDescent="0.25">
      <c r="F852014" s="9">
        <v>3</v>
      </c>
    </row>
    <row r="852015" spans="6:6" x14ac:dyDescent="0.25">
      <c r="F852015" s="9">
        <v>3</v>
      </c>
    </row>
    <row r="852016" spans="6:6" x14ac:dyDescent="0.25">
      <c r="F852016" s="9">
        <v>3</v>
      </c>
    </row>
    <row r="852017" spans="6:6" x14ac:dyDescent="0.25">
      <c r="F852017" s="9">
        <v>6</v>
      </c>
    </row>
    <row r="852018" spans="6:6" x14ac:dyDescent="0.25">
      <c r="F852018" s="9">
        <v>1</v>
      </c>
    </row>
    <row r="852019" spans="6:6" x14ac:dyDescent="0.25">
      <c r="F852019" s="9">
        <v>5</v>
      </c>
    </row>
    <row r="852020" spans="6:6" x14ac:dyDescent="0.25">
      <c r="F852020" s="9">
        <v>6</v>
      </c>
    </row>
    <row r="852021" spans="6:6" x14ac:dyDescent="0.25">
      <c r="F852021" s="9">
        <v>4</v>
      </c>
    </row>
    <row r="852022" spans="6:6" x14ac:dyDescent="0.25">
      <c r="F852022" s="9">
        <v>3</v>
      </c>
    </row>
    <row r="852023" spans="6:6" x14ac:dyDescent="0.25">
      <c r="F852023" s="9">
        <v>4</v>
      </c>
    </row>
    <row r="852024" spans="6:6" x14ac:dyDescent="0.25">
      <c r="F852024" s="9">
        <v>3</v>
      </c>
    </row>
    <row r="852025" spans="6:6" x14ac:dyDescent="0.25">
      <c r="F852025" s="9">
        <v>1</v>
      </c>
    </row>
    <row r="852026" spans="6:6" x14ac:dyDescent="0.25">
      <c r="F852026" s="9">
        <v>5</v>
      </c>
    </row>
    <row r="852027" spans="6:6" x14ac:dyDescent="0.25">
      <c r="F852027" s="9">
        <v>4</v>
      </c>
    </row>
    <row r="852028" spans="6:6" x14ac:dyDescent="0.25">
      <c r="F852028" s="9">
        <v>6</v>
      </c>
    </row>
    <row r="852029" spans="6:6" x14ac:dyDescent="0.25">
      <c r="F852029" s="9">
        <v>2</v>
      </c>
    </row>
    <row r="852030" spans="6:6" x14ac:dyDescent="0.25">
      <c r="F852030" s="9">
        <v>2</v>
      </c>
    </row>
    <row r="852031" spans="6:6" x14ac:dyDescent="0.25">
      <c r="F852031" s="9">
        <v>4</v>
      </c>
    </row>
    <row r="852032" spans="6:6" x14ac:dyDescent="0.25">
      <c r="F852032" s="9">
        <v>3</v>
      </c>
    </row>
    <row r="852033" spans="6:6" x14ac:dyDescent="0.25">
      <c r="F852033" s="9">
        <v>2</v>
      </c>
    </row>
    <row r="852034" spans="6:6" x14ac:dyDescent="0.25">
      <c r="F852034" s="9">
        <v>7</v>
      </c>
    </row>
    <row r="852035" spans="6:6" x14ac:dyDescent="0.25">
      <c r="F852035" s="9">
        <v>8</v>
      </c>
    </row>
    <row r="852036" spans="6:6" x14ac:dyDescent="0.25">
      <c r="F852036" s="9">
        <v>7</v>
      </c>
    </row>
    <row r="852037" spans="6:6" x14ac:dyDescent="0.25">
      <c r="F852037" s="9">
        <v>6</v>
      </c>
    </row>
    <row r="852038" spans="6:6" x14ac:dyDescent="0.25">
      <c r="F852038" s="9">
        <v>3</v>
      </c>
    </row>
    <row r="852039" spans="6:6" x14ac:dyDescent="0.25">
      <c r="F852039" s="9">
        <v>6</v>
      </c>
    </row>
    <row r="852040" spans="6:6" x14ac:dyDescent="0.25">
      <c r="F852040" s="9">
        <v>3</v>
      </c>
    </row>
    <row r="852041" spans="6:6" x14ac:dyDescent="0.25">
      <c r="F852041" s="9">
        <v>2</v>
      </c>
    </row>
    <row r="852042" spans="6:6" x14ac:dyDescent="0.25">
      <c r="F852042" s="9">
        <v>5</v>
      </c>
    </row>
    <row r="852043" spans="6:6" x14ac:dyDescent="0.25">
      <c r="F852043" s="9">
        <v>3</v>
      </c>
    </row>
    <row r="852044" spans="6:6" x14ac:dyDescent="0.25">
      <c r="F852044" s="9">
        <v>4</v>
      </c>
    </row>
    <row r="852045" spans="6:6" x14ac:dyDescent="0.25">
      <c r="F852045" s="9">
        <v>2</v>
      </c>
    </row>
    <row r="852046" spans="6:6" x14ac:dyDescent="0.25">
      <c r="F852046" s="9">
        <v>4</v>
      </c>
    </row>
    <row r="852047" spans="6:6" x14ac:dyDescent="0.25">
      <c r="F852047" s="9">
        <v>3</v>
      </c>
    </row>
    <row r="852048" spans="6:6" x14ac:dyDescent="0.25">
      <c r="F852048" s="9">
        <v>3</v>
      </c>
    </row>
    <row r="852049" spans="6:6" x14ac:dyDescent="0.25">
      <c r="F852049" s="9">
        <v>4</v>
      </c>
    </row>
    <row r="852050" spans="6:6" x14ac:dyDescent="0.25">
      <c r="F852050" s="9">
        <v>3</v>
      </c>
    </row>
    <row r="852051" spans="6:6" x14ac:dyDescent="0.25">
      <c r="F852051" s="9">
        <v>2</v>
      </c>
    </row>
    <row r="852052" spans="6:6" x14ac:dyDescent="0.25">
      <c r="F852052" s="9">
        <v>3</v>
      </c>
    </row>
    <row r="852053" spans="6:6" x14ac:dyDescent="0.25">
      <c r="F852053" s="9">
        <v>7</v>
      </c>
    </row>
    <row r="852054" spans="6:6" x14ac:dyDescent="0.25">
      <c r="F852054" s="9">
        <v>6</v>
      </c>
    </row>
    <row r="852055" spans="6:6" x14ac:dyDescent="0.25">
      <c r="F852055" s="9">
        <v>5</v>
      </c>
    </row>
    <row r="852056" spans="6:6" x14ac:dyDescent="0.25">
      <c r="F852056" s="9">
        <v>5</v>
      </c>
    </row>
    <row r="852057" spans="6:6" x14ac:dyDescent="0.25">
      <c r="F852057" s="9">
        <v>4</v>
      </c>
    </row>
    <row r="852058" spans="6:6" x14ac:dyDescent="0.25">
      <c r="F852058" s="9">
        <v>5</v>
      </c>
    </row>
    <row r="852059" spans="6:6" x14ac:dyDescent="0.25">
      <c r="F852059" s="9">
        <v>5</v>
      </c>
    </row>
    <row r="852060" spans="6:6" x14ac:dyDescent="0.25">
      <c r="F852060" s="9">
        <v>2</v>
      </c>
    </row>
    <row r="852061" spans="6:6" x14ac:dyDescent="0.25">
      <c r="F852061" s="9">
        <v>3</v>
      </c>
    </row>
    <row r="852062" spans="6:6" x14ac:dyDescent="0.25">
      <c r="F852062" s="9">
        <v>2</v>
      </c>
    </row>
    <row r="852063" spans="6:6" x14ac:dyDescent="0.25">
      <c r="F852063" s="9">
        <v>3</v>
      </c>
    </row>
    <row r="852064" spans="6:6" x14ac:dyDescent="0.25">
      <c r="F852064" s="9">
        <v>4</v>
      </c>
    </row>
    <row r="852065" spans="6:6" x14ac:dyDescent="0.25">
      <c r="F852065" s="9">
        <v>4</v>
      </c>
    </row>
    <row r="852066" spans="6:6" x14ac:dyDescent="0.25">
      <c r="F852066" s="9">
        <v>2</v>
      </c>
    </row>
    <row r="852067" spans="6:6" x14ac:dyDescent="0.25">
      <c r="F852067" s="9">
        <v>3</v>
      </c>
    </row>
    <row r="852068" spans="6:6" x14ac:dyDescent="0.25">
      <c r="F852068" s="9">
        <v>3</v>
      </c>
    </row>
    <row r="852069" spans="6:6" x14ac:dyDescent="0.25">
      <c r="F852069" s="9">
        <v>3</v>
      </c>
    </row>
    <row r="852070" spans="6:6" x14ac:dyDescent="0.25">
      <c r="F852070" s="9">
        <v>2</v>
      </c>
    </row>
    <row r="852071" spans="6:6" x14ac:dyDescent="0.25">
      <c r="F852071" s="9">
        <v>3</v>
      </c>
    </row>
    <row r="852072" spans="6:6" x14ac:dyDescent="0.25">
      <c r="F852072" s="9">
        <v>3</v>
      </c>
    </row>
    <row r="852073" spans="6:6" x14ac:dyDescent="0.25">
      <c r="F852073" s="9">
        <v>3</v>
      </c>
    </row>
    <row r="852074" spans="6:6" x14ac:dyDescent="0.25">
      <c r="F852074" s="9">
        <v>4</v>
      </c>
    </row>
    <row r="852075" spans="6:6" x14ac:dyDescent="0.25">
      <c r="F852075" s="9">
        <v>4</v>
      </c>
    </row>
    <row r="852076" spans="6:6" x14ac:dyDescent="0.25">
      <c r="F852076" s="9">
        <v>2</v>
      </c>
    </row>
    <row r="852077" spans="6:6" x14ac:dyDescent="0.25">
      <c r="F852077" s="9">
        <v>3</v>
      </c>
    </row>
    <row r="852078" spans="6:6" x14ac:dyDescent="0.25">
      <c r="F852078" s="9">
        <v>1</v>
      </c>
    </row>
    <row r="852079" spans="6:6" x14ac:dyDescent="0.25">
      <c r="F852079" s="9">
        <v>1</v>
      </c>
    </row>
    <row r="852080" spans="6:6" x14ac:dyDescent="0.25">
      <c r="F852080" s="9">
        <v>1</v>
      </c>
    </row>
    <row r="852081" spans="6:6" x14ac:dyDescent="0.25">
      <c r="F852081" s="9" t="s">
        <v>133</v>
      </c>
    </row>
    <row r="852082" spans="6:6" x14ac:dyDescent="0.25">
      <c r="F852082" s="6" t="s">
        <v>172</v>
      </c>
    </row>
    <row r="852083" spans="6:6" x14ac:dyDescent="0.25">
      <c r="F852083" s="9" t="s">
        <v>263</v>
      </c>
    </row>
    <row r="852084" spans="6:6" x14ac:dyDescent="0.25">
      <c r="F852084" s="33" t="s">
        <v>264</v>
      </c>
    </row>
    <row r="868353" spans="6:6" x14ac:dyDescent="0.25">
      <c r="F868353" s="84"/>
    </row>
    <row r="868354" spans="6:6" x14ac:dyDescent="0.25">
      <c r="F868354" s="46"/>
    </row>
    <row r="868355" spans="6:6" x14ac:dyDescent="0.25">
      <c r="F868355" s="9">
        <v>4</v>
      </c>
    </row>
    <row r="868356" spans="6:6" x14ac:dyDescent="0.25">
      <c r="F868356" s="9">
        <v>6</v>
      </c>
    </row>
    <row r="868357" spans="6:6" x14ac:dyDescent="0.25">
      <c r="F868357" s="9">
        <v>6</v>
      </c>
    </row>
    <row r="868358" spans="6:6" x14ac:dyDescent="0.25">
      <c r="F868358" s="9">
        <v>6</v>
      </c>
    </row>
    <row r="868359" spans="6:6" x14ac:dyDescent="0.25">
      <c r="F868359" s="9">
        <v>4</v>
      </c>
    </row>
    <row r="868360" spans="6:6" x14ac:dyDescent="0.25">
      <c r="F868360" s="9">
        <v>4</v>
      </c>
    </row>
    <row r="868361" spans="6:6" x14ac:dyDescent="0.25">
      <c r="F868361" s="9">
        <v>5</v>
      </c>
    </row>
    <row r="868362" spans="6:6" x14ac:dyDescent="0.25">
      <c r="F868362" s="9">
        <v>5</v>
      </c>
    </row>
    <row r="868363" spans="6:6" x14ac:dyDescent="0.25">
      <c r="F868363" s="9">
        <v>10</v>
      </c>
    </row>
    <row r="868364" spans="6:6" x14ac:dyDescent="0.25">
      <c r="F868364" s="9">
        <v>8</v>
      </c>
    </row>
    <row r="868365" spans="6:6" x14ac:dyDescent="0.25">
      <c r="F868365" s="9">
        <v>9</v>
      </c>
    </row>
    <row r="868366" spans="6:6" x14ac:dyDescent="0.25">
      <c r="F868366" s="9">
        <v>8</v>
      </c>
    </row>
    <row r="868367" spans="6:6" x14ac:dyDescent="0.25">
      <c r="F868367" s="9">
        <v>8</v>
      </c>
    </row>
    <row r="868368" spans="6:6" x14ac:dyDescent="0.25">
      <c r="F868368" s="9">
        <v>8</v>
      </c>
    </row>
    <row r="868369" spans="6:6" x14ac:dyDescent="0.25">
      <c r="F868369" s="9">
        <v>8</v>
      </c>
    </row>
    <row r="868370" spans="6:6" x14ac:dyDescent="0.25">
      <c r="F868370" s="9">
        <v>5</v>
      </c>
    </row>
    <row r="868371" spans="6:6" x14ac:dyDescent="0.25">
      <c r="F868371" s="9">
        <v>5</v>
      </c>
    </row>
    <row r="868372" spans="6:6" x14ac:dyDescent="0.25">
      <c r="F868372" s="9">
        <v>7</v>
      </c>
    </row>
    <row r="868373" spans="6:6" x14ac:dyDescent="0.25">
      <c r="F868373" s="9">
        <v>5</v>
      </c>
    </row>
    <row r="868374" spans="6:6" x14ac:dyDescent="0.25">
      <c r="F868374" s="9">
        <v>5</v>
      </c>
    </row>
    <row r="868375" spans="6:6" x14ac:dyDescent="0.25">
      <c r="F868375" s="9">
        <v>5</v>
      </c>
    </row>
    <row r="868376" spans="6:6" x14ac:dyDescent="0.25">
      <c r="F868376" s="9">
        <v>4</v>
      </c>
    </row>
    <row r="868377" spans="6:6" x14ac:dyDescent="0.25">
      <c r="F868377" s="9">
        <v>6</v>
      </c>
    </row>
    <row r="868378" spans="6:6" x14ac:dyDescent="0.25">
      <c r="F868378" s="9">
        <v>4</v>
      </c>
    </row>
    <row r="868379" spans="6:6" x14ac:dyDescent="0.25">
      <c r="F868379" s="9">
        <v>4</v>
      </c>
    </row>
    <row r="868380" spans="6:6" x14ac:dyDescent="0.25">
      <c r="F868380" s="9">
        <v>6</v>
      </c>
    </row>
    <row r="868381" spans="6:6" x14ac:dyDescent="0.25">
      <c r="F868381" s="9">
        <v>4</v>
      </c>
    </row>
    <row r="868382" spans="6:6" x14ac:dyDescent="0.25">
      <c r="F868382" s="9">
        <v>6</v>
      </c>
    </row>
    <row r="868383" spans="6:6" x14ac:dyDescent="0.25">
      <c r="F868383" s="9">
        <v>4</v>
      </c>
    </row>
    <row r="868384" spans="6:6" x14ac:dyDescent="0.25">
      <c r="F868384" s="9">
        <v>6</v>
      </c>
    </row>
    <row r="868385" spans="6:6" x14ac:dyDescent="0.25">
      <c r="F868385" s="9">
        <v>4</v>
      </c>
    </row>
    <row r="868386" spans="6:6" x14ac:dyDescent="0.25">
      <c r="F868386" s="9">
        <v>6</v>
      </c>
    </row>
    <row r="868387" spans="6:6" x14ac:dyDescent="0.25">
      <c r="F868387" s="9">
        <v>6</v>
      </c>
    </row>
    <row r="868388" spans="6:6" x14ac:dyDescent="0.25">
      <c r="F868388" s="9">
        <v>5</v>
      </c>
    </row>
    <row r="868389" spans="6:6" x14ac:dyDescent="0.25">
      <c r="F868389" s="9">
        <v>3</v>
      </c>
    </row>
    <row r="868390" spans="6:6" x14ac:dyDescent="0.25">
      <c r="F868390" s="9">
        <v>4</v>
      </c>
    </row>
    <row r="868391" spans="6:6" x14ac:dyDescent="0.25">
      <c r="F868391" s="9">
        <v>4</v>
      </c>
    </row>
    <row r="868392" spans="6:6" x14ac:dyDescent="0.25">
      <c r="F868392" s="9">
        <v>5</v>
      </c>
    </row>
    <row r="868393" spans="6:6" x14ac:dyDescent="0.25">
      <c r="F868393" s="9">
        <v>5</v>
      </c>
    </row>
    <row r="868394" spans="6:6" x14ac:dyDescent="0.25">
      <c r="F868394" s="9">
        <v>2</v>
      </c>
    </row>
    <row r="868395" spans="6:6" x14ac:dyDescent="0.25">
      <c r="F868395" s="9">
        <v>6</v>
      </c>
    </row>
    <row r="868396" spans="6:6" x14ac:dyDescent="0.25">
      <c r="F868396" s="9">
        <v>7</v>
      </c>
    </row>
    <row r="868397" spans="6:6" x14ac:dyDescent="0.25">
      <c r="F868397" s="9">
        <v>3</v>
      </c>
    </row>
    <row r="868398" spans="6:6" x14ac:dyDescent="0.25">
      <c r="F868398" s="9">
        <v>3</v>
      </c>
    </row>
    <row r="868399" spans="6:6" x14ac:dyDescent="0.25">
      <c r="F868399" s="9">
        <v>3</v>
      </c>
    </row>
    <row r="868400" spans="6:6" x14ac:dyDescent="0.25">
      <c r="F868400" s="9">
        <v>3</v>
      </c>
    </row>
    <row r="868401" spans="6:6" x14ac:dyDescent="0.25">
      <c r="F868401" s="9">
        <v>6</v>
      </c>
    </row>
    <row r="868402" spans="6:6" x14ac:dyDescent="0.25">
      <c r="F868402" s="9">
        <v>1</v>
      </c>
    </row>
    <row r="868403" spans="6:6" x14ac:dyDescent="0.25">
      <c r="F868403" s="9">
        <v>5</v>
      </c>
    </row>
    <row r="868404" spans="6:6" x14ac:dyDescent="0.25">
      <c r="F868404" s="9">
        <v>6</v>
      </c>
    </row>
    <row r="868405" spans="6:6" x14ac:dyDescent="0.25">
      <c r="F868405" s="9">
        <v>4</v>
      </c>
    </row>
    <row r="868406" spans="6:6" x14ac:dyDescent="0.25">
      <c r="F868406" s="9">
        <v>3</v>
      </c>
    </row>
    <row r="868407" spans="6:6" x14ac:dyDescent="0.25">
      <c r="F868407" s="9">
        <v>4</v>
      </c>
    </row>
    <row r="868408" spans="6:6" x14ac:dyDescent="0.25">
      <c r="F868408" s="9">
        <v>3</v>
      </c>
    </row>
    <row r="868409" spans="6:6" x14ac:dyDescent="0.25">
      <c r="F868409" s="9">
        <v>1</v>
      </c>
    </row>
    <row r="868410" spans="6:6" x14ac:dyDescent="0.25">
      <c r="F868410" s="9">
        <v>5</v>
      </c>
    </row>
    <row r="868411" spans="6:6" x14ac:dyDescent="0.25">
      <c r="F868411" s="9">
        <v>4</v>
      </c>
    </row>
    <row r="868412" spans="6:6" x14ac:dyDescent="0.25">
      <c r="F868412" s="9">
        <v>6</v>
      </c>
    </row>
    <row r="868413" spans="6:6" x14ac:dyDescent="0.25">
      <c r="F868413" s="9">
        <v>2</v>
      </c>
    </row>
    <row r="868414" spans="6:6" x14ac:dyDescent="0.25">
      <c r="F868414" s="9">
        <v>2</v>
      </c>
    </row>
    <row r="868415" spans="6:6" x14ac:dyDescent="0.25">
      <c r="F868415" s="9">
        <v>4</v>
      </c>
    </row>
    <row r="868416" spans="6:6" x14ac:dyDescent="0.25">
      <c r="F868416" s="9">
        <v>3</v>
      </c>
    </row>
    <row r="868417" spans="6:6" x14ac:dyDescent="0.25">
      <c r="F868417" s="9">
        <v>2</v>
      </c>
    </row>
    <row r="868418" spans="6:6" x14ac:dyDescent="0.25">
      <c r="F868418" s="9">
        <v>7</v>
      </c>
    </row>
    <row r="868419" spans="6:6" x14ac:dyDescent="0.25">
      <c r="F868419" s="9">
        <v>8</v>
      </c>
    </row>
    <row r="868420" spans="6:6" x14ac:dyDescent="0.25">
      <c r="F868420" s="9">
        <v>7</v>
      </c>
    </row>
    <row r="868421" spans="6:6" x14ac:dyDescent="0.25">
      <c r="F868421" s="9">
        <v>6</v>
      </c>
    </row>
    <row r="868422" spans="6:6" x14ac:dyDescent="0.25">
      <c r="F868422" s="9">
        <v>3</v>
      </c>
    </row>
    <row r="868423" spans="6:6" x14ac:dyDescent="0.25">
      <c r="F868423" s="9">
        <v>6</v>
      </c>
    </row>
    <row r="868424" spans="6:6" x14ac:dyDescent="0.25">
      <c r="F868424" s="9">
        <v>3</v>
      </c>
    </row>
    <row r="868425" spans="6:6" x14ac:dyDescent="0.25">
      <c r="F868425" s="9">
        <v>2</v>
      </c>
    </row>
    <row r="868426" spans="6:6" x14ac:dyDescent="0.25">
      <c r="F868426" s="9">
        <v>5</v>
      </c>
    </row>
    <row r="868427" spans="6:6" x14ac:dyDescent="0.25">
      <c r="F868427" s="9">
        <v>3</v>
      </c>
    </row>
    <row r="868428" spans="6:6" x14ac:dyDescent="0.25">
      <c r="F868428" s="9">
        <v>4</v>
      </c>
    </row>
    <row r="868429" spans="6:6" x14ac:dyDescent="0.25">
      <c r="F868429" s="9">
        <v>2</v>
      </c>
    </row>
    <row r="868430" spans="6:6" x14ac:dyDescent="0.25">
      <c r="F868430" s="9">
        <v>4</v>
      </c>
    </row>
    <row r="868431" spans="6:6" x14ac:dyDescent="0.25">
      <c r="F868431" s="9">
        <v>3</v>
      </c>
    </row>
    <row r="868432" spans="6:6" x14ac:dyDescent="0.25">
      <c r="F868432" s="9">
        <v>3</v>
      </c>
    </row>
    <row r="868433" spans="6:6" x14ac:dyDescent="0.25">
      <c r="F868433" s="9">
        <v>4</v>
      </c>
    </row>
    <row r="868434" spans="6:6" x14ac:dyDescent="0.25">
      <c r="F868434" s="9">
        <v>3</v>
      </c>
    </row>
    <row r="868435" spans="6:6" x14ac:dyDescent="0.25">
      <c r="F868435" s="9">
        <v>2</v>
      </c>
    </row>
    <row r="868436" spans="6:6" x14ac:dyDescent="0.25">
      <c r="F868436" s="9">
        <v>3</v>
      </c>
    </row>
    <row r="868437" spans="6:6" x14ac:dyDescent="0.25">
      <c r="F868437" s="9">
        <v>7</v>
      </c>
    </row>
    <row r="868438" spans="6:6" x14ac:dyDescent="0.25">
      <c r="F868438" s="9">
        <v>6</v>
      </c>
    </row>
    <row r="868439" spans="6:6" x14ac:dyDescent="0.25">
      <c r="F868439" s="9">
        <v>5</v>
      </c>
    </row>
    <row r="868440" spans="6:6" x14ac:dyDescent="0.25">
      <c r="F868440" s="9">
        <v>5</v>
      </c>
    </row>
    <row r="868441" spans="6:6" x14ac:dyDescent="0.25">
      <c r="F868441" s="9">
        <v>4</v>
      </c>
    </row>
    <row r="868442" spans="6:6" x14ac:dyDescent="0.25">
      <c r="F868442" s="9">
        <v>5</v>
      </c>
    </row>
    <row r="868443" spans="6:6" x14ac:dyDescent="0.25">
      <c r="F868443" s="9">
        <v>5</v>
      </c>
    </row>
    <row r="868444" spans="6:6" x14ac:dyDescent="0.25">
      <c r="F868444" s="9">
        <v>2</v>
      </c>
    </row>
    <row r="868445" spans="6:6" x14ac:dyDescent="0.25">
      <c r="F868445" s="9">
        <v>3</v>
      </c>
    </row>
    <row r="868446" spans="6:6" x14ac:dyDescent="0.25">
      <c r="F868446" s="9">
        <v>2</v>
      </c>
    </row>
    <row r="868447" spans="6:6" x14ac:dyDescent="0.25">
      <c r="F868447" s="9">
        <v>3</v>
      </c>
    </row>
    <row r="868448" spans="6:6" x14ac:dyDescent="0.25">
      <c r="F868448" s="9">
        <v>4</v>
      </c>
    </row>
    <row r="868449" spans="6:6" x14ac:dyDescent="0.25">
      <c r="F868449" s="9">
        <v>4</v>
      </c>
    </row>
    <row r="868450" spans="6:6" x14ac:dyDescent="0.25">
      <c r="F868450" s="9">
        <v>2</v>
      </c>
    </row>
    <row r="868451" spans="6:6" x14ac:dyDescent="0.25">
      <c r="F868451" s="9">
        <v>3</v>
      </c>
    </row>
    <row r="868452" spans="6:6" x14ac:dyDescent="0.25">
      <c r="F868452" s="9">
        <v>3</v>
      </c>
    </row>
    <row r="868453" spans="6:6" x14ac:dyDescent="0.25">
      <c r="F868453" s="9">
        <v>3</v>
      </c>
    </row>
    <row r="868454" spans="6:6" x14ac:dyDescent="0.25">
      <c r="F868454" s="9">
        <v>2</v>
      </c>
    </row>
    <row r="868455" spans="6:6" x14ac:dyDescent="0.25">
      <c r="F868455" s="9">
        <v>3</v>
      </c>
    </row>
    <row r="868456" spans="6:6" x14ac:dyDescent="0.25">
      <c r="F868456" s="9">
        <v>3</v>
      </c>
    </row>
    <row r="868457" spans="6:6" x14ac:dyDescent="0.25">
      <c r="F868457" s="9">
        <v>3</v>
      </c>
    </row>
    <row r="868458" spans="6:6" x14ac:dyDescent="0.25">
      <c r="F868458" s="9">
        <v>4</v>
      </c>
    </row>
    <row r="868459" spans="6:6" x14ac:dyDescent="0.25">
      <c r="F868459" s="9">
        <v>4</v>
      </c>
    </row>
    <row r="868460" spans="6:6" x14ac:dyDescent="0.25">
      <c r="F868460" s="9">
        <v>2</v>
      </c>
    </row>
    <row r="868461" spans="6:6" x14ac:dyDescent="0.25">
      <c r="F868461" s="9">
        <v>3</v>
      </c>
    </row>
    <row r="868462" spans="6:6" x14ac:dyDescent="0.25">
      <c r="F868462" s="9">
        <v>1</v>
      </c>
    </row>
    <row r="868463" spans="6:6" x14ac:dyDescent="0.25">
      <c r="F868463" s="9">
        <v>1</v>
      </c>
    </row>
    <row r="868464" spans="6:6" x14ac:dyDescent="0.25">
      <c r="F868464" s="9">
        <v>1</v>
      </c>
    </row>
    <row r="868465" spans="6:6" x14ac:dyDescent="0.25">
      <c r="F868465" s="9" t="s">
        <v>133</v>
      </c>
    </row>
    <row r="868466" spans="6:6" x14ac:dyDescent="0.25">
      <c r="F868466" s="6" t="s">
        <v>172</v>
      </c>
    </row>
    <row r="868467" spans="6:6" x14ac:dyDescent="0.25">
      <c r="F868467" s="9" t="s">
        <v>263</v>
      </c>
    </row>
    <row r="868468" spans="6:6" x14ac:dyDescent="0.25">
      <c r="F868468" s="33" t="s">
        <v>264</v>
      </c>
    </row>
    <row r="884737" spans="6:6" x14ac:dyDescent="0.25">
      <c r="F884737" s="84"/>
    </row>
    <row r="884738" spans="6:6" x14ac:dyDescent="0.25">
      <c r="F884738" s="46"/>
    </row>
    <row r="884739" spans="6:6" x14ac:dyDescent="0.25">
      <c r="F884739" s="9">
        <v>4</v>
      </c>
    </row>
    <row r="884740" spans="6:6" x14ac:dyDescent="0.25">
      <c r="F884740" s="9">
        <v>6</v>
      </c>
    </row>
    <row r="884741" spans="6:6" x14ac:dyDescent="0.25">
      <c r="F884741" s="9">
        <v>6</v>
      </c>
    </row>
    <row r="884742" spans="6:6" x14ac:dyDescent="0.25">
      <c r="F884742" s="9">
        <v>6</v>
      </c>
    </row>
    <row r="884743" spans="6:6" x14ac:dyDescent="0.25">
      <c r="F884743" s="9">
        <v>4</v>
      </c>
    </row>
    <row r="884744" spans="6:6" x14ac:dyDescent="0.25">
      <c r="F884744" s="9">
        <v>4</v>
      </c>
    </row>
    <row r="884745" spans="6:6" x14ac:dyDescent="0.25">
      <c r="F884745" s="9">
        <v>5</v>
      </c>
    </row>
    <row r="884746" spans="6:6" x14ac:dyDescent="0.25">
      <c r="F884746" s="9">
        <v>5</v>
      </c>
    </row>
    <row r="884747" spans="6:6" x14ac:dyDescent="0.25">
      <c r="F884747" s="9">
        <v>10</v>
      </c>
    </row>
    <row r="884748" spans="6:6" x14ac:dyDescent="0.25">
      <c r="F884748" s="9">
        <v>8</v>
      </c>
    </row>
    <row r="884749" spans="6:6" x14ac:dyDescent="0.25">
      <c r="F884749" s="9">
        <v>9</v>
      </c>
    </row>
    <row r="884750" spans="6:6" x14ac:dyDescent="0.25">
      <c r="F884750" s="9">
        <v>8</v>
      </c>
    </row>
    <row r="884751" spans="6:6" x14ac:dyDescent="0.25">
      <c r="F884751" s="9">
        <v>8</v>
      </c>
    </row>
    <row r="884752" spans="6:6" x14ac:dyDescent="0.25">
      <c r="F884752" s="9">
        <v>8</v>
      </c>
    </row>
    <row r="884753" spans="6:6" x14ac:dyDescent="0.25">
      <c r="F884753" s="9">
        <v>8</v>
      </c>
    </row>
    <row r="884754" spans="6:6" x14ac:dyDescent="0.25">
      <c r="F884754" s="9">
        <v>5</v>
      </c>
    </row>
    <row r="884755" spans="6:6" x14ac:dyDescent="0.25">
      <c r="F884755" s="9">
        <v>5</v>
      </c>
    </row>
    <row r="884756" spans="6:6" x14ac:dyDescent="0.25">
      <c r="F884756" s="9">
        <v>7</v>
      </c>
    </row>
    <row r="884757" spans="6:6" x14ac:dyDescent="0.25">
      <c r="F884757" s="9">
        <v>5</v>
      </c>
    </row>
    <row r="884758" spans="6:6" x14ac:dyDescent="0.25">
      <c r="F884758" s="9">
        <v>5</v>
      </c>
    </row>
    <row r="884759" spans="6:6" x14ac:dyDescent="0.25">
      <c r="F884759" s="9">
        <v>5</v>
      </c>
    </row>
    <row r="884760" spans="6:6" x14ac:dyDescent="0.25">
      <c r="F884760" s="9">
        <v>4</v>
      </c>
    </row>
    <row r="884761" spans="6:6" x14ac:dyDescent="0.25">
      <c r="F884761" s="9">
        <v>6</v>
      </c>
    </row>
    <row r="884762" spans="6:6" x14ac:dyDescent="0.25">
      <c r="F884762" s="9">
        <v>4</v>
      </c>
    </row>
    <row r="884763" spans="6:6" x14ac:dyDescent="0.25">
      <c r="F884763" s="9">
        <v>4</v>
      </c>
    </row>
    <row r="884764" spans="6:6" x14ac:dyDescent="0.25">
      <c r="F884764" s="9">
        <v>6</v>
      </c>
    </row>
    <row r="884765" spans="6:6" x14ac:dyDescent="0.25">
      <c r="F884765" s="9">
        <v>4</v>
      </c>
    </row>
    <row r="884766" spans="6:6" x14ac:dyDescent="0.25">
      <c r="F884766" s="9">
        <v>6</v>
      </c>
    </row>
    <row r="884767" spans="6:6" x14ac:dyDescent="0.25">
      <c r="F884767" s="9">
        <v>4</v>
      </c>
    </row>
    <row r="884768" spans="6:6" x14ac:dyDescent="0.25">
      <c r="F884768" s="9">
        <v>6</v>
      </c>
    </row>
    <row r="884769" spans="6:6" x14ac:dyDescent="0.25">
      <c r="F884769" s="9">
        <v>4</v>
      </c>
    </row>
    <row r="884770" spans="6:6" x14ac:dyDescent="0.25">
      <c r="F884770" s="9">
        <v>6</v>
      </c>
    </row>
    <row r="884771" spans="6:6" x14ac:dyDescent="0.25">
      <c r="F884771" s="9">
        <v>6</v>
      </c>
    </row>
    <row r="884772" spans="6:6" x14ac:dyDescent="0.25">
      <c r="F884772" s="9">
        <v>5</v>
      </c>
    </row>
    <row r="884773" spans="6:6" x14ac:dyDescent="0.25">
      <c r="F884773" s="9">
        <v>3</v>
      </c>
    </row>
    <row r="884774" spans="6:6" x14ac:dyDescent="0.25">
      <c r="F884774" s="9">
        <v>4</v>
      </c>
    </row>
    <row r="884775" spans="6:6" x14ac:dyDescent="0.25">
      <c r="F884775" s="9">
        <v>4</v>
      </c>
    </row>
    <row r="884776" spans="6:6" x14ac:dyDescent="0.25">
      <c r="F884776" s="9">
        <v>5</v>
      </c>
    </row>
    <row r="884777" spans="6:6" x14ac:dyDescent="0.25">
      <c r="F884777" s="9">
        <v>5</v>
      </c>
    </row>
    <row r="884778" spans="6:6" x14ac:dyDescent="0.25">
      <c r="F884778" s="9">
        <v>2</v>
      </c>
    </row>
    <row r="884779" spans="6:6" x14ac:dyDescent="0.25">
      <c r="F884779" s="9">
        <v>6</v>
      </c>
    </row>
    <row r="884780" spans="6:6" x14ac:dyDescent="0.25">
      <c r="F884780" s="9">
        <v>7</v>
      </c>
    </row>
    <row r="884781" spans="6:6" x14ac:dyDescent="0.25">
      <c r="F884781" s="9">
        <v>3</v>
      </c>
    </row>
    <row r="884782" spans="6:6" x14ac:dyDescent="0.25">
      <c r="F884782" s="9">
        <v>3</v>
      </c>
    </row>
    <row r="884783" spans="6:6" x14ac:dyDescent="0.25">
      <c r="F884783" s="9">
        <v>3</v>
      </c>
    </row>
    <row r="884784" spans="6:6" x14ac:dyDescent="0.25">
      <c r="F884784" s="9">
        <v>3</v>
      </c>
    </row>
    <row r="884785" spans="6:6" x14ac:dyDescent="0.25">
      <c r="F884785" s="9">
        <v>6</v>
      </c>
    </row>
    <row r="884786" spans="6:6" x14ac:dyDescent="0.25">
      <c r="F884786" s="9">
        <v>1</v>
      </c>
    </row>
    <row r="884787" spans="6:6" x14ac:dyDescent="0.25">
      <c r="F884787" s="9">
        <v>5</v>
      </c>
    </row>
    <row r="884788" spans="6:6" x14ac:dyDescent="0.25">
      <c r="F884788" s="9">
        <v>6</v>
      </c>
    </row>
    <row r="884789" spans="6:6" x14ac:dyDescent="0.25">
      <c r="F884789" s="9">
        <v>4</v>
      </c>
    </row>
    <row r="884790" spans="6:6" x14ac:dyDescent="0.25">
      <c r="F884790" s="9">
        <v>3</v>
      </c>
    </row>
    <row r="884791" spans="6:6" x14ac:dyDescent="0.25">
      <c r="F884791" s="9">
        <v>4</v>
      </c>
    </row>
    <row r="884792" spans="6:6" x14ac:dyDescent="0.25">
      <c r="F884792" s="9">
        <v>3</v>
      </c>
    </row>
    <row r="884793" spans="6:6" x14ac:dyDescent="0.25">
      <c r="F884793" s="9">
        <v>1</v>
      </c>
    </row>
    <row r="884794" spans="6:6" x14ac:dyDescent="0.25">
      <c r="F884794" s="9">
        <v>5</v>
      </c>
    </row>
    <row r="884795" spans="6:6" x14ac:dyDescent="0.25">
      <c r="F884795" s="9">
        <v>4</v>
      </c>
    </row>
    <row r="884796" spans="6:6" x14ac:dyDescent="0.25">
      <c r="F884796" s="9">
        <v>6</v>
      </c>
    </row>
    <row r="884797" spans="6:6" x14ac:dyDescent="0.25">
      <c r="F884797" s="9">
        <v>2</v>
      </c>
    </row>
    <row r="884798" spans="6:6" x14ac:dyDescent="0.25">
      <c r="F884798" s="9">
        <v>2</v>
      </c>
    </row>
    <row r="884799" spans="6:6" x14ac:dyDescent="0.25">
      <c r="F884799" s="9">
        <v>4</v>
      </c>
    </row>
    <row r="884800" spans="6:6" x14ac:dyDescent="0.25">
      <c r="F884800" s="9">
        <v>3</v>
      </c>
    </row>
    <row r="884801" spans="6:6" x14ac:dyDescent="0.25">
      <c r="F884801" s="9">
        <v>2</v>
      </c>
    </row>
    <row r="884802" spans="6:6" x14ac:dyDescent="0.25">
      <c r="F884802" s="9">
        <v>7</v>
      </c>
    </row>
    <row r="884803" spans="6:6" x14ac:dyDescent="0.25">
      <c r="F884803" s="9">
        <v>8</v>
      </c>
    </row>
    <row r="884804" spans="6:6" x14ac:dyDescent="0.25">
      <c r="F884804" s="9">
        <v>7</v>
      </c>
    </row>
    <row r="884805" spans="6:6" x14ac:dyDescent="0.25">
      <c r="F884805" s="9">
        <v>6</v>
      </c>
    </row>
    <row r="884806" spans="6:6" x14ac:dyDescent="0.25">
      <c r="F884806" s="9">
        <v>3</v>
      </c>
    </row>
    <row r="884807" spans="6:6" x14ac:dyDescent="0.25">
      <c r="F884807" s="9">
        <v>6</v>
      </c>
    </row>
    <row r="884808" spans="6:6" x14ac:dyDescent="0.25">
      <c r="F884808" s="9">
        <v>3</v>
      </c>
    </row>
    <row r="884809" spans="6:6" x14ac:dyDescent="0.25">
      <c r="F884809" s="9">
        <v>2</v>
      </c>
    </row>
    <row r="884810" spans="6:6" x14ac:dyDescent="0.25">
      <c r="F884810" s="9">
        <v>5</v>
      </c>
    </row>
    <row r="884811" spans="6:6" x14ac:dyDescent="0.25">
      <c r="F884811" s="9">
        <v>3</v>
      </c>
    </row>
    <row r="884812" spans="6:6" x14ac:dyDescent="0.25">
      <c r="F884812" s="9">
        <v>4</v>
      </c>
    </row>
    <row r="884813" spans="6:6" x14ac:dyDescent="0.25">
      <c r="F884813" s="9">
        <v>2</v>
      </c>
    </row>
    <row r="884814" spans="6:6" x14ac:dyDescent="0.25">
      <c r="F884814" s="9">
        <v>4</v>
      </c>
    </row>
    <row r="884815" spans="6:6" x14ac:dyDescent="0.25">
      <c r="F884815" s="9">
        <v>3</v>
      </c>
    </row>
    <row r="884816" spans="6:6" x14ac:dyDescent="0.25">
      <c r="F884816" s="9">
        <v>3</v>
      </c>
    </row>
    <row r="884817" spans="6:6" x14ac:dyDescent="0.25">
      <c r="F884817" s="9">
        <v>4</v>
      </c>
    </row>
    <row r="884818" spans="6:6" x14ac:dyDescent="0.25">
      <c r="F884818" s="9">
        <v>3</v>
      </c>
    </row>
    <row r="884819" spans="6:6" x14ac:dyDescent="0.25">
      <c r="F884819" s="9">
        <v>2</v>
      </c>
    </row>
    <row r="884820" spans="6:6" x14ac:dyDescent="0.25">
      <c r="F884820" s="9">
        <v>3</v>
      </c>
    </row>
    <row r="884821" spans="6:6" x14ac:dyDescent="0.25">
      <c r="F884821" s="9">
        <v>7</v>
      </c>
    </row>
    <row r="884822" spans="6:6" x14ac:dyDescent="0.25">
      <c r="F884822" s="9">
        <v>6</v>
      </c>
    </row>
    <row r="884823" spans="6:6" x14ac:dyDescent="0.25">
      <c r="F884823" s="9">
        <v>5</v>
      </c>
    </row>
    <row r="884824" spans="6:6" x14ac:dyDescent="0.25">
      <c r="F884824" s="9">
        <v>5</v>
      </c>
    </row>
    <row r="884825" spans="6:6" x14ac:dyDescent="0.25">
      <c r="F884825" s="9">
        <v>4</v>
      </c>
    </row>
    <row r="884826" spans="6:6" x14ac:dyDescent="0.25">
      <c r="F884826" s="9">
        <v>5</v>
      </c>
    </row>
    <row r="884827" spans="6:6" x14ac:dyDescent="0.25">
      <c r="F884827" s="9">
        <v>5</v>
      </c>
    </row>
    <row r="884828" spans="6:6" x14ac:dyDescent="0.25">
      <c r="F884828" s="9">
        <v>2</v>
      </c>
    </row>
    <row r="884829" spans="6:6" x14ac:dyDescent="0.25">
      <c r="F884829" s="9">
        <v>3</v>
      </c>
    </row>
    <row r="884830" spans="6:6" x14ac:dyDescent="0.25">
      <c r="F884830" s="9">
        <v>2</v>
      </c>
    </row>
    <row r="884831" spans="6:6" x14ac:dyDescent="0.25">
      <c r="F884831" s="9">
        <v>3</v>
      </c>
    </row>
    <row r="884832" spans="6:6" x14ac:dyDescent="0.25">
      <c r="F884832" s="9">
        <v>4</v>
      </c>
    </row>
    <row r="884833" spans="6:6" x14ac:dyDescent="0.25">
      <c r="F884833" s="9">
        <v>4</v>
      </c>
    </row>
    <row r="884834" spans="6:6" x14ac:dyDescent="0.25">
      <c r="F884834" s="9">
        <v>2</v>
      </c>
    </row>
    <row r="884835" spans="6:6" x14ac:dyDescent="0.25">
      <c r="F884835" s="9">
        <v>3</v>
      </c>
    </row>
    <row r="884836" spans="6:6" x14ac:dyDescent="0.25">
      <c r="F884836" s="9">
        <v>3</v>
      </c>
    </row>
    <row r="884837" spans="6:6" x14ac:dyDescent="0.25">
      <c r="F884837" s="9">
        <v>3</v>
      </c>
    </row>
    <row r="884838" spans="6:6" x14ac:dyDescent="0.25">
      <c r="F884838" s="9">
        <v>2</v>
      </c>
    </row>
    <row r="884839" spans="6:6" x14ac:dyDescent="0.25">
      <c r="F884839" s="9">
        <v>3</v>
      </c>
    </row>
    <row r="884840" spans="6:6" x14ac:dyDescent="0.25">
      <c r="F884840" s="9">
        <v>3</v>
      </c>
    </row>
    <row r="884841" spans="6:6" x14ac:dyDescent="0.25">
      <c r="F884841" s="9">
        <v>3</v>
      </c>
    </row>
    <row r="884842" spans="6:6" x14ac:dyDescent="0.25">
      <c r="F884842" s="9">
        <v>4</v>
      </c>
    </row>
    <row r="884843" spans="6:6" x14ac:dyDescent="0.25">
      <c r="F884843" s="9">
        <v>4</v>
      </c>
    </row>
    <row r="884844" spans="6:6" x14ac:dyDescent="0.25">
      <c r="F884844" s="9">
        <v>2</v>
      </c>
    </row>
    <row r="884845" spans="6:6" x14ac:dyDescent="0.25">
      <c r="F884845" s="9">
        <v>3</v>
      </c>
    </row>
    <row r="884846" spans="6:6" x14ac:dyDescent="0.25">
      <c r="F884846" s="9">
        <v>1</v>
      </c>
    </row>
    <row r="884847" spans="6:6" x14ac:dyDescent="0.25">
      <c r="F884847" s="9">
        <v>1</v>
      </c>
    </row>
    <row r="884848" spans="6:6" x14ac:dyDescent="0.25">
      <c r="F884848" s="9">
        <v>1</v>
      </c>
    </row>
    <row r="884849" spans="6:6" x14ac:dyDescent="0.25">
      <c r="F884849" s="9" t="s">
        <v>133</v>
      </c>
    </row>
    <row r="884850" spans="6:6" x14ac:dyDescent="0.25">
      <c r="F884850" s="6" t="s">
        <v>172</v>
      </c>
    </row>
    <row r="884851" spans="6:6" x14ac:dyDescent="0.25">
      <c r="F884851" s="9" t="s">
        <v>263</v>
      </c>
    </row>
    <row r="884852" spans="6:6" x14ac:dyDescent="0.25">
      <c r="F884852" s="33" t="s">
        <v>264</v>
      </c>
    </row>
    <row r="901121" spans="6:6" x14ac:dyDescent="0.25">
      <c r="F901121" s="84"/>
    </row>
    <row r="901122" spans="6:6" x14ac:dyDescent="0.25">
      <c r="F901122" s="46"/>
    </row>
    <row r="901123" spans="6:6" x14ac:dyDescent="0.25">
      <c r="F901123" s="9">
        <v>4</v>
      </c>
    </row>
    <row r="901124" spans="6:6" x14ac:dyDescent="0.25">
      <c r="F901124" s="9">
        <v>6</v>
      </c>
    </row>
    <row r="901125" spans="6:6" x14ac:dyDescent="0.25">
      <c r="F901125" s="9">
        <v>6</v>
      </c>
    </row>
    <row r="901126" spans="6:6" x14ac:dyDescent="0.25">
      <c r="F901126" s="9">
        <v>6</v>
      </c>
    </row>
    <row r="901127" spans="6:6" x14ac:dyDescent="0.25">
      <c r="F901127" s="9">
        <v>4</v>
      </c>
    </row>
    <row r="901128" spans="6:6" x14ac:dyDescent="0.25">
      <c r="F901128" s="9">
        <v>4</v>
      </c>
    </row>
    <row r="901129" spans="6:6" x14ac:dyDescent="0.25">
      <c r="F901129" s="9">
        <v>5</v>
      </c>
    </row>
    <row r="901130" spans="6:6" x14ac:dyDescent="0.25">
      <c r="F901130" s="9">
        <v>5</v>
      </c>
    </row>
    <row r="901131" spans="6:6" x14ac:dyDescent="0.25">
      <c r="F901131" s="9">
        <v>10</v>
      </c>
    </row>
    <row r="901132" spans="6:6" x14ac:dyDescent="0.25">
      <c r="F901132" s="9">
        <v>8</v>
      </c>
    </row>
    <row r="901133" spans="6:6" x14ac:dyDescent="0.25">
      <c r="F901133" s="9">
        <v>9</v>
      </c>
    </row>
    <row r="901134" spans="6:6" x14ac:dyDescent="0.25">
      <c r="F901134" s="9">
        <v>8</v>
      </c>
    </row>
    <row r="901135" spans="6:6" x14ac:dyDescent="0.25">
      <c r="F901135" s="9">
        <v>8</v>
      </c>
    </row>
    <row r="901136" spans="6:6" x14ac:dyDescent="0.25">
      <c r="F901136" s="9">
        <v>8</v>
      </c>
    </row>
    <row r="901137" spans="6:6" x14ac:dyDescent="0.25">
      <c r="F901137" s="9">
        <v>8</v>
      </c>
    </row>
    <row r="901138" spans="6:6" x14ac:dyDescent="0.25">
      <c r="F901138" s="9">
        <v>5</v>
      </c>
    </row>
    <row r="901139" spans="6:6" x14ac:dyDescent="0.25">
      <c r="F901139" s="9">
        <v>5</v>
      </c>
    </row>
    <row r="901140" spans="6:6" x14ac:dyDescent="0.25">
      <c r="F901140" s="9">
        <v>7</v>
      </c>
    </row>
    <row r="901141" spans="6:6" x14ac:dyDescent="0.25">
      <c r="F901141" s="9">
        <v>5</v>
      </c>
    </row>
    <row r="901142" spans="6:6" x14ac:dyDescent="0.25">
      <c r="F901142" s="9">
        <v>5</v>
      </c>
    </row>
    <row r="901143" spans="6:6" x14ac:dyDescent="0.25">
      <c r="F901143" s="9">
        <v>5</v>
      </c>
    </row>
    <row r="901144" spans="6:6" x14ac:dyDescent="0.25">
      <c r="F901144" s="9">
        <v>4</v>
      </c>
    </row>
    <row r="901145" spans="6:6" x14ac:dyDescent="0.25">
      <c r="F901145" s="9">
        <v>6</v>
      </c>
    </row>
    <row r="901146" spans="6:6" x14ac:dyDescent="0.25">
      <c r="F901146" s="9">
        <v>4</v>
      </c>
    </row>
    <row r="901147" spans="6:6" x14ac:dyDescent="0.25">
      <c r="F901147" s="9">
        <v>4</v>
      </c>
    </row>
    <row r="901148" spans="6:6" x14ac:dyDescent="0.25">
      <c r="F901148" s="9">
        <v>6</v>
      </c>
    </row>
    <row r="901149" spans="6:6" x14ac:dyDescent="0.25">
      <c r="F901149" s="9">
        <v>4</v>
      </c>
    </row>
    <row r="901150" spans="6:6" x14ac:dyDescent="0.25">
      <c r="F901150" s="9">
        <v>6</v>
      </c>
    </row>
    <row r="901151" spans="6:6" x14ac:dyDescent="0.25">
      <c r="F901151" s="9">
        <v>4</v>
      </c>
    </row>
    <row r="901152" spans="6:6" x14ac:dyDescent="0.25">
      <c r="F901152" s="9">
        <v>6</v>
      </c>
    </row>
    <row r="901153" spans="6:6" x14ac:dyDescent="0.25">
      <c r="F901153" s="9">
        <v>4</v>
      </c>
    </row>
    <row r="901154" spans="6:6" x14ac:dyDescent="0.25">
      <c r="F901154" s="9">
        <v>6</v>
      </c>
    </row>
    <row r="901155" spans="6:6" x14ac:dyDescent="0.25">
      <c r="F901155" s="9">
        <v>6</v>
      </c>
    </row>
    <row r="901156" spans="6:6" x14ac:dyDescent="0.25">
      <c r="F901156" s="9">
        <v>5</v>
      </c>
    </row>
    <row r="901157" spans="6:6" x14ac:dyDescent="0.25">
      <c r="F901157" s="9">
        <v>3</v>
      </c>
    </row>
    <row r="901158" spans="6:6" x14ac:dyDescent="0.25">
      <c r="F901158" s="9">
        <v>4</v>
      </c>
    </row>
    <row r="901159" spans="6:6" x14ac:dyDescent="0.25">
      <c r="F901159" s="9">
        <v>4</v>
      </c>
    </row>
    <row r="901160" spans="6:6" x14ac:dyDescent="0.25">
      <c r="F901160" s="9">
        <v>5</v>
      </c>
    </row>
    <row r="901161" spans="6:6" x14ac:dyDescent="0.25">
      <c r="F901161" s="9">
        <v>5</v>
      </c>
    </row>
    <row r="901162" spans="6:6" x14ac:dyDescent="0.25">
      <c r="F901162" s="9">
        <v>2</v>
      </c>
    </row>
    <row r="901163" spans="6:6" x14ac:dyDescent="0.25">
      <c r="F901163" s="9">
        <v>6</v>
      </c>
    </row>
    <row r="901164" spans="6:6" x14ac:dyDescent="0.25">
      <c r="F901164" s="9">
        <v>7</v>
      </c>
    </row>
    <row r="901165" spans="6:6" x14ac:dyDescent="0.25">
      <c r="F901165" s="9">
        <v>3</v>
      </c>
    </row>
    <row r="901166" spans="6:6" x14ac:dyDescent="0.25">
      <c r="F901166" s="9">
        <v>3</v>
      </c>
    </row>
    <row r="901167" spans="6:6" x14ac:dyDescent="0.25">
      <c r="F901167" s="9">
        <v>3</v>
      </c>
    </row>
    <row r="901168" spans="6:6" x14ac:dyDescent="0.25">
      <c r="F901168" s="9">
        <v>3</v>
      </c>
    </row>
    <row r="901169" spans="6:6" x14ac:dyDescent="0.25">
      <c r="F901169" s="9">
        <v>6</v>
      </c>
    </row>
    <row r="901170" spans="6:6" x14ac:dyDescent="0.25">
      <c r="F901170" s="9">
        <v>1</v>
      </c>
    </row>
    <row r="901171" spans="6:6" x14ac:dyDescent="0.25">
      <c r="F901171" s="9">
        <v>5</v>
      </c>
    </row>
    <row r="901172" spans="6:6" x14ac:dyDescent="0.25">
      <c r="F901172" s="9">
        <v>6</v>
      </c>
    </row>
    <row r="901173" spans="6:6" x14ac:dyDescent="0.25">
      <c r="F901173" s="9">
        <v>4</v>
      </c>
    </row>
    <row r="901174" spans="6:6" x14ac:dyDescent="0.25">
      <c r="F901174" s="9">
        <v>3</v>
      </c>
    </row>
    <row r="901175" spans="6:6" x14ac:dyDescent="0.25">
      <c r="F901175" s="9">
        <v>4</v>
      </c>
    </row>
    <row r="901176" spans="6:6" x14ac:dyDescent="0.25">
      <c r="F901176" s="9">
        <v>3</v>
      </c>
    </row>
    <row r="901177" spans="6:6" x14ac:dyDescent="0.25">
      <c r="F901177" s="9">
        <v>1</v>
      </c>
    </row>
    <row r="901178" spans="6:6" x14ac:dyDescent="0.25">
      <c r="F901178" s="9">
        <v>5</v>
      </c>
    </row>
    <row r="901179" spans="6:6" x14ac:dyDescent="0.25">
      <c r="F901179" s="9">
        <v>4</v>
      </c>
    </row>
    <row r="901180" spans="6:6" x14ac:dyDescent="0.25">
      <c r="F901180" s="9">
        <v>6</v>
      </c>
    </row>
    <row r="901181" spans="6:6" x14ac:dyDescent="0.25">
      <c r="F901181" s="9">
        <v>2</v>
      </c>
    </row>
    <row r="901182" spans="6:6" x14ac:dyDescent="0.25">
      <c r="F901182" s="9">
        <v>2</v>
      </c>
    </row>
    <row r="901183" spans="6:6" x14ac:dyDescent="0.25">
      <c r="F901183" s="9">
        <v>4</v>
      </c>
    </row>
    <row r="901184" spans="6:6" x14ac:dyDescent="0.25">
      <c r="F901184" s="9">
        <v>3</v>
      </c>
    </row>
    <row r="901185" spans="6:6" x14ac:dyDescent="0.25">
      <c r="F901185" s="9">
        <v>2</v>
      </c>
    </row>
    <row r="901186" spans="6:6" x14ac:dyDescent="0.25">
      <c r="F901186" s="9">
        <v>7</v>
      </c>
    </row>
    <row r="901187" spans="6:6" x14ac:dyDescent="0.25">
      <c r="F901187" s="9">
        <v>8</v>
      </c>
    </row>
    <row r="901188" spans="6:6" x14ac:dyDescent="0.25">
      <c r="F901188" s="9">
        <v>7</v>
      </c>
    </row>
    <row r="901189" spans="6:6" x14ac:dyDescent="0.25">
      <c r="F901189" s="9">
        <v>6</v>
      </c>
    </row>
    <row r="901190" spans="6:6" x14ac:dyDescent="0.25">
      <c r="F901190" s="9">
        <v>3</v>
      </c>
    </row>
    <row r="901191" spans="6:6" x14ac:dyDescent="0.25">
      <c r="F901191" s="9">
        <v>6</v>
      </c>
    </row>
    <row r="901192" spans="6:6" x14ac:dyDescent="0.25">
      <c r="F901192" s="9">
        <v>3</v>
      </c>
    </row>
    <row r="901193" spans="6:6" x14ac:dyDescent="0.25">
      <c r="F901193" s="9">
        <v>2</v>
      </c>
    </row>
    <row r="901194" spans="6:6" x14ac:dyDescent="0.25">
      <c r="F901194" s="9">
        <v>5</v>
      </c>
    </row>
    <row r="901195" spans="6:6" x14ac:dyDescent="0.25">
      <c r="F901195" s="9">
        <v>3</v>
      </c>
    </row>
    <row r="901196" spans="6:6" x14ac:dyDescent="0.25">
      <c r="F901196" s="9">
        <v>4</v>
      </c>
    </row>
    <row r="901197" spans="6:6" x14ac:dyDescent="0.25">
      <c r="F901197" s="9">
        <v>2</v>
      </c>
    </row>
    <row r="901198" spans="6:6" x14ac:dyDescent="0.25">
      <c r="F901198" s="9">
        <v>4</v>
      </c>
    </row>
    <row r="901199" spans="6:6" x14ac:dyDescent="0.25">
      <c r="F901199" s="9">
        <v>3</v>
      </c>
    </row>
    <row r="901200" spans="6:6" x14ac:dyDescent="0.25">
      <c r="F901200" s="9">
        <v>3</v>
      </c>
    </row>
    <row r="901201" spans="6:6" x14ac:dyDescent="0.25">
      <c r="F901201" s="9">
        <v>4</v>
      </c>
    </row>
    <row r="901202" spans="6:6" x14ac:dyDescent="0.25">
      <c r="F901202" s="9">
        <v>3</v>
      </c>
    </row>
    <row r="901203" spans="6:6" x14ac:dyDescent="0.25">
      <c r="F901203" s="9">
        <v>2</v>
      </c>
    </row>
    <row r="901204" spans="6:6" x14ac:dyDescent="0.25">
      <c r="F901204" s="9">
        <v>3</v>
      </c>
    </row>
    <row r="901205" spans="6:6" x14ac:dyDescent="0.25">
      <c r="F901205" s="9">
        <v>7</v>
      </c>
    </row>
    <row r="901206" spans="6:6" x14ac:dyDescent="0.25">
      <c r="F901206" s="9">
        <v>6</v>
      </c>
    </row>
    <row r="901207" spans="6:6" x14ac:dyDescent="0.25">
      <c r="F901207" s="9">
        <v>5</v>
      </c>
    </row>
    <row r="901208" spans="6:6" x14ac:dyDescent="0.25">
      <c r="F901208" s="9">
        <v>5</v>
      </c>
    </row>
    <row r="901209" spans="6:6" x14ac:dyDescent="0.25">
      <c r="F901209" s="9">
        <v>4</v>
      </c>
    </row>
    <row r="901210" spans="6:6" x14ac:dyDescent="0.25">
      <c r="F901210" s="9">
        <v>5</v>
      </c>
    </row>
    <row r="901211" spans="6:6" x14ac:dyDescent="0.25">
      <c r="F901211" s="9">
        <v>5</v>
      </c>
    </row>
    <row r="901212" spans="6:6" x14ac:dyDescent="0.25">
      <c r="F901212" s="9">
        <v>2</v>
      </c>
    </row>
    <row r="901213" spans="6:6" x14ac:dyDescent="0.25">
      <c r="F901213" s="9">
        <v>3</v>
      </c>
    </row>
    <row r="901214" spans="6:6" x14ac:dyDescent="0.25">
      <c r="F901214" s="9">
        <v>2</v>
      </c>
    </row>
    <row r="901215" spans="6:6" x14ac:dyDescent="0.25">
      <c r="F901215" s="9">
        <v>3</v>
      </c>
    </row>
    <row r="901216" spans="6:6" x14ac:dyDescent="0.25">
      <c r="F901216" s="9">
        <v>4</v>
      </c>
    </row>
    <row r="901217" spans="6:6" x14ac:dyDescent="0.25">
      <c r="F901217" s="9">
        <v>4</v>
      </c>
    </row>
    <row r="901218" spans="6:6" x14ac:dyDescent="0.25">
      <c r="F901218" s="9">
        <v>2</v>
      </c>
    </row>
    <row r="901219" spans="6:6" x14ac:dyDescent="0.25">
      <c r="F901219" s="9">
        <v>3</v>
      </c>
    </row>
    <row r="901220" spans="6:6" x14ac:dyDescent="0.25">
      <c r="F901220" s="9">
        <v>3</v>
      </c>
    </row>
    <row r="901221" spans="6:6" x14ac:dyDescent="0.25">
      <c r="F901221" s="9">
        <v>3</v>
      </c>
    </row>
    <row r="901222" spans="6:6" x14ac:dyDescent="0.25">
      <c r="F901222" s="9">
        <v>2</v>
      </c>
    </row>
    <row r="901223" spans="6:6" x14ac:dyDescent="0.25">
      <c r="F901223" s="9">
        <v>3</v>
      </c>
    </row>
    <row r="901224" spans="6:6" x14ac:dyDescent="0.25">
      <c r="F901224" s="9">
        <v>3</v>
      </c>
    </row>
    <row r="901225" spans="6:6" x14ac:dyDescent="0.25">
      <c r="F901225" s="9">
        <v>3</v>
      </c>
    </row>
    <row r="901226" spans="6:6" x14ac:dyDescent="0.25">
      <c r="F901226" s="9">
        <v>4</v>
      </c>
    </row>
    <row r="901227" spans="6:6" x14ac:dyDescent="0.25">
      <c r="F901227" s="9">
        <v>4</v>
      </c>
    </row>
    <row r="901228" spans="6:6" x14ac:dyDescent="0.25">
      <c r="F901228" s="9">
        <v>2</v>
      </c>
    </row>
    <row r="901229" spans="6:6" x14ac:dyDescent="0.25">
      <c r="F901229" s="9">
        <v>3</v>
      </c>
    </row>
    <row r="901230" spans="6:6" x14ac:dyDescent="0.25">
      <c r="F901230" s="9">
        <v>1</v>
      </c>
    </row>
    <row r="901231" spans="6:6" x14ac:dyDescent="0.25">
      <c r="F901231" s="9">
        <v>1</v>
      </c>
    </row>
    <row r="901232" spans="6:6" x14ac:dyDescent="0.25">
      <c r="F901232" s="9">
        <v>1</v>
      </c>
    </row>
    <row r="901233" spans="6:6" x14ac:dyDescent="0.25">
      <c r="F901233" s="9" t="s">
        <v>133</v>
      </c>
    </row>
    <row r="901234" spans="6:6" x14ac:dyDescent="0.25">
      <c r="F901234" s="6" t="s">
        <v>172</v>
      </c>
    </row>
    <row r="901235" spans="6:6" x14ac:dyDescent="0.25">
      <c r="F901235" s="9" t="s">
        <v>263</v>
      </c>
    </row>
    <row r="901236" spans="6:6" x14ac:dyDescent="0.25">
      <c r="F901236" s="33" t="s">
        <v>264</v>
      </c>
    </row>
    <row r="917505" spans="6:6" x14ac:dyDescent="0.25">
      <c r="F917505" s="84"/>
    </row>
    <row r="917506" spans="6:6" x14ac:dyDescent="0.25">
      <c r="F917506" s="46"/>
    </row>
    <row r="917507" spans="6:6" x14ac:dyDescent="0.25">
      <c r="F917507" s="9">
        <v>4</v>
      </c>
    </row>
    <row r="917508" spans="6:6" x14ac:dyDescent="0.25">
      <c r="F917508" s="9">
        <v>6</v>
      </c>
    </row>
    <row r="917509" spans="6:6" x14ac:dyDescent="0.25">
      <c r="F917509" s="9">
        <v>6</v>
      </c>
    </row>
    <row r="917510" spans="6:6" x14ac:dyDescent="0.25">
      <c r="F917510" s="9">
        <v>6</v>
      </c>
    </row>
    <row r="917511" spans="6:6" x14ac:dyDescent="0.25">
      <c r="F917511" s="9">
        <v>4</v>
      </c>
    </row>
    <row r="917512" spans="6:6" x14ac:dyDescent="0.25">
      <c r="F917512" s="9">
        <v>4</v>
      </c>
    </row>
    <row r="917513" spans="6:6" x14ac:dyDescent="0.25">
      <c r="F917513" s="9">
        <v>5</v>
      </c>
    </row>
    <row r="917514" spans="6:6" x14ac:dyDescent="0.25">
      <c r="F917514" s="9">
        <v>5</v>
      </c>
    </row>
    <row r="917515" spans="6:6" x14ac:dyDescent="0.25">
      <c r="F917515" s="9">
        <v>10</v>
      </c>
    </row>
    <row r="917516" spans="6:6" x14ac:dyDescent="0.25">
      <c r="F917516" s="9">
        <v>8</v>
      </c>
    </row>
    <row r="917517" spans="6:6" x14ac:dyDescent="0.25">
      <c r="F917517" s="9">
        <v>9</v>
      </c>
    </row>
    <row r="917518" spans="6:6" x14ac:dyDescent="0.25">
      <c r="F917518" s="9">
        <v>8</v>
      </c>
    </row>
    <row r="917519" spans="6:6" x14ac:dyDescent="0.25">
      <c r="F917519" s="9">
        <v>8</v>
      </c>
    </row>
    <row r="917520" spans="6:6" x14ac:dyDescent="0.25">
      <c r="F917520" s="9">
        <v>8</v>
      </c>
    </row>
    <row r="917521" spans="6:6" x14ac:dyDescent="0.25">
      <c r="F917521" s="9">
        <v>8</v>
      </c>
    </row>
    <row r="917522" spans="6:6" x14ac:dyDescent="0.25">
      <c r="F917522" s="9">
        <v>5</v>
      </c>
    </row>
    <row r="917523" spans="6:6" x14ac:dyDescent="0.25">
      <c r="F917523" s="9">
        <v>5</v>
      </c>
    </row>
    <row r="917524" spans="6:6" x14ac:dyDescent="0.25">
      <c r="F917524" s="9">
        <v>7</v>
      </c>
    </row>
    <row r="917525" spans="6:6" x14ac:dyDescent="0.25">
      <c r="F917525" s="9">
        <v>5</v>
      </c>
    </row>
    <row r="917526" spans="6:6" x14ac:dyDescent="0.25">
      <c r="F917526" s="9">
        <v>5</v>
      </c>
    </row>
    <row r="917527" spans="6:6" x14ac:dyDescent="0.25">
      <c r="F917527" s="9">
        <v>5</v>
      </c>
    </row>
    <row r="917528" spans="6:6" x14ac:dyDescent="0.25">
      <c r="F917528" s="9">
        <v>4</v>
      </c>
    </row>
    <row r="917529" spans="6:6" x14ac:dyDescent="0.25">
      <c r="F917529" s="9">
        <v>6</v>
      </c>
    </row>
    <row r="917530" spans="6:6" x14ac:dyDescent="0.25">
      <c r="F917530" s="9">
        <v>4</v>
      </c>
    </row>
    <row r="917531" spans="6:6" x14ac:dyDescent="0.25">
      <c r="F917531" s="9">
        <v>4</v>
      </c>
    </row>
    <row r="917532" spans="6:6" x14ac:dyDescent="0.25">
      <c r="F917532" s="9">
        <v>6</v>
      </c>
    </row>
    <row r="917533" spans="6:6" x14ac:dyDescent="0.25">
      <c r="F917533" s="9">
        <v>4</v>
      </c>
    </row>
    <row r="917534" spans="6:6" x14ac:dyDescent="0.25">
      <c r="F917534" s="9">
        <v>6</v>
      </c>
    </row>
    <row r="917535" spans="6:6" x14ac:dyDescent="0.25">
      <c r="F917535" s="9">
        <v>4</v>
      </c>
    </row>
    <row r="917536" spans="6:6" x14ac:dyDescent="0.25">
      <c r="F917536" s="9">
        <v>6</v>
      </c>
    </row>
    <row r="917537" spans="6:6" x14ac:dyDescent="0.25">
      <c r="F917537" s="9">
        <v>4</v>
      </c>
    </row>
    <row r="917538" spans="6:6" x14ac:dyDescent="0.25">
      <c r="F917538" s="9">
        <v>6</v>
      </c>
    </row>
    <row r="917539" spans="6:6" x14ac:dyDescent="0.25">
      <c r="F917539" s="9">
        <v>6</v>
      </c>
    </row>
    <row r="917540" spans="6:6" x14ac:dyDescent="0.25">
      <c r="F917540" s="9">
        <v>5</v>
      </c>
    </row>
    <row r="917541" spans="6:6" x14ac:dyDescent="0.25">
      <c r="F917541" s="9">
        <v>3</v>
      </c>
    </row>
    <row r="917542" spans="6:6" x14ac:dyDescent="0.25">
      <c r="F917542" s="9">
        <v>4</v>
      </c>
    </row>
    <row r="917543" spans="6:6" x14ac:dyDescent="0.25">
      <c r="F917543" s="9">
        <v>4</v>
      </c>
    </row>
    <row r="917544" spans="6:6" x14ac:dyDescent="0.25">
      <c r="F917544" s="9">
        <v>5</v>
      </c>
    </row>
    <row r="917545" spans="6:6" x14ac:dyDescent="0.25">
      <c r="F917545" s="9">
        <v>5</v>
      </c>
    </row>
    <row r="917546" spans="6:6" x14ac:dyDescent="0.25">
      <c r="F917546" s="9">
        <v>2</v>
      </c>
    </row>
    <row r="917547" spans="6:6" x14ac:dyDescent="0.25">
      <c r="F917547" s="9">
        <v>6</v>
      </c>
    </row>
    <row r="917548" spans="6:6" x14ac:dyDescent="0.25">
      <c r="F917548" s="9">
        <v>7</v>
      </c>
    </row>
    <row r="917549" spans="6:6" x14ac:dyDescent="0.25">
      <c r="F917549" s="9">
        <v>3</v>
      </c>
    </row>
    <row r="917550" spans="6:6" x14ac:dyDescent="0.25">
      <c r="F917550" s="9">
        <v>3</v>
      </c>
    </row>
    <row r="917551" spans="6:6" x14ac:dyDescent="0.25">
      <c r="F917551" s="9">
        <v>3</v>
      </c>
    </row>
    <row r="917552" spans="6:6" x14ac:dyDescent="0.25">
      <c r="F917552" s="9">
        <v>3</v>
      </c>
    </row>
    <row r="917553" spans="6:6" x14ac:dyDescent="0.25">
      <c r="F917553" s="9">
        <v>6</v>
      </c>
    </row>
    <row r="917554" spans="6:6" x14ac:dyDescent="0.25">
      <c r="F917554" s="9">
        <v>1</v>
      </c>
    </row>
    <row r="917555" spans="6:6" x14ac:dyDescent="0.25">
      <c r="F917555" s="9">
        <v>5</v>
      </c>
    </row>
    <row r="917556" spans="6:6" x14ac:dyDescent="0.25">
      <c r="F917556" s="9">
        <v>6</v>
      </c>
    </row>
    <row r="917557" spans="6:6" x14ac:dyDescent="0.25">
      <c r="F917557" s="9">
        <v>4</v>
      </c>
    </row>
    <row r="917558" spans="6:6" x14ac:dyDescent="0.25">
      <c r="F917558" s="9">
        <v>3</v>
      </c>
    </row>
    <row r="917559" spans="6:6" x14ac:dyDescent="0.25">
      <c r="F917559" s="9">
        <v>4</v>
      </c>
    </row>
    <row r="917560" spans="6:6" x14ac:dyDescent="0.25">
      <c r="F917560" s="9">
        <v>3</v>
      </c>
    </row>
    <row r="917561" spans="6:6" x14ac:dyDescent="0.25">
      <c r="F917561" s="9">
        <v>1</v>
      </c>
    </row>
    <row r="917562" spans="6:6" x14ac:dyDescent="0.25">
      <c r="F917562" s="9">
        <v>5</v>
      </c>
    </row>
    <row r="917563" spans="6:6" x14ac:dyDescent="0.25">
      <c r="F917563" s="9">
        <v>4</v>
      </c>
    </row>
    <row r="917564" spans="6:6" x14ac:dyDescent="0.25">
      <c r="F917564" s="9">
        <v>6</v>
      </c>
    </row>
    <row r="917565" spans="6:6" x14ac:dyDescent="0.25">
      <c r="F917565" s="9">
        <v>2</v>
      </c>
    </row>
    <row r="917566" spans="6:6" x14ac:dyDescent="0.25">
      <c r="F917566" s="9">
        <v>2</v>
      </c>
    </row>
    <row r="917567" spans="6:6" x14ac:dyDescent="0.25">
      <c r="F917567" s="9">
        <v>4</v>
      </c>
    </row>
    <row r="917568" spans="6:6" x14ac:dyDescent="0.25">
      <c r="F917568" s="9">
        <v>3</v>
      </c>
    </row>
    <row r="917569" spans="6:6" x14ac:dyDescent="0.25">
      <c r="F917569" s="9">
        <v>2</v>
      </c>
    </row>
    <row r="917570" spans="6:6" x14ac:dyDescent="0.25">
      <c r="F917570" s="9">
        <v>7</v>
      </c>
    </row>
    <row r="917571" spans="6:6" x14ac:dyDescent="0.25">
      <c r="F917571" s="9">
        <v>8</v>
      </c>
    </row>
    <row r="917572" spans="6:6" x14ac:dyDescent="0.25">
      <c r="F917572" s="9">
        <v>7</v>
      </c>
    </row>
    <row r="917573" spans="6:6" x14ac:dyDescent="0.25">
      <c r="F917573" s="9">
        <v>6</v>
      </c>
    </row>
    <row r="917574" spans="6:6" x14ac:dyDescent="0.25">
      <c r="F917574" s="9">
        <v>3</v>
      </c>
    </row>
    <row r="917575" spans="6:6" x14ac:dyDescent="0.25">
      <c r="F917575" s="9">
        <v>6</v>
      </c>
    </row>
    <row r="917576" spans="6:6" x14ac:dyDescent="0.25">
      <c r="F917576" s="9">
        <v>3</v>
      </c>
    </row>
    <row r="917577" spans="6:6" x14ac:dyDescent="0.25">
      <c r="F917577" s="9">
        <v>2</v>
      </c>
    </row>
    <row r="917578" spans="6:6" x14ac:dyDescent="0.25">
      <c r="F917578" s="9">
        <v>5</v>
      </c>
    </row>
    <row r="917579" spans="6:6" x14ac:dyDescent="0.25">
      <c r="F917579" s="9">
        <v>3</v>
      </c>
    </row>
    <row r="917580" spans="6:6" x14ac:dyDescent="0.25">
      <c r="F917580" s="9">
        <v>4</v>
      </c>
    </row>
    <row r="917581" spans="6:6" x14ac:dyDescent="0.25">
      <c r="F917581" s="9">
        <v>2</v>
      </c>
    </row>
    <row r="917582" spans="6:6" x14ac:dyDescent="0.25">
      <c r="F917582" s="9">
        <v>4</v>
      </c>
    </row>
    <row r="917583" spans="6:6" x14ac:dyDescent="0.25">
      <c r="F917583" s="9">
        <v>3</v>
      </c>
    </row>
    <row r="917584" spans="6:6" x14ac:dyDescent="0.25">
      <c r="F917584" s="9">
        <v>3</v>
      </c>
    </row>
    <row r="917585" spans="6:6" x14ac:dyDescent="0.25">
      <c r="F917585" s="9">
        <v>4</v>
      </c>
    </row>
    <row r="917586" spans="6:6" x14ac:dyDescent="0.25">
      <c r="F917586" s="9">
        <v>3</v>
      </c>
    </row>
    <row r="917587" spans="6:6" x14ac:dyDescent="0.25">
      <c r="F917587" s="9">
        <v>2</v>
      </c>
    </row>
    <row r="917588" spans="6:6" x14ac:dyDescent="0.25">
      <c r="F917588" s="9">
        <v>3</v>
      </c>
    </row>
    <row r="917589" spans="6:6" x14ac:dyDescent="0.25">
      <c r="F917589" s="9">
        <v>7</v>
      </c>
    </row>
    <row r="917590" spans="6:6" x14ac:dyDescent="0.25">
      <c r="F917590" s="9">
        <v>6</v>
      </c>
    </row>
    <row r="917591" spans="6:6" x14ac:dyDescent="0.25">
      <c r="F917591" s="9">
        <v>5</v>
      </c>
    </row>
    <row r="917592" spans="6:6" x14ac:dyDescent="0.25">
      <c r="F917592" s="9">
        <v>5</v>
      </c>
    </row>
    <row r="917593" spans="6:6" x14ac:dyDescent="0.25">
      <c r="F917593" s="9">
        <v>4</v>
      </c>
    </row>
    <row r="917594" spans="6:6" x14ac:dyDescent="0.25">
      <c r="F917594" s="9">
        <v>5</v>
      </c>
    </row>
    <row r="917595" spans="6:6" x14ac:dyDescent="0.25">
      <c r="F917595" s="9">
        <v>5</v>
      </c>
    </row>
    <row r="917596" spans="6:6" x14ac:dyDescent="0.25">
      <c r="F917596" s="9">
        <v>2</v>
      </c>
    </row>
    <row r="917597" spans="6:6" x14ac:dyDescent="0.25">
      <c r="F917597" s="9">
        <v>3</v>
      </c>
    </row>
    <row r="917598" spans="6:6" x14ac:dyDescent="0.25">
      <c r="F917598" s="9">
        <v>2</v>
      </c>
    </row>
    <row r="917599" spans="6:6" x14ac:dyDescent="0.25">
      <c r="F917599" s="9">
        <v>3</v>
      </c>
    </row>
    <row r="917600" spans="6:6" x14ac:dyDescent="0.25">
      <c r="F917600" s="9">
        <v>4</v>
      </c>
    </row>
    <row r="917601" spans="6:6" x14ac:dyDescent="0.25">
      <c r="F917601" s="9">
        <v>4</v>
      </c>
    </row>
    <row r="917602" spans="6:6" x14ac:dyDescent="0.25">
      <c r="F917602" s="9">
        <v>2</v>
      </c>
    </row>
    <row r="917603" spans="6:6" x14ac:dyDescent="0.25">
      <c r="F917603" s="9">
        <v>3</v>
      </c>
    </row>
    <row r="917604" spans="6:6" x14ac:dyDescent="0.25">
      <c r="F917604" s="9">
        <v>3</v>
      </c>
    </row>
    <row r="917605" spans="6:6" x14ac:dyDescent="0.25">
      <c r="F917605" s="9">
        <v>3</v>
      </c>
    </row>
    <row r="917606" spans="6:6" x14ac:dyDescent="0.25">
      <c r="F917606" s="9">
        <v>2</v>
      </c>
    </row>
    <row r="917607" spans="6:6" x14ac:dyDescent="0.25">
      <c r="F917607" s="9">
        <v>3</v>
      </c>
    </row>
    <row r="917608" spans="6:6" x14ac:dyDescent="0.25">
      <c r="F917608" s="9">
        <v>3</v>
      </c>
    </row>
    <row r="917609" spans="6:6" x14ac:dyDescent="0.25">
      <c r="F917609" s="9">
        <v>3</v>
      </c>
    </row>
    <row r="917610" spans="6:6" x14ac:dyDescent="0.25">
      <c r="F917610" s="9">
        <v>4</v>
      </c>
    </row>
    <row r="917611" spans="6:6" x14ac:dyDescent="0.25">
      <c r="F917611" s="9">
        <v>4</v>
      </c>
    </row>
    <row r="917612" spans="6:6" x14ac:dyDescent="0.25">
      <c r="F917612" s="9">
        <v>2</v>
      </c>
    </row>
    <row r="917613" spans="6:6" x14ac:dyDescent="0.25">
      <c r="F917613" s="9">
        <v>3</v>
      </c>
    </row>
    <row r="917614" spans="6:6" x14ac:dyDescent="0.25">
      <c r="F917614" s="9">
        <v>1</v>
      </c>
    </row>
    <row r="917615" spans="6:6" x14ac:dyDescent="0.25">
      <c r="F917615" s="9">
        <v>1</v>
      </c>
    </row>
    <row r="917616" spans="6:6" x14ac:dyDescent="0.25">
      <c r="F917616" s="9">
        <v>1</v>
      </c>
    </row>
    <row r="917617" spans="6:6" x14ac:dyDescent="0.25">
      <c r="F917617" s="9" t="s">
        <v>133</v>
      </c>
    </row>
    <row r="917618" spans="6:6" x14ac:dyDescent="0.25">
      <c r="F917618" s="6" t="s">
        <v>172</v>
      </c>
    </row>
    <row r="917619" spans="6:6" x14ac:dyDescent="0.25">
      <c r="F917619" s="9" t="s">
        <v>263</v>
      </c>
    </row>
    <row r="917620" spans="6:6" x14ac:dyDescent="0.25">
      <c r="F917620" s="33" t="s">
        <v>264</v>
      </c>
    </row>
    <row r="933889" spans="6:6" x14ac:dyDescent="0.25">
      <c r="F933889" s="84"/>
    </row>
    <row r="933890" spans="6:6" x14ac:dyDescent="0.25">
      <c r="F933890" s="46"/>
    </row>
    <row r="933891" spans="6:6" x14ac:dyDescent="0.25">
      <c r="F933891" s="9">
        <v>4</v>
      </c>
    </row>
    <row r="933892" spans="6:6" x14ac:dyDescent="0.25">
      <c r="F933892" s="9">
        <v>6</v>
      </c>
    </row>
    <row r="933893" spans="6:6" x14ac:dyDescent="0.25">
      <c r="F933893" s="9">
        <v>6</v>
      </c>
    </row>
    <row r="933894" spans="6:6" x14ac:dyDescent="0.25">
      <c r="F933894" s="9">
        <v>6</v>
      </c>
    </row>
    <row r="933895" spans="6:6" x14ac:dyDescent="0.25">
      <c r="F933895" s="9">
        <v>4</v>
      </c>
    </row>
    <row r="933896" spans="6:6" x14ac:dyDescent="0.25">
      <c r="F933896" s="9">
        <v>4</v>
      </c>
    </row>
    <row r="933897" spans="6:6" x14ac:dyDescent="0.25">
      <c r="F933897" s="9">
        <v>5</v>
      </c>
    </row>
    <row r="933898" spans="6:6" x14ac:dyDescent="0.25">
      <c r="F933898" s="9">
        <v>5</v>
      </c>
    </row>
    <row r="933899" spans="6:6" x14ac:dyDescent="0.25">
      <c r="F933899" s="9">
        <v>10</v>
      </c>
    </row>
    <row r="933900" spans="6:6" x14ac:dyDescent="0.25">
      <c r="F933900" s="9">
        <v>8</v>
      </c>
    </row>
    <row r="933901" spans="6:6" x14ac:dyDescent="0.25">
      <c r="F933901" s="9">
        <v>9</v>
      </c>
    </row>
    <row r="933902" spans="6:6" x14ac:dyDescent="0.25">
      <c r="F933902" s="9">
        <v>8</v>
      </c>
    </row>
    <row r="933903" spans="6:6" x14ac:dyDescent="0.25">
      <c r="F933903" s="9">
        <v>8</v>
      </c>
    </row>
    <row r="933904" spans="6:6" x14ac:dyDescent="0.25">
      <c r="F933904" s="9">
        <v>8</v>
      </c>
    </row>
    <row r="933905" spans="6:6" x14ac:dyDescent="0.25">
      <c r="F933905" s="9">
        <v>8</v>
      </c>
    </row>
    <row r="933906" spans="6:6" x14ac:dyDescent="0.25">
      <c r="F933906" s="9">
        <v>5</v>
      </c>
    </row>
    <row r="933907" spans="6:6" x14ac:dyDescent="0.25">
      <c r="F933907" s="9">
        <v>5</v>
      </c>
    </row>
    <row r="933908" spans="6:6" x14ac:dyDescent="0.25">
      <c r="F933908" s="9">
        <v>7</v>
      </c>
    </row>
    <row r="933909" spans="6:6" x14ac:dyDescent="0.25">
      <c r="F933909" s="9">
        <v>5</v>
      </c>
    </row>
    <row r="933910" spans="6:6" x14ac:dyDescent="0.25">
      <c r="F933910" s="9">
        <v>5</v>
      </c>
    </row>
    <row r="933911" spans="6:6" x14ac:dyDescent="0.25">
      <c r="F933911" s="9">
        <v>5</v>
      </c>
    </row>
    <row r="933912" spans="6:6" x14ac:dyDescent="0.25">
      <c r="F933912" s="9">
        <v>4</v>
      </c>
    </row>
    <row r="933913" spans="6:6" x14ac:dyDescent="0.25">
      <c r="F933913" s="9">
        <v>6</v>
      </c>
    </row>
    <row r="933914" spans="6:6" x14ac:dyDescent="0.25">
      <c r="F933914" s="9">
        <v>4</v>
      </c>
    </row>
    <row r="933915" spans="6:6" x14ac:dyDescent="0.25">
      <c r="F933915" s="9">
        <v>4</v>
      </c>
    </row>
    <row r="933916" spans="6:6" x14ac:dyDescent="0.25">
      <c r="F933916" s="9">
        <v>6</v>
      </c>
    </row>
    <row r="933917" spans="6:6" x14ac:dyDescent="0.25">
      <c r="F933917" s="9">
        <v>4</v>
      </c>
    </row>
    <row r="933918" spans="6:6" x14ac:dyDescent="0.25">
      <c r="F933918" s="9">
        <v>6</v>
      </c>
    </row>
    <row r="933919" spans="6:6" x14ac:dyDescent="0.25">
      <c r="F933919" s="9">
        <v>4</v>
      </c>
    </row>
    <row r="933920" spans="6:6" x14ac:dyDescent="0.25">
      <c r="F933920" s="9">
        <v>6</v>
      </c>
    </row>
    <row r="933921" spans="6:6" x14ac:dyDescent="0.25">
      <c r="F933921" s="9">
        <v>4</v>
      </c>
    </row>
    <row r="933922" spans="6:6" x14ac:dyDescent="0.25">
      <c r="F933922" s="9">
        <v>6</v>
      </c>
    </row>
    <row r="933923" spans="6:6" x14ac:dyDescent="0.25">
      <c r="F933923" s="9">
        <v>6</v>
      </c>
    </row>
    <row r="933924" spans="6:6" x14ac:dyDescent="0.25">
      <c r="F933924" s="9">
        <v>5</v>
      </c>
    </row>
    <row r="933925" spans="6:6" x14ac:dyDescent="0.25">
      <c r="F933925" s="9">
        <v>3</v>
      </c>
    </row>
    <row r="933926" spans="6:6" x14ac:dyDescent="0.25">
      <c r="F933926" s="9">
        <v>4</v>
      </c>
    </row>
    <row r="933927" spans="6:6" x14ac:dyDescent="0.25">
      <c r="F933927" s="9">
        <v>4</v>
      </c>
    </row>
    <row r="933928" spans="6:6" x14ac:dyDescent="0.25">
      <c r="F933928" s="9">
        <v>5</v>
      </c>
    </row>
    <row r="933929" spans="6:6" x14ac:dyDescent="0.25">
      <c r="F933929" s="9">
        <v>5</v>
      </c>
    </row>
    <row r="933930" spans="6:6" x14ac:dyDescent="0.25">
      <c r="F933930" s="9">
        <v>2</v>
      </c>
    </row>
    <row r="933931" spans="6:6" x14ac:dyDescent="0.25">
      <c r="F933931" s="9">
        <v>6</v>
      </c>
    </row>
    <row r="933932" spans="6:6" x14ac:dyDescent="0.25">
      <c r="F933932" s="9">
        <v>7</v>
      </c>
    </row>
    <row r="933933" spans="6:6" x14ac:dyDescent="0.25">
      <c r="F933933" s="9">
        <v>3</v>
      </c>
    </row>
    <row r="933934" spans="6:6" x14ac:dyDescent="0.25">
      <c r="F933934" s="9">
        <v>3</v>
      </c>
    </row>
    <row r="933935" spans="6:6" x14ac:dyDescent="0.25">
      <c r="F933935" s="9">
        <v>3</v>
      </c>
    </row>
    <row r="933936" spans="6:6" x14ac:dyDescent="0.25">
      <c r="F933936" s="9">
        <v>3</v>
      </c>
    </row>
    <row r="933937" spans="6:6" x14ac:dyDescent="0.25">
      <c r="F933937" s="9">
        <v>6</v>
      </c>
    </row>
    <row r="933938" spans="6:6" x14ac:dyDescent="0.25">
      <c r="F933938" s="9">
        <v>1</v>
      </c>
    </row>
    <row r="933939" spans="6:6" x14ac:dyDescent="0.25">
      <c r="F933939" s="9">
        <v>5</v>
      </c>
    </row>
    <row r="933940" spans="6:6" x14ac:dyDescent="0.25">
      <c r="F933940" s="9">
        <v>6</v>
      </c>
    </row>
    <row r="933941" spans="6:6" x14ac:dyDescent="0.25">
      <c r="F933941" s="9">
        <v>4</v>
      </c>
    </row>
    <row r="933942" spans="6:6" x14ac:dyDescent="0.25">
      <c r="F933942" s="9">
        <v>3</v>
      </c>
    </row>
    <row r="933943" spans="6:6" x14ac:dyDescent="0.25">
      <c r="F933943" s="9">
        <v>4</v>
      </c>
    </row>
    <row r="933944" spans="6:6" x14ac:dyDescent="0.25">
      <c r="F933944" s="9">
        <v>3</v>
      </c>
    </row>
    <row r="933945" spans="6:6" x14ac:dyDescent="0.25">
      <c r="F933945" s="9">
        <v>1</v>
      </c>
    </row>
    <row r="933946" spans="6:6" x14ac:dyDescent="0.25">
      <c r="F933946" s="9">
        <v>5</v>
      </c>
    </row>
    <row r="933947" spans="6:6" x14ac:dyDescent="0.25">
      <c r="F933947" s="9">
        <v>4</v>
      </c>
    </row>
    <row r="933948" spans="6:6" x14ac:dyDescent="0.25">
      <c r="F933948" s="9">
        <v>6</v>
      </c>
    </row>
    <row r="933949" spans="6:6" x14ac:dyDescent="0.25">
      <c r="F933949" s="9">
        <v>2</v>
      </c>
    </row>
    <row r="933950" spans="6:6" x14ac:dyDescent="0.25">
      <c r="F933950" s="9">
        <v>2</v>
      </c>
    </row>
    <row r="933951" spans="6:6" x14ac:dyDescent="0.25">
      <c r="F933951" s="9">
        <v>4</v>
      </c>
    </row>
    <row r="933952" spans="6:6" x14ac:dyDescent="0.25">
      <c r="F933952" s="9">
        <v>3</v>
      </c>
    </row>
    <row r="933953" spans="6:6" x14ac:dyDescent="0.25">
      <c r="F933953" s="9">
        <v>2</v>
      </c>
    </row>
    <row r="933954" spans="6:6" x14ac:dyDescent="0.25">
      <c r="F933954" s="9">
        <v>7</v>
      </c>
    </row>
    <row r="933955" spans="6:6" x14ac:dyDescent="0.25">
      <c r="F933955" s="9">
        <v>8</v>
      </c>
    </row>
    <row r="933956" spans="6:6" x14ac:dyDescent="0.25">
      <c r="F933956" s="9">
        <v>7</v>
      </c>
    </row>
    <row r="933957" spans="6:6" x14ac:dyDescent="0.25">
      <c r="F933957" s="9">
        <v>6</v>
      </c>
    </row>
    <row r="933958" spans="6:6" x14ac:dyDescent="0.25">
      <c r="F933958" s="9">
        <v>3</v>
      </c>
    </row>
    <row r="933959" spans="6:6" x14ac:dyDescent="0.25">
      <c r="F933959" s="9">
        <v>6</v>
      </c>
    </row>
    <row r="933960" spans="6:6" x14ac:dyDescent="0.25">
      <c r="F933960" s="9">
        <v>3</v>
      </c>
    </row>
    <row r="933961" spans="6:6" x14ac:dyDescent="0.25">
      <c r="F933961" s="9">
        <v>2</v>
      </c>
    </row>
    <row r="933962" spans="6:6" x14ac:dyDescent="0.25">
      <c r="F933962" s="9">
        <v>5</v>
      </c>
    </row>
    <row r="933963" spans="6:6" x14ac:dyDescent="0.25">
      <c r="F933963" s="9">
        <v>3</v>
      </c>
    </row>
    <row r="933964" spans="6:6" x14ac:dyDescent="0.25">
      <c r="F933964" s="9">
        <v>4</v>
      </c>
    </row>
    <row r="933965" spans="6:6" x14ac:dyDescent="0.25">
      <c r="F933965" s="9">
        <v>2</v>
      </c>
    </row>
    <row r="933966" spans="6:6" x14ac:dyDescent="0.25">
      <c r="F933966" s="9">
        <v>4</v>
      </c>
    </row>
    <row r="933967" spans="6:6" x14ac:dyDescent="0.25">
      <c r="F933967" s="9">
        <v>3</v>
      </c>
    </row>
    <row r="933968" spans="6:6" x14ac:dyDescent="0.25">
      <c r="F933968" s="9">
        <v>3</v>
      </c>
    </row>
    <row r="933969" spans="6:6" x14ac:dyDescent="0.25">
      <c r="F933969" s="9">
        <v>4</v>
      </c>
    </row>
    <row r="933970" spans="6:6" x14ac:dyDescent="0.25">
      <c r="F933970" s="9">
        <v>3</v>
      </c>
    </row>
    <row r="933971" spans="6:6" x14ac:dyDescent="0.25">
      <c r="F933971" s="9">
        <v>2</v>
      </c>
    </row>
    <row r="933972" spans="6:6" x14ac:dyDescent="0.25">
      <c r="F933972" s="9">
        <v>3</v>
      </c>
    </row>
    <row r="933973" spans="6:6" x14ac:dyDescent="0.25">
      <c r="F933973" s="9">
        <v>7</v>
      </c>
    </row>
    <row r="933974" spans="6:6" x14ac:dyDescent="0.25">
      <c r="F933974" s="9">
        <v>6</v>
      </c>
    </row>
    <row r="933975" spans="6:6" x14ac:dyDescent="0.25">
      <c r="F933975" s="9">
        <v>5</v>
      </c>
    </row>
    <row r="933976" spans="6:6" x14ac:dyDescent="0.25">
      <c r="F933976" s="9">
        <v>5</v>
      </c>
    </row>
    <row r="933977" spans="6:6" x14ac:dyDescent="0.25">
      <c r="F933977" s="9">
        <v>4</v>
      </c>
    </row>
    <row r="933978" spans="6:6" x14ac:dyDescent="0.25">
      <c r="F933978" s="9">
        <v>5</v>
      </c>
    </row>
    <row r="933979" spans="6:6" x14ac:dyDescent="0.25">
      <c r="F933979" s="9">
        <v>5</v>
      </c>
    </row>
    <row r="933980" spans="6:6" x14ac:dyDescent="0.25">
      <c r="F933980" s="9">
        <v>2</v>
      </c>
    </row>
    <row r="933981" spans="6:6" x14ac:dyDescent="0.25">
      <c r="F933981" s="9">
        <v>3</v>
      </c>
    </row>
    <row r="933982" spans="6:6" x14ac:dyDescent="0.25">
      <c r="F933982" s="9">
        <v>2</v>
      </c>
    </row>
    <row r="933983" spans="6:6" x14ac:dyDescent="0.25">
      <c r="F933983" s="9">
        <v>3</v>
      </c>
    </row>
    <row r="933984" spans="6:6" x14ac:dyDescent="0.25">
      <c r="F933984" s="9">
        <v>4</v>
      </c>
    </row>
    <row r="933985" spans="6:6" x14ac:dyDescent="0.25">
      <c r="F933985" s="9">
        <v>4</v>
      </c>
    </row>
    <row r="933986" spans="6:6" x14ac:dyDescent="0.25">
      <c r="F933986" s="9">
        <v>2</v>
      </c>
    </row>
    <row r="933987" spans="6:6" x14ac:dyDescent="0.25">
      <c r="F933987" s="9">
        <v>3</v>
      </c>
    </row>
    <row r="933988" spans="6:6" x14ac:dyDescent="0.25">
      <c r="F933988" s="9">
        <v>3</v>
      </c>
    </row>
    <row r="933989" spans="6:6" x14ac:dyDescent="0.25">
      <c r="F933989" s="9">
        <v>3</v>
      </c>
    </row>
    <row r="933990" spans="6:6" x14ac:dyDescent="0.25">
      <c r="F933990" s="9">
        <v>2</v>
      </c>
    </row>
    <row r="933991" spans="6:6" x14ac:dyDescent="0.25">
      <c r="F933991" s="9">
        <v>3</v>
      </c>
    </row>
    <row r="933992" spans="6:6" x14ac:dyDescent="0.25">
      <c r="F933992" s="9">
        <v>3</v>
      </c>
    </row>
    <row r="933993" spans="6:6" x14ac:dyDescent="0.25">
      <c r="F933993" s="9">
        <v>3</v>
      </c>
    </row>
    <row r="933994" spans="6:6" x14ac:dyDescent="0.25">
      <c r="F933994" s="9">
        <v>4</v>
      </c>
    </row>
    <row r="933995" spans="6:6" x14ac:dyDescent="0.25">
      <c r="F933995" s="9">
        <v>4</v>
      </c>
    </row>
    <row r="933996" spans="6:6" x14ac:dyDescent="0.25">
      <c r="F933996" s="9">
        <v>2</v>
      </c>
    </row>
    <row r="933997" spans="6:6" x14ac:dyDescent="0.25">
      <c r="F933997" s="9">
        <v>3</v>
      </c>
    </row>
    <row r="933998" spans="6:6" x14ac:dyDescent="0.25">
      <c r="F933998" s="9">
        <v>1</v>
      </c>
    </row>
    <row r="933999" spans="6:6" x14ac:dyDescent="0.25">
      <c r="F933999" s="9">
        <v>1</v>
      </c>
    </row>
    <row r="934000" spans="6:6" x14ac:dyDescent="0.25">
      <c r="F934000" s="9">
        <v>1</v>
      </c>
    </row>
    <row r="934001" spans="6:6" x14ac:dyDescent="0.25">
      <c r="F934001" s="9" t="s">
        <v>133</v>
      </c>
    </row>
    <row r="934002" spans="6:6" x14ac:dyDescent="0.25">
      <c r="F934002" s="6" t="s">
        <v>172</v>
      </c>
    </row>
    <row r="934003" spans="6:6" x14ac:dyDescent="0.25">
      <c r="F934003" s="9" t="s">
        <v>263</v>
      </c>
    </row>
    <row r="934004" spans="6:6" x14ac:dyDescent="0.25">
      <c r="F934004" s="33" t="s">
        <v>264</v>
      </c>
    </row>
    <row r="950273" spans="6:6" x14ac:dyDescent="0.25">
      <c r="F950273" s="84"/>
    </row>
    <row r="950274" spans="6:6" x14ac:dyDescent="0.25">
      <c r="F950274" s="46"/>
    </row>
    <row r="950275" spans="6:6" x14ac:dyDescent="0.25">
      <c r="F950275" s="9">
        <v>4</v>
      </c>
    </row>
    <row r="950276" spans="6:6" x14ac:dyDescent="0.25">
      <c r="F950276" s="9">
        <v>6</v>
      </c>
    </row>
    <row r="950277" spans="6:6" x14ac:dyDescent="0.25">
      <c r="F950277" s="9">
        <v>6</v>
      </c>
    </row>
    <row r="950278" spans="6:6" x14ac:dyDescent="0.25">
      <c r="F950278" s="9">
        <v>6</v>
      </c>
    </row>
    <row r="950279" spans="6:6" x14ac:dyDescent="0.25">
      <c r="F950279" s="9">
        <v>4</v>
      </c>
    </row>
    <row r="950280" spans="6:6" x14ac:dyDescent="0.25">
      <c r="F950280" s="9">
        <v>4</v>
      </c>
    </row>
    <row r="950281" spans="6:6" x14ac:dyDescent="0.25">
      <c r="F950281" s="9">
        <v>5</v>
      </c>
    </row>
    <row r="950282" spans="6:6" x14ac:dyDescent="0.25">
      <c r="F950282" s="9">
        <v>5</v>
      </c>
    </row>
    <row r="950283" spans="6:6" x14ac:dyDescent="0.25">
      <c r="F950283" s="9">
        <v>10</v>
      </c>
    </row>
    <row r="950284" spans="6:6" x14ac:dyDescent="0.25">
      <c r="F950284" s="9">
        <v>8</v>
      </c>
    </row>
    <row r="950285" spans="6:6" x14ac:dyDescent="0.25">
      <c r="F950285" s="9">
        <v>9</v>
      </c>
    </row>
    <row r="950286" spans="6:6" x14ac:dyDescent="0.25">
      <c r="F950286" s="9">
        <v>8</v>
      </c>
    </row>
    <row r="950287" spans="6:6" x14ac:dyDescent="0.25">
      <c r="F950287" s="9">
        <v>8</v>
      </c>
    </row>
    <row r="950288" spans="6:6" x14ac:dyDescent="0.25">
      <c r="F950288" s="9">
        <v>8</v>
      </c>
    </row>
    <row r="950289" spans="6:6" x14ac:dyDescent="0.25">
      <c r="F950289" s="9">
        <v>8</v>
      </c>
    </row>
    <row r="950290" spans="6:6" x14ac:dyDescent="0.25">
      <c r="F950290" s="9">
        <v>5</v>
      </c>
    </row>
    <row r="950291" spans="6:6" x14ac:dyDescent="0.25">
      <c r="F950291" s="9">
        <v>5</v>
      </c>
    </row>
    <row r="950292" spans="6:6" x14ac:dyDescent="0.25">
      <c r="F950292" s="9">
        <v>7</v>
      </c>
    </row>
    <row r="950293" spans="6:6" x14ac:dyDescent="0.25">
      <c r="F950293" s="9">
        <v>5</v>
      </c>
    </row>
    <row r="950294" spans="6:6" x14ac:dyDescent="0.25">
      <c r="F950294" s="9">
        <v>5</v>
      </c>
    </row>
    <row r="950295" spans="6:6" x14ac:dyDescent="0.25">
      <c r="F950295" s="9">
        <v>5</v>
      </c>
    </row>
    <row r="950296" spans="6:6" x14ac:dyDescent="0.25">
      <c r="F950296" s="9">
        <v>4</v>
      </c>
    </row>
    <row r="950297" spans="6:6" x14ac:dyDescent="0.25">
      <c r="F950297" s="9">
        <v>6</v>
      </c>
    </row>
    <row r="950298" spans="6:6" x14ac:dyDescent="0.25">
      <c r="F950298" s="9">
        <v>4</v>
      </c>
    </row>
    <row r="950299" spans="6:6" x14ac:dyDescent="0.25">
      <c r="F950299" s="9">
        <v>4</v>
      </c>
    </row>
    <row r="950300" spans="6:6" x14ac:dyDescent="0.25">
      <c r="F950300" s="9">
        <v>6</v>
      </c>
    </row>
    <row r="950301" spans="6:6" x14ac:dyDescent="0.25">
      <c r="F950301" s="9">
        <v>4</v>
      </c>
    </row>
    <row r="950302" spans="6:6" x14ac:dyDescent="0.25">
      <c r="F950302" s="9">
        <v>6</v>
      </c>
    </row>
    <row r="950303" spans="6:6" x14ac:dyDescent="0.25">
      <c r="F950303" s="9">
        <v>4</v>
      </c>
    </row>
    <row r="950304" spans="6:6" x14ac:dyDescent="0.25">
      <c r="F950304" s="9">
        <v>6</v>
      </c>
    </row>
    <row r="950305" spans="6:6" x14ac:dyDescent="0.25">
      <c r="F950305" s="9">
        <v>4</v>
      </c>
    </row>
    <row r="950306" spans="6:6" x14ac:dyDescent="0.25">
      <c r="F950306" s="9">
        <v>6</v>
      </c>
    </row>
    <row r="950307" spans="6:6" x14ac:dyDescent="0.25">
      <c r="F950307" s="9">
        <v>6</v>
      </c>
    </row>
    <row r="950308" spans="6:6" x14ac:dyDescent="0.25">
      <c r="F950308" s="9">
        <v>5</v>
      </c>
    </row>
    <row r="950309" spans="6:6" x14ac:dyDescent="0.25">
      <c r="F950309" s="9">
        <v>3</v>
      </c>
    </row>
    <row r="950310" spans="6:6" x14ac:dyDescent="0.25">
      <c r="F950310" s="9">
        <v>4</v>
      </c>
    </row>
    <row r="950311" spans="6:6" x14ac:dyDescent="0.25">
      <c r="F950311" s="9">
        <v>4</v>
      </c>
    </row>
    <row r="950312" spans="6:6" x14ac:dyDescent="0.25">
      <c r="F950312" s="9">
        <v>5</v>
      </c>
    </row>
    <row r="950313" spans="6:6" x14ac:dyDescent="0.25">
      <c r="F950313" s="9">
        <v>5</v>
      </c>
    </row>
    <row r="950314" spans="6:6" x14ac:dyDescent="0.25">
      <c r="F950314" s="9">
        <v>2</v>
      </c>
    </row>
    <row r="950315" spans="6:6" x14ac:dyDescent="0.25">
      <c r="F950315" s="9">
        <v>6</v>
      </c>
    </row>
    <row r="950316" spans="6:6" x14ac:dyDescent="0.25">
      <c r="F950316" s="9">
        <v>7</v>
      </c>
    </row>
    <row r="950317" spans="6:6" x14ac:dyDescent="0.25">
      <c r="F950317" s="9">
        <v>3</v>
      </c>
    </row>
    <row r="950318" spans="6:6" x14ac:dyDescent="0.25">
      <c r="F950318" s="9">
        <v>3</v>
      </c>
    </row>
    <row r="950319" spans="6:6" x14ac:dyDescent="0.25">
      <c r="F950319" s="9">
        <v>3</v>
      </c>
    </row>
    <row r="950320" spans="6:6" x14ac:dyDescent="0.25">
      <c r="F950320" s="9">
        <v>3</v>
      </c>
    </row>
    <row r="950321" spans="6:6" x14ac:dyDescent="0.25">
      <c r="F950321" s="9">
        <v>6</v>
      </c>
    </row>
    <row r="950322" spans="6:6" x14ac:dyDescent="0.25">
      <c r="F950322" s="9">
        <v>1</v>
      </c>
    </row>
    <row r="950323" spans="6:6" x14ac:dyDescent="0.25">
      <c r="F950323" s="9">
        <v>5</v>
      </c>
    </row>
    <row r="950324" spans="6:6" x14ac:dyDescent="0.25">
      <c r="F950324" s="9">
        <v>6</v>
      </c>
    </row>
    <row r="950325" spans="6:6" x14ac:dyDescent="0.25">
      <c r="F950325" s="9">
        <v>4</v>
      </c>
    </row>
    <row r="950326" spans="6:6" x14ac:dyDescent="0.25">
      <c r="F950326" s="9">
        <v>3</v>
      </c>
    </row>
    <row r="950327" spans="6:6" x14ac:dyDescent="0.25">
      <c r="F950327" s="9">
        <v>4</v>
      </c>
    </row>
    <row r="950328" spans="6:6" x14ac:dyDescent="0.25">
      <c r="F950328" s="9">
        <v>3</v>
      </c>
    </row>
    <row r="950329" spans="6:6" x14ac:dyDescent="0.25">
      <c r="F950329" s="9">
        <v>1</v>
      </c>
    </row>
    <row r="950330" spans="6:6" x14ac:dyDescent="0.25">
      <c r="F950330" s="9">
        <v>5</v>
      </c>
    </row>
    <row r="950331" spans="6:6" x14ac:dyDescent="0.25">
      <c r="F950331" s="9">
        <v>4</v>
      </c>
    </row>
    <row r="950332" spans="6:6" x14ac:dyDescent="0.25">
      <c r="F950332" s="9">
        <v>6</v>
      </c>
    </row>
    <row r="950333" spans="6:6" x14ac:dyDescent="0.25">
      <c r="F950333" s="9">
        <v>2</v>
      </c>
    </row>
    <row r="950334" spans="6:6" x14ac:dyDescent="0.25">
      <c r="F950334" s="9">
        <v>2</v>
      </c>
    </row>
    <row r="950335" spans="6:6" x14ac:dyDescent="0.25">
      <c r="F950335" s="9">
        <v>4</v>
      </c>
    </row>
    <row r="950336" spans="6:6" x14ac:dyDescent="0.25">
      <c r="F950336" s="9">
        <v>3</v>
      </c>
    </row>
    <row r="950337" spans="6:6" x14ac:dyDescent="0.25">
      <c r="F950337" s="9">
        <v>2</v>
      </c>
    </row>
    <row r="950338" spans="6:6" x14ac:dyDescent="0.25">
      <c r="F950338" s="9">
        <v>7</v>
      </c>
    </row>
    <row r="950339" spans="6:6" x14ac:dyDescent="0.25">
      <c r="F950339" s="9">
        <v>8</v>
      </c>
    </row>
    <row r="950340" spans="6:6" x14ac:dyDescent="0.25">
      <c r="F950340" s="9">
        <v>7</v>
      </c>
    </row>
    <row r="950341" spans="6:6" x14ac:dyDescent="0.25">
      <c r="F950341" s="9">
        <v>6</v>
      </c>
    </row>
    <row r="950342" spans="6:6" x14ac:dyDescent="0.25">
      <c r="F950342" s="9">
        <v>3</v>
      </c>
    </row>
    <row r="950343" spans="6:6" x14ac:dyDescent="0.25">
      <c r="F950343" s="9">
        <v>6</v>
      </c>
    </row>
    <row r="950344" spans="6:6" x14ac:dyDescent="0.25">
      <c r="F950344" s="9">
        <v>3</v>
      </c>
    </row>
    <row r="950345" spans="6:6" x14ac:dyDescent="0.25">
      <c r="F950345" s="9">
        <v>2</v>
      </c>
    </row>
    <row r="950346" spans="6:6" x14ac:dyDescent="0.25">
      <c r="F950346" s="9">
        <v>5</v>
      </c>
    </row>
    <row r="950347" spans="6:6" x14ac:dyDescent="0.25">
      <c r="F950347" s="9">
        <v>3</v>
      </c>
    </row>
    <row r="950348" spans="6:6" x14ac:dyDescent="0.25">
      <c r="F950348" s="9">
        <v>4</v>
      </c>
    </row>
    <row r="950349" spans="6:6" x14ac:dyDescent="0.25">
      <c r="F950349" s="9">
        <v>2</v>
      </c>
    </row>
    <row r="950350" spans="6:6" x14ac:dyDescent="0.25">
      <c r="F950350" s="9">
        <v>4</v>
      </c>
    </row>
    <row r="950351" spans="6:6" x14ac:dyDescent="0.25">
      <c r="F950351" s="9">
        <v>3</v>
      </c>
    </row>
    <row r="950352" spans="6:6" x14ac:dyDescent="0.25">
      <c r="F950352" s="9">
        <v>3</v>
      </c>
    </row>
    <row r="950353" spans="6:6" x14ac:dyDescent="0.25">
      <c r="F950353" s="9">
        <v>4</v>
      </c>
    </row>
    <row r="950354" spans="6:6" x14ac:dyDescent="0.25">
      <c r="F950354" s="9">
        <v>3</v>
      </c>
    </row>
    <row r="950355" spans="6:6" x14ac:dyDescent="0.25">
      <c r="F950355" s="9">
        <v>2</v>
      </c>
    </row>
    <row r="950356" spans="6:6" x14ac:dyDescent="0.25">
      <c r="F950356" s="9">
        <v>3</v>
      </c>
    </row>
    <row r="950357" spans="6:6" x14ac:dyDescent="0.25">
      <c r="F950357" s="9">
        <v>7</v>
      </c>
    </row>
    <row r="950358" spans="6:6" x14ac:dyDescent="0.25">
      <c r="F950358" s="9">
        <v>6</v>
      </c>
    </row>
    <row r="950359" spans="6:6" x14ac:dyDescent="0.25">
      <c r="F950359" s="9">
        <v>5</v>
      </c>
    </row>
    <row r="950360" spans="6:6" x14ac:dyDescent="0.25">
      <c r="F950360" s="9">
        <v>5</v>
      </c>
    </row>
    <row r="950361" spans="6:6" x14ac:dyDescent="0.25">
      <c r="F950361" s="9">
        <v>4</v>
      </c>
    </row>
    <row r="950362" spans="6:6" x14ac:dyDescent="0.25">
      <c r="F950362" s="9">
        <v>5</v>
      </c>
    </row>
    <row r="950363" spans="6:6" x14ac:dyDescent="0.25">
      <c r="F950363" s="9">
        <v>5</v>
      </c>
    </row>
    <row r="950364" spans="6:6" x14ac:dyDescent="0.25">
      <c r="F950364" s="9">
        <v>2</v>
      </c>
    </row>
    <row r="950365" spans="6:6" x14ac:dyDescent="0.25">
      <c r="F950365" s="9">
        <v>3</v>
      </c>
    </row>
    <row r="950366" spans="6:6" x14ac:dyDescent="0.25">
      <c r="F950366" s="9">
        <v>2</v>
      </c>
    </row>
    <row r="950367" spans="6:6" x14ac:dyDescent="0.25">
      <c r="F950367" s="9">
        <v>3</v>
      </c>
    </row>
    <row r="950368" spans="6:6" x14ac:dyDescent="0.25">
      <c r="F950368" s="9">
        <v>4</v>
      </c>
    </row>
    <row r="950369" spans="6:6" x14ac:dyDescent="0.25">
      <c r="F950369" s="9">
        <v>4</v>
      </c>
    </row>
    <row r="950370" spans="6:6" x14ac:dyDescent="0.25">
      <c r="F950370" s="9">
        <v>2</v>
      </c>
    </row>
    <row r="950371" spans="6:6" x14ac:dyDescent="0.25">
      <c r="F950371" s="9">
        <v>3</v>
      </c>
    </row>
    <row r="950372" spans="6:6" x14ac:dyDescent="0.25">
      <c r="F950372" s="9">
        <v>3</v>
      </c>
    </row>
    <row r="950373" spans="6:6" x14ac:dyDescent="0.25">
      <c r="F950373" s="9">
        <v>3</v>
      </c>
    </row>
    <row r="950374" spans="6:6" x14ac:dyDescent="0.25">
      <c r="F950374" s="9">
        <v>2</v>
      </c>
    </row>
    <row r="950375" spans="6:6" x14ac:dyDescent="0.25">
      <c r="F950375" s="9">
        <v>3</v>
      </c>
    </row>
    <row r="950376" spans="6:6" x14ac:dyDescent="0.25">
      <c r="F950376" s="9">
        <v>3</v>
      </c>
    </row>
    <row r="950377" spans="6:6" x14ac:dyDescent="0.25">
      <c r="F950377" s="9">
        <v>3</v>
      </c>
    </row>
    <row r="950378" spans="6:6" x14ac:dyDescent="0.25">
      <c r="F950378" s="9">
        <v>4</v>
      </c>
    </row>
    <row r="950379" spans="6:6" x14ac:dyDescent="0.25">
      <c r="F950379" s="9">
        <v>4</v>
      </c>
    </row>
    <row r="950380" spans="6:6" x14ac:dyDescent="0.25">
      <c r="F950380" s="9">
        <v>2</v>
      </c>
    </row>
    <row r="950381" spans="6:6" x14ac:dyDescent="0.25">
      <c r="F950381" s="9">
        <v>3</v>
      </c>
    </row>
    <row r="950382" spans="6:6" x14ac:dyDescent="0.25">
      <c r="F950382" s="9">
        <v>1</v>
      </c>
    </row>
    <row r="950383" spans="6:6" x14ac:dyDescent="0.25">
      <c r="F950383" s="9">
        <v>1</v>
      </c>
    </row>
    <row r="950384" spans="6:6" x14ac:dyDescent="0.25">
      <c r="F950384" s="9">
        <v>1</v>
      </c>
    </row>
    <row r="950385" spans="6:6" x14ac:dyDescent="0.25">
      <c r="F950385" s="9" t="s">
        <v>133</v>
      </c>
    </row>
    <row r="950386" spans="6:6" x14ac:dyDescent="0.25">
      <c r="F950386" s="6" t="s">
        <v>172</v>
      </c>
    </row>
    <row r="950387" spans="6:6" x14ac:dyDescent="0.25">
      <c r="F950387" s="9" t="s">
        <v>263</v>
      </c>
    </row>
    <row r="950388" spans="6:6" x14ac:dyDescent="0.25">
      <c r="F950388" s="33" t="s">
        <v>264</v>
      </c>
    </row>
    <row r="966657" spans="6:6" x14ac:dyDescent="0.25">
      <c r="F966657" s="84"/>
    </row>
    <row r="966658" spans="6:6" x14ac:dyDescent="0.25">
      <c r="F966658" s="46"/>
    </row>
    <row r="966659" spans="6:6" x14ac:dyDescent="0.25">
      <c r="F966659" s="9">
        <v>4</v>
      </c>
    </row>
    <row r="966660" spans="6:6" x14ac:dyDescent="0.25">
      <c r="F966660" s="9">
        <v>6</v>
      </c>
    </row>
    <row r="966661" spans="6:6" x14ac:dyDescent="0.25">
      <c r="F966661" s="9">
        <v>6</v>
      </c>
    </row>
    <row r="966662" spans="6:6" x14ac:dyDescent="0.25">
      <c r="F966662" s="9">
        <v>6</v>
      </c>
    </row>
    <row r="966663" spans="6:6" x14ac:dyDescent="0.25">
      <c r="F966663" s="9">
        <v>4</v>
      </c>
    </row>
    <row r="966664" spans="6:6" x14ac:dyDescent="0.25">
      <c r="F966664" s="9">
        <v>4</v>
      </c>
    </row>
    <row r="966665" spans="6:6" x14ac:dyDescent="0.25">
      <c r="F966665" s="9">
        <v>5</v>
      </c>
    </row>
    <row r="966666" spans="6:6" x14ac:dyDescent="0.25">
      <c r="F966666" s="9">
        <v>5</v>
      </c>
    </row>
    <row r="966667" spans="6:6" x14ac:dyDescent="0.25">
      <c r="F966667" s="9">
        <v>10</v>
      </c>
    </row>
    <row r="966668" spans="6:6" x14ac:dyDescent="0.25">
      <c r="F966668" s="9">
        <v>8</v>
      </c>
    </row>
    <row r="966669" spans="6:6" x14ac:dyDescent="0.25">
      <c r="F966669" s="9">
        <v>9</v>
      </c>
    </row>
    <row r="966670" spans="6:6" x14ac:dyDescent="0.25">
      <c r="F966670" s="9">
        <v>8</v>
      </c>
    </row>
    <row r="966671" spans="6:6" x14ac:dyDescent="0.25">
      <c r="F966671" s="9">
        <v>8</v>
      </c>
    </row>
    <row r="966672" spans="6:6" x14ac:dyDescent="0.25">
      <c r="F966672" s="9">
        <v>8</v>
      </c>
    </row>
    <row r="966673" spans="6:6" x14ac:dyDescent="0.25">
      <c r="F966673" s="9">
        <v>8</v>
      </c>
    </row>
    <row r="966674" spans="6:6" x14ac:dyDescent="0.25">
      <c r="F966674" s="9">
        <v>5</v>
      </c>
    </row>
    <row r="966675" spans="6:6" x14ac:dyDescent="0.25">
      <c r="F966675" s="9">
        <v>5</v>
      </c>
    </row>
    <row r="966676" spans="6:6" x14ac:dyDescent="0.25">
      <c r="F966676" s="9">
        <v>7</v>
      </c>
    </row>
    <row r="966677" spans="6:6" x14ac:dyDescent="0.25">
      <c r="F966677" s="9">
        <v>5</v>
      </c>
    </row>
    <row r="966678" spans="6:6" x14ac:dyDescent="0.25">
      <c r="F966678" s="9">
        <v>5</v>
      </c>
    </row>
    <row r="966679" spans="6:6" x14ac:dyDescent="0.25">
      <c r="F966679" s="9">
        <v>5</v>
      </c>
    </row>
    <row r="966680" spans="6:6" x14ac:dyDescent="0.25">
      <c r="F966680" s="9">
        <v>4</v>
      </c>
    </row>
    <row r="966681" spans="6:6" x14ac:dyDescent="0.25">
      <c r="F966681" s="9">
        <v>6</v>
      </c>
    </row>
    <row r="966682" spans="6:6" x14ac:dyDescent="0.25">
      <c r="F966682" s="9">
        <v>4</v>
      </c>
    </row>
    <row r="966683" spans="6:6" x14ac:dyDescent="0.25">
      <c r="F966683" s="9">
        <v>4</v>
      </c>
    </row>
    <row r="966684" spans="6:6" x14ac:dyDescent="0.25">
      <c r="F966684" s="9">
        <v>6</v>
      </c>
    </row>
    <row r="966685" spans="6:6" x14ac:dyDescent="0.25">
      <c r="F966685" s="9">
        <v>4</v>
      </c>
    </row>
    <row r="966686" spans="6:6" x14ac:dyDescent="0.25">
      <c r="F966686" s="9">
        <v>6</v>
      </c>
    </row>
    <row r="966687" spans="6:6" x14ac:dyDescent="0.25">
      <c r="F966687" s="9">
        <v>4</v>
      </c>
    </row>
    <row r="966688" spans="6:6" x14ac:dyDescent="0.25">
      <c r="F966688" s="9">
        <v>6</v>
      </c>
    </row>
    <row r="966689" spans="6:6" x14ac:dyDescent="0.25">
      <c r="F966689" s="9">
        <v>4</v>
      </c>
    </row>
    <row r="966690" spans="6:6" x14ac:dyDescent="0.25">
      <c r="F966690" s="9">
        <v>6</v>
      </c>
    </row>
    <row r="966691" spans="6:6" x14ac:dyDescent="0.25">
      <c r="F966691" s="9">
        <v>6</v>
      </c>
    </row>
    <row r="966692" spans="6:6" x14ac:dyDescent="0.25">
      <c r="F966692" s="9">
        <v>5</v>
      </c>
    </row>
    <row r="966693" spans="6:6" x14ac:dyDescent="0.25">
      <c r="F966693" s="9">
        <v>3</v>
      </c>
    </row>
    <row r="966694" spans="6:6" x14ac:dyDescent="0.25">
      <c r="F966694" s="9">
        <v>4</v>
      </c>
    </row>
    <row r="966695" spans="6:6" x14ac:dyDescent="0.25">
      <c r="F966695" s="9">
        <v>4</v>
      </c>
    </row>
    <row r="966696" spans="6:6" x14ac:dyDescent="0.25">
      <c r="F966696" s="9">
        <v>5</v>
      </c>
    </row>
    <row r="966697" spans="6:6" x14ac:dyDescent="0.25">
      <c r="F966697" s="9">
        <v>5</v>
      </c>
    </row>
    <row r="966698" spans="6:6" x14ac:dyDescent="0.25">
      <c r="F966698" s="9">
        <v>2</v>
      </c>
    </row>
    <row r="966699" spans="6:6" x14ac:dyDescent="0.25">
      <c r="F966699" s="9">
        <v>6</v>
      </c>
    </row>
    <row r="966700" spans="6:6" x14ac:dyDescent="0.25">
      <c r="F966700" s="9">
        <v>7</v>
      </c>
    </row>
    <row r="966701" spans="6:6" x14ac:dyDescent="0.25">
      <c r="F966701" s="9">
        <v>3</v>
      </c>
    </row>
    <row r="966702" spans="6:6" x14ac:dyDescent="0.25">
      <c r="F966702" s="9">
        <v>3</v>
      </c>
    </row>
    <row r="966703" spans="6:6" x14ac:dyDescent="0.25">
      <c r="F966703" s="9">
        <v>3</v>
      </c>
    </row>
    <row r="966704" spans="6:6" x14ac:dyDescent="0.25">
      <c r="F966704" s="9">
        <v>3</v>
      </c>
    </row>
    <row r="966705" spans="6:6" x14ac:dyDescent="0.25">
      <c r="F966705" s="9">
        <v>6</v>
      </c>
    </row>
    <row r="966706" spans="6:6" x14ac:dyDescent="0.25">
      <c r="F966706" s="9">
        <v>1</v>
      </c>
    </row>
    <row r="966707" spans="6:6" x14ac:dyDescent="0.25">
      <c r="F966707" s="9">
        <v>5</v>
      </c>
    </row>
    <row r="966708" spans="6:6" x14ac:dyDescent="0.25">
      <c r="F966708" s="9">
        <v>6</v>
      </c>
    </row>
    <row r="966709" spans="6:6" x14ac:dyDescent="0.25">
      <c r="F966709" s="9">
        <v>4</v>
      </c>
    </row>
    <row r="966710" spans="6:6" x14ac:dyDescent="0.25">
      <c r="F966710" s="9">
        <v>3</v>
      </c>
    </row>
    <row r="966711" spans="6:6" x14ac:dyDescent="0.25">
      <c r="F966711" s="9">
        <v>4</v>
      </c>
    </row>
    <row r="966712" spans="6:6" x14ac:dyDescent="0.25">
      <c r="F966712" s="9">
        <v>3</v>
      </c>
    </row>
    <row r="966713" spans="6:6" x14ac:dyDescent="0.25">
      <c r="F966713" s="9">
        <v>1</v>
      </c>
    </row>
    <row r="966714" spans="6:6" x14ac:dyDescent="0.25">
      <c r="F966714" s="9">
        <v>5</v>
      </c>
    </row>
    <row r="966715" spans="6:6" x14ac:dyDescent="0.25">
      <c r="F966715" s="9">
        <v>4</v>
      </c>
    </row>
    <row r="966716" spans="6:6" x14ac:dyDescent="0.25">
      <c r="F966716" s="9">
        <v>6</v>
      </c>
    </row>
    <row r="966717" spans="6:6" x14ac:dyDescent="0.25">
      <c r="F966717" s="9">
        <v>2</v>
      </c>
    </row>
    <row r="966718" spans="6:6" x14ac:dyDescent="0.25">
      <c r="F966718" s="9">
        <v>2</v>
      </c>
    </row>
    <row r="966719" spans="6:6" x14ac:dyDescent="0.25">
      <c r="F966719" s="9">
        <v>4</v>
      </c>
    </row>
    <row r="966720" spans="6:6" x14ac:dyDescent="0.25">
      <c r="F966720" s="9">
        <v>3</v>
      </c>
    </row>
    <row r="966721" spans="6:6" x14ac:dyDescent="0.25">
      <c r="F966721" s="9">
        <v>2</v>
      </c>
    </row>
    <row r="966722" spans="6:6" x14ac:dyDescent="0.25">
      <c r="F966722" s="9">
        <v>7</v>
      </c>
    </row>
    <row r="966723" spans="6:6" x14ac:dyDescent="0.25">
      <c r="F966723" s="9">
        <v>8</v>
      </c>
    </row>
    <row r="966724" spans="6:6" x14ac:dyDescent="0.25">
      <c r="F966724" s="9">
        <v>7</v>
      </c>
    </row>
    <row r="966725" spans="6:6" x14ac:dyDescent="0.25">
      <c r="F966725" s="9">
        <v>6</v>
      </c>
    </row>
    <row r="966726" spans="6:6" x14ac:dyDescent="0.25">
      <c r="F966726" s="9">
        <v>3</v>
      </c>
    </row>
    <row r="966727" spans="6:6" x14ac:dyDescent="0.25">
      <c r="F966727" s="9">
        <v>6</v>
      </c>
    </row>
    <row r="966728" spans="6:6" x14ac:dyDescent="0.25">
      <c r="F966728" s="9">
        <v>3</v>
      </c>
    </row>
    <row r="966729" spans="6:6" x14ac:dyDescent="0.25">
      <c r="F966729" s="9">
        <v>2</v>
      </c>
    </row>
    <row r="966730" spans="6:6" x14ac:dyDescent="0.25">
      <c r="F966730" s="9">
        <v>5</v>
      </c>
    </row>
    <row r="966731" spans="6:6" x14ac:dyDescent="0.25">
      <c r="F966731" s="9">
        <v>3</v>
      </c>
    </row>
    <row r="966732" spans="6:6" x14ac:dyDescent="0.25">
      <c r="F966732" s="9">
        <v>4</v>
      </c>
    </row>
    <row r="966733" spans="6:6" x14ac:dyDescent="0.25">
      <c r="F966733" s="9">
        <v>2</v>
      </c>
    </row>
    <row r="966734" spans="6:6" x14ac:dyDescent="0.25">
      <c r="F966734" s="9">
        <v>4</v>
      </c>
    </row>
    <row r="966735" spans="6:6" x14ac:dyDescent="0.25">
      <c r="F966735" s="9">
        <v>3</v>
      </c>
    </row>
    <row r="966736" spans="6:6" x14ac:dyDescent="0.25">
      <c r="F966736" s="9">
        <v>3</v>
      </c>
    </row>
    <row r="966737" spans="6:6" x14ac:dyDescent="0.25">
      <c r="F966737" s="9">
        <v>4</v>
      </c>
    </row>
    <row r="966738" spans="6:6" x14ac:dyDescent="0.25">
      <c r="F966738" s="9">
        <v>3</v>
      </c>
    </row>
    <row r="966739" spans="6:6" x14ac:dyDescent="0.25">
      <c r="F966739" s="9">
        <v>2</v>
      </c>
    </row>
    <row r="966740" spans="6:6" x14ac:dyDescent="0.25">
      <c r="F966740" s="9">
        <v>3</v>
      </c>
    </row>
    <row r="966741" spans="6:6" x14ac:dyDescent="0.25">
      <c r="F966741" s="9">
        <v>7</v>
      </c>
    </row>
    <row r="966742" spans="6:6" x14ac:dyDescent="0.25">
      <c r="F966742" s="9">
        <v>6</v>
      </c>
    </row>
    <row r="966743" spans="6:6" x14ac:dyDescent="0.25">
      <c r="F966743" s="9">
        <v>5</v>
      </c>
    </row>
    <row r="966744" spans="6:6" x14ac:dyDescent="0.25">
      <c r="F966744" s="9">
        <v>5</v>
      </c>
    </row>
    <row r="966745" spans="6:6" x14ac:dyDescent="0.25">
      <c r="F966745" s="9">
        <v>4</v>
      </c>
    </row>
    <row r="966746" spans="6:6" x14ac:dyDescent="0.25">
      <c r="F966746" s="9">
        <v>5</v>
      </c>
    </row>
    <row r="966747" spans="6:6" x14ac:dyDescent="0.25">
      <c r="F966747" s="9">
        <v>5</v>
      </c>
    </row>
    <row r="966748" spans="6:6" x14ac:dyDescent="0.25">
      <c r="F966748" s="9">
        <v>2</v>
      </c>
    </row>
    <row r="966749" spans="6:6" x14ac:dyDescent="0.25">
      <c r="F966749" s="9">
        <v>3</v>
      </c>
    </row>
    <row r="966750" spans="6:6" x14ac:dyDescent="0.25">
      <c r="F966750" s="9">
        <v>2</v>
      </c>
    </row>
    <row r="966751" spans="6:6" x14ac:dyDescent="0.25">
      <c r="F966751" s="9">
        <v>3</v>
      </c>
    </row>
    <row r="966752" spans="6:6" x14ac:dyDescent="0.25">
      <c r="F966752" s="9">
        <v>4</v>
      </c>
    </row>
    <row r="966753" spans="6:6" x14ac:dyDescent="0.25">
      <c r="F966753" s="9">
        <v>4</v>
      </c>
    </row>
    <row r="966754" spans="6:6" x14ac:dyDescent="0.25">
      <c r="F966754" s="9">
        <v>2</v>
      </c>
    </row>
    <row r="966755" spans="6:6" x14ac:dyDescent="0.25">
      <c r="F966755" s="9">
        <v>3</v>
      </c>
    </row>
    <row r="966756" spans="6:6" x14ac:dyDescent="0.25">
      <c r="F966756" s="9">
        <v>3</v>
      </c>
    </row>
    <row r="966757" spans="6:6" x14ac:dyDescent="0.25">
      <c r="F966757" s="9">
        <v>3</v>
      </c>
    </row>
    <row r="966758" spans="6:6" x14ac:dyDescent="0.25">
      <c r="F966758" s="9">
        <v>2</v>
      </c>
    </row>
    <row r="966759" spans="6:6" x14ac:dyDescent="0.25">
      <c r="F966759" s="9">
        <v>3</v>
      </c>
    </row>
    <row r="966760" spans="6:6" x14ac:dyDescent="0.25">
      <c r="F966760" s="9">
        <v>3</v>
      </c>
    </row>
    <row r="966761" spans="6:6" x14ac:dyDescent="0.25">
      <c r="F966761" s="9">
        <v>3</v>
      </c>
    </row>
    <row r="966762" spans="6:6" x14ac:dyDescent="0.25">
      <c r="F966762" s="9">
        <v>4</v>
      </c>
    </row>
    <row r="966763" spans="6:6" x14ac:dyDescent="0.25">
      <c r="F966763" s="9">
        <v>4</v>
      </c>
    </row>
    <row r="966764" spans="6:6" x14ac:dyDescent="0.25">
      <c r="F966764" s="9">
        <v>2</v>
      </c>
    </row>
    <row r="966765" spans="6:6" x14ac:dyDescent="0.25">
      <c r="F966765" s="9">
        <v>3</v>
      </c>
    </row>
    <row r="966766" spans="6:6" x14ac:dyDescent="0.25">
      <c r="F966766" s="9">
        <v>1</v>
      </c>
    </row>
    <row r="966767" spans="6:6" x14ac:dyDescent="0.25">
      <c r="F966767" s="9">
        <v>1</v>
      </c>
    </row>
    <row r="966768" spans="6:6" x14ac:dyDescent="0.25">
      <c r="F966768" s="9">
        <v>1</v>
      </c>
    </row>
    <row r="966769" spans="6:6" x14ac:dyDescent="0.25">
      <c r="F966769" s="9" t="s">
        <v>133</v>
      </c>
    </row>
    <row r="966770" spans="6:6" x14ac:dyDescent="0.25">
      <c r="F966770" s="6" t="s">
        <v>172</v>
      </c>
    </row>
    <row r="966771" spans="6:6" x14ac:dyDescent="0.25">
      <c r="F966771" s="9" t="s">
        <v>263</v>
      </c>
    </row>
    <row r="966772" spans="6:6" x14ac:dyDescent="0.25">
      <c r="F966772" s="33" t="s">
        <v>264</v>
      </c>
    </row>
    <row r="983041" spans="6:6" x14ac:dyDescent="0.25">
      <c r="F983041" s="84"/>
    </row>
    <row r="983042" spans="6:6" x14ac:dyDescent="0.25">
      <c r="F983042" s="46"/>
    </row>
    <row r="983043" spans="6:6" x14ac:dyDescent="0.25">
      <c r="F983043" s="9">
        <v>4</v>
      </c>
    </row>
    <row r="983044" spans="6:6" x14ac:dyDescent="0.25">
      <c r="F983044" s="9">
        <v>6</v>
      </c>
    </row>
    <row r="983045" spans="6:6" x14ac:dyDescent="0.25">
      <c r="F983045" s="9">
        <v>6</v>
      </c>
    </row>
    <row r="983046" spans="6:6" x14ac:dyDescent="0.25">
      <c r="F983046" s="9">
        <v>6</v>
      </c>
    </row>
    <row r="983047" spans="6:6" x14ac:dyDescent="0.25">
      <c r="F983047" s="9">
        <v>4</v>
      </c>
    </row>
    <row r="983048" spans="6:6" x14ac:dyDescent="0.25">
      <c r="F983048" s="9">
        <v>4</v>
      </c>
    </row>
    <row r="983049" spans="6:6" x14ac:dyDescent="0.25">
      <c r="F983049" s="9">
        <v>5</v>
      </c>
    </row>
    <row r="983050" spans="6:6" x14ac:dyDescent="0.25">
      <c r="F983050" s="9">
        <v>5</v>
      </c>
    </row>
    <row r="983051" spans="6:6" x14ac:dyDescent="0.25">
      <c r="F983051" s="9">
        <v>10</v>
      </c>
    </row>
    <row r="983052" spans="6:6" x14ac:dyDescent="0.25">
      <c r="F983052" s="9">
        <v>8</v>
      </c>
    </row>
    <row r="983053" spans="6:6" x14ac:dyDescent="0.25">
      <c r="F983053" s="9">
        <v>9</v>
      </c>
    </row>
    <row r="983054" spans="6:6" x14ac:dyDescent="0.25">
      <c r="F983054" s="9">
        <v>8</v>
      </c>
    </row>
    <row r="983055" spans="6:6" x14ac:dyDescent="0.25">
      <c r="F983055" s="9">
        <v>8</v>
      </c>
    </row>
    <row r="983056" spans="6:6" x14ac:dyDescent="0.25">
      <c r="F983056" s="9">
        <v>8</v>
      </c>
    </row>
    <row r="983057" spans="6:6" x14ac:dyDescent="0.25">
      <c r="F983057" s="9">
        <v>8</v>
      </c>
    </row>
    <row r="983058" spans="6:6" x14ac:dyDescent="0.25">
      <c r="F983058" s="9">
        <v>5</v>
      </c>
    </row>
    <row r="983059" spans="6:6" x14ac:dyDescent="0.25">
      <c r="F983059" s="9">
        <v>5</v>
      </c>
    </row>
    <row r="983060" spans="6:6" x14ac:dyDescent="0.25">
      <c r="F983060" s="9">
        <v>7</v>
      </c>
    </row>
    <row r="983061" spans="6:6" x14ac:dyDescent="0.25">
      <c r="F983061" s="9">
        <v>5</v>
      </c>
    </row>
    <row r="983062" spans="6:6" x14ac:dyDescent="0.25">
      <c r="F983062" s="9">
        <v>5</v>
      </c>
    </row>
    <row r="983063" spans="6:6" x14ac:dyDescent="0.25">
      <c r="F983063" s="9">
        <v>5</v>
      </c>
    </row>
    <row r="983064" spans="6:6" x14ac:dyDescent="0.25">
      <c r="F983064" s="9">
        <v>4</v>
      </c>
    </row>
    <row r="983065" spans="6:6" x14ac:dyDescent="0.25">
      <c r="F983065" s="9">
        <v>6</v>
      </c>
    </row>
    <row r="983066" spans="6:6" x14ac:dyDescent="0.25">
      <c r="F983066" s="9">
        <v>4</v>
      </c>
    </row>
    <row r="983067" spans="6:6" x14ac:dyDescent="0.25">
      <c r="F983067" s="9">
        <v>4</v>
      </c>
    </row>
    <row r="983068" spans="6:6" x14ac:dyDescent="0.25">
      <c r="F983068" s="9">
        <v>6</v>
      </c>
    </row>
    <row r="983069" spans="6:6" x14ac:dyDescent="0.25">
      <c r="F983069" s="9">
        <v>4</v>
      </c>
    </row>
    <row r="983070" spans="6:6" x14ac:dyDescent="0.25">
      <c r="F983070" s="9">
        <v>6</v>
      </c>
    </row>
    <row r="983071" spans="6:6" x14ac:dyDescent="0.25">
      <c r="F983071" s="9">
        <v>4</v>
      </c>
    </row>
    <row r="983072" spans="6:6" x14ac:dyDescent="0.25">
      <c r="F983072" s="9">
        <v>6</v>
      </c>
    </row>
    <row r="983073" spans="6:6" x14ac:dyDescent="0.25">
      <c r="F983073" s="9">
        <v>4</v>
      </c>
    </row>
    <row r="983074" spans="6:6" x14ac:dyDescent="0.25">
      <c r="F983074" s="9">
        <v>6</v>
      </c>
    </row>
    <row r="983075" spans="6:6" x14ac:dyDescent="0.25">
      <c r="F983075" s="9">
        <v>6</v>
      </c>
    </row>
    <row r="983076" spans="6:6" x14ac:dyDescent="0.25">
      <c r="F983076" s="9">
        <v>5</v>
      </c>
    </row>
    <row r="983077" spans="6:6" x14ac:dyDescent="0.25">
      <c r="F983077" s="9">
        <v>3</v>
      </c>
    </row>
    <row r="983078" spans="6:6" x14ac:dyDescent="0.25">
      <c r="F983078" s="9">
        <v>4</v>
      </c>
    </row>
    <row r="983079" spans="6:6" x14ac:dyDescent="0.25">
      <c r="F983079" s="9">
        <v>4</v>
      </c>
    </row>
    <row r="983080" spans="6:6" x14ac:dyDescent="0.25">
      <c r="F983080" s="9">
        <v>5</v>
      </c>
    </row>
    <row r="983081" spans="6:6" x14ac:dyDescent="0.25">
      <c r="F983081" s="9">
        <v>5</v>
      </c>
    </row>
    <row r="983082" spans="6:6" x14ac:dyDescent="0.25">
      <c r="F983082" s="9">
        <v>2</v>
      </c>
    </row>
    <row r="983083" spans="6:6" x14ac:dyDescent="0.25">
      <c r="F983083" s="9">
        <v>6</v>
      </c>
    </row>
    <row r="983084" spans="6:6" x14ac:dyDescent="0.25">
      <c r="F983084" s="9">
        <v>7</v>
      </c>
    </row>
    <row r="983085" spans="6:6" x14ac:dyDescent="0.25">
      <c r="F983085" s="9">
        <v>3</v>
      </c>
    </row>
    <row r="983086" spans="6:6" x14ac:dyDescent="0.25">
      <c r="F983086" s="9">
        <v>3</v>
      </c>
    </row>
    <row r="983087" spans="6:6" x14ac:dyDescent="0.25">
      <c r="F983087" s="9">
        <v>3</v>
      </c>
    </row>
    <row r="983088" spans="6:6" x14ac:dyDescent="0.25">
      <c r="F983088" s="9">
        <v>3</v>
      </c>
    </row>
    <row r="983089" spans="6:6" x14ac:dyDescent="0.25">
      <c r="F983089" s="9">
        <v>6</v>
      </c>
    </row>
    <row r="983090" spans="6:6" x14ac:dyDescent="0.25">
      <c r="F983090" s="9">
        <v>1</v>
      </c>
    </row>
    <row r="983091" spans="6:6" x14ac:dyDescent="0.25">
      <c r="F983091" s="9">
        <v>5</v>
      </c>
    </row>
    <row r="983092" spans="6:6" x14ac:dyDescent="0.25">
      <c r="F983092" s="9">
        <v>6</v>
      </c>
    </row>
    <row r="983093" spans="6:6" x14ac:dyDescent="0.25">
      <c r="F983093" s="9">
        <v>4</v>
      </c>
    </row>
    <row r="983094" spans="6:6" x14ac:dyDescent="0.25">
      <c r="F983094" s="9">
        <v>3</v>
      </c>
    </row>
    <row r="983095" spans="6:6" x14ac:dyDescent="0.25">
      <c r="F983095" s="9">
        <v>4</v>
      </c>
    </row>
    <row r="983096" spans="6:6" x14ac:dyDescent="0.25">
      <c r="F983096" s="9">
        <v>3</v>
      </c>
    </row>
    <row r="983097" spans="6:6" x14ac:dyDescent="0.25">
      <c r="F983097" s="9">
        <v>1</v>
      </c>
    </row>
    <row r="983098" spans="6:6" x14ac:dyDescent="0.25">
      <c r="F983098" s="9">
        <v>5</v>
      </c>
    </row>
    <row r="983099" spans="6:6" x14ac:dyDescent="0.25">
      <c r="F983099" s="9">
        <v>4</v>
      </c>
    </row>
    <row r="983100" spans="6:6" x14ac:dyDescent="0.25">
      <c r="F983100" s="9">
        <v>6</v>
      </c>
    </row>
    <row r="983101" spans="6:6" x14ac:dyDescent="0.25">
      <c r="F983101" s="9">
        <v>2</v>
      </c>
    </row>
    <row r="983102" spans="6:6" x14ac:dyDescent="0.25">
      <c r="F983102" s="9">
        <v>2</v>
      </c>
    </row>
    <row r="983103" spans="6:6" x14ac:dyDescent="0.25">
      <c r="F983103" s="9">
        <v>4</v>
      </c>
    </row>
    <row r="983104" spans="6:6" x14ac:dyDescent="0.25">
      <c r="F983104" s="9">
        <v>3</v>
      </c>
    </row>
    <row r="983105" spans="6:6" x14ac:dyDescent="0.25">
      <c r="F983105" s="9">
        <v>2</v>
      </c>
    </row>
    <row r="983106" spans="6:6" x14ac:dyDescent="0.25">
      <c r="F983106" s="9">
        <v>7</v>
      </c>
    </row>
    <row r="983107" spans="6:6" x14ac:dyDescent="0.25">
      <c r="F983107" s="9">
        <v>8</v>
      </c>
    </row>
    <row r="983108" spans="6:6" x14ac:dyDescent="0.25">
      <c r="F983108" s="9">
        <v>7</v>
      </c>
    </row>
    <row r="983109" spans="6:6" x14ac:dyDescent="0.25">
      <c r="F983109" s="9">
        <v>6</v>
      </c>
    </row>
    <row r="983110" spans="6:6" x14ac:dyDescent="0.25">
      <c r="F983110" s="9">
        <v>3</v>
      </c>
    </row>
    <row r="983111" spans="6:6" x14ac:dyDescent="0.25">
      <c r="F983111" s="9">
        <v>6</v>
      </c>
    </row>
    <row r="983112" spans="6:6" x14ac:dyDescent="0.25">
      <c r="F983112" s="9">
        <v>3</v>
      </c>
    </row>
    <row r="983113" spans="6:6" x14ac:dyDescent="0.25">
      <c r="F983113" s="9">
        <v>2</v>
      </c>
    </row>
    <row r="983114" spans="6:6" x14ac:dyDescent="0.25">
      <c r="F983114" s="9">
        <v>5</v>
      </c>
    </row>
    <row r="983115" spans="6:6" x14ac:dyDescent="0.25">
      <c r="F983115" s="9">
        <v>3</v>
      </c>
    </row>
    <row r="983116" spans="6:6" x14ac:dyDescent="0.25">
      <c r="F983116" s="9">
        <v>4</v>
      </c>
    </row>
    <row r="983117" spans="6:6" x14ac:dyDescent="0.25">
      <c r="F983117" s="9">
        <v>2</v>
      </c>
    </row>
    <row r="983118" spans="6:6" x14ac:dyDescent="0.25">
      <c r="F983118" s="9">
        <v>4</v>
      </c>
    </row>
    <row r="983119" spans="6:6" x14ac:dyDescent="0.25">
      <c r="F983119" s="9">
        <v>3</v>
      </c>
    </row>
    <row r="983120" spans="6:6" x14ac:dyDescent="0.25">
      <c r="F983120" s="9">
        <v>3</v>
      </c>
    </row>
    <row r="983121" spans="6:6" x14ac:dyDescent="0.25">
      <c r="F983121" s="9">
        <v>4</v>
      </c>
    </row>
    <row r="983122" spans="6:6" x14ac:dyDescent="0.25">
      <c r="F983122" s="9">
        <v>3</v>
      </c>
    </row>
    <row r="983123" spans="6:6" x14ac:dyDescent="0.25">
      <c r="F983123" s="9">
        <v>2</v>
      </c>
    </row>
    <row r="983124" spans="6:6" x14ac:dyDescent="0.25">
      <c r="F983124" s="9">
        <v>3</v>
      </c>
    </row>
    <row r="983125" spans="6:6" x14ac:dyDescent="0.25">
      <c r="F983125" s="9">
        <v>7</v>
      </c>
    </row>
    <row r="983126" spans="6:6" x14ac:dyDescent="0.25">
      <c r="F983126" s="9">
        <v>6</v>
      </c>
    </row>
    <row r="983127" spans="6:6" x14ac:dyDescent="0.25">
      <c r="F983127" s="9">
        <v>5</v>
      </c>
    </row>
    <row r="983128" spans="6:6" x14ac:dyDescent="0.25">
      <c r="F983128" s="9">
        <v>5</v>
      </c>
    </row>
    <row r="983129" spans="6:6" x14ac:dyDescent="0.25">
      <c r="F983129" s="9">
        <v>4</v>
      </c>
    </row>
    <row r="983130" spans="6:6" x14ac:dyDescent="0.25">
      <c r="F983130" s="9">
        <v>5</v>
      </c>
    </row>
    <row r="983131" spans="6:6" x14ac:dyDescent="0.25">
      <c r="F983131" s="9">
        <v>5</v>
      </c>
    </row>
    <row r="983132" spans="6:6" x14ac:dyDescent="0.25">
      <c r="F983132" s="9">
        <v>2</v>
      </c>
    </row>
    <row r="983133" spans="6:6" x14ac:dyDescent="0.25">
      <c r="F983133" s="9">
        <v>3</v>
      </c>
    </row>
    <row r="983134" spans="6:6" x14ac:dyDescent="0.25">
      <c r="F983134" s="9">
        <v>2</v>
      </c>
    </row>
    <row r="983135" spans="6:6" x14ac:dyDescent="0.25">
      <c r="F983135" s="9">
        <v>3</v>
      </c>
    </row>
    <row r="983136" spans="6:6" x14ac:dyDescent="0.25">
      <c r="F983136" s="9">
        <v>4</v>
      </c>
    </row>
    <row r="983137" spans="6:6" x14ac:dyDescent="0.25">
      <c r="F983137" s="9">
        <v>4</v>
      </c>
    </row>
    <row r="983138" spans="6:6" x14ac:dyDescent="0.25">
      <c r="F983138" s="9">
        <v>2</v>
      </c>
    </row>
    <row r="983139" spans="6:6" x14ac:dyDescent="0.25">
      <c r="F983139" s="9">
        <v>3</v>
      </c>
    </row>
    <row r="983140" spans="6:6" x14ac:dyDescent="0.25">
      <c r="F983140" s="9">
        <v>3</v>
      </c>
    </row>
    <row r="983141" spans="6:6" x14ac:dyDescent="0.25">
      <c r="F983141" s="9">
        <v>3</v>
      </c>
    </row>
    <row r="983142" spans="6:6" x14ac:dyDescent="0.25">
      <c r="F983142" s="9">
        <v>2</v>
      </c>
    </row>
    <row r="983143" spans="6:6" x14ac:dyDescent="0.25">
      <c r="F983143" s="9">
        <v>3</v>
      </c>
    </row>
    <row r="983144" spans="6:6" x14ac:dyDescent="0.25">
      <c r="F983144" s="9">
        <v>3</v>
      </c>
    </row>
    <row r="983145" spans="6:6" x14ac:dyDescent="0.25">
      <c r="F983145" s="9">
        <v>3</v>
      </c>
    </row>
    <row r="983146" spans="6:6" x14ac:dyDescent="0.25">
      <c r="F983146" s="9">
        <v>4</v>
      </c>
    </row>
    <row r="983147" spans="6:6" x14ac:dyDescent="0.25">
      <c r="F983147" s="9">
        <v>4</v>
      </c>
    </row>
    <row r="983148" spans="6:6" x14ac:dyDescent="0.25">
      <c r="F983148" s="9">
        <v>2</v>
      </c>
    </row>
    <row r="983149" spans="6:6" x14ac:dyDescent="0.25">
      <c r="F983149" s="9">
        <v>3</v>
      </c>
    </row>
    <row r="983150" spans="6:6" x14ac:dyDescent="0.25">
      <c r="F983150" s="9">
        <v>1</v>
      </c>
    </row>
    <row r="983151" spans="6:6" x14ac:dyDescent="0.25">
      <c r="F983151" s="9">
        <v>1</v>
      </c>
    </row>
    <row r="983152" spans="6:6" x14ac:dyDescent="0.25">
      <c r="F983152" s="9">
        <v>1</v>
      </c>
    </row>
    <row r="983153" spans="6:6" x14ac:dyDescent="0.25">
      <c r="F983153" s="9" t="s">
        <v>133</v>
      </c>
    </row>
    <row r="983154" spans="6:6" x14ac:dyDescent="0.25">
      <c r="F983154" s="6" t="s">
        <v>172</v>
      </c>
    </row>
    <row r="983155" spans="6:6" x14ac:dyDescent="0.25">
      <c r="F983155" s="9" t="s">
        <v>263</v>
      </c>
    </row>
    <row r="983156" spans="6:6" x14ac:dyDescent="0.25">
      <c r="F983156" s="33" t="s">
        <v>264</v>
      </c>
    </row>
    <row r="999425" spans="6:6" x14ac:dyDescent="0.25">
      <c r="F999425" s="84"/>
    </row>
    <row r="999426" spans="6:6" x14ac:dyDescent="0.25">
      <c r="F999426" s="46"/>
    </row>
    <row r="999427" spans="6:6" x14ac:dyDescent="0.25">
      <c r="F999427" s="9">
        <v>4</v>
      </c>
    </row>
    <row r="999428" spans="6:6" x14ac:dyDescent="0.25">
      <c r="F999428" s="9">
        <v>6</v>
      </c>
    </row>
    <row r="999429" spans="6:6" x14ac:dyDescent="0.25">
      <c r="F999429" s="9">
        <v>6</v>
      </c>
    </row>
    <row r="999430" spans="6:6" x14ac:dyDescent="0.25">
      <c r="F999430" s="9">
        <v>6</v>
      </c>
    </row>
    <row r="999431" spans="6:6" x14ac:dyDescent="0.25">
      <c r="F999431" s="9">
        <v>4</v>
      </c>
    </row>
    <row r="999432" spans="6:6" x14ac:dyDescent="0.25">
      <c r="F999432" s="9">
        <v>4</v>
      </c>
    </row>
    <row r="999433" spans="6:6" x14ac:dyDescent="0.25">
      <c r="F999433" s="9">
        <v>5</v>
      </c>
    </row>
    <row r="999434" spans="6:6" x14ac:dyDescent="0.25">
      <c r="F999434" s="9">
        <v>5</v>
      </c>
    </row>
    <row r="999435" spans="6:6" x14ac:dyDescent="0.25">
      <c r="F999435" s="9">
        <v>10</v>
      </c>
    </row>
    <row r="999436" spans="6:6" x14ac:dyDescent="0.25">
      <c r="F999436" s="9">
        <v>8</v>
      </c>
    </row>
    <row r="999437" spans="6:6" x14ac:dyDescent="0.25">
      <c r="F999437" s="9">
        <v>9</v>
      </c>
    </row>
    <row r="999438" spans="6:6" x14ac:dyDescent="0.25">
      <c r="F999438" s="9">
        <v>8</v>
      </c>
    </row>
    <row r="999439" spans="6:6" x14ac:dyDescent="0.25">
      <c r="F999439" s="9">
        <v>8</v>
      </c>
    </row>
    <row r="999440" spans="6:6" x14ac:dyDescent="0.25">
      <c r="F999440" s="9">
        <v>8</v>
      </c>
    </row>
    <row r="999441" spans="6:6" x14ac:dyDescent="0.25">
      <c r="F999441" s="9">
        <v>8</v>
      </c>
    </row>
    <row r="999442" spans="6:6" x14ac:dyDescent="0.25">
      <c r="F999442" s="9">
        <v>5</v>
      </c>
    </row>
    <row r="999443" spans="6:6" x14ac:dyDescent="0.25">
      <c r="F999443" s="9">
        <v>5</v>
      </c>
    </row>
    <row r="999444" spans="6:6" x14ac:dyDescent="0.25">
      <c r="F999444" s="9">
        <v>7</v>
      </c>
    </row>
    <row r="999445" spans="6:6" x14ac:dyDescent="0.25">
      <c r="F999445" s="9">
        <v>5</v>
      </c>
    </row>
    <row r="999446" spans="6:6" x14ac:dyDescent="0.25">
      <c r="F999446" s="9">
        <v>5</v>
      </c>
    </row>
    <row r="999447" spans="6:6" x14ac:dyDescent="0.25">
      <c r="F999447" s="9">
        <v>5</v>
      </c>
    </row>
    <row r="999448" spans="6:6" x14ac:dyDescent="0.25">
      <c r="F999448" s="9">
        <v>4</v>
      </c>
    </row>
    <row r="999449" spans="6:6" x14ac:dyDescent="0.25">
      <c r="F999449" s="9">
        <v>6</v>
      </c>
    </row>
    <row r="999450" spans="6:6" x14ac:dyDescent="0.25">
      <c r="F999450" s="9">
        <v>4</v>
      </c>
    </row>
    <row r="999451" spans="6:6" x14ac:dyDescent="0.25">
      <c r="F999451" s="9">
        <v>4</v>
      </c>
    </row>
    <row r="999452" spans="6:6" x14ac:dyDescent="0.25">
      <c r="F999452" s="9">
        <v>6</v>
      </c>
    </row>
    <row r="999453" spans="6:6" x14ac:dyDescent="0.25">
      <c r="F999453" s="9">
        <v>4</v>
      </c>
    </row>
    <row r="999454" spans="6:6" x14ac:dyDescent="0.25">
      <c r="F999454" s="9">
        <v>6</v>
      </c>
    </row>
    <row r="999455" spans="6:6" x14ac:dyDescent="0.25">
      <c r="F999455" s="9">
        <v>4</v>
      </c>
    </row>
    <row r="999456" spans="6:6" x14ac:dyDescent="0.25">
      <c r="F999456" s="9">
        <v>6</v>
      </c>
    </row>
    <row r="999457" spans="6:6" x14ac:dyDescent="0.25">
      <c r="F999457" s="9">
        <v>4</v>
      </c>
    </row>
    <row r="999458" spans="6:6" x14ac:dyDescent="0.25">
      <c r="F999458" s="9">
        <v>6</v>
      </c>
    </row>
    <row r="999459" spans="6:6" x14ac:dyDescent="0.25">
      <c r="F999459" s="9">
        <v>6</v>
      </c>
    </row>
    <row r="999460" spans="6:6" x14ac:dyDescent="0.25">
      <c r="F999460" s="9">
        <v>5</v>
      </c>
    </row>
    <row r="999461" spans="6:6" x14ac:dyDescent="0.25">
      <c r="F999461" s="9">
        <v>3</v>
      </c>
    </row>
    <row r="999462" spans="6:6" x14ac:dyDescent="0.25">
      <c r="F999462" s="9">
        <v>4</v>
      </c>
    </row>
    <row r="999463" spans="6:6" x14ac:dyDescent="0.25">
      <c r="F999463" s="9">
        <v>4</v>
      </c>
    </row>
    <row r="999464" spans="6:6" x14ac:dyDescent="0.25">
      <c r="F999464" s="9">
        <v>5</v>
      </c>
    </row>
    <row r="999465" spans="6:6" x14ac:dyDescent="0.25">
      <c r="F999465" s="9">
        <v>5</v>
      </c>
    </row>
    <row r="999466" spans="6:6" x14ac:dyDescent="0.25">
      <c r="F999466" s="9">
        <v>2</v>
      </c>
    </row>
    <row r="999467" spans="6:6" x14ac:dyDescent="0.25">
      <c r="F999467" s="9">
        <v>6</v>
      </c>
    </row>
    <row r="999468" spans="6:6" x14ac:dyDescent="0.25">
      <c r="F999468" s="9">
        <v>7</v>
      </c>
    </row>
    <row r="999469" spans="6:6" x14ac:dyDescent="0.25">
      <c r="F999469" s="9">
        <v>3</v>
      </c>
    </row>
    <row r="999470" spans="6:6" x14ac:dyDescent="0.25">
      <c r="F999470" s="9">
        <v>3</v>
      </c>
    </row>
    <row r="999471" spans="6:6" x14ac:dyDescent="0.25">
      <c r="F999471" s="9">
        <v>3</v>
      </c>
    </row>
    <row r="999472" spans="6:6" x14ac:dyDescent="0.25">
      <c r="F999472" s="9">
        <v>3</v>
      </c>
    </row>
    <row r="999473" spans="6:6" x14ac:dyDescent="0.25">
      <c r="F999473" s="9">
        <v>6</v>
      </c>
    </row>
    <row r="999474" spans="6:6" x14ac:dyDescent="0.25">
      <c r="F999474" s="9">
        <v>1</v>
      </c>
    </row>
    <row r="999475" spans="6:6" x14ac:dyDescent="0.25">
      <c r="F999475" s="9">
        <v>5</v>
      </c>
    </row>
    <row r="999476" spans="6:6" x14ac:dyDescent="0.25">
      <c r="F999476" s="9">
        <v>6</v>
      </c>
    </row>
    <row r="999477" spans="6:6" x14ac:dyDescent="0.25">
      <c r="F999477" s="9">
        <v>4</v>
      </c>
    </row>
    <row r="999478" spans="6:6" x14ac:dyDescent="0.25">
      <c r="F999478" s="9">
        <v>3</v>
      </c>
    </row>
    <row r="999479" spans="6:6" x14ac:dyDescent="0.25">
      <c r="F999479" s="9">
        <v>4</v>
      </c>
    </row>
    <row r="999480" spans="6:6" x14ac:dyDescent="0.25">
      <c r="F999480" s="9">
        <v>3</v>
      </c>
    </row>
    <row r="999481" spans="6:6" x14ac:dyDescent="0.25">
      <c r="F999481" s="9">
        <v>1</v>
      </c>
    </row>
    <row r="999482" spans="6:6" x14ac:dyDescent="0.25">
      <c r="F999482" s="9">
        <v>5</v>
      </c>
    </row>
    <row r="999483" spans="6:6" x14ac:dyDescent="0.25">
      <c r="F999483" s="9">
        <v>4</v>
      </c>
    </row>
    <row r="999484" spans="6:6" x14ac:dyDescent="0.25">
      <c r="F999484" s="9">
        <v>6</v>
      </c>
    </row>
    <row r="999485" spans="6:6" x14ac:dyDescent="0.25">
      <c r="F999485" s="9">
        <v>2</v>
      </c>
    </row>
    <row r="999486" spans="6:6" x14ac:dyDescent="0.25">
      <c r="F999486" s="9">
        <v>2</v>
      </c>
    </row>
    <row r="999487" spans="6:6" x14ac:dyDescent="0.25">
      <c r="F999487" s="9">
        <v>4</v>
      </c>
    </row>
    <row r="999488" spans="6:6" x14ac:dyDescent="0.25">
      <c r="F999488" s="9">
        <v>3</v>
      </c>
    </row>
    <row r="999489" spans="6:6" x14ac:dyDescent="0.25">
      <c r="F999489" s="9">
        <v>2</v>
      </c>
    </row>
    <row r="999490" spans="6:6" x14ac:dyDescent="0.25">
      <c r="F999490" s="9">
        <v>7</v>
      </c>
    </row>
    <row r="999491" spans="6:6" x14ac:dyDescent="0.25">
      <c r="F999491" s="9">
        <v>8</v>
      </c>
    </row>
    <row r="999492" spans="6:6" x14ac:dyDescent="0.25">
      <c r="F999492" s="9">
        <v>7</v>
      </c>
    </row>
    <row r="999493" spans="6:6" x14ac:dyDescent="0.25">
      <c r="F999493" s="9">
        <v>6</v>
      </c>
    </row>
    <row r="999494" spans="6:6" x14ac:dyDescent="0.25">
      <c r="F999494" s="9">
        <v>3</v>
      </c>
    </row>
    <row r="999495" spans="6:6" x14ac:dyDescent="0.25">
      <c r="F999495" s="9">
        <v>6</v>
      </c>
    </row>
    <row r="999496" spans="6:6" x14ac:dyDescent="0.25">
      <c r="F999496" s="9">
        <v>3</v>
      </c>
    </row>
    <row r="999497" spans="6:6" x14ac:dyDescent="0.25">
      <c r="F999497" s="9">
        <v>2</v>
      </c>
    </row>
    <row r="999498" spans="6:6" x14ac:dyDescent="0.25">
      <c r="F999498" s="9">
        <v>5</v>
      </c>
    </row>
    <row r="999499" spans="6:6" x14ac:dyDescent="0.25">
      <c r="F999499" s="9">
        <v>3</v>
      </c>
    </row>
    <row r="999500" spans="6:6" x14ac:dyDescent="0.25">
      <c r="F999500" s="9">
        <v>4</v>
      </c>
    </row>
    <row r="999501" spans="6:6" x14ac:dyDescent="0.25">
      <c r="F999501" s="9">
        <v>2</v>
      </c>
    </row>
    <row r="999502" spans="6:6" x14ac:dyDescent="0.25">
      <c r="F999502" s="9">
        <v>4</v>
      </c>
    </row>
    <row r="999503" spans="6:6" x14ac:dyDescent="0.25">
      <c r="F999503" s="9">
        <v>3</v>
      </c>
    </row>
    <row r="999504" spans="6:6" x14ac:dyDescent="0.25">
      <c r="F999504" s="9">
        <v>3</v>
      </c>
    </row>
    <row r="999505" spans="6:6" x14ac:dyDescent="0.25">
      <c r="F999505" s="9">
        <v>4</v>
      </c>
    </row>
    <row r="999506" spans="6:6" x14ac:dyDescent="0.25">
      <c r="F999506" s="9">
        <v>3</v>
      </c>
    </row>
    <row r="999507" spans="6:6" x14ac:dyDescent="0.25">
      <c r="F999507" s="9">
        <v>2</v>
      </c>
    </row>
    <row r="999508" spans="6:6" x14ac:dyDescent="0.25">
      <c r="F999508" s="9">
        <v>3</v>
      </c>
    </row>
    <row r="999509" spans="6:6" x14ac:dyDescent="0.25">
      <c r="F999509" s="9">
        <v>7</v>
      </c>
    </row>
    <row r="999510" spans="6:6" x14ac:dyDescent="0.25">
      <c r="F999510" s="9">
        <v>6</v>
      </c>
    </row>
    <row r="999511" spans="6:6" x14ac:dyDescent="0.25">
      <c r="F999511" s="9">
        <v>5</v>
      </c>
    </row>
    <row r="999512" spans="6:6" x14ac:dyDescent="0.25">
      <c r="F999512" s="9">
        <v>5</v>
      </c>
    </row>
    <row r="999513" spans="6:6" x14ac:dyDescent="0.25">
      <c r="F999513" s="9">
        <v>4</v>
      </c>
    </row>
    <row r="999514" spans="6:6" x14ac:dyDescent="0.25">
      <c r="F999514" s="9">
        <v>5</v>
      </c>
    </row>
    <row r="999515" spans="6:6" x14ac:dyDescent="0.25">
      <c r="F999515" s="9">
        <v>5</v>
      </c>
    </row>
    <row r="999516" spans="6:6" x14ac:dyDescent="0.25">
      <c r="F999516" s="9">
        <v>2</v>
      </c>
    </row>
    <row r="999517" spans="6:6" x14ac:dyDescent="0.25">
      <c r="F999517" s="9">
        <v>3</v>
      </c>
    </row>
    <row r="999518" spans="6:6" x14ac:dyDescent="0.25">
      <c r="F999518" s="9">
        <v>2</v>
      </c>
    </row>
    <row r="999519" spans="6:6" x14ac:dyDescent="0.25">
      <c r="F999519" s="9">
        <v>3</v>
      </c>
    </row>
    <row r="999520" spans="6:6" x14ac:dyDescent="0.25">
      <c r="F999520" s="9">
        <v>4</v>
      </c>
    </row>
    <row r="999521" spans="6:6" x14ac:dyDescent="0.25">
      <c r="F999521" s="9">
        <v>4</v>
      </c>
    </row>
    <row r="999522" spans="6:6" x14ac:dyDescent="0.25">
      <c r="F999522" s="9">
        <v>2</v>
      </c>
    </row>
    <row r="999523" spans="6:6" x14ac:dyDescent="0.25">
      <c r="F999523" s="9">
        <v>3</v>
      </c>
    </row>
    <row r="999524" spans="6:6" x14ac:dyDescent="0.25">
      <c r="F999524" s="9">
        <v>3</v>
      </c>
    </row>
    <row r="999525" spans="6:6" x14ac:dyDescent="0.25">
      <c r="F999525" s="9">
        <v>3</v>
      </c>
    </row>
    <row r="999526" spans="6:6" x14ac:dyDescent="0.25">
      <c r="F999526" s="9">
        <v>2</v>
      </c>
    </row>
    <row r="999527" spans="6:6" x14ac:dyDescent="0.25">
      <c r="F999527" s="9">
        <v>3</v>
      </c>
    </row>
    <row r="999528" spans="6:6" x14ac:dyDescent="0.25">
      <c r="F999528" s="9">
        <v>3</v>
      </c>
    </row>
    <row r="999529" spans="6:6" x14ac:dyDescent="0.25">
      <c r="F999529" s="9">
        <v>3</v>
      </c>
    </row>
    <row r="999530" spans="6:6" x14ac:dyDescent="0.25">
      <c r="F999530" s="9">
        <v>4</v>
      </c>
    </row>
    <row r="999531" spans="6:6" x14ac:dyDescent="0.25">
      <c r="F999531" s="9">
        <v>4</v>
      </c>
    </row>
    <row r="999532" spans="6:6" x14ac:dyDescent="0.25">
      <c r="F999532" s="9">
        <v>2</v>
      </c>
    </row>
    <row r="999533" spans="6:6" x14ac:dyDescent="0.25">
      <c r="F999533" s="9">
        <v>3</v>
      </c>
    </row>
    <row r="999534" spans="6:6" x14ac:dyDescent="0.25">
      <c r="F999534" s="9">
        <v>1</v>
      </c>
    </row>
    <row r="999535" spans="6:6" x14ac:dyDescent="0.25">
      <c r="F999535" s="9">
        <v>1</v>
      </c>
    </row>
    <row r="999536" spans="6:6" x14ac:dyDescent="0.25">
      <c r="F999536" s="9">
        <v>1</v>
      </c>
    </row>
    <row r="999537" spans="6:6" x14ac:dyDescent="0.25">
      <c r="F999537" s="9" t="s">
        <v>133</v>
      </c>
    </row>
    <row r="999538" spans="6:6" x14ac:dyDescent="0.25">
      <c r="F999538" s="6" t="s">
        <v>172</v>
      </c>
    </row>
    <row r="999539" spans="6:6" x14ac:dyDescent="0.25">
      <c r="F999539" s="9" t="s">
        <v>263</v>
      </c>
    </row>
    <row r="999540" spans="6:6" x14ac:dyDescent="0.25">
      <c r="F999540" s="33" t="s">
        <v>264</v>
      </c>
    </row>
    <row r="1015809" spans="6:6" x14ac:dyDescent="0.25">
      <c r="F1015809" s="84"/>
    </row>
    <row r="1015810" spans="6:6" x14ac:dyDescent="0.25">
      <c r="F1015810" s="46"/>
    </row>
    <row r="1015811" spans="6:6" x14ac:dyDescent="0.25">
      <c r="F1015811" s="9">
        <v>4</v>
      </c>
    </row>
    <row r="1015812" spans="6:6" x14ac:dyDescent="0.25">
      <c r="F1015812" s="9">
        <v>6</v>
      </c>
    </row>
    <row r="1015813" spans="6:6" x14ac:dyDescent="0.25">
      <c r="F1015813" s="9">
        <v>6</v>
      </c>
    </row>
    <row r="1015814" spans="6:6" x14ac:dyDescent="0.25">
      <c r="F1015814" s="9">
        <v>6</v>
      </c>
    </row>
    <row r="1015815" spans="6:6" x14ac:dyDescent="0.25">
      <c r="F1015815" s="9">
        <v>4</v>
      </c>
    </row>
    <row r="1015816" spans="6:6" x14ac:dyDescent="0.25">
      <c r="F1015816" s="9">
        <v>4</v>
      </c>
    </row>
    <row r="1015817" spans="6:6" x14ac:dyDescent="0.25">
      <c r="F1015817" s="9">
        <v>5</v>
      </c>
    </row>
    <row r="1015818" spans="6:6" x14ac:dyDescent="0.25">
      <c r="F1015818" s="9">
        <v>5</v>
      </c>
    </row>
    <row r="1015819" spans="6:6" x14ac:dyDescent="0.25">
      <c r="F1015819" s="9">
        <v>10</v>
      </c>
    </row>
    <row r="1015820" spans="6:6" x14ac:dyDescent="0.25">
      <c r="F1015820" s="9">
        <v>8</v>
      </c>
    </row>
    <row r="1015821" spans="6:6" x14ac:dyDescent="0.25">
      <c r="F1015821" s="9">
        <v>9</v>
      </c>
    </row>
    <row r="1015822" spans="6:6" x14ac:dyDescent="0.25">
      <c r="F1015822" s="9">
        <v>8</v>
      </c>
    </row>
    <row r="1015823" spans="6:6" x14ac:dyDescent="0.25">
      <c r="F1015823" s="9">
        <v>8</v>
      </c>
    </row>
    <row r="1015824" spans="6:6" x14ac:dyDescent="0.25">
      <c r="F1015824" s="9">
        <v>8</v>
      </c>
    </row>
    <row r="1015825" spans="6:6" x14ac:dyDescent="0.25">
      <c r="F1015825" s="9">
        <v>8</v>
      </c>
    </row>
    <row r="1015826" spans="6:6" x14ac:dyDescent="0.25">
      <c r="F1015826" s="9">
        <v>5</v>
      </c>
    </row>
    <row r="1015827" spans="6:6" x14ac:dyDescent="0.25">
      <c r="F1015827" s="9">
        <v>5</v>
      </c>
    </row>
    <row r="1015828" spans="6:6" x14ac:dyDescent="0.25">
      <c r="F1015828" s="9">
        <v>7</v>
      </c>
    </row>
    <row r="1015829" spans="6:6" x14ac:dyDescent="0.25">
      <c r="F1015829" s="9">
        <v>5</v>
      </c>
    </row>
    <row r="1015830" spans="6:6" x14ac:dyDescent="0.25">
      <c r="F1015830" s="9">
        <v>5</v>
      </c>
    </row>
    <row r="1015831" spans="6:6" x14ac:dyDescent="0.25">
      <c r="F1015831" s="9">
        <v>5</v>
      </c>
    </row>
    <row r="1015832" spans="6:6" x14ac:dyDescent="0.25">
      <c r="F1015832" s="9">
        <v>4</v>
      </c>
    </row>
    <row r="1015833" spans="6:6" x14ac:dyDescent="0.25">
      <c r="F1015833" s="9">
        <v>6</v>
      </c>
    </row>
    <row r="1015834" spans="6:6" x14ac:dyDescent="0.25">
      <c r="F1015834" s="9">
        <v>4</v>
      </c>
    </row>
    <row r="1015835" spans="6:6" x14ac:dyDescent="0.25">
      <c r="F1015835" s="9">
        <v>4</v>
      </c>
    </row>
    <row r="1015836" spans="6:6" x14ac:dyDescent="0.25">
      <c r="F1015836" s="9">
        <v>6</v>
      </c>
    </row>
    <row r="1015837" spans="6:6" x14ac:dyDescent="0.25">
      <c r="F1015837" s="9">
        <v>4</v>
      </c>
    </row>
    <row r="1015838" spans="6:6" x14ac:dyDescent="0.25">
      <c r="F1015838" s="9">
        <v>6</v>
      </c>
    </row>
    <row r="1015839" spans="6:6" x14ac:dyDescent="0.25">
      <c r="F1015839" s="9">
        <v>4</v>
      </c>
    </row>
    <row r="1015840" spans="6:6" x14ac:dyDescent="0.25">
      <c r="F1015840" s="9">
        <v>6</v>
      </c>
    </row>
    <row r="1015841" spans="6:6" x14ac:dyDescent="0.25">
      <c r="F1015841" s="9">
        <v>4</v>
      </c>
    </row>
    <row r="1015842" spans="6:6" x14ac:dyDescent="0.25">
      <c r="F1015842" s="9">
        <v>6</v>
      </c>
    </row>
    <row r="1015843" spans="6:6" x14ac:dyDescent="0.25">
      <c r="F1015843" s="9">
        <v>6</v>
      </c>
    </row>
    <row r="1015844" spans="6:6" x14ac:dyDescent="0.25">
      <c r="F1015844" s="9">
        <v>5</v>
      </c>
    </row>
    <row r="1015845" spans="6:6" x14ac:dyDescent="0.25">
      <c r="F1015845" s="9">
        <v>3</v>
      </c>
    </row>
    <row r="1015846" spans="6:6" x14ac:dyDescent="0.25">
      <c r="F1015846" s="9">
        <v>4</v>
      </c>
    </row>
    <row r="1015847" spans="6:6" x14ac:dyDescent="0.25">
      <c r="F1015847" s="9">
        <v>4</v>
      </c>
    </row>
    <row r="1015848" spans="6:6" x14ac:dyDescent="0.25">
      <c r="F1015848" s="9">
        <v>5</v>
      </c>
    </row>
    <row r="1015849" spans="6:6" x14ac:dyDescent="0.25">
      <c r="F1015849" s="9">
        <v>5</v>
      </c>
    </row>
    <row r="1015850" spans="6:6" x14ac:dyDescent="0.25">
      <c r="F1015850" s="9">
        <v>2</v>
      </c>
    </row>
    <row r="1015851" spans="6:6" x14ac:dyDescent="0.25">
      <c r="F1015851" s="9">
        <v>6</v>
      </c>
    </row>
    <row r="1015852" spans="6:6" x14ac:dyDescent="0.25">
      <c r="F1015852" s="9">
        <v>7</v>
      </c>
    </row>
    <row r="1015853" spans="6:6" x14ac:dyDescent="0.25">
      <c r="F1015853" s="9">
        <v>3</v>
      </c>
    </row>
    <row r="1015854" spans="6:6" x14ac:dyDescent="0.25">
      <c r="F1015854" s="9">
        <v>3</v>
      </c>
    </row>
    <row r="1015855" spans="6:6" x14ac:dyDescent="0.25">
      <c r="F1015855" s="9">
        <v>3</v>
      </c>
    </row>
    <row r="1015856" spans="6:6" x14ac:dyDescent="0.25">
      <c r="F1015856" s="9">
        <v>3</v>
      </c>
    </row>
    <row r="1015857" spans="6:6" x14ac:dyDescent="0.25">
      <c r="F1015857" s="9">
        <v>6</v>
      </c>
    </row>
    <row r="1015858" spans="6:6" x14ac:dyDescent="0.25">
      <c r="F1015858" s="9">
        <v>1</v>
      </c>
    </row>
    <row r="1015859" spans="6:6" x14ac:dyDescent="0.25">
      <c r="F1015859" s="9">
        <v>5</v>
      </c>
    </row>
    <row r="1015860" spans="6:6" x14ac:dyDescent="0.25">
      <c r="F1015860" s="9">
        <v>6</v>
      </c>
    </row>
    <row r="1015861" spans="6:6" x14ac:dyDescent="0.25">
      <c r="F1015861" s="9">
        <v>4</v>
      </c>
    </row>
    <row r="1015862" spans="6:6" x14ac:dyDescent="0.25">
      <c r="F1015862" s="9">
        <v>3</v>
      </c>
    </row>
    <row r="1015863" spans="6:6" x14ac:dyDescent="0.25">
      <c r="F1015863" s="9">
        <v>4</v>
      </c>
    </row>
    <row r="1015864" spans="6:6" x14ac:dyDescent="0.25">
      <c r="F1015864" s="9">
        <v>3</v>
      </c>
    </row>
    <row r="1015865" spans="6:6" x14ac:dyDescent="0.25">
      <c r="F1015865" s="9">
        <v>1</v>
      </c>
    </row>
    <row r="1015866" spans="6:6" x14ac:dyDescent="0.25">
      <c r="F1015866" s="9">
        <v>5</v>
      </c>
    </row>
    <row r="1015867" spans="6:6" x14ac:dyDescent="0.25">
      <c r="F1015867" s="9">
        <v>4</v>
      </c>
    </row>
    <row r="1015868" spans="6:6" x14ac:dyDescent="0.25">
      <c r="F1015868" s="9">
        <v>6</v>
      </c>
    </row>
    <row r="1015869" spans="6:6" x14ac:dyDescent="0.25">
      <c r="F1015869" s="9">
        <v>2</v>
      </c>
    </row>
    <row r="1015870" spans="6:6" x14ac:dyDescent="0.25">
      <c r="F1015870" s="9">
        <v>2</v>
      </c>
    </row>
    <row r="1015871" spans="6:6" x14ac:dyDescent="0.25">
      <c r="F1015871" s="9">
        <v>4</v>
      </c>
    </row>
    <row r="1015872" spans="6:6" x14ac:dyDescent="0.25">
      <c r="F1015872" s="9">
        <v>3</v>
      </c>
    </row>
    <row r="1015873" spans="6:6" x14ac:dyDescent="0.25">
      <c r="F1015873" s="9">
        <v>2</v>
      </c>
    </row>
    <row r="1015874" spans="6:6" x14ac:dyDescent="0.25">
      <c r="F1015874" s="9">
        <v>7</v>
      </c>
    </row>
    <row r="1015875" spans="6:6" x14ac:dyDescent="0.25">
      <c r="F1015875" s="9">
        <v>8</v>
      </c>
    </row>
    <row r="1015876" spans="6:6" x14ac:dyDescent="0.25">
      <c r="F1015876" s="9">
        <v>7</v>
      </c>
    </row>
    <row r="1015877" spans="6:6" x14ac:dyDescent="0.25">
      <c r="F1015877" s="9">
        <v>6</v>
      </c>
    </row>
    <row r="1015878" spans="6:6" x14ac:dyDescent="0.25">
      <c r="F1015878" s="9">
        <v>3</v>
      </c>
    </row>
    <row r="1015879" spans="6:6" x14ac:dyDescent="0.25">
      <c r="F1015879" s="9">
        <v>6</v>
      </c>
    </row>
    <row r="1015880" spans="6:6" x14ac:dyDescent="0.25">
      <c r="F1015880" s="9">
        <v>3</v>
      </c>
    </row>
    <row r="1015881" spans="6:6" x14ac:dyDescent="0.25">
      <c r="F1015881" s="9">
        <v>2</v>
      </c>
    </row>
    <row r="1015882" spans="6:6" x14ac:dyDescent="0.25">
      <c r="F1015882" s="9">
        <v>5</v>
      </c>
    </row>
    <row r="1015883" spans="6:6" x14ac:dyDescent="0.25">
      <c r="F1015883" s="9">
        <v>3</v>
      </c>
    </row>
    <row r="1015884" spans="6:6" x14ac:dyDescent="0.25">
      <c r="F1015884" s="9">
        <v>4</v>
      </c>
    </row>
    <row r="1015885" spans="6:6" x14ac:dyDescent="0.25">
      <c r="F1015885" s="9">
        <v>2</v>
      </c>
    </row>
    <row r="1015886" spans="6:6" x14ac:dyDescent="0.25">
      <c r="F1015886" s="9">
        <v>4</v>
      </c>
    </row>
    <row r="1015887" spans="6:6" x14ac:dyDescent="0.25">
      <c r="F1015887" s="9">
        <v>3</v>
      </c>
    </row>
    <row r="1015888" spans="6:6" x14ac:dyDescent="0.25">
      <c r="F1015888" s="9">
        <v>3</v>
      </c>
    </row>
    <row r="1015889" spans="6:6" x14ac:dyDescent="0.25">
      <c r="F1015889" s="9">
        <v>4</v>
      </c>
    </row>
    <row r="1015890" spans="6:6" x14ac:dyDescent="0.25">
      <c r="F1015890" s="9">
        <v>3</v>
      </c>
    </row>
    <row r="1015891" spans="6:6" x14ac:dyDescent="0.25">
      <c r="F1015891" s="9">
        <v>2</v>
      </c>
    </row>
    <row r="1015892" spans="6:6" x14ac:dyDescent="0.25">
      <c r="F1015892" s="9">
        <v>3</v>
      </c>
    </row>
    <row r="1015893" spans="6:6" x14ac:dyDescent="0.25">
      <c r="F1015893" s="9">
        <v>7</v>
      </c>
    </row>
    <row r="1015894" spans="6:6" x14ac:dyDescent="0.25">
      <c r="F1015894" s="9">
        <v>6</v>
      </c>
    </row>
    <row r="1015895" spans="6:6" x14ac:dyDescent="0.25">
      <c r="F1015895" s="9">
        <v>5</v>
      </c>
    </row>
    <row r="1015896" spans="6:6" x14ac:dyDescent="0.25">
      <c r="F1015896" s="9">
        <v>5</v>
      </c>
    </row>
    <row r="1015897" spans="6:6" x14ac:dyDescent="0.25">
      <c r="F1015897" s="9">
        <v>4</v>
      </c>
    </row>
    <row r="1015898" spans="6:6" x14ac:dyDescent="0.25">
      <c r="F1015898" s="9">
        <v>5</v>
      </c>
    </row>
    <row r="1015899" spans="6:6" x14ac:dyDescent="0.25">
      <c r="F1015899" s="9">
        <v>5</v>
      </c>
    </row>
    <row r="1015900" spans="6:6" x14ac:dyDescent="0.25">
      <c r="F1015900" s="9">
        <v>2</v>
      </c>
    </row>
    <row r="1015901" spans="6:6" x14ac:dyDescent="0.25">
      <c r="F1015901" s="9">
        <v>3</v>
      </c>
    </row>
    <row r="1015902" spans="6:6" x14ac:dyDescent="0.25">
      <c r="F1015902" s="9">
        <v>2</v>
      </c>
    </row>
    <row r="1015903" spans="6:6" x14ac:dyDescent="0.25">
      <c r="F1015903" s="9">
        <v>3</v>
      </c>
    </row>
    <row r="1015904" spans="6:6" x14ac:dyDescent="0.25">
      <c r="F1015904" s="9">
        <v>4</v>
      </c>
    </row>
    <row r="1015905" spans="6:6" x14ac:dyDescent="0.25">
      <c r="F1015905" s="9">
        <v>4</v>
      </c>
    </row>
    <row r="1015906" spans="6:6" x14ac:dyDescent="0.25">
      <c r="F1015906" s="9">
        <v>2</v>
      </c>
    </row>
    <row r="1015907" spans="6:6" x14ac:dyDescent="0.25">
      <c r="F1015907" s="9">
        <v>3</v>
      </c>
    </row>
    <row r="1015908" spans="6:6" x14ac:dyDescent="0.25">
      <c r="F1015908" s="9">
        <v>3</v>
      </c>
    </row>
    <row r="1015909" spans="6:6" x14ac:dyDescent="0.25">
      <c r="F1015909" s="9">
        <v>3</v>
      </c>
    </row>
    <row r="1015910" spans="6:6" x14ac:dyDescent="0.25">
      <c r="F1015910" s="9">
        <v>2</v>
      </c>
    </row>
    <row r="1015911" spans="6:6" x14ac:dyDescent="0.25">
      <c r="F1015911" s="9">
        <v>3</v>
      </c>
    </row>
    <row r="1015912" spans="6:6" x14ac:dyDescent="0.25">
      <c r="F1015912" s="9">
        <v>3</v>
      </c>
    </row>
    <row r="1015913" spans="6:6" x14ac:dyDescent="0.25">
      <c r="F1015913" s="9">
        <v>3</v>
      </c>
    </row>
    <row r="1015914" spans="6:6" x14ac:dyDescent="0.25">
      <c r="F1015914" s="9">
        <v>4</v>
      </c>
    </row>
    <row r="1015915" spans="6:6" x14ac:dyDescent="0.25">
      <c r="F1015915" s="9">
        <v>4</v>
      </c>
    </row>
    <row r="1015916" spans="6:6" x14ac:dyDescent="0.25">
      <c r="F1015916" s="9">
        <v>2</v>
      </c>
    </row>
    <row r="1015917" spans="6:6" x14ac:dyDescent="0.25">
      <c r="F1015917" s="9">
        <v>3</v>
      </c>
    </row>
    <row r="1015918" spans="6:6" x14ac:dyDescent="0.25">
      <c r="F1015918" s="9">
        <v>1</v>
      </c>
    </row>
    <row r="1015919" spans="6:6" x14ac:dyDescent="0.25">
      <c r="F1015919" s="9">
        <v>1</v>
      </c>
    </row>
    <row r="1015920" spans="6:6" x14ac:dyDescent="0.25">
      <c r="F1015920" s="9">
        <v>1</v>
      </c>
    </row>
    <row r="1015921" spans="6:6" x14ac:dyDescent="0.25">
      <c r="F1015921" s="9" t="s">
        <v>133</v>
      </c>
    </row>
    <row r="1015922" spans="6:6" x14ac:dyDescent="0.25">
      <c r="F1015922" s="6" t="s">
        <v>172</v>
      </c>
    </row>
    <row r="1015923" spans="6:6" x14ac:dyDescent="0.25">
      <c r="F1015923" s="9" t="s">
        <v>263</v>
      </c>
    </row>
    <row r="1015924" spans="6:6" x14ac:dyDescent="0.25">
      <c r="F1015924" s="33" t="s">
        <v>264</v>
      </c>
    </row>
    <row r="1032193" spans="6:6" x14ac:dyDescent="0.25">
      <c r="F1032193" s="84"/>
    </row>
    <row r="1032194" spans="6:6" x14ac:dyDescent="0.25">
      <c r="F1032194" s="46"/>
    </row>
    <row r="1032195" spans="6:6" x14ac:dyDescent="0.25">
      <c r="F1032195" s="9">
        <v>4</v>
      </c>
    </row>
    <row r="1032196" spans="6:6" x14ac:dyDescent="0.25">
      <c r="F1032196" s="9">
        <v>6</v>
      </c>
    </row>
    <row r="1032197" spans="6:6" x14ac:dyDescent="0.25">
      <c r="F1032197" s="9">
        <v>6</v>
      </c>
    </row>
    <row r="1032198" spans="6:6" x14ac:dyDescent="0.25">
      <c r="F1032198" s="9">
        <v>6</v>
      </c>
    </row>
    <row r="1032199" spans="6:6" x14ac:dyDescent="0.25">
      <c r="F1032199" s="9">
        <v>4</v>
      </c>
    </row>
    <row r="1032200" spans="6:6" x14ac:dyDescent="0.25">
      <c r="F1032200" s="9">
        <v>4</v>
      </c>
    </row>
    <row r="1032201" spans="6:6" x14ac:dyDescent="0.25">
      <c r="F1032201" s="9">
        <v>5</v>
      </c>
    </row>
    <row r="1032202" spans="6:6" x14ac:dyDescent="0.25">
      <c r="F1032202" s="9">
        <v>5</v>
      </c>
    </row>
    <row r="1032203" spans="6:6" x14ac:dyDescent="0.25">
      <c r="F1032203" s="9">
        <v>10</v>
      </c>
    </row>
    <row r="1032204" spans="6:6" x14ac:dyDescent="0.25">
      <c r="F1032204" s="9">
        <v>8</v>
      </c>
    </row>
    <row r="1032205" spans="6:6" x14ac:dyDescent="0.25">
      <c r="F1032205" s="9">
        <v>9</v>
      </c>
    </row>
    <row r="1032206" spans="6:6" x14ac:dyDescent="0.25">
      <c r="F1032206" s="9">
        <v>8</v>
      </c>
    </row>
    <row r="1032207" spans="6:6" x14ac:dyDescent="0.25">
      <c r="F1032207" s="9">
        <v>8</v>
      </c>
    </row>
    <row r="1032208" spans="6:6" x14ac:dyDescent="0.25">
      <c r="F1032208" s="9">
        <v>8</v>
      </c>
    </row>
    <row r="1032209" spans="6:6" x14ac:dyDescent="0.25">
      <c r="F1032209" s="9">
        <v>8</v>
      </c>
    </row>
    <row r="1032210" spans="6:6" x14ac:dyDescent="0.25">
      <c r="F1032210" s="9">
        <v>5</v>
      </c>
    </row>
    <row r="1032211" spans="6:6" x14ac:dyDescent="0.25">
      <c r="F1032211" s="9">
        <v>5</v>
      </c>
    </row>
    <row r="1032212" spans="6:6" x14ac:dyDescent="0.25">
      <c r="F1032212" s="9">
        <v>7</v>
      </c>
    </row>
    <row r="1032213" spans="6:6" x14ac:dyDescent="0.25">
      <c r="F1032213" s="9">
        <v>5</v>
      </c>
    </row>
    <row r="1032214" spans="6:6" x14ac:dyDescent="0.25">
      <c r="F1032214" s="9">
        <v>5</v>
      </c>
    </row>
    <row r="1032215" spans="6:6" x14ac:dyDescent="0.25">
      <c r="F1032215" s="9">
        <v>5</v>
      </c>
    </row>
    <row r="1032216" spans="6:6" x14ac:dyDescent="0.25">
      <c r="F1032216" s="9">
        <v>4</v>
      </c>
    </row>
    <row r="1032217" spans="6:6" x14ac:dyDescent="0.25">
      <c r="F1032217" s="9">
        <v>6</v>
      </c>
    </row>
    <row r="1032218" spans="6:6" x14ac:dyDescent="0.25">
      <c r="F1032218" s="9">
        <v>4</v>
      </c>
    </row>
    <row r="1032219" spans="6:6" x14ac:dyDescent="0.25">
      <c r="F1032219" s="9">
        <v>4</v>
      </c>
    </row>
    <row r="1032220" spans="6:6" x14ac:dyDescent="0.25">
      <c r="F1032220" s="9">
        <v>6</v>
      </c>
    </row>
    <row r="1032221" spans="6:6" x14ac:dyDescent="0.25">
      <c r="F1032221" s="9">
        <v>4</v>
      </c>
    </row>
    <row r="1032222" spans="6:6" x14ac:dyDescent="0.25">
      <c r="F1032222" s="9">
        <v>6</v>
      </c>
    </row>
    <row r="1032223" spans="6:6" x14ac:dyDescent="0.25">
      <c r="F1032223" s="9">
        <v>4</v>
      </c>
    </row>
    <row r="1032224" spans="6:6" x14ac:dyDescent="0.25">
      <c r="F1032224" s="9">
        <v>6</v>
      </c>
    </row>
    <row r="1032225" spans="6:6" x14ac:dyDescent="0.25">
      <c r="F1032225" s="9">
        <v>4</v>
      </c>
    </row>
    <row r="1032226" spans="6:6" x14ac:dyDescent="0.25">
      <c r="F1032226" s="9">
        <v>6</v>
      </c>
    </row>
    <row r="1032227" spans="6:6" x14ac:dyDescent="0.25">
      <c r="F1032227" s="9">
        <v>6</v>
      </c>
    </row>
    <row r="1032228" spans="6:6" x14ac:dyDescent="0.25">
      <c r="F1032228" s="9">
        <v>5</v>
      </c>
    </row>
    <row r="1032229" spans="6:6" x14ac:dyDescent="0.25">
      <c r="F1032229" s="9">
        <v>3</v>
      </c>
    </row>
    <row r="1032230" spans="6:6" x14ac:dyDescent="0.25">
      <c r="F1032230" s="9">
        <v>4</v>
      </c>
    </row>
    <row r="1032231" spans="6:6" x14ac:dyDescent="0.25">
      <c r="F1032231" s="9">
        <v>4</v>
      </c>
    </row>
    <row r="1032232" spans="6:6" x14ac:dyDescent="0.25">
      <c r="F1032232" s="9">
        <v>5</v>
      </c>
    </row>
    <row r="1032233" spans="6:6" x14ac:dyDescent="0.25">
      <c r="F1032233" s="9">
        <v>5</v>
      </c>
    </row>
    <row r="1032234" spans="6:6" x14ac:dyDescent="0.25">
      <c r="F1032234" s="9">
        <v>2</v>
      </c>
    </row>
    <row r="1032235" spans="6:6" x14ac:dyDescent="0.25">
      <c r="F1032235" s="9">
        <v>6</v>
      </c>
    </row>
    <row r="1032236" spans="6:6" x14ac:dyDescent="0.25">
      <c r="F1032236" s="9">
        <v>7</v>
      </c>
    </row>
    <row r="1032237" spans="6:6" x14ac:dyDescent="0.25">
      <c r="F1032237" s="9">
        <v>3</v>
      </c>
    </row>
    <row r="1032238" spans="6:6" x14ac:dyDescent="0.25">
      <c r="F1032238" s="9">
        <v>3</v>
      </c>
    </row>
    <row r="1032239" spans="6:6" x14ac:dyDescent="0.25">
      <c r="F1032239" s="9">
        <v>3</v>
      </c>
    </row>
    <row r="1032240" spans="6:6" x14ac:dyDescent="0.25">
      <c r="F1032240" s="9">
        <v>3</v>
      </c>
    </row>
    <row r="1032241" spans="6:6" x14ac:dyDescent="0.25">
      <c r="F1032241" s="9">
        <v>6</v>
      </c>
    </row>
    <row r="1032242" spans="6:6" x14ac:dyDescent="0.25">
      <c r="F1032242" s="9">
        <v>1</v>
      </c>
    </row>
    <row r="1032243" spans="6:6" x14ac:dyDescent="0.25">
      <c r="F1032243" s="9">
        <v>5</v>
      </c>
    </row>
    <row r="1032244" spans="6:6" x14ac:dyDescent="0.25">
      <c r="F1032244" s="9">
        <v>6</v>
      </c>
    </row>
    <row r="1032245" spans="6:6" x14ac:dyDescent="0.25">
      <c r="F1032245" s="9">
        <v>4</v>
      </c>
    </row>
    <row r="1032246" spans="6:6" x14ac:dyDescent="0.25">
      <c r="F1032246" s="9">
        <v>3</v>
      </c>
    </row>
    <row r="1032247" spans="6:6" x14ac:dyDescent="0.25">
      <c r="F1032247" s="9">
        <v>4</v>
      </c>
    </row>
    <row r="1032248" spans="6:6" x14ac:dyDescent="0.25">
      <c r="F1032248" s="9">
        <v>3</v>
      </c>
    </row>
    <row r="1032249" spans="6:6" x14ac:dyDescent="0.25">
      <c r="F1032249" s="9">
        <v>1</v>
      </c>
    </row>
    <row r="1032250" spans="6:6" x14ac:dyDescent="0.25">
      <c r="F1032250" s="9">
        <v>5</v>
      </c>
    </row>
    <row r="1032251" spans="6:6" x14ac:dyDescent="0.25">
      <c r="F1032251" s="9">
        <v>4</v>
      </c>
    </row>
    <row r="1032252" spans="6:6" x14ac:dyDescent="0.25">
      <c r="F1032252" s="9">
        <v>6</v>
      </c>
    </row>
    <row r="1032253" spans="6:6" x14ac:dyDescent="0.25">
      <c r="F1032253" s="9">
        <v>2</v>
      </c>
    </row>
    <row r="1032254" spans="6:6" x14ac:dyDescent="0.25">
      <c r="F1032254" s="9">
        <v>2</v>
      </c>
    </row>
    <row r="1032255" spans="6:6" x14ac:dyDescent="0.25">
      <c r="F1032255" s="9">
        <v>4</v>
      </c>
    </row>
    <row r="1032256" spans="6:6" x14ac:dyDescent="0.25">
      <c r="F1032256" s="9">
        <v>3</v>
      </c>
    </row>
    <row r="1032257" spans="6:6" x14ac:dyDescent="0.25">
      <c r="F1032257" s="9">
        <v>2</v>
      </c>
    </row>
    <row r="1032258" spans="6:6" x14ac:dyDescent="0.25">
      <c r="F1032258" s="9">
        <v>7</v>
      </c>
    </row>
    <row r="1032259" spans="6:6" x14ac:dyDescent="0.25">
      <c r="F1032259" s="9">
        <v>8</v>
      </c>
    </row>
    <row r="1032260" spans="6:6" x14ac:dyDescent="0.25">
      <c r="F1032260" s="9">
        <v>7</v>
      </c>
    </row>
    <row r="1032261" spans="6:6" x14ac:dyDescent="0.25">
      <c r="F1032261" s="9">
        <v>6</v>
      </c>
    </row>
    <row r="1032262" spans="6:6" x14ac:dyDescent="0.25">
      <c r="F1032262" s="9">
        <v>3</v>
      </c>
    </row>
    <row r="1032263" spans="6:6" x14ac:dyDescent="0.25">
      <c r="F1032263" s="9">
        <v>6</v>
      </c>
    </row>
    <row r="1032264" spans="6:6" x14ac:dyDescent="0.25">
      <c r="F1032264" s="9">
        <v>3</v>
      </c>
    </row>
    <row r="1032265" spans="6:6" x14ac:dyDescent="0.25">
      <c r="F1032265" s="9">
        <v>2</v>
      </c>
    </row>
    <row r="1032266" spans="6:6" x14ac:dyDescent="0.25">
      <c r="F1032266" s="9">
        <v>5</v>
      </c>
    </row>
    <row r="1032267" spans="6:6" x14ac:dyDescent="0.25">
      <c r="F1032267" s="9">
        <v>3</v>
      </c>
    </row>
    <row r="1032268" spans="6:6" x14ac:dyDescent="0.25">
      <c r="F1032268" s="9">
        <v>4</v>
      </c>
    </row>
    <row r="1032269" spans="6:6" x14ac:dyDescent="0.25">
      <c r="F1032269" s="9">
        <v>2</v>
      </c>
    </row>
    <row r="1032270" spans="6:6" x14ac:dyDescent="0.25">
      <c r="F1032270" s="9">
        <v>4</v>
      </c>
    </row>
    <row r="1032271" spans="6:6" x14ac:dyDescent="0.25">
      <c r="F1032271" s="9">
        <v>3</v>
      </c>
    </row>
    <row r="1032272" spans="6:6" x14ac:dyDescent="0.25">
      <c r="F1032272" s="9">
        <v>3</v>
      </c>
    </row>
    <row r="1032273" spans="6:6" x14ac:dyDescent="0.25">
      <c r="F1032273" s="9">
        <v>4</v>
      </c>
    </row>
    <row r="1032274" spans="6:6" x14ac:dyDescent="0.25">
      <c r="F1032274" s="9">
        <v>3</v>
      </c>
    </row>
    <row r="1032275" spans="6:6" x14ac:dyDescent="0.25">
      <c r="F1032275" s="9">
        <v>2</v>
      </c>
    </row>
    <row r="1032276" spans="6:6" x14ac:dyDescent="0.25">
      <c r="F1032276" s="9">
        <v>3</v>
      </c>
    </row>
    <row r="1032277" spans="6:6" x14ac:dyDescent="0.25">
      <c r="F1032277" s="9">
        <v>7</v>
      </c>
    </row>
    <row r="1032278" spans="6:6" x14ac:dyDescent="0.25">
      <c r="F1032278" s="9">
        <v>6</v>
      </c>
    </row>
    <row r="1032279" spans="6:6" x14ac:dyDescent="0.25">
      <c r="F1032279" s="9">
        <v>5</v>
      </c>
    </row>
    <row r="1032280" spans="6:6" x14ac:dyDescent="0.25">
      <c r="F1032280" s="9">
        <v>5</v>
      </c>
    </row>
    <row r="1032281" spans="6:6" x14ac:dyDescent="0.25">
      <c r="F1032281" s="9">
        <v>4</v>
      </c>
    </row>
    <row r="1032282" spans="6:6" x14ac:dyDescent="0.25">
      <c r="F1032282" s="9">
        <v>5</v>
      </c>
    </row>
    <row r="1032283" spans="6:6" x14ac:dyDescent="0.25">
      <c r="F1032283" s="9">
        <v>5</v>
      </c>
    </row>
    <row r="1032284" spans="6:6" x14ac:dyDescent="0.25">
      <c r="F1032284" s="9">
        <v>2</v>
      </c>
    </row>
    <row r="1032285" spans="6:6" x14ac:dyDescent="0.25">
      <c r="F1032285" s="9">
        <v>3</v>
      </c>
    </row>
    <row r="1032286" spans="6:6" x14ac:dyDescent="0.25">
      <c r="F1032286" s="9">
        <v>2</v>
      </c>
    </row>
    <row r="1032287" spans="6:6" x14ac:dyDescent="0.25">
      <c r="F1032287" s="9">
        <v>3</v>
      </c>
    </row>
    <row r="1032288" spans="6:6" x14ac:dyDescent="0.25">
      <c r="F1032288" s="9">
        <v>4</v>
      </c>
    </row>
    <row r="1032289" spans="6:6" x14ac:dyDescent="0.25">
      <c r="F1032289" s="9">
        <v>4</v>
      </c>
    </row>
    <row r="1032290" spans="6:6" x14ac:dyDescent="0.25">
      <c r="F1032290" s="9">
        <v>2</v>
      </c>
    </row>
    <row r="1032291" spans="6:6" x14ac:dyDescent="0.25">
      <c r="F1032291" s="9">
        <v>3</v>
      </c>
    </row>
    <row r="1032292" spans="6:6" x14ac:dyDescent="0.25">
      <c r="F1032292" s="9">
        <v>3</v>
      </c>
    </row>
    <row r="1032293" spans="6:6" x14ac:dyDescent="0.25">
      <c r="F1032293" s="9">
        <v>3</v>
      </c>
    </row>
    <row r="1032294" spans="6:6" x14ac:dyDescent="0.25">
      <c r="F1032294" s="9">
        <v>2</v>
      </c>
    </row>
    <row r="1032295" spans="6:6" x14ac:dyDescent="0.25">
      <c r="F1032295" s="9">
        <v>3</v>
      </c>
    </row>
    <row r="1032296" spans="6:6" x14ac:dyDescent="0.25">
      <c r="F1032296" s="9">
        <v>3</v>
      </c>
    </row>
    <row r="1032297" spans="6:6" x14ac:dyDescent="0.25">
      <c r="F1032297" s="9">
        <v>3</v>
      </c>
    </row>
    <row r="1032298" spans="6:6" x14ac:dyDescent="0.25">
      <c r="F1032298" s="9">
        <v>4</v>
      </c>
    </row>
    <row r="1032299" spans="6:6" x14ac:dyDescent="0.25">
      <c r="F1032299" s="9">
        <v>4</v>
      </c>
    </row>
    <row r="1032300" spans="6:6" x14ac:dyDescent="0.25">
      <c r="F1032300" s="9">
        <v>2</v>
      </c>
    </row>
    <row r="1032301" spans="6:6" x14ac:dyDescent="0.25">
      <c r="F1032301" s="9">
        <v>3</v>
      </c>
    </row>
    <row r="1032302" spans="6:6" x14ac:dyDescent="0.25">
      <c r="F1032302" s="9">
        <v>1</v>
      </c>
    </row>
    <row r="1032303" spans="6:6" x14ac:dyDescent="0.25">
      <c r="F1032303" s="9">
        <v>1</v>
      </c>
    </row>
    <row r="1032304" spans="6:6" x14ac:dyDescent="0.25">
      <c r="F1032304" s="9">
        <v>1</v>
      </c>
    </row>
    <row r="1032305" spans="6:6" x14ac:dyDescent="0.25">
      <c r="F1032305" s="9" t="s">
        <v>133</v>
      </c>
    </row>
    <row r="1032306" spans="6:6" x14ac:dyDescent="0.25">
      <c r="F1032306" s="6" t="s">
        <v>172</v>
      </c>
    </row>
    <row r="1032307" spans="6:6" x14ac:dyDescent="0.25">
      <c r="F1032307" s="9" t="s">
        <v>263</v>
      </c>
    </row>
    <row r="1032308" spans="6:6" x14ac:dyDescent="0.25">
      <c r="F1032308" s="33" t="s">
        <v>264</v>
      </c>
    </row>
  </sheetData>
  <sortState ref="K2:T16380">
    <sortCondition ref="L2:L16380"/>
  </sortState>
  <conditionalFormatting sqref="L127 N102:N126">
    <cfRule type="cellIs" dxfId="79" priority="68" operator="equal">
      <formula>"CM"</formula>
    </cfRule>
    <cfRule type="cellIs" dxfId="78" priority="69" operator="equal">
      <formula>"CA"</formula>
    </cfRule>
    <cfRule type="cellIs" dxfId="77" priority="70" operator="equal">
      <formula>"CMA"</formula>
    </cfRule>
  </conditionalFormatting>
  <conditionalFormatting sqref="N49:N53 N55:N101 N2:N47">
    <cfRule type="cellIs" dxfId="76" priority="77" operator="equal">
      <formula>"CM"</formula>
    </cfRule>
    <cfRule type="cellIs" dxfId="75" priority="80" operator="equal">
      <formula>"CA"</formula>
    </cfRule>
    <cfRule type="cellIs" dxfId="74" priority="81" operator="equal">
      <formula>"CMA"</formula>
    </cfRule>
  </conditionalFormatting>
  <conditionalFormatting sqref="N3:N11">
    <cfRule type="cellIs" dxfId="73" priority="78" operator="equal">
      <formula>"CA"</formula>
    </cfRule>
    <cfRule type="cellIs" dxfId="72" priority="79" operator="equal">
      <formula>"CMA"</formula>
    </cfRule>
  </conditionalFormatting>
  <conditionalFormatting sqref="N54">
    <cfRule type="cellIs" dxfId="71" priority="74" operator="equal">
      <formula>"CM"</formula>
    </cfRule>
    <cfRule type="cellIs" dxfId="70" priority="75" operator="equal">
      <formula>"CA"</formula>
    </cfRule>
    <cfRule type="cellIs" dxfId="69" priority="76" operator="equal">
      <formula>"CMA"</formula>
    </cfRule>
  </conditionalFormatting>
  <conditionalFormatting sqref="N48">
    <cfRule type="cellIs" dxfId="68" priority="71" operator="equal">
      <formula>"CM"</formula>
    </cfRule>
    <cfRule type="cellIs" dxfId="67" priority="72" operator="equal">
      <formula>"CA"</formula>
    </cfRule>
    <cfRule type="cellIs" dxfId="66" priority="73" operator="equal">
      <formula>"CMA"</formula>
    </cfRule>
  </conditionalFormatting>
  <conditionalFormatting sqref="B103:B110">
    <cfRule type="cellIs" dxfId="65" priority="26" operator="equal">
      <formula>"CM"</formula>
    </cfRule>
    <cfRule type="cellIs" dxfId="64" priority="27" operator="equal">
      <formula>"CA"</formula>
    </cfRule>
    <cfRule type="cellIs" dxfId="63" priority="28" operator="equal">
      <formula>"CMA"</formula>
    </cfRule>
  </conditionalFormatting>
  <conditionalFormatting sqref="B48:B52 B54:B100 B11:B12 B29:B46 B16:B27">
    <cfRule type="cellIs" dxfId="62" priority="23" operator="equal">
      <formula>"CM"</formula>
    </cfRule>
    <cfRule type="cellIs" dxfId="61" priority="24" operator="equal">
      <formula>"CA"</formula>
    </cfRule>
    <cfRule type="cellIs" dxfId="60" priority="25" operator="equal">
      <formula>"CMA"</formula>
    </cfRule>
  </conditionalFormatting>
  <conditionalFormatting sqref="B53">
    <cfRule type="cellIs" dxfId="59" priority="20" operator="equal">
      <formula>"CM"</formula>
    </cfRule>
    <cfRule type="cellIs" dxfId="58" priority="21" operator="equal">
      <formula>"CA"</formula>
    </cfRule>
    <cfRule type="cellIs" dxfId="57" priority="22" operator="equal">
      <formula>"CMA"</formula>
    </cfRule>
  </conditionalFormatting>
  <conditionalFormatting sqref="B47">
    <cfRule type="cellIs" dxfId="56" priority="17" operator="equal">
      <formula>"CM"</formula>
    </cfRule>
    <cfRule type="cellIs" dxfId="55" priority="18" operator="equal">
      <formula>"CA"</formula>
    </cfRule>
    <cfRule type="cellIs" dxfId="54" priority="19" operator="equal">
      <formula>"CMA"</formula>
    </cfRule>
  </conditionalFormatting>
  <conditionalFormatting sqref="B101:B102">
    <cfRule type="cellIs" dxfId="53" priority="14" operator="equal">
      <formula>"CM"</formula>
    </cfRule>
    <cfRule type="cellIs" dxfId="52" priority="15" operator="equal">
      <formula>"CA"</formula>
    </cfRule>
    <cfRule type="cellIs" dxfId="51" priority="16" operator="equal">
      <formula>"CMA"</formula>
    </cfRule>
  </conditionalFormatting>
  <conditionalFormatting sqref="B28">
    <cfRule type="cellIs" dxfId="50" priority="11" operator="equal">
      <formula>"CM"</formula>
    </cfRule>
    <cfRule type="cellIs" dxfId="49" priority="12" operator="equal">
      <formula>"CA"</formula>
    </cfRule>
    <cfRule type="cellIs" dxfId="48" priority="13" operator="equal">
      <formula>"CMA"</formula>
    </cfRule>
  </conditionalFormatting>
  <conditionalFormatting sqref="B1:B10">
    <cfRule type="cellIs" dxfId="47" priority="6" operator="equal">
      <formula>"CM"</formula>
    </cfRule>
    <cfRule type="cellIs" dxfId="46" priority="9" operator="equal">
      <formula>"CA"</formula>
    </cfRule>
    <cfRule type="cellIs" dxfId="45" priority="10" operator="equal">
      <formula>"CMA"</formula>
    </cfRule>
  </conditionalFormatting>
  <conditionalFormatting sqref="B1:B10">
    <cfRule type="cellIs" dxfId="44" priority="7" operator="equal">
      <formula>"CA"</formula>
    </cfRule>
    <cfRule type="cellIs" dxfId="43" priority="8" operator="equal">
      <formula>"CMA"</formula>
    </cfRule>
  </conditionalFormatting>
  <conditionalFormatting sqref="B13:B15">
    <cfRule type="cellIs" dxfId="42" priority="1" operator="equal">
      <formula>"CM"</formula>
    </cfRule>
    <cfRule type="cellIs" dxfId="41" priority="4" operator="equal">
      <formula>"CA"</formula>
    </cfRule>
    <cfRule type="cellIs" dxfId="40" priority="5" operator="equal">
      <formula>"CMA"</formula>
    </cfRule>
  </conditionalFormatting>
  <conditionalFormatting sqref="B13:B15">
    <cfRule type="cellIs" dxfId="39" priority="2" operator="equal">
      <formula>"CA"</formula>
    </cfRule>
    <cfRule type="cellIs" dxfId="38" priority="3" operator="equal">
      <formula>"CMA"</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ndsWith" priority="38" operator="endsWith" id="{3D5A4B11-9FA6-4AFE-B124-5A09A255D87A}">
            <xm:f>RIGHT(R2,3)="RMA"</xm:f>
            <x14:dxf>
              <font>
                <color rgb="FF9C0006"/>
              </font>
              <fill>
                <patternFill>
                  <bgColor rgb="FFFFC7CE"/>
                </patternFill>
              </fill>
            </x14:dxf>
          </x14:cfRule>
          <x14:cfRule type="endsWith" priority="39" operator="endsWith" id="{3CC4DC3C-DE58-46DA-8514-78051C6943FD}">
            <xm:f>RIGHT(R2,2)="RA"</xm:f>
            <x14:dxf>
              <font>
                <color rgb="FF9C6500"/>
              </font>
              <fill>
                <patternFill>
                  <bgColor rgb="FFFFEB9C"/>
                </patternFill>
              </fill>
            </x14:dxf>
          </x14:cfRule>
          <x14:cfRule type="endsWith" priority="40" operator="endsWith" id="{C8EF8F19-6C3D-4021-B729-0A36ABB8AAE0}">
            <xm:f>RIGHT(R2,2)="RM"</xm:f>
            <x14:dxf>
              <font>
                <color rgb="FF006100"/>
              </font>
              <fill>
                <patternFill>
                  <bgColor rgb="FFC6EFCE"/>
                </patternFill>
              </fill>
            </x14:dxf>
          </x14:cfRule>
          <xm:sqref>R2:R126</xm:sqref>
        </x14:conditionalFormatting>
        <x14:conditionalFormatting xmlns:xm="http://schemas.microsoft.com/office/excel/2006/main">
          <x14:cfRule type="endsWith" priority="35" operator="endsWith" id="{B930286B-2679-40A0-9F83-64860D029099}">
            <xm:f>RIGHT(S2,3)="RMA"</xm:f>
            <x14:dxf>
              <font>
                <color rgb="FF9C0006"/>
              </font>
              <fill>
                <patternFill>
                  <bgColor rgb="FFFFC7CE"/>
                </patternFill>
              </fill>
            </x14:dxf>
          </x14:cfRule>
          <x14:cfRule type="endsWith" priority="36" operator="endsWith" id="{62A8DC0C-9F58-48C2-9CA0-030BBA4BE7F5}">
            <xm:f>RIGHT(S2,2)="RA"</xm:f>
            <x14:dxf>
              <font>
                <color rgb="FF9C6500"/>
              </font>
              <fill>
                <patternFill>
                  <bgColor rgb="FFFFEB9C"/>
                </patternFill>
              </fill>
            </x14:dxf>
          </x14:cfRule>
          <x14:cfRule type="endsWith" priority="37" operator="endsWith" id="{F58E824C-5B77-43D5-9AAA-547BF8609B06}">
            <xm:f>RIGHT(S2,2)="RM"</xm:f>
            <x14:dxf>
              <font>
                <color rgb="FF006100"/>
              </font>
              <fill>
                <patternFill>
                  <bgColor rgb="FFC6EFCE"/>
                </patternFill>
              </fill>
            </x14:dxf>
          </x14:cfRule>
          <xm:sqref>S2:S126</xm:sqref>
        </x14:conditionalFormatting>
        <x14:conditionalFormatting xmlns:xm="http://schemas.microsoft.com/office/excel/2006/main">
          <x14:cfRule type="endsWith" priority="32" operator="endsWith" id="{E459A9AF-E628-480D-9BB0-EF98E1E470CA}">
            <xm:f>RIGHT(T2,3)="RMA"</xm:f>
            <x14:dxf>
              <font>
                <color rgb="FF9C0006"/>
              </font>
              <fill>
                <patternFill>
                  <bgColor rgb="FFFFC7CE"/>
                </patternFill>
              </fill>
            </x14:dxf>
          </x14:cfRule>
          <x14:cfRule type="endsWith" priority="33" operator="endsWith" id="{5FD4A3B4-2566-4E0B-A06C-E2E333125528}">
            <xm:f>RIGHT(T2,2)="RA"</xm:f>
            <x14:dxf>
              <font>
                <color rgb="FF9C6500"/>
              </font>
              <fill>
                <patternFill>
                  <bgColor rgb="FFFFEB9C"/>
                </patternFill>
              </fill>
            </x14:dxf>
          </x14:cfRule>
          <x14:cfRule type="endsWith" priority="34" operator="endsWith" id="{3D121652-CCA5-4575-A0B4-E6B640AC5A4E}">
            <xm:f>RIGHT(T2,2)="RM"</xm:f>
            <x14:dxf>
              <font>
                <color rgb="FF006100"/>
              </font>
              <fill>
                <patternFill>
                  <bgColor rgb="FFC6EFCE"/>
                </patternFill>
              </fill>
            </x14:dxf>
          </x14:cfRule>
          <xm:sqref>T2:T126</xm:sqref>
        </x14:conditionalFormatting>
        <x14:conditionalFormatting xmlns:xm="http://schemas.microsoft.com/office/excel/2006/main">
          <x14:cfRule type="endsWith" priority="29" operator="endsWith" id="{3A6C3EF3-5A5D-4D65-B009-57F5D45133D7}">
            <xm:f>RIGHT(U2,3)="RMA"</xm:f>
            <x14:dxf>
              <font>
                <color rgb="FF9C0006"/>
              </font>
              <fill>
                <patternFill>
                  <bgColor rgb="FFFFC7CE"/>
                </patternFill>
              </fill>
            </x14:dxf>
          </x14:cfRule>
          <x14:cfRule type="endsWith" priority="30" operator="endsWith" id="{28E4FCC4-3000-4383-925A-A966433BA6A6}">
            <xm:f>RIGHT(U2,2)="RA"</xm:f>
            <x14:dxf>
              <font>
                <color rgb="FF9C6500"/>
              </font>
              <fill>
                <patternFill>
                  <bgColor rgb="FFFFEB9C"/>
                </patternFill>
              </fill>
            </x14:dxf>
          </x14:cfRule>
          <x14:cfRule type="endsWith" priority="31" operator="endsWith" id="{49D21A6F-4895-421D-AB5C-07F9824CDBA2}">
            <xm:f>RIGHT(U2,2)="RM"</xm:f>
            <x14:dxf>
              <font>
                <color rgb="FF006100"/>
              </font>
              <fill>
                <patternFill>
                  <bgColor rgb="FFC6EFCE"/>
                </patternFill>
              </fill>
            </x14:dxf>
          </x14:cfRule>
          <xm:sqref>U2:U126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26"/>
  <sheetViews>
    <sheetView topLeftCell="H37" zoomScale="70" zoomScaleNormal="70" workbookViewId="0">
      <selection activeCell="T2" sqref="T2"/>
    </sheetView>
  </sheetViews>
  <sheetFormatPr baseColWidth="10" defaultRowHeight="15" x14ac:dyDescent="0.25"/>
  <cols>
    <col min="1" max="1" width="33.42578125" customWidth="1"/>
    <col min="14" max="20" width="11.42578125" style="4"/>
    <col min="22" max="22" width="11.42578125" style="41"/>
  </cols>
  <sheetData>
    <row r="1" spans="1:31" x14ac:dyDescent="0.25">
      <c r="N1" s="4" t="s">
        <v>0</v>
      </c>
      <c r="O1" s="4" t="s">
        <v>312</v>
      </c>
      <c r="P1" s="4" t="s">
        <v>316</v>
      </c>
      <c r="T1" s="4" t="s">
        <v>313</v>
      </c>
    </row>
    <row r="2" spans="1:31" ht="15.75" thickBot="1" x14ac:dyDescent="0.3">
      <c r="N2" s="4">
        <f>'Riesgo - Análisis - 1'!I2</f>
        <v>2</v>
      </c>
      <c r="O2" s="4">
        <f>'Riesgo - Análisis - 1'!J2</f>
        <v>1</v>
      </c>
      <c r="P2" s="4">
        <f>VALUE(IF(O2&lt;5,CONCATENATE(N2,O2),CONCATENATE(N2,O2-4)))</f>
        <v>21</v>
      </c>
      <c r="Q2" s="4" t="str">
        <f ca="1">'Riesgo - Análisis - 1'!L2</f>
        <v>DEC-01</v>
      </c>
      <c r="R2" s="18" t="e">
        <f ca="1">'Riesgo - Análisis - 1'!M2</f>
        <v>#REF!</v>
      </c>
      <c r="S2" s="14" t="e">
        <f ca="1">'Riesgo - Análisis - 1'!N2</f>
        <v>#REF!</v>
      </c>
      <c r="T2" s="18" t="str">
        <f>'Riesgo - Análisis - 1'!U2</f>
        <v>RM</v>
      </c>
    </row>
    <row r="3" spans="1:31" x14ac:dyDescent="0.25">
      <c r="B3" s="13" t="s">
        <v>0</v>
      </c>
      <c r="C3" s="13" t="s">
        <v>332</v>
      </c>
      <c r="N3" s="4">
        <f>'Riesgo - Análisis - 1'!I3</f>
        <v>2</v>
      </c>
      <c r="O3" s="4">
        <f>'Riesgo - Análisis - 1'!J3</f>
        <v>1</v>
      </c>
      <c r="P3" s="4">
        <f t="shared" ref="P3:P66" si="0">VALUE(IF(O3&lt;5,CONCATENATE(N3,O3),CONCATENATE(N3,O3-4)))</f>
        <v>21</v>
      </c>
      <c r="Q3" s="4" t="str">
        <f ca="1">'Riesgo - Análisis - 1'!L3</f>
        <v>DEC-02</v>
      </c>
      <c r="R3" s="18" t="e">
        <f ca="1">'Riesgo - Análisis - 1'!M3</f>
        <v>#REF!</v>
      </c>
      <c r="S3" s="14" t="e">
        <f ca="1">'Riesgo - Análisis - 1'!N3</f>
        <v>#REF!</v>
      </c>
      <c r="T3" s="18" t="str">
        <f>'Riesgo - Análisis - 1'!U3</f>
        <v>RM</v>
      </c>
      <c r="V3" s="41" t="s">
        <v>314</v>
      </c>
      <c r="AE3">
        <v>21</v>
      </c>
    </row>
    <row r="4" spans="1:31" x14ac:dyDescent="0.25">
      <c r="A4" s="73" t="s">
        <v>317</v>
      </c>
      <c r="B4" s="39">
        <v>1</v>
      </c>
      <c r="C4" s="3">
        <v>0</v>
      </c>
      <c r="N4" s="4">
        <f>'Riesgo - Análisis - 1'!I4</f>
        <v>2</v>
      </c>
      <c r="O4" s="4">
        <f>'Riesgo - Análisis - 1'!J4</f>
        <v>1</v>
      </c>
      <c r="P4" s="4">
        <f t="shared" si="0"/>
        <v>21</v>
      </c>
      <c r="Q4" s="4" t="str">
        <f ca="1">'Riesgo - Análisis - 1'!L4</f>
        <v>DEC-03</v>
      </c>
      <c r="R4" s="18" t="e">
        <f ca="1">'Riesgo - Análisis - 1'!M4</f>
        <v>#REF!</v>
      </c>
      <c r="S4" s="14" t="e">
        <f ca="1">'Riesgo - Análisis - 1'!N4</f>
        <v>#REF!</v>
      </c>
      <c r="T4" s="18" t="str">
        <f>'Riesgo - Análisis - 1'!U4</f>
        <v>RB</v>
      </c>
      <c r="V4" s="41">
        <v>1</v>
      </c>
      <c r="W4" s="73" t="s">
        <v>317</v>
      </c>
      <c r="AE4">
        <v>22</v>
      </c>
    </row>
    <row r="5" spans="1:31" x14ac:dyDescent="0.25">
      <c r="A5" s="73" t="s">
        <v>318</v>
      </c>
      <c r="B5" s="39">
        <v>2</v>
      </c>
      <c r="C5" s="3">
        <v>27</v>
      </c>
      <c r="N5" s="4">
        <f>'Riesgo - Análisis - 1'!I5</f>
        <v>2</v>
      </c>
      <c r="O5" s="4">
        <f>'Riesgo - Análisis - 1'!J5</f>
        <v>1</v>
      </c>
      <c r="P5" s="4">
        <f t="shared" si="0"/>
        <v>21</v>
      </c>
      <c r="Q5" s="4">
        <f ca="1">'Riesgo - Análisis - 1'!L5</f>
        <v>0</v>
      </c>
      <c r="R5" s="18" t="e">
        <f ca="1">'Riesgo - Análisis - 1'!M5</f>
        <v>#REF!</v>
      </c>
      <c r="S5" s="14" t="e">
        <f ca="1">'Riesgo - Análisis - 1'!N5</f>
        <v>#REF!</v>
      </c>
      <c r="T5" s="18" t="str">
        <f>'Riesgo - Análisis - 1'!U5</f>
        <v>RB</v>
      </c>
      <c r="V5" s="41">
        <v>2</v>
      </c>
      <c r="W5" s="73" t="s">
        <v>318</v>
      </c>
      <c r="AE5">
        <v>23</v>
      </c>
    </row>
    <row r="6" spans="1:31" x14ac:dyDescent="0.25">
      <c r="A6" s="73" t="s">
        <v>319</v>
      </c>
      <c r="B6" s="39">
        <v>3</v>
      </c>
      <c r="C6" s="3">
        <v>2</v>
      </c>
      <c r="N6" s="4">
        <f>'Riesgo - Análisis - 1'!I6</f>
        <v>2</v>
      </c>
      <c r="O6" s="4">
        <f>'Riesgo - Análisis - 1'!J6</f>
        <v>1</v>
      </c>
      <c r="P6" s="4">
        <f t="shared" si="0"/>
        <v>21</v>
      </c>
      <c r="Q6" s="4" t="str">
        <f>'Riesgo - Análisis - 1'!L6</f>
        <v>X</v>
      </c>
      <c r="R6" s="18" t="e">
        <f ca="1">'Riesgo - Análisis - 1'!M6</f>
        <v>#REF!</v>
      </c>
      <c r="S6" s="14" t="e">
        <f ca="1">'Riesgo - Análisis - 1'!N6</f>
        <v>#REF!</v>
      </c>
      <c r="T6" s="18" t="str">
        <f>'Riesgo - Análisis - 1'!U6</f>
        <v>RB</v>
      </c>
      <c r="V6" s="41">
        <v>3</v>
      </c>
      <c r="W6" s="73" t="s">
        <v>319</v>
      </c>
      <c r="AE6">
        <v>24</v>
      </c>
    </row>
    <row r="7" spans="1:31" x14ac:dyDescent="0.25">
      <c r="A7" s="73" t="s">
        <v>320</v>
      </c>
      <c r="B7" s="39">
        <v>4</v>
      </c>
      <c r="C7" s="3">
        <v>8</v>
      </c>
      <c r="N7" s="4">
        <f>'Riesgo - Análisis - 1'!I7</f>
        <v>2</v>
      </c>
      <c r="O7" s="4">
        <f>'Riesgo - Análisis - 1'!J7</f>
        <v>1</v>
      </c>
      <c r="P7" s="4">
        <f t="shared" si="0"/>
        <v>21</v>
      </c>
      <c r="Q7" s="4" t="e">
        <f>'Riesgo - Análisis - 1'!L7</f>
        <v>#REF!</v>
      </c>
      <c r="R7" s="18" t="e">
        <f ca="1">'Riesgo - Análisis - 1'!M7</f>
        <v>#REF!</v>
      </c>
      <c r="S7" s="14" t="e">
        <f ca="1">'Riesgo - Análisis - 1'!N7</f>
        <v>#REF!</v>
      </c>
      <c r="T7" s="18" t="str">
        <f>'Riesgo - Análisis - 1'!U7</f>
        <v>RM</v>
      </c>
      <c r="V7" s="41">
        <v>4</v>
      </c>
      <c r="W7" s="73" t="s">
        <v>320</v>
      </c>
      <c r="AE7">
        <v>30</v>
      </c>
    </row>
    <row r="8" spans="1:31" x14ac:dyDescent="0.25">
      <c r="A8" s="73" t="s">
        <v>321</v>
      </c>
      <c r="B8" s="39">
        <v>5</v>
      </c>
      <c r="C8" s="3">
        <v>10</v>
      </c>
      <c r="N8" s="4">
        <f>'Riesgo - Análisis - 1'!I8</f>
        <v>2</v>
      </c>
      <c r="O8" s="4">
        <f>'Riesgo - Análisis - 1'!J8</f>
        <v>1</v>
      </c>
      <c r="P8" s="4">
        <f t="shared" si="0"/>
        <v>21</v>
      </c>
      <c r="Q8" s="4" t="e">
        <f>'Riesgo - Análisis - 1'!L8</f>
        <v>#REF!</v>
      </c>
      <c r="R8" s="18" t="e">
        <f ca="1">'Riesgo - Análisis - 1'!M8</f>
        <v>#REF!</v>
      </c>
      <c r="S8" s="14" t="e">
        <f ca="1">'Riesgo - Análisis - 1'!N8</f>
        <v>#REF!</v>
      </c>
      <c r="T8" s="18" t="str">
        <f>'Riesgo - Análisis - 1'!U8</f>
        <v>RM</v>
      </c>
      <c r="V8" s="41">
        <v>5</v>
      </c>
      <c r="W8" s="73" t="s">
        <v>321</v>
      </c>
      <c r="AE8">
        <v>40</v>
      </c>
    </row>
    <row r="9" spans="1:31" x14ac:dyDescent="0.25">
      <c r="A9" s="73" t="s">
        <v>322</v>
      </c>
      <c r="B9" s="39">
        <v>6</v>
      </c>
      <c r="C9" s="3">
        <v>5</v>
      </c>
      <c r="N9" s="4">
        <f>'Riesgo - Análisis - 1'!I9</f>
        <v>2</v>
      </c>
      <c r="O9" s="4">
        <f>'Riesgo - Análisis - 1'!J9</f>
        <v>1</v>
      </c>
      <c r="P9" s="4">
        <f t="shared" si="0"/>
        <v>21</v>
      </c>
      <c r="Q9" s="4" t="e">
        <f>'Riesgo - Análisis - 1'!L9</f>
        <v>#REF!</v>
      </c>
      <c r="R9" s="18" t="e">
        <f ca="1">'Riesgo - Análisis - 1'!M9</f>
        <v>#REF!</v>
      </c>
      <c r="S9" s="14" t="e">
        <f ca="1">'Riesgo - Análisis - 1'!N9</f>
        <v>#REF!</v>
      </c>
      <c r="T9" s="18" t="str">
        <f>'Riesgo - Análisis - 1'!U9</f>
        <v>RB</v>
      </c>
      <c r="V9" s="41">
        <v>6</v>
      </c>
      <c r="W9" s="73" t="s">
        <v>322</v>
      </c>
      <c r="AE9">
        <v>50</v>
      </c>
    </row>
    <row r="10" spans="1:31" x14ac:dyDescent="0.25">
      <c r="A10" s="73" t="s">
        <v>323</v>
      </c>
      <c r="B10" s="39">
        <v>7</v>
      </c>
      <c r="C10" s="3">
        <v>12</v>
      </c>
      <c r="N10" s="4">
        <f>'Riesgo - Análisis - 1'!I10</f>
        <v>2</v>
      </c>
      <c r="O10" s="4">
        <f>'Riesgo - Análisis - 1'!J10</f>
        <v>1</v>
      </c>
      <c r="P10" s="4">
        <f t="shared" si="0"/>
        <v>21</v>
      </c>
      <c r="Q10" s="4" t="e">
        <f>'Riesgo - Análisis - 1'!L10</f>
        <v>#REF!</v>
      </c>
      <c r="R10" s="18" t="e">
        <f ca="1">'Riesgo - Análisis - 1'!M10</f>
        <v>#REF!</v>
      </c>
      <c r="S10" s="14" t="e">
        <f ca="1">'Riesgo - Análisis - 1'!N10</f>
        <v>#REF!</v>
      </c>
      <c r="T10" s="18" t="str">
        <f>'Riesgo - Análisis - 1'!U10</f>
        <v>RB</v>
      </c>
      <c r="V10" s="41">
        <v>7</v>
      </c>
      <c r="W10" s="73" t="s">
        <v>323</v>
      </c>
      <c r="AE10">
        <v>60</v>
      </c>
    </row>
    <row r="11" spans="1:31" x14ac:dyDescent="0.25">
      <c r="A11" s="73" t="s">
        <v>324</v>
      </c>
      <c r="B11" s="39">
        <v>8</v>
      </c>
      <c r="C11" s="3">
        <v>3</v>
      </c>
      <c r="N11" s="4">
        <f>'Riesgo - Análisis - 1'!I11</f>
        <v>2</v>
      </c>
      <c r="O11" s="4">
        <f>'Riesgo - Análisis - 1'!J11</f>
        <v>1</v>
      </c>
      <c r="P11" s="4">
        <f t="shared" si="0"/>
        <v>21</v>
      </c>
      <c r="Q11" s="4">
        <f>'Riesgo - Análisis - 1'!L11</f>
        <v>0</v>
      </c>
      <c r="R11" s="18" t="e">
        <f ca="1">'Riesgo - Análisis - 1'!M11</f>
        <v>#REF!</v>
      </c>
      <c r="S11" s="14" t="e">
        <f ca="1">'Riesgo - Análisis - 1'!N11</f>
        <v>#REF!</v>
      </c>
      <c r="T11" s="18" t="str">
        <f>'Riesgo - Análisis - 1'!U11</f>
        <v>RB</v>
      </c>
      <c r="V11" s="41">
        <v>8</v>
      </c>
      <c r="W11" s="73" t="s">
        <v>324</v>
      </c>
      <c r="AE11">
        <v>70</v>
      </c>
    </row>
    <row r="12" spans="1:31" x14ac:dyDescent="0.25">
      <c r="A12" s="73" t="s">
        <v>325</v>
      </c>
      <c r="B12" s="39">
        <v>9</v>
      </c>
      <c r="C12" s="3">
        <v>15</v>
      </c>
      <c r="N12" s="4">
        <f>'Riesgo - Análisis - 1'!I12</f>
        <v>2</v>
      </c>
      <c r="O12" s="4">
        <f>'Riesgo - Análisis - 1'!J12</f>
        <v>1</v>
      </c>
      <c r="P12" s="4">
        <f t="shared" si="0"/>
        <v>21</v>
      </c>
      <c r="Q12" s="4">
        <f>'Riesgo - Análisis - 1'!L12</f>
        <v>0</v>
      </c>
      <c r="R12" s="18" t="e">
        <f ca="1">'Riesgo - Análisis - 1'!M12</f>
        <v>#REF!</v>
      </c>
      <c r="S12" s="14" t="e">
        <f ca="1">'Riesgo - Análisis - 1'!N12</f>
        <v>#REF!</v>
      </c>
      <c r="T12" s="18" t="str">
        <f>'Riesgo - Análisis - 1'!U12</f>
        <v>RM</v>
      </c>
      <c r="V12" s="41">
        <v>9</v>
      </c>
      <c r="W12" s="73" t="s">
        <v>325</v>
      </c>
      <c r="AE12">
        <v>80</v>
      </c>
    </row>
    <row r="13" spans="1:31" x14ac:dyDescent="0.25">
      <c r="A13" s="73" t="s">
        <v>326</v>
      </c>
      <c r="B13" s="39">
        <v>10</v>
      </c>
      <c r="C13" s="3">
        <v>13</v>
      </c>
      <c r="N13" s="4">
        <f>'Riesgo - Análisis - 1'!I13</f>
        <v>2</v>
      </c>
      <c r="O13" s="4">
        <f>'Riesgo - Análisis - 1'!J13</f>
        <v>1</v>
      </c>
      <c r="P13" s="4">
        <f t="shared" si="0"/>
        <v>21</v>
      </c>
      <c r="Q13" s="4">
        <f>'Riesgo - Análisis - 1'!L13</f>
        <v>0</v>
      </c>
      <c r="R13" s="18" t="e">
        <f ca="1">'Riesgo - Análisis - 1'!M13</f>
        <v>#REF!</v>
      </c>
      <c r="S13" s="14" t="e">
        <f ca="1">'Riesgo - Análisis - 1'!N13</f>
        <v>#REF!</v>
      </c>
      <c r="T13" s="18" t="str">
        <f>'Riesgo - Análisis - 1'!U13</f>
        <v>RM</v>
      </c>
      <c r="V13" s="41">
        <v>10</v>
      </c>
      <c r="W13" s="73" t="s">
        <v>326</v>
      </c>
      <c r="AE13">
        <v>90</v>
      </c>
    </row>
    <row r="14" spans="1:31" x14ac:dyDescent="0.25">
      <c r="A14" s="73" t="s">
        <v>327</v>
      </c>
      <c r="B14" s="39">
        <v>11</v>
      </c>
      <c r="C14" s="3">
        <v>30</v>
      </c>
      <c r="N14" s="4">
        <f>'Riesgo - Análisis - 1'!I14</f>
        <v>2</v>
      </c>
      <c r="O14" s="4">
        <f>'Riesgo - Análisis - 1'!J14</f>
        <v>1</v>
      </c>
      <c r="P14" s="4">
        <f t="shared" si="0"/>
        <v>21</v>
      </c>
      <c r="Q14" s="4" t="e">
        <f ca="1">'Riesgo - Análisis - 1'!L14</f>
        <v>#REF!</v>
      </c>
      <c r="R14" s="18" t="e">
        <f ca="1">'Riesgo - Análisis - 1'!M14</f>
        <v>#REF!</v>
      </c>
      <c r="S14" s="14" t="e">
        <f ca="1">'Riesgo - Análisis - 1'!N14</f>
        <v>#REF!</v>
      </c>
      <c r="T14" s="18" t="str">
        <f>'Riesgo - Análisis - 1'!U14</f>
        <v>RB</v>
      </c>
      <c r="V14" s="41">
        <v>11</v>
      </c>
      <c r="W14" s="73" t="s">
        <v>327</v>
      </c>
      <c r="AE14">
        <v>100</v>
      </c>
    </row>
    <row r="15" spans="1:31" x14ac:dyDescent="0.25">
      <c r="N15" s="4">
        <f>'Riesgo - Análisis - 1'!I15</f>
        <v>2</v>
      </c>
      <c r="O15" s="4">
        <f>'Riesgo - Análisis - 1'!J15</f>
        <v>1</v>
      </c>
      <c r="P15" s="4">
        <f t="shared" si="0"/>
        <v>21</v>
      </c>
      <c r="Q15" s="4" t="e">
        <f ca="1">'Riesgo - Análisis - 1'!L15</f>
        <v>#REF!</v>
      </c>
      <c r="R15" s="18" t="e">
        <f ca="1">'Riesgo - Análisis - 1'!M15</f>
        <v>#REF!</v>
      </c>
      <c r="S15" s="14" t="e">
        <f ca="1">'Riesgo - Análisis - 1'!N15</f>
        <v>#REF!</v>
      </c>
      <c r="T15" s="18" t="str">
        <f>'Riesgo - Análisis - 1'!U15</f>
        <v>RM</v>
      </c>
      <c r="AE15">
        <v>111</v>
      </c>
    </row>
    <row r="16" spans="1:31" x14ac:dyDescent="0.25">
      <c r="N16" s="4">
        <f>'Riesgo - Análisis - 1'!I16</f>
        <v>2</v>
      </c>
      <c r="O16" s="4">
        <f>'Riesgo - Análisis - 1'!J16</f>
        <v>1</v>
      </c>
      <c r="P16" s="4">
        <f t="shared" si="0"/>
        <v>21</v>
      </c>
      <c r="Q16" s="4" t="e">
        <f ca="1">'Riesgo - Análisis - 1'!L16</f>
        <v>#REF!</v>
      </c>
      <c r="R16" s="18" t="e">
        <f ca="1">'Riesgo - Análisis - 1'!M16</f>
        <v>#REF!</v>
      </c>
      <c r="S16" s="14" t="e">
        <f ca="1">'Riesgo - Análisis - 1'!N16</f>
        <v>#REF!</v>
      </c>
      <c r="T16" s="18" t="str">
        <f>'Riesgo - Análisis - 1'!U16</f>
        <v>RB</v>
      </c>
      <c r="V16" s="41" t="s">
        <v>315</v>
      </c>
      <c r="AE16">
        <v>112</v>
      </c>
    </row>
    <row r="17" spans="14:23" x14ac:dyDescent="0.25">
      <c r="N17" s="4">
        <f>'Riesgo - Análisis - 1'!I17</f>
        <v>2</v>
      </c>
      <c r="O17" s="4">
        <f>'Riesgo - Análisis - 1'!J17</f>
        <v>1</v>
      </c>
      <c r="P17" s="4">
        <f t="shared" si="0"/>
        <v>21</v>
      </c>
      <c r="Q17" s="4" t="e">
        <f ca="1">'Riesgo - Análisis - 1'!L17</f>
        <v>#REF!</v>
      </c>
      <c r="R17" s="18" t="e">
        <f ca="1">'Riesgo - Análisis - 1'!M17</f>
        <v>#REF!</v>
      </c>
      <c r="S17" s="14" t="e">
        <f ca="1">'Riesgo - Análisis - 1'!N17</f>
        <v>#REF!</v>
      </c>
      <c r="T17" s="18" t="str">
        <f>'Riesgo - Análisis - 1'!U17</f>
        <v>RM</v>
      </c>
      <c r="V17" s="41">
        <v>1</v>
      </c>
      <c r="W17" s="74" t="s">
        <v>328</v>
      </c>
    </row>
    <row r="18" spans="14:23" x14ac:dyDescent="0.25">
      <c r="N18" s="4">
        <f>'Riesgo - Análisis - 1'!I18</f>
        <v>2</v>
      </c>
      <c r="O18" s="4">
        <f>'Riesgo - Análisis - 1'!J18</f>
        <v>2</v>
      </c>
      <c r="P18" s="4">
        <f t="shared" si="0"/>
        <v>22</v>
      </c>
      <c r="Q18" s="4" t="e">
        <f ca="1">'Riesgo - Análisis - 1'!L18</f>
        <v>#REF!</v>
      </c>
      <c r="R18" s="18" t="e">
        <f ca="1">'Riesgo - Análisis - 1'!M18</f>
        <v>#REF!</v>
      </c>
      <c r="S18" s="14" t="e">
        <f ca="1">'Riesgo - Análisis - 1'!N18</f>
        <v>#REF!</v>
      </c>
      <c r="T18" s="18" t="str">
        <f>'Riesgo - Análisis - 1'!U18</f>
        <v>RB</v>
      </c>
      <c r="V18" s="41">
        <v>2</v>
      </c>
      <c r="W18" s="74" t="s">
        <v>329</v>
      </c>
    </row>
    <row r="19" spans="14:23" x14ac:dyDescent="0.25">
      <c r="N19" s="4">
        <f>'Riesgo - Análisis - 1'!I19</f>
        <v>2</v>
      </c>
      <c r="O19" s="4">
        <f>'Riesgo - Análisis - 1'!J19</f>
        <v>2</v>
      </c>
      <c r="P19" s="4">
        <f t="shared" si="0"/>
        <v>22</v>
      </c>
      <c r="Q19" s="4" t="e">
        <f ca="1">'Riesgo - Análisis - 1'!L19</f>
        <v>#REF!</v>
      </c>
      <c r="R19" s="18" t="e">
        <f ca="1">'Riesgo - Análisis - 1'!M19</f>
        <v>#REF!</v>
      </c>
      <c r="S19" s="14" t="e">
        <f ca="1">'Riesgo - Análisis - 1'!N19</f>
        <v>#REF!</v>
      </c>
      <c r="T19" s="18" t="str">
        <f>'Riesgo - Análisis - 1'!U19</f>
        <v>RB</v>
      </c>
      <c r="V19" s="41">
        <v>3</v>
      </c>
      <c r="W19" s="74" t="s">
        <v>330</v>
      </c>
    </row>
    <row r="20" spans="14:23" x14ac:dyDescent="0.25">
      <c r="N20" s="4">
        <f>'Riesgo - Análisis - 1'!I20</f>
        <v>2</v>
      </c>
      <c r="O20" s="4">
        <f>'Riesgo - Análisis - 1'!J20</f>
        <v>2</v>
      </c>
      <c r="P20" s="4">
        <f t="shared" si="0"/>
        <v>22</v>
      </c>
      <c r="Q20" s="4" t="e">
        <f ca="1">'Riesgo - Análisis - 1'!L20</f>
        <v>#REF!</v>
      </c>
      <c r="R20" s="18" t="e">
        <f ca="1">'Riesgo - Análisis - 1'!M20</f>
        <v>#REF!</v>
      </c>
      <c r="S20" s="14" t="e">
        <f ca="1">'Riesgo - Análisis - 1'!N20</f>
        <v>#REF!</v>
      </c>
      <c r="T20" s="18" t="str">
        <f>'Riesgo - Análisis - 1'!U20</f>
        <v>RB</v>
      </c>
      <c r="V20" s="41">
        <v>4</v>
      </c>
      <c r="W20" s="74" t="s">
        <v>331</v>
      </c>
    </row>
    <row r="21" spans="14:23" x14ac:dyDescent="0.25">
      <c r="N21" s="4">
        <f>'Riesgo - Análisis - 1'!I21</f>
        <v>2</v>
      </c>
      <c r="O21" s="4">
        <f>'Riesgo - Análisis - 1'!J21</f>
        <v>2</v>
      </c>
      <c r="P21" s="4">
        <f t="shared" si="0"/>
        <v>22</v>
      </c>
      <c r="Q21" s="4" t="e">
        <f ca="1">'Riesgo - Análisis - 1'!L21</f>
        <v>#REF!</v>
      </c>
      <c r="R21" s="18" t="e">
        <f ca="1">'Riesgo - Análisis - 1'!M21</f>
        <v>#REF!</v>
      </c>
      <c r="S21" s="14" t="e">
        <f ca="1">'Riesgo - Análisis - 1'!N21</f>
        <v>#REF!</v>
      </c>
      <c r="T21" s="18" t="str">
        <f>'Riesgo - Análisis - 1'!U21</f>
        <v>RB</v>
      </c>
      <c r="V21" s="41">
        <v>5</v>
      </c>
      <c r="W21" s="74" t="s">
        <v>346</v>
      </c>
    </row>
    <row r="22" spans="14:23" x14ac:dyDescent="0.25">
      <c r="N22" s="4">
        <f>'Riesgo - Análisis - 1'!I22</f>
        <v>2</v>
      </c>
      <c r="O22" s="4">
        <f>'Riesgo - Análisis - 1'!J22</f>
        <v>2</v>
      </c>
      <c r="P22" s="4">
        <f t="shared" si="0"/>
        <v>22</v>
      </c>
      <c r="Q22" s="4" t="e">
        <f ca="1">'Riesgo - Análisis - 1'!L22</f>
        <v>#REF!</v>
      </c>
      <c r="R22" s="18" t="e">
        <f ca="1">'Riesgo - Análisis - 1'!M22</f>
        <v>#REF!</v>
      </c>
      <c r="S22" s="14" t="e">
        <f ca="1">'Riesgo - Análisis - 1'!N22</f>
        <v>#REF!</v>
      </c>
      <c r="T22" s="18" t="str">
        <f>'Riesgo - Análisis - 1'!U22</f>
        <v>RB</v>
      </c>
      <c r="V22" s="41">
        <v>6</v>
      </c>
      <c r="W22" s="74" t="s">
        <v>347</v>
      </c>
    </row>
    <row r="23" spans="14:23" x14ac:dyDescent="0.25">
      <c r="N23" s="4">
        <f>'Riesgo - Análisis - 1'!I23</f>
        <v>2</v>
      </c>
      <c r="O23" s="4">
        <f>'Riesgo - Análisis - 1'!J23</f>
        <v>2</v>
      </c>
      <c r="P23" s="4">
        <f t="shared" si="0"/>
        <v>22</v>
      </c>
      <c r="Q23" s="4" t="e">
        <f ca="1">'Riesgo - Análisis - 1'!L23</f>
        <v>#REF!</v>
      </c>
      <c r="R23" s="18" t="e">
        <f ca="1">'Riesgo - Análisis - 1'!M23</f>
        <v>#REF!</v>
      </c>
      <c r="S23" s="14" t="e">
        <f ca="1">'Riesgo - Análisis - 1'!N23</f>
        <v>#REF!</v>
      </c>
      <c r="T23" s="18" t="str">
        <f>'Riesgo - Análisis - 1'!U23</f>
        <v>RB</v>
      </c>
    </row>
    <row r="24" spans="14:23" x14ac:dyDescent="0.25">
      <c r="N24" s="4">
        <f>'Riesgo - Análisis - 1'!I24</f>
        <v>2</v>
      </c>
      <c r="O24" s="4">
        <f>'Riesgo - Análisis - 1'!J24</f>
        <v>2</v>
      </c>
      <c r="P24" s="4">
        <f t="shared" si="0"/>
        <v>22</v>
      </c>
      <c r="Q24" s="4" t="e">
        <f ca="1">'Riesgo - Análisis - 1'!L24</f>
        <v>#REF!</v>
      </c>
      <c r="R24" s="18" t="e">
        <f ca="1">'Riesgo - Análisis - 1'!M24</f>
        <v>#REF!</v>
      </c>
      <c r="S24" s="14" t="e">
        <f ca="1">'Riesgo - Análisis - 1'!N24</f>
        <v>#REF!</v>
      </c>
      <c r="T24" s="18" t="str">
        <f>'Riesgo - Análisis - 1'!U24</f>
        <v>RB</v>
      </c>
      <c r="V24" s="41" t="s">
        <v>316</v>
      </c>
    </row>
    <row r="25" spans="14:23" x14ac:dyDescent="0.25">
      <c r="N25" s="4">
        <f>'Riesgo - Análisis - 1'!I25</f>
        <v>2</v>
      </c>
      <c r="O25" s="4">
        <f>'Riesgo - Análisis - 1'!J25</f>
        <v>2</v>
      </c>
      <c r="P25" s="4">
        <f t="shared" si="0"/>
        <v>22</v>
      </c>
      <c r="Q25" s="4" t="e">
        <f ca="1">'Riesgo - Análisis - 1'!L25</f>
        <v>#REF!</v>
      </c>
      <c r="R25" s="18" t="e">
        <f ca="1">'Riesgo - Análisis - 1'!M25</f>
        <v>#REF!</v>
      </c>
      <c r="S25" s="14" t="e">
        <f ca="1">'Riesgo - Análisis - 1'!N25</f>
        <v>#REF!</v>
      </c>
      <c r="T25" s="18" t="str">
        <f>'Riesgo - Análisis - 1'!U25</f>
        <v>RB</v>
      </c>
      <c r="V25" s="41">
        <v>10</v>
      </c>
      <c r="W25" s="73" t="s">
        <v>317</v>
      </c>
    </row>
    <row r="26" spans="14:23" x14ac:dyDescent="0.25">
      <c r="N26" s="4">
        <f>'Riesgo - Análisis - 1'!I26</f>
        <v>2</v>
      </c>
      <c r="O26" s="4">
        <f>'Riesgo - Análisis - 1'!J26</f>
        <v>3</v>
      </c>
      <c r="P26" s="4">
        <f t="shared" si="0"/>
        <v>23</v>
      </c>
      <c r="Q26" s="4" t="e">
        <f ca="1">'Riesgo - Análisis - 1'!L26</f>
        <v>#REF!</v>
      </c>
      <c r="R26" s="18" t="e">
        <f ca="1">'Riesgo - Análisis - 1'!M26</f>
        <v>#REF!</v>
      </c>
      <c r="S26" s="14" t="e">
        <f ca="1">'Riesgo - Análisis - 1'!N26</f>
        <v>#REF!</v>
      </c>
      <c r="T26" s="18" t="str">
        <f>'Riesgo - Análisis - 1'!U26</f>
        <v>RB</v>
      </c>
      <c r="V26" s="41">
        <v>21</v>
      </c>
      <c r="W26" s="73" t="str">
        <f>CONCATENATE($W$5," - ",W17)</f>
        <v>Aceptación y puesta en servicio - Del LINAC</v>
      </c>
    </row>
    <row r="27" spans="14:23" x14ac:dyDescent="0.25">
      <c r="N27" s="4">
        <f>'Riesgo - Análisis - 1'!I27</f>
        <v>2</v>
      </c>
      <c r="O27" s="4">
        <f>'Riesgo - Análisis - 1'!J27</f>
        <v>4</v>
      </c>
      <c r="P27" s="4">
        <f t="shared" si="0"/>
        <v>24</v>
      </c>
      <c r="Q27" s="4" t="e">
        <f ca="1">'Riesgo - Análisis - 1'!L27</f>
        <v>#REF!</v>
      </c>
      <c r="R27" s="18" t="e">
        <f ca="1">'Riesgo - Análisis - 1'!M27</f>
        <v>#REF!</v>
      </c>
      <c r="S27" s="14" t="e">
        <f ca="1">'Riesgo - Análisis - 1'!N27</f>
        <v>#REF!</v>
      </c>
      <c r="T27" s="18" t="str">
        <f>'Riesgo - Análisis - 1'!U27</f>
        <v>RB</v>
      </c>
      <c r="V27" s="41">
        <v>22</v>
      </c>
      <c r="W27" s="73" t="str">
        <f>CONCATENATE($W$5," - ",W18)</f>
        <v>Aceptación y puesta en servicio - Del Sistema de Planificación (TPS)</v>
      </c>
    </row>
    <row r="28" spans="14:23" x14ac:dyDescent="0.25">
      <c r="N28" s="4">
        <f>'Riesgo - Análisis - 1'!I28</f>
        <v>2</v>
      </c>
      <c r="O28" s="4">
        <f>'Riesgo - Análisis - 1'!J28</f>
        <v>4</v>
      </c>
      <c r="P28" s="4">
        <f t="shared" si="0"/>
        <v>24</v>
      </c>
      <c r="Q28" s="4" t="e">
        <f ca="1">'Riesgo - Análisis - 1'!L28</f>
        <v>#REF!</v>
      </c>
      <c r="R28" s="18" t="e">
        <f ca="1">'Riesgo - Análisis - 1'!M28</f>
        <v>#REF!</v>
      </c>
      <c r="S28" s="14" t="e">
        <f ca="1">'Riesgo - Análisis - 1'!N28</f>
        <v>#REF!</v>
      </c>
      <c r="T28" s="18" t="str">
        <f>'Riesgo - Análisis - 1'!U28</f>
        <v>RM</v>
      </c>
      <c r="V28" s="41">
        <v>23</v>
      </c>
      <c r="W28" s="73" t="str">
        <f>CONCATENATE($W$5," - ",W19)</f>
        <v>Aceptación y puesta en servicio - Del equipo de Adquisición de Imágenes</v>
      </c>
    </row>
    <row r="29" spans="14:23" x14ac:dyDescent="0.25">
      <c r="N29" s="4">
        <f>'Riesgo - Análisis - 1'!I29</f>
        <v>3</v>
      </c>
      <c r="O29" s="4">
        <f>'Riesgo - Análisis - 1'!J29</f>
        <v>0</v>
      </c>
      <c r="P29" s="4">
        <f t="shared" si="0"/>
        <v>30</v>
      </c>
      <c r="Q29" s="4" t="e">
        <f ca="1">'Riesgo - Análisis - 1'!L29</f>
        <v>#REF!</v>
      </c>
      <c r="R29" s="18" t="e">
        <f ca="1">'Riesgo - Análisis - 1'!M29</f>
        <v>#REF!</v>
      </c>
      <c r="S29" s="14" t="e">
        <f ca="1">'Riesgo - Análisis - 1'!N29</f>
        <v>#REF!</v>
      </c>
      <c r="T29" s="18" t="str">
        <f>'Riesgo - Análisis - 1'!U29</f>
        <v>RM</v>
      </c>
      <c r="V29" s="41">
        <v>24</v>
      </c>
      <c r="W29" s="73" t="str">
        <f>CONCATENATE($W$5," - ",W20)</f>
        <v>Aceptación y puesta en servicio - Sistemas de transferencia y conexiones</v>
      </c>
    </row>
    <row r="30" spans="14:23" x14ac:dyDescent="0.25">
      <c r="N30" s="4">
        <f>'Riesgo - Análisis - 1'!I30</f>
        <v>3</v>
      </c>
      <c r="O30" s="4">
        <f>'Riesgo - Análisis - 1'!J30</f>
        <v>0</v>
      </c>
      <c r="P30" s="4">
        <f t="shared" si="0"/>
        <v>30</v>
      </c>
      <c r="Q30" s="4" t="e">
        <f ca="1">'Riesgo - Análisis - 1'!L30</f>
        <v>#REF!</v>
      </c>
      <c r="R30" s="18" t="e">
        <f ca="1">'Riesgo - Análisis - 1'!M30</f>
        <v>#REF!</v>
      </c>
      <c r="S30" s="14" t="e">
        <f ca="1">'Riesgo - Análisis - 1'!N30</f>
        <v>#REF!</v>
      </c>
      <c r="T30" s="18" t="str">
        <f>'Riesgo - Análisis - 1'!U30</f>
        <v>RB</v>
      </c>
      <c r="V30" s="41">
        <v>30</v>
      </c>
      <c r="W30" s="73" t="s">
        <v>319</v>
      </c>
    </row>
    <row r="31" spans="14:23" x14ac:dyDescent="0.25">
      <c r="N31" s="4">
        <f>'Riesgo - Análisis - 1'!I31</f>
        <v>4</v>
      </c>
      <c r="O31" s="4">
        <f>'Riesgo - Análisis - 1'!J31</f>
        <v>0</v>
      </c>
      <c r="P31" s="4">
        <f t="shared" si="0"/>
        <v>40</v>
      </c>
      <c r="Q31" s="4" t="e">
        <f ca="1">'Riesgo - Análisis - 1'!L31</f>
        <v>#REF!</v>
      </c>
      <c r="R31" s="18" t="e">
        <f ca="1">'Riesgo - Análisis - 1'!M31</f>
        <v>#REF!</v>
      </c>
      <c r="S31" s="14" t="e">
        <f ca="1">'Riesgo - Análisis - 1'!N31</f>
        <v>#REF!</v>
      </c>
      <c r="T31" s="18" t="str">
        <f>'Riesgo - Análisis - 1'!U31</f>
        <v>RB</v>
      </c>
      <c r="V31" s="41">
        <v>40</v>
      </c>
      <c r="W31" s="73" t="s">
        <v>320</v>
      </c>
    </row>
    <row r="32" spans="14:23" x14ac:dyDescent="0.25">
      <c r="N32" s="4">
        <f>'Riesgo - Análisis - 1'!I32</f>
        <v>4</v>
      </c>
      <c r="O32" s="4">
        <f>'Riesgo - Análisis - 1'!J32</f>
        <v>0</v>
      </c>
      <c r="P32" s="4">
        <f t="shared" si="0"/>
        <v>40</v>
      </c>
      <c r="Q32" s="4" t="e">
        <f ca="1">'Riesgo - Análisis - 1'!L32</f>
        <v>#REF!</v>
      </c>
      <c r="R32" s="18" t="e">
        <f ca="1">'Riesgo - Análisis - 1'!M32</f>
        <v>#REF!</v>
      </c>
      <c r="S32" s="14" t="e">
        <f ca="1">'Riesgo - Análisis - 1'!N32</f>
        <v>#REF!</v>
      </c>
      <c r="T32" s="18" t="str">
        <f>'Riesgo - Análisis - 1'!U32</f>
        <v>RB</v>
      </c>
      <c r="V32" s="41">
        <v>50</v>
      </c>
      <c r="W32" s="73" t="s">
        <v>321</v>
      </c>
    </row>
    <row r="33" spans="1:23" x14ac:dyDescent="0.25">
      <c r="N33" s="4">
        <f>'Riesgo - Análisis - 1'!I33</f>
        <v>4</v>
      </c>
      <c r="O33" s="4">
        <f>'Riesgo - Análisis - 1'!J33</f>
        <v>0</v>
      </c>
      <c r="P33" s="4">
        <f t="shared" si="0"/>
        <v>40</v>
      </c>
      <c r="Q33" s="4" t="e">
        <f ca="1">'Riesgo - Análisis - 1'!L33</f>
        <v>#REF!</v>
      </c>
      <c r="R33" s="18" t="e">
        <f ca="1">'Riesgo - Análisis - 1'!M33</f>
        <v>#REF!</v>
      </c>
      <c r="S33" s="14" t="e">
        <f ca="1">'Riesgo - Análisis - 1'!N33</f>
        <v>#REF!</v>
      </c>
      <c r="T33" s="18" t="str">
        <f>'Riesgo - Análisis - 1'!U33</f>
        <v>RB</v>
      </c>
      <c r="V33" s="41">
        <v>60</v>
      </c>
      <c r="W33" s="73" t="s">
        <v>322</v>
      </c>
    </row>
    <row r="34" spans="1:23" x14ac:dyDescent="0.25">
      <c r="N34" s="4">
        <f>'Riesgo - Análisis - 1'!I34</f>
        <v>4</v>
      </c>
      <c r="O34" s="4">
        <f>'Riesgo - Análisis - 1'!J34</f>
        <v>0</v>
      </c>
      <c r="P34" s="4">
        <f t="shared" si="0"/>
        <v>40</v>
      </c>
      <c r="Q34" s="4" t="e">
        <f ca="1">'Riesgo - Análisis - 1'!L34</f>
        <v>#REF!</v>
      </c>
      <c r="R34" s="18" t="e">
        <f ca="1">'Riesgo - Análisis - 1'!M34</f>
        <v>#REF!</v>
      </c>
      <c r="S34" s="14" t="e">
        <f ca="1">'Riesgo - Análisis - 1'!N34</f>
        <v>#REF!</v>
      </c>
      <c r="T34" s="18" t="str">
        <f>'Riesgo - Análisis - 1'!U34</f>
        <v>RB</v>
      </c>
      <c r="V34" s="41">
        <v>70</v>
      </c>
      <c r="W34" s="73" t="s">
        <v>323</v>
      </c>
    </row>
    <row r="35" spans="1:23" x14ac:dyDescent="0.25">
      <c r="N35" s="4">
        <f>'Riesgo - Análisis - 1'!I35</f>
        <v>4</v>
      </c>
      <c r="O35" s="4">
        <f>'Riesgo - Análisis - 1'!J35</f>
        <v>0</v>
      </c>
      <c r="P35" s="4">
        <f t="shared" si="0"/>
        <v>40</v>
      </c>
      <c r="Q35" s="4" t="e">
        <f ca="1">'Riesgo - Análisis - 1'!L35</f>
        <v>#REF!</v>
      </c>
      <c r="R35" s="18" t="e">
        <f ca="1">'Riesgo - Análisis - 1'!M35</f>
        <v>#REF!</v>
      </c>
      <c r="S35" s="14" t="e">
        <f ca="1">'Riesgo - Análisis - 1'!N35</f>
        <v>#REF!</v>
      </c>
      <c r="T35" s="18" t="str">
        <f>'Riesgo - Análisis - 1'!U35</f>
        <v>RB</v>
      </c>
      <c r="V35" s="41">
        <v>80</v>
      </c>
      <c r="W35" s="73" t="s">
        <v>324</v>
      </c>
    </row>
    <row r="36" spans="1:23" x14ac:dyDescent="0.25">
      <c r="A36" t="s">
        <v>328</v>
      </c>
      <c r="N36" s="4">
        <f>'Riesgo - Análisis - 1'!I36</f>
        <v>4</v>
      </c>
      <c r="O36" s="4">
        <f>'Riesgo - Análisis - 1'!J36</f>
        <v>0</v>
      </c>
      <c r="P36" s="4">
        <f t="shared" si="0"/>
        <v>40</v>
      </c>
      <c r="Q36" s="4" t="e">
        <f ca="1">'Riesgo - Análisis - 1'!L36</f>
        <v>#REF!</v>
      </c>
      <c r="R36" s="18" t="e">
        <f ca="1">'Riesgo - Análisis - 1'!M36</f>
        <v>#REF!</v>
      </c>
      <c r="S36" s="14" t="e">
        <f ca="1">'Riesgo - Análisis - 1'!N36</f>
        <v>#REF!</v>
      </c>
      <c r="T36" s="18" t="str">
        <f>'Riesgo - Análisis - 1'!U36</f>
        <v>RB</v>
      </c>
      <c r="V36" s="41">
        <v>90</v>
      </c>
      <c r="W36" s="73" t="s">
        <v>325</v>
      </c>
    </row>
    <row r="37" spans="1:23" x14ac:dyDescent="0.25">
      <c r="A37" s="77" t="s">
        <v>329</v>
      </c>
      <c r="N37" s="4">
        <f>'Riesgo - Análisis - 1'!I37</f>
        <v>4</v>
      </c>
      <c r="O37" s="4">
        <f>'Riesgo - Análisis - 1'!J37</f>
        <v>0</v>
      </c>
      <c r="P37" s="4">
        <f t="shared" si="0"/>
        <v>40</v>
      </c>
      <c r="Q37" s="4" t="e">
        <f ca="1">'Riesgo - Análisis - 1'!L37</f>
        <v>#REF!</v>
      </c>
      <c r="R37" s="18" t="e">
        <f ca="1">'Riesgo - Análisis - 1'!M37</f>
        <v>#REF!</v>
      </c>
      <c r="S37" s="14" t="e">
        <f ca="1">'Riesgo - Análisis - 1'!N37</f>
        <v>#REF!</v>
      </c>
      <c r="T37" s="18" t="str">
        <f>'Riesgo - Análisis - 1'!U37</f>
        <v>RA</v>
      </c>
      <c r="V37" s="41">
        <v>100</v>
      </c>
      <c r="W37" s="73" t="s">
        <v>326</v>
      </c>
    </row>
    <row r="38" spans="1:23" x14ac:dyDescent="0.25">
      <c r="A38" s="77" t="s">
        <v>330</v>
      </c>
      <c r="N38" s="4">
        <f>'Riesgo - Análisis - 1'!I38</f>
        <v>4</v>
      </c>
      <c r="O38" s="4">
        <f>'Riesgo - Análisis - 1'!J38</f>
        <v>0</v>
      </c>
      <c r="P38" s="4">
        <f t="shared" si="0"/>
        <v>40</v>
      </c>
      <c r="Q38" s="4" t="e">
        <f ca="1">'Riesgo - Análisis - 1'!L38</f>
        <v>#REF!</v>
      </c>
      <c r="R38" s="18" t="e">
        <f ca="1">'Riesgo - Análisis - 1'!M38</f>
        <v>#REF!</v>
      </c>
      <c r="S38" s="14" t="e">
        <f ca="1">'Riesgo - Análisis - 1'!N38</f>
        <v>#REF!</v>
      </c>
      <c r="T38" s="18" t="str">
        <f>'Riesgo - Análisis - 1'!U38</f>
        <v>RM</v>
      </c>
      <c r="V38" s="41">
        <v>111</v>
      </c>
      <c r="W38" s="73" t="str">
        <f>CONCATENATE($W14," - ",W21)</f>
        <v>Ejecución del tratamiento - Asociados al proceso de tratamiento</v>
      </c>
    </row>
    <row r="39" spans="1:23" x14ac:dyDescent="0.25">
      <c r="A39" s="77" t="s">
        <v>331</v>
      </c>
      <c r="N39" s="4">
        <f>'Riesgo - Análisis - 1'!I39</f>
        <v>5</v>
      </c>
      <c r="O39" s="4">
        <f>'Riesgo - Análisis - 1'!J39</f>
        <v>0</v>
      </c>
      <c r="P39" s="4">
        <f t="shared" si="0"/>
        <v>50</v>
      </c>
      <c r="Q39" s="4" t="e">
        <f ca="1">'Riesgo - Análisis - 1'!L39</f>
        <v>#REF!</v>
      </c>
      <c r="R39" s="18" t="e">
        <f ca="1">'Riesgo - Análisis - 1'!M39</f>
        <v>#REF!</v>
      </c>
      <c r="S39" s="14" t="e">
        <f ca="1">'Riesgo - Análisis - 1'!N39</f>
        <v>#REF!</v>
      </c>
      <c r="T39" s="18" t="str">
        <f>'Riesgo - Análisis - 1'!U39</f>
        <v>RB</v>
      </c>
      <c r="V39" s="41">
        <v>112</v>
      </c>
      <c r="W39" s="73" t="str">
        <f>CONCATENATE($W14," - ",W22)</f>
        <v>Ejecución del tratamiento - Asociados a fallos de equipo</v>
      </c>
    </row>
    <row r="40" spans="1:23" x14ac:dyDescent="0.25">
      <c r="N40" s="4">
        <f>'Riesgo - Análisis - 1'!I40</f>
        <v>5</v>
      </c>
      <c r="O40" s="4">
        <f>'Riesgo - Análisis - 1'!J40</f>
        <v>0</v>
      </c>
      <c r="P40" s="4">
        <f t="shared" si="0"/>
        <v>50</v>
      </c>
      <c r="Q40" s="4" t="e">
        <f ca="1">'Riesgo - Análisis - 1'!L40</f>
        <v>#REF!</v>
      </c>
      <c r="R40" s="18" t="e">
        <f ca="1">'Riesgo - Análisis - 1'!M40</f>
        <v>#REF!</v>
      </c>
      <c r="S40" s="14" t="e">
        <f ca="1">'Riesgo - Análisis - 1'!N40</f>
        <v>#REF!</v>
      </c>
      <c r="T40" s="18" t="str">
        <f>'Riesgo - Análisis - 1'!U40</f>
        <v>RB</v>
      </c>
    </row>
    <row r="41" spans="1:23" x14ac:dyDescent="0.25">
      <c r="N41" s="4">
        <f>'Riesgo - Análisis - 1'!I41</f>
        <v>5</v>
      </c>
      <c r="O41" s="4">
        <f>'Riesgo - Análisis - 1'!J41</f>
        <v>0</v>
      </c>
      <c r="P41" s="4">
        <f t="shared" si="0"/>
        <v>50</v>
      </c>
      <c r="Q41" s="4" t="e">
        <f ca="1">'Riesgo - Análisis - 1'!L41</f>
        <v>#REF!</v>
      </c>
      <c r="R41" s="18" t="e">
        <f ca="1">'Riesgo - Análisis - 1'!M41</f>
        <v>#REF!</v>
      </c>
      <c r="S41" s="14" t="e">
        <f ca="1">'Riesgo - Análisis - 1'!N41</f>
        <v>#REF!</v>
      </c>
      <c r="T41" s="18" t="str">
        <f>'Riesgo - Análisis - 1'!U41</f>
        <v>RB</v>
      </c>
    </row>
    <row r="42" spans="1:23" ht="15.75" thickBot="1" x14ac:dyDescent="0.3">
      <c r="N42" s="4">
        <f>'Riesgo - Análisis - 1'!I42</f>
        <v>5</v>
      </c>
      <c r="O42" s="4">
        <f>'Riesgo - Análisis - 1'!J42</f>
        <v>0</v>
      </c>
      <c r="P42" s="4">
        <f t="shared" si="0"/>
        <v>50</v>
      </c>
      <c r="Q42" s="4" t="e">
        <f ca="1">'Riesgo - Análisis - 1'!L42</f>
        <v>#REF!</v>
      </c>
      <c r="R42" s="18" t="e">
        <f ca="1">'Riesgo - Análisis - 1'!M42</f>
        <v>#REF!</v>
      </c>
      <c r="S42" s="14" t="e">
        <f ca="1">'Riesgo - Análisis - 1'!N42</f>
        <v>#REF!</v>
      </c>
      <c r="T42" s="18" t="str">
        <f>'Riesgo - Análisis - 1'!U42</f>
        <v>RB</v>
      </c>
    </row>
    <row r="43" spans="1:23" x14ac:dyDescent="0.25">
      <c r="B43" s="13" t="s">
        <v>312</v>
      </c>
      <c r="C43" s="13" t="s">
        <v>332</v>
      </c>
      <c r="N43" s="4">
        <f>'Riesgo - Análisis - 1'!I43</f>
        <v>5</v>
      </c>
      <c r="O43" s="4">
        <f>'Riesgo - Análisis - 1'!J43</f>
        <v>0</v>
      </c>
      <c r="P43" s="4">
        <f t="shared" si="0"/>
        <v>50</v>
      </c>
      <c r="Q43" s="4" t="e">
        <f ca="1">'Riesgo - Análisis - 1'!L43</f>
        <v>#REF!</v>
      </c>
      <c r="R43" s="18" t="e">
        <f ca="1">'Riesgo - Análisis - 1'!M43</f>
        <v>#REF!</v>
      </c>
      <c r="S43" s="14" t="e">
        <f ca="1">'Riesgo - Análisis - 1'!N43</f>
        <v>#REF!</v>
      </c>
      <c r="T43" s="18" t="str">
        <f>'Riesgo - Análisis - 1'!U43</f>
        <v>RB</v>
      </c>
    </row>
    <row r="44" spans="1:23" x14ac:dyDescent="0.25">
      <c r="A44" s="73" t="s">
        <v>317</v>
      </c>
      <c r="B44" s="39">
        <v>10</v>
      </c>
      <c r="C44" s="3">
        <v>0</v>
      </c>
      <c r="N44" s="4">
        <f>'Riesgo - Análisis - 1'!I44</f>
        <v>5</v>
      </c>
      <c r="O44" s="4">
        <f>'Riesgo - Análisis - 1'!J44</f>
        <v>0</v>
      </c>
      <c r="P44" s="4">
        <f t="shared" si="0"/>
        <v>50</v>
      </c>
      <c r="Q44" s="4" t="e">
        <f ca="1">'Riesgo - Análisis - 1'!L44</f>
        <v>#REF!</v>
      </c>
      <c r="R44" s="18" t="e">
        <f ca="1">'Riesgo - Análisis - 1'!M44</f>
        <v>#REF!</v>
      </c>
      <c r="S44" s="14" t="e">
        <f ca="1">'Riesgo - Análisis - 1'!N44</f>
        <v>#REF!</v>
      </c>
      <c r="T44" s="18" t="str">
        <f>'Riesgo - Análisis - 1'!U44</f>
        <v>RB</v>
      </c>
    </row>
    <row r="45" spans="1:23" ht="30" x14ac:dyDescent="0.25">
      <c r="A45" s="76" t="str">
        <f>CONCATENATE($W$5," - ",A36)</f>
        <v>Aceptación y puesta en servicio - Del LINAC</v>
      </c>
      <c r="B45" s="39">
        <v>21</v>
      </c>
      <c r="C45" s="3">
        <v>16</v>
      </c>
      <c r="N45" s="4">
        <f>'Riesgo - Análisis - 1'!I45</f>
        <v>5</v>
      </c>
      <c r="O45" s="4">
        <f>'Riesgo - Análisis - 1'!J45</f>
        <v>0</v>
      </c>
      <c r="P45" s="4">
        <f t="shared" si="0"/>
        <v>50</v>
      </c>
      <c r="Q45" s="4" t="e">
        <f ca="1">'Riesgo - Análisis - 1'!L45</f>
        <v>#REF!</v>
      </c>
      <c r="R45" s="18" t="e">
        <f ca="1">'Riesgo - Análisis - 1'!M45</f>
        <v>#REF!</v>
      </c>
      <c r="S45" s="14" t="e">
        <f ca="1">'Riesgo - Análisis - 1'!N45</f>
        <v>#REF!</v>
      </c>
      <c r="T45" s="18" t="str">
        <f>'Riesgo - Análisis - 1'!U45</f>
        <v>RB</v>
      </c>
    </row>
    <row r="46" spans="1:23" ht="30" x14ac:dyDescent="0.25">
      <c r="A46" s="76" t="str">
        <f>CONCATENATE($W$5," - ",A37)</f>
        <v>Aceptación y puesta en servicio - Del Sistema de Planificación (TPS)</v>
      </c>
      <c r="B46" s="39">
        <v>22</v>
      </c>
      <c r="C46" s="3">
        <v>8</v>
      </c>
      <c r="N46" s="4">
        <f>'Riesgo - Análisis - 1'!I46</f>
        <v>5</v>
      </c>
      <c r="O46" s="4">
        <f>'Riesgo - Análisis - 1'!J46</f>
        <v>0</v>
      </c>
      <c r="P46" s="4">
        <f t="shared" si="0"/>
        <v>50</v>
      </c>
      <c r="Q46" s="4" t="e">
        <f ca="1">'Riesgo - Análisis - 1'!L46</f>
        <v>#REF!</v>
      </c>
      <c r="R46" s="18" t="e">
        <f ca="1">'Riesgo - Análisis - 1'!M46</f>
        <v>#REF!</v>
      </c>
      <c r="S46" s="14" t="e">
        <f ca="1">'Riesgo - Análisis - 1'!N46</f>
        <v>#REF!</v>
      </c>
      <c r="T46" s="18" t="str">
        <f>'Riesgo - Análisis - 1'!U46</f>
        <v>RB</v>
      </c>
    </row>
    <row r="47" spans="1:23" x14ac:dyDescent="0.25">
      <c r="A47" s="73" t="str">
        <f>CONCATENATE($W$5," - ",A38)</f>
        <v>Aceptación y puesta en servicio - Del equipo de Adquisición de Imágenes</v>
      </c>
      <c r="B47" s="39">
        <v>23</v>
      </c>
      <c r="C47" s="3">
        <v>1</v>
      </c>
      <c r="N47" s="4">
        <f>'Riesgo - Análisis - 1'!I47</f>
        <v>5</v>
      </c>
      <c r="O47" s="4">
        <f>'Riesgo - Análisis - 1'!J47</f>
        <v>0</v>
      </c>
      <c r="P47" s="4">
        <f t="shared" si="0"/>
        <v>50</v>
      </c>
      <c r="Q47" s="4" t="e">
        <f ca="1">'Riesgo - Análisis - 1'!L47</f>
        <v>#REF!</v>
      </c>
      <c r="R47" s="18" t="e">
        <f ca="1">'Riesgo - Análisis - 1'!M47</f>
        <v>#REF!</v>
      </c>
      <c r="S47" s="14" t="e">
        <f ca="1">'Riesgo - Análisis - 1'!N47</f>
        <v>#REF!</v>
      </c>
      <c r="T47" s="18" t="str">
        <f>'Riesgo - Análisis - 1'!U47</f>
        <v>RB</v>
      </c>
    </row>
    <row r="48" spans="1:23" x14ac:dyDescent="0.25">
      <c r="A48" s="73" t="str">
        <f>CONCATENATE($W$5," - ",A39)</f>
        <v>Aceptación y puesta en servicio - Sistemas de transferencia y conexiones</v>
      </c>
      <c r="B48" s="39">
        <v>24</v>
      </c>
      <c r="C48" s="3">
        <v>2</v>
      </c>
      <c r="N48" s="4">
        <f>'Riesgo - Análisis - 1'!I48</f>
        <v>5</v>
      </c>
      <c r="O48" s="4">
        <f>'Riesgo - Análisis - 1'!J48</f>
        <v>0</v>
      </c>
      <c r="P48" s="4">
        <f t="shared" si="0"/>
        <v>50</v>
      </c>
      <c r="Q48" s="4" t="e">
        <f ca="1">'Riesgo - Análisis - 1'!L48</f>
        <v>#REF!</v>
      </c>
      <c r="R48" s="18" t="e">
        <f ca="1">'Riesgo - Análisis - 1'!M48</f>
        <v>#REF!</v>
      </c>
      <c r="S48" s="14" t="e">
        <f ca="1">'Riesgo - Análisis - 1'!N48</f>
        <v>#REF!</v>
      </c>
      <c r="T48" s="18" t="str">
        <f>'Riesgo - Análisis - 1'!U48</f>
        <v>RM</v>
      </c>
    </row>
    <row r="49" spans="1:20" x14ac:dyDescent="0.25">
      <c r="A49" s="73" t="s">
        <v>319</v>
      </c>
      <c r="B49" s="39">
        <v>30</v>
      </c>
      <c r="C49" s="3">
        <v>2</v>
      </c>
      <c r="N49" s="4">
        <f>'Riesgo - Análisis - 1'!I49</f>
        <v>6</v>
      </c>
      <c r="O49" s="4">
        <f>'Riesgo - Análisis - 1'!J49</f>
        <v>0</v>
      </c>
      <c r="P49" s="4">
        <f t="shared" si="0"/>
        <v>60</v>
      </c>
      <c r="Q49" s="4" t="e">
        <f ca="1">'Riesgo - Análisis - 1'!L49</f>
        <v>#REF!</v>
      </c>
      <c r="R49" s="18" t="e">
        <f ca="1">'Riesgo - Análisis - 1'!M49</f>
        <v>#REF!</v>
      </c>
      <c r="S49" s="14" t="e">
        <f ca="1">'Riesgo - Análisis - 1'!N49</f>
        <v>#REF!</v>
      </c>
      <c r="T49" s="18" t="str">
        <f>'Riesgo - Análisis - 1'!U49</f>
        <v>RB</v>
      </c>
    </row>
    <row r="50" spans="1:20" x14ac:dyDescent="0.25">
      <c r="A50" s="73" t="s">
        <v>320</v>
      </c>
      <c r="B50" s="39">
        <v>40</v>
      </c>
      <c r="C50" s="3">
        <v>8</v>
      </c>
      <c r="N50" s="4">
        <f>'Riesgo - Análisis - 1'!I50</f>
        <v>6</v>
      </c>
      <c r="O50" s="4">
        <f>'Riesgo - Análisis - 1'!J50</f>
        <v>0</v>
      </c>
      <c r="P50" s="4">
        <f t="shared" si="0"/>
        <v>60</v>
      </c>
      <c r="Q50" s="4" t="e">
        <f ca="1">'Riesgo - Análisis - 1'!L50</f>
        <v>#REF!</v>
      </c>
      <c r="R50" s="18" t="e">
        <f ca="1">'Riesgo - Análisis - 1'!M50</f>
        <v>#REF!</v>
      </c>
      <c r="S50" s="14" t="e">
        <f ca="1">'Riesgo - Análisis - 1'!N50</f>
        <v>#REF!</v>
      </c>
      <c r="T50" s="18" t="str">
        <f>'Riesgo - Análisis - 1'!U50</f>
        <v>RA</v>
      </c>
    </row>
    <row r="51" spans="1:20" x14ac:dyDescent="0.25">
      <c r="A51" s="73" t="s">
        <v>321</v>
      </c>
      <c r="B51" s="39">
        <v>50</v>
      </c>
      <c r="C51" s="3">
        <v>10</v>
      </c>
      <c r="N51" s="4">
        <f>'Riesgo - Análisis - 1'!I51</f>
        <v>6</v>
      </c>
      <c r="O51" s="4">
        <f>'Riesgo - Análisis - 1'!J51</f>
        <v>0</v>
      </c>
      <c r="P51" s="4">
        <f t="shared" si="0"/>
        <v>60</v>
      </c>
      <c r="Q51" s="4" t="e">
        <f ca="1">'Riesgo - Análisis - 1'!L51</f>
        <v>#REF!</v>
      </c>
      <c r="R51" s="18" t="e">
        <f ca="1">'Riesgo - Análisis - 1'!M51</f>
        <v>#REF!</v>
      </c>
      <c r="S51" s="14" t="e">
        <f ca="1">'Riesgo - Análisis - 1'!N51</f>
        <v>#REF!</v>
      </c>
      <c r="T51" s="18" t="str">
        <f>'Riesgo - Análisis - 1'!U51</f>
        <v>RB</v>
      </c>
    </row>
    <row r="52" spans="1:20" x14ac:dyDescent="0.25">
      <c r="A52" s="73" t="s">
        <v>322</v>
      </c>
      <c r="B52" s="39">
        <v>60</v>
      </c>
      <c r="C52" s="3">
        <v>5</v>
      </c>
      <c r="N52" s="4">
        <f>'Riesgo - Análisis - 1'!I52</f>
        <v>6</v>
      </c>
      <c r="O52" s="4">
        <f>'Riesgo - Análisis - 1'!J52</f>
        <v>0</v>
      </c>
      <c r="P52" s="4">
        <f t="shared" si="0"/>
        <v>60</v>
      </c>
      <c r="Q52" s="4" t="e">
        <f ca="1">'Riesgo - Análisis - 1'!L52</f>
        <v>#REF!</v>
      </c>
      <c r="R52" s="18" t="e">
        <f ca="1">'Riesgo - Análisis - 1'!M52</f>
        <v>#REF!</v>
      </c>
      <c r="S52" s="14" t="e">
        <f ca="1">'Riesgo - Análisis - 1'!N52</f>
        <v>#REF!</v>
      </c>
      <c r="T52" s="18" t="str">
        <f>'Riesgo - Análisis - 1'!U52</f>
        <v>RB</v>
      </c>
    </row>
    <row r="53" spans="1:20" x14ac:dyDescent="0.25">
      <c r="A53" s="73" t="s">
        <v>323</v>
      </c>
      <c r="B53" s="39">
        <v>70</v>
      </c>
      <c r="C53" s="3">
        <v>12</v>
      </c>
      <c r="N53" s="4">
        <f>'Riesgo - Análisis - 1'!I53</f>
        <v>6</v>
      </c>
      <c r="O53" s="4">
        <f>'Riesgo - Análisis - 1'!J53</f>
        <v>0</v>
      </c>
      <c r="P53" s="4">
        <f t="shared" si="0"/>
        <v>60</v>
      </c>
      <c r="Q53" s="4" t="e">
        <f ca="1">'Riesgo - Análisis - 1'!L53</f>
        <v>#REF!</v>
      </c>
      <c r="R53" s="18" t="e">
        <f ca="1">'Riesgo - Análisis - 1'!M53</f>
        <v>#REF!</v>
      </c>
      <c r="S53" s="14" t="e">
        <f ca="1">'Riesgo - Análisis - 1'!N53</f>
        <v>#REF!</v>
      </c>
      <c r="T53" s="18" t="str">
        <f>'Riesgo - Análisis - 1'!U53</f>
        <v>RM</v>
      </c>
    </row>
    <row r="54" spans="1:20" x14ac:dyDescent="0.25">
      <c r="A54" s="73" t="s">
        <v>324</v>
      </c>
      <c r="B54" s="39">
        <v>80</v>
      </c>
      <c r="C54" s="3">
        <v>3</v>
      </c>
      <c r="N54" s="4">
        <f>'Riesgo - Análisis - 1'!I54</f>
        <v>7</v>
      </c>
      <c r="O54" s="4">
        <f>'Riesgo - Análisis - 1'!J54</f>
        <v>0</v>
      </c>
      <c r="P54" s="4">
        <f t="shared" si="0"/>
        <v>70</v>
      </c>
      <c r="Q54" s="4" t="e">
        <f ca="1">'Riesgo - Análisis - 1'!L54</f>
        <v>#REF!</v>
      </c>
      <c r="R54" s="18" t="e">
        <f ca="1">'Riesgo - Análisis - 1'!M54</f>
        <v>#REF!</v>
      </c>
      <c r="S54" s="14" t="e">
        <f ca="1">'Riesgo - Análisis - 1'!N54</f>
        <v>#REF!</v>
      </c>
      <c r="T54" s="18" t="str">
        <f>'Riesgo - Análisis - 1'!U54</f>
        <v>RB</v>
      </c>
    </row>
    <row r="55" spans="1:20" x14ac:dyDescent="0.25">
      <c r="A55" s="73" t="s">
        <v>325</v>
      </c>
      <c r="B55" s="39">
        <v>90</v>
      </c>
      <c r="C55" s="3">
        <v>15</v>
      </c>
      <c r="N55" s="4">
        <f>'Riesgo - Análisis - 1'!I55</f>
        <v>7</v>
      </c>
      <c r="O55" s="4">
        <f>'Riesgo - Análisis - 1'!J55</f>
        <v>0</v>
      </c>
      <c r="P55" s="4">
        <f t="shared" si="0"/>
        <v>70</v>
      </c>
      <c r="Q55" s="4" t="e">
        <f ca="1">'Riesgo - Análisis - 1'!L55</f>
        <v>#REF!</v>
      </c>
      <c r="R55" s="18" t="e">
        <f ca="1">'Riesgo - Análisis - 1'!M55</f>
        <v>#REF!</v>
      </c>
      <c r="S55" s="14" t="e">
        <f ca="1">'Riesgo - Análisis - 1'!N55</f>
        <v>#REF!</v>
      </c>
      <c r="T55" s="18" t="str">
        <f>'Riesgo - Análisis - 1'!U55</f>
        <v>RB</v>
      </c>
    </row>
    <row r="56" spans="1:20" x14ac:dyDescent="0.25">
      <c r="A56" s="73" t="s">
        <v>326</v>
      </c>
      <c r="B56" s="39">
        <v>100</v>
      </c>
      <c r="C56" s="3">
        <v>13</v>
      </c>
      <c r="N56" s="4">
        <f>'Riesgo - Análisis - 1'!I56</f>
        <v>7</v>
      </c>
      <c r="O56" s="4">
        <f>'Riesgo - Análisis - 1'!J56</f>
        <v>0</v>
      </c>
      <c r="P56" s="4">
        <f t="shared" si="0"/>
        <v>70</v>
      </c>
      <c r="Q56" s="4" t="e">
        <f ca="1">'Riesgo - Análisis - 1'!L56</f>
        <v>#REF!</v>
      </c>
      <c r="R56" s="18" t="e">
        <f ca="1">'Riesgo - Análisis - 1'!M56</f>
        <v>#REF!</v>
      </c>
      <c r="S56" s="14" t="e">
        <f ca="1">'Riesgo - Análisis - 1'!N56</f>
        <v>#REF!</v>
      </c>
      <c r="T56" s="18" t="str">
        <f>'Riesgo - Análisis - 1'!U56</f>
        <v>RB</v>
      </c>
    </row>
    <row r="57" spans="1:20" x14ac:dyDescent="0.25">
      <c r="A57" s="73" t="s">
        <v>348</v>
      </c>
      <c r="B57" s="39">
        <v>111</v>
      </c>
      <c r="C57" s="3">
        <v>11</v>
      </c>
      <c r="N57" s="4">
        <f>'Riesgo - Análisis - 1'!I57</f>
        <v>7</v>
      </c>
      <c r="O57" s="4">
        <f>'Riesgo - Análisis - 1'!J57</f>
        <v>0</v>
      </c>
      <c r="P57" s="4">
        <f t="shared" si="0"/>
        <v>70</v>
      </c>
      <c r="Q57" s="4" t="e">
        <f ca="1">'Riesgo - Análisis - 1'!L57</f>
        <v>#REF!</v>
      </c>
      <c r="R57" s="18" t="e">
        <f ca="1">'Riesgo - Análisis - 1'!M57</f>
        <v>#REF!</v>
      </c>
      <c r="S57" s="14" t="e">
        <f ca="1">'Riesgo - Análisis - 1'!N57</f>
        <v>#REF!</v>
      </c>
      <c r="T57" s="18" t="str">
        <f>'Riesgo - Análisis - 1'!U57</f>
        <v>RM</v>
      </c>
    </row>
    <row r="58" spans="1:20" x14ac:dyDescent="0.25">
      <c r="A58" s="73" t="s">
        <v>349</v>
      </c>
      <c r="B58" s="39">
        <v>112</v>
      </c>
      <c r="C58" s="3">
        <v>19</v>
      </c>
      <c r="N58" s="4">
        <f>'Riesgo - Análisis - 1'!I58</f>
        <v>7</v>
      </c>
      <c r="O58" s="4">
        <f>'Riesgo - Análisis - 1'!J58</f>
        <v>0</v>
      </c>
      <c r="P58" s="4">
        <f t="shared" si="0"/>
        <v>70</v>
      </c>
      <c r="Q58" s="4" t="e">
        <f ca="1">'Riesgo - Análisis - 1'!L58</f>
        <v>#REF!</v>
      </c>
      <c r="R58" s="18" t="e">
        <f ca="1">'Riesgo - Análisis - 1'!M58</f>
        <v>#REF!</v>
      </c>
      <c r="S58" s="14" t="e">
        <f ca="1">'Riesgo - Análisis - 1'!N58</f>
        <v>#REF!</v>
      </c>
      <c r="T58" s="18" t="str">
        <f>'Riesgo - Análisis - 1'!U58</f>
        <v>RB</v>
      </c>
    </row>
    <row r="59" spans="1:20" ht="15.75" thickBot="1" x14ac:dyDescent="0.3">
      <c r="B59" s="12"/>
      <c r="C59" s="12"/>
      <c r="N59" s="4">
        <f>'Riesgo - Análisis - 1'!I59</f>
        <v>7</v>
      </c>
      <c r="O59" s="4">
        <f>'Riesgo - Análisis - 1'!J59</f>
        <v>0</v>
      </c>
      <c r="P59" s="4">
        <f t="shared" si="0"/>
        <v>70</v>
      </c>
      <c r="Q59" s="4" t="e">
        <f ca="1">'Riesgo - Análisis - 1'!L59</f>
        <v>#REF!</v>
      </c>
      <c r="R59" s="18" t="e">
        <f ca="1">'Riesgo - Análisis - 1'!M59</f>
        <v>#REF!</v>
      </c>
      <c r="S59" s="14" t="e">
        <f ca="1">'Riesgo - Análisis - 1'!N59</f>
        <v>#REF!</v>
      </c>
      <c r="T59" s="18" t="str">
        <f>'Riesgo - Análisis - 1'!U59</f>
        <v>RM</v>
      </c>
    </row>
    <row r="60" spans="1:20" x14ac:dyDescent="0.25">
      <c r="N60" s="4">
        <f>'Riesgo - Análisis - 1'!I60</f>
        <v>7</v>
      </c>
      <c r="O60" s="4">
        <f>'Riesgo - Análisis - 1'!J60</f>
        <v>0</v>
      </c>
      <c r="P60" s="4">
        <f t="shared" si="0"/>
        <v>70</v>
      </c>
      <c r="Q60" s="4" t="e">
        <f ca="1">'Riesgo - Análisis - 1'!L60</f>
        <v>#REF!</v>
      </c>
      <c r="R60" s="18" t="e">
        <f ca="1">'Riesgo - Análisis - 1'!M60</f>
        <v>#REF!</v>
      </c>
      <c r="S60" s="14" t="e">
        <f ca="1">'Riesgo - Análisis - 1'!N60</f>
        <v>#REF!</v>
      </c>
      <c r="T60" s="18" t="str">
        <f>'Riesgo - Análisis - 1'!U60</f>
        <v>RB</v>
      </c>
    </row>
    <row r="61" spans="1:20" x14ac:dyDescent="0.25">
      <c r="N61" s="4">
        <f>'Riesgo - Análisis - 1'!I61</f>
        <v>7</v>
      </c>
      <c r="O61" s="4">
        <f>'Riesgo - Análisis - 1'!J61</f>
        <v>0</v>
      </c>
      <c r="P61" s="4">
        <f t="shared" si="0"/>
        <v>70</v>
      </c>
      <c r="Q61" s="4" t="e">
        <f ca="1">'Riesgo - Análisis - 1'!L61</f>
        <v>#REF!</v>
      </c>
      <c r="R61" s="18" t="e">
        <f ca="1">'Riesgo - Análisis - 1'!M61</f>
        <v>#REF!</v>
      </c>
      <c r="S61" s="14" t="e">
        <f ca="1">'Riesgo - Análisis - 1'!N61</f>
        <v>#REF!</v>
      </c>
      <c r="T61" s="18" t="str">
        <f>'Riesgo - Análisis - 1'!U61</f>
        <v>RB</v>
      </c>
    </row>
    <row r="62" spans="1:20" x14ac:dyDescent="0.25">
      <c r="N62" s="4">
        <f>'Riesgo - Análisis - 1'!I62</f>
        <v>7</v>
      </c>
      <c r="O62" s="4">
        <f>'Riesgo - Análisis - 1'!J62</f>
        <v>0</v>
      </c>
      <c r="P62" s="4">
        <f t="shared" si="0"/>
        <v>70</v>
      </c>
      <c r="Q62" s="4" t="e">
        <f ca="1">'Riesgo - Análisis - 1'!L62</f>
        <v>#REF!</v>
      </c>
      <c r="R62" s="18" t="e">
        <f ca="1">'Riesgo - Análisis - 1'!M62</f>
        <v>#REF!</v>
      </c>
      <c r="S62" s="14" t="e">
        <f ca="1">'Riesgo - Análisis - 1'!N62</f>
        <v>#REF!</v>
      </c>
      <c r="T62" s="18" t="str">
        <f>'Riesgo - Análisis - 1'!U62</f>
        <v>RB</v>
      </c>
    </row>
    <row r="63" spans="1:20" x14ac:dyDescent="0.25">
      <c r="N63" s="4">
        <f>'Riesgo - Análisis - 1'!I63</f>
        <v>7</v>
      </c>
      <c r="O63" s="4">
        <f>'Riesgo - Análisis - 1'!J63</f>
        <v>0</v>
      </c>
      <c r="P63" s="4">
        <f t="shared" si="0"/>
        <v>70</v>
      </c>
      <c r="Q63" s="4" t="e">
        <f ca="1">'Riesgo - Análisis - 1'!L63</f>
        <v>#REF!</v>
      </c>
      <c r="R63" s="18" t="e">
        <f ca="1">'Riesgo - Análisis - 1'!M63</f>
        <v>#REF!</v>
      </c>
      <c r="S63" s="14" t="e">
        <f ca="1">'Riesgo - Análisis - 1'!N63</f>
        <v>#REF!</v>
      </c>
      <c r="T63" s="18" t="str">
        <f>'Riesgo - Análisis - 1'!U63</f>
        <v>RB</v>
      </c>
    </row>
    <row r="64" spans="1:20" x14ac:dyDescent="0.25">
      <c r="N64" s="4">
        <f>'Riesgo - Análisis - 1'!I64</f>
        <v>7</v>
      </c>
      <c r="O64" s="4">
        <f>'Riesgo - Análisis - 1'!J64</f>
        <v>0</v>
      </c>
      <c r="P64" s="4">
        <f t="shared" si="0"/>
        <v>70</v>
      </c>
      <c r="Q64" s="4" t="e">
        <f ca="1">'Riesgo - Análisis - 1'!L64</f>
        <v>#REF!</v>
      </c>
      <c r="R64" s="18" t="e">
        <f ca="1">'Riesgo - Análisis - 1'!M64</f>
        <v>#REF!</v>
      </c>
      <c r="S64" s="14" t="e">
        <f ca="1">'Riesgo - Análisis - 1'!N64</f>
        <v>#REF!</v>
      </c>
      <c r="T64" s="18" t="str">
        <f>'Riesgo - Análisis - 1'!U64</f>
        <v>RB</v>
      </c>
    </row>
    <row r="65" spans="14:20" x14ac:dyDescent="0.25">
      <c r="N65" s="4">
        <f>'Riesgo - Análisis - 1'!I65</f>
        <v>7</v>
      </c>
      <c r="O65" s="4">
        <f>'Riesgo - Análisis - 1'!J65</f>
        <v>0</v>
      </c>
      <c r="P65" s="4">
        <f t="shared" si="0"/>
        <v>70</v>
      </c>
      <c r="Q65" s="4" t="e">
        <f ca="1">'Riesgo - Análisis - 1'!L65</f>
        <v>#REF!</v>
      </c>
      <c r="R65" s="18" t="e">
        <f ca="1">'Riesgo - Análisis - 1'!M65</f>
        <v>#REF!</v>
      </c>
      <c r="S65" s="14" t="e">
        <f ca="1">'Riesgo - Análisis - 1'!N65</f>
        <v>#REF!</v>
      </c>
      <c r="T65" s="18" t="str">
        <f>'Riesgo - Análisis - 1'!U65</f>
        <v>RB</v>
      </c>
    </row>
    <row r="66" spans="14:20" x14ac:dyDescent="0.25">
      <c r="N66" s="4">
        <f>'Riesgo - Análisis - 1'!I66</f>
        <v>8</v>
      </c>
      <c r="O66" s="4">
        <f>'Riesgo - Análisis - 1'!J66</f>
        <v>0</v>
      </c>
      <c r="P66" s="4">
        <f t="shared" si="0"/>
        <v>80</v>
      </c>
      <c r="Q66" s="4" t="e">
        <f ca="1">'Riesgo - Análisis - 1'!L66</f>
        <v>#REF!</v>
      </c>
      <c r="R66" s="18" t="e">
        <f ca="1">'Riesgo - Análisis - 1'!M66</f>
        <v>#REF!</v>
      </c>
      <c r="S66" s="14" t="e">
        <f ca="1">'Riesgo - Análisis - 1'!N66</f>
        <v>#REF!</v>
      </c>
      <c r="T66" s="18" t="str">
        <f>'Riesgo - Análisis - 1'!U66</f>
        <v>RB</v>
      </c>
    </row>
    <row r="67" spans="14:20" x14ac:dyDescent="0.25">
      <c r="N67" s="4">
        <f>'Riesgo - Análisis - 1'!I67</f>
        <v>8</v>
      </c>
      <c r="O67" s="4">
        <f>'Riesgo - Análisis - 1'!J67</f>
        <v>0</v>
      </c>
      <c r="P67" s="4">
        <f t="shared" ref="P67:P126" si="1">VALUE(IF(O67&lt;5,CONCATENATE(N67,O67),CONCATENATE(N67,O67-4)))</f>
        <v>80</v>
      </c>
      <c r="Q67" s="4" t="e">
        <f ca="1">'Riesgo - Análisis - 1'!L67</f>
        <v>#REF!</v>
      </c>
      <c r="R67" s="18" t="e">
        <f ca="1">'Riesgo - Análisis - 1'!M67</f>
        <v>#REF!</v>
      </c>
      <c r="S67" s="14" t="e">
        <f ca="1">'Riesgo - Análisis - 1'!N67</f>
        <v>#REF!</v>
      </c>
      <c r="T67" s="18" t="str">
        <f>'Riesgo - Análisis - 1'!U67</f>
        <v>RB</v>
      </c>
    </row>
    <row r="68" spans="14:20" x14ac:dyDescent="0.25">
      <c r="N68" s="4">
        <f>'Riesgo - Análisis - 1'!I68</f>
        <v>8</v>
      </c>
      <c r="O68" s="4">
        <f>'Riesgo - Análisis - 1'!J68</f>
        <v>0</v>
      </c>
      <c r="P68" s="4">
        <f t="shared" si="1"/>
        <v>80</v>
      </c>
      <c r="Q68" s="4" t="e">
        <f ca="1">'Riesgo - Análisis - 1'!L68</f>
        <v>#REF!</v>
      </c>
      <c r="R68" s="18" t="e">
        <f ca="1">'Riesgo - Análisis - 1'!M68</f>
        <v>#REF!</v>
      </c>
      <c r="S68" s="14" t="e">
        <f ca="1">'Riesgo - Análisis - 1'!N68</f>
        <v>#REF!</v>
      </c>
      <c r="T68" s="18" t="str">
        <f>'Riesgo - Análisis - 1'!U68</f>
        <v>RM</v>
      </c>
    </row>
    <row r="69" spans="14:20" x14ac:dyDescent="0.25">
      <c r="N69" s="4">
        <f>'Riesgo - Análisis - 1'!I69</f>
        <v>9</v>
      </c>
      <c r="O69" s="4">
        <f>'Riesgo - Análisis - 1'!J69</f>
        <v>0</v>
      </c>
      <c r="P69" s="4">
        <f t="shared" si="1"/>
        <v>90</v>
      </c>
      <c r="Q69" s="4" t="e">
        <f ca="1">'Riesgo - Análisis - 1'!L69</f>
        <v>#REF!</v>
      </c>
      <c r="R69" s="18" t="e">
        <f ca="1">'Riesgo - Análisis - 1'!M69</f>
        <v>#REF!</v>
      </c>
      <c r="S69" s="14" t="e">
        <f ca="1">'Riesgo - Análisis - 1'!N69</f>
        <v>#REF!</v>
      </c>
      <c r="T69" s="18" t="str">
        <f>'Riesgo - Análisis - 1'!U69</f>
        <v>RM</v>
      </c>
    </row>
    <row r="70" spans="14:20" x14ac:dyDescent="0.25">
      <c r="N70" s="4">
        <f>'Riesgo - Análisis - 1'!I70</f>
        <v>9</v>
      </c>
      <c r="O70" s="4">
        <f>'Riesgo - Análisis - 1'!J70</f>
        <v>0</v>
      </c>
      <c r="P70" s="4">
        <f t="shared" si="1"/>
        <v>90</v>
      </c>
      <c r="Q70" s="4" t="e">
        <f ca="1">'Riesgo - Análisis - 1'!L70</f>
        <v>#REF!</v>
      </c>
      <c r="R70" s="18" t="e">
        <f ca="1">'Riesgo - Análisis - 1'!M70</f>
        <v>#REF!</v>
      </c>
      <c r="S70" s="14" t="e">
        <f ca="1">'Riesgo - Análisis - 1'!N70</f>
        <v>#REF!</v>
      </c>
      <c r="T70" s="18" t="str">
        <f>'Riesgo - Análisis - 1'!U70</f>
        <v>RB</v>
      </c>
    </row>
    <row r="71" spans="14:20" x14ac:dyDescent="0.25">
      <c r="N71" s="4">
        <f>'Riesgo - Análisis - 1'!I71</f>
        <v>9</v>
      </c>
      <c r="O71" s="4">
        <f>'Riesgo - Análisis - 1'!J71</f>
        <v>0</v>
      </c>
      <c r="P71" s="4">
        <f t="shared" si="1"/>
        <v>90</v>
      </c>
      <c r="Q71" s="4" t="e">
        <f ca="1">'Riesgo - Análisis - 1'!L71</f>
        <v>#REF!</v>
      </c>
      <c r="R71" s="18" t="e">
        <f ca="1">'Riesgo - Análisis - 1'!M71</f>
        <v>#REF!</v>
      </c>
      <c r="S71" s="14" t="e">
        <f ca="1">'Riesgo - Análisis - 1'!N71</f>
        <v>#REF!</v>
      </c>
      <c r="T71" s="18" t="str">
        <f>'Riesgo - Análisis - 1'!U71</f>
        <v>RM</v>
      </c>
    </row>
    <row r="72" spans="14:20" x14ac:dyDescent="0.25">
      <c r="N72" s="4">
        <f>'Riesgo - Análisis - 1'!I72</f>
        <v>9</v>
      </c>
      <c r="O72" s="4">
        <f>'Riesgo - Análisis - 1'!J72</f>
        <v>0</v>
      </c>
      <c r="P72" s="4">
        <f t="shared" si="1"/>
        <v>90</v>
      </c>
      <c r="Q72" s="4" t="e">
        <f ca="1">'Riesgo - Análisis - 1'!L72</f>
        <v>#REF!</v>
      </c>
      <c r="R72" s="18" t="e">
        <f ca="1">'Riesgo - Análisis - 1'!M72</f>
        <v>#REF!</v>
      </c>
      <c r="S72" s="14" t="e">
        <f ca="1">'Riesgo - Análisis - 1'!N72</f>
        <v>#REF!</v>
      </c>
      <c r="T72" s="18" t="str">
        <f>'Riesgo - Análisis - 1'!U72</f>
        <v>RB</v>
      </c>
    </row>
    <row r="73" spans="14:20" x14ac:dyDescent="0.25">
      <c r="N73" s="4">
        <f>'Riesgo - Análisis - 1'!I73</f>
        <v>9</v>
      </c>
      <c r="O73" s="4">
        <f>'Riesgo - Análisis - 1'!J73</f>
        <v>0</v>
      </c>
      <c r="P73" s="4">
        <f t="shared" si="1"/>
        <v>90</v>
      </c>
      <c r="Q73" s="4" t="e">
        <f ca="1">'Riesgo - Análisis - 1'!L73</f>
        <v>#REF!</v>
      </c>
      <c r="R73" s="18" t="e">
        <f ca="1">'Riesgo - Análisis - 1'!M73</f>
        <v>#REF!</v>
      </c>
      <c r="S73" s="14" t="e">
        <f ca="1">'Riesgo - Análisis - 1'!N73</f>
        <v>#REF!</v>
      </c>
      <c r="T73" s="18" t="str">
        <f>'Riesgo - Análisis - 1'!U73</f>
        <v>RB</v>
      </c>
    </row>
    <row r="74" spans="14:20" x14ac:dyDescent="0.25">
      <c r="N74" s="4">
        <f>'Riesgo - Análisis - 1'!I74</f>
        <v>9</v>
      </c>
      <c r="O74" s="4">
        <f>'Riesgo - Análisis - 1'!J74</f>
        <v>0</v>
      </c>
      <c r="P74" s="4">
        <f t="shared" si="1"/>
        <v>90</v>
      </c>
      <c r="Q74" s="4" t="e">
        <f ca="1">'Riesgo - Análisis - 1'!L74</f>
        <v>#REF!</v>
      </c>
      <c r="R74" s="18" t="e">
        <f ca="1">'Riesgo - Análisis - 1'!M74</f>
        <v>#REF!</v>
      </c>
      <c r="S74" s="14" t="e">
        <f ca="1">'Riesgo - Análisis - 1'!N74</f>
        <v>#REF!</v>
      </c>
      <c r="T74" s="18" t="str">
        <f>'Riesgo - Análisis - 1'!U74</f>
        <v>RB</v>
      </c>
    </row>
    <row r="75" spans="14:20" x14ac:dyDescent="0.25">
      <c r="N75" s="4">
        <f>'Riesgo - Análisis - 1'!I75</f>
        <v>9</v>
      </c>
      <c r="O75" s="4">
        <f>'Riesgo - Análisis - 1'!J75</f>
        <v>0</v>
      </c>
      <c r="P75" s="4">
        <f t="shared" si="1"/>
        <v>90</v>
      </c>
      <c r="Q75" s="4" t="e">
        <f ca="1">'Riesgo - Análisis - 1'!L75</f>
        <v>#REF!</v>
      </c>
      <c r="R75" s="18" t="e">
        <f ca="1">'Riesgo - Análisis - 1'!M75</f>
        <v>#REF!</v>
      </c>
      <c r="S75" s="14" t="e">
        <f ca="1">'Riesgo - Análisis - 1'!N75</f>
        <v>#REF!</v>
      </c>
      <c r="T75" s="18" t="str">
        <f>'Riesgo - Análisis - 1'!U75</f>
        <v>RB</v>
      </c>
    </row>
    <row r="76" spans="14:20" x14ac:dyDescent="0.25">
      <c r="N76" s="4">
        <f>'Riesgo - Análisis - 1'!I76</f>
        <v>9</v>
      </c>
      <c r="O76" s="4">
        <f>'Riesgo - Análisis - 1'!J76</f>
        <v>0</v>
      </c>
      <c r="P76" s="4">
        <f t="shared" si="1"/>
        <v>90</v>
      </c>
      <c r="Q76" s="4" t="e">
        <f ca="1">'Riesgo - Análisis - 1'!L76</f>
        <v>#REF!</v>
      </c>
      <c r="R76" s="18" t="e">
        <f ca="1">'Riesgo - Análisis - 1'!M76</f>
        <v>#REF!</v>
      </c>
      <c r="S76" s="14" t="e">
        <f ca="1">'Riesgo - Análisis - 1'!N76</f>
        <v>#REF!</v>
      </c>
      <c r="T76" s="18" t="str">
        <f>'Riesgo - Análisis - 1'!U76</f>
        <v>RB</v>
      </c>
    </row>
    <row r="77" spans="14:20" x14ac:dyDescent="0.25">
      <c r="N77" s="4">
        <f>'Riesgo - Análisis - 1'!I77</f>
        <v>9</v>
      </c>
      <c r="O77" s="4">
        <f>'Riesgo - Análisis - 1'!J77</f>
        <v>0</v>
      </c>
      <c r="P77" s="4">
        <f t="shared" si="1"/>
        <v>90</v>
      </c>
      <c r="Q77" s="4" t="e">
        <f ca="1">'Riesgo - Análisis - 1'!L77</f>
        <v>#REF!</v>
      </c>
      <c r="R77" s="18" t="e">
        <f ca="1">'Riesgo - Análisis - 1'!M77</f>
        <v>#REF!</v>
      </c>
      <c r="S77" s="14" t="e">
        <f ca="1">'Riesgo - Análisis - 1'!N77</f>
        <v>#REF!</v>
      </c>
      <c r="T77" s="18" t="str">
        <f>'Riesgo - Análisis - 1'!U77</f>
        <v>RB</v>
      </c>
    </row>
    <row r="78" spans="14:20" x14ac:dyDescent="0.25">
      <c r="N78" s="4">
        <f>'Riesgo - Análisis - 1'!I78</f>
        <v>9</v>
      </c>
      <c r="O78" s="4">
        <f>'Riesgo - Análisis - 1'!J78</f>
        <v>0</v>
      </c>
      <c r="P78" s="4">
        <f t="shared" si="1"/>
        <v>90</v>
      </c>
      <c r="Q78" s="4" t="e">
        <f ca="1">'Riesgo - Análisis - 1'!L78</f>
        <v>#REF!</v>
      </c>
      <c r="R78" s="18" t="e">
        <f ca="1">'Riesgo - Análisis - 1'!M78</f>
        <v>#REF!</v>
      </c>
      <c r="S78" s="14" t="e">
        <f ca="1">'Riesgo - Análisis - 1'!N78</f>
        <v>#REF!</v>
      </c>
      <c r="T78" s="18" t="str">
        <f>'Riesgo - Análisis - 1'!U78</f>
        <v>RB</v>
      </c>
    </row>
    <row r="79" spans="14:20" x14ac:dyDescent="0.25">
      <c r="N79" s="4">
        <f>'Riesgo - Análisis - 1'!I79</f>
        <v>9</v>
      </c>
      <c r="O79" s="4">
        <f>'Riesgo - Análisis - 1'!J79</f>
        <v>0</v>
      </c>
      <c r="P79" s="4">
        <f t="shared" si="1"/>
        <v>90</v>
      </c>
      <c r="Q79" s="4" t="e">
        <f ca="1">'Riesgo - Análisis - 1'!L79</f>
        <v>#REF!</v>
      </c>
      <c r="R79" s="18" t="e">
        <f ca="1">'Riesgo - Análisis - 1'!M79</f>
        <v>#REF!</v>
      </c>
      <c r="S79" s="14" t="e">
        <f ca="1">'Riesgo - Análisis - 1'!N79</f>
        <v>#REF!</v>
      </c>
      <c r="T79" s="18" t="str">
        <f>'Riesgo - Análisis - 1'!U79</f>
        <v>RB</v>
      </c>
    </row>
    <row r="80" spans="14:20" x14ac:dyDescent="0.25">
      <c r="N80" s="4">
        <f>'Riesgo - Análisis - 1'!I80</f>
        <v>9</v>
      </c>
      <c r="O80" s="4">
        <f>'Riesgo - Análisis - 1'!J80</f>
        <v>0</v>
      </c>
      <c r="P80" s="4">
        <f t="shared" si="1"/>
        <v>90</v>
      </c>
      <c r="Q80" s="4" t="e">
        <f ca="1">'Riesgo - Análisis - 1'!L80</f>
        <v>#REF!</v>
      </c>
      <c r="R80" s="18" t="e">
        <f ca="1">'Riesgo - Análisis - 1'!M80</f>
        <v>#REF!</v>
      </c>
      <c r="S80" s="14" t="e">
        <f ca="1">'Riesgo - Análisis - 1'!N80</f>
        <v>#REF!</v>
      </c>
      <c r="T80" s="18" t="str">
        <f>'Riesgo - Análisis - 1'!U80</f>
        <v>RB</v>
      </c>
    </row>
    <row r="81" spans="14:20" x14ac:dyDescent="0.25">
      <c r="N81" s="4">
        <f>'Riesgo - Análisis - 1'!I81</f>
        <v>9</v>
      </c>
      <c r="O81" s="4">
        <f>'Riesgo - Análisis - 1'!J81</f>
        <v>0</v>
      </c>
      <c r="P81" s="4">
        <f t="shared" si="1"/>
        <v>90</v>
      </c>
      <c r="Q81" s="4" t="e">
        <f ca="1">'Riesgo - Análisis - 1'!L81</f>
        <v>#REF!</v>
      </c>
      <c r="R81" s="18" t="e">
        <f ca="1">'Riesgo - Análisis - 1'!M81</f>
        <v>#REF!</v>
      </c>
      <c r="S81" s="14" t="e">
        <f ca="1">'Riesgo - Análisis - 1'!N81</f>
        <v>#REF!</v>
      </c>
      <c r="T81" s="18" t="str">
        <f>'Riesgo - Análisis - 1'!U81</f>
        <v>RB</v>
      </c>
    </row>
    <row r="82" spans="14:20" x14ac:dyDescent="0.25">
      <c r="N82" s="4">
        <f>'Riesgo - Análisis - 1'!I82</f>
        <v>9</v>
      </c>
      <c r="O82" s="4">
        <f>'Riesgo - Análisis - 1'!J82</f>
        <v>0</v>
      </c>
      <c r="P82" s="4">
        <f t="shared" si="1"/>
        <v>90</v>
      </c>
      <c r="Q82" s="4" t="e">
        <f ca="1">'Riesgo - Análisis - 1'!L82</f>
        <v>#REF!</v>
      </c>
      <c r="R82" s="18" t="e">
        <f ca="1">'Riesgo - Análisis - 1'!M82</f>
        <v>#REF!</v>
      </c>
      <c r="S82" s="14" t="e">
        <f ca="1">'Riesgo - Análisis - 1'!N82</f>
        <v>#REF!</v>
      </c>
      <c r="T82" s="18" t="str">
        <f>'Riesgo - Análisis - 1'!U82</f>
        <v>RM</v>
      </c>
    </row>
    <row r="83" spans="14:20" x14ac:dyDescent="0.25">
      <c r="N83" s="4">
        <f>'Riesgo - Análisis - 1'!I83</f>
        <v>9</v>
      </c>
      <c r="O83" s="4">
        <f>'Riesgo - Análisis - 1'!J83</f>
        <v>0</v>
      </c>
      <c r="P83" s="4">
        <f t="shared" si="1"/>
        <v>90</v>
      </c>
      <c r="Q83" s="4" t="e">
        <f ca="1">'Riesgo - Análisis - 1'!L83</f>
        <v>#REF!</v>
      </c>
      <c r="R83" s="18" t="e">
        <f ca="1">'Riesgo - Análisis - 1'!M83</f>
        <v>#REF!</v>
      </c>
      <c r="S83" s="14" t="e">
        <f ca="1">'Riesgo - Análisis - 1'!N83</f>
        <v>#REF!</v>
      </c>
      <c r="T83" s="18" t="str">
        <f>'Riesgo - Análisis - 1'!U83</f>
        <v>RM</v>
      </c>
    </row>
    <row r="84" spans="14:20" x14ac:dyDescent="0.25">
      <c r="N84" s="4">
        <f>'Riesgo - Análisis - 1'!I84</f>
        <v>10</v>
      </c>
      <c r="O84" s="4">
        <f>'Riesgo - Análisis - 1'!J84</f>
        <v>0</v>
      </c>
      <c r="P84" s="4">
        <f t="shared" si="1"/>
        <v>100</v>
      </c>
      <c r="Q84" s="4" t="e">
        <f ca="1">'Riesgo - Análisis - 1'!L84</f>
        <v>#REF!</v>
      </c>
      <c r="R84" s="18" t="e">
        <f ca="1">'Riesgo - Análisis - 1'!M84</f>
        <v>#REF!</v>
      </c>
      <c r="S84" s="14" t="e">
        <f ca="1">'Riesgo - Análisis - 1'!N84</f>
        <v>#REF!</v>
      </c>
      <c r="T84" s="18" t="str">
        <f>'Riesgo - Análisis - 1'!U84</f>
        <v>RB</v>
      </c>
    </row>
    <row r="85" spans="14:20" x14ac:dyDescent="0.25">
      <c r="N85" s="4">
        <f>'Riesgo - Análisis - 1'!I85</f>
        <v>10</v>
      </c>
      <c r="O85" s="4">
        <f>'Riesgo - Análisis - 1'!J85</f>
        <v>0</v>
      </c>
      <c r="P85" s="4">
        <f t="shared" si="1"/>
        <v>100</v>
      </c>
      <c r="Q85" s="4" t="e">
        <f ca="1">'Riesgo - Análisis - 1'!L85</f>
        <v>#REF!</v>
      </c>
      <c r="R85" s="18" t="e">
        <f ca="1">'Riesgo - Análisis - 1'!M85</f>
        <v>#REF!</v>
      </c>
      <c r="S85" s="14" t="e">
        <f ca="1">'Riesgo - Análisis - 1'!N85</f>
        <v>#REF!</v>
      </c>
      <c r="T85" s="18" t="str">
        <f>'Riesgo - Análisis - 1'!U85</f>
        <v>RB</v>
      </c>
    </row>
    <row r="86" spans="14:20" x14ac:dyDescent="0.25">
      <c r="N86" s="4">
        <f>'Riesgo - Análisis - 1'!I86</f>
        <v>10</v>
      </c>
      <c r="O86" s="4">
        <f>'Riesgo - Análisis - 1'!J86</f>
        <v>0</v>
      </c>
      <c r="P86" s="4">
        <f t="shared" si="1"/>
        <v>100</v>
      </c>
      <c r="Q86" s="4" t="e">
        <f ca="1">'Riesgo - Análisis - 1'!L86</f>
        <v>#REF!</v>
      </c>
      <c r="R86" s="18" t="e">
        <f ca="1">'Riesgo - Análisis - 1'!M86</f>
        <v>#REF!</v>
      </c>
      <c r="S86" s="14" t="e">
        <f ca="1">'Riesgo - Análisis - 1'!N86</f>
        <v>#REF!</v>
      </c>
      <c r="T86" s="18" t="str">
        <f>'Riesgo - Análisis - 1'!U86</f>
        <v>RB</v>
      </c>
    </row>
    <row r="87" spans="14:20" x14ac:dyDescent="0.25">
      <c r="N87" s="4">
        <f>'Riesgo - Análisis - 1'!I87</f>
        <v>10</v>
      </c>
      <c r="O87" s="4">
        <f>'Riesgo - Análisis - 1'!J87</f>
        <v>0</v>
      </c>
      <c r="P87" s="4">
        <f t="shared" si="1"/>
        <v>100</v>
      </c>
      <c r="Q87" s="4" t="e">
        <f ca="1">'Riesgo - Análisis - 1'!L87</f>
        <v>#REF!</v>
      </c>
      <c r="R87" s="18" t="e">
        <f ca="1">'Riesgo - Análisis - 1'!M87</f>
        <v>#REF!</v>
      </c>
      <c r="S87" s="14" t="e">
        <f ca="1">'Riesgo - Análisis - 1'!N87</f>
        <v>#REF!</v>
      </c>
      <c r="T87" s="18" t="str">
        <f>'Riesgo - Análisis - 1'!U87</f>
        <v>RB</v>
      </c>
    </row>
    <row r="88" spans="14:20" x14ac:dyDescent="0.25">
      <c r="N88" s="4">
        <f>'Riesgo - Análisis - 1'!I88</f>
        <v>10</v>
      </c>
      <c r="O88" s="4">
        <f>'Riesgo - Análisis - 1'!J88</f>
        <v>0</v>
      </c>
      <c r="P88" s="4">
        <f t="shared" si="1"/>
        <v>100</v>
      </c>
      <c r="Q88" s="4" t="e">
        <f ca="1">'Riesgo - Análisis - 1'!L88</f>
        <v>#REF!</v>
      </c>
      <c r="R88" s="18" t="e">
        <f ca="1">'Riesgo - Análisis - 1'!M88</f>
        <v>#REF!</v>
      </c>
      <c r="S88" s="14" t="e">
        <f ca="1">'Riesgo - Análisis - 1'!N88</f>
        <v>#REF!</v>
      </c>
      <c r="T88" s="18" t="str">
        <f>'Riesgo - Análisis - 1'!U88</f>
        <v>RM</v>
      </c>
    </row>
    <row r="89" spans="14:20" x14ac:dyDescent="0.25">
      <c r="N89" s="4">
        <f>'Riesgo - Análisis - 1'!I89</f>
        <v>10</v>
      </c>
      <c r="O89" s="4">
        <f>'Riesgo - Análisis - 1'!J89</f>
        <v>0</v>
      </c>
      <c r="P89" s="4">
        <f t="shared" si="1"/>
        <v>100</v>
      </c>
      <c r="Q89" s="4" t="e">
        <f ca="1">'Riesgo - Análisis - 1'!L89</f>
        <v>#REF!</v>
      </c>
      <c r="R89" s="18" t="e">
        <f ca="1">'Riesgo - Análisis - 1'!M89</f>
        <v>#REF!</v>
      </c>
      <c r="S89" s="14" t="e">
        <f ca="1">'Riesgo - Análisis - 1'!N89</f>
        <v>#REF!</v>
      </c>
      <c r="T89" s="18" t="str">
        <f>'Riesgo - Análisis - 1'!U89</f>
        <v>RB</v>
      </c>
    </row>
    <row r="90" spans="14:20" x14ac:dyDescent="0.25">
      <c r="N90" s="4">
        <f>'Riesgo - Análisis - 1'!I90</f>
        <v>10</v>
      </c>
      <c r="O90" s="4">
        <f>'Riesgo - Análisis - 1'!J90</f>
        <v>0</v>
      </c>
      <c r="P90" s="4">
        <f t="shared" si="1"/>
        <v>100</v>
      </c>
      <c r="Q90" s="4" t="e">
        <f ca="1">'Riesgo - Análisis - 1'!L90</f>
        <v>#REF!</v>
      </c>
      <c r="R90" s="18" t="e">
        <f ca="1">'Riesgo - Análisis - 1'!M90</f>
        <v>#REF!</v>
      </c>
      <c r="S90" s="14" t="e">
        <f ca="1">'Riesgo - Análisis - 1'!N90</f>
        <v>#REF!</v>
      </c>
      <c r="T90" s="18" t="str">
        <f>'Riesgo - Análisis - 1'!U90</f>
        <v>RB</v>
      </c>
    </row>
    <row r="91" spans="14:20" x14ac:dyDescent="0.25">
      <c r="N91" s="4">
        <f>'Riesgo - Análisis - 1'!I91</f>
        <v>10</v>
      </c>
      <c r="O91" s="4">
        <f>'Riesgo - Análisis - 1'!J91</f>
        <v>0</v>
      </c>
      <c r="P91" s="4">
        <f t="shared" si="1"/>
        <v>100</v>
      </c>
      <c r="Q91" s="4" t="e">
        <f ca="1">'Riesgo - Análisis - 1'!L91</f>
        <v>#REF!</v>
      </c>
      <c r="R91" s="18" t="e">
        <f ca="1">'Riesgo - Análisis - 1'!M91</f>
        <v>#REF!</v>
      </c>
      <c r="S91" s="14" t="e">
        <f ca="1">'Riesgo - Análisis - 1'!N91</f>
        <v>#REF!</v>
      </c>
      <c r="T91" s="18" t="str">
        <f>'Riesgo - Análisis - 1'!U91</f>
        <v>RB</v>
      </c>
    </row>
    <row r="92" spans="14:20" x14ac:dyDescent="0.25">
      <c r="N92" s="4">
        <f>'Riesgo - Análisis - 1'!I92</f>
        <v>10</v>
      </c>
      <c r="O92" s="4">
        <f>'Riesgo - Análisis - 1'!J92</f>
        <v>0</v>
      </c>
      <c r="P92" s="4">
        <f t="shared" si="1"/>
        <v>100</v>
      </c>
      <c r="Q92" s="4" t="e">
        <f ca="1">'Riesgo - Análisis - 1'!L92</f>
        <v>#REF!</v>
      </c>
      <c r="R92" s="18" t="e">
        <f ca="1">'Riesgo - Análisis - 1'!M92</f>
        <v>#REF!</v>
      </c>
      <c r="S92" s="14" t="e">
        <f ca="1">'Riesgo - Análisis - 1'!N92</f>
        <v>#REF!</v>
      </c>
      <c r="T92" s="18" t="str">
        <f>'Riesgo - Análisis - 1'!U92</f>
        <v>RB</v>
      </c>
    </row>
    <row r="93" spans="14:20" x14ac:dyDescent="0.25">
      <c r="N93" s="4">
        <f>'Riesgo - Análisis - 1'!I93</f>
        <v>10</v>
      </c>
      <c r="O93" s="4">
        <f>'Riesgo - Análisis - 1'!J93</f>
        <v>0</v>
      </c>
      <c r="P93" s="4">
        <f t="shared" si="1"/>
        <v>100</v>
      </c>
      <c r="Q93" s="4" t="e">
        <f ca="1">'Riesgo - Análisis - 1'!L93</f>
        <v>#REF!</v>
      </c>
      <c r="R93" s="18" t="e">
        <f ca="1">'Riesgo - Análisis - 1'!M93</f>
        <v>#REF!</v>
      </c>
      <c r="S93" s="14" t="e">
        <f ca="1">'Riesgo - Análisis - 1'!N93</f>
        <v>#REF!</v>
      </c>
      <c r="T93" s="18" t="str">
        <f>'Riesgo - Análisis - 1'!U93</f>
        <v>RB</v>
      </c>
    </row>
    <row r="94" spans="14:20" x14ac:dyDescent="0.25">
      <c r="N94" s="4">
        <f>'Riesgo - Análisis - 1'!I94</f>
        <v>10</v>
      </c>
      <c r="O94" s="4">
        <f>'Riesgo - Análisis - 1'!J94</f>
        <v>0</v>
      </c>
      <c r="P94" s="4">
        <f t="shared" si="1"/>
        <v>100</v>
      </c>
      <c r="Q94" s="4" t="e">
        <f ca="1">'Riesgo - Análisis - 1'!L94</f>
        <v>#REF!</v>
      </c>
      <c r="R94" s="18" t="e">
        <f ca="1">'Riesgo - Análisis - 1'!M94</f>
        <v>#REF!</v>
      </c>
      <c r="S94" s="14" t="e">
        <f ca="1">'Riesgo - Análisis - 1'!N94</f>
        <v>#REF!</v>
      </c>
      <c r="T94" s="18" t="str">
        <f>'Riesgo - Análisis - 1'!U94</f>
        <v>RM</v>
      </c>
    </row>
    <row r="95" spans="14:20" x14ac:dyDescent="0.25">
      <c r="N95" s="4">
        <f>'Riesgo - Análisis - 1'!I95</f>
        <v>10</v>
      </c>
      <c r="O95" s="4">
        <f>'Riesgo - Análisis - 1'!J95</f>
        <v>0</v>
      </c>
      <c r="P95" s="4">
        <f t="shared" si="1"/>
        <v>100</v>
      </c>
      <c r="Q95" s="4" t="e">
        <f ca="1">'Riesgo - Análisis - 1'!L95</f>
        <v>#REF!</v>
      </c>
      <c r="R95" s="18" t="e">
        <f ca="1">'Riesgo - Análisis - 1'!M95</f>
        <v>#REF!</v>
      </c>
      <c r="S95" s="14" t="e">
        <f ca="1">'Riesgo - Análisis - 1'!N95</f>
        <v>#REF!</v>
      </c>
      <c r="T95" s="18" t="str">
        <f>'Riesgo - Análisis - 1'!U95</f>
        <v>RB</v>
      </c>
    </row>
    <row r="96" spans="14:20" x14ac:dyDescent="0.25">
      <c r="N96" s="4">
        <f>'Riesgo - Análisis - 1'!I96</f>
        <v>10</v>
      </c>
      <c r="O96" s="4">
        <f>'Riesgo - Análisis - 1'!J96</f>
        <v>0</v>
      </c>
      <c r="P96" s="4">
        <f t="shared" si="1"/>
        <v>100</v>
      </c>
      <c r="Q96" s="4" t="e">
        <f ca="1">'Riesgo - Análisis - 1'!L96</f>
        <v>#REF!</v>
      </c>
      <c r="R96" s="18" t="e">
        <f ca="1">'Riesgo - Análisis - 1'!M96</f>
        <v>#REF!</v>
      </c>
      <c r="S96" s="14" t="e">
        <f ca="1">'Riesgo - Análisis - 1'!N96</f>
        <v>#REF!</v>
      </c>
      <c r="T96" s="18" t="str">
        <f>'Riesgo - Análisis - 1'!U96</f>
        <v>RB</v>
      </c>
    </row>
    <row r="97" spans="14:20" x14ac:dyDescent="0.25">
      <c r="N97" s="4">
        <f>'Riesgo - Análisis - 1'!I97</f>
        <v>11</v>
      </c>
      <c r="O97" s="4">
        <f>'Riesgo - Análisis - 1'!J97</f>
        <v>5</v>
      </c>
      <c r="P97" s="4">
        <f t="shared" si="1"/>
        <v>111</v>
      </c>
      <c r="Q97" s="4" t="e">
        <f ca="1">'Riesgo - Análisis - 1'!L97</f>
        <v>#REF!</v>
      </c>
      <c r="R97" s="18" t="e">
        <f ca="1">'Riesgo - Análisis - 1'!M97</f>
        <v>#REF!</v>
      </c>
      <c r="S97" s="14" t="e">
        <f ca="1">'Riesgo - Análisis - 1'!N97</f>
        <v>#REF!</v>
      </c>
      <c r="T97" s="18" t="str">
        <f>'Riesgo - Análisis - 1'!U97</f>
        <v>RB</v>
      </c>
    </row>
    <row r="98" spans="14:20" x14ac:dyDescent="0.25">
      <c r="N98" s="4">
        <f>'Riesgo - Análisis - 1'!I98</f>
        <v>11</v>
      </c>
      <c r="O98" s="4">
        <f>'Riesgo - Análisis - 1'!J98</f>
        <v>5</v>
      </c>
      <c r="P98" s="4">
        <f t="shared" si="1"/>
        <v>111</v>
      </c>
      <c r="Q98" s="4" t="e">
        <f ca="1">'Riesgo - Análisis - 1'!L98</f>
        <v>#REF!</v>
      </c>
      <c r="R98" s="18" t="e">
        <f ca="1">'Riesgo - Análisis - 1'!M98</f>
        <v>#REF!</v>
      </c>
      <c r="S98" s="14" t="e">
        <f ca="1">'Riesgo - Análisis - 1'!N98</f>
        <v>#REF!</v>
      </c>
      <c r="T98" s="18" t="str">
        <f>'Riesgo - Análisis - 1'!U98</f>
        <v>RB</v>
      </c>
    </row>
    <row r="99" spans="14:20" x14ac:dyDescent="0.25">
      <c r="N99" s="4">
        <f>'Riesgo - Análisis - 1'!I99</f>
        <v>11</v>
      </c>
      <c r="O99" s="4">
        <f>'Riesgo - Análisis - 1'!J99</f>
        <v>5</v>
      </c>
      <c r="P99" s="4">
        <f t="shared" si="1"/>
        <v>111</v>
      </c>
      <c r="Q99" s="4" t="e">
        <f ca="1">'Riesgo - Análisis - 1'!L99</f>
        <v>#REF!</v>
      </c>
      <c r="R99" s="18" t="e">
        <f ca="1">'Riesgo - Análisis - 1'!M99</f>
        <v>#REF!</v>
      </c>
      <c r="S99" s="14" t="e">
        <f ca="1">'Riesgo - Análisis - 1'!N99</f>
        <v>#REF!</v>
      </c>
      <c r="T99" s="18" t="str">
        <f>'Riesgo - Análisis - 1'!U99</f>
        <v>RM</v>
      </c>
    </row>
    <row r="100" spans="14:20" x14ac:dyDescent="0.25">
      <c r="N100" s="4">
        <f>'Riesgo - Análisis - 1'!I100</f>
        <v>11</v>
      </c>
      <c r="O100" s="4">
        <f>'Riesgo - Análisis - 1'!J100</f>
        <v>5</v>
      </c>
      <c r="P100" s="4">
        <f t="shared" si="1"/>
        <v>111</v>
      </c>
      <c r="Q100" s="4" t="e">
        <f ca="1">'Riesgo - Análisis - 1'!L100</f>
        <v>#REF!</v>
      </c>
      <c r="R100" s="18" t="e">
        <f ca="1">'Riesgo - Análisis - 1'!M100</f>
        <v>#REF!</v>
      </c>
      <c r="S100" s="14" t="e">
        <f ca="1">'Riesgo - Análisis - 1'!N100</f>
        <v>#REF!</v>
      </c>
      <c r="T100" s="18" t="str">
        <f>'Riesgo - Análisis - 1'!U100</f>
        <v>RB</v>
      </c>
    </row>
    <row r="101" spans="14:20" x14ac:dyDescent="0.25">
      <c r="N101" s="4">
        <f>'Riesgo - Análisis - 1'!I101</f>
        <v>11</v>
      </c>
      <c r="O101" s="4">
        <f>'Riesgo - Análisis - 1'!J101</f>
        <v>5</v>
      </c>
      <c r="P101" s="4">
        <f t="shared" si="1"/>
        <v>111</v>
      </c>
      <c r="Q101" s="4" t="e">
        <f ca="1">'Riesgo - Análisis - 1'!L101</f>
        <v>#REF!</v>
      </c>
      <c r="R101" s="18" t="e">
        <f ca="1">'Riesgo - Análisis - 1'!M101</f>
        <v>#REF!</v>
      </c>
      <c r="S101" s="14" t="e">
        <f ca="1">'Riesgo - Análisis - 1'!N101</f>
        <v>#REF!</v>
      </c>
      <c r="T101" s="18" t="str">
        <f>'Riesgo - Análisis - 1'!U101</f>
        <v>RA</v>
      </c>
    </row>
    <row r="102" spans="14:20" x14ac:dyDescent="0.25">
      <c r="N102" s="4">
        <f>'Riesgo - Análisis - 1'!I102</f>
        <v>11</v>
      </c>
      <c r="O102" s="4">
        <f>'Riesgo - Análisis - 1'!J102</f>
        <v>5</v>
      </c>
      <c r="P102" s="4">
        <f t="shared" si="1"/>
        <v>111</v>
      </c>
      <c r="Q102" s="4" t="e">
        <f ca="1">'Riesgo - Análisis - 1'!L102</f>
        <v>#REF!</v>
      </c>
      <c r="R102" s="18" t="e">
        <f ca="1">'Riesgo - Análisis - 1'!M102</f>
        <v>#REF!</v>
      </c>
      <c r="S102" s="14" t="e">
        <f ca="1">'Riesgo - Análisis - 1'!N102</f>
        <v>#REF!</v>
      </c>
      <c r="T102" s="18" t="str">
        <f>'Riesgo - Análisis - 1'!U102</f>
        <v>RB</v>
      </c>
    </row>
    <row r="103" spans="14:20" x14ac:dyDescent="0.25">
      <c r="N103" s="4">
        <f>'Riesgo - Análisis - 1'!I103</f>
        <v>11</v>
      </c>
      <c r="O103" s="4">
        <f>'Riesgo - Análisis - 1'!J103</f>
        <v>5</v>
      </c>
      <c r="P103" s="4">
        <f t="shared" si="1"/>
        <v>111</v>
      </c>
      <c r="Q103" s="4" t="e">
        <f ca="1">'Riesgo - Análisis - 1'!L103</f>
        <v>#REF!</v>
      </c>
      <c r="R103" s="18" t="e">
        <f ca="1">'Riesgo - Análisis - 1'!M103</f>
        <v>#REF!</v>
      </c>
      <c r="S103" s="14" t="e">
        <f ca="1">'Riesgo - Análisis - 1'!N103</f>
        <v>#REF!</v>
      </c>
      <c r="T103" s="18" t="str">
        <f>'Riesgo - Análisis - 1'!U103</f>
        <v>RM</v>
      </c>
    </row>
    <row r="104" spans="14:20" x14ac:dyDescent="0.25">
      <c r="N104" s="4">
        <f>'Riesgo - Análisis - 1'!I104</f>
        <v>11</v>
      </c>
      <c r="O104" s="4">
        <f>'Riesgo - Análisis - 1'!J104</f>
        <v>5</v>
      </c>
      <c r="P104" s="4">
        <f t="shared" si="1"/>
        <v>111</v>
      </c>
      <c r="Q104" s="4" t="e">
        <f ca="1">'Riesgo - Análisis - 1'!L104</f>
        <v>#REF!</v>
      </c>
      <c r="R104" s="18" t="e">
        <f ca="1">'Riesgo - Análisis - 1'!M104</f>
        <v>#REF!</v>
      </c>
      <c r="S104" s="14" t="e">
        <f ca="1">'Riesgo - Análisis - 1'!N104</f>
        <v>#REF!</v>
      </c>
      <c r="T104" s="18" t="str">
        <f>'Riesgo - Análisis - 1'!U104</f>
        <v>RM</v>
      </c>
    </row>
    <row r="105" spans="14:20" x14ac:dyDescent="0.25">
      <c r="N105" s="4">
        <f>'Riesgo - Análisis - 1'!I105</f>
        <v>11</v>
      </c>
      <c r="O105" s="4">
        <f>'Riesgo - Análisis - 1'!J105</f>
        <v>5</v>
      </c>
      <c r="P105" s="4">
        <f t="shared" si="1"/>
        <v>111</v>
      </c>
      <c r="Q105" s="4" t="e">
        <f ca="1">'Riesgo - Análisis - 1'!L105</f>
        <v>#REF!</v>
      </c>
      <c r="R105" s="18" t="e">
        <f ca="1">'Riesgo - Análisis - 1'!M105</f>
        <v>#REF!</v>
      </c>
      <c r="S105" s="14" t="e">
        <f ca="1">'Riesgo - Análisis - 1'!N105</f>
        <v>#REF!</v>
      </c>
      <c r="T105" s="18" t="str">
        <f>'Riesgo - Análisis - 1'!U105</f>
        <v>RM</v>
      </c>
    </row>
    <row r="106" spans="14:20" x14ac:dyDescent="0.25">
      <c r="N106" s="4">
        <f>'Riesgo - Análisis - 1'!I106</f>
        <v>11</v>
      </c>
      <c r="O106" s="4">
        <f>'Riesgo - Análisis - 1'!J106</f>
        <v>5</v>
      </c>
      <c r="P106" s="4">
        <f t="shared" si="1"/>
        <v>111</v>
      </c>
      <c r="Q106" s="4" t="e">
        <f ca="1">'Riesgo - Análisis - 1'!L106</f>
        <v>#REF!</v>
      </c>
      <c r="R106" s="18" t="e">
        <f ca="1">'Riesgo - Análisis - 1'!M106</f>
        <v>#REF!</v>
      </c>
      <c r="S106" s="14" t="e">
        <f ca="1">'Riesgo - Análisis - 1'!N106</f>
        <v>#REF!</v>
      </c>
      <c r="T106" s="18" t="str">
        <f>'Riesgo - Análisis - 1'!U106</f>
        <v>RM</v>
      </c>
    </row>
    <row r="107" spans="14:20" x14ac:dyDescent="0.25">
      <c r="N107" s="4">
        <f>'Riesgo - Análisis - 1'!I107</f>
        <v>11</v>
      </c>
      <c r="O107" s="4">
        <f>'Riesgo - Análisis - 1'!J107</f>
        <v>5</v>
      </c>
      <c r="P107" s="4">
        <f t="shared" si="1"/>
        <v>111</v>
      </c>
      <c r="Q107" s="4" t="e">
        <f ca="1">'Riesgo - Análisis - 1'!L107</f>
        <v>#REF!</v>
      </c>
      <c r="R107" s="18" t="e">
        <f ca="1">'Riesgo - Análisis - 1'!M107</f>
        <v>#REF!</v>
      </c>
      <c r="S107" s="14" t="e">
        <f ca="1">'Riesgo - Análisis - 1'!N107</f>
        <v>#REF!</v>
      </c>
      <c r="T107" s="18" t="str">
        <f>'Riesgo - Análisis - 1'!U107</f>
        <v>RM</v>
      </c>
    </row>
    <row r="108" spans="14:20" x14ac:dyDescent="0.25">
      <c r="N108" s="4">
        <f>'Riesgo - Análisis - 1'!I108</f>
        <v>11</v>
      </c>
      <c r="O108" s="4">
        <f>'Riesgo - Análisis - 1'!J108</f>
        <v>6</v>
      </c>
      <c r="P108" s="4">
        <f t="shared" si="1"/>
        <v>112</v>
      </c>
      <c r="Q108" s="4" t="e">
        <f ca="1">'Riesgo - Análisis - 1'!L108</f>
        <v>#REF!</v>
      </c>
      <c r="R108" s="18" t="e">
        <f ca="1">'Riesgo - Análisis - 1'!M108</f>
        <v>#REF!</v>
      </c>
      <c r="S108" s="14" t="e">
        <f ca="1">'Riesgo - Análisis - 1'!N108</f>
        <v>#REF!</v>
      </c>
      <c r="T108" s="18" t="str">
        <f>'Riesgo - Análisis - 1'!U108</f>
        <v>RM</v>
      </c>
    </row>
    <row r="109" spans="14:20" x14ac:dyDescent="0.25">
      <c r="N109" s="4">
        <f>'Riesgo - Análisis - 1'!I109</f>
        <v>11</v>
      </c>
      <c r="O109" s="4">
        <f>'Riesgo - Análisis - 1'!J109</f>
        <v>6</v>
      </c>
      <c r="P109" s="4">
        <f t="shared" si="1"/>
        <v>112</v>
      </c>
      <c r="Q109" s="4" t="e">
        <f ca="1">'Riesgo - Análisis - 1'!L109</f>
        <v>#REF!</v>
      </c>
      <c r="R109" s="18" t="e">
        <f ca="1">'Riesgo - Análisis - 1'!M109</f>
        <v>#REF!</v>
      </c>
      <c r="S109" s="14" t="e">
        <f ca="1">'Riesgo - Análisis - 1'!N109</f>
        <v>#REF!</v>
      </c>
      <c r="T109" s="18" t="str">
        <f>'Riesgo - Análisis - 1'!U109</f>
        <v>RM</v>
      </c>
    </row>
    <row r="110" spans="14:20" x14ac:dyDescent="0.25">
      <c r="N110" s="4">
        <f>'Riesgo - Análisis - 1'!I110</f>
        <v>11</v>
      </c>
      <c r="O110" s="4">
        <f>'Riesgo - Análisis - 1'!J110</f>
        <v>6</v>
      </c>
      <c r="P110" s="4">
        <f t="shared" si="1"/>
        <v>112</v>
      </c>
      <c r="Q110" s="4" t="e">
        <f ca="1">'Riesgo - Análisis - 1'!L110</f>
        <v>#REF!</v>
      </c>
      <c r="R110" s="18" t="e">
        <f ca="1">'Riesgo - Análisis - 1'!M110</f>
        <v>#REF!</v>
      </c>
      <c r="S110" s="14" t="e">
        <f ca="1">'Riesgo - Análisis - 1'!N110</f>
        <v>#REF!</v>
      </c>
      <c r="T110" s="18" t="str">
        <f>'Riesgo - Análisis - 1'!U110</f>
        <v>RM</v>
      </c>
    </row>
    <row r="111" spans="14:20" x14ac:dyDescent="0.25">
      <c r="N111" s="4">
        <f>'Riesgo - Análisis - 1'!I111</f>
        <v>11</v>
      </c>
      <c r="O111" s="4">
        <f>'Riesgo - Análisis - 1'!J111</f>
        <v>6</v>
      </c>
      <c r="P111" s="4">
        <f t="shared" si="1"/>
        <v>112</v>
      </c>
      <c r="Q111" s="4" t="e">
        <f ca="1">'Riesgo - Análisis - 1'!L111</f>
        <v>#REF!</v>
      </c>
      <c r="R111" s="18" t="e">
        <f ca="1">'Riesgo - Análisis - 1'!M111</f>
        <v>#REF!</v>
      </c>
      <c r="S111" s="14" t="e">
        <f ca="1">'Riesgo - Análisis - 1'!N111</f>
        <v>#REF!</v>
      </c>
      <c r="T111" s="18" t="str">
        <f>'Riesgo - Análisis - 1'!U111</f>
        <v>RM</v>
      </c>
    </row>
    <row r="112" spans="14:20" x14ac:dyDescent="0.25">
      <c r="N112" s="4">
        <f>'Riesgo - Análisis - 1'!I112</f>
        <v>11</v>
      </c>
      <c r="O112" s="4">
        <f>'Riesgo - Análisis - 1'!J112</f>
        <v>6</v>
      </c>
      <c r="P112" s="4">
        <f t="shared" si="1"/>
        <v>112</v>
      </c>
      <c r="Q112" s="4" t="e">
        <f ca="1">'Riesgo - Análisis - 1'!L112</f>
        <v>#REF!</v>
      </c>
      <c r="R112" s="18" t="e">
        <f ca="1">'Riesgo - Análisis - 1'!M112</f>
        <v>#REF!</v>
      </c>
      <c r="S112" s="14" t="e">
        <f ca="1">'Riesgo - Análisis - 1'!N112</f>
        <v>#REF!</v>
      </c>
      <c r="T112" s="18" t="str">
        <f>'Riesgo - Análisis - 1'!U112</f>
        <v>RM</v>
      </c>
    </row>
    <row r="113" spans="14:20" x14ac:dyDescent="0.25">
      <c r="N113" s="4">
        <f>'Riesgo - Análisis - 1'!I113</f>
        <v>11</v>
      </c>
      <c r="O113" s="4">
        <f>'Riesgo - Análisis - 1'!J113</f>
        <v>6</v>
      </c>
      <c r="P113" s="4">
        <f t="shared" si="1"/>
        <v>112</v>
      </c>
      <c r="Q113" s="4" t="e">
        <f ca="1">'Riesgo - Análisis - 1'!L113</f>
        <v>#REF!</v>
      </c>
      <c r="R113" s="18" t="e">
        <f ca="1">'Riesgo - Análisis - 1'!M113</f>
        <v>#REF!</v>
      </c>
      <c r="S113" s="14" t="e">
        <f ca="1">'Riesgo - Análisis - 1'!N113</f>
        <v>#REF!</v>
      </c>
      <c r="T113" s="18" t="str">
        <f>'Riesgo - Análisis - 1'!U113</f>
        <v>RM</v>
      </c>
    </row>
    <row r="114" spans="14:20" x14ac:dyDescent="0.25">
      <c r="N114" s="4">
        <f>'Riesgo - Análisis - 1'!I114</f>
        <v>11</v>
      </c>
      <c r="O114" s="4">
        <f>'Riesgo - Análisis - 1'!J114</f>
        <v>6</v>
      </c>
      <c r="P114" s="4">
        <f t="shared" si="1"/>
        <v>112</v>
      </c>
      <c r="Q114" s="4" t="e">
        <f ca="1">'Riesgo - Análisis - 1'!L114</f>
        <v>#REF!</v>
      </c>
      <c r="R114" s="18" t="e">
        <f ca="1">'Riesgo - Análisis - 1'!M114</f>
        <v>#REF!</v>
      </c>
      <c r="S114" s="14" t="e">
        <f ca="1">'Riesgo - Análisis - 1'!N114</f>
        <v>#REF!</v>
      </c>
      <c r="T114" s="18" t="str">
        <f>'Riesgo - Análisis - 1'!U114</f>
        <v>RM</v>
      </c>
    </row>
    <row r="115" spans="14:20" x14ac:dyDescent="0.25">
      <c r="N115" s="4">
        <f>'Riesgo - Análisis - 1'!I115</f>
        <v>11</v>
      </c>
      <c r="O115" s="4">
        <f>'Riesgo - Análisis - 1'!J115</f>
        <v>6</v>
      </c>
      <c r="P115" s="4">
        <f t="shared" si="1"/>
        <v>112</v>
      </c>
      <c r="Q115" s="4" t="e">
        <f ca="1">'Riesgo - Análisis - 1'!L115</f>
        <v>#REF!</v>
      </c>
      <c r="R115" s="18" t="e">
        <f ca="1">'Riesgo - Análisis - 1'!M115</f>
        <v>#REF!</v>
      </c>
      <c r="S115" s="14" t="e">
        <f ca="1">'Riesgo - Análisis - 1'!N115</f>
        <v>#REF!</v>
      </c>
      <c r="T115" s="18" t="str">
        <f>'Riesgo - Análisis - 1'!U115</f>
        <v>RM</v>
      </c>
    </row>
    <row r="116" spans="14:20" x14ac:dyDescent="0.25">
      <c r="N116" s="4">
        <f>'Riesgo - Análisis - 1'!I116</f>
        <v>11</v>
      </c>
      <c r="O116" s="4">
        <f>'Riesgo - Análisis - 1'!J116</f>
        <v>6</v>
      </c>
      <c r="P116" s="4">
        <f t="shared" si="1"/>
        <v>112</v>
      </c>
      <c r="Q116" s="4" t="e">
        <f ca="1">'Riesgo - Análisis - 1'!L116</f>
        <v>#REF!</v>
      </c>
      <c r="R116" s="18" t="e">
        <f ca="1">'Riesgo - Análisis - 1'!M116</f>
        <v>#REF!</v>
      </c>
      <c r="S116" s="14" t="e">
        <f ca="1">'Riesgo - Análisis - 1'!N116</f>
        <v>#REF!</v>
      </c>
      <c r="T116" s="18" t="str">
        <f>'Riesgo - Análisis - 1'!U116</f>
        <v>RM</v>
      </c>
    </row>
    <row r="117" spans="14:20" x14ac:dyDescent="0.25">
      <c r="N117" s="4">
        <f>'Riesgo - Análisis - 1'!I117</f>
        <v>11</v>
      </c>
      <c r="O117" s="4">
        <f>'Riesgo - Análisis - 1'!J117</f>
        <v>6</v>
      </c>
      <c r="P117" s="4">
        <f t="shared" si="1"/>
        <v>112</v>
      </c>
      <c r="Q117" s="4" t="e">
        <f ca="1">'Riesgo - Análisis - 1'!L117</f>
        <v>#REF!</v>
      </c>
      <c r="R117" s="18" t="e">
        <f ca="1">'Riesgo - Análisis - 1'!M117</f>
        <v>#REF!</v>
      </c>
      <c r="S117" s="14" t="e">
        <f ca="1">'Riesgo - Análisis - 1'!N117</f>
        <v>#REF!</v>
      </c>
      <c r="T117" s="18" t="str">
        <f>'Riesgo - Análisis - 1'!U117</f>
        <v>RM</v>
      </c>
    </row>
    <row r="118" spans="14:20" x14ac:dyDescent="0.25">
      <c r="N118" s="4">
        <f>'Riesgo - Análisis - 1'!I118</f>
        <v>11</v>
      </c>
      <c r="O118" s="4">
        <f>'Riesgo - Análisis - 1'!J118</f>
        <v>6</v>
      </c>
      <c r="P118" s="4">
        <f t="shared" si="1"/>
        <v>112</v>
      </c>
      <c r="Q118" s="4" t="e">
        <f ca="1">'Riesgo - Análisis - 1'!L118</f>
        <v>#REF!</v>
      </c>
      <c r="R118" s="18" t="e">
        <f ca="1">'Riesgo - Análisis - 1'!M118</f>
        <v>#REF!</v>
      </c>
      <c r="S118" s="14" t="e">
        <f ca="1">'Riesgo - Análisis - 1'!N118</f>
        <v>#REF!</v>
      </c>
      <c r="T118" s="18" t="str">
        <f>'Riesgo - Análisis - 1'!U118</f>
        <v>RM</v>
      </c>
    </row>
    <row r="119" spans="14:20" x14ac:dyDescent="0.25">
      <c r="N119" s="4">
        <f>'Riesgo - Análisis - 1'!I119</f>
        <v>11</v>
      </c>
      <c r="O119" s="4">
        <f>'Riesgo - Análisis - 1'!J119</f>
        <v>6</v>
      </c>
      <c r="P119" s="4">
        <f t="shared" si="1"/>
        <v>112</v>
      </c>
      <c r="Q119" s="4" t="e">
        <f ca="1">'Riesgo - Análisis - 1'!L119</f>
        <v>#REF!</v>
      </c>
      <c r="R119" s="18" t="e">
        <f ca="1">'Riesgo - Análisis - 1'!M119</f>
        <v>#REF!</v>
      </c>
      <c r="S119" s="14" t="e">
        <f ca="1">'Riesgo - Análisis - 1'!N119</f>
        <v>#REF!</v>
      </c>
      <c r="T119" s="18" t="str">
        <f>'Riesgo - Análisis - 1'!U119</f>
        <v>RB</v>
      </c>
    </row>
    <row r="120" spans="14:20" x14ac:dyDescent="0.25">
      <c r="N120" s="4">
        <f>'Riesgo - Análisis - 1'!I120</f>
        <v>11</v>
      </c>
      <c r="O120" s="4">
        <f>'Riesgo - Análisis - 1'!J120</f>
        <v>6</v>
      </c>
      <c r="P120" s="4">
        <f t="shared" si="1"/>
        <v>112</v>
      </c>
      <c r="Q120" s="4" t="e">
        <f ca="1">'Riesgo - Análisis - 1'!L120</f>
        <v>#REF!</v>
      </c>
      <c r="R120" s="18" t="e">
        <f ca="1">'Riesgo - Análisis - 1'!M120</f>
        <v>#REF!</v>
      </c>
      <c r="S120" s="14" t="e">
        <f ca="1">'Riesgo - Análisis - 1'!N120</f>
        <v>#REF!</v>
      </c>
      <c r="T120" s="18" t="str">
        <f>'Riesgo - Análisis - 1'!U120</f>
        <v>RB</v>
      </c>
    </row>
    <row r="121" spans="14:20" x14ac:dyDescent="0.25">
      <c r="N121" s="4">
        <f>'Riesgo - Análisis - 1'!I121</f>
        <v>11</v>
      </c>
      <c r="O121" s="4">
        <f>'Riesgo - Análisis - 1'!J121</f>
        <v>6</v>
      </c>
      <c r="P121" s="4">
        <f t="shared" si="1"/>
        <v>112</v>
      </c>
      <c r="Q121" s="4" t="e">
        <f ca="1">'Riesgo - Análisis - 1'!L121</f>
        <v>#REF!</v>
      </c>
      <c r="R121" s="18" t="e">
        <f ca="1">'Riesgo - Análisis - 1'!M121</f>
        <v>#REF!</v>
      </c>
      <c r="S121" s="14" t="e">
        <f ca="1">'Riesgo - Análisis - 1'!N121</f>
        <v>#REF!</v>
      </c>
      <c r="T121" s="18" t="str">
        <f>'Riesgo - Análisis - 1'!U121</f>
        <v>RM</v>
      </c>
    </row>
    <row r="122" spans="14:20" x14ac:dyDescent="0.25">
      <c r="N122" s="4">
        <f>'Riesgo - Análisis - 1'!I122</f>
        <v>11</v>
      </c>
      <c r="O122" s="4">
        <f>'Riesgo - Análisis - 1'!J122</f>
        <v>6</v>
      </c>
      <c r="P122" s="4">
        <f t="shared" si="1"/>
        <v>112</v>
      </c>
      <c r="Q122" s="4" t="e">
        <f ca="1">'Riesgo - Análisis - 1'!L122</f>
        <v>#REF!</v>
      </c>
      <c r="R122" s="18" t="e">
        <f ca="1">'Riesgo - Análisis - 1'!M122</f>
        <v>#REF!</v>
      </c>
      <c r="S122" s="14" t="e">
        <f ca="1">'Riesgo - Análisis - 1'!N122</f>
        <v>#REF!</v>
      </c>
      <c r="T122" s="18" t="str">
        <f>'Riesgo - Análisis - 1'!U122</f>
        <v>RM</v>
      </c>
    </row>
    <row r="123" spans="14:20" x14ac:dyDescent="0.25">
      <c r="N123" s="4">
        <f>'Riesgo - Análisis - 1'!I123</f>
        <v>11</v>
      </c>
      <c r="O123" s="4">
        <f>'Riesgo - Análisis - 1'!J123</f>
        <v>6</v>
      </c>
      <c r="P123" s="4">
        <f t="shared" si="1"/>
        <v>112</v>
      </c>
      <c r="Q123" s="4" t="e">
        <f ca="1">'Riesgo - Análisis - 1'!L123</f>
        <v>#REF!</v>
      </c>
      <c r="R123" s="18" t="e">
        <f ca="1">'Riesgo - Análisis - 1'!M123</f>
        <v>#REF!</v>
      </c>
      <c r="S123" s="14" t="e">
        <f ca="1">'Riesgo - Análisis - 1'!N123</f>
        <v>#REF!</v>
      </c>
      <c r="T123" s="18" t="str">
        <f>'Riesgo - Análisis - 1'!U123</f>
        <v>RM</v>
      </c>
    </row>
    <row r="124" spans="14:20" x14ac:dyDescent="0.25">
      <c r="N124" s="4">
        <f>'Riesgo - Análisis - 1'!I124</f>
        <v>11</v>
      </c>
      <c r="O124" s="4">
        <f>'Riesgo - Análisis - 1'!J124</f>
        <v>6</v>
      </c>
      <c r="P124" s="4">
        <f t="shared" si="1"/>
        <v>112</v>
      </c>
      <c r="Q124" s="4" t="e">
        <f ca="1">'Riesgo - Análisis - 1'!L124</f>
        <v>#REF!</v>
      </c>
      <c r="R124" s="18" t="e">
        <f ca="1">'Riesgo - Análisis - 1'!M124</f>
        <v>#REF!</v>
      </c>
      <c r="S124" s="14" t="e">
        <f ca="1">'Riesgo - Análisis - 1'!N124</f>
        <v>#REF!</v>
      </c>
      <c r="T124" s="18" t="str">
        <f>'Riesgo - Análisis - 1'!U124</f>
        <v>RM</v>
      </c>
    </row>
    <row r="125" spans="14:20" x14ac:dyDescent="0.25">
      <c r="N125" s="4">
        <f>'Riesgo - Análisis - 1'!I125</f>
        <v>11</v>
      </c>
      <c r="O125" s="4">
        <f>'Riesgo - Análisis - 1'!J125</f>
        <v>6</v>
      </c>
      <c r="P125" s="4">
        <f t="shared" si="1"/>
        <v>112</v>
      </c>
      <c r="Q125" s="4" t="e">
        <f ca="1">'Riesgo - Análisis - 1'!L125</f>
        <v>#REF!</v>
      </c>
      <c r="R125" s="18" t="e">
        <f ca="1">'Riesgo - Análisis - 1'!M125</f>
        <v>#REF!</v>
      </c>
      <c r="S125" s="14" t="e">
        <f ca="1">'Riesgo - Análisis - 1'!N125</f>
        <v>#REF!</v>
      </c>
      <c r="T125" s="18" t="str">
        <f>'Riesgo - Análisis - 1'!U125</f>
        <v>RA</v>
      </c>
    </row>
    <row r="126" spans="14:20" x14ac:dyDescent="0.25">
      <c r="N126" s="4">
        <f>'Riesgo - Análisis - 1'!I126</f>
        <v>11</v>
      </c>
      <c r="O126" s="4">
        <f>'Riesgo - Análisis - 1'!J126</f>
        <v>6</v>
      </c>
      <c r="P126" s="4">
        <f t="shared" si="1"/>
        <v>112</v>
      </c>
      <c r="Q126" s="4" t="e">
        <f ca="1">'Riesgo - Análisis - 1'!L126</f>
        <v>#REF!</v>
      </c>
      <c r="R126" s="18" t="e">
        <f ca="1">'Riesgo - Análisis - 1'!M126</f>
        <v>#REF!</v>
      </c>
      <c r="S126" s="14" t="e">
        <f ca="1">'Riesgo - Análisis - 1'!N126</f>
        <v>#REF!</v>
      </c>
      <c r="T126" s="18" t="str">
        <f>'Riesgo - Análisis - 1'!U126</f>
        <v>RM</v>
      </c>
    </row>
  </sheetData>
  <sortState ref="B44:B58">
    <sortCondition ref="B44"/>
  </sortState>
  <conditionalFormatting sqref="S2:S126">
    <cfRule type="cellIs" dxfId="25" priority="7" operator="equal">
      <formula>"CM"</formula>
    </cfRule>
    <cfRule type="cellIs" dxfId="24" priority="8" operator="equal">
      <formula>"CA"</formula>
    </cfRule>
    <cfRule type="cellIs" dxfId="23" priority="9" operator="equal">
      <formula>"CMA"</formula>
    </cfRule>
  </conditionalFormatting>
  <conditionalFormatting sqref="R2:R126">
    <cfRule type="cellIs" dxfId="22" priority="1" operator="equal">
      <formula>"FB"</formula>
    </cfRule>
    <cfRule type="cellIs" dxfId="21" priority="2" operator="equal">
      <formula>"FM"</formula>
    </cfRule>
    <cfRule type="containsText" dxfId="20" priority="3" operator="containsText" text="FA">
      <formula>NOT(ISERROR(SEARCH("FA",R2)))</formula>
    </cfRule>
  </conditionalFormatting>
  <pageMargins left="0.7" right="0.7" top="0.75" bottom="0.75" header="0.3" footer="0.3"/>
  <pageSetup paperSize="9" orientation="portrait" verticalDpi="0" r:id="rId1"/>
  <drawing r:id="rId2"/>
  <extLst>
    <ext xmlns:x14="http://schemas.microsoft.com/office/spreadsheetml/2009/9/main" uri="{78C0D931-6437-407d-A8EE-F0AAD7539E65}">
      <x14:conditionalFormattings>
        <x14:conditionalFormatting xmlns:xm="http://schemas.microsoft.com/office/excel/2006/main">
          <x14:cfRule type="endsWith" priority="10" operator="endsWith" id="{2D771783-A934-4B14-A90B-530224BF0799}">
            <xm:f>RIGHT(T2,3)="RMA"</xm:f>
            <x14:dxf>
              <font>
                <color rgb="FF9C0006"/>
              </font>
              <fill>
                <patternFill>
                  <bgColor rgb="FFFFC7CE"/>
                </patternFill>
              </fill>
            </x14:dxf>
          </x14:cfRule>
          <x14:cfRule type="endsWith" priority="11" operator="endsWith" id="{9887DF33-DD20-44D6-986D-CC58E4304732}">
            <xm:f>RIGHT(T2,2)="RA"</xm:f>
            <x14:dxf>
              <font>
                <color rgb="FF9C6500"/>
              </font>
              <fill>
                <patternFill>
                  <bgColor rgb="FFFFEB9C"/>
                </patternFill>
              </fill>
            </x14:dxf>
          </x14:cfRule>
          <x14:cfRule type="endsWith" priority="12" operator="endsWith" id="{71F2A965-32C3-42F0-9B52-A56B63C7F135}">
            <xm:f>RIGHT(T2,2)="RM"</xm:f>
            <x14:dxf>
              <font>
                <color rgb="FF006100"/>
              </font>
              <fill>
                <patternFill>
                  <bgColor rgb="FFC6EFCE"/>
                </patternFill>
              </fill>
            </x14:dxf>
          </x14:cfRule>
          <xm:sqref>T2:T126</xm:sqref>
        </x14:conditionalFormatting>
        <x14:conditionalFormatting xmlns:xm="http://schemas.microsoft.com/office/excel/2006/main">
          <x14:cfRule type="endsWith" priority="4" operator="endsWith" id="{C1E45A16-5D99-485A-B2D5-51CDB8FD0FE0}">
            <xm:f>RIGHT(R2,3)="RMA"</xm:f>
            <x14:dxf>
              <font>
                <color rgb="FF9C0006"/>
              </font>
              <fill>
                <patternFill>
                  <bgColor rgb="FFFFC7CE"/>
                </patternFill>
              </fill>
            </x14:dxf>
          </x14:cfRule>
          <x14:cfRule type="endsWith" priority="5" operator="endsWith" id="{B8AD09D6-6992-404A-8A74-CAE6E9AC2B7C}">
            <xm:f>RIGHT(R2,2)="RA"</xm:f>
            <x14:dxf>
              <font>
                <color rgb="FF9C6500"/>
              </font>
              <fill>
                <patternFill>
                  <bgColor rgb="FFFFEB9C"/>
                </patternFill>
              </fill>
            </x14:dxf>
          </x14:cfRule>
          <x14:cfRule type="endsWith" priority="6" operator="endsWith" id="{786078B8-63BF-4822-96D9-C0492313F0F1}">
            <xm:f>RIGHT(R2,2)="RM"</xm:f>
            <x14:dxf>
              <font>
                <color rgb="FF006100"/>
              </font>
              <fill>
                <patternFill>
                  <bgColor rgb="FFC6EFCE"/>
                </patternFill>
              </fill>
            </x14:dxf>
          </x14:cfRule>
          <xm:sqref>R2:R126</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O126"/>
  <sheetViews>
    <sheetView topLeftCell="A70" zoomScale="70" zoomScaleNormal="70" workbookViewId="0">
      <selection activeCell="V34" sqref="V34"/>
    </sheetView>
  </sheetViews>
  <sheetFormatPr baseColWidth="10" defaultRowHeight="15" x14ac:dyDescent="0.25"/>
  <cols>
    <col min="1" max="5" width="11.42578125" style="4"/>
    <col min="9" max="14" width="11.42578125" style="41"/>
  </cols>
  <sheetData>
    <row r="1" spans="1:14" x14ac:dyDescent="0.25">
      <c r="A1" s="4" t="s">
        <v>316</v>
      </c>
      <c r="E1" s="4" t="s">
        <v>313</v>
      </c>
    </row>
    <row r="2" spans="1:14" x14ac:dyDescent="0.25">
      <c r="A2" s="4">
        <v>21</v>
      </c>
      <c r="B2" s="4" t="str">
        <f ca="1">'Riesgo - Análisis - 1'!L2</f>
        <v>DEC-01</v>
      </c>
      <c r="C2" s="18" t="e">
        <f ca="1">'Riesgo - Análisis - 1'!M2</f>
        <v>#REF!</v>
      </c>
      <c r="D2" s="14" t="e">
        <f ca="1">'Riesgo - Análisis - 1'!N2</f>
        <v>#REF!</v>
      </c>
      <c r="E2" s="18" t="str">
        <f>'Riesgo - Análisis - 1'!U2</f>
        <v>RM</v>
      </c>
    </row>
    <row r="3" spans="1:14" x14ac:dyDescent="0.25">
      <c r="A3" s="4">
        <v>21</v>
      </c>
      <c r="B3" s="4" t="str">
        <f ca="1">'Riesgo - Análisis - 1'!L3</f>
        <v>DEC-02</v>
      </c>
      <c r="C3" s="18" t="e">
        <f ca="1">'Riesgo - Análisis - 1'!M3</f>
        <v>#REF!</v>
      </c>
      <c r="D3" s="14" t="e">
        <f ca="1">'Riesgo - Análisis - 1'!N3</f>
        <v>#REF!</v>
      </c>
      <c r="E3" s="18" t="str">
        <f>'Riesgo - Análisis - 1'!U3</f>
        <v>RM</v>
      </c>
    </row>
    <row r="4" spans="1:14" x14ac:dyDescent="0.25">
      <c r="A4" s="4">
        <v>21</v>
      </c>
      <c r="B4" s="4" t="str">
        <f ca="1">'Riesgo - Análisis - 1'!L4</f>
        <v>DEC-03</v>
      </c>
      <c r="C4" s="18" t="e">
        <f ca="1">'Riesgo - Análisis - 1'!M4</f>
        <v>#REF!</v>
      </c>
      <c r="D4" s="14" t="e">
        <f ca="1">'Riesgo - Análisis - 1'!N4</f>
        <v>#REF!</v>
      </c>
      <c r="E4" s="18" t="str">
        <f>'Riesgo - Análisis - 1'!U4</f>
        <v>RB</v>
      </c>
      <c r="I4" s="41" t="s">
        <v>316</v>
      </c>
      <c r="K4" s="41" t="s">
        <v>153</v>
      </c>
      <c r="L4" s="41" t="s">
        <v>151</v>
      </c>
      <c r="M4" s="41" t="s">
        <v>146</v>
      </c>
      <c r="N4" s="41" t="s">
        <v>150</v>
      </c>
    </row>
    <row r="5" spans="1:14" x14ac:dyDescent="0.25">
      <c r="A5" s="4">
        <v>21</v>
      </c>
      <c r="B5" s="4">
        <f ca="1">'Riesgo - Análisis - 1'!L5</f>
        <v>0</v>
      </c>
      <c r="C5" s="18" t="e">
        <f ca="1">'Riesgo - Análisis - 1'!M5</f>
        <v>#REF!</v>
      </c>
      <c r="D5" s="14" t="e">
        <f ca="1">'Riesgo - Análisis - 1'!N5</f>
        <v>#REF!</v>
      </c>
      <c r="E5" s="18" t="str">
        <f>'Riesgo - Análisis - 1'!U5</f>
        <v>RB</v>
      </c>
      <c r="H5" t="s">
        <v>333</v>
      </c>
      <c r="I5" s="41">
        <v>21</v>
      </c>
      <c r="J5" s="41">
        <f ca="1">COUNTA($C$2:$C$17)</f>
        <v>16</v>
      </c>
      <c r="K5" s="41">
        <f ca="1">COUNTIF($C$2:$C$17,"FA")</f>
        <v>0</v>
      </c>
      <c r="L5" s="41">
        <f ca="1">COUNTIF($C$2:$C$17,"FM")</f>
        <v>0</v>
      </c>
      <c r="M5" s="41">
        <f ca="1">COUNTIF($C$2:$C$17,"FB")</f>
        <v>0</v>
      </c>
      <c r="N5" s="41">
        <f ca="1">COUNTIF($C$2:$C$17,"FMB")</f>
        <v>0</v>
      </c>
    </row>
    <row r="6" spans="1:14" x14ac:dyDescent="0.25">
      <c r="A6" s="4">
        <v>21</v>
      </c>
      <c r="B6" s="4" t="str">
        <f>'Riesgo - Análisis - 1'!L6</f>
        <v>X</v>
      </c>
      <c r="C6" s="18" t="e">
        <f ca="1">'Riesgo - Análisis - 1'!M6</f>
        <v>#REF!</v>
      </c>
      <c r="D6" s="14" t="e">
        <f ca="1">'Riesgo - Análisis - 1'!N6</f>
        <v>#REF!</v>
      </c>
      <c r="E6" s="18" t="str">
        <f>'Riesgo - Análisis - 1'!U6</f>
        <v>RB</v>
      </c>
      <c r="H6" t="s">
        <v>334</v>
      </c>
      <c r="I6" s="41">
        <v>22</v>
      </c>
      <c r="J6" s="41">
        <f ca="1">COUNTA($C$18:$C$25)</f>
        <v>8</v>
      </c>
      <c r="K6" s="41">
        <f ca="1">COUNTIF($C$18:$C$25,"FA")</f>
        <v>0</v>
      </c>
      <c r="L6" s="41">
        <f ca="1">COUNTIF($C$18:$C$25,"FM")</f>
        <v>0</v>
      </c>
      <c r="M6" s="41">
        <f ca="1">COUNTIF($C$18:$C$25,"FB")</f>
        <v>0</v>
      </c>
      <c r="N6" s="41">
        <f ca="1">COUNTIF($C$18:$C$25,"FMB")</f>
        <v>0</v>
      </c>
    </row>
    <row r="7" spans="1:14" x14ac:dyDescent="0.25">
      <c r="A7" s="4">
        <v>21</v>
      </c>
      <c r="B7" s="4" t="e">
        <f>'Riesgo - Análisis - 1'!L7</f>
        <v>#REF!</v>
      </c>
      <c r="C7" s="18" t="e">
        <f ca="1">'Riesgo - Análisis - 1'!M7</f>
        <v>#REF!</v>
      </c>
      <c r="D7" s="14" t="e">
        <f ca="1">'Riesgo - Análisis - 1'!N7</f>
        <v>#REF!</v>
      </c>
      <c r="E7" s="18" t="str">
        <f>'Riesgo - Análisis - 1'!U7</f>
        <v>RM</v>
      </c>
      <c r="H7" t="s">
        <v>335</v>
      </c>
      <c r="I7" s="41">
        <v>23</v>
      </c>
      <c r="J7" s="41">
        <f ca="1">COUNTA($C$26)</f>
        <v>1</v>
      </c>
      <c r="K7" s="41">
        <f ca="1">COUNTIF($C$26,"FA")</f>
        <v>0</v>
      </c>
      <c r="L7" s="41">
        <f ca="1">COUNTIF($C$26,"FM")</f>
        <v>0</v>
      </c>
      <c r="M7" s="41">
        <f ca="1">COUNTIF($C$26,"FB")</f>
        <v>0</v>
      </c>
      <c r="N7" s="41">
        <f ca="1">COUNTIF($C$26,"FMB")</f>
        <v>0</v>
      </c>
    </row>
    <row r="8" spans="1:14" x14ac:dyDescent="0.25">
      <c r="A8" s="4">
        <v>21</v>
      </c>
      <c r="B8" s="4" t="e">
        <f>'Riesgo - Análisis - 1'!L8</f>
        <v>#REF!</v>
      </c>
      <c r="C8" s="18" t="e">
        <f ca="1">'Riesgo - Análisis - 1'!M8</f>
        <v>#REF!</v>
      </c>
      <c r="D8" s="14" t="e">
        <f ca="1">'Riesgo - Análisis - 1'!N8</f>
        <v>#REF!</v>
      </c>
      <c r="E8" s="18" t="str">
        <f>'Riesgo - Análisis - 1'!U8</f>
        <v>RM</v>
      </c>
      <c r="H8" t="s">
        <v>336</v>
      </c>
      <c r="I8" s="41">
        <v>24</v>
      </c>
      <c r="J8" s="41">
        <f ca="1">COUNTA($C$27:$C$28)</f>
        <v>2</v>
      </c>
      <c r="K8" s="41">
        <f ca="1">COUNTIF($C$27:$C$28,"FA")</f>
        <v>0</v>
      </c>
      <c r="L8" s="41">
        <f ca="1">COUNTIF($C$27:$C$28,"FM")</f>
        <v>0</v>
      </c>
      <c r="M8" s="41">
        <f ca="1">COUNTIF($C$27:$C$28,"FB")</f>
        <v>0</v>
      </c>
      <c r="N8" s="41">
        <f ca="1">COUNTIF($C$27:$C$28,"FMB")</f>
        <v>0</v>
      </c>
    </row>
    <row r="9" spans="1:14" x14ac:dyDescent="0.25">
      <c r="A9" s="4">
        <v>21</v>
      </c>
      <c r="B9" s="4" t="e">
        <f>'Riesgo - Análisis - 1'!L9</f>
        <v>#REF!</v>
      </c>
      <c r="C9" s="18" t="e">
        <f ca="1">'Riesgo - Análisis - 1'!M9</f>
        <v>#REF!</v>
      </c>
      <c r="D9" s="14" t="e">
        <f ca="1">'Riesgo - Análisis - 1'!N9</f>
        <v>#REF!</v>
      </c>
      <c r="E9" s="18" t="str">
        <f>'Riesgo - Análisis - 1'!U9</f>
        <v>RB</v>
      </c>
      <c r="H9" t="s">
        <v>319</v>
      </c>
      <c r="I9" s="41">
        <v>30</v>
      </c>
      <c r="J9" s="41">
        <f ca="1">COUNTA($C$29:$C$30)</f>
        <v>2</v>
      </c>
      <c r="K9" s="41">
        <f ca="1">COUNTIF($C$29:$C$30,"FA")</f>
        <v>0</v>
      </c>
      <c r="L9" s="41">
        <f ca="1">COUNTIF($C$29:$C$30,"FM")</f>
        <v>0</v>
      </c>
      <c r="M9" s="41">
        <f ca="1">COUNTIF($C$29:$C$30,"FB")</f>
        <v>0</v>
      </c>
      <c r="N9" s="41">
        <f ca="1">COUNTIF($C$29:$C$30,"FMB")</f>
        <v>0</v>
      </c>
    </row>
    <row r="10" spans="1:14" x14ac:dyDescent="0.25">
      <c r="A10" s="4">
        <v>21</v>
      </c>
      <c r="B10" s="4" t="e">
        <f>'Riesgo - Análisis - 1'!L10</f>
        <v>#REF!</v>
      </c>
      <c r="C10" s="18" t="e">
        <f ca="1">'Riesgo - Análisis - 1'!M10</f>
        <v>#REF!</v>
      </c>
      <c r="D10" s="14" t="e">
        <f ca="1">'Riesgo - Análisis - 1'!N10</f>
        <v>#REF!</v>
      </c>
      <c r="E10" s="18" t="str">
        <f>'Riesgo - Análisis - 1'!U10</f>
        <v>RB</v>
      </c>
      <c r="H10" t="s">
        <v>320</v>
      </c>
      <c r="I10" s="41">
        <v>40</v>
      </c>
      <c r="J10" s="41">
        <f ca="1">COUNTA($C$31:$C$38)</f>
        <v>8</v>
      </c>
      <c r="K10" s="41">
        <f ca="1">COUNTIF($C$31:$C$38,"FA")</f>
        <v>0</v>
      </c>
      <c r="L10" s="41">
        <f ca="1">COUNTIF($C$31:$C$38,"FM")</f>
        <v>0</v>
      </c>
      <c r="M10" s="41">
        <f ca="1">COUNTIF($C$31:$C$38,"FB")</f>
        <v>0</v>
      </c>
      <c r="N10" s="41">
        <f ca="1">COUNTIF($C$31:$C$38,"FMB")</f>
        <v>0</v>
      </c>
    </row>
    <row r="11" spans="1:14" x14ac:dyDescent="0.25">
      <c r="A11" s="4">
        <v>21</v>
      </c>
      <c r="B11" s="4">
        <f>'Riesgo - Análisis - 1'!L11</f>
        <v>0</v>
      </c>
      <c r="C11" s="18" t="e">
        <f ca="1">'Riesgo - Análisis - 1'!M11</f>
        <v>#REF!</v>
      </c>
      <c r="D11" s="14" t="e">
        <f ca="1">'Riesgo - Análisis - 1'!N11</f>
        <v>#REF!</v>
      </c>
      <c r="E11" s="18" t="str">
        <f>'Riesgo - Análisis - 1'!U11</f>
        <v>RB</v>
      </c>
      <c r="H11" t="s">
        <v>321</v>
      </c>
      <c r="I11" s="41">
        <v>50</v>
      </c>
      <c r="J11" s="41">
        <f ca="1">COUNTA($C$39:$C$48)</f>
        <v>10</v>
      </c>
      <c r="K11" s="41">
        <f ca="1">COUNTIF($C$39:$C$48,"FA")</f>
        <v>0</v>
      </c>
      <c r="L11" s="41">
        <f ca="1">COUNTIF($C$39:$C$48,"FM")</f>
        <v>0</v>
      </c>
      <c r="M11" s="41">
        <f ca="1">COUNTIF($C$39:$C$48,"FB")</f>
        <v>0</v>
      </c>
      <c r="N11" s="41">
        <f ca="1">COUNTIF($C$39:$C$48,"FMB")</f>
        <v>0</v>
      </c>
    </row>
    <row r="12" spans="1:14" x14ac:dyDescent="0.25">
      <c r="A12" s="4">
        <v>21</v>
      </c>
      <c r="B12" s="4">
        <f>'Riesgo - Análisis - 1'!L12</f>
        <v>0</v>
      </c>
      <c r="C12" s="18" t="e">
        <f ca="1">'Riesgo - Análisis - 1'!M12</f>
        <v>#REF!</v>
      </c>
      <c r="D12" s="14" t="e">
        <f ca="1">'Riesgo - Análisis - 1'!N12</f>
        <v>#REF!</v>
      </c>
      <c r="E12" s="18" t="str">
        <f>'Riesgo - Análisis - 1'!U12</f>
        <v>RM</v>
      </c>
      <c r="H12" t="s">
        <v>322</v>
      </c>
      <c r="I12" s="41">
        <v>60</v>
      </c>
      <c r="J12" s="41">
        <f ca="1">COUNTA($C$49:$C$53)</f>
        <v>5</v>
      </c>
      <c r="K12" s="41">
        <f ca="1">COUNTIF($C$49:$C$53,"FA")</f>
        <v>0</v>
      </c>
      <c r="L12" s="41">
        <f ca="1">COUNTIF($C$49:$C$53,"FM")</f>
        <v>0</v>
      </c>
      <c r="M12" s="41">
        <f ca="1">COUNTIF($C$49:$C$53,"FB")</f>
        <v>0</v>
      </c>
      <c r="N12" s="41">
        <f ca="1">COUNTIF($C$49:$C$53,"FMB")</f>
        <v>0</v>
      </c>
    </row>
    <row r="13" spans="1:14" x14ac:dyDescent="0.25">
      <c r="A13" s="4">
        <v>21</v>
      </c>
      <c r="B13" s="4">
        <f>'Riesgo - Análisis - 1'!L13</f>
        <v>0</v>
      </c>
      <c r="C13" s="18" t="e">
        <f ca="1">'Riesgo - Análisis - 1'!M13</f>
        <v>#REF!</v>
      </c>
      <c r="D13" s="14" t="e">
        <f ca="1">'Riesgo - Análisis - 1'!N13</f>
        <v>#REF!</v>
      </c>
      <c r="E13" s="18" t="str">
        <f>'Riesgo - Análisis - 1'!U13</f>
        <v>RM</v>
      </c>
      <c r="H13" t="s">
        <v>323</v>
      </c>
      <c r="I13" s="41">
        <v>70</v>
      </c>
      <c r="J13" s="41">
        <f ca="1">COUNTA($C$54:$C$65)</f>
        <v>12</v>
      </c>
      <c r="K13" s="41">
        <f ca="1">COUNTIF($C$54:$C$65,"FA")</f>
        <v>0</v>
      </c>
      <c r="L13" s="41">
        <f ca="1">COUNTIF($C$54:$C$65,"FM")</f>
        <v>0</v>
      </c>
      <c r="M13" s="41">
        <f ca="1">COUNTIF($C$54:$C$65,"FB")</f>
        <v>0</v>
      </c>
      <c r="N13" s="41">
        <f ca="1">COUNTIF($C$54:$C$65,"FMB")</f>
        <v>0</v>
      </c>
    </row>
    <row r="14" spans="1:14" x14ac:dyDescent="0.25">
      <c r="A14" s="4">
        <v>21</v>
      </c>
      <c r="B14" s="4" t="e">
        <f ca="1">'Riesgo - Análisis - 1'!L14</f>
        <v>#REF!</v>
      </c>
      <c r="C14" s="18" t="e">
        <f ca="1">'Riesgo - Análisis - 1'!M14</f>
        <v>#REF!</v>
      </c>
      <c r="D14" s="14" t="e">
        <f ca="1">'Riesgo - Análisis - 1'!N14</f>
        <v>#REF!</v>
      </c>
      <c r="E14" s="18" t="str">
        <f>'Riesgo - Análisis - 1'!U14</f>
        <v>RB</v>
      </c>
      <c r="H14" t="s">
        <v>324</v>
      </c>
      <c r="I14" s="41">
        <v>80</v>
      </c>
      <c r="J14" s="41">
        <f ca="1">COUNTA($C$66:$C$68)</f>
        <v>3</v>
      </c>
      <c r="K14" s="41">
        <f ca="1">COUNTIF($C$66:$C$68,"FA")</f>
        <v>0</v>
      </c>
      <c r="L14" s="41">
        <f ca="1">COUNTIF($C$66:$C$68,"FM")</f>
        <v>0</v>
      </c>
      <c r="M14" s="41">
        <f ca="1">COUNTIF($C$66:$C$68,"FB")</f>
        <v>0</v>
      </c>
      <c r="N14" s="41">
        <f ca="1">COUNTIF($C$66:$C$68,"FMB")</f>
        <v>0</v>
      </c>
    </row>
    <row r="15" spans="1:14" x14ac:dyDescent="0.25">
      <c r="A15" s="4">
        <v>21</v>
      </c>
      <c r="B15" s="4" t="e">
        <f ca="1">'Riesgo - Análisis - 1'!L15</f>
        <v>#REF!</v>
      </c>
      <c r="C15" s="18" t="e">
        <f ca="1">'Riesgo - Análisis - 1'!M15</f>
        <v>#REF!</v>
      </c>
      <c r="D15" s="14" t="e">
        <f ca="1">'Riesgo - Análisis - 1'!N15</f>
        <v>#REF!</v>
      </c>
      <c r="E15" s="18" t="str">
        <f>'Riesgo - Análisis - 1'!U15</f>
        <v>RM</v>
      </c>
      <c r="H15" t="s">
        <v>325</v>
      </c>
      <c r="I15" s="41">
        <v>90</v>
      </c>
      <c r="J15" s="41">
        <f ca="1">COUNTA($C$69:$C$83)</f>
        <v>15</v>
      </c>
      <c r="K15" s="41">
        <f ca="1">COUNTIF($C$69:$C$83,"FA")</f>
        <v>0</v>
      </c>
      <c r="L15" s="41">
        <f ca="1">COUNTIF($C$69:$C$83,"FM")</f>
        <v>0</v>
      </c>
      <c r="M15" s="41">
        <f ca="1">COUNTIF($C$69:$C$83,"FB")</f>
        <v>0</v>
      </c>
      <c r="N15" s="41">
        <f ca="1">COUNTIF($C$69:$C$83,"FMB")</f>
        <v>0</v>
      </c>
    </row>
    <row r="16" spans="1:14" x14ac:dyDescent="0.25">
      <c r="A16" s="4">
        <v>21</v>
      </c>
      <c r="B16" s="4" t="e">
        <f ca="1">'Riesgo - Análisis - 1'!L16</f>
        <v>#REF!</v>
      </c>
      <c r="C16" s="18" t="e">
        <f ca="1">'Riesgo - Análisis - 1'!M16</f>
        <v>#REF!</v>
      </c>
      <c r="D16" s="14" t="e">
        <f ca="1">'Riesgo - Análisis - 1'!N16</f>
        <v>#REF!</v>
      </c>
      <c r="E16" s="18" t="str">
        <f>'Riesgo - Análisis - 1'!U16</f>
        <v>RB</v>
      </c>
      <c r="H16" t="s">
        <v>326</v>
      </c>
      <c r="I16" s="41">
        <v>100</v>
      </c>
      <c r="J16" s="41">
        <f ca="1">COUNTA($C$84:$C$96)</f>
        <v>13</v>
      </c>
      <c r="K16" s="41">
        <f ca="1">COUNTIF($C$84:$C$96,"FA")</f>
        <v>0</v>
      </c>
      <c r="L16" s="41">
        <f ca="1">COUNTIF($C$84:$C$96,"FM")</f>
        <v>0</v>
      </c>
      <c r="M16" s="41">
        <f ca="1">COUNTIF($C$84:$C$96,"FB")</f>
        <v>0</v>
      </c>
      <c r="N16" s="41">
        <f ca="1">COUNTIF($C$84:$C$96,"FMB")</f>
        <v>0</v>
      </c>
    </row>
    <row r="17" spans="1:15" x14ac:dyDescent="0.25">
      <c r="A17" s="4">
        <v>21</v>
      </c>
      <c r="B17" s="4" t="e">
        <f ca="1">'Riesgo - Análisis - 1'!L17</f>
        <v>#REF!</v>
      </c>
      <c r="C17" s="18" t="e">
        <f ca="1">'Riesgo - Análisis - 1'!M17</f>
        <v>#REF!</v>
      </c>
      <c r="D17" s="14" t="e">
        <f ca="1">'Riesgo - Análisis - 1'!N17</f>
        <v>#REF!</v>
      </c>
      <c r="E17" s="18" t="str">
        <f>'Riesgo - Análisis - 1'!U17</f>
        <v>RM</v>
      </c>
      <c r="H17" t="s">
        <v>348</v>
      </c>
      <c r="I17" s="41">
        <v>111</v>
      </c>
      <c r="J17" s="41">
        <f ca="1">COUNTA($C$97:$C$107)</f>
        <v>11</v>
      </c>
      <c r="K17" s="41">
        <f ca="1">COUNTIF($C$97:$C$107,"FA")</f>
        <v>0</v>
      </c>
      <c r="L17" s="41">
        <f ca="1">COUNTIF($C$97:$C$107,"FM")</f>
        <v>0</v>
      </c>
      <c r="M17" s="41">
        <f ca="1">COUNTIF($C$97:$C$107,"FB")</f>
        <v>0</v>
      </c>
      <c r="N17" s="41">
        <f ca="1">COUNTIF($C$97:$C$107,"FMB")</f>
        <v>0</v>
      </c>
    </row>
    <row r="18" spans="1:15" x14ac:dyDescent="0.25">
      <c r="A18" s="4">
        <v>22</v>
      </c>
      <c r="B18" s="4" t="e">
        <f ca="1">'Riesgo - Análisis - 1'!L18</f>
        <v>#REF!</v>
      </c>
      <c r="C18" s="18" t="e">
        <f ca="1">'Riesgo - Análisis - 1'!M18</f>
        <v>#REF!</v>
      </c>
      <c r="D18" s="14" t="e">
        <f ca="1">'Riesgo - Análisis - 1'!N18</f>
        <v>#REF!</v>
      </c>
      <c r="E18" s="18" t="str">
        <f>'Riesgo - Análisis - 1'!U18</f>
        <v>RB</v>
      </c>
      <c r="H18" t="s">
        <v>349</v>
      </c>
      <c r="I18" s="41">
        <v>112</v>
      </c>
      <c r="J18" s="41">
        <f ca="1">COUNTA($C$108:$C$126)</f>
        <v>19</v>
      </c>
      <c r="K18" s="41">
        <f ca="1">COUNTIF($C$108:$C$126,"FA")</f>
        <v>0</v>
      </c>
      <c r="L18" s="41">
        <f ca="1">COUNTIF($C$108:$C$126,"FM")</f>
        <v>0</v>
      </c>
      <c r="M18" s="41">
        <f ca="1">COUNTIF($C$108:$C$126,"FB")</f>
        <v>0</v>
      </c>
      <c r="N18" s="41">
        <f ca="1">COUNTIF($C$108:$C$126,"FMB")</f>
        <v>0</v>
      </c>
    </row>
    <row r="19" spans="1:15" x14ac:dyDescent="0.25">
      <c r="A19" s="4">
        <v>22</v>
      </c>
      <c r="B19" s="4" t="e">
        <f ca="1">'Riesgo - Análisis - 1'!L19</f>
        <v>#REF!</v>
      </c>
      <c r="C19" s="18" t="e">
        <f ca="1">'Riesgo - Análisis - 1'!M19</f>
        <v>#REF!</v>
      </c>
      <c r="D19" s="14" t="e">
        <f ca="1">'Riesgo - Análisis - 1'!N19</f>
        <v>#REF!</v>
      </c>
      <c r="E19" s="18" t="str">
        <f>'Riesgo - Análisis - 1'!U19</f>
        <v>RB</v>
      </c>
    </row>
    <row r="20" spans="1:15" x14ac:dyDescent="0.25">
      <c r="A20" s="4">
        <v>22</v>
      </c>
      <c r="B20" s="4" t="e">
        <f ca="1">'Riesgo - Análisis - 1'!L20</f>
        <v>#REF!</v>
      </c>
      <c r="C20" s="18" t="e">
        <f ca="1">'Riesgo - Análisis - 1'!M20</f>
        <v>#REF!</v>
      </c>
      <c r="D20" s="14" t="e">
        <f ca="1">'Riesgo - Análisis - 1'!N20</f>
        <v>#REF!</v>
      </c>
      <c r="E20" s="18" t="str">
        <f>'Riesgo - Análisis - 1'!U20</f>
        <v>RB</v>
      </c>
      <c r="J20" s="41">
        <f ca="1">SUM(J5:J18)</f>
        <v>125</v>
      </c>
      <c r="K20" s="41">
        <f ca="1">SUM(K5:K18)</f>
        <v>0</v>
      </c>
      <c r="L20" s="41">
        <f ca="1">SUM(L5:L18)</f>
        <v>0</v>
      </c>
      <c r="M20" s="41">
        <f ca="1">SUM(M5:M18)</f>
        <v>0</v>
      </c>
      <c r="N20" s="41">
        <f ca="1">SUM(N5:N18)</f>
        <v>0</v>
      </c>
      <c r="O20" s="41">
        <f ca="1">SUM(K20:N20)</f>
        <v>0</v>
      </c>
    </row>
    <row r="21" spans="1:15" x14ac:dyDescent="0.25">
      <c r="A21" s="4">
        <v>22</v>
      </c>
      <c r="B21" s="4" t="e">
        <f ca="1">'Riesgo - Análisis - 1'!L21</f>
        <v>#REF!</v>
      </c>
      <c r="C21" s="18" t="e">
        <f ca="1">'Riesgo - Análisis - 1'!M21</f>
        <v>#REF!</v>
      </c>
      <c r="D21" s="14" t="e">
        <f ca="1">'Riesgo - Análisis - 1'!N21</f>
        <v>#REF!</v>
      </c>
      <c r="E21" s="18" t="str">
        <f>'Riesgo - Análisis - 1'!U21</f>
        <v>RB</v>
      </c>
    </row>
    <row r="22" spans="1:15" x14ac:dyDescent="0.25">
      <c r="A22" s="4">
        <v>22</v>
      </c>
      <c r="B22" s="4" t="e">
        <f ca="1">'Riesgo - Análisis - 1'!L22</f>
        <v>#REF!</v>
      </c>
      <c r="C22" s="18" t="e">
        <f ca="1">'Riesgo - Análisis - 1'!M22</f>
        <v>#REF!</v>
      </c>
      <c r="D22" s="14" t="e">
        <f ca="1">'Riesgo - Análisis - 1'!N22</f>
        <v>#REF!</v>
      </c>
      <c r="E22" s="18" t="str">
        <f>'Riesgo - Análisis - 1'!U22</f>
        <v>RB</v>
      </c>
    </row>
    <row r="23" spans="1:15" x14ac:dyDescent="0.25">
      <c r="A23" s="4">
        <v>22</v>
      </c>
      <c r="B23" s="4" t="e">
        <f ca="1">'Riesgo - Análisis - 1'!L23</f>
        <v>#REF!</v>
      </c>
      <c r="C23" s="18" t="e">
        <f ca="1">'Riesgo - Análisis - 1'!M23</f>
        <v>#REF!</v>
      </c>
      <c r="D23" s="14" t="e">
        <f ca="1">'Riesgo - Análisis - 1'!N23</f>
        <v>#REF!</v>
      </c>
      <c r="E23" s="18" t="str">
        <f>'Riesgo - Análisis - 1'!U23</f>
        <v>RB</v>
      </c>
      <c r="I23" s="41" t="s">
        <v>316</v>
      </c>
      <c r="K23" s="41" t="s">
        <v>147</v>
      </c>
      <c r="L23" s="41" t="s">
        <v>149</v>
      </c>
      <c r="M23" s="41" t="s">
        <v>148</v>
      </c>
      <c r="N23" s="41" t="s">
        <v>152</v>
      </c>
    </row>
    <row r="24" spans="1:15" x14ac:dyDescent="0.25">
      <c r="A24" s="4">
        <v>22</v>
      </c>
      <c r="B24" s="4" t="e">
        <f ca="1">'Riesgo - Análisis - 1'!L24</f>
        <v>#REF!</v>
      </c>
      <c r="C24" s="18" t="e">
        <f ca="1">'Riesgo - Análisis - 1'!M24</f>
        <v>#REF!</v>
      </c>
      <c r="D24" s="14" t="e">
        <f ca="1">'Riesgo - Análisis - 1'!N24</f>
        <v>#REF!</v>
      </c>
      <c r="E24" s="18" t="str">
        <f>'Riesgo - Análisis - 1'!U24</f>
        <v>RB</v>
      </c>
      <c r="H24" t="s">
        <v>333</v>
      </c>
      <c r="I24" s="41">
        <v>21</v>
      </c>
      <c r="J24" s="41">
        <f ca="1">COUNTA($C$2:$C$17)</f>
        <v>16</v>
      </c>
      <c r="K24" s="41">
        <f ca="1">COUNTIF($D$2:$D$17,"CMA")</f>
        <v>0</v>
      </c>
      <c r="L24" s="41">
        <f ca="1">COUNTIF($D$2:$D$17,"CA")</f>
        <v>0</v>
      </c>
      <c r="M24" s="41">
        <f ca="1">COUNTIF($D$2:$D$17,"CM")</f>
        <v>0</v>
      </c>
      <c r="N24" s="41">
        <f ca="1">COUNTIF($D$2:$D$17,"CB")</f>
        <v>0</v>
      </c>
    </row>
    <row r="25" spans="1:15" x14ac:dyDescent="0.25">
      <c r="A25" s="4">
        <v>22</v>
      </c>
      <c r="B25" s="4" t="e">
        <f ca="1">'Riesgo - Análisis - 1'!L25</f>
        <v>#REF!</v>
      </c>
      <c r="C25" s="18" t="e">
        <f ca="1">'Riesgo - Análisis - 1'!M25</f>
        <v>#REF!</v>
      </c>
      <c r="D25" s="14" t="e">
        <f ca="1">'Riesgo - Análisis - 1'!N25</f>
        <v>#REF!</v>
      </c>
      <c r="E25" s="18" t="str">
        <f>'Riesgo - Análisis - 1'!U25</f>
        <v>RB</v>
      </c>
      <c r="H25" t="s">
        <v>334</v>
      </c>
      <c r="I25" s="41">
        <v>22</v>
      </c>
      <c r="J25" s="41">
        <f ca="1">COUNTA($C$18:$C$25)</f>
        <v>8</v>
      </c>
      <c r="K25" s="41">
        <f ca="1">COUNTIF($D$18:$D$25,"CMA")</f>
        <v>0</v>
      </c>
      <c r="L25" s="41">
        <f ca="1">COUNTIF($D$18:$D$25,"CA")</f>
        <v>0</v>
      </c>
      <c r="M25" s="41">
        <f ca="1">COUNTIF($D$18:$D$25,"CM")</f>
        <v>0</v>
      </c>
      <c r="N25" s="41">
        <f ca="1">COUNTIF($D$18:$D$25,"CB")</f>
        <v>0</v>
      </c>
    </row>
    <row r="26" spans="1:15" x14ac:dyDescent="0.25">
      <c r="A26" s="4">
        <v>23</v>
      </c>
      <c r="B26" s="4" t="e">
        <f ca="1">'Riesgo - Análisis - 1'!L26</f>
        <v>#REF!</v>
      </c>
      <c r="C26" s="18" t="e">
        <f ca="1">'Riesgo - Análisis - 1'!M26</f>
        <v>#REF!</v>
      </c>
      <c r="D26" s="14" t="e">
        <f ca="1">'Riesgo - Análisis - 1'!N26</f>
        <v>#REF!</v>
      </c>
      <c r="E26" s="18" t="str">
        <f>'Riesgo - Análisis - 1'!U26</f>
        <v>RB</v>
      </c>
      <c r="H26" t="s">
        <v>335</v>
      </c>
      <c r="I26" s="41">
        <v>23</v>
      </c>
      <c r="J26" s="41">
        <f ca="1">COUNTA($C$26)</f>
        <v>1</v>
      </c>
      <c r="K26" s="41">
        <f ca="1">COUNTIF($D$26,"CMA")</f>
        <v>0</v>
      </c>
      <c r="L26" s="41">
        <f ca="1">COUNTIF($D$26,"CA")</f>
        <v>0</v>
      </c>
      <c r="M26" s="41">
        <f ca="1">COUNTIF($D$26,"CM")</f>
        <v>0</v>
      </c>
      <c r="N26" s="41">
        <f ca="1">COUNTIF($D$26,"CB")</f>
        <v>0</v>
      </c>
    </row>
    <row r="27" spans="1:15" x14ac:dyDescent="0.25">
      <c r="A27" s="4">
        <v>24</v>
      </c>
      <c r="B27" s="4" t="e">
        <f ca="1">'Riesgo - Análisis - 1'!L27</f>
        <v>#REF!</v>
      </c>
      <c r="C27" s="18" t="e">
        <f ca="1">'Riesgo - Análisis - 1'!M27</f>
        <v>#REF!</v>
      </c>
      <c r="D27" s="14" t="e">
        <f ca="1">'Riesgo - Análisis - 1'!N27</f>
        <v>#REF!</v>
      </c>
      <c r="E27" s="18" t="str">
        <f>'Riesgo - Análisis - 1'!U27</f>
        <v>RB</v>
      </c>
      <c r="H27" t="s">
        <v>336</v>
      </c>
      <c r="I27" s="41">
        <v>24</v>
      </c>
      <c r="J27" s="41">
        <f ca="1">COUNTA($C$27:$C$28)</f>
        <v>2</v>
      </c>
      <c r="K27" s="41">
        <f ca="1">COUNTIF($D$27:$D$28,"CMA")</f>
        <v>0</v>
      </c>
      <c r="L27" s="41">
        <f ca="1">COUNTIF($D$27:$D$28,"CA")</f>
        <v>0</v>
      </c>
      <c r="M27" s="41">
        <f ca="1">COUNTIF($D$27:$D$28,"CM")</f>
        <v>0</v>
      </c>
      <c r="N27" s="41">
        <f ca="1">COUNTIF($D$27:$D$28,"CB")</f>
        <v>0</v>
      </c>
    </row>
    <row r="28" spans="1:15" x14ac:dyDescent="0.25">
      <c r="A28" s="4">
        <v>24</v>
      </c>
      <c r="B28" s="4" t="e">
        <f ca="1">'Riesgo - Análisis - 1'!L28</f>
        <v>#REF!</v>
      </c>
      <c r="C28" s="18" t="e">
        <f ca="1">'Riesgo - Análisis - 1'!M28</f>
        <v>#REF!</v>
      </c>
      <c r="D28" s="14" t="e">
        <f ca="1">'Riesgo - Análisis - 1'!N28</f>
        <v>#REF!</v>
      </c>
      <c r="E28" s="18" t="str">
        <f>'Riesgo - Análisis - 1'!U28</f>
        <v>RM</v>
      </c>
      <c r="H28" t="s">
        <v>319</v>
      </c>
      <c r="I28" s="41">
        <v>30</v>
      </c>
      <c r="J28" s="41">
        <f ca="1">COUNTA($C$29:$C$30)</f>
        <v>2</v>
      </c>
      <c r="K28" s="41">
        <f ca="1">COUNTIF($D$29:$D$30,"CMA")</f>
        <v>0</v>
      </c>
      <c r="L28" s="41">
        <f ca="1">COUNTIF($D$29:$D$30,"CA")</f>
        <v>0</v>
      </c>
      <c r="M28" s="41">
        <f ca="1">COUNTIF($D$29:$D$30,"CM")</f>
        <v>0</v>
      </c>
      <c r="N28" s="41">
        <f ca="1">COUNTIF($D$29:$D$30,"CB")</f>
        <v>0</v>
      </c>
    </row>
    <row r="29" spans="1:15" x14ac:dyDescent="0.25">
      <c r="A29" s="4">
        <v>30</v>
      </c>
      <c r="B29" s="4" t="e">
        <f ca="1">'Riesgo - Análisis - 1'!L29</f>
        <v>#REF!</v>
      </c>
      <c r="C29" s="18" t="e">
        <f ca="1">'Riesgo - Análisis - 1'!M29</f>
        <v>#REF!</v>
      </c>
      <c r="D29" s="14" t="e">
        <f ca="1">'Riesgo - Análisis - 1'!N29</f>
        <v>#REF!</v>
      </c>
      <c r="E29" s="18" t="str">
        <f>'Riesgo - Análisis - 1'!U29</f>
        <v>RM</v>
      </c>
      <c r="H29" t="s">
        <v>320</v>
      </c>
      <c r="I29" s="41">
        <v>40</v>
      </c>
      <c r="J29" s="41">
        <f ca="1">COUNTA($C$31:$C$38)</f>
        <v>8</v>
      </c>
      <c r="K29" s="41">
        <f ca="1">COUNTIF($D$31:$D$38,"CMA")</f>
        <v>0</v>
      </c>
      <c r="L29" s="41">
        <f ca="1">COUNTIF($D$31:$D$38,"CA")</f>
        <v>0</v>
      </c>
      <c r="M29" s="41">
        <f ca="1">COUNTIF($D$31:$D$38,"CM")</f>
        <v>0</v>
      </c>
      <c r="N29" s="41">
        <f ca="1">COUNTIF($D$31:$D$38,"CB")</f>
        <v>0</v>
      </c>
    </row>
    <row r="30" spans="1:15" x14ac:dyDescent="0.25">
      <c r="A30" s="4">
        <v>30</v>
      </c>
      <c r="B30" s="4" t="e">
        <f ca="1">'Riesgo - Análisis - 1'!L30</f>
        <v>#REF!</v>
      </c>
      <c r="C30" s="18" t="e">
        <f ca="1">'Riesgo - Análisis - 1'!M30</f>
        <v>#REF!</v>
      </c>
      <c r="D30" s="14" t="e">
        <f ca="1">'Riesgo - Análisis - 1'!N30</f>
        <v>#REF!</v>
      </c>
      <c r="E30" s="18" t="str">
        <f>'Riesgo - Análisis - 1'!U30</f>
        <v>RB</v>
      </c>
      <c r="H30" t="s">
        <v>321</v>
      </c>
      <c r="I30" s="41">
        <v>50</v>
      </c>
      <c r="J30" s="41">
        <f ca="1">COUNTA($C$39:$C$48)</f>
        <v>10</v>
      </c>
      <c r="K30" s="41">
        <f ca="1">COUNTIF($D$39:$D$48,"CMA")</f>
        <v>0</v>
      </c>
      <c r="L30" s="41">
        <f ca="1">COUNTIF($D$39:$D$48,"CA")</f>
        <v>0</v>
      </c>
      <c r="M30" s="41">
        <f ca="1">COUNTIF($D$39:$D$48,"CM")</f>
        <v>0</v>
      </c>
      <c r="N30" s="41">
        <f ca="1">COUNTIF($D$39:$D$48,"CB")</f>
        <v>0</v>
      </c>
    </row>
    <row r="31" spans="1:15" x14ac:dyDescent="0.25">
      <c r="A31" s="4">
        <v>40</v>
      </c>
      <c r="B31" s="4" t="e">
        <f ca="1">'Riesgo - Análisis - 1'!L31</f>
        <v>#REF!</v>
      </c>
      <c r="C31" s="18" t="e">
        <f ca="1">'Riesgo - Análisis - 1'!M31</f>
        <v>#REF!</v>
      </c>
      <c r="D31" s="14" t="e">
        <f ca="1">'Riesgo - Análisis - 1'!N31</f>
        <v>#REF!</v>
      </c>
      <c r="E31" s="18" t="str">
        <f>'Riesgo - Análisis - 1'!U31</f>
        <v>RB</v>
      </c>
      <c r="H31" t="s">
        <v>322</v>
      </c>
      <c r="I31" s="41">
        <v>60</v>
      </c>
      <c r="J31" s="41">
        <f ca="1">COUNTA($C$49:$C$53)</f>
        <v>5</v>
      </c>
      <c r="K31" s="41">
        <f ca="1">COUNTIF($D$49:$D$53,"CMA")</f>
        <v>0</v>
      </c>
      <c r="L31" s="41">
        <f ca="1">COUNTIF($D$49:$D$53,"CA")</f>
        <v>0</v>
      </c>
      <c r="M31" s="41">
        <f ca="1">COUNTIF($D$49:$D$53,"CM")</f>
        <v>0</v>
      </c>
      <c r="N31" s="41">
        <f ca="1">COUNTIF($D$49:$D$53,"CB")</f>
        <v>0</v>
      </c>
    </row>
    <row r="32" spans="1:15" x14ac:dyDescent="0.25">
      <c r="A32" s="4">
        <v>40</v>
      </c>
      <c r="B32" s="4" t="e">
        <f ca="1">'Riesgo - Análisis - 1'!L32</f>
        <v>#REF!</v>
      </c>
      <c r="C32" s="18" t="e">
        <f ca="1">'Riesgo - Análisis - 1'!M32</f>
        <v>#REF!</v>
      </c>
      <c r="D32" s="14" t="e">
        <f ca="1">'Riesgo - Análisis - 1'!N32</f>
        <v>#REF!</v>
      </c>
      <c r="E32" s="18" t="str">
        <f>'Riesgo - Análisis - 1'!U32</f>
        <v>RB</v>
      </c>
      <c r="H32" t="s">
        <v>323</v>
      </c>
      <c r="I32" s="41">
        <v>70</v>
      </c>
      <c r="J32" s="41">
        <f ca="1">COUNTA($C$54:$C$65)</f>
        <v>12</v>
      </c>
      <c r="K32" s="41">
        <f ca="1">COUNTIF($D$54:$D$65,"CMA")</f>
        <v>0</v>
      </c>
      <c r="L32" s="41">
        <f ca="1">COUNTIF($D$54:$D$65,"CA")</f>
        <v>0</v>
      </c>
      <c r="M32" s="41">
        <f ca="1">COUNTIF($D$54:$D$65,"CM")</f>
        <v>0</v>
      </c>
      <c r="N32" s="41">
        <f ca="1">COUNTIF($D$54:$D$65,"CB")</f>
        <v>0</v>
      </c>
    </row>
    <row r="33" spans="1:15" x14ac:dyDescent="0.25">
      <c r="A33" s="4">
        <v>40</v>
      </c>
      <c r="B33" s="4" t="e">
        <f ca="1">'Riesgo - Análisis - 1'!L33</f>
        <v>#REF!</v>
      </c>
      <c r="C33" s="18" t="e">
        <f ca="1">'Riesgo - Análisis - 1'!M33</f>
        <v>#REF!</v>
      </c>
      <c r="D33" s="14" t="e">
        <f ca="1">'Riesgo - Análisis - 1'!N33</f>
        <v>#REF!</v>
      </c>
      <c r="E33" s="18" t="str">
        <f>'Riesgo - Análisis - 1'!U33</f>
        <v>RB</v>
      </c>
      <c r="H33" t="s">
        <v>324</v>
      </c>
      <c r="I33" s="41">
        <v>80</v>
      </c>
      <c r="J33" s="41">
        <f ca="1">COUNTA($C$66:$C$68)</f>
        <v>3</v>
      </c>
      <c r="K33" s="41">
        <f ca="1">COUNTIF($D$66:$D$68,"CMA")</f>
        <v>0</v>
      </c>
      <c r="L33" s="41">
        <f ca="1">COUNTIF($D$66:$D$68,"CA")</f>
        <v>0</v>
      </c>
      <c r="M33" s="41">
        <f ca="1">COUNTIF($D$66:$D$68,"CM")</f>
        <v>0</v>
      </c>
      <c r="N33" s="41">
        <f ca="1">COUNTIF($D$66:$D$68,"CB")</f>
        <v>0</v>
      </c>
    </row>
    <row r="34" spans="1:15" x14ac:dyDescent="0.25">
      <c r="A34" s="4">
        <v>40</v>
      </c>
      <c r="B34" s="4" t="e">
        <f ca="1">'Riesgo - Análisis - 1'!L34</f>
        <v>#REF!</v>
      </c>
      <c r="C34" s="18" t="e">
        <f ca="1">'Riesgo - Análisis - 1'!M34</f>
        <v>#REF!</v>
      </c>
      <c r="D34" s="14" t="e">
        <f ca="1">'Riesgo - Análisis - 1'!N34</f>
        <v>#REF!</v>
      </c>
      <c r="E34" s="18" t="str">
        <f>'Riesgo - Análisis - 1'!U34</f>
        <v>RB</v>
      </c>
      <c r="H34" t="s">
        <v>325</v>
      </c>
      <c r="I34" s="41">
        <v>90</v>
      </c>
      <c r="J34" s="41">
        <f ca="1">COUNTA($C$69:$C$83)</f>
        <v>15</v>
      </c>
      <c r="K34" s="41">
        <f ca="1">COUNTIF($D$69:$D$83,"CMA")</f>
        <v>0</v>
      </c>
      <c r="L34" s="41">
        <f ca="1">COUNTIF($D$69:$D$83,"CA")</f>
        <v>0</v>
      </c>
      <c r="M34" s="41">
        <f ca="1">COUNTIF($D$69:$D$83,"CM")</f>
        <v>0</v>
      </c>
      <c r="N34" s="41">
        <f ca="1">COUNTIF($D$69:$D$83,"CB")</f>
        <v>0</v>
      </c>
    </row>
    <row r="35" spans="1:15" x14ac:dyDescent="0.25">
      <c r="A35" s="4">
        <v>40</v>
      </c>
      <c r="B35" s="4" t="e">
        <f ca="1">'Riesgo - Análisis - 1'!L35</f>
        <v>#REF!</v>
      </c>
      <c r="C35" s="18" t="e">
        <f ca="1">'Riesgo - Análisis - 1'!M35</f>
        <v>#REF!</v>
      </c>
      <c r="D35" s="14" t="e">
        <f ca="1">'Riesgo - Análisis - 1'!N35</f>
        <v>#REF!</v>
      </c>
      <c r="E35" s="18" t="str">
        <f>'Riesgo - Análisis - 1'!U35</f>
        <v>RB</v>
      </c>
      <c r="H35" t="s">
        <v>326</v>
      </c>
      <c r="I35" s="41">
        <v>100</v>
      </c>
      <c r="J35" s="41">
        <f ca="1">COUNTA($C$84:$C$96)</f>
        <v>13</v>
      </c>
      <c r="K35" s="41">
        <f ca="1">COUNTIF($D$84:$D$96,"CMA")</f>
        <v>0</v>
      </c>
      <c r="L35" s="41">
        <f ca="1">COUNTIF($D$84:$D$96,"CA")</f>
        <v>0</v>
      </c>
      <c r="M35" s="41">
        <f ca="1">COUNTIF($D$84:$D$96,"CM")</f>
        <v>0</v>
      </c>
      <c r="N35" s="41">
        <f ca="1">COUNTIF($D$84:$D$96,"CB")</f>
        <v>0</v>
      </c>
    </row>
    <row r="36" spans="1:15" x14ac:dyDescent="0.25">
      <c r="A36" s="4">
        <v>40</v>
      </c>
      <c r="B36" s="4" t="e">
        <f ca="1">'Riesgo - Análisis - 1'!L36</f>
        <v>#REF!</v>
      </c>
      <c r="C36" s="18" t="e">
        <f ca="1">'Riesgo - Análisis - 1'!M36</f>
        <v>#REF!</v>
      </c>
      <c r="D36" s="14" t="e">
        <f ca="1">'Riesgo - Análisis - 1'!N36</f>
        <v>#REF!</v>
      </c>
      <c r="E36" s="18" t="str">
        <f>'Riesgo - Análisis - 1'!U36</f>
        <v>RB</v>
      </c>
      <c r="H36" t="s">
        <v>348</v>
      </c>
      <c r="I36" s="41">
        <v>111</v>
      </c>
      <c r="J36" s="41">
        <f ca="1">COUNTA($C$97:$C$107)</f>
        <v>11</v>
      </c>
      <c r="K36" s="41">
        <f ca="1">COUNTIF($D$97:$D$107,"CMA")</f>
        <v>0</v>
      </c>
      <c r="L36" s="41">
        <f ca="1">COUNTIF($D$97:$D$107,"CA")</f>
        <v>0</v>
      </c>
      <c r="M36" s="41">
        <f ca="1">COUNTIF($D$97:$D$107,"CM")</f>
        <v>0</v>
      </c>
      <c r="N36" s="41">
        <f ca="1">COUNTIF($D$97:$D$107,"CB")</f>
        <v>0</v>
      </c>
    </row>
    <row r="37" spans="1:15" x14ac:dyDescent="0.25">
      <c r="A37" s="4">
        <v>40</v>
      </c>
      <c r="B37" s="4" t="e">
        <f ca="1">'Riesgo - Análisis - 1'!L37</f>
        <v>#REF!</v>
      </c>
      <c r="C37" s="18" t="e">
        <f ca="1">'Riesgo - Análisis - 1'!M37</f>
        <v>#REF!</v>
      </c>
      <c r="D37" s="14" t="e">
        <f ca="1">'Riesgo - Análisis - 1'!N37</f>
        <v>#REF!</v>
      </c>
      <c r="E37" s="18" t="str">
        <f>'Riesgo - Análisis - 1'!U37</f>
        <v>RA</v>
      </c>
      <c r="H37" t="s">
        <v>349</v>
      </c>
      <c r="I37" s="41">
        <v>112</v>
      </c>
      <c r="J37" s="41">
        <f ca="1">COUNTA($C$108:$C$126)</f>
        <v>19</v>
      </c>
      <c r="K37" s="41">
        <f ca="1">COUNTIF($D$108:$D$126,"CMA")</f>
        <v>0</v>
      </c>
      <c r="L37" s="41">
        <f ca="1">COUNTIF($D$108:$D$126,"CA")</f>
        <v>0</v>
      </c>
      <c r="M37" s="41">
        <f ca="1">COUNTIF($D$108:$D$126,"CM")</f>
        <v>0</v>
      </c>
      <c r="N37" s="41">
        <f ca="1">COUNTIF($D$108:$D$126,"CB")</f>
        <v>0</v>
      </c>
    </row>
    <row r="38" spans="1:15" x14ac:dyDescent="0.25">
      <c r="A38" s="4">
        <v>40</v>
      </c>
      <c r="B38" s="4" t="e">
        <f ca="1">'Riesgo - Análisis - 1'!L38</f>
        <v>#REF!</v>
      </c>
      <c r="C38" s="18" t="e">
        <f ca="1">'Riesgo - Análisis - 1'!M38</f>
        <v>#REF!</v>
      </c>
      <c r="D38" s="14" t="e">
        <f ca="1">'Riesgo - Análisis - 1'!N38</f>
        <v>#REF!</v>
      </c>
      <c r="E38" s="18" t="str">
        <f>'Riesgo - Análisis - 1'!U38</f>
        <v>RM</v>
      </c>
    </row>
    <row r="39" spans="1:15" x14ac:dyDescent="0.25">
      <c r="A39" s="4">
        <v>50</v>
      </c>
      <c r="B39" s="4" t="e">
        <f ca="1">'Riesgo - Análisis - 1'!L39</f>
        <v>#REF!</v>
      </c>
      <c r="C39" s="18" t="e">
        <f ca="1">'Riesgo - Análisis - 1'!M39</f>
        <v>#REF!</v>
      </c>
      <c r="D39" s="14" t="e">
        <f ca="1">'Riesgo - Análisis - 1'!N39</f>
        <v>#REF!</v>
      </c>
      <c r="E39" s="18" t="str">
        <f>'Riesgo - Análisis - 1'!U39</f>
        <v>RB</v>
      </c>
      <c r="J39" s="41">
        <f ca="1">SUM(J24:J37)</f>
        <v>125</v>
      </c>
      <c r="K39" s="41">
        <f ca="1">SUM(K24:K37)</f>
        <v>0</v>
      </c>
      <c r="L39" s="41">
        <f ca="1">SUM(L24:L37)</f>
        <v>0</v>
      </c>
      <c r="M39" s="41">
        <f ca="1">SUM(M24:M37)</f>
        <v>0</v>
      </c>
      <c r="N39" s="41">
        <f ca="1">SUM(N24:N37)</f>
        <v>0</v>
      </c>
      <c r="O39" s="41">
        <f ca="1">SUM(K39:N39)</f>
        <v>0</v>
      </c>
    </row>
    <row r="40" spans="1:15" x14ac:dyDescent="0.25">
      <c r="A40" s="4">
        <v>50</v>
      </c>
      <c r="B40" s="4" t="e">
        <f ca="1">'Riesgo - Análisis - 1'!L40</f>
        <v>#REF!</v>
      </c>
      <c r="C40" s="18" t="e">
        <f ca="1">'Riesgo - Análisis - 1'!M40</f>
        <v>#REF!</v>
      </c>
      <c r="D40" s="14" t="e">
        <f ca="1">'Riesgo - Análisis - 1'!N40</f>
        <v>#REF!</v>
      </c>
      <c r="E40" s="18" t="str">
        <f>'Riesgo - Análisis - 1'!U40</f>
        <v>RB</v>
      </c>
      <c r="O40" s="41"/>
    </row>
    <row r="41" spans="1:15" x14ac:dyDescent="0.25">
      <c r="A41" s="4">
        <v>50</v>
      </c>
      <c r="B41" s="4" t="e">
        <f ca="1">'Riesgo - Análisis - 1'!L41</f>
        <v>#REF!</v>
      </c>
      <c r="C41" s="18" t="e">
        <f ca="1">'Riesgo - Análisis - 1'!M41</f>
        <v>#REF!</v>
      </c>
      <c r="D41" s="14" t="e">
        <f ca="1">'Riesgo - Análisis - 1'!N41</f>
        <v>#REF!</v>
      </c>
      <c r="E41" s="18" t="str">
        <f>'Riesgo - Análisis - 1'!U41</f>
        <v>RB</v>
      </c>
    </row>
    <row r="42" spans="1:15" x14ac:dyDescent="0.25">
      <c r="A42" s="4">
        <v>50</v>
      </c>
      <c r="B42" s="4" t="e">
        <f ca="1">'Riesgo - Análisis - 1'!L42</f>
        <v>#REF!</v>
      </c>
      <c r="C42" s="18" t="e">
        <f ca="1">'Riesgo - Análisis - 1'!M42</f>
        <v>#REF!</v>
      </c>
      <c r="D42" s="14" t="e">
        <f ca="1">'Riesgo - Análisis - 1'!N42</f>
        <v>#REF!</v>
      </c>
      <c r="E42" s="18" t="str">
        <f>'Riesgo - Análisis - 1'!U42</f>
        <v>RB</v>
      </c>
      <c r="I42" s="41" t="s">
        <v>316</v>
      </c>
      <c r="K42" s="41" t="s">
        <v>176</v>
      </c>
      <c r="L42" s="41" t="s">
        <v>174</v>
      </c>
      <c r="M42" s="41" t="s">
        <v>175</v>
      </c>
      <c r="N42" s="41" t="s">
        <v>185</v>
      </c>
    </row>
    <row r="43" spans="1:15" x14ac:dyDescent="0.25">
      <c r="A43" s="4">
        <v>50</v>
      </c>
      <c r="B43" s="4" t="e">
        <f ca="1">'Riesgo - Análisis - 1'!L43</f>
        <v>#REF!</v>
      </c>
      <c r="C43" s="18" t="e">
        <f ca="1">'Riesgo - Análisis - 1'!M43</f>
        <v>#REF!</v>
      </c>
      <c r="D43" s="14" t="e">
        <f ca="1">'Riesgo - Análisis - 1'!N43</f>
        <v>#REF!</v>
      </c>
      <c r="E43" s="18" t="str">
        <f>'Riesgo - Análisis - 1'!U43</f>
        <v>RB</v>
      </c>
      <c r="H43" t="s">
        <v>333</v>
      </c>
      <c r="I43" s="41">
        <v>21</v>
      </c>
      <c r="J43" s="41">
        <f>COUNTA($E$2:$E$17)</f>
        <v>16</v>
      </c>
      <c r="K43" s="41">
        <f>COUNTIF($E$2:$E$17,"RMA")</f>
        <v>0</v>
      </c>
      <c r="L43" s="41">
        <f>COUNTIF($E$2:$E$17,"RA")</f>
        <v>0</v>
      </c>
      <c r="M43" s="41">
        <f>COUNTIF($E$2:$E$17,"RM")</f>
        <v>8</v>
      </c>
      <c r="N43" s="41">
        <f>COUNTIF($E$2:$E$17,"RB")</f>
        <v>8</v>
      </c>
    </row>
    <row r="44" spans="1:15" x14ac:dyDescent="0.25">
      <c r="A44" s="4">
        <v>50</v>
      </c>
      <c r="B44" s="4" t="e">
        <f ca="1">'Riesgo - Análisis - 1'!L44</f>
        <v>#REF!</v>
      </c>
      <c r="C44" s="18" t="e">
        <f ca="1">'Riesgo - Análisis - 1'!M44</f>
        <v>#REF!</v>
      </c>
      <c r="D44" s="14" t="e">
        <f ca="1">'Riesgo - Análisis - 1'!N44</f>
        <v>#REF!</v>
      </c>
      <c r="E44" s="18" t="str">
        <f>'Riesgo - Análisis - 1'!U44</f>
        <v>RB</v>
      </c>
      <c r="H44" t="s">
        <v>334</v>
      </c>
      <c r="I44" s="41">
        <v>22</v>
      </c>
      <c r="J44" s="41">
        <f>COUNTA($E$18:$E$25)</f>
        <v>8</v>
      </c>
      <c r="K44" s="41">
        <f>COUNTIF($E$18:$E$25,"RMA")</f>
        <v>0</v>
      </c>
      <c r="L44" s="41">
        <f>COUNTIF($E$18:$E$25,"RA")</f>
        <v>0</v>
      </c>
      <c r="M44" s="41">
        <f>COUNTIF($E$18:$E$25,"RM")</f>
        <v>0</v>
      </c>
      <c r="N44" s="41">
        <f>COUNTIF($E$18:$E$25,"RB")</f>
        <v>8</v>
      </c>
    </row>
    <row r="45" spans="1:15" x14ac:dyDescent="0.25">
      <c r="A45" s="4">
        <v>50</v>
      </c>
      <c r="B45" s="4" t="e">
        <f ca="1">'Riesgo - Análisis - 1'!L45</f>
        <v>#REF!</v>
      </c>
      <c r="C45" s="18" t="e">
        <f ca="1">'Riesgo - Análisis - 1'!M45</f>
        <v>#REF!</v>
      </c>
      <c r="D45" s="14" t="e">
        <f ca="1">'Riesgo - Análisis - 1'!N45</f>
        <v>#REF!</v>
      </c>
      <c r="E45" s="18" t="str">
        <f>'Riesgo - Análisis - 1'!U45</f>
        <v>RB</v>
      </c>
      <c r="H45" t="s">
        <v>335</v>
      </c>
      <c r="I45" s="41">
        <v>23</v>
      </c>
      <c r="J45" s="41">
        <f>COUNTA($E$26)</f>
        <v>1</v>
      </c>
      <c r="K45" s="41">
        <f>COUNTIF($E$26,"RMA")</f>
        <v>0</v>
      </c>
      <c r="L45" s="41">
        <f>COUNTIF($E$26,"RA")</f>
        <v>0</v>
      </c>
      <c r="M45" s="41">
        <f>COUNTIF($E$26,"RM")</f>
        <v>0</v>
      </c>
      <c r="N45" s="41">
        <f>COUNTIF($E$26,"RB")</f>
        <v>1</v>
      </c>
    </row>
    <row r="46" spans="1:15" x14ac:dyDescent="0.25">
      <c r="A46" s="4">
        <v>50</v>
      </c>
      <c r="B46" s="4" t="e">
        <f ca="1">'Riesgo - Análisis - 1'!L46</f>
        <v>#REF!</v>
      </c>
      <c r="C46" s="18" t="e">
        <f ca="1">'Riesgo - Análisis - 1'!M46</f>
        <v>#REF!</v>
      </c>
      <c r="D46" s="14" t="e">
        <f ca="1">'Riesgo - Análisis - 1'!N46</f>
        <v>#REF!</v>
      </c>
      <c r="E46" s="18" t="str">
        <f>'Riesgo - Análisis - 1'!U46</f>
        <v>RB</v>
      </c>
      <c r="H46" t="s">
        <v>336</v>
      </c>
      <c r="I46" s="41">
        <v>24</v>
      </c>
      <c r="J46" s="41">
        <f>COUNTA($E$27:$E$28)</f>
        <v>2</v>
      </c>
      <c r="K46" s="41">
        <f>COUNTIF($E$27:$E$28,"RMA")</f>
        <v>0</v>
      </c>
      <c r="L46" s="41">
        <f>COUNTIF($E$27:$E$28,"RA")</f>
        <v>0</v>
      </c>
      <c r="M46" s="41">
        <f>COUNTIF($E$27:$E$28,"RM")</f>
        <v>1</v>
      </c>
      <c r="N46" s="41">
        <f>COUNTIF($E$27:$E$28,"RB")</f>
        <v>1</v>
      </c>
    </row>
    <row r="47" spans="1:15" x14ac:dyDescent="0.25">
      <c r="A47" s="4">
        <v>50</v>
      </c>
      <c r="B47" s="4" t="e">
        <f ca="1">'Riesgo - Análisis - 1'!L47</f>
        <v>#REF!</v>
      </c>
      <c r="C47" s="18" t="e">
        <f ca="1">'Riesgo - Análisis - 1'!M47</f>
        <v>#REF!</v>
      </c>
      <c r="D47" s="14" t="e">
        <f ca="1">'Riesgo - Análisis - 1'!N47</f>
        <v>#REF!</v>
      </c>
      <c r="E47" s="18" t="str">
        <f>'Riesgo - Análisis - 1'!U47</f>
        <v>RB</v>
      </c>
      <c r="H47" t="s">
        <v>319</v>
      </c>
      <c r="I47" s="41">
        <v>30</v>
      </c>
      <c r="J47" s="41">
        <f>COUNTA($E$29:$E$30)</f>
        <v>2</v>
      </c>
      <c r="K47" s="41">
        <f>COUNTIF($E$29:$E$30,"RMA")</f>
        <v>0</v>
      </c>
      <c r="L47" s="41">
        <f>COUNTIF($E$29:$E$30,"RA")</f>
        <v>0</v>
      </c>
      <c r="M47" s="41">
        <f>COUNTIF($E$29:$E$30,"RM")</f>
        <v>1</v>
      </c>
      <c r="N47" s="41">
        <f>COUNTIF($E$29:$E$30,"RB")</f>
        <v>1</v>
      </c>
    </row>
    <row r="48" spans="1:15" x14ac:dyDescent="0.25">
      <c r="A48" s="4">
        <v>50</v>
      </c>
      <c r="B48" s="4" t="e">
        <f ca="1">'Riesgo - Análisis - 1'!L48</f>
        <v>#REF!</v>
      </c>
      <c r="C48" s="18" t="e">
        <f ca="1">'Riesgo - Análisis - 1'!M48</f>
        <v>#REF!</v>
      </c>
      <c r="D48" s="14" t="e">
        <f ca="1">'Riesgo - Análisis - 1'!N48</f>
        <v>#REF!</v>
      </c>
      <c r="E48" s="18" t="str">
        <f>'Riesgo - Análisis - 1'!U48</f>
        <v>RM</v>
      </c>
      <c r="H48" t="s">
        <v>320</v>
      </c>
      <c r="I48" s="41">
        <v>40</v>
      </c>
      <c r="J48" s="41">
        <f>COUNTA($E$31:$E$38)</f>
        <v>8</v>
      </c>
      <c r="K48" s="41">
        <f>COUNTIF($E$31:$E$38,"RMA")</f>
        <v>0</v>
      </c>
      <c r="L48" s="41">
        <f>COUNTIF($E$31:$E$38,"RA")</f>
        <v>1</v>
      </c>
      <c r="M48" s="41">
        <f>COUNTIF($E$31:$E$38,"RM")</f>
        <v>1</v>
      </c>
      <c r="N48" s="41">
        <f>COUNTIF($E$31:$E$38,"RB")</f>
        <v>6</v>
      </c>
    </row>
    <row r="49" spans="1:15" x14ac:dyDescent="0.25">
      <c r="A49" s="4">
        <v>60</v>
      </c>
      <c r="B49" s="4" t="e">
        <f ca="1">'Riesgo - Análisis - 1'!L49</f>
        <v>#REF!</v>
      </c>
      <c r="C49" s="18" t="e">
        <f ca="1">'Riesgo - Análisis - 1'!M49</f>
        <v>#REF!</v>
      </c>
      <c r="D49" s="14" t="e">
        <f ca="1">'Riesgo - Análisis - 1'!N49</f>
        <v>#REF!</v>
      </c>
      <c r="E49" s="18" t="str">
        <f>'Riesgo - Análisis - 1'!U49</f>
        <v>RB</v>
      </c>
      <c r="H49" t="s">
        <v>321</v>
      </c>
      <c r="I49" s="41">
        <v>50</v>
      </c>
      <c r="J49" s="41">
        <f>COUNTA($E$39:$E$48)</f>
        <v>10</v>
      </c>
      <c r="K49" s="41">
        <f>COUNTIF($E$39:$E$48,"RMA")</f>
        <v>0</v>
      </c>
      <c r="L49" s="41">
        <f>COUNTIF($E$39:$E$48,"RA")</f>
        <v>0</v>
      </c>
      <c r="M49" s="41">
        <f>COUNTIF($E$39:$E$48,"RM")</f>
        <v>1</v>
      </c>
      <c r="N49" s="41">
        <f>COUNTIF($E$39:$E$48,"RB")</f>
        <v>9</v>
      </c>
    </row>
    <row r="50" spans="1:15" x14ac:dyDescent="0.25">
      <c r="A50" s="4">
        <v>60</v>
      </c>
      <c r="B50" s="4" t="e">
        <f ca="1">'Riesgo - Análisis - 1'!L50</f>
        <v>#REF!</v>
      </c>
      <c r="C50" s="18" t="e">
        <f ca="1">'Riesgo - Análisis - 1'!M50</f>
        <v>#REF!</v>
      </c>
      <c r="D50" s="14" t="e">
        <f ca="1">'Riesgo - Análisis - 1'!N50</f>
        <v>#REF!</v>
      </c>
      <c r="E50" s="18" t="str">
        <f>'Riesgo - Análisis - 1'!U50</f>
        <v>RA</v>
      </c>
      <c r="H50" t="s">
        <v>322</v>
      </c>
      <c r="I50" s="41">
        <v>60</v>
      </c>
      <c r="J50" s="41">
        <f>COUNTA($E$49:$E$53)</f>
        <v>5</v>
      </c>
      <c r="K50" s="41">
        <f>COUNTIF($E$49:$E$53,"RMA")</f>
        <v>0</v>
      </c>
      <c r="L50" s="41">
        <f>COUNTIF($E$49:$E$53,"RA")</f>
        <v>1</v>
      </c>
      <c r="M50" s="41">
        <f>COUNTIF($E$49:$E$53,"RM")</f>
        <v>1</v>
      </c>
      <c r="N50" s="41">
        <f>COUNTIF($E$49:$E$53,"RB")</f>
        <v>3</v>
      </c>
    </row>
    <row r="51" spans="1:15" x14ac:dyDescent="0.25">
      <c r="A51" s="4">
        <v>60</v>
      </c>
      <c r="B51" s="4" t="e">
        <f ca="1">'Riesgo - Análisis - 1'!L51</f>
        <v>#REF!</v>
      </c>
      <c r="C51" s="18" t="e">
        <f ca="1">'Riesgo - Análisis - 1'!M51</f>
        <v>#REF!</v>
      </c>
      <c r="D51" s="14" t="e">
        <f ca="1">'Riesgo - Análisis - 1'!N51</f>
        <v>#REF!</v>
      </c>
      <c r="E51" s="18" t="str">
        <f>'Riesgo - Análisis - 1'!U51</f>
        <v>RB</v>
      </c>
      <c r="H51" t="s">
        <v>323</v>
      </c>
      <c r="I51" s="41">
        <v>70</v>
      </c>
      <c r="J51" s="41">
        <f>COUNTA($E$54:$E$65)</f>
        <v>12</v>
      </c>
      <c r="K51" s="41">
        <f>COUNTIF($E$54:$E$65,"RMA")</f>
        <v>0</v>
      </c>
      <c r="L51" s="41">
        <f>COUNTIF($E$54:$E$65,"RA")</f>
        <v>0</v>
      </c>
      <c r="M51" s="41">
        <f>COUNTIF($E$54:$E$65,"RM")</f>
        <v>2</v>
      </c>
      <c r="N51" s="41">
        <f>COUNTIF($E$54:$E$65,"RB")</f>
        <v>10</v>
      </c>
    </row>
    <row r="52" spans="1:15" x14ac:dyDescent="0.25">
      <c r="A52" s="4">
        <v>60</v>
      </c>
      <c r="B52" s="4" t="e">
        <f ca="1">'Riesgo - Análisis - 1'!L52</f>
        <v>#REF!</v>
      </c>
      <c r="C52" s="18" t="e">
        <f ca="1">'Riesgo - Análisis - 1'!M52</f>
        <v>#REF!</v>
      </c>
      <c r="D52" s="14" t="e">
        <f ca="1">'Riesgo - Análisis - 1'!N52</f>
        <v>#REF!</v>
      </c>
      <c r="E52" s="18" t="str">
        <f>'Riesgo - Análisis - 1'!U52</f>
        <v>RB</v>
      </c>
      <c r="H52" t="s">
        <v>324</v>
      </c>
      <c r="I52" s="41">
        <v>80</v>
      </c>
      <c r="J52" s="41">
        <f>COUNTA($E$66:$E$68)</f>
        <v>3</v>
      </c>
      <c r="K52" s="41">
        <f>COUNTIF($E$66:$E$68,"RMA")</f>
        <v>0</v>
      </c>
      <c r="L52" s="41">
        <f>COUNTIF($E$66:$E$68,"RA")</f>
        <v>0</v>
      </c>
      <c r="M52" s="41">
        <f>COUNTIF($E$66:$E$68,"RM")</f>
        <v>1</v>
      </c>
      <c r="N52" s="41">
        <f>COUNTIF($E$66:$E$68,"RB")</f>
        <v>2</v>
      </c>
    </row>
    <row r="53" spans="1:15" x14ac:dyDescent="0.25">
      <c r="A53" s="4">
        <v>60</v>
      </c>
      <c r="B53" s="4" t="e">
        <f ca="1">'Riesgo - Análisis - 1'!L53</f>
        <v>#REF!</v>
      </c>
      <c r="C53" s="18" t="e">
        <f ca="1">'Riesgo - Análisis - 1'!M53</f>
        <v>#REF!</v>
      </c>
      <c r="D53" s="14" t="e">
        <f ca="1">'Riesgo - Análisis - 1'!N53</f>
        <v>#REF!</v>
      </c>
      <c r="E53" s="18" t="str">
        <f>'Riesgo - Análisis - 1'!U53</f>
        <v>RM</v>
      </c>
      <c r="H53" t="s">
        <v>325</v>
      </c>
      <c r="I53" s="41">
        <v>90</v>
      </c>
      <c r="J53" s="41">
        <f>COUNTA($E$69:$E$83)</f>
        <v>15</v>
      </c>
      <c r="K53" s="41">
        <f>COUNTIF($E$69:$E$83,"RMA")</f>
        <v>0</v>
      </c>
      <c r="L53" s="41">
        <f>COUNTIF($E$69:$E$83,"RA")</f>
        <v>0</v>
      </c>
      <c r="M53" s="41">
        <f>COUNTIF($E$69:$E$83,"RM")</f>
        <v>4</v>
      </c>
      <c r="N53" s="41">
        <f>COUNTIF($E$69:$E$83,"RB")</f>
        <v>11</v>
      </c>
    </row>
    <row r="54" spans="1:15" x14ac:dyDescent="0.25">
      <c r="A54" s="4">
        <v>70</v>
      </c>
      <c r="B54" s="4" t="e">
        <f ca="1">'Riesgo - Análisis - 1'!L54</f>
        <v>#REF!</v>
      </c>
      <c r="C54" s="18" t="e">
        <f ca="1">'Riesgo - Análisis - 1'!M54</f>
        <v>#REF!</v>
      </c>
      <c r="D54" s="14" t="e">
        <f ca="1">'Riesgo - Análisis - 1'!N54</f>
        <v>#REF!</v>
      </c>
      <c r="E54" s="18" t="str">
        <f>'Riesgo - Análisis - 1'!U54</f>
        <v>RB</v>
      </c>
      <c r="H54" t="s">
        <v>326</v>
      </c>
      <c r="I54" s="41">
        <v>100</v>
      </c>
      <c r="J54" s="41">
        <f>COUNTA($E$84:$E$96)</f>
        <v>13</v>
      </c>
      <c r="K54" s="41">
        <f>COUNTIF($E$84:$E$96,"RMA")</f>
        <v>0</v>
      </c>
      <c r="L54" s="41">
        <f>COUNTIF($E$84:$E$96,"RA")</f>
        <v>0</v>
      </c>
      <c r="M54" s="41">
        <f>COUNTIF($E$84:$E$96,"RM")</f>
        <v>2</v>
      </c>
      <c r="N54" s="41">
        <f>COUNTIF($E$84:$E$96,"RB")</f>
        <v>11</v>
      </c>
    </row>
    <row r="55" spans="1:15" x14ac:dyDescent="0.25">
      <c r="A55" s="4">
        <v>70</v>
      </c>
      <c r="B55" s="4" t="e">
        <f ca="1">'Riesgo - Análisis - 1'!L55</f>
        <v>#REF!</v>
      </c>
      <c r="C55" s="18" t="e">
        <f ca="1">'Riesgo - Análisis - 1'!M55</f>
        <v>#REF!</v>
      </c>
      <c r="D55" s="14" t="e">
        <f ca="1">'Riesgo - Análisis - 1'!N55</f>
        <v>#REF!</v>
      </c>
      <c r="E55" s="18" t="str">
        <f>'Riesgo - Análisis - 1'!U55</f>
        <v>RB</v>
      </c>
      <c r="H55" t="s">
        <v>348</v>
      </c>
      <c r="I55" s="41">
        <v>111</v>
      </c>
      <c r="J55" s="41">
        <f>COUNTA($E$97:$E$107)</f>
        <v>11</v>
      </c>
      <c r="K55" s="41">
        <f>COUNTIF($E$97:$E$107,"RMA")</f>
        <v>0</v>
      </c>
      <c r="L55" s="41">
        <f>COUNTIF($E$97:$E$107,"RA")</f>
        <v>1</v>
      </c>
      <c r="M55" s="41">
        <f>COUNTIF($E$97:$E$107,"RM")</f>
        <v>6</v>
      </c>
      <c r="N55" s="41">
        <f>COUNTIF($E$97:$E$107,"RB")</f>
        <v>4</v>
      </c>
    </row>
    <row r="56" spans="1:15" x14ac:dyDescent="0.25">
      <c r="A56" s="4">
        <v>70</v>
      </c>
      <c r="B56" s="4" t="e">
        <f ca="1">'Riesgo - Análisis - 1'!L56</f>
        <v>#REF!</v>
      </c>
      <c r="C56" s="18" t="e">
        <f ca="1">'Riesgo - Análisis - 1'!M56</f>
        <v>#REF!</v>
      </c>
      <c r="D56" s="14" t="e">
        <f ca="1">'Riesgo - Análisis - 1'!N56</f>
        <v>#REF!</v>
      </c>
      <c r="E56" s="18" t="str">
        <f>'Riesgo - Análisis - 1'!U56</f>
        <v>RB</v>
      </c>
      <c r="H56" t="s">
        <v>349</v>
      </c>
      <c r="I56" s="41">
        <v>112</v>
      </c>
      <c r="J56" s="41">
        <f>COUNTA($E$108:$E$126)</f>
        <v>19</v>
      </c>
      <c r="K56" s="41">
        <f>COUNTIF($E$108:$E$126,"RMA")</f>
        <v>0</v>
      </c>
      <c r="L56" s="41">
        <f>COUNTIF($E$108:$E$126,"RA")</f>
        <v>1</v>
      </c>
      <c r="M56" s="41">
        <f>COUNTIF($E$108:$E$126,"RM")</f>
        <v>16</v>
      </c>
      <c r="N56" s="41">
        <f>COUNTIF($E$108:$E$126,"RB")</f>
        <v>2</v>
      </c>
    </row>
    <row r="57" spans="1:15" x14ac:dyDescent="0.25">
      <c r="A57" s="4">
        <v>70</v>
      </c>
      <c r="B57" s="4" t="e">
        <f ca="1">'Riesgo - Análisis - 1'!L57</f>
        <v>#REF!</v>
      </c>
      <c r="C57" s="18" t="e">
        <f ca="1">'Riesgo - Análisis - 1'!M57</f>
        <v>#REF!</v>
      </c>
      <c r="D57" s="14" t="e">
        <f ca="1">'Riesgo - Análisis - 1'!N57</f>
        <v>#REF!</v>
      </c>
      <c r="E57" s="18" t="str">
        <f>'Riesgo - Análisis - 1'!U57</f>
        <v>RM</v>
      </c>
    </row>
    <row r="58" spans="1:15" x14ac:dyDescent="0.25">
      <c r="A58" s="4">
        <v>70</v>
      </c>
      <c r="B58" s="4" t="e">
        <f ca="1">'Riesgo - Análisis - 1'!L58</f>
        <v>#REF!</v>
      </c>
      <c r="C58" s="18" t="e">
        <f ca="1">'Riesgo - Análisis - 1'!M58</f>
        <v>#REF!</v>
      </c>
      <c r="D58" s="14" t="e">
        <f ca="1">'Riesgo - Análisis - 1'!N58</f>
        <v>#REF!</v>
      </c>
      <c r="E58" s="18" t="str">
        <f>'Riesgo - Análisis - 1'!U58</f>
        <v>RB</v>
      </c>
      <c r="J58" s="41">
        <f>SUM(J43:J56)</f>
        <v>125</v>
      </c>
      <c r="K58" s="41">
        <f>SUM(K43:K56)</f>
        <v>0</v>
      </c>
      <c r="L58" s="41">
        <f>SUM(L43:L56)</f>
        <v>4</v>
      </c>
      <c r="M58" s="41">
        <f>SUM(M43:M56)</f>
        <v>44</v>
      </c>
      <c r="N58" s="41">
        <f>SUM(N43:N56)</f>
        <v>77</v>
      </c>
      <c r="O58" s="41">
        <f>SUM(K58:N58)</f>
        <v>125</v>
      </c>
    </row>
    <row r="59" spans="1:15" x14ac:dyDescent="0.25">
      <c r="A59" s="4">
        <v>70</v>
      </c>
      <c r="B59" s="4" t="e">
        <f ca="1">'Riesgo - Análisis - 1'!L59</f>
        <v>#REF!</v>
      </c>
      <c r="C59" s="18" t="e">
        <f ca="1">'Riesgo - Análisis - 1'!M59</f>
        <v>#REF!</v>
      </c>
      <c r="D59" s="14" t="e">
        <f ca="1">'Riesgo - Análisis - 1'!N59</f>
        <v>#REF!</v>
      </c>
      <c r="E59" s="18" t="str">
        <f>'Riesgo - Análisis - 1'!U59</f>
        <v>RM</v>
      </c>
    </row>
    <row r="60" spans="1:15" x14ac:dyDescent="0.25">
      <c r="A60" s="4">
        <v>70</v>
      </c>
      <c r="B60" s="4" t="e">
        <f ca="1">'Riesgo - Análisis - 1'!L60</f>
        <v>#REF!</v>
      </c>
      <c r="C60" s="18" t="e">
        <f ca="1">'Riesgo - Análisis - 1'!M60</f>
        <v>#REF!</v>
      </c>
      <c r="D60" s="14" t="e">
        <f ca="1">'Riesgo - Análisis - 1'!N60</f>
        <v>#REF!</v>
      </c>
      <c r="E60" s="18" t="str">
        <f>'Riesgo - Análisis - 1'!U60</f>
        <v>RB</v>
      </c>
      <c r="O60" s="41"/>
    </row>
    <row r="61" spans="1:15" x14ac:dyDescent="0.25">
      <c r="A61" s="4">
        <v>70</v>
      </c>
      <c r="B61" s="4" t="e">
        <f ca="1">'Riesgo - Análisis - 1'!L61</f>
        <v>#REF!</v>
      </c>
      <c r="C61" s="18" t="e">
        <f ca="1">'Riesgo - Análisis - 1'!M61</f>
        <v>#REF!</v>
      </c>
      <c r="D61" s="14" t="e">
        <f ca="1">'Riesgo - Análisis - 1'!N61</f>
        <v>#REF!</v>
      </c>
      <c r="E61" s="18" t="str">
        <f>'Riesgo - Análisis - 1'!U61</f>
        <v>RB</v>
      </c>
      <c r="O61" s="41"/>
    </row>
    <row r="62" spans="1:15" x14ac:dyDescent="0.25">
      <c r="A62" s="4">
        <v>70</v>
      </c>
      <c r="B62" s="4" t="e">
        <f ca="1">'Riesgo - Análisis - 1'!L62</f>
        <v>#REF!</v>
      </c>
      <c r="C62" s="18" t="e">
        <f ca="1">'Riesgo - Análisis - 1'!M62</f>
        <v>#REF!</v>
      </c>
      <c r="D62" s="14" t="e">
        <f ca="1">'Riesgo - Análisis - 1'!N62</f>
        <v>#REF!</v>
      </c>
      <c r="E62" s="18" t="str">
        <f>'Riesgo - Análisis - 1'!U62</f>
        <v>RB</v>
      </c>
    </row>
    <row r="63" spans="1:15" x14ac:dyDescent="0.25">
      <c r="A63" s="4">
        <v>70</v>
      </c>
      <c r="B63" s="4" t="e">
        <f ca="1">'Riesgo - Análisis - 1'!L63</f>
        <v>#REF!</v>
      </c>
      <c r="C63" s="18" t="e">
        <f ca="1">'Riesgo - Análisis - 1'!M63</f>
        <v>#REF!</v>
      </c>
      <c r="D63" s="14" t="e">
        <f ca="1">'Riesgo - Análisis - 1'!N63</f>
        <v>#REF!</v>
      </c>
      <c r="E63" s="18" t="str">
        <f>'Riesgo - Análisis - 1'!U63</f>
        <v>RB</v>
      </c>
    </row>
    <row r="64" spans="1:15" x14ac:dyDescent="0.25">
      <c r="A64" s="4">
        <v>70</v>
      </c>
      <c r="B64" s="4" t="e">
        <f ca="1">'Riesgo - Análisis - 1'!L64</f>
        <v>#REF!</v>
      </c>
      <c r="C64" s="18" t="e">
        <f ca="1">'Riesgo - Análisis - 1'!M64</f>
        <v>#REF!</v>
      </c>
      <c r="D64" s="14" t="e">
        <f ca="1">'Riesgo - Análisis - 1'!N64</f>
        <v>#REF!</v>
      </c>
      <c r="E64" s="18" t="str">
        <f>'Riesgo - Análisis - 1'!U64</f>
        <v>RB</v>
      </c>
    </row>
    <row r="65" spans="1:5" x14ac:dyDescent="0.25">
      <c r="A65" s="4">
        <v>70</v>
      </c>
      <c r="B65" s="4" t="e">
        <f ca="1">'Riesgo - Análisis - 1'!L65</f>
        <v>#REF!</v>
      </c>
      <c r="C65" s="18" t="e">
        <f ca="1">'Riesgo - Análisis - 1'!M65</f>
        <v>#REF!</v>
      </c>
      <c r="D65" s="14" t="e">
        <f ca="1">'Riesgo - Análisis - 1'!N65</f>
        <v>#REF!</v>
      </c>
      <c r="E65" s="18" t="str">
        <f>'Riesgo - Análisis - 1'!U65</f>
        <v>RB</v>
      </c>
    </row>
    <row r="66" spans="1:5" x14ac:dyDescent="0.25">
      <c r="A66" s="4">
        <v>80</v>
      </c>
      <c r="B66" s="4" t="e">
        <f ca="1">'Riesgo - Análisis - 1'!L66</f>
        <v>#REF!</v>
      </c>
      <c r="C66" s="18" t="e">
        <f ca="1">'Riesgo - Análisis - 1'!M66</f>
        <v>#REF!</v>
      </c>
      <c r="D66" s="14" t="e">
        <f ca="1">'Riesgo - Análisis - 1'!N66</f>
        <v>#REF!</v>
      </c>
      <c r="E66" s="18" t="str">
        <f>'Riesgo - Análisis - 1'!U66</f>
        <v>RB</v>
      </c>
    </row>
    <row r="67" spans="1:5" x14ac:dyDescent="0.25">
      <c r="A67" s="4">
        <v>80</v>
      </c>
      <c r="B67" s="4" t="e">
        <f ca="1">'Riesgo - Análisis - 1'!L67</f>
        <v>#REF!</v>
      </c>
      <c r="C67" s="18" t="e">
        <f ca="1">'Riesgo - Análisis - 1'!M67</f>
        <v>#REF!</v>
      </c>
      <c r="D67" s="14" t="e">
        <f ca="1">'Riesgo - Análisis - 1'!N67</f>
        <v>#REF!</v>
      </c>
      <c r="E67" s="18" t="str">
        <f>'Riesgo - Análisis - 1'!U67</f>
        <v>RB</v>
      </c>
    </row>
    <row r="68" spans="1:5" x14ac:dyDescent="0.25">
      <c r="A68" s="4">
        <v>80</v>
      </c>
      <c r="B68" s="4" t="e">
        <f ca="1">'Riesgo - Análisis - 1'!L68</f>
        <v>#REF!</v>
      </c>
      <c r="C68" s="18" t="e">
        <f ca="1">'Riesgo - Análisis - 1'!M68</f>
        <v>#REF!</v>
      </c>
      <c r="D68" s="14" t="e">
        <f ca="1">'Riesgo - Análisis - 1'!N68</f>
        <v>#REF!</v>
      </c>
      <c r="E68" s="18" t="str">
        <f>'Riesgo - Análisis - 1'!U68</f>
        <v>RM</v>
      </c>
    </row>
    <row r="69" spans="1:5" x14ac:dyDescent="0.25">
      <c r="A69" s="4">
        <v>90</v>
      </c>
      <c r="B69" s="4" t="e">
        <f ca="1">'Riesgo - Análisis - 1'!L69</f>
        <v>#REF!</v>
      </c>
      <c r="C69" s="18" t="e">
        <f ca="1">'Riesgo - Análisis - 1'!M69</f>
        <v>#REF!</v>
      </c>
      <c r="D69" s="14" t="e">
        <f ca="1">'Riesgo - Análisis - 1'!N69</f>
        <v>#REF!</v>
      </c>
      <c r="E69" s="18" t="str">
        <f>'Riesgo - Análisis - 1'!U69</f>
        <v>RM</v>
      </c>
    </row>
    <row r="70" spans="1:5" x14ac:dyDescent="0.25">
      <c r="A70" s="4">
        <v>90</v>
      </c>
      <c r="B70" s="4" t="e">
        <f ca="1">'Riesgo - Análisis - 1'!L70</f>
        <v>#REF!</v>
      </c>
      <c r="C70" s="18" t="e">
        <f ca="1">'Riesgo - Análisis - 1'!M70</f>
        <v>#REF!</v>
      </c>
      <c r="D70" s="14" t="e">
        <f ca="1">'Riesgo - Análisis - 1'!N70</f>
        <v>#REF!</v>
      </c>
      <c r="E70" s="18" t="str">
        <f>'Riesgo - Análisis - 1'!U70</f>
        <v>RB</v>
      </c>
    </row>
    <row r="71" spans="1:5" x14ac:dyDescent="0.25">
      <c r="A71" s="4">
        <v>90</v>
      </c>
      <c r="B71" s="4" t="e">
        <f ca="1">'Riesgo - Análisis - 1'!L71</f>
        <v>#REF!</v>
      </c>
      <c r="C71" s="18" t="e">
        <f ca="1">'Riesgo - Análisis - 1'!M71</f>
        <v>#REF!</v>
      </c>
      <c r="D71" s="14" t="e">
        <f ca="1">'Riesgo - Análisis - 1'!N71</f>
        <v>#REF!</v>
      </c>
      <c r="E71" s="18" t="str">
        <f>'Riesgo - Análisis - 1'!U71</f>
        <v>RM</v>
      </c>
    </row>
    <row r="72" spans="1:5" x14ac:dyDescent="0.25">
      <c r="A72" s="4">
        <v>90</v>
      </c>
      <c r="B72" s="4" t="e">
        <f ca="1">'Riesgo - Análisis - 1'!L72</f>
        <v>#REF!</v>
      </c>
      <c r="C72" s="18" t="e">
        <f ca="1">'Riesgo - Análisis - 1'!M72</f>
        <v>#REF!</v>
      </c>
      <c r="D72" s="14" t="e">
        <f ca="1">'Riesgo - Análisis - 1'!N72</f>
        <v>#REF!</v>
      </c>
      <c r="E72" s="18" t="str">
        <f>'Riesgo - Análisis - 1'!U72</f>
        <v>RB</v>
      </c>
    </row>
    <row r="73" spans="1:5" x14ac:dyDescent="0.25">
      <c r="A73" s="4">
        <v>90</v>
      </c>
      <c r="B73" s="4" t="e">
        <f ca="1">'Riesgo - Análisis - 1'!L73</f>
        <v>#REF!</v>
      </c>
      <c r="C73" s="18" t="e">
        <f ca="1">'Riesgo - Análisis - 1'!M73</f>
        <v>#REF!</v>
      </c>
      <c r="D73" s="14" t="e">
        <f ca="1">'Riesgo - Análisis - 1'!N73</f>
        <v>#REF!</v>
      </c>
      <c r="E73" s="18" t="str">
        <f>'Riesgo - Análisis - 1'!U73</f>
        <v>RB</v>
      </c>
    </row>
    <row r="74" spans="1:5" x14ac:dyDescent="0.25">
      <c r="A74" s="4">
        <v>90</v>
      </c>
      <c r="B74" s="4" t="e">
        <f ca="1">'Riesgo - Análisis - 1'!L74</f>
        <v>#REF!</v>
      </c>
      <c r="C74" s="18" t="e">
        <f ca="1">'Riesgo - Análisis - 1'!M74</f>
        <v>#REF!</v>
      </c>
      <c r="D74" s="14" t="e">
        <f ca="1">'Riesgo - Análisis - 1'!N74</f>
        <v>#REF!</v>
      </c>
      <c r="E74" s="18" t="str">
        <f>'Riesgo - Análisis - 1'!U74</f>
        <v>RB</v>
      </c>
    </row>
    <row r="75" spans="1:5" x14ac:dyDescent="0.25">
      <c r="A75" s="4">
        <v>90</v>
      </c>
      <c r="B75" s="4" t="e">
        <f ca="1">'Riesgo - Análisis - 1'!L75</f>
        <v>#REF!</v>
      </c>
      <c r="C75" s="18" t="e">
        <f ca="1">'Riesgo - Análisis - 1'!M75</f>
        <v>#REF!</v>
      </c>
      <c r="D75" s="14" t="e">
        <f ca="1">'Riesgo - Análisis - 1'!N75</f>
        <v>#REF!</v>
      </c>
      <c r="E75" s="18" t="str">
        <f>'Riesgo - Análisis - 1'!U75</f>
        <v>RB</v>
      </c>
    </row>
    <row r="76" spans="1:5" x14ac:dyDescent="0.25">
      <c r="A76" s="4">
        <v>90</v>
      </c>
      <c r="B76" s="4" t="e">
        <f ca="1">'Riesgo - Análisis - 1'!L76</f>
        <v>#REF!</v>
      </c>
      <c r="C76" s="18" t="e">
        <f ca="1">'Riesgo - Análisis - 1'!M76</f>
        <v>#REF!</v>
      </c>
      <c r="D76" s="14" t="e">
        <f ca="1">'Riesgo - Análisis - 1'!N76</f>
        <v>#REF!</v>
      </c>
      <c r="E76" s="18" t="str">
        <f>'Riesgo - Análisis - 1'!U76</f>
        <v>RB</v>
      </c>
    </row>
    <row r="77" spans="1:5" x14ac:dyDescent="0.25">
      <c r="A77" s="4">
        <v>90</v>
      </c>
      <c r="B77" s="4" t="e">
        <f ca="1">'Riesgo - Análisis - 1'!L77</f>
        <v>#REF!</v>
      </c>
      <c r="C77" s="18" t="e">
        <f ca="1">'Riesgo - Análisis - 1'!M77</f>
        <v>#REF!</v>
      </c>
      <c r="D77" s="14" t="e">
        <f ca="1">'Riesgo - Análisis - 1'!N77</f>
        <v>#REF!</v>
      </c>
      <c r="E77" s="18" t="str">
        <f>'Riesgo - Análisis - 1'!U77</f>
        <v>RB</v>
      </c>
    </row>
    <row r="78" spans="1:5" x14ac:dyDescent="0.25">
      <c r="A78" s="4">
        <v>90</v>
      </c>
      <c r="B78" s="4" t="e">
        <f ca="1">'Riesgo - Análisis - 1'!L78</f>
        <v>#REF!</v>
      </c>
      <c r="C78" s="18" t="e">
        <f ca="1">'Riesgo - Análisis - 1'!M78</f>
        <v>#REF!</v>
      </c>
      <c r="D78" s="14" t="e">
        <f ca="1">'Riesgo - Análisis - 1'!N78</f>
        <v>#REF!</v>
      </c>
      <c r="E78" s="18" t="str">
        <f>'Riesgo - Análisis - 1'!U78</f>
        <v>RB</v>
      </c>
    </row>
    <row r="79" spans="1:5" x14ac:dyDescent="0.25">
      <c r="A79" s="4">
        <v>90</v>
      </c>
      <c r="B79" s="4" t="e">
        <f ca="1">'Riesgo - Análisis - 1'!L79</f>
        <v>#REF!</v>
      </c>
      <c r="C79" s="18" t="e">
        <f ca="1">'Riesgo - Análisis - 1'!M79</f>
        <v>#REF!</v>
      </c>
      <c r="D79" s="14" t="e">
        <f ca="1">'Riesgo - Análisis - 1'!N79</f>
        <v>#REF!</v>
      </c>
      <c r="E79" s="18" t="str">
        <f>'Riesgo - Análisis - 1'!U79</f>
        <v>RB</v>
      </c>
    </row>
    <row r="80" spans="1:5" x14ac:dyDescent="0.25">
      <c r="A80" s="4">
        <v>90</v>
      </c>
      <c r="B80" s="4" t="e">
        <f ca="1">'Riesgo - Análisis - 1'!L80</f>
        <v>#REF!</v>
      </c>
      <c r="C80" s="18" t="e">
        <f ca="1">'Riesgo - Análisis - 1'!M80</f>
        <v>#REF!</v>
      </c>
      <c r="D80" s="14" t="e">
        <f ca="1">'Riesgo - Análisis - 1'!N80</f>
        <v>#REF!</v>
      </c>
      <c r="E80" s="18" t="str">
        <f>'Riesgo - Análisis - 1'!U80</f>
        <v>RB</v>
      </c>
    </row>
    <row r="81" spans="1:5" x14ac:dyDescent="0.25">
      <c r="A81" s="4">
        <v>90</v>
      </c>
      <c r="B81" s="4" t="e">
        <f ca="1">'Riesgo - Análisis - 1'!L81</f>
        <v>#REF!</v>
      </c>
      <c r="C81" s="18" t="e">
        <f ca="1">'Riesgo - Análisis - 1'!M81</f>
        <v>#REF!</v>
      </c>
      <c r="D81" s="14" t="e">
        <f ca="1">'Riesgo - Análisis - 1'!N81</f>
        <v>#REF!</v>
      </c>
      <c r="E81" s="18" t="str">
        <f>'Riesgo - Análisis - 1'!U81</f>
        <v>RB</v>
      </c>
    </row>
    <row r="82" spans="1:5" x14ac:dyDescent="0.25">
      <c r="A82" s="4">
        <v>90</v>
      </c>
      <c r="B82" s="4" t="e">
        <f ca="1">'Riesgo - Análisis - 1'!L82</f>
        <v>#REF!</v>
      </c>
      <c r="C82" s="18" t="e">
        <f ca="1">'Riesgo - Análisis - 1'!M82</f>
        <v>#REF!</v>
      </c>
      <c r="D82" s="14" t="e">
        <f ca="1">'Riesgo - Análisis - 1'!N82</f>
        <v>#REF!</v>
      </c>
      <c r="E82" s="18" t="str">
        <f>'Riesgo - Análisis - 1'!U82</f>
        <v>RM</v>
      </c>
    </row>
    <row r="83" spans="1:5" x14ac:dyDescent="0.25">
      <c r="A83" s="4">
        <v>90</v>
      </c>
      <c r="B83" s="4" t="e">
        <f ca="1">'Riesgo - Análisis - 1'!L83</f>
        <v>#REF!</v>
      </c>
      <c r="C83" s="18" t="e">
        <f ca="1">'Riesgo - Análisis - 1'!M83</f>
        <v>#REF!</v>
      </c>
      <c r="D83" s="14" t="e">
        <f ca="1">'Riesgo - Análisis - 1'!N83</f>
        <v>#REF!</v>
      </c>
      <c r="E83" s="18" t="str">
        <f>'Riesgo - Análisis - 1'!U83</f>
        <v>RM</v>
      </c>
    </row>
    <row r="84" spans="1:5" x14ac:dyDescent="0.25">
      <c r="A84" s="4">
        <v>100</v>
      </c>
      <c r="B84" s="4" t="e">
        <f ca="1">'Riesgo - Análisis - 1'!L84</f>
        <v>#REF!</v>
      </c>
      <c r="C84" s="18" t="e">
        <f ca="1">'Riesgo - Análisis - 1'!M84</f>
        <v>#REF!</v>
      </c>
      <c r="D84" s="14" t="e">
        <f ca="1">'Riesgo - Análisis - 1'!N84</f>
        <v>#REF!</v>
      </c>
      <c r="E84" s="18" t="str">
        <f>'Riesgo - Análisis - 1'!U84</f>
        <v>RB</v>
      </c>
    </row>
    <row r="85" spans="1:5" x14ac:dyDescent="0.25">
      <c r="A85" s="4">
        <v>100</v>
      </c>
      <c r="B85" s="4" t="e">
        <f ca="1">'Riesgo - Análisis - 1'!L85</f>
        <v>#REF!</v>
      </c>
      <c r="C85" s="18" t="e">
        <f ca="1">'Riesgo - Análisis - 1'!M85</f>
        <v>#REF!</v>
      </c>
      <c r="D85" s="14" t="e">
        <f ca="1">'Riesgo - Análisis - 1'!N85</f>
        <v>#REF!</v>
      </c>
      <c r="E85" s="18" t="str">
        <f>'Riesgo - Análisis - 1'!U85</f>
        <v>RB</v>
      </c>
    </row>
    <row r="86" spans="1:5" x14ac:dyDescent="0.25">
      <c r="A86" s="4">
        <v>100</v>
      </c>
      <c r="B86" s="4" t="e">
        <f ca="1">'Riesgo - Análisis - 1'!L86</f>
        <v>#REF!</v>
      </c>
      <c r="C86" s="18" t="e">
        <f ca="1">'Riesgo - Análisis - 1'!M86</f>
        <v>#REF!</v>
      </c>
      <c r="D86" s="14" t="e">
        <f ca="1">'Riesgo - Análisis - 1'!N86</f>
        <v>#REF!</v>
      </c>
      <c r="E86" s="18" t="str">
        <f>'Riesgo - Análisis - 1'!U86</f>
        <v>RB</v>
      </c>
    </row>
    <row r="87" spans="1:5" x14ac:dyDescent="0.25">
      <c r="A87" s="4">
        <v>100</v>
      </c>
      <c r="B87" s="4" t="e">
        <f ca="1">'Riesgo - Análisis - 1'!L87</f>
        <v>#REF!</v>
      </c>
      <c r="C87" s="18" t="e">
        <f ca="1">'Riesgo - Análisis - 1'!M87</f>
        <v>#REF!</v>
      </c>
      <c r="D87" s="14" t="e">
        <f ca="1">'Riesgo - Análisis - 1'!N87</f>
        <v>#REF!</v>
      </c>
      <c r="E87" s="18" t="str">
        <f>'Riesgo - Análisis - 1'!U87</f>
        <v>RB</v>
      </c>
    </row>
    <row r="88" spans="1:5" x14ac:dyDescent="0.25">
      <c r="A88" s="4">
        <v>100</v>
      </c>
      <c r="B88" s="4" t="e">
        <f ca="1">'Riesgo - Análisis - 1'!L88</f>
        <v>#REF!</v>
      </c>
      <c r="C88" s="18" t="e">
        <f ca="1">'Riesgo - Análisis - 1'!M88</f>
        <v>#REF!</v>
      </c>
      <c r="D88" s="14" t="e">
        <f ca="1">'Riesgo - Análisis - 1'!N88</f>
        <v>#REF!</v>
      </c>
      <c r="E88" s="18" t="str">
        <f>'Riesgo - Análisis - 1'!U88</f>
        <v>RM</v>
      </c>
    </row>
    <row r="89" spans="1:5" x14ac:dyDescent="0.25">
      <c r="A89" s="4">
        <v>100</v>
      </c>
      <c r="B89" s="4" t="e">
        <f ca="1">'Riesgo - Análisis - 1'!L89</f>
        <v>#REF!</v>
      </c>
      <c r="C89" s="18" t="e">
        <f ca="1">'Riesgo - Análisis - 1'!M89</f>
        <v>#REF!</v>
      </c>
      <c r="D89" s="14" t="e">
        <f ca="1">'Riesgo - Análisis - 1'!N89</f>
        <v>#REF!</v>
      </c>
      <c r="E89" s="18" t="str">
        <f>'Riesgo - Análisis - 1'!U89</f>
        <v>RB</v>
      </c>
    </row>
    <row r="90" spans="1:5" x14ac:dyDescent="0.25">
      <c r="A90" s="4">
        <v>100</v>
      </c>
      <c r="B90" s="4" t="e">
        <f ca="1">'Riesgo - Análisis - 1'!L90</f>
        <v>#REF!</v>
      </c>
      <c r="C90" s="18" t="e">
        <f ca="1">'Riesgo - Análisis - 1'!M90</f>
        <v>#REF!</v>
      </c>
      <c r="D90" s="14" t="e">
        <f ca="1">'Riesgo - Análisis - 1'!N90</f>
        <v>#REF!</v>
      </c>
      <c r="E90" s="18" t="str">
        <f>'Riesgo - Análisis - 1'!U90</f>
        <v>RB</v>
      </c>
    </row>
    <row r="91" spans="1:5" x14ac:dyDescent="0.25">
      <c r="A91" s="4">
        <v>100</v>
      </c>
      <c r="B91" s="4" t="e">
        <f ca="1">'Riesgo - Análisis - 1'!L91</f>
        <v>#REF!</v>
      </c>
      <c r="C91" s="18" t="e">
        <f ca="1">'Riesgo - Análisis - 1'!M91</f>
        <v>#REF!</v>
      </c>
      <c r="D91" s="14" t="e">
        <f ca="1">'Riesgo - Análisis - 1'!N91</f>
        <v>#REF!</v>
      </c>
      <c r="E91" s="18" t="str">
        <f>'Riesgo - Análisis - 1'!U91</f>
        <v>RB</v>
      </c>
    </row>
    <row r="92" spans="1:5" x14ac:dyDescent="0.25">
      <c r="A92" s="4">
        <v>100</v>
      </c>
      <c r="B92" s="4" t="e">
        <f ca="1">'Riesgo - Análisis - 1'!L92</f>
        <v>#REF!</v>
      </c>
      <c r="C92" s="18" t="e">
        <f ca="1">'Riesgo - Análisis - 1'!M92</f>
        <v>#REF!</v>
      </c>
      <c r="D92" s="14" t="e">
        <f ca="1">'Riesgo - Análisis - 1'!N92</f>
        <v>#REF!</v>
      </c>
      <c r="E92" s="18" t="str">
        <f>'Riesgo - Análisis - 1'!U92</f>
        <v>RB</v>
      </c>
    </row>
    <row r="93" spans="1:5" x14ac:dyDescent="0.25">
      <c r="A93" s="4">
        <v>100</v>
      </c>
      <c r="B93" s="4" t="e">
        <f ca="1">'Riesgo - Análisis - 1'!L93</f>
        <v>#REF!</v>
      </c>
      <c r="C93" s="18" t="e">
        <f ca="1">'Riesgo - Análisis - 1'!M93</f>
        <v>#REF!</v>
      </c>
      <c r="D93" s="14" t="e">
        <f ca="1">'Riesgo - Análisis - 1'!N93</f>
        <v>#REF!</v>
      </c>
      <c r="E93" s="18" t="str">
        <f>'Riesgo - Análisis - 1'!U93</f>
        <v>RB</v>
      </c>
    </row>
    <row r="94" spans="1:5" x14ac:dyDescent="0.25">
      <c r="A94" s="4">
        <v>100</v>
      </c>
      <c r="B94" s="4" t="e">
        <f ca="1">'Riesgo - Análisis - 1'!L94</f>
        <v>#REF!</v>
      </c>
      <c r="C94" s="18" t="e">
        <f ca="1">'Riesgo - Análisis - 1'!M94</f>
        <v>#REF!</v>
      </c>
      <c r="D94" s="14" t="e">
        <f ca="1">'Riesgo - Análisis - 1'!N94</f>
        <v>#REF!</v>
      </c>
      <c r="E94" s="18" t="str">
        <f>'Riesgo - Análisis - 1'!U94</f>
        <v>RM</v>
      </c>
    </row>
    <row r="95" spans="1:5" x14ac:dyDescent="0.25">
      <c r="A95" s="4">
        <v>100</v>
      </c>
      <c r="B95" s="4" t="e">
        <f ca="1">'Riesgo - Análisis - 1'!L95</f>
        <v>#REF!</v>
      </c>
      <c r="C95" s="18" t="e">
        <f ca="1">'Riesgo - Análisis - 1'!M95</f>
        <v>#REF!</v>
      </c>
      <c r="D95" s="14" t="e">
        <f ca="1">'Riesgo - Análisis - 1'!N95</f>
        <v>#REF!</v>
      </c>
      <c r="E95" s="18" t="str">
        <f>'Riesgo - Análisis - 1'!U95</f>
        <v>RB</v>
      </c>
    </row>
    <row r="96" spans="1:5" x14ac:dyDescent="0.25">
      <c r="A96" s="4">
        <v>100</v>
      </c>
      <c r="B96" s="4" t="e">
        <f ca="1">'Riesgo - Análisis - 1'!L96</f>
        <v>#REF!</v>
      </c>
      <c r="C96" s="18" t="e">
        <f ca="1">'Riesgo - Análisis - 1'!M96</f>
        <v>#REF!</v>
      </c>
      <c r="D96" s="14" t="e">
        <f ca="1">'Riesgo - Análisis - 1'!N96</f>
        <v>#REF!</v>
      </c>
      <c r="E96" s="18" t="str">
        <f>'Riesgo - Análisis - 1'!U96</f>
        <v>RB</v>
      </c>
    </row>
    <row r="97" spans="1:5" x14ac:dyDescent="0.25">
      <c r="A97" s="4">
        <v>111</v>
      </c>
      <c r="B97" s="4" t="e">
        <f ca="1">'Riesgo - Análisis - 1'!L97</f>
        <v>#REF!</v>
      </c>
      <c r="C97" s="18" t="e">
        <f ca="1">'Riesgo - Análisis - 1'!M97</f>
        <v>#REF!</v>
      </c>
      <c r="D97" s="14" t="e">
        <f ca="1">'Riesgo - Análisis - 1'!N97</f>
        <v>#REF!</v>
      </c>
      <c r="E97" s="18" t="str">
        <f>'Riesgo - Análisis - 1'!U97</f>
        <v>RB</v>
      </c>
    </row>
    <row r="98" spans="1:5" x14ac:dyDescent="0.25">
      <c r="A98" s="4">
        <v>111</v>
      </c>
      <c r="B98" s="4" t="e">
        <f ca="1">'Riesgo - Análisis - 1'!L98</f>
        <v>#REF!</v>
      </c>
      <c r="C98" s="18" t="e">
        <f ca="1">'Riesgo - Análisis - 1'!M98</f>
        <v>#REF!</v>
      </c>
      <c r="D98" s="14" t="e">
        <f ca="1">'Riesgo - Análisis - 1'!N98</f>
        <v>#REF!</v>
      </c>
      <c r="E98" s="18" t="str">
        <f>'Riesgo - Análisis - 1'!U98</f>
        <v>RB</v>
      </c>
    </row>
    <row r="99" spans="1:5" x14ac:dyDescent="0.25">
      <c r="A99" s="4">
        <v>111</v>
      </c>
      <c r="B99" s="4" t="e">
        <f ca="1">'Riesgo - Análisis - 1'!L99</f>
        <v>#REF!</v>
      </c>
      <c r="C99" s="18" t="e">
        <f ca="1">'Riesgo - Análisis - 1'!M99</f>
        <v>#REF!</v>
      </c>
      <c r="D99" s="14" t="e">
        <f ca="1">'Riesgo - Análisis - 1'!N99</f>
        <v>#REF!</v>
      </c>
      <c r="E99" s="18" t="str">
        <f>'Riesgo - Análisis - 1'!U99</f>
        <v>RM</v>
      </c>
    </row>
    <row r="100" spans="1:5" x14ac:dyDescent="0.25">
      <c r="A100" s="4">
        <v>111</v>
      </c>
      <c r="B100" s="4" t="e">
        <f ca="1">'Riesgo - Análisis - 1'!L100</f>
        <v>#REF!</v>
      </c>
      <c r="C100" s="18" t="e">
        <f ca="1">'Riesgo - Análisis - 1'!M100</f>
        <v>#REF!</v>
      </c>
      <c r="D100" s="14" t="e">
        <f ca="1">'Riesgo - Análisis - 1'!N100</f>
        <v>#REF!</v>
      </c>
      <c r="E100" s="18" t="str">
        <f>'Riesgo - Análisis - 1'!U100</f>
        <v>RB</v>
      </c>
    </row>
    <row r="101" spans="1:5" x14ac:dyDescent="0.25">
      <c r="A101" s="4">
        <v>111</v>
      </c>
      <c r="B101" s="4" t="e">
        <f ca="1">'Riesgo - Análisis - 1'!L101</f>
        <v>#REF!</v>
      </c>
      <c r="C101" s="18" t="e">
        <f ca="1">'Riesgo - Análisis - 1'!M101</f>
        <v>#REF!</v>
      </c>
      <c r="D101" s="14" t="e">
        <f ca="1">'Riesgo - Análisis - 1'!N101</f>
        <v>#REF!</v>
      </c>
      <c r="E101" s="18" t="str">
        <f>'Riesgo - Análisis - 1'!U101</f>
        <v>RA</v>
      </c>
    </row>
    <row r="102" spans="1:5" x14ac:dyDescent="0.25">
      <c r="A102" s="4">
        <v>111</v>
      </c>
      <c r="B102" s="4" t="e">
        <f ca="1">'Riesgo - Análisis - 1'!L102</f>
        <v>#REF!</v>
      </c>
      <c r="C102" s="18" t="e">
        <f ca="1">'Riesgo - Análisis - 1'!M102</f>
        <v>#REF!</v>
      </c>
      <c r="D102" s="14" t="e">
        <f ca="1">'Riesgo - Análisis - 1'!N102</f>
        <v>#REF!</v>
      </c>
      <c r="E102" s="18" t="str">
        <f>'Riesgo - Análisis - 1'!U102</f>
        <v>RB</v>
      </c>
    </row>
    <row r="103" spans="1:5" x14ac:dyDescent="0.25">
      <c r="A103" s="4">
        <v>111</v>
      </c>
      <c r="B103" s="4" t="e">
        <f ca="1">'Riesgo - Análisis - 1'!L103</f>
        <v>#REF!</v>
      </c>
      <c r="C103" s="18" t="e">
        <f ca="1">'Riesgo - Análisis - 1'!M103</f>
        <v>#REF!</v>
      </c>
      <c r="D103" s="14" t="e">
        <f ca="1">'Riesgo - Análisis - 1'!N103</f>
        <v>#REF!</v>
      </c>
      <c r="E103" s="18" t="str">
        <f>'Riesgo - Análisis - 1'!U103</f>
        <v>RM</v>
      </c>
    </row>
    <row r="104" spans="1:5" x14ac:dyDescent="0.25">
      <c r="A104" s="4">
        <v>111</v>
      </c>
      <c r="B104" s="4" t="e">
        <f ca="1">'Riesgo - Análisis - 1'!L104</f>
        <v>#REF!</v>
      </c>
      <c r="C104" s="18" t="e">
        <f ca="1">'Riesgo - Análisis - 1'!M104</f>
        <v>#REF!</v>
      </c>
      <c r="D104" s="14" t="e">
        <f ca="1">'Riesgo - Análisis - 1'!N104</f>
        <v>#REF!</v>
      </c>
      <c r="E104" s="18" t="str">
        <f>'Riesgo - Análisis - 1'!U104</f>
        <v>RM</v>
      </c>
    </row>
    <row r="105" spans="1:5" x14ac:dyDescent="0.25">
      <c r="A105" s="4">
        <v>111</v>
      </c>
      <c r="B105" s="4" t="e">
        <f ca="1">'Riesgo - Análisis - 1'!L105</f>
        <v>#REF!</v>
      </c>
      <c r="C105" s="18" t="e">
        <f ca="1">'Riesgo - Análisis - 1'!M105</f>
        <v>#REF!</v>
      </c>
      <c r="D105" s="14" t="e">
        <f ca="1">'Riesgo - Análisis - 1'!N105</f>
        <v>#REF!</v>
      </c>
      <c r="E105" s="18" t="str">
        <f>'Riesgo - Análisis - 1'!U105</f>
        <v>RM</v>
      </c>
    </row>
    <row r="106" spans="1:5" x14ac:dyDescent="0.25">
      <c r="A106" s="4">
        <v>111</v>
      </c>
      <c r="B106" s="4" t="e">
        <f ca="1">'Riesgo - Análisis - 1'!L106</f>
        <v>#REF!</v>
      </c>
      <c r="C106" s="18" t="e">
        <f ca="1">'Riesgo - Análisis - 1'!M106</f>
        <v>#REF!</v>
      </c>
      <c r="D106" s="14" t="e">
        <f ca="1">'Riesgo - Análisis - 1'!N106</f>
        <v>#REF!</v>
      </c>
      <c r="E106" s="18" t="str">
        <f>'Riesgo - Análisis - 1'!U106</f>
        <v>RM</v>
      </c>
    </row>
    <row r="107" spans="1:5" x14ac:dyDescent="0.25">
      <c r="A107" s="4">
        <v>111</v>
      </c>
      <c r="B107" s="4" t="e">
        <f ca="1">'Riesgo - Análisis - 1'!L107</f>
        <v>#REF!</v>
      </c>
      <c r="C107" s="18" t="e">
        <f ca="1">'Riesgo - Análisis - 1'!M107</f>
        <v>#REF!</v>
      </c>
      <c r="D107" s="14" t="e">
        <f ca="1">'Riesgo - Análisis - 1'!N107</f>
        <v>#REF!</v>
      </c>
      <c r="E107" s="18" t="str">
        <f>'Riesgo - Análisis - 1'!U107</f>
        <v>RM</v>
      </c>
    </row>
    <row r="108" spans="1:5" x14ac:dyDescent="0.25">
      <c r="A108" s="4">
        <v>112</v>
      </c>
      <c r="B108" s="4" t="e">
        <f ca="1">'Riesgo - Análisis - 1'!L108</f>
        <v>#REF!</v>
      </c>
      <c r="C108" s="18" t="e">
        <f ca="1">'Riesgo - Análisis - 1'!M108</f>
        <v>#REF!</v>
      </c>
      <c r="D108" s="14" t="e">
        <f ca="1">'Riesgo - Análisis - 1'!N108</f>
        <v>#REF!</v>
      </c>
      <c r="E108" s="18" t="str">
        <f>'Riesgo - Análisis - 1'!U108</f>
        <v>RM</v>
      </c>
    </row>
    <row r="109" spans="1:5" x14ac:dyDescent="0.25">
      <c r="A109" s="4">
        <v>112</v>
      </c>
      <c r="B109" s="4" t="e">
        <f ca="1">'Riesgo - Análisis - 1'!L109</f>
        <v>#REF!</v>
      </c>
      <c r="C109" s="18" t="e">
        <f ca="1">'Riesgo - Análisis - 1'!M109</f>
        <v>#REF!</v>
      </c>
      <c r="D109" s="14" t="e">
        <f ca="1">'Riesgo - Análisis - 1'!N109</f>
        <v>#REF!</v>
      </c>
      <c r="E109" s="18" t="str">
        <f>'Riesgo - Análisis - 1'!U109</f>
        <v>RM</v>
      </c>
    </row>
    <row r="110" spans="1:5" x14ac:dyDescent="0.25">
      <c r="A110" s="4">
        <v>112</v>
      </c>
      <c r="B110" s="4" t="e">
        <f ca="1">'Riesgo - Análisis - 1'!L110</f>
        <v>#REF!</v>
      </c>
      <c r="C110" s="18" t="e">
        <f ca="1">'Riesgo - Análisis - 1'!M110</f>
        <v>#REF!</v>
      </c>
      <c r="D110" s="14" t="e">
        <f ca="1">'Riesgo - Análisis - 1'!N110</f>
        <v>#REF!</v>
      </c>
      <c r="E110" s="18" t="str">
        <f>'Riesgo - Análisis - 1'!U110</f>
        <v>RM</v>
      </c>
    </row>
    <row r="111" spans="1:5" x14ac:dyDescent="0.25">
      <c r="A111" s="4">
        <v>112</v>
      </c>
      <c r="B111" s="4" t="e">
        <f ca="1">'Riesgo - Análisis - 1'!L111</f>
        <v>#REF!</v>
      </c>
      <c r="C111" s="18" t="e">
        <f ca="1">'Riesgo - Análisis - 1'!M111</f>
        <v>#REF!</v>
      </c>
      <c r="D111" s="14" t="e">
        <f ca="1">'Riesgo - Análisis - 1'!N111</f>
        <v>#REF!</v>
      </c>
      <c r="E111" s="18" t="str">
        <f>'Riesgo - Análisis - 1'!U111</f>
        <v>RM</v>
      </c>
    </row>
    <row r="112" spans="1:5" x14ac:dyDescent="0.25">
      <c r="A112" s="4">
        <v>112</v>
      </c>
      <c r="B112" s="4" t="e">
        <f ca="1">'Riesgo - Análisis - 1'!L112</f>
        <v>#REF!</v>
      </c>
      <c r="C112" s="18" t="e">
        <f ca="1">'Riesgo - Análisis - 1'!M112</f>
        <v>#REF!</v>
      </c>
      <c r="D112" s="14" t="e">
        <f ca="1">'Riesgo - Análisis - 1'!N112</f>
        <v>#REF!</v>
      </c>
      <c r="E112" s="18" t="str">
        <f>'Riesgo - Análisis - 1'!U112</f>
        <v>RM</v>
      </c>
    </row>
    <row r="113" spans="1:5" x14ac:dyDescent="0.25">
      <c r="A113" s="4">
        <v>112</v>
      </c>
      <c r="B113" s="4" t="e">
        <f ca="1">'Riesgo - Análisis - 1'!L113</f>
        <v>#REF!</v>
      </c>
      <c r="C113" s="18" t="e">
        <f ca="1">'Riesgo - Análisis - 1'!M113</f>
        <v>#REF!</v>
      </c>
      <c r="D113" s="14" t="e">
        <f ca="1">'Riesgo - Análisis - 1'!N113</f>
        <v>#REF!</v>
      </c>
      <c r="E113" s="18" t="str">
        <f>'Riesgo - Análisis - 1'!U113</f>
        <v>RM</v>
      </c>
    </row>
    <row r="114" spans="1:5" x14ac:dyDescent="0.25">
      <c r="A114" s="4">
        <v>112</v>
      </c>
      <c r="B114" s="4" t="e">
        <f ca="1">'Riesgo - Análisis - 1'!L114</f>
        <v>#REF!</v>
      </c>
      <c r="C114" s="18" t="e">
        <f ca="1">'Riesgo - Análisis - 1'!M114</f>
        <v>#REF!</v>
      </c>
      <c r="D114" s="14" t="e">
        <f ca="1">'Riesgo - Análisis - 1'!N114</f>
        <v>#REF!</v>
      </c>
      <c r="E114" s="18" t="str">
        <f>'Riesgo - Análisis - 1'!U114</f>
        <v>RM</v>
      </c>
    </row>
    <row r="115" spans="1:5" x14ac:dyDescent="0.25">
      <c r="A115" s="4">
        <v>112</v>
      </c>
      <c r="B115" s="4" t="e">
        <f ca="1">'Riesgo - Análisis - 1'!L115</f>
        <v>#REF!</v>
      </c>
      <c r="C115" s="18" t="e">
        <f ca="1">'Riesgo - Análisis - 1'!M115</f>
        <v>#REF!</v>
      </c>
      <c r="D115" s="14" t="e">
        <f ca="1">'Riesgo - Análisis - 1'!N115</f>
        <v>#REF!</v>
      </c>
      <c r="E115" s="18" t="str">
        <f>'Riesgo - Análisis - 1'!U115</f>
        <v>RM</v>
      </c>
    </row>
    <row r="116" spans="1:5" x14ac:dyDescent="0.25">
      <c r="A116" s="4">
        <v>112</v>
      </c>
      <c r="B116" s="4" t="e">
        <f ca="1">'Riesgo - Análisis - 1'!L116</f>
        <v>#REF!</v>
      </c>
      <c r="C116" s="18" t="e">
        <f ca="1">'Riesgo - Análisis - 1'!M116</f>
        <v>#REF!</v>
      </c>
      <c r="D116" s="14" t="e">
        <f ca="1">'Riesgo - Análisis - 1'!N116</f>
        <v>#REF!</v>
      </c>
      <c r="E116" s="18" t="str">
        <f>'Riesgo - Análisis - 1'!U116</f>
        <v>RM</v>
      </c>
    </row>
    <row r="117" spans="1:5" x14ac:dyDescent="0.25">
      <c r="A117" s="4">
        <v>112</v>
      </c>
      <c r="B117" s="4" t="e">
        <f ca="1">'Riesgo - Análisis - 1'!L117</f>
        <v>#REF!</v>
      </c>
      <c r="C117" s="18" t="e">
        <f ca="1">'Riesgo - Análisis - 1'!M117</f>
        <v>#REF!</v>
      </c>
      <c r="D117" s="14" t="e">
        <f ca="1">'Riesgo - Análisis - 1'!N117</f>
        <v>#REF!</v>
      </c>
      <c r="E117" s="18" t="str">
        <f>'Riesgo - Análisis - 1'!U117</f>
        <v>RM</v>
      </c>
    </row>
    <row r="118" spans="1:5" x14ac:dyDescent="0.25">
      <c r="A118" s="4">
        <v>112</v>
      </c>
      <c r="B118" s="4" t="e">
        <f ca="1">'Riesgo - Análisis - 1'!L118</f>
        <v>#REF!</v>
      </c>
      <c r="C118" s="18" t="e">
        <f ca="1">'Riesgo - Análisis - 1'!M118</f>
        <v>#REF!</v>
      </c>
      <c r="D118" s="14" t="e">
        <f ca="1">'Riesgo - Análisis - 1'!N118</f>
        <v>#REF!</v>
      </c>
      <c r="E118" s="18" t="str">
        <f>'Riesgo - Análisis - 1'!U118</f>
        <v>RM</v>
      </c>
    </row>
    <row r="119" spans="1:5" x14ac:dyDescent="0.25">
      <c r="A119" s="4">
        <v>112</v>
      </c>
      <c r="B119" s="4" t="e">
        <f ca="1">'Riesgo - Análisis - 1'!L119</f>
        <v>#REF!</v>
      </c>
      <c r="C119" s="18" t="e">
        <f ca="1">'Riesgo - Análisis - 1'!M119</f>
        <v>#REF!</v>
      </c>
      <c r="D119" s="14" t="e">
        <f ca="1">'Riesgo - Análisis - 1'!N119</f>
        <v>#REF!</v>
      </c>
      <c r="E119" s="18" t="str">
        <f>'Riesgo - Análisis - 1'!U119</f>
        <v>RB</v>
      </c>
    </row>
    <row r="120" spans="1:5" x14ac:dyDescent="0.25">
      <c r="A120" s="4">
        <v>112</v>
      </c>
      <c r="B120" s="4" t="e">
        <f ca="1">'Riesgo - Análisis - 1'!L120</f>
        <v>#REF!</v>
      </c>
      <c r="C120" s="18" t="e">
        <f ca="1">'Riesgo - Análisis - 1'!M120</f>
        <v>#REF!</v>
      </c>
      <c r="D120" s="14" t="e">
        <f ca="1">'Riesgo - Análisis - 1'!N120</f>
        <v>#REF!</v>
      </c>
      <c r="E120" s="18" t="str">
        <f>'Riesgo - Análisis - 1'!U120</f>
        <v>RB</v>
      </c>
    </row>
    <row r="121" spans="1:5" x14ac:dyDescent="0.25">
      <c r="A121" s="4">
        <v>112</v>
      </c>
      <c r="B121" s="4" t="e">
        <f ca="1">'Riesgo - Análisis - 1'!L121</f>
        <v>#REF!</v>
      </c>
      <c r="C121" s="18" t="e">
        <f ca="1">'Riesgo - Análisis - 1'!M121</f>
        <v>#REF!</v>
      </c>
      <c r="D121" s="14" t="e">
        <f ca="1">'Riesgo - Análisis - 1'!N121</f>
        <v>#REF!</v>
      </c>
      <c r="E121" s="18" t="str">
        <f>'Riesgo - Análisis - 1'!U121</f>
        <v>RM</v>
      </c>
    </row>
    <row r="122" spans="1:5" x14ac:dyDescent="0.25">
      <c r="A122" s="4">
        <v>112</v>
      </c>
      <c r="B122" s="4" t="e">
        <f ca="1">'Riesgo - Análisis - 1'!L122</f>
        <v>#REF!</v>
      </c>
      <c r="C122" s="18" t="e">
        <f ca="1">'Riesgo - Análisis - 1'!M122</f>
        <v>#REF!</v>
      </c>
      <c r="D122" s="14" t="e">
        <f ca="1">'Riesgo - Análisis - 1'!N122</f>
        <v>#REF!</v>
      </c>
      <c r="E122" s="18" t="str">
        <f>'Riesgo - Análisis - 1'!U122</f>
        <v>RM</v>
      </c>
    </row>
    <row r="123" spans="1:5" x14ac:dyDescent="0.25">
      <c r="A123" s="4">
        <v>112</v>
      </c>
      <c r="B123" s="4" t="e">
        <f ca="1">'Riesgo - Análisis - 1'!L123</f>
        <v>#REF!</v>
      </c>
      <c r="C123" s="18" t="e">
        <f ca="1">'Riesgo - Análisis - 1'!M123</f>
        <v>#REF!</v>
      </c>
      <c r="D123" s="14" t="e">
        <f ca="1">'Riesgo - Análisis - 1'!N123</f>
        <v>#REF!</v>
      </c>
      <c r="E123" s="18" t="str">
        <f>'Riesgo - Análisis - 1'!U123</f>
        <v>RM</v>
      </c>
    </row>
    <row r="124" spans="1:5" x14ac:dyDescent="0.25">
      <c r="A124" s="4">
        <v>112</v>
      </c>
      <c r="B124" s="4" t="e">
        <f ca="1">'Riesgo - Análisis - 1'!L124</f>
        <v>#REF!</v>
      </c>
      <c r="C124" s="18" t="e">
        <f ca="1">'Riesgo - Análisis - 1'!M124</f>
        <v>#REF!</v>
      </c>
      <c r="D124" s="14" t="e">
        <f ca="1">'Riesgo - Análisis - 1'!N124</f>
        <v>#REF!</v>
      </c>
      <c r="E124" s="18" t="str">
        <f>'Riesgo - Análisis - 1'!U124</f>
        <v>RM</v>
      </c>
    </row>
    <row r="125" spans="1:5" x14ac:dyDescent="0.25">
      <c r="A125" s="4">
        <v>112</v>
      </c>
      <c r="B125" s="4" t="e">
        <f ca="1">'Riesgo - Análisis - 1'!L125</f>
        <v>#REF!</v>
      </c>
      <c r="C125" s="18" t="e">
        <f ca="1">'Riesgo - Análisis - 1'!M125</f>
        <v>#REF!</v>
      </c>
      <c r="D125" s="14" t="e">
        <f ca="1">'Riesgo - Análisis - 1'!N125</f>
        <v>#REF!</v>
      </c>
      <c r="E125" s="18" t="str">
        <f>'Riesgo - Análisis - 1'!U125</f>
        <v>RA</v>
      </c>
    </row>
    <row r="126" spans="1:5" x14ac:dyDescent="0.25">
      <c r="A126" s="4">
        <v>112</v>
      </c>
      <c r="B126" s="4" t="e">
        <f ca="1">'Riesgo - Análisis - 1'!L126</f>
        <v>#REF!</v>
      </c>
      <c r="C126" s="18" t="e">
        <f ca="1">'Riesgo - Análisis - 1'!M126</f>
        <v>#REF!</v>
      </c>
      <c r="D126" s="14" t="e">
        <f ca="1">'Riesgo - Análisis - 1'!N126</f>
        <v>#REF!</v>
      </c>
      <c r="E126" s="18" t="str">
        <f>'Riesgo - Análisis - 1'!U126</f>
        <v>RM</v>
      </c>
    </row>
  </sheetData>
  <conditionalFormatting sqref="D2:D126">
    <cfRule type="cellIs" dxfId="13" priority="7" operator="equal">
      <formula>"CM"</formula>
    </cfRule>
    <cfRule type="cellIs" dxfId="12" priority="8" operator="equal">
      <formula>"CA"</formula>
    </cfRule>
    <cfRule type="cellIs" dxfId="11" priority="9" operator="equal">
      <formula>"CMA"</formula>
    </cfRule>
  </conditionalFormatting>
  <conditionalFormatting sqref="C2:C126">
    <cfRule type="cellIs" dxfId="10" priority="1" operator="equal">
      <formula>"FB"</formula>
    </cfRule>
    <cfRule type="cellIs" dxfId="9" priority="2" operator="equal">
      <formula>"FM"</formula>
    </cfRule>
    <cfRule type="containsText" dxfId="8" priority="3" operator="containsText" text="FA">
      <formula>NOT(ISERROR(SEARCH("FA",C2)))</formula>
    </cfRule>
  </conditionalFormatting>
  <pageMargins left="0.7" right="0.7" top="0.75" bottom="0.75" header="0.3" footer="0.3"/>
  <pageSetup paperSize="9" orientation="portrait" verticalDpi="0" r:id="rId1"/>
  <drawing r:id="rId2"/>
  <legacyDrawing r:id="rId3"/>
  <extLst>
    <ext xmlns:x14="http://schemas.microsoft.com/office/spreadsheetml/2009/9/main" uri="{78C0D931-6437-407d-A8EE-F0AAD7539E65}">
      <x14:conditionalFormattings>
        <x14:conditionalFormatting xmlns:xm="http://schemas.microsoft.com/office/excel/2006/main">
          <x14:cfRule type="endsWith" priority="10" operator="endsWith" id="{73604A07-2CD8-4470-A830-C260180164D1}">
            <xm:f>RIGHT(E2,3)="RMA"</xm:f>
            <x14:dxf>
              <font>
                <color rgb="FF9C0006"/>
              </font>
              <fill>
                <patternFill>
                  <bgColor rgb="FFFFC7CE"/>
                </patternFill>
              </fill>
            </x14:dxf>
          </x14:cfRule>
          <x14:cfRule type="endsWith" priority="11" operator="endsWith" id="{B53BCEF0-62FF-49BA-ACC3-13D3E2AD75CB}">
            <xm:f>RIGHT(E2,2)="RA"</xm:f>
            <x14:dxf>
              <font>
                <color rgb="FF9C6500"/>
              </font>
              <fill>
                <patternFill>
                  <bgColor rgb="FFFFEB9C"/>
                </patternFill>
              </fill>
            </x14:dxf>
          </x14:cfRule>
          <x14:cfRule type="endsWith" priority="12" operator="endsWith" id="{90729528-B219-4368-BA1A-001B73BA8380}">
            <xm:f>RIGHT(E2,2)="RM"</xm:f>
            <x14:dxf>
              <font>
                <color rgb="FF006100"/>
              </font>
              <fill>
                <patternFill>
                  <bgColor rgb="FFC6EFCE"/>
                </patternFill>
              </fill>
            </x14:dxf>
          </x14:cfRule>
          <xm:sqref>E2:E126</xm:sqref>
        </x14:conditionalFormatting>
        <x14:conditionalFormatting xmlns:xm="http://schemas.microsoft.com/office/excel/2006/main">
          <x14:cfRule type="endsWith" priority="4" operator="endsWith" id="{E018D7DE-2CFC-419A-8B8A-6139F2FA187B}">
            <xm:f>RIGHT(C2,3)="RMA"</xm:f>
            <x14:dxf>
              <font>
                <color rgb="FF9C0006"/>
              </font>
              <fill>
                <patternFill>
                  <bgColor rgb="FFFFC7CE"/>
                </patternFill>
              </fill>
            </x14:dxf>
          </x14:cfRule>
          <x14:cfRule type="endsWith" priority="5" operator="endsWith" id="{087E1D9B-1FFC-4C2F-B785-E46CB2ADE5F0}">
            <xm:f>RIGHT(C2,2)="RA"</xm:f>
            <x14:dxf>
              <font>
                <color rgb="FF9C6500"/>
              </font>
              <fill>
                <patternFill>
                  <bgColor rgb="FFFFEB9C"/>
                </patternFill>
              </fill>
            </x14:dxf>
          </x14:cfRule>
          <x14:cfRule type="endsWith" priority="6" operator="endsWith" id="{8A055192-C4E2-4460-BF4C-AE730A662928}">
            <xm:f>RIGHT(C2,2)="RM"</xm:f>
            <x14:dxf>
              <font>
                <color rgb="FF006100"/>
              </font>
              <fill>
                <patternFill>
                  <bgColor rgb="FFC6EFCE"/>
                </patternFill>
              </fill>
            </x14:dxf>
          </x14:cfRule>
          <xm:sqref>C2:C126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N105"/>
  <sheetViews>
    <sheetView workbookViewId="0">
      <selection activeCell="L54" sqref="L54"/>
    </sheetView>
  </sheetViews>
  <sheetFormatPr baseColWidth="10" defaultRowHeight="15" x14ac:dyDescent="0.25"/>
  <cols>
    <col min="1" max="1" width="11.42578125" style="4"/>
    <col min="2" max="2" width="11.42578125" style="34"/>
  </cols>
  <sheetData>
    <row r="1" spans="1:40" x14ac:dyDescent="0.25">
      <c r="A1" s="11" t="s">
        <v>140</v>
      </c>
      <c r="E1">
        <v>0</v>
      </c>
      <c r="F1">
        <v>1</v>
      </c>
      <c r="G1">
        <v>2</v>
      </c>
      <c r="H1">
        <v>3</v>
      </c>
      <c r="I1">
        <v>4</v>
      </c>
      <c r="J1">
        <v>5</v>
      </c>
      <c r="K1">
        <v>6</v>
      </c>
      <c r="L1">
        <v>7</v>
      </c>
      <c r="M1">
        <v>8</v>
      </c>
      <c r="N1">
        <v>9</v>
      </c>
      <c r="O1">
        <v>10</v>
      </c>
      <c r="P1">
        <v>11</v>
      </c>
      <c r="Q1">
        <v>12</v>
      </c>
      <c r="R1">
        <v>13</v>
      </c>
      <c r="S1">
        <v>14</v>
      </c>
      <c r="T1">
        <v>15</v>
      </c>
      <c r="U1">
        <v>16</v>
      </c>
      <c r="V1">
        <v>17</v>
      </c>
      <c r="W1">
        <v>18</v>
      </c>
      <c r="X1">
        <v>19</v>
      </c>
      <c r="Y1">
        <v>20</v>
      </c>
      <c r="Z1">
        <v>21</v>
      </c>
      <c r="AA1">
        <v>22</v>
      </c>
      <c r="AB1">
        <v>23</v>
      </c>
      <c r="AC1">
        <v>24</v>
      </c>
      <c r="AD1">
        <v>25</v>
      </c>
      <c r="AE1">
        <v>26</v>
      </c>
      <c r="AF1">
        <v>27</v>
      </c>
      <c r="AG1">
        <v>28</v>
      </c>
      <c r="AH1">
        <v>29</v>
      </c>
      <c r="AI1">
        <v>30</v>
      </c>
      <c r="AJ1">
        <v>31</v>
      </c>
      <c r="AK1">
        <v>32</v>
      </c>
      <c r="AL1">
        <v>33</v>
      </c>
      <c r="AM1">
        <v>34</v>
      </c>
      <c r="AN1">
        <v>35</v>
      </c>
    </row>
    <row r="2" spans="1:40" x14ac:dyDescent="0.25">
      <c r="A2" s="11"/>
    </row>
    <row r="3" spans="1:40" x14ac:dyDescent="0.25">
      <c r="A3" s="11" t="s">
        <v>142</v>
      </c>
    </row>
    <row r="4" spans="1:40" ht="15.75" thickBot="1" x14ac:dyDescent="0.3">
      <c r="A4" s="4" t="s">
        <v>169</v>
      </c>
      <c r="B4" s="34" t="s">
        <v>170</v>
      </c>
    </row>
    <row r="5" spans="1:40" x14ac:dyDescent="0.25">
      <c r="A5" s="4" t="e">
        <f>#REF!</f>
        <v>#REF!</v>
      </c>
      <c r="B5" s="34" t="e">
        <f>#REF!</f>
        <v>#REF!</v>
      </c>
      <c r="C5" s="4" t="e">
        <f>#REF!</f>
        <v>#REF!</v>
      </c>
      <c r="D5" s="11" t="e">
        <f>#REF!</f>
        <v>#REF!</v>
      </c>
      <c r="K5" s="13" t="s">
        <v>173</v>
      </c>
      <c r="L5" s="13" t="s">
        <v>145</v>
      </c>
    </row>
    <row r="6" spans="1:40" x14ac:dyDescent="0.25">
      <c r="A6" s="4" t="e">
        <f>#REF!</f>
        <v>#REF!</v>
      </c>
      <c r="B6" s="34" t="e">
        <f>#REF!</f>
        <v>#REF!</v>
      </c>
      <c r="C6" s="4" t="e">
        <f>#REF!</f>
        <v>#REF!</v>
      </c>
      <c r="D6" s="11" t="e">
        <f>#REF!</f>
        <v>#REF!</v>
      </c>
      <c r="K6" s="39">
        <v>0</v>
      </c>
      <c r="L6" s="3">
        <v>0</v>
      </c>
    </row>
    <row r="7" spans="1:40" x14ac:dyDescent="0.25">
      <c r="A7" s="4" t="e">
        <f>#REF!</f>
        <v>#REF!</v>
      </c>
      <c r="B7" s="34" t="e">
        <f>#REF!</f>
        <v>#REF!</v>
      </c>
      <c r="C7" s="4" t="e">
        <f>#REF!</f>
        <v>#REF!</v>
      </c>
      <c r="D7" s="11" t="e">
        <f>#REF!</f>
        <v>#REF!</v>
      </c>
      <c r="K7" s="39">
        <v>1</v>
      </c>
      <c r="L7" s="3">
        <v>43</v>
      </c>
    </row>
    <row r="8" spans="1:40" x14ac:dyDescent="0.25">
      <c r="A8" s="4" t="e">
        <f>#REF!</f>
        <v>#REF!</v>
      </c>
      <c r="B8" s="34" t="e">
        <f>#REF!</f>
        <v>#REF!</v>
      </c>
      <c r="C8" s="4" t="e">
        <f>#REF!</f>
        <v>#REF!</v>
      </c>
      <c r="D8" s="11" t="e">
        <f>#REF!</f>
        <v>#REF!</v>
      </c>
      <c r="K8" s="39">
        <v>2</v>
      </c>
      <c r="L8" s="3">
        <v>21</v>
      </c>
    </row>
    <row r="9" spans="1:40" x14ac:dyDescent="0.25">
      <c r="A9" s="4" t="e">
        <f>#REF!</f>
        <v>#REF!</v>
      </c>
      <c r="B9" s="34" t="e">
        <f>#REF!</f>
        <v>#REF!</v>
      </c>
      <c r="C9" s="4" t="e">
        <f>#REF!</f>
        <v>#REF!</v>
      </c>
      <c r="D9" s="11" t="e">
        <f>#REF!</f>
        <v>#REF!</v>
      </c>
      <c r="K9" s="39">
        <v>3</v>
      </c>
      <c r="L9" s="3">
        <v>5</v>
      </c>
    </row>
    <row r="10" spans="1:40" x14ac:dyDescent="0.25">
      <c r="A10" s="4" t="e">
        <f>#REF!</f>
        <v>#REF!</v>
      </c>
      <c r="B10" s="34" t="e">
        <f>#REF!</f>
        <v>#REF!</v>
      </c>
      <c r="C10" s="4" t="e">
        <f>#REF!</f>
        <v>#REF!</v>
      </c>
      <c r="D10" s="11" t="e">
        <f>#REF!</f>
        <v>#REF!</v>
      </c>
      <c r="K10" s="39">
        <v>4</v>
      </c>
      <c r="L10" s="3">
        <v>3</v>
      </c>
    </row>
    <row r="11" spans="1:40" x14ac:dyDescent="0.25">
      <c r="A11" s="4" t="e">
        <f>#REF!</f>
        <v>#REF!</v>
      </c>
      <c r="B11" s="34" t="e">
        <f>#REF!</f>
        <v>#REF!</v>
      </c>
      <c r="C11" s="4" t="e">
        <f>#REF!</f>
        <v>#REF!</v>
      </c>
      <c r="D11" s="11" t="e">
        <f>#REF!</f>
        <v>#REF!</v>
      </c>
      <c r="K11" s="39">
        <v>5</v>
      </c>
      <c r="L11" s="3">
        <v>4</v>
      </c>
    </row>
    <row r="12" spans="1:40" x14ac:dyDescent="0.25">
      <c r="A12" s="4" t="e">
        <f>#REF!</f>
        <v>#REF!</v>
      </c>
      <c r="B12" s="34" t="e">
        <f>#REF!</f>
        <v>#REF!</v>
      </c>
      <c r="C12" s="4" t="e">
        <f>#REF!</f>
        <v>#REF!</v>
      </c>
      <c r="D12" s="11" t="e">
        <f>#REF!</f>
        <v>#REF!</v>
      </c>
      <c r="K12" s="39">
        <v>6</v>
      </c>
      <c r="L12" s="3">
        <v>3</v>
      </c>
    </row>
    <row r="13" spans="1:40" x14ac:dyDescent="0.25">
      <c r="A13" s="4" t="e">
        <f>#REF!</f>
        <v>#REF!</v>
      </c>
      <c r="B13" s="34" t="e">
        <f>#REF!</f>
        <v>#REF!</v>
      </c>
      <c r="C13" s="4" t="e">
        <f>#REF!</f>
        <v>#REF!</v>
      </c>
      <c r="D13" s="11" t="e">
        <f>#REF!</f>
        <v>#REF!</v>
      </c>
      <c r="K13" s="39">
        <v>7</v>
      </c>
      <c r="L13" s="3">
        <v>4</v>
      </c>
    </row>
    <row r="14" spans="1:40" x14ac:dyDescent="0.25">
      <c r="A14" s="4" t="e">
        <f>#REF!</f>
        <v>#REF!</v>
      </c>
      <c r="B14" s="34" t="e">
        <f>#REF!</f>
        <v>#REF!</v>
      </c>
      <c r="C14" s="4" t="e">
        <f>#REF!</f>
        <v>#REF!</v>
      </c>
      <c r="D14" s="11" t="e">
        <f>#REF!</f>
        <v>#REF!</v>
      </c>
      <c r="K14" s="39">
        <v>8</v>
      </c>
      <c r="L14" s="3">
        <v>2</v>
      </c>
    </row>
    <row r="15" spans="1:40" x14ac:dyDescent="0.25">
      <c r="A15" s="4" t="e">
        <f>#REF!</f>
        <v>#REF!</v>
      </c>
      <c r="B15" s="34" t="e">
        <f>#REF!</f>
        <v>#REF!</v>
      </c>
      <c r="C15" s="4" t="e">
        <f>#REF!</f>
        <v>#REF!</v>
      </c>
      <c r="D15" s="11" t="e">
        <f>#REF!</f>
        <v>#REF!</v>
      </c>
      <c r="K15" s="39">
        <v>9</v>
      </c>
      <c r="L15" s="3">
        <v>2</v>
      </c>
    </row>
    <row r="16" spans="1:40" x14ac:dyDescent="0.25">
      <c r="A16" s="4" t="e">
        <f>#REF!</f>
        <v>#REF!</v>
      </c>
      <c r="B16" s="34" t="e">
        <f>#REF!</f>
        <v>#REF!</v>
      </c>
      <c r="C16" s="4" t="e">
        <f>#REF!</f>
        <v>#REF!</v>
      </c>
      <c r="D16" s="11" t="e">
        <f>#REF!</f>
        <v>#REF!</v>
      </c>
      <c r="K16" s="39">
        <v>10</v>
      </c>
      <c r="L16" s="3">
        <v>1</v>
      </c>
    </row>
    <row r="17" spans="1:12" x14ac:dyDescent="0.25">
      <c r="A17" s="4" t="e">
        <f>#REF!</f>
        <v>#REF!</v>
      </c>
      <c r="B17" s="34" t="e">
        <f>#REF!</f>
        <v>#REF!</v>
      </c>
      <c r="C17" s="4" t="e">
        <f>#REF!</f>
        <v>#REF!</v>
      </c>
      <c r="D17" s="11" t="e">
        <f>#REF!</f>
        <v>#REF!</v>
      </c>
      <c r="K17" s="39">
        <v>11</v>
      </c>
      <c r="L17" s="3">
        <v>2</v>
      </c>
    </row>
    <row r="18" spans="1:12" x14ac:dyDescent="0.25">
      <c r="A18" s="4" t="e">
        <f>#REF!</f>
        <v>#REF!</v>
      </c>
      <c r="B18" s="34" t="e">
        <f>#REF!</f>
        <v>#REF!</v>
      </c>
      <c r="C18" s="4" t="e">
        <f>#REF!</f>
        <v>#REF!</v>
      </c>
      <c r="D18" s="11" t="e">
        <f>#REF!</f>
        <v>#REF!</v>
      </c>
      <c r="K18" s="39">
        <v>12</v>
      </c>
      <c r="L18" s="3">
        <v>1</v>
      </c>
    </row>
    <row r="19" spans="1:12" x14ac:dyDescent="0.25">
      <c r="A19" s="4" t="e">
        <f>#REF!</f>
        <v>#REF!</v>
      </c>
      <c r="B19" s="34" t="e">
        <f>#REF!</f>
        <v>#REF!</v>
      </c>
      <c r="C19" s="4" t="e">
        <f>#REF!</f>
        <v>#REF!</v>
      </c>
      <c r="D19" s="11" t="e">
        <f>#REF!</f>
        <v>#REF!</v>
      </c>
      <c r="K19" s="39">
        <v>13</v>
      </c>
      <c r="L19" s="3">
        <v>0</v>
      </c>
    </row>
    <row r="20" spans="1:12" x14ac:dyDescent="0.25">
      <c r="A20" s="4" t="e">
        <f>#REF!</f>
        <v>#REF!</v>
      </c>
      <c r="B20" s="34" t="e">
        <f>#REF!</f>
        <v>#REF!</v>
      </c>
      <c r="C20" s="4" t="e">
        <f>#REF!</f>
        <v>#REF!</v>
      </c>
      <c r="D20" s="11" t="e">
        <f>#REF!</f>
        <v>#REF!</v>
      </c>
      <c r="K20" s="39">
        <v>14</v>
      </c>
      <c r="L20" s="3">
        <v>2</v>
      </c>
    </row>
    <row r="21" spans="1:12" x14ac:dyDescent="0.25">
      <c r="A21" s="4" t="e">
        <f>#REF!</f>
        <v>#REF!</v>
      </c>
      <c r="B21" s="34" t="e">
        <f>#REF!</f>
        <v>#REF!</v>
      </c>
      <c r="C21" s="4" t="e">
        <f>#REF!</f>
        <v>#REF!</v>
      </c>
      <c r="D21" s="11" t="e">
        <f>#REF!</f>
        <v>#REF!</v>
      </c>
      <c r="K21" s="39">
        <v>15</v>
      </c>
      <c r="L21" s="3">
        <v>0</v>
      </c>
    </row>
    <row r="22" spans="1:12" x14ac:dyDescent="0.25">
      <c r="A22" s="4" t="e">
        <f>#REF!</f>
        <v>#REF!</v>
      </c>
      <c r="B22" s="34" t="e">
        <f>#REF!</f>
        <v>#REF!</v>
      </c>
      <c r="C22" s="4" t="e">
        <f>#REF!</f>
        <v>#REF!</v>
      </c>
      <c r="D22" s="11" t="e">
        <f>#REF!</f>
        <v>#REF!</v>
      </c>
      <c r="K22" s="39">
        <v>16</v>
      </c>
      <c r="L22" s="3">
        <v>1</v>
      </c>
    </row>
    <row r="23" spans="1:12" x14ac:dyDescent="0.25">
      <c r="A23" s="4" t="e">
        <f>#REF!</f>
        <v>#REF!</v>
      </c>
      <c r="B23" s="34" t="e">
        <f>#REF!</f>
        <v>#REF!</v>
      </c>
      <c r="C23" s="4" t="e">
        <f>#REF!</f>
        <v>#REF!</v>
      </c>
      <c r="D23" s="11" t="e">
        <f>#REF!</f>
        <v>#REF!</v>
      </c>
      <c r="K23" s="39">
        <v>17</v>
      </c>
      <c r="L23" s="3">
        <v>0</v>
      </c>
    </row>
    <row r="24" spans="1:12" x14ac:dyDescent="0.25">
      <c r="A24" s="4" t="e">
        <f>#REF!</f>
        <v>#REF!</v>
      </c>
      <c r="B24" s="34" t="e">
        <f>#REF!</f>
        <v>#REF!</v>
      </c>
      <c r="C24" s="4" t="e">
        <f>#REF!</f>
        <v>#REF!</v>
      </c>
      <c r="D24" s="11" t="e">
        <f>#REF!</f>
        <v>#REF!</v>
      </c>
      <c r="K24" s="39">
        <v>18</v>
      </c>
      <c r="L24" s="3">
        <v>0</v>
      </c>
    </row>
    <row r="25" spans="1:12" x14ac:dyDescent="0.25">
      <c r="A25" s="4" t="e">
        <f>#REF!</f>
        <v>#REF!</v>
      </c>
      <c r="B25" s="34" t="e">
        <f>#REF!</f>
        <v>#REF!</v>
      </c>
      <c r="C25" s="4" t="e">
        <f>#REF!</f>
        <v>#REF!</v>
      </c>
      <c r="D25" s="11" t="e">
        <f>#REF!</f>
        <v>#REF!</v>
      </c>
      <c r="K25" s="39">
        <v>19</v>
      </c>
      <c r="L25" s="3">
        <v>1</v>
      </c>
    </row>
    <row r="26" spans="1:12" x14ac:dyDescent="0.25">
      <c r="A26" s="4" t="e">
        <f>#REF!</f>
        <v>#REF!</v>
      </c>
      <c r="B26" s="34" t="e">
        <f>#REF!</f>
        <v>#REF!</v>
      </c>
      <c r="C26" s="4" t="e">
        <f>#REF!</f>
        <v>#REF!</v>
      </c>
      <c r="D26" s="11" t="e">
        <f>#REF!</f>
        <v>#REF!</v>
      </c>
      <c r="K26" s="39">
        <v>20</v>
      </c>
      <c r="L26" s="3">
        <v>0</v>
      </c>
    </row>
    <row r="27" spans="1:12" x14ac:dyDescent="0.25">
      <c r="A27" s="4" t="e">
        <f>#REF!</f>
        <v>#REF!</v>
      </c>
      <c r="B27" s="34" t="e">
        <f>#REF!</f>
        <v>#REF!</v>
      </c>
      <c r="C27" s="4" t="e">
        <f>#REF!</f>
        <v>#REF!</v>
      </c>
      <c r="D27" s="11" t="e">
        <f>#REF!</f>
        <v>#REF!</v>
      </c>
      <c r="K27" s="39">
        <v>21</v>
      </c>
      <c r="L27" s="3">
        <v>1</v>
      </c>
    </row>
    <row r="28" spans="1:12" x14ac:dyDescent="0.25">
      <c r="A28" s="4" t="e">
        <f>#REF!</f>
        <v>#REF!</v>
      </c>
      <c r="B28" s="34" t="e">
        <f>#REF!</f>
        <v>#REF!</v>
      </c>
      <c r="C28" s="4" t="e">
        <f>#REF!</f>
        <v>#REF!</v>
      </c>
      <c r="D28" s="11" t="e">
        <f>#REF!</f>
        <v>#REF!</v>
      </c>
      <c r="K28" s="39">
        <v>22</v>
      </c>
      <c r="L28" s="3">
        <v>0</v>
      </c>
    </row>
    <row r="29" spans="1:12" x14ac:dyDescent="0.25">
      <c r="A29" s="4" t="e">
        <f>#REF!</f>
        <v>#REF!</v>
      </c>
      <c r="B29" s="34" t="e">
        <f>#REF!</f>
        <v>#REF!</v>
      </c>
      <c r="C29" s="4" t="e">
        <f>#REF!</f>
        <v>#REF!</v>
      </c>
      <c r="D29" s="11" t="e">
        <f>#REF!</f>
        <v>#REF!</v>
      </c>
      <c r="K29" s="39">
        <v>23</v>
      </c>
      <c r="L29" s="3">
        <v>1</v>
      </c>
    </row>
    <row r="30" spans="1:12" x14ac:dyDescent="0.25">
      <c r="A30" s="4" t="e">
        <f>#REF!</f>
        <v>#REF!</v>
      </c>
      <c r="B30" s="34" t="e">
        <f>#REF!</f>
        <v>#REF!</v>
      </c>
      <c r="C30" s="4" t="e">
        <f>#REF!</f>
        <v>#REF!</v>
      </c>
      <c r="D30" s="11" t="e">
        <f>#REF!</f>
        <v>#REF!</v>
      </c>
      <c r="K30" s="39">
        <v>24</v>
      </c>
      <c r="L30" s="3">
        <v>1</v>
      </c>
    </row>
    <row r="31" spans="1:12" x14ac:dyDescent="0.25">
      <c r="A31" s="4" t="e">
        <f>#REF!</f>
        <v>#REF!</v>
      </c>
      <c r="B31" s="34" t="e">
        <f>#REF!</f>
        <v>#REF!</v>
      </c>
      <c r="C31" s="4" t="e">
        <f>#REF!</f>
        <v>#REF!</v>
      </c>
      <c r="D31" s="11" t="e">
        <f>#REF!</f>
        <v>#REF!</v>
      </c>
      <c r="K31" s="39">
        <v>25</v>
      </c>
      <c r="L31" s="3">
        <v>0</v>
      </c>
    </row>
    <row r="32" spans="1:12" x14ac:dyDescent="0.25">
      <c r="A32" s="4" t="e">
        <f>#REF!</f>
        <v>#REF!</v>
      </c>
      <c r="B32" s="34" t="e">
        <f>#REF!</f>
        <v>#REF!</v>
      </c>
      <c r="C32" s="4" t="e">
        <f>#REF!</f>
        <v>#REF!</v>
      </c>
      <c r="D32" s="11" t="e">
        <f>#REF!</f>
        <v>#REF!</v>
      </c>
      <c r="K32" s="39">
        <v>26</v>
      </c>
      <c r="L32" s="3">
        <v>0</v>
      </c>
    </row>
    <row r="33" spans="1:12" x14ac:dyDescent="0.25">
      <c r="A33" s="4" t="e">
        <f>#REF!</f>
        <v>#REF!</v>
      </c>
      <c r="B33" s="34" t="e">
        <f>#REF!</f>
        <v>#REF!</v>
      </c>
      <c r="C33" s="4" t="e">
        <f>#REF!</f>
        <v>#REF!</v>
      </c>
      <c r="D33" s="11" t="e">
        <f>#REF!</f>
        <v>#REF!</v>
      </c>
      <c r="K33" s="39">
        <v>27</v>
      </c>
      <c r="L33" s="3">
        <v>1</v>
      </c>
    </row>
    <row r="34" spans="1:12" x14ac:dyDescent="0.25">
      <c r="A34" s="4" t="e">
        <f>#REF!</f>
        <v>#REF!</v>
      </c>
      <c r="B34" s="34" t="e">
        <f>#REF!</f>
        <v>#REF!</v>
      </c>
      <c r="C34" s="4" t="e">
        <f>#REF!</f>
        <v>#REF!</v>
      </c>
      <c r="D34" s="11" t="e">
        <f>#REF!</f>
        <v>#REF!</v>
      </c>
      <c r="K34" s="39">
        <v>28</v>
      </c>
      <c r="L34" s="3">
        <v>0</v>
      </c>
    </row>
    <row r="35" spans="1:12" x14ac:dyDescent="0.25">
      <c r="A35" s="4" t="e">
        <f>#REF!</f>
        <v>#REF!</v>
      </c>
      <c r="B35" s="34" t="e">
        <f>#REF!</f>
        <v>#REF!</v>
      </c>
      <c r="C35" s="4" t="e">
        <f>#REF!</f>
        <v>#REF!</v>
      </c>
      <c r="D35" s="11" t="e">
        <f>#REF!</f>
        <v>#REF!</v>
      </c>
      <c r="K35" s="39">
        <v>29</v>
      </c>
      <c r="L35" s="3">
        <v>0</v>
      </c>
    </row>
    <row r="36" spans="1:12" x14ac:dyDescent="0.25">
      <c r="A36" s="4" t="e">
        <f>#REF!</f>
        <v>#REF!</v>
      </c>
      <c r="B36" s="34" t="e">
        <f>#REF!</f>
        <v>#REF!</v>
      </c>
      <c r="C36" s="4" t="e">
        <f>#REF!</f>
        <v>#REF!</v>
      </c>
      <c r="D36" s="11" t="e">
        <f>#REF!</f>
        <v>#REF!</v>
      </c>
      <c r="K36" s="39">
        <v>30</v>
      </c>
      <c r="L36" s="3">
        <v>0</v>
      </c>
    </row>
    <row r="37" spans="1:12" x14ac:dyDescent="0.25">
      <c r="A37" s="4" t="e">
        <f>#REF!</f>
        <v>#REF!</v>
      </c>
      <c r="B37" s="34" t="e">
        <f>#REF!</f>
        <v>#REF!</v>
      </c>
      <c r="C37" s="4" t="e">
        <f>#REF!</f>
        <v>#REF!</v>
      </c>
      <c r="D37" s="11" t="e">
        <f>#REF!</f>
        <v>#REF!</v>
      </c>
      <c r="K37" s="39">
        <v>31</v>
      </c>
      <c r="L37" s="3">
        <v>0</v>
      </c>
    </row>
    <row r="38" spans="1:12" x14ac:dyDescent="0.25">
      <c r="A38" s="4" t="e">
        <f>#REF!</f>
        <v>#REF!</v>
      </c>
      <c r="B38" s="34" t="e">
        <f>#REF!</f>
        <v>#REF!</v>
      </c>
      <c r="C38" s="4" t="e">
        <f>#REF!</f>
        <v>#REF!</v>
      </c>
      <c r="D38" s="11" t="e">
        <f>#REF!</f>
        <v>#REF!</v>
      </c>
      <c r="K38" s="39">
        <v>32</v>
      </c>
      <c r="L38" s="3">
        <v>0</v>
      </c>
    </row>
    <row r="39" spans="1:12" x14ac:dyDescent="0.25">
      <c r="A39" s="4" t="e">
        <f>#REF!</f>
        <v>#REF!</v>
      </c>
      <c r="B39" s="34" t="e">
        <f>#REF!</f>
        <v>#REF!</v>
      </c>
      <c r="C39" s="4" t="e">
        <f>#REF!</f>
        <v>#REF!</v>
      </c>
      <c r="D39" s="11" t="e">
        <f>#REF!</f>
        <v>#REF!</v>
      </c>
      <c r="K39" s="39">
        <v>33</v>
      </c>
      <c r="L39" s="3">
        <v>1</v>
      </c>
    </row>
    <row r="40" spans="1:12" x14ac:dyDescent="0.25">
      <c r="A40" s="4" t="e">
        <f>#REF!</f>
        <v>#REF!</v>
      </c>
      <c r="B40" s="34" t="e">
        <f>#REF!</f>
        <v>#REF!</v>
      </c>
      <c r="C40" s="4" t="e">
        <f>#REF!</f>
        <v>#REF!</v>
      </c>
      <c r="D40" s="11" t="e">
        <f>#REF!</f>
        <v>#REF!</v>
      </c>
      <c r="K40" s="39">
        <v>34</v>
      </c>
      <c r="L40" s="3">
        <v>0</v>
      </c>
    </row>
    <row r="41" spans="1:12" x14ac:dyDescent="0.25">
      <c r="A41" s="4" t="e">
        <f>#REF!</f>
        <v>#REF!</v>
      </c>
      <c r="B41" s="34" t="e">
        <f>#REF!</f>
        <v>#REF!</v>
      </c>
      <c r="C41" s="4" t="e">
        <f>#REF!</f>
        <v>#REF!</v>
      </c>
      <c r="D41" s="11" t="e">
        <f>#REF!</f>
        <v>#REF!</v>
      </c>
      <c r="K41" s="39">
        <v>35</v>
      </c>
      <c r="L41" s="3">
        <v>0</v>
      </c>
    </row>
    <row r="42" spans="1:12" ht="15.75" thickBot="1" x14ac:dyDescent="0.3">
      <c r="A42" s="4" t="e">
        <f>#REF!</f>
        <v>#REF!</v>
      </c>
      <c r="B42" s="34" t="e">
        <f>#REF!</f>
        <v>#REF!</v>
      </c>
      <c r="C42" s="4" t="e">
        <f>#REF!</f>
        <v>#REF!</v>
      </c>
      <c r="D42" s="11" t="e">
        <f>#REF!</f>
        <v>#REF!</v>
      </c>
      <c r="K42" s="12" t="s">
        <v>144</v>
      </c>
      <c r="L42" s="12">
        <v>0</v>
      </c>
    </row>
    <row r="43" spans="1:12" x14ac:dyDescent="0.25">
      <c r="A43" s="4" t="e">
        <f>#REF!</f>
        <v>#REF!</v>
      </c>
      <c r="B43" s="34" t="e">
        <f>#REF!</f>
        <v>#REF!</v>
      </c>
      <c r="C43" s="4" t="e">
        <f>#REF!</f>
        <v>#REF!</v>
      </c>
      <c r="D43" s="11" t="e">
        <f>#REF!</f>
        <v>#REF!</v>
      </c>
    </row>
    <row r="44" spans="1:12" x14ac:dyDescent="0.25">
      <c r="A44" s="4" t="e">
        <f>#REF!</f>
        <v>#REF!</v>
      </c>
      <c r="B44" s="34" t="e">
        <f>#REF!</f>
        <v>#REF!</v>
      </c>
      <c r="C44" s="4" t="e">
        <f>#REF!</f>
        <v>#REF!</v>
      </c>
      <c r="D44" s="11" t="e">
        <f>#REF!</f>
        <v>#REF!</v>
      </c>
    </row>
    <row r="45" spans="1:12" x14ac:dyDescent="0.25">
      <c r="A45" s="4" t="e">
        <f>#REF!</f>
        <v>#REF!</v>
      </c>
      <c r="B45" s="34" t="e">
        <f>#REF!</f>
        <v>#REF!</v>
      </c>
      <c r="C45" s="4" t="e">
        <f>#REF!</f>
        <v>#REF!</v>
      </c>
      <c r="D45" s="11" t="e">
        <f>#REF!</f>
        <v>#REF!</v>
      </c>
    </row>
    <row r="46" spans="1:12" x14ac:dyDescent="0.25">
      <c r="A46" s="4" t="e">
        <f>#REF!</f>
        <v>#REF!</v>
      </c>
      <c r="B46" s="34" t="e">
        <f>#REF!</f>
        <v>#REF!</v>
      </c>
      <c r="C46" s="4" t="e">
        <f>#REF!</f>
        <v>#REF!</v>
      </c>
      <c r="D46" s="11" t="e">
        <f>#REF!</f>
        <v>#REF!</v>
      </c>
    </row>
    <row r="47" spans="1:12" x14ac:dyDescent="0.25">
      <c r="A47" s="4" t="e">
        <f>#REF!</f>
        <v>#REF!</v>
      </c>
      <c r="B47" s="34" t="e">
        <f>#REF!</f>
        <v>#REF!</v>
      </c>
      <c r="C47" s="4" t="e">
        <f>#REF!</f>
        <v>#REF!</v>
      </c>
      <c r="D47" s="11" t="e">
        <f>#REF!</f>
        <v>#REF!</v>
      </c>
    </row>
    <row r="48" spans="1:12" x14ac:dyDescent="0.25">
      <c r="A48" s="4" t="e">
        <f>#REF!</f>
        <v>#REF!</v>
      </c>
      <c r="B48" s="34" t="e">
        <f>#REF!</f>
        <v>#REF!</v>
      </c>
      <c r="C48" s="4" t="e">
        <f>#REF!</f>
        <v>#REF!</v>
      </c>
      <c r="D48" s="11" t="e">
        <f>#REF!</f>
        <v>#REF!</v>
      </c>
    </row>
    <row r="49" spans="1:4" x14ac:dyDescent="0.25">
      <c r="A49" s="4" t="e">
        <f>#REF!</f>
        <v>#REF!</v>
      </c>
      <c r="B49" s="34" t="e">
        <f>#REF!</f>
        <v>#REF!</v>
      </c>
      <c r="C49" s="4" t="e">
        <f>#REF!</f>
        <v>#REF!</v>
      </c>
      <c r="D49" s="11" t="e">
        <f>#REF!</f>
        <v>#REF!</v>
      </c>
    </row>
    <row r="50" spans="1:4" x14ac:dyDescent="0.25">
      <c r="A50" s="4" t="e">
        <f>#REF!</f>
        <v>#REF!</v>
      </c>
      <c r="B50" s="34" t="e">
        <f>#REF!</f>
        <v>#REF!</v>
      </c>
      <c r="C50" s="4" t="e">
        <f>#REF!</f>
        <v>#REF!</v>
      </c>
      <c r="D50" s="11" t="e">
        <f>#REF!</f>
        <v>#REF!</v>
      </c>
    </row>
    <row r="51" spans="1:4" x14ac:dyDescent="0.25">
      <c r="A51" s="4" t="e">
        <f>#REF!</f>
        <v>#REF!</v>
      </c>
      <c r="B51" s="34" t="e">
        <f>#REF!</f>
        <v>#REF!</v>
      </c>
      <c r="C51" s="4" t="e">
        <f>#REF!</f>
        <v>#REF!</v>
      </c>
      <c r="D51" s="11" t="e">
        <f>#REF!</f>
        <v>#REF!</v>
      </c>
    </row>
    <row r="52" spans="1:4" x14ac:dyDescent="0.25">
      <c r="A52" s="4" t="e">
        <f>#REF!</f>
        <v>#REF!</v>
      </c>
      <c r="B52" s="34" t="e">
        <f>#REF!</f>
        <v>#REF!</v>
      </c>
      <c r="C52" s="4" t="e">
        <f>#REF!</f>
        <v>#REF!</v>
      </c>
      <c r="D52" s="11" t="e">
        <f>#REF!</f>
        <v>#REF!</v>
      </c>
    </row>
    <row r="53" spans="1:4" x14ac:dyDescent="0.25">
      <c r="A53" s="4" t="e">
        <f>#REF!</f>
        <v>#REF!</v>
      </c>
      <c r="B53" s="34" t="e">
        <f>#REF!</f>
        <v>#REF!</v>
      </c>
      <c r="C53" s="4" t="e">
        <f>#REF!</f>
        <v>#REF!</v>
      </c>
      <c r="D53" s="11" t="e">
        <f>#REF!</f>
        <v>#REF!</v>
      </c>
    </row>
    <row r="54" spans="1:4" x14ac:dyDescent="0.25">
      <c r="A54" s="4" t="e">
        <f>#REF!</f>
        <v>#REF!</v>
      </c>
      <c r="B54" s="34" t="e">
        <f>#REF!</f>
        <v>#REF!</v>
      </c>
      <c r="C54" s="4" t="e">
        <f>#REF!</f>
        <v>#REF!</v>
      </c>
      <c r="D54" s="11" t="e">
        <f>#REF!</f>
        <v>#REF!</v>
      </c>
    </row>
    <row r="55" spans="1:4" x14ac:dyDescent="0.25">
      <c r="A55" s="4" t="e">
        <f>#REF!</f>
        <v>#REF!</v>
      </c>
      <c r="B55" s="34" t="e">
        <f>#REF!</f>
        <v>#REF!</v>
      </c>
      <c r="C55" s="4" t="e">
        <f>#REF!</f>
        <v>#REF!</v>
      </c>
      <c r="D55" s="11" t="e">
        <f>#REF!</f>
        <v>#REF!</v>
      </c>
    </row>
    <row r="56" spans="1:4" x14ac:dyDescent="0.25">
      <c r="A56" s="4" t="e">
        <f>#REF!</f>
        <v>#REF!</v>
      </c>
      <c r="B56" s="34" t="e">
        <f>#REF!</f>
        <v>#REF!</v>
      </c>
      <c r="C56" s="4" t="e">
        <f>#REF!</f>
        <v>#REF!</v>
      </c>
      <c r="D56" s="11" t="e">
        <f>#REF!</f>
        <v>#REF!</v>
      </c>
    </row>
    <row r="57" spans="1:4" x14ac:dyDescent="0.25">
      <c r="A57" s="4" t="e">
        <f>#REF!</f>
        <v>#REF!</v>
      </c>
      <c r="B57" s="34" t="e">
        <f>#REF!</f>
        <v>#REF!</v>
      </c>
      <c r="C57" s="4" t="e">
        <f>#REF!</f>
        <v>#REF!</v>
      </c>
      <c r="D57" s="11" t="e">
        <f>#REF!</f>
        <v>#REF!</v>
      </c>
    </row>
    <row r="58" spans="1:4" x14ac:dyDescent="0.25">
      <c r="A58" s="4" t="e">
        <f>#REF!</f>
        <v>#REF!</v>
      </c>
      <c r="B58" s="34" t="e">
        <f>#REF!</f>
        <v>#REF!</v>
      </c>
      <c r="C58" s="4" t="e">
        <f>#REF!</f>
        <v>#REF!</v>
      </c>
      <c r="D58" s="11" t="e">
        <f>#REF!</f>
        <v>#REF!</v>
      </c>
    </row>
    <row r="59" spans="1:4" x14ac:dyDescent="0.25">
      <c r="A59" s="4" t="e">
        <f>#REF!</f>
        <v>#REF!</v>
      </c>
      <c r="B59" s="34" t="e">
        <f>#REF!</f>
        <v>#REF!</v>
      </c>
      <c r="C59" s="4" t="e">
        <f>#REF!</f>
        <v>#REF!</v>
      </c>
      <c r="D59" s="11" t="e">
        <f>#REF!</f>
        <v>#REF!</v>
      </c>
    </row>
    <row r="60" spans="1:4" x14ac:dyDescent="0.25">
      <c r="A60" s="4" t="e">
        <f>#REF!</f>
        <v>#REF!</v>
      </c>
      <c r="B60" s="34" t="e">
        <f>#REF!</f>
        <v>#REF!</v>
      </c>
      <c r="C60" s="4" t="e">
        <f>#REF!</f>
        <v>#REF!</v>
      </c>
      <c r="D60" s="11" t="e">
        <f>#REF!</f>
        <v>#REF!</v>
      </c>
    </row>
    <row r="61" spans="1:4" x14ac:dyDescent="0.25">
      <c r="A61" s="4" t="e">
        <f>#REF!</f>
        <v>#REF!</v>
      </c>
      <c r="B61" s="34" t="e">
        <f>#REF!</f>
        <v>#REF!</v>
      </c>
      <c r="C61" s="4" t="e">
        <f>#REF!</f>
        <v>#REF!</v>
      </c>
      <c r="D61" s="11" t="e">
        <f>#REF!</f>
        <v>#REF!</v>
      </c>
    </row>
    <row r="62" spans="1:4" x14ac:dyDescent="0.25">
      <c r="A62" s="4" t="e">
        <f>#REF!</f>
        <v>#REF!</v>
      </c>
      <c r="B62" s="34" t="e">
        <f>#REF!</f>
        <v>#REF!</v>
      </c>
      <c r="C62" s="4" t="e">
        <f>#REF!</f>
        <v>#REF!</v>
      </c>
      <c r="D62" s="11" t="e">
        <f>#REF!</f>
        <v>#REF!</v>
      </c>
    </row>
    <row r="63" spans="1:4" x14ac:dyDescent="0.25">
      <c r="A63" s="4" t="e">
        <f>#REF!</f>
        <v>#REF!</v>
      </c>
      <c r="B63" s="34" t="e">
        <f>#REF!</f>
        <v>#REF!</v>
      </c>
      <c r="C63" s="4" t="e">
        <f>#REF!</f>
        <v>#REF!</v>
      </c>
      <c r="D63" s="11" t="e">
        <f>#REF!</f>
        <v>#REF!</v>
      </c>
    </row>
    <row r="64" spans="1:4" x14ac:dyDescent="0.25">
      <c r="A64" s="4" t="e">
        <f>#REF!</f>
        <v>#REF!</v>
      </c>
      <c r="B64" s="34" t="e">
        <f>#REF!</f>
        <v>#REF!</v>
      </c>
      <c r="C64" s="4" t="e">
        <f>#REF!</f>
        <v>#REF!</v>
      </c>
      <c r="D64" s="11" t="e">
        <f>#REF!</f>
        <v>#REF!</v>
      </c>
    </row>
    <row r="65" spans="1:4" x14ac:dyDescent="0.25">
      <c r="A65" s="4" t="e">
        <f>#REF!</f>
        <v>#REF!</v>
      </c>
      <c r="B65" s="34" t="e">
        <f>#REF!</f>
        <v>#REF!</v>
      </c>
      <c r="C65" s="4" t="e">
        <f>#REF!</f>
        <v>#REF!</v>
      </c>
      <c r="D65" s="11" t="e">
        <f>#REF!</f>
        <v>#REF!</v>
      </c>
    </row>
    <row r="66" spans="1:4" x14ac:dyDescent="0.25">
      <c r="A66" s="4" t="e">
        <f>#REF!</f>
        <v>#REF!</v>
      </c>
      <c r="B66" s="34" t="e">
        <f>#REF!</f>
        <v>#REF!</v>
      </c>
      <c r="C66" s="4" t="e">
        <f>#REF!</f>
        <v>#REF!</v>
      </c>
      <c r="D66" s="11" t="e">
        <f>#REF!</f>
        <v>#REF!</v>
      </c>
    </row>
    <row r="67" spans="1:4" x14ac:dyDescent="0.25">
      <c r="A67" s="4" t="e">
        <f>#REF!</f>
        <v>#REF!</v>
      </c>
      <c r="B67" s="34" t="e">
        <f>#REF!</f>
        <v>#REF!</v>
      </c>
      <c r="C67" s="4" t="e">
        <f>#REF!</f>
        <v>#REF!</v>
      </c>
      <c r="D67" s="11" t="e">
        <f>#REF!</f>
        <v>#REF!</v>
      </c>
    </row>
    <row r="68" spans="1:4" x14ac:dyDescent="0.25">
      <c r="A68" s="4" t="e">
        <f>#REF!</f>
        <v>#REF!</v>
      </c>
      <c r="B68" s="34" t="e">
        <f>#REF!</f>
        <v>#REF!</v>
      </c>
      <c r="C68" s="4" t="e">
        <f>#REF!</f>
        <v>#REF!</v>
      </c>
      <c r="D68" s="11" t="e">
        <f>#REF!</f>
        <v>#REF!</v>
      </c>
    </row>
    <row r="69" spans="1:4" x14ac:dyDescent="0.25">
      <c r="A69" s="4" t="e">
        <f>#REF!</f>
        <v>#REF!</v>
      </c>
      <c r="B69" s="34" t="e">
        <f>#REF!</f>
        <v>#REF!</v>
      </c>
      <c r="C69" s="4" t="e">
        <f>#REF!</f>
        <v>#REF!</v>
      </c>
      <c r="D69" s="11" t="e">
        <f>#REF!</f>
        <v>#REF!</v>
      </c>
    </row>
    <row r="70" spans="1:4" x14ac:dyDescent="0.25">
      <c r="A70" s="4" t="e">
        <f>#REF!</f>
        <v>#REF!</v>
      </c>
      <c r="B70" s="34" t="e">
        <f>#REF!</f>
        <v>#REF!</v>
      </c>
      <c r="C70" s="4" t="e">
        <f>#REF!</f>
        <v>#REF!</v>
      </c>
      <c r="D70" s="11" t="e">
        <f>#REF!</f>
        <v>#REF!</v>
      </c>
    </row>
    <row r="71" spans="1:4" x14ac:dyDescent="0.25">
      <c r="A71" s="4" t="e">
        <f>#REF!</f>
        <v>#REF!</v>
      </c>
      <c r="B71" s="34" t="e">
        <f>#REF!</f>
        <v>#REF!</v>
      </c>
      <c r="C71" s="4" t="e">
        <f>#REF!</f>
        <v>#REF!</v>
      </c>
      <c r="D71" s="11" t="e">
        <f>#REF!</f>
        <v>#REF!</v>
      </c>
    </row>
    <row r="72" spans="1:4" x14ac:dyDescent="0.25">
      <c r="A72" s="4" t="e">
        <f>#REF!</f>
        <v>#REF!</v>
      </c>
      <c r="B72" s="34" t="e">
        <f>#REF!</f>
        <v>#REF!</v>
      </c>
      <c r="C72" s="4" t="e">
        <f>#REF!</f>
        <v>#REF!</v>
      </c>
      <c r="D72" s="11" t="e">
        <f>#REF!</f>
        <v>#REF!</v>
      </c>
    </row>
    <row r="73" spans="1:4" x14ac:dyDescent="0.25">
      <c r="A73" s="4" t="e">
        <f>#REF!</f>
        <v>#REF!</v>
      </c>
      <c r="B73" s="34" t="e">
        <f>#REF!</f>
        <v>#REF!</v>
      </c>
      <c r="C73" s="4" t="e">
        <f>#REF!</f>
        <v>#REF!</v>
      </c>
      <c r="D73" s="11" t="e">
        <f>#REF!</f>
        <v>#REF!</v>
      </c>
    </row>
    <row r="74" spans="1:4" x14ac:dyDescent="0.25">
      <c r="A74" s="4" t="e">
        <f>#REF!</f>
        <v>#REF!</v>
      </c>
      <c r="B74" s="34" t="e">
        <f>#REF!</f>
        <v>#REF!</v>
      </c>
      <c r="C74" s="4" t="e">
        <f>#REF!</f>
        <v>#REF!</v>
      </c>
      <c r="D74" s="11" t="e">
        <f>#REF!</f>
        <v>#REF!</v>
      </c>
    </row>
    <row r="75" spans="1:4" x14ac:dyDescent="0.25">
      <c r="A75" s="4" t="e">
        <f>#REF!</f>
        <v>#REF!</v>
      </c>
      <c r="B75" s="34" t="e">
        <f>#REF!</f>
        <v>#REF!</v>
      </c>
      <c r="C75" s="4" t="e">
        <f>#REF!</f>
        <v>#REF!</v>
      </c>
      <c r="D75" s="11" t="e">
        <f>#REF!</f>
        <v>#REF!</v>
      </c>
    </row>
    <row r="76" spans="1:4" x14ac:dyDescent="0.25">
      <c r="A76" s="4" t="e">
        <f>#REF!</f>
        <v>#REF!</v>
      </c>
      <c r="B76" s="34" t="e">
        <f>#REF!</f>
        <v>#REF!</v>
      </c>
      <c r="C76" s="4" t="e">
        <f>#REF!</f>
        <v>#REF!</v>
      </c>
      <c r="D76" s="11" t="e">
        <f>#REF!</f>
        <v>#REF!</v>
      </c>
    </row>
    <row r="77" spans="1:4" x14ac:dyDescent="0.25">
      <c r="A77" s="4" t="e">
        <f>#REF!</f>
        <v>#REF!</v>
      </c>
      <c r="B77" s="34" t="e">
        <f>#REF!</f>
        <v>#REF!</v>
      </c>
      <c r="C77" s="4" t="e">
        <f>#REF!</f>
        <v>#REF!</v>
      </c>
      <c r="D77" s="11" t="e">
        <f>#REF!</f>
        <v>#REF!</v>
      </c>
    </row>
    <row r="78" spans="1:4" x14ac:dyDescent="0.25">
      <c r="A78" s="4" t="e">
        <f>#REF!</f>
        <v>#REF!</v>
      </c>
      <c r="B78" s="34" t="e">
        <f>#REF!</f>
        <v>#REF!</v>
      </c>
      <c r="C78" s="4" t="e">
        <f>#REF!</f>
        <v>#REF!</v>
      </c>
      <c r="D78" s="11" t="e">
        <f>#REF!</f>
        <v>#REF!</v>
      </c>
    </row>
    <row r="79" spans="1:4" x14ac:dyDescent="0.25">
      <c r="A79" s="4" t="e">
        <f>#REF!</f>
        <v>#REF!</v>
      </c>
      <c r="B79" s="34" t="e">
        <f>#REF!</f>
        <v>#REF!</v>
      </c>
      <c r="C79" s="4" t="e">
        <f>#REF!</f>
        <v>#REF!</v>
      </c>
      <c r="D79" s="11" t="e">
        <f>#REF!</f>
        <v>#REF!</v>
      </c>
    </row>
    <row r="80" spans="1:4" x14ac:dyDescent="0.25">
      <c r="A80" s="4" t="e">
        <f>#REF!</f>
        <v>#REF!</v>
      </c>
      <c r="B80" s="34" t="e">
        <f>#REF!</f>
        <v>#REF!</v>
      </c>
      <c r="C80" s="4" t="e">
        <f>#REF!</f>
        <v>#REF!</v>
      </c>
      <c r="D80" s="11" t="e">
        <f>#REF!</f>
        <v>#REF!</v>
      </c>
    </row>
    <row r="81" spans="1:4" x14ac:dyDescent="0.25">
      <c r="A81" s="4" t="e">
        <f>#REF!</f>
        <v>#REF!</v>
      </c>
      <c r="B81" s="34" t="e">
        <f>#REF!</f>
        <v>#REF!</v>
      </c>
      <c r="C81" s="4" t="e">
        <f>#REF!</f>
        <v>#REF!</v>
      </c>
      <c r="D81" s="11" t="e">
        <f>#REF!</f>
        <v>#REF!</v>
      </c>
    </row>
    <row r="82" spans="1:4" x14ac:dyDescent="0.25">
      <c r="A82" s="4" t="e">
        <f>#REF!</f>
        <v>#REF!</v>
      </c>
      <c r="B82" s="34" t="e">
        <f>#REF!</f>
        <v>#REF!</v>
      </c>
      <c r="C82" s="4" t="e">
        <f>#REF!</f>
        <v>#REF!</v>
      </c>
      <c r="D82" s="11" t="e">
        <f>#REF!</f>
        <v>#REF!</v>
      </c>
    </row>
    <row r="83" spans="1:4" x14ac:dyDescent="0.25">
      <c r="A83" s="4" t="e">
        <f>#REF!</f>
        <v>#REF!</v>
      </c>
      <c r="B83" s="34" t="e">
        <f>#REF!</f>
        <v>#REF!</v>
      </c>
      <c r="C83" s="4" t="e">
        <f>#REF!</f>
        <v>#REF!</v>
      </c>
      <c r="D83" s="11" t="e">
        <f>#REF!</f>
        <v>#REF!</v>
      </c>
    </row>
    <row r="84" spans="1:4" x14ac:dyDescent="0.25">
      <c r="A84" s="4" t="e">
        <f>#REF!</f>
        <v>#REF!</v>
      </c>
      <c r="B84" s="34" t="e">
        <f>#REF!</f>
        <v>#REF!</v>
      </c>
      <c r="C84" s="4" t="e">
        <f>#REF!</f>
        <v>#REF!</v>
      </c>
      <c r="D84" s="11" t="e">
        <f>#REF!</f>
        <v>#REF!</v>
      </c>
    </row>
    <row r="85" spans="1:4" x14ac:dyDescent="0.25">
      <c r="A85" s="4" t="e">
        <f>#REF!</f>
        <v>#REF!</v>
      </c>
      <c r="B85" s="34" t="e">
        <f>#REF!</f>
        <v>#REF!</v>
      </c>
      <c r="C85" s="4" t="e">
        <f>#REF!</f>
        <v>#REF!</v>
      </c>
      <c r="D85" s="11" t="e">
        <f>#REF!</f>
        <v>#REF!</v>
      </c>
    </row>
    <row r="86" spans="1:4" x14ac:dyDescent="0.25">
      <c r="A86" s="4" t="e">
        <f>#REF!</f>
        <v>#REF!</v>
      </c>
      <c r="B86" s="34" t="e">
        <f>#REF!</f>
        <v>#REF!</v>
      </c>
      <c r="C86" s="4" t="e">
        <f>#REF!</f>
        <v>#REF!</v>
      </c>
      <c r="D86" s="11" t="e">
        <f>#REF!</f>
        <v>#REF!</v>
      </c>
    </row>
    <row r="87" spans="1:4" x14ac:dyDescent="0.25">
      <c r="A87" s="4" t="e">
        <f>#REF!</f>
        <v>#REF!</v>
      </c>
      <c r="B87" s="34" t="e">
        <f>#REF!</f>
        <v>#REF!</v>
      </c>
      <c r="C87" s="4" t="e">
        <f>#REF!</f>
        <v>#REF!</v>
      </c>
      <c r="D87" s="11" t="e">
        <f>#REF!</f>
        <v>#REF!</v>
      </c>
    </row>
    <row r="88" spans="1:4" x14ac:dyDescent="0.25">
      <c r="A88" s="4" t="e">
        <f>#REF!</f>
        <v>#REF!</v>
      </c>
      <c r="B88" s="34" t="e">
        <f>#REF!</f>
        <v>#REF!</v>
      </c>
      <c r="C88" s="4" t="e">
        <f>#REF!</f>
        <v>#REF!</v>
      </c>
      <c r="D88" s="11" t="e">
        <f>#REF!</f>
        <v>#REF!</v>
      </c>
    </row>
    <row r="89" spans="1:4" x14ac:dyDescent="0.25">
      <c r="A89" s="4" t="e">
        <f>#REF!</f>
        <v>#REF!</v>
      </c>
      <c r="B89" s="34" t="e">
        <f>#REF!</f>
        <v>#REF!</v>
      </c>
      <c r="C89" s="4" t="e">
        <f>#REF!</f>
        <v>#REF!</v>
      </c>
      <c r="D89" s="11" t="e">
        <f>#REF!</f>
        <v>#REF!</v>
      </c>
    </row>
    <row r="90" spans="1:4" x14ac:dyDescent="0.25">
      <c r="A90" s="4" t="e">
        <f>#REF!</f>
        <v>#REF!</v>
      </c>
      <c r="B90" s="34" t="e">
        <f>#REF!</f>
        <v>#REF!</v>
      </c>
      <c r="C90" s="4" t="e">
        <f>#REF!</f>
        <v>#REF!</v>
      </c>
      <c r="D90" s="11" t="e">
        <f>#REF!</f>
        <v>#REF!</v>
      </c>
    </row>
    <row r="91" spans="1:4" x14ac:dyDescent="0.25">
      <c r="A91" s="4" t="e">
        <f>#REF!</f>
        <v>#REF!</v>
      </c>
      <c r="B91" s="34" t="e">
        <f>#REF!</f>
        <v>#REF!</v>
      </c>
      <c r="C91" s="4" t="e">
        <f>#REF!</f>
        <v>#REF!</v>
      </c>
      <c r="D91" s="11" t="e">
        <f>#REF!</f>
        <v>#REF!</v>
      </c>
    </row>
    <row r="92" spans="1:4" x14ac:dyDescent="0.25">
      <c r="A92" s="4" t="e">
        <f>#REF!</f>
        <v>#REF!</v>
      </c>
      <c r="B92" s="34" t="e">
        <f>#REF!</f>
        <v>#REF!</v>
      </c>
      <c r="C92" s="4" t="e">
        <f>#REF!</f>
        <v>#REF!</v>
      </c>
      <c r="D92" s="11" t="e">
        <f>#REF!</f>
        <v>#REF!</v>
      </c>
    </row>
    <row r="93" spans="1:4" x14ac:dyDescent="0.25">
      <c r="A93" s="4" t="e">
        <f>#REF!</f>
        <v>#REF!</v>
      </c>
      <c r="B93" s="34" t="e">
        <f>#REF!</f>
        <v>#REF!</v>
      </c>
      <c r="C93" s="4" t="e">
        <f>#REF!</f>
        <v>#REF!</v>
      </c>
      <c r="D93" s="11" t="e">
        <f>#REF!</f>
        <v>#REF!</v>
      </c>
    </row>
    <row r="94" spans="1:4" x14ac:dyDescent="0.25">
      <c r="A94" s="4" t="e">
        <f>#REF!</f>
        <v>#REF!</v>
      </c>
      <c r="B94" s="34" t="e">
        <f>#REF!</f>
        <v>#REF!</v>
      </c>
      <c r="C94" s="4" t="e">
        <f>#REF!</f>
        <v>#REF!</v>
      </c>
      <c r="D94" s="11" t="e">
        <f>#REF!</f>
        <v>#REF!</v>
      </c>
    </row>
    <row r="95" spans="1:4" x14ac:dyDescent="0.25">
      <c r="A95" s="4" t="e">
        <f>#REF!</f>
        <v>#REF!</v>
      </c>
      <c r="B95" s="34" t="e">
        <f>#REF!</f>
        <v>#REF!</v>
      </c>
      <c r="C95" s="4" t="e">
        <f>#REF!</f>
        <v>#REF!</v>
      </c>
      <c r="D95" s="11" t="e">
        <f>#REF!</f>
        <v>#REF!</v>
      </c>
    </row>
    <row r="96" spans="1:4" x14ac:dyDescent="0.25">
      <c r="A96" s="4" t="e">
        <f>#REF!</f>
        <v>#REF!</v>
      </c>
      <c r="B96" s="34" t="e">
        <f>#REF!</f>
        <v>#REF!</v>
      </c>
      <c r="C96" s="4" t="e">
        <f>#REF!</f>
        <v>#REF!</v>
      </c>
      <c r="D96" s="11" t="e">
        <f>#REF!</f>
        <v>#REF!</v>
      </c>
    </row>
    <row r="97" spans="1:4" x14ac:dyDescent="0.25">
      <c r="A97" s="4" t="e">
        <f>#REF!</f>
        <v>#REF!</v>
      </c>
      <c r="B97" s="34" t="e">
        <f>#REF!</f>
        <v>#REF!</v>
      </c>
      <c r="C97" s="4" t="e">
        <f>#REF!</f>
        <v>#REF!</v>
      </c>
      <c r="D97" s="11" t="e">
        <f>#REF!</f>
        <v>#REF!</v>
      </c>
    </row>
    <row r="98" spans="1:4" x14ac:dyDescent="0.25">
      <c r="A98" s="4" t="e">
        <f>#REF!</f>
        <v>#REF!</v>
      </c>
      <c r="B98" s="34" t="e">
        <f>#REF!</f>
        <v>#REF!</v>
      </c>
      <c r="C98" s="4" t="e">
        <f>#REF!</f>
        <v>#REF!</v>
      </c>
      <c r="D98" s="11" t="e">
        <f>#REF!</f>
        <v>#REF!</v>
      </c>
    </row>
    <row r="99" spans="1:4" x14ac:dyDescent="0.25">
      <c r="A99" s="4" t="e">
        <f>#REF!</f>
        <v>#REF!</v>
      </c>
      <c r="B99" s="34" t="e">
        <f>#REF!</f>
        <v>#REF!</v>
      </c>
      <c r="C99" s="4" t="e">
        <f>#REF!</f>
        <v>#REF!</v>
      </c>
      <c r="D99" s="11" t="e">
        <f>#REF!</f>
        <v>#REF!</v>
      </c>
    </row>
    <row r="100" spans="1:4" x14ac:dyDescent="0.25">
      <c r="A100" s="4" t="e">
        <f>#REF!</f>
        <v>#REF!</v>
      </c>
      <c r="B100" s="34" t="e">
        <f>#REF!</f>
        <v>#REF!</v>
      </c>
      <c r="C100" s="4" t="e">
        <f>#REF!</f>
        <v>#REF!</v>
      </c>
      <c r="D100" s="11" t="e">
        <f>#REF!</f>
        <v>#REF!</v>
      </c>
    </row>
    <row r="101" spans="1:4" x14ac:dyDescent="0.25">
      <c r="A101" s="4" t="e">
        <f>#REF!</f>
        <v>#REF!</v>
      </c>
      <c r="B101" s="34" t="e">
        <f>#REF!</f>
        <v>#REF!</v>
      </c>
      <c r="C101" s="4" t="e">
        <f>#REF!</f>
        <v>#REF!</v>
      </c>
      <c r="D101" s="11" t="e">
        <f>#REF!</f>
        <v>#REF!</v>
      </c>
    </row>
    <row r="102" spans="1:4" x14ac:dyDescent="0.25">
      <c r="A102" s="4" t="e">
        <f>#REF!</f>
        <v>#REF!</v>
      </c>
      <c r="B102" s="34" t="e">
        <f>#REF!</f>
        <v>#REF!</v>
      </c>
      <c r="C102" s="4" t="e">
        <f>#REF!</f>
        <v>#REF!</v>
      </c>
      <c r="D102" s="11" t="e">
        <f>#REF!</f>
        <v>#REF!</v>
      </c>
    </row>
    <row r="103" spans="1:4" x14ac:dyDescent="0.25">
      <c r="A103" s="4" t="e">
        <f>#REF!</f>
        <v>#REF!</v>
      </c>
      <c r="B103" s="34" t="e">
        <f>#REF!</f>
        <v>#REF!</v>
      </c>
      <c r="C103" s="4" t="e">
        <f>#REF!</f>
        <v>#REF!</v>
      </c>
      <c r="D103" s="11" t="e">
        <f>#REF!</f>
        <v>#REF!</v>
      </c>
    </row>
    <row r="104" spans="1:4" x14ac:dyDescent="0.25">
      <c r="A104" s="4" t="e">
        <f>#REF!</f>
        <v>#REF!</v>
      </c>
      <c r="B104" s="34" t="e">
        <f>#REF!</f>
        <v>#REF!</v>
      </c>
      <c r="C104" s="4" t="e">
        <f>#REF!</f>
        <v>#REF!</v>
      </c>
      <c r="D104" s="11" t="e">
        <f>#REF!</f>
        <v>#REF!</v>
      </c>
    </row>
    <row r="105" spans="1:4" x14ac:dyDescent="0.25">
      <c r="A105" s="4" t="e">
        <f>#REF!</f>
        <v>#REF!</v>
      </c>
      <c r="B105" s="34" t="e">
        <f>#REF!</f>
        <v>#REF!</v>
      </c>
      <c r="C105" s="4" t="e">
        <f>#REF!</f>
        <v>#REF!</v>
      </c>
      <c r="D105" s="11" t="e">
        <f>#REF!</f>
        <v>#REF!</v>
      </c>
    </row>
  </sheetData>
  <sortState ref="K6:K41">
    <sortCondition ref="K34"/>
  </sortState>
  <conditionalFormatting sqref="C5:C105">
    <cfRule type="dataBar" priority="1">
      <dataBar>
        <cfvo type="min"/>
        <cfvo type="max"/>
        <color rgb="FF638EC6"/>
      </dataBar>
      <extLst>
        <ext xmlns:x14="http://schemas.microsoft.com/office/spreadsheetml/2009/9/main" uri="{B025F937-C7B1-47D3-B67F-A62EFF666E3E}">
          <x14:id>{32094E93-7504-4FE8-8D11-CA9286322A88}</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32094E93-7504-4FE8-8D11-CA9286322A88}">
            <x14:dataBar minLength="0" maxLength="100" border="1" negativeBarBorderColorSameAsPositive="0">
              <x14:cfvo type="autoMin"/>
              <x14:cfvo type="autoMax"/>
              <x14:borderColor rgb="FF638EC6"/>
              <x14:negativeFillColor rgb="FFFF0000"/>
              <x14:negativeBorderColor rgb="FFFF0000"/>
              <x14:axisColor rgb="FF000000"/>
            </x14:dataBar>
          </x14:cfRule>
          <xm:sqref>C5:C105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U130"/>
  <sheetViews>
    <sheetView workbookViewId="0">
      <selection activeCell="A6" sqref="A6"/>
    </sheetView>
  </sheetViews>
  <sheetFormatPr baseColWidth="10" defaultRowHeight="15" x14ac:dyDescent="0.25"/>
  <cols>
    <col min="1" max="2" width="11.42578125" style="4"/>
  </cols>
  <sheetData>
    <row r="1" spans="1:125" x14ac:dyDescent="0.25">
      <c r="A1" s="4" t="s">
        <v>141</v>
      </c>
    </row>
    <row r="3" spans="1:125" s="4" customFormat="1" x14ac:dyDescent="0.25">
      <c r="A3" s="4" t="e">
        <f>#REF!</f>
        <v>#REF!</v>
      </c>
      <c r="B3" s="4" t="e">
        <f>#REF!</f>
        <v>#REF!</v>
      </c>
      <c r="C3" s="4" t="e">
        <f>#REF!</f>
        <v>#REF!</v>
      </c>
      <c r="D3" s="4" t="e">
        <f>#REF!</f>
        <v>#REF!</v>
      </c>
      <c r="E3" s="4" t="e">
        <f>#REF!</f>
        <v>#REF!</v>
      </c>
      <c r="F3" s="4" t="e">
        <f>#REF!</f>
        <v>#REF!</v>
      </c>
      <c r="G3" s="4" t="e">
        <f>#REF!</f>
        <v>#REF!</v>
      </c>
      <c r="H3" s="4" t="e">
        <f>#REF!</f>
        <v>#REF!</v>
      </c>
      <c r="I3" s="4" t="e">
        <f>#REF!</f>
        <v>#REF!</v>
      </c>
      <c r="J3" s="4" t="e">
        <f>#REF!</f>
        <v>#REF!</v>
      </c>
      <c r="K3" s="4" t="e">
        <f>#REF!</f>
        <v>#REF!</v>
      </c>
      <c r="L3" s="4" t="e">
        <f>#REF!</f>
        <v>#REF!</v>
      </c>
      <c r="M3" s="4" t="e">
        <f>#REF!</f>
        <v>#REF!</v>
      </c>
      <c r="N3" s="4" t="e">
        <f>#REF!</f>
        <v>#REF!</v>
      </c>
      <c r="O3" s="4" t="e">
        <f>#REF!</f>
        <v>#REF!</v>
      </c>
      <c r="P3" s="4" t="e">
        <f>#REF!</f>
        <v>#REF!</v>
      </c>
      <c r="Q3" s="4" t="e">
        <f>#REF!</f>
        <v>#REF!</v>
      </c>
      <c r="R3" s="4" t="e">
        <f>#REF!</f>
        <v>#REF!</v>
      </c>
      <c r="S3" s="4" t="e">
        <f>#REF!</f>
        <v>#REF!</v>
      </c>
      <c r="T3" s="4" t="e">
        <f>#REF!</f>
        <v>#REF!</v>
      </c>
      <c r="U3" s="4" t="e">
        <f>#REF!</f>
        <v>#REF!</v>
      </c>
      <c r="V3" s="4" t="e">
        <f>#REF!</f>
        <v>#REF!</v>
      </c>
      <c r="W3" s="4" t="e">
        <f>#REF!</f>
        <v>#REF!</v>
      </c>
      <c r="X3" s="4" t="e">
        <f>#REF!</f>
        <v>#REF!</v>
      </c>
      <c r="Y3" s="4" t="e">
        <f>#REF!</f>
        <v>#REF!</v>
      </c>
      <c r="Z3" s="4" t="e">
        <f>#REF!</f>
        <v>#REF!</v>
      </c>
      <c r="AA3" s="4" t="e">
        <f>#REF!</f>
        <v>#REF!</v>
      </c>
      <c r="AB3" s="4" t="e">
        <f>#REF!</f>
        <v>#REF!</v>
      </c>
      <c r="AC3" s="4" t="e">
        <f>#REF!</f>
        <v>#REF!</v>
      </c>
      <c r="AD3" s="4" t="e">
        <f>#REF!</f>
        <v>#REF!</v>
      </c>
      <c r="AE3" s="4" t="e">
        <f>#REF!</f>
        <v>#REF!</v>
      </c>
      <c r="AF3" s="4" t="e">
        <f>#REF!</f>
        <v>#REF!</v>
      </c>
      <c r="AG3" s="4" t="e">
        <f>#REF!</f>
        <v>#REF!</v>
      </c>
      <c r="AH3" s="4" t="e">
        <f>#REF!</f>
        <v>#REF!</v>
      </c>
      <c r="AI3" s="4" t="e">
        <f>#REF!</f>
        <v>#REF!</v>
      </c>
      <c r="AJ3" s="4" t="e">
        <f>#REF!</f>
        <v>#REF!</v>
      </c>
      <c r="AK3" s="4" t="e">
        <f>#REF!</f>
        <v>#REF!</v>
      </c>
      <c r="AL3" s="4" t="e">
        <f>#REF!</f>
        <v>#REF!</v>
      </c>
      <c r="AM3" s="4" t="e">
        <f>#REF!</f>
        <v>#REF!</v>
      </c>
      <c r="AN3" s="4" t="e">
        <f>#REF!</f>
        <v>#REF!</v>
      </c>
      <c r="AO3" s="4" t="e">
        <f>#REF!</f>
        <v>#REF!</v>
      </c>
      <c r="AP3" s="4" t="e">
        <f>#REF!</f>
        <v>#REF!</v>
      </c>
      <c r="AQ3" s="4" t="e">
        <f>#REF!</f>
        <v>#REF!</v>
      </c>
      <c r="AR3" s="4" t="e">
        <f>#REF!</f>
        <v>#REF!</v>
      </c>
      <c r="AS3" s="4" t="e">
        <f>#REF!</f>
        <v>#REF!</v>
      </c>
      <c r="AT3" s="4" t="e">
        <f>#REF!</f>
        <v>#REF!</v>
      </c>
      <c r="AU3" s="4" t="e">
        <f>#REF!</f>
        <v>#REF!</v>
      </c>
      <c r="AV3" s="4" t="e">
        <f>#REF!</f>
        <v>#REF!</v>
      </c>
      <c r="AW3" s="4" t="e">
        <f>#REF!</f>
        <v>#REF!</v>
      </c>
      <c r="AX3" s="4" t="e">
        <f>#REF!</f>
        <v>#REF!</v>
      </c>
      <c r="AY3" s="4" t="e">
        <f>#REF!</f>
        <v>#REF!</v>
      </c>
      <c r="AZ3" s="4" t="e">
        <f>#REF!</f>
        <v>#REF!</v>
      </c>
      <c r="BA3" s="4" t="e">
        <f>#REF!</f>
        <v>#REF!</v>
      </c>
      <c r="BB3" s="4" t="e">
        <f>#REF!</f>
        <v>#REF!</v>
      </c>
      <c r="BC3" s="4" t="e">
        <f>#REF!</f>
        <v>#REF!</v>
      </c>
      <c r="BD3" s="4" t="e">
        <f>#REF!</f>
        <v>#REF!</v>
      </c>
      <c r="BE3" s="4" t="e">
        <f>#REF!</f>
        <v>#REF!</v>
      </c>
      <c r="BF3" s="4" t="e">
        <f>#REF!</f>
        <v>#REF!</v>
      </c>
      <c r="BG3" s="4" t="e">
        <f>#REF!</f>
        <v>#REF!</v>
      </c>
      <c r="BH3" s="4" t="e">
        <f>#REF!</f>
        <v>#REF!</v>
      </c>
      <c r="BI3" s="4" t="e">
        <f>#REF!</f>
        <v>#REF!</v>
      </c>
      <c r="BJ3" s="4" t="e">
        <f>#REF!</f>
        <v>#REF!</v>
      </c>
      <c r="BK3" s="4" t="e">
        <f>#REF!</f>
        <v>#REF!</v>
      </c>
      <c r="BL3" s="4" t="e">
        <f>#REF!</f>
        <v>#REF!</v>
      </c>
      <c r="BM3" s="4" t="e">
        <f>#REF!</f>
        <v>#REF!</v>
      </c>
      <c r="BN3" s="4" t="e">
        <f>#REF!</f>
        <v>#REF!</v>
      </c>
      <c r="BO3" s="4" t="e">
        <f>#REF!</f>
        <v>#REF!</v>
      </c>
      <c r="BP3" s="4" t="e">
        <f>#REF!</f>
        <v>#REF!</v>
      </c>
      <c r="BQ3" s="4" t="e">
        <f>#REF!</f>
        <v>#REF!</v>
      </c>
      <c r="BR3" s="4" t="e">
        <f>#REF!</f>
        <v>#REF!</v>
      </c>
      <c r="BS3" s="4" t="e">
        <f>#REF!</f>
        <v>#REF!</v>
      </c>
      <c r="BT3" s="4" t="e">
        <f>#REF!</f>
        <v>#REF!</v>
      </c>
      <c r="BU3" s="4" t="e">
        <f>#REF!</f>
        <v>#REF!</v>
      </c>
      <c r="BV3" s="4" t="e">
        <f>#REF!</f>
        <v>#REF!</v>
      </c>
      <c r="BW3" s="4" t="e">
        <f>#REF!</f>
        <v>#REF!</v>
      </c>
      <c r="BX3" s="4" t="e">
        <f>#REF!</f>
        <v>#REF!</v>
      </c>
      <c r="BY3" s="4" t="e">
        <f>#REF!</f>
        <v>#REF!</v>
      </c>
      <c r="BZ3" s="4" t="e">
        <f>#REF!</f>
        <v>#REF!</v>
      </c>
      <c r="CA3" s="4" t="e">
        <f>#REF!</f>
        <v>#REF!</v>
      </c>
      <c r="CB3" s="4" t="e">
        <f>#REF!</f>
        <v>#REF!</v>
      </c>
      <c r="CC3" s="4" t="e">
        <f>#REF!</f>
        <v>#REF!</v>
      </c>
      <c r="CD3" s="4" t="e">
        <f>#REF!</f>
        <v>#REF!</v>
      </c>
      <c r="CE3" s="4" t="e">
        <f>#REF!</f>
        <v>#REF!</v>
      </c>
      <c r="CF3" s="4" t="e">
        <f>#REF!</f>
        <v>#REF!</v>
      </c>
      <c r="CG3" s="4" t="e">
        <f>#REF!</f>
        <v>#REF!</v>
      </c>
      <c r="CH3" s="4" t="e">
        <f>#REF!</f>
        <v>#REF!</v>
      </c>
      <c r="CI3" s="4" t="e">
        <f>#REF!</f>
        <v>#REF!</v>
      </c>
      <c r="CJ3" s="4" t="e">
        <f>#REF!</f>
        <v>#REF!</v>
      </c>
      <c r="CK3" s="4" t="e">
        <f>#REF!</f>
        <v>#REF!</v>
      </c>
      <c r="CL3" s="4" t="e">
        <f>#REF!</f>
        <v>#REF!</v>
      </c>
      <c r="CM3" s="4" t="e">
        <f>#REF!</f>
        <v>#REF!</v>
      </c>
      <c r="CN3" s="4" t="e">
        <f>#REF!</f>
        <v>#REF!</v>
      </c>
      <c r="CO3" s="4" t="e">
        <f>#REF!</f>
        <v>#REF!</v>
      </c>
      <c r="CP3" s="4" t="e">
        <f>#REF!</f>
        <v>#REF!</v>
      </c>
      <c r="CQ3" s="4" t="e">
        <f>#REF!</f>
        <v>#REF!</v>
      </c>
      <c r="CR3" s="4" t="e">
        <f>#REF!</f>
        <v>#REF!</v>
      </c>
      <c r="CS3" s="4" t="e">
        <f>#REF!</f>
        <v>#REF!</v>
      </c>
      <c r="CT3" s="4" t="e">
        <f>#REF!</f>
        <v>#REF!</v>
      </c>
      <c r="CU3" s="4" t="e">
        <f>#REF!</f>
        <v>#REF!</v>
      </c>
      <c r="CV3" s="4" t="e">
        <f>#REF!</f>
        <v>#REF!</v>
      </c>
      <c r="CW3" s="4" t="e">
        <f>#REF!</f>
        <v>#REF!</v>
      </c>
      <c r="CX3" s="4" t="e">
        <f>#REF!</f>
        <v>#REF!</v>
      </c>
      <c r="CY3" s="4" t="e">
        <f>#REF!</f>
        <v>#REF!</v>
      </c>
      <c r="CZ3" s="4" t="e">
        <f>#REF!</f>
        <v>#REF!</v>
      </c>
      <c r="DA3" s="4" t="e">
        <f>#REF!</f>
        <v>#REF!</v>
      </c>
      <c r="DB3" s="4" t="e">
        <f>#REF!</f>
        <v>#REF!</v>
      </c>
      <c r="DC3" s="4" t="e">
        <f>#REF!</f>
        <v>#REF!</v>
      </c>
      <c r="DD3" s="4" t="e">
        <f>#REF!</f>
        <v>#REF!</v>
      </c>
      <c r="DE3" s="4" t="e">
        <f>#REF!</f>
        <v>#REF!</v>
      </c>
      <c r="DF3" s="4" t="e">
        <f>#REF!</f>
        <v>#REF!</v>
      </c>
      <c r="DG3" s="4" t="e">
        <f>#REF!</f>
        <v>#REF!</v>
      </c>
      <c r="DH3" s="4" t="e">
        <f>#REF!</f>
        <v>#REF!</v>
      </c>
      <c r="DI3" s="4" t="e">
        <f>#REF!</f>
        <v>#REF!</v>
      </c>
      <c r="DJ3" s="4" t="e">
        <f>#REF!</f>
        <v>#REF!</v>
      </c>
      <c r="DK3" s="4" t="e">
        <f>#REF!</f>
        <v>#REF!</v>
      </c>
      <c r="DL3" s="4" t="e">
        <f>#REF!</f>
        <v>#REF!</v>
      </c>
      <c r="DM3" s="4" t="e">
        <f>#REF!</f>
        <v>#REF!</v>
      </c>
      <c r="DN3" s="4" t="e">
        <f>#REF!</f>
        <v>#REF!</v>
      </c>
      <c r="DO3" s="4" t="e">
        <f>#REF!</f>
        <v>#REF!</v>
      </c>
      <c r="DP3" s="4" t="e">
        <f>#REF!</f>
        <v>#REF!</v>
      </c>
      <c r="DQ3" s="4" t="e">
        <f>#REF!</f>
        <v>#REF!</v>
      </c>
      <c r="DR3" s="4" t="e">
        <f>#REF!</f>
        <v>#REF!</v>
      </c>
      <c r="DS3" s="4" t="e">
        <f>#REF!</f>
        <v>#REF!</v>
      </c>
      <c r="DT3" s="4" t="e">
        <f>#REF!</f>
        <v>#REF!</v>
      </c>
      <c r="DU3" s="4" t="e">
        <f>#REF!</f>
        <v>#REF!</v>
      </c>
    </row>
    <row r="4" spans="1:125" s="4" customFormat="1" x14ac:dyDescent="0.25">
      <c r="A4" s="4" t="e">
        <f>#REF!</f>
        <v>#REF!</v>
      </c>
      <c r="B4" s="4" t="e">
        <f>#REF!</f>
        <v>#REF!</v>
      </c>
      <c r="C4" s="4" t="e">
        <f>#REF!</f>
        <v>#REF!</v>
      </c>
      <c r="D4" s="4" t="e">
        <f>#REF!</f>
        <v>#REF!</v>
      </c>
      <c r="E4" s="4" t="e">
        <f>#REF!</f>
        <v>#REF!</v>
      </c>
      <c r="F4" s="4" t="e">
        <f>#REF!</f>
        <v>#REF!</v>
      </c>
      <c r="G4" s="4" t="e">
        <f>#REF!</f>
        <v>#REF!</v>
      </c>
      <c r="H4" s="4" t="e">
        <f>#REF!</f>
        <v>#REF!</v>
      </c>
      <c r="I4" s="4" t="e">
        <f>#REF!</f>
        <v>#REF!</v>
      </c>
      <c r="J4" s="4" t="e">
        <f>#REF!</f>
        <v>#REF!</v>
      </c>
      <c r="K4" s="4" t="e">
        <f>#REF!</f>
        <v>#REF!</v>
      </c>
      <c r="L4" s="4" t="e">
        <f>#REF!</f>
        <v>#REF!</v>
      </c>
      <c r="M4" s="4" t="e">
        <f>#REF!</f>
        <v>#REF!</v>
      </c>
      <c r="N4" s="4" t="e">
        <f>#REF!</f>
        <v>#REF!</v>
      </c>
      <c r="O4" s="4" t="e">
        <f>#REF!</f>
        <v>#REF!</v>
      </c>
      <c r="P4" s="4" t="e">
        <f>#REF!</f>
        <v>#REF!</v>
      </c>
      <c r="Q4" s="4" t="e">
        <f>#REF!</f>
        <v>#REF!</v>
      </c>
      <c r="R4" s="4" t="e">
        <f>#REF!</f>
        <v>#REF!</v>
      </c>
      <c r="S4" s="4" t="e">
        <f>#REF!</f>
        <v>#REF!</v>
      </c>
      <c r="T4" s="4" t="e">
        <f>#REF!</f>
        <v>#REF!</v>
      </c>
      <c r="U4" s="4" t="e">
        <f>#REF!</f>
        <v>#REF!</v>
      </c>
      <c r="V4" s="4" t="e">
        <f>#REF!</f>
        <v>#REF!</v>
      </c>
      <c r="W4" s="4" t="e">
        <f>#REF!</f>
        <v>#REF!</v>
      </c>
      <c r="X4" s="4" t="e">
        <f>#REF!</f>
        <v>#REF!</v>
      </c>
      <c r="Y4" s="4" t="e">
        <f>#REF!</f>
        <v>#REF!</v>
      </c>
      <c r="Z4" s="4" t="e">
        <f>#REF!</f>
        <v>#REF!</v>
      </c>
      <c r="AA4" s="4" t="e">
        <f>#REF!</f>
        <v>#REF!</v>
      </c>
      <c r="AB4" s="4" t="e">
        <f>#REF!</f>
        <v>#REF!</v>
      </c>
      <c r="AC4" s="4" t="e">
        <f>#REF!</f>
        <v>#REF!</v>
      </c>
      <c r="AD4" s="4" t="e">
        <f>#REF!</f>
        <v>#REF!</v>
      </c>
      <c r="AE4" s="4" t="e">
        <f>#REF!</f>
        <v>#REF!</v>
      </c>
      <c r="AF4" s="4" t="e">
        <f>#REF!</f>
        <v>#REF!</v>
      </c>
      <c r="AG4" s="4" t="e">
        <f>#REF!</f>
        <v>#REF!</v>
      </c>
      <c r="AH4" s="4" t="e">
        <f>#REF!</f>
        <v>#REF!</v>
      </c>
      <c r="AI4" s="4" t="e">
        <f>#REF!</f>
        <v>#REF!</v>
      </c>
      <c r="AJ4" s="4" t="e">
        <f>#REF!</f>
        <v>#REF!</v>
      </c>
      <c r="AK4" s="4" t="e">
        <f>#REF!</f>
        <v>#REF!</v>
      </c>
      <c r="AL4" s="4" t="e">
        <f>#REF!</f>
        <v>#REF!</v>
      </c>
      <c r="AM4" s="4" t="e">
        <f>#REF!</f>
        <v>#REF!</v>
      </c>
      <c r="AN4" s="4" t="e">
        <f>#REF!</f>
        <v>#REF!</v>
      </c>
      <c r="AO4" s="4" t="e">
        <f>#REF!</f>
        <v>#REF!</v>
      </c>
      <c r="AP4" s="4" t="e">
        <f>#REF!</f>
        <v>#REF!</v>
      </c>
      <c r="AQ4" s="4" t="e">
        <f>#REF!</f>
        <v>#REF!</v>
      </c>
      <c r="AR4" s="4" t="e">
        <f>#REF!</f>
        <v>#REF!</v>
      </c>
      <c r="AS4" s="4" t="e">
        <f>#REF!</f>
        <v>#REF!</v>
      </c>
      <c r="AT4" s="4" t="e">
        <f>#REF!</f>
        <v>#REF!</v>
      </c>
      <c r="AU4" s="4" t="e">
        <f>#REF!</f>
        <v>#REF!</v>
      </c>
      <c r="AV4" s="4" t="e">
        <f>#REF!</f>
        <v>#REF!</v>
      </c>
      <c r="AW4" s="4" t="e">
        <f>#REF!</f>
        <v>#REF!</v>
      </c>
      <c r="AX4" s="4" t="e">
        <f>#REF!</f>
        <v>#REF!</v>
      </c>
      <c r="AY4" s="4" t="e">
        <f>#REF!</f>
        <v>#REF!</v>
      </c>
      <c r="AZ4" s="4" t="e">
        <f>#REF!</f>
        <v>#REF!</v>
      </c>
      <c r="BA4" s="4" t="e">
        <f>#REF!</f>
        <v>#REF!</v>
      </c>
      <c r="BB4" s="4" t="e">
        <f>#REF!</f>
        <v>#REF!</v>
      </c>
      <c r="BC4" s="4" t="e">
        <f>#REF!</f>
        <v>#REF!</v>
      </c>
      <c r="BD4" s="4" t="e">
        <f>#REF!</f>
        <v>#REF!</v>
      </c>
      <c r="BE4" s="4" t="e">
        <f>#REF!</f>
        <v>#REF!</v>
      </c>
      <c r="BF4" s="4" t="e">
        <f>#REF!</f>
        <v>#REF!</v>
      </c>
      <c r="BG4" s="4" t="e">
        <f>#REF!</f>
        <v>#REF!</v>
      </c>
      <c r="BH4" s="4" t="e">
        <f>#REF!</f>
        <v>#REF!</v>
      </c>
      <c r="BI4" s="4" t="e">
        <f>#REF!</f>
        <v>#REF!</v>
      </c>
      <c r="BJ4" s="4" t="e">
        <f>#REF!</f>
        <v>#REF!</v>
      </c>
      <c r="BK4" s="4" t="e">
        <f>#REF!</f>
        <v>#REF!</v>
      </c>
      <c r="BL4" s="4" t="e">
        <f>#REF!</f>
        <v>#REF!</v>
      </c>
      <c r="BM4" s="4" t="e">
        <f>#REF!</f>
        <v>#REF!</v>
      </c>
      <c r="BN4" s="4" t="e">
        <f>#REF!</f>
        <v>#REF!</v>
      </c>
      <c r="BO4" s="4" t="e">
        <f>#REF!</f>
        <v>#REF!</v>
      </c>
      <c r="BP4" s="4" t="e">
        <f>#REF!</f>
        <v>#REF!</v>
      </c>
      <c r="BQ4" s="4" t="e">
        <f>#REF!</f>
        <v>#REF!</v>
      </c>
      <c r="BR4" s="4" t="e">
        <f>#REF!</f>
        <v>#REF!</v>
      </c>
      <c r="BS4" s="4" t="e">
        <f>#REF!</f>
        <v>#REF!</v>
      </c>
      <c r="BT4" s="4" t="e">
        <f>#REF!</f>
        <v>#REF!</v>
      </c>
      <c r="BU4" s="4" t="e">
        <f>#REF!</f>
        <v>#REF!</v>
      </c>
      <c r="BV4" s="4" t="e">
        <f>#REF!</f>
        <v>#REF!</v>
      </c>
      <c r="BW4" s="4" t="e">
        <f>#REF!</f>
        <v>#REF!</v>
      </c>
      <c r="BX4" s="4" t="e">
        <f>#REF!</f>
        <v>#REF!</v>
      </c>
      <c r="BY4" s="4" t="e">
        <f>#REF!</f>
        <v>#REF!</v>
      </c>
      <c r="BZ4" s="4" t="e">
        <f>#REF!</f>
        <v>#REF!</v>
      </c>
      <c r="CA4" s="4" t="e">
        <f>#REF!</f>
        <v>#REF!</v>
      </c>
      <c r="CB4" s="4" t="e">
        <f>#REF!</f>
        <v>#REF!</v>
      </c>
      <c r="CC4" s="4" t="e">
        <f>#REF!</f>
        <v>#REF!</v>
      </c>
      <c r="CD4" s="4" t="e">
        <f>#REF!</f>
        <v>#REF!</v>
      </c>
      <c r="CE4" s="4" t="e">
        <f>#REF!</f>
        <v>#REF!</v>
      </c>
      <c r="CF4" s="4" t="e">
        <f>#REF!</f>
        <v>#REF!</v>
      </c>
      <c r="CG4" s="4" t="e">
        <f>#REF!</f>
        <v>#REF!</v>
      </c>
      <c r="CH4" s="4" t="e">
        <f>#REF!</f>
        <v>#REF!</v>
      </c>
      <c r="CI4" s="4" t="e">
        <f>#REF!</f>
        <v>#REF!</v>
      </c>
      <c r="CJ4" s="4" t="e">
        <f>#REF!</f>
        <v>#REF!</v>
      </c>
      <c r="CK4" s="4" t="e">
        <f>#REF!</f>
        <v>#REF!</v>
      </c>
      <c r="CL4" s="4" t="e">
        <f>#REF!</f>
        <v>#REF!</v>
      </c>
      <c r="CM4" s="4" t="e">
        <f>#REF!</f>
        <v>#REF!</v>
      </c>
      <c r="CN4" s="4" t="e">
        <f>#REF!</f>
        <v>#REF!</v>
      </c>
      <c r="CO4" s="4" t="e">
        <f>#REF!</f>
        <v>#REF!</v>
      </c>
      <c r="CP4" s="4" t="e">
        <f>#REF!</f>
        <v>#REF!</v>
      </c>
      <c r="CQ4" s="4" t="e">
        <f>#REF!</f>
        <v>#REF!</v>
      </c>
      <c r="CR4" s="4" t="e">
        <f>#REF!</f>
        <v>#REF!</v>
      </c>
      <c r="CS4" s="4" t="e">
        <f>#REF!</f>
        <v>#REF!</v>
      </c>
      <c r="CT4" s="4" t="e">
        <f>#REF!</f>
        <v>#REF!</v>
      </c>
      <c r="CU4" s="4" t="e">
        <f>#REF!</f>
        <v>#REF!</v>
      </c>
      <c r="CV4" s="4" t="e">
        <f>#REF!</f>
        <v>#REF!</v>
      </c>
      <c r="CW4" s="4" t="e">
        <f>#REF!</f>
        <v>#REF!</v>
      </c>
      <c r="CX4" s="4" t="e">
        <f>#REF!</f>
        <v>#REF!</v>
      </c>
      <c r="CY4" s="4" t="e">
        <f>#REF!</f>
        <v>#REF!</v>
      </c>
      <c r="CZ4" s="4" t="e">
        <f>#REF!</f>
        <v>#REF!</v>
      </c>
      <c r="DA4" s="4" t="e">
        <f>#REF!</f>
        <v>#REF!</v>
      </c>
      <c r="DB4" s="4" t="e">
        <f>#REF!</f>
        <v>#REF!</v>
      </c>
      <c r="DC4" s="4" t="e">
        <f>#REF!</f>
        <v>#REF!</v>
      </c>
      <c r="DD4" s="4" t="e">
        <f>#REF!</f>
        <v>#REF!</v>
      </c>
      <c r="DE4" s="4" t="e">
        <f>#REF!</f>
        <v>#REF!</v>
      </c>
      <c r="DF4" s="4" t="e">
        <f>#REF!</f>
        <v>#REF!</v>
      </c>
      <c r="DG4" s="4" t="e">
        <f>#REF!</f>
        <v>#REF!</v>
      </c>
      <c r="DH4" s="4" t="e">
        <f>#REF!</f>
        <v>#REF!</v>
      </c>
      <c r="DI4" s="4" t="e">
        <f>#REF!</f>
        <v>#REF!</v>
      </c>
      <c r="DJ4" s="4" t="e">
        <f>#REF!</f>
        <v>#REF!</v>
      </c>
      <c r="DK4" s="4" t="e">
        <f>#REF!</f>
        <v>#REF!</v>
      </c>
      <c r="DL4" s="4" t="e">
        <f>#REF!</f>
        <v>#REF!</v>
      </c>
      <c r="DM4" s="4" t="e">
        <f>#REF!</f>
        <v>#REF!</v>
      </c>
      <c r="DN4" s="4" t="e">
        <f>#REF!</f>
        <v>#REF!</v>
      </c>
      <c r="DO4" s="4" t="e">
        <f>#REF!</f>
        <v>#REF!</v>
      </c>
      <c r="DP4" s="4" t="e">
        <f>#REF!</f>
        <v>#REF!</v>
      </c>
      <c r="DQ4" s="4" t="e">
        <f>#REF!</f>
        <v>#REF!</v>
      </c>
      <c r="DR4" s="4" t="e">
        <f>#REF!</f>
        <v>#REF!</v>
      </c>
      <c r="DS4" s="4" t="e">
        <f>#REF!</f>
        <v>#REF!</v>
      </c>
      <c r="DT4" s="4" t="e">
        <f>#REF!</f>
        <v>#REF!</v>
      </c>
      <c r="DU4" s="4" t="e">
        <f>#REF!</f>
        <v>#REF!</v>
      </c>
    </row>
    <row r="6" spans="1:125" x14ac:dyDescent="0.25">
      <c r="A6" s="4" t="s">
        <v>16</v>
      </c>
      <c r="B6" s="4">
        <v>11</v>
      </c>
    </row>
    <row r="7" spans="1:125" ht="15.75" thickBot="1" x14ac:dyDescent="0.3">
      <c r="A7" s="4" t="s">
        <v>45</v>
      </c>
      <c r="B7" s="4">
        <v>7</v>
      </c>
    </row>
    <row r="8" spans="1:125" x14ac:dyDescent="0.25">
      <c r="A8" s="4" t="s">
        <v>53</v>
      </c>
      <c r="B8" s="4">
        <v>7</v>
      </c>
      <c r="D8" s="13" t="s">
        <v>143</v>
      </c>
      <c r="E8" s="13" t="s">
        <v>145</v>
      </c>
    </row>
    <row r="9" spans="1:125" x14ac:dyDescent="0.25">
      <c r="A9" s="4" t="s">
        <v>158</v>
      </c>
      <c r="B9" s="4">
        <v>7</v>
      </c>
      <c r="D9" s="39">
        <v>0</v>
      </c>
      <c r="E9" s="3">
        <v>2</v>
      </c>
    </row>
    <row r="10" spans="1:125" x14ac:dyDescent="0.25">
      <c r="A10" s="4" t="s">
        <v>94</v>
      </c>
      <c r="B10" s="4">
        <v>7</v>
      </c>
      <c r="D10" s="39">
        <v>1</v>
      </c>
      <c r="E10" s="3">
        <v>11</v>
      </c>
    </row>
    <row r="11" spans="1:125" x14ac:dyDescent="0.25">
      <c r="A11" s="4" t="s">
        <v>28</v>
      </c>
      <c r="B11" s="4">
        <v>6</v>
      </c>
      <c r="D11" s="39">
        <v>2</v>
      </c>
      <c r="E11" s="3">
        <v>14</v>
      </c>
    </row>
    <row r="12" spans="1:125" x14ac:dyDescent="0.25">
      <c r="A12" s="4" t="s">
        <v>31</v>
      </c>
      <c r="B12" s="4">
        <v>6</v>
      </c>
      <c r="D12" s="39">
        <v>3</v>
      </c>
      <c r="E12" s="3">
        <v>38</v>
      </c>
    </row>
    <row r="13" spans="1:125" x14ac:dyDescent="0.25">
      <c r="A13" s="4" t="s">
        <v>40</v>
      </c>
      <c r="B13" s="4">
        <v>6</v>
      </c>
      <c r="D13" s="39">
        <v>4</v>
      </c>
      <c r="E13" s="3">
        <v>20</v>
      </c>
    </row>
    <row r="14" spans="1:125" x14ac:dyDescent="0.25">
      <c r="A14" s="4" t="s">
        <v>41</v>
      </c>
      <c r="B14" s="4">
        <v>6</v>
      </c>
      <c r="D14" s="39">
        <v>5</v>
      </c>
      <c r="E14" s="3">
        <v>21</v>
      </c>
    </row>
    <row r="15" spans="1:125" x14ac:dyDescent="0.25">
      <c r="A15" s="4" t="s">
        <v>42</v>
      </c>
      <c r="B15" s="4">
        <v>6</v>
      </c>
      <c r="D15" s="39">
        <v>6</v>
      </c>
      <c r="E15" s="3">
        <v>14</v>
      </c>
    </row>
    <row r="16" spans="1:125" x14ac:dyDescent="0.25">
      <c r="A16" s="4" t="s">
        <v>49</v>
      </c>
      <c r="B16" s="4">
        <v>6</v>
      </c>
      <c r="D16" s="39">
        <v>7</v>
      </c>
      <c r="E16" s="3">
        <v>4</v>
      </c>
    </row>
    <row r="17" spans="1:5" x14ac:dyDescent="0.25">
      <c r="A17" s="4" t="s">
        <v>54</v>
      </c>
      <c r="B17" s="4">
        <v>6</v>
      </c>
      <c r="D17" s="39">
        <v>8</v>
      </c>
      <c r="E17" s="3">
        <v>0</v>
      </c>
    </row>
    <row r="18" spans="1:5" x14ac:dyDescent="0.25">
      <c r="A18" s="4" t="s">
        <v>61</v>
      </c>
      <c r="B18" s="4">
        <v>6</v>
      </c>
      <c r="D18" s="39">
        <v>9</v>
      </c>
      <c r="E18" s="3">
        <v>0</v>
      </c>
    </row>
    <row r="19" spans="1:5" x14ac:dyDescent="0.25">
      <c r="A19" s="4" t="s">
        <v>66</v>
      </c>
      <c r="B19" s="4">
        <v>6</v>
      </c>
      <c r="D19" s="39">
        <v>10</v>
      </c>
      <c r="E19" s="3">
        <v>0</v>
      </c>
    </row>
    <row r="20" spans="1:5" ht="15.75" thickBot="1" x14ac:dyDescent="0.3">
      <c r="A20" s="4" t="s">
        <v>79</v>
      </c>
      <c r="B20" s="4">
        <v>6</v>
      </c>
      <c r="D20" s="12" t="s">
        <v>144</v>
      </c>
      <c r="E20" s="12">
        <v>0</v>
      </c>
    </row>
    <row r="21" spans="1:5" x14ac:dyDescent="0.25">
      <c r="A21" s="4" t="s">
        <v>84</v>
      </c>
      <c r="B21" s="4">
        <v>6</v>
      </c>
    </row>
    <row r="22" spans="1:5" x14ac:dyDescent="0.25">
      <c r="A22" s="4" t="s">
        <v>159</v>
      </c>
      <c r="B22" s="4">
        <v>6</v>
      </c>
    </row>
    <row r="23" spans="1:5" x14ac:dyDescent="0.25">
      <c r="A23" s="4" t="s">
        <v>95</v>
      </c>
      <c r="B23" s="4">
        <v>6</v>
      </c>
    </row>
    <row r="24" spans="1:5" x14ac:dyDescent="0.25">
      <c r="A24" s="4" t="s">
        <v>161</v>
      </c>
      <c r="B24" s="4">
        <v>6</v>
      </c>
    </row>
    <row r="25" spans="1:5" x14ac:dyDescent="0.25">
      <c r="A25" s="4" t="s">
        <v>26</v>
      </c>
      <c r="B25" s="4">
        <v>5</v>
      </c>
    </row>
    <row r="26" spans="1:5" x14ac:dyDescent="0.25">
      <c r="A26" s="4" t="s">
        <v>29</v>
      </c>
      <c r="B26" s="4">
        <v>5</v>
      </c>
    </row>
    <row r="27" spans="1:5" x14ac:dyDescent="0.25">
      <c r="A27" s="4" t="s">
        <v>32</v>
      </c>
      <c r="B27" s="4">
        <v>5</v>
      </c>
    </row>
    <row r="28" spans="1:5" x14ac:dyDescent="0.25">
      <c r="A28" s="4" t="s">
        <v>43</v>
      </c>
      <c r="B28" s="4">
        <v>5</v>
      </c>
    </row>
    <row r="29" spans="1:5" x14ac:dyDescent="0.25">
      <c r="A29" s="4" t="s">
        <v>44</v>
      </c>
      <c r="B29" s="4">
        <v>5</v>
      </c>
    </row>
    <row r="30" spans="1:5" x14ac:dyDescent="0.25">
      <c r="A30" s="4" t="s">
        <v>46</v>
      </c>
      <c r="B30" s="4">
        <v>5</v>
      </c>
    </row>
    <row r="31" spans="1:5" x14ac:dyDescent="0.25">
      <c r="A31" s="4" t="s">
        <v>47</v>
      </c>
      <c r="B31" s="4">
        <v>5</v>
      </c>
    </row>
    <row r="32" spans="1:5" x14ac:dyDescent="0.25">
      <c r="A32" s="4" t="s">
        <v>55</v>
      </c>
      <c r="B32" s="4">
        <v>5</v>
      </c>
    </row>
    <row r="33" spans="1:2" x14ac:dyDescent="0.25">
      <c r="A33" s="4" t="s">
        <v>56</v>
      </c>
      <c r="B33" s="4">
        <v>5</v>
      </c>
    </row>
    <row r="34" spans="1:2" x14ac:dyDescent="0.25">
      <c r="A34" s="4" t="s">
        <v>57</v>
      </c>
      <c r="B34" s="4">
        <v>5</v>
      </c>
    </row>
    <row r="35" spans="1:2" x14ac:dyDescent="0.25">
      <c r="A35" s="4" t="s">
        <v>63</v>
      </c>
      <c r="B35" s="4">
        <v>5</v>
      </c>
    </row>
    <row r="36" spans="1:2" x14ac:dyDescent="0.25">
      <c r="A36" s="4" t="s">
        <v>64</v>
      </c>
      <c r="B36" s="4">
        <v>5</v>
      </c>
    </row>
    <row r="37" spans="1:2" x14ac:dyDescent="0.25">
      <c r="A37" s="4" t="s">
        <v>67</v>
      </c>
      <c r="B37" s="4">
        <v>5</v>
      </c>
    </row>
    <row r="38" spans="1:2" x14ac:dyDescent="0.25">
      <c r="A38" s="4" t="s">
        <v>68</v>
      </c>
      <c r="B38" s="4">
        <v>5</v>
      </c>
    </row>
    <row r="39" spans="1:2" x14ac:dyDescent="0.25">
      <c r="A39" s="4" t="s">
        <v>69</v>
      </c>
      <c r="B39" s="4">
        <v>5</v>
      </c>
    </row>
    <row r="40" spans="1:2" x14ac:dyDescent="0.25">
      <c r="A40" s="4" t="s">
        <v>74</v>
      </c>
      <c r="B40" s="4">
        <v>5</v>
      </c>
    </row>
    <row r="41" spans="1:2" x14ac:dyDescent="0.25">
      <c r="A41" s="4" t="s">
        <v>75</v>
      </c>
      <c r="B41" s="4">
        <v>5</v>
      </c>
    </row>
    <row r="42" spans="1:2" x14ac:dyDescent="0.25">
      <c r="A42" s="4" t="s">
        <v>78</v>
      </c>
      <c r="B42" s="4">
        <v>5</v>
      </c>
    </row>
    <row r="43" spans="1:2" x14ac:dyDescent="0.25">
      <c r="A43" s="4" t="s">
        <v>111</v>
      </c>
      <c r="B43" s="4">
        <v>5</v>
      </c>
    </row>
    <row r="44" spans="1:2" x14ac:dyDescent="0.25">
      <c r="A44" s="4" t="s">
        <v>112</v>
      </c>
      <c r="B44" s="4">
        <v>5</v>
      </c>
    </row>
    <row r="45" spans="1:2" x14ac:dyDescent="0.25">
      <c r="A45" s="4" t="s">
        <v>5</v>
      </c>
      <c r="B45" s="4">
        <v>5</v>
      </c>
    </row>
    <row r="46" spans="1:2" x14ac:dyDescent="0.25">
      <c r="A46" s="4" t="s">
        <v>30</v>
      </c>
      <c r="B46" s="4">
        <v>4</v>
      </c>
    </row>
    <row r="47" spans="1:2" x14ac:dyDescent="0.25">
      <c r="A47" s="4" t="s">
        <v>33</v>
      </c>
      <c r="B47" s="4">
        <v>4</v>
      </c>
    </row>
    <row r="48" spans="1:2" x14ac:dyDescent="0.25">
      <c r="A48" s="4" t="s">
        <v>34</v>
      </c>
      <c r="B48" s="4">
        <v>4</v>
      </c>
    </row>
    <row r="49" spans="1:2" x14ac:dyDescent="0.25">
      <c r="A49" s="4" t="s">
        <v>35</v>
      </c>
      <c r="B49" s="4">
        <v>4</v>
      </c>
    </row>
    <row r="50" spans="1:2" x14ac:dyDescent="0.25">
      <c r="A50" s="4" t="s">
        <v>36</v>
      </c>
      <c r="B50" s="4">
        <v>4</v>
      </c>
    </row>
    <row r="51" spans="1:2" x14ac:dyDescent="0.25">
      <c r="A51" s="4" t="s">
        <v>37</v>
      </c>
      <c r="B51" s="4">
        <v>4</v>
      </c>
    </row>
    <row r="52" spans="1:2" x14ac:dyDescent="0.25">
      <c r="A52" s="4" t="s">
        <v>38</v>
      </c>
      <c r="B52" s="4">
        <v>4</v>
      </c>
    </row>
    <row r="53" spans="1:2" x14ac:dyDescent="0.25">
      <c r="A53" s="4" t="s">
        <v>39</v>
      </c>
      <c r="B53" s="4">
        <v>4</v>
      </c>
    </row>
    <row r="54" spans="1:2" x14ac:dyDescent="0.25">
      <c r="A54" s="4" t="s">
        <v>58</v>
      </c>
      <c r="B54" s="4">
        <v>4</v>
      </c>
    </row>
    <row r="55" spans="1:2" x14ac:dyDescent="0.25">
      <c r="A55" s="4" t="s">
        <v>157</v>
      </c>
      <c r="B55" s="4">
        <v>4</v>
      </c>
    </row>
    <row r="56" spans="1:2" x14ac:dyDescent="0.25">
      <c r="A56" s="4" t="s">
        <v>65</v>
      </c>
      <c r="B56" s="4">
        <v>4</v>
      </c>
    </row>
    <row r="57" spans="1:2" x14ac:dyDescent="0.25">
      <c r="A57" s="4" t="s">
        <v>81</v>
      </c>
      <c r="B57" s="4">
        <v>4</v>
      </c>
    </row>
    <row r="58" spans="1:2" x14ac:dyDescent="0.25">
      <c r="A58" s="4" t="s">
        <v>83</v>
      </c>
      <c r="B58" s="4">
        <v>4</v>
      </c>
    </row>
    <row r="59" spans="1:2" x14ac:dyDescent="0.25">
      <c r="A59" s="4" t="s">
        <v>85</v>
      </c>
      <c r="B59" s="4">
        <v>4</v>
      </c>
    </row>
    <row r="60" spans="1:2" x14ac:dyDescent="0.25">
      <c r="A60" s="4" t="s">
        <v>89</v>
      </c>
      <c r="B60" s="4">
        <v>4</v>
      </c>
    </row>
    <row r="61" spans="1:2" x14ac:dyDescent="0.25">
      <c r="A61" s="4" t="s">
        <v>96</v>
      </c>
      <c r="B61" s="4">
        <v>4</v>
      </c>
    </row>
    <row r="62" spans="1:2" x14ac:dyDescent="0.25">
      <c r="A62" s="4" t="s">
        <v>97</v>
      </c>
      <c r="B62" s="4">
        <v>4</v>
      </c>
    </row>
    <row r="63" spans="1:2" x14ac:dyDescent="0.25">
      <c r="A63" s="4" t="s">
        <v>98</v>
      </c>
      <c r="B63" s="4">
        <v>4</v>
      </c>
    </row>
    <row r="64" spans="1:2" x14ac:dyDescent="0.25">
      <c r="A64" s="4" t="s">
        <v>102</v>
      </c>
      <c r="B64" s="4">
        <v>4</v>
      </c>
    </row>
    <row r="65" spans="1:2" x14ac:dyDescent="0.25">
      <c r="A65" s="4" t="s">
        <v>114</v>
      </c>
      <c r="B65" s="4">
        <v>4</v>
      </c>
    </row>
    <row r="66" spans="1:2" x14ac:dyDescent="0.25">
      <c r="A66" s="4" t="s">
        <v>24</v>
      </c>
      <c r="B66" s="4">
        <v>3</v>
      </c>
    </row>
    <row r="67" spans="1:2" x14ac:dyDescent="0.25">
      <c r="A67" s="4" t="s">
        <v>27</v>
      </c>
      <c r="B67" s="4">
        <v>3</v>
      </c>
    </row>
    <row r="68" spans="1:2" x14ac:dyDescent="0.25">
      <c r="A68" s="4" t="s">
        <v>48</v>
      </c>
      <c r="B68" s="4">
        <v>3</v>
      </c>
    </row>
    <row r="69" spans="1:2" x14ac:dyDescent="0.25">
      <c r="A69" s="4" t="s">
        <v>62</v>
      </c>
      <c r="B69" s="4">
        <v>3</v>
      </c>
    </row>
    <row r="70" spans="1:2" x14ac:dyDescent="0.25">
      <c r="A70" s="4" t="s">
        <v>76</v>
      </c>
      <c r="B70" s="4">
        <v>3</v>
      </c>
    </row>
    <row r="71" spans="1:2" x14ac:dyDescent="0.25">
      <c r="A71" s="4" t="s">
        <v>77</v>
      </c>
      <c r="B71" s="4">
        <v>3</v>
      </c>
    </row>
    <row r="72" spans="1:2" x14ac:dyDescent="0.25">
      <c r="A72" s="4" t="s">
        <v>82</v>
      </c>
      <c r="B72" s="4">
        <v>3</v>
      </c>
    </row>
    <row r="73" spans="1:2" x14ac:dyDescent="0.25">
      <c r="A73" s="4" t="s">
        <v>86</v>
      </c>
      <c r="B73" s="4">
        <v>3</v>
      </c>
    </row>
    <row r="74" spans="1:2" x14ac:dyDescent="0.25">
      <c r="A74" s="4" t="s">
        <v>87</v>
      </c>
      <c r="B74" s="4">
        <v>3</v>
      </c>
    </row>
    <row r="75" spans="1:2" x14ac:dyDescent="0.25">
      <c r="A75" s="4" t="s">
        <v>88</v>
      </c>
      <c r="B75" s="4">
        <v>3</v>
      </c>
    </row>
    <row r="76" spans="1:2" x14ac:dyDescent="0.25">
      <c r="A76" s="4" t="s">
        <v>90</v>
      </c>
      <c r="B76" s="4">
        <v>3</v>
      </c>
    </row>
    <row r="77" spans="1:2" x14ac:dyDescent="0.25">
      <c r="A77" s="4" t="s">
        <v>91</v>
      </c>
      <c r="B77" s="4">
        <v>3</v>
      </c>
    </row>
    <row r="78" spans="1:2" x14ac:dyDescent="0.25">
      <c r="A78" s="4" t="s">
        <v>92</v>
      </c>
      <c r="B78" s="4">
        <v>3</v>
      </c>
    </row>
    <row r="79" spans="1:2" x14ac:dyDescent="0.25">
      <c r="A79" s="4" t="s">
        <v>99</v>
      </c>
      <c r="B79" s="4">
        <v>3</v>
      </c>
    </row>
    <row r="80" spans="1:2" x14ac:dyDescent="0.25">
      <c r="A80" s="4" t="s">
        <v>100</v>
      </c>
      <c r="B80" s="4">
        <v>3</v>
      </c>
    </row>
    <row r="81" spans="1:2" x14ac:dyDescent="0.25">
      <c r="A81" s="4" t="s">
        <v>101</v>
      </c>
      <c r="B81" s="4">
        <v>3</v>
      </c>
    </row>
    <row r="82" spans="1:2" x14ac:dyDescent="0.25">
      <c r="A82" s="4" t="s">
        <v>106</v>
      </c>
      <c r="B82" s="4">
        <v>3</v>
      </c>
    </row>
    <row r="83" spans="1:2" x14ac:dyDescent="0.25">
      <c r="A83" s="4" t="s">
        <v>107</v>
      </c>
      <c r="B83" s="4">
        <v>3</v>
      </c>
    </row>
    <row r="84" spans="1:2" x14ac:dyDescent="0.25">
      <c r="A84" s="4" t="s">
        <v>18</v>
      </c>
      <c r="B84" s="4">
        <v>3</v>
      </c>
    </row>
    <row r="85" spans="1:2" x14ac:dyDescent="0.25">
      <c r="A85" s="4" t="s">
        <v>19</v>
      </c>
      <c r="B85" s="4">
        <v>3</v>
      </c>
    </row>
    <row r="86" spans="1:2" x14ac:dyDescent="0.25">
      <c r="A86" s="4" t="s">
        <v>20</v>
      </c>
      <c r="B86" s="4">
        <v>3</v>
      </c>
    </row>
    <row r="87" spans="1:2" x14ac:dyDescent="0.25">
      <c r="A87" s="4" t="s">
        <v>110</v>
      </c>
      <c r="B87" s="4">
        <v>3</v>
      </c>
    </row>
    <row r="88" spans="1:2" x14ac:dyDescent="0.25">
      <c r="A88" s="4" t="s">
        <v>116</v>
      </c>
      <c r="B88" s="4">
        <v>3</v>
      </c>
    </row>
    <row r="89" spans="1:2" x14ac:dyDescent="0.25">
      <c r="A89" s="4" t="s">
        <v>119</v>
      </c>
      <c r="B89" s="4">
        <v>3</v>
      </c>
    </row>
    <row r="90" spans="1:2" x14ac:dyDescent="0.25">
      <c r="A90" s="4" t="s">
        <v>122</v>
      </c>
      <c r="B90" s="4">
        <v>3</v>
      </c>
    </row>
    <row r="91" spans="1:2" x14ac:dyDescent="0.25">
      <c r="A91" s="4" t="s">
        <v>123</v>
      </c>
      <c r="B91" s="4">
        <v>3</v>
      </c>
    </row>
    <row r="92" spans="1:2" x14ac:dyDescent="0.25">
      <c r="A92" s="4" t="s">
        <v>124</v>
      </c>
      <c r="B92" s="4">
        <v>3</v>
      </c>
    </row>
    <row r="93" spans="1:2" x14ac:dyDescent="0.25">
      <c r="A93" s="4" t="s">
        <v>15</v>
      </c>
      <c r="B93" s="4">
        <v>3</v>
      </c>
    </row>
    <row r="94" spans="1:2" x14ac:dyDescent="0.25">
      <c r="A94" s="4" t="s">
        <v>14</v>
      </c>
      <c r="B94" s="4">
        <v>3</v>
      </c>
    </row>
    <row r="95" spans="1:2" x14ac:dyDescent="0.25">
      <c r="A95" s="4" t="s">
        <v>13</v>
      </c>
      <c r="B95" s="4">
        <v>3</v>
      </c>
    </row>
    <row r="96" spans="1:2" x14ac:dyDescent="0.25">
      <c r="A96" s="4" t="s">
        <v>12</v>
      </c>
      <c r="B96" s="4">
        <v>3</v>
      </c>
    </row>
    <row r="97" spans="1:2" x14ac:dyDescent="0.25">
      <c r="A97" s="4" t="s">
        <v>11</v>
      </c>
      <c r="B97" s="4">
        <v>3</v>
      </c>
    </row>
    <row r="98" spans="1:2" x14ac:dyDescent="0.25">
      <c r="A98" s="4" t="s">
        <v>10</v>
      </c>
      <c r="B98" s="4">
        <v>3</v>
      </c>
    </row>
    <row r="99" spans="1:2" x14ac:dyDescent="0.25">
      <c r="A99" s="4" t="s">
        <v>7</v>
      </c>
      <c r="B99" s="4">
        <v>3</v>
      </c>
    </row>
    <row r="100" spans="1:2" x14ac:dyDescent="0.25">
      <c r="A100" s="4" t="s">
        <v>6</v>
      </c>
      <c r="B100" s="4">
        <v>3</v>
      </c>
    </row>
    <row r="101" spans="1:2" x14ac:dyDescent="0.25">
      <c r="A101" s="4" t="s">
        <v>3</v>
      </c>
      <c r="B101" s="4">
        <v>3</v>
      </c>
    </row>
    <row r="102" spans="1:2" x14ac:dyDescent="0.25">
      <c r="A102" s="4" t="s">
        <v>273</v>
      </c>
      <c r="B102" s="4">
        <v>3</v>
      </c>
    </row>
    <row r="103" spans="1:2" x14ac:dyDescent="0.25">
      <c r="A103" s="4" t="s">
        <v>311</v>
      </c>
      <c r="B103" s="4">
        <v>3</v>
      </c>
    </row>
    <row r="104" spans="1:2" x14ac:dyDescent="0.25">
      <c r="A104" s="4" t="s">
        <v>25</v>
      </c>
      <c r="B104" s="4">
        <v>2</v>
      </c>
    </row>
    <row r="105" spans="1:2" x14ac:dyDescent="0.25">
      <c r="A105" s="4" t="s">
        <v>50</v>
      </c>
      <c r="B105" s="4">
        <v>2</v>
      </c>
    </row>
    <row r="106" spans="1:2" x14ac:dyDescent="0.25">
      <c r="A106" s="4" t="s">
        <v>51</v>
      </c>
      <c r="B106" s="4">
        <v>2</v>
      </c>
    </row>
    <row r="107" spans="1:2" x14ac:dyDescent="0.25">
      <c r="A107" s="4" t="s">
        <v>156</v>
      </c>
      <c r="B107" s="4">
        <v>2</v>
      </c>
    </row>
    <row r="108" spans="1:2" x14ac:dyDescent="0.25">
      <c r="A108" s="4" t="s">
        <v>80</v>
      </c>
      <c r="B108" s="4">
        <v>2</v>
      </c>
    </row>
    <row r="109" spans="1:2" x14ac:dyDescent="0.25">
      <c r="A109" s="4" t="s">
        <v>93</v>
      </c>
      <c r="B109" s="4">
        <v>2</v>
      </c>
    </row>
    <row r="110" spans="1:2" x14ac:dyDescent="0.25">
      <c r="A110" s="4" t="s">
        <v>160</v>
      </c>
      <c r="B110" s="4">
        <v>2</v>
      </c>
    </row>
    <row r="111" spans="1:2" x14ac:dyDescent="0.25">
      <c r="A111" s="4" t="s">
        <v>103</v>
      </c>
      <c r="B111" s="4">
        <v>2</v>
      </c>
    </row>
    <row r="112" spans="1:2" x14ac:dyDescent="0.25">
      <c r="A112" s="4" t="s">
        <v>108</v>
      </c>
      <c r="B112" s="4">
        <v>2</v>
      </c>
    </row>
    <row r="113" spans="1:2" x14ac:dyDescent="0.25">
      <c r="A113" s="4" t="s">
        <v>21</v>
      </c>
      <c r="B113" s="4">
        <v>2</v>
      </c>
    </row>
    <row r="114" spans="1:2" x14ac:dyDescent="0.25">
      <c r="A114" s="4" t="s">
        <v>22</v>
      </c>
      <c r="B114" s="4">
        <v>2</v>
      </c>
    </row>
    <row r="115" spans="1:2" x14ac:dyDescent="0.25">
      <c r="A115" s="4" t="s">
        <v>23</v>
      </c>
      <c r="B115" s="4">
        <v>2</v>
      </c>
    </row>
    <row r="116" spans="1:2" x14ac:dyDescent="0.25">
      <c r="A116" s="4" t="s">
        <v>113</v>
      </c>
      <c r="B116" s="4">
        <v>2</v>
      </c>
    </row>
    <row r="117" spans="1:2" x14ac:dyDescent="0.25">
      <c r="A117" s="4" t="s">
        <v>9</v>
      </c>
      <c r="B117" s="4">
        <v>2</v>
      </c>
    </row>
    <row r="118" spans="1:2" x14ac:dyDescent="0.25">
      <c r="A118" s="4" t="s">
        <v>52</v>
      </c>
      <c r="B118" s="4">
        <v>1</v>
      </c>
    </row>
    <row r="119" spans="1:2" x14ac:dyDescent="0.25">
      <c r="A119" s="4" t="s">
        <v>70</v>
      </c>
      <c r="B119" s="4">
        <v>1</v>
      </c>
    </row>
    <row r="120" spans="1:2" x14ac:dyDescent="0.25">
      <c r="A120" s="4" t="s">
        <v>73</v>
      </c>
      <c r="B120" s="4">
        <v>1</v>
      </c>
    </row>
    <row r="121" spans="1:2" x14ac:dyDescent="0.25">
      <c r="A121" s="4" t="s">
        <v>162</v>
      </c>
      <c r="B121" s="4">
        <v>1</v>
      </c>
    </row>
    <row r="122" spans="1:2" x14ac:dyDescent="0.25">
      <c r="A122" s="4" t="s">
        <v>115</v>
      </c>
      <c r="B122" s="4">
        <v>1</v>
      </c>
    </row>
    <row r="123" spans="1:2" x14ac:dyDescent="0.25">
      <c r="A123" s="4" t="s">
        <v>117</v>
      </c>
      <c r="B123" s="4">
        <v>1</v>
      </c>
    </row>
    <row r="124" spans="1:2" x14ac:dyDescent="0.25">
      <c r="A124" s="4" t="s">
        <v>118</v>
      </c>
      <c r="B124" s="4">
        <v>1</v>
      </c>
    </row>
    <row r="125" spans="1:2" x14ac:dyDescent="0.25">
      <c r="A125" s="4" t="s">
        <v>121</v>
      </c>
      <c r="B125" s="4">
        <v>1</v>
      </c>
    </row>
    <row r="126" spans="1:2" x14ac:dyDescent="0.25">
      <c r="A126" s="4" t="s">
        <v>8</v>
      </c>
      <c r="B126" s="4">
        <v>1</v>
      </c>
    </row>
    <row r="127" spans="1:2" x14ac:dyDescent="0.25">
      <c r="A127" s="4" t="s">
        <v>2</v>
      </c>
      <c r="B127" s="4">
        <v>1</v>
      </c>
    </row>
    <row r="128" spans="1:2" x14ac:dyDescent="0.25">
      <c r="A128" s="4" t="s">
        <v>1</v>
      </c>
      <c r="B128" s="4">
        <v>1</v>
      </c>
    </row>
    <row r="129" spans="1:2" x14ac:dyDescent="0.25">
      <c r="A129" s="4" t="s">
        <v>105</v>
      </c>
      <c r="B129" s="4">
        <v>0</v>
      </c>
    </row>
    <row r="130" spans="1:2" x14ac:dyDescent="0.25">
      <c r="A130" s="4" t="s">
        <v>120</v>
      </c>
      <c r="B130" s="4">
        <v>0</v>
      </c>
    </row>
  </sheetData>
  <sortState ref="A6:B130">
    <sortCondition descending="1" ref="B6:B130"/>
  </sortState>
  <conditionalFormatting sqref="B6:B130">
    <cfRule type="dataBar" priority="1">
      <dataBar>
        <cfvo type="min"/>
        <cfvo type="max"/>
        <color rgb="FF638EC6"/>
      </dataBar>
      <extLst>
        <ext xmlns:x14="http://schemas.microsoft.com/office/spreadsheetml/2009/9/main" uri="{B025F937-C7B1-47D3-B67F-A62EFF666E3E}">
          <x14:id>{91E84459-7022-4E3E-882A-F748FA37C368}</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91E84459-7022-4E3E-882A-F748FA37C368}">
            <x14:dataBar minLength="0" maxLength="100" border="1" negativeBarBorderColorSameAsPositive="0">
              <x14:cfvo type="autoMin"/>
              <x14:cfvo type="autoMax"/>
              <x14:borderColor rgb="FF638EC6"/>
              <x14:negativeFillColor rgb="FFFF0000"/>
              <x14:negativeBorderColor rgb="FFFF0000"/>
              <x14:axisColor rgb="FF000000"/>
            </x14:dataBar>
          </x14:cfRule>
          <xm:sqref>B6:B130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D101"/>
  <sheetViews>
    <sheetView topLeftCell="A28" workbookViewId="0">
      <selection activeCell="D5" sqref="D5"/>
    </sheetView>
  </sheetViews>
  <sheetFormatPr baseColWidth="10" defaultRowHeight="15" x14ac:dyDescent="0.25"/>
  <cols>
    <col min="1" max="1" width="11.42578125" style="4"/>
    <col min="2" max="2" width="11.42578125" style="34"/>
  </cols>
  <sheetData>
    <row r="1" spans="1:4" x14ac:dyDescent="0.25">
      <c r="A1" s="11" t="s">
        <v>140</v>
      </c>
    </row>
    <row r="2" spans="1:4" x14ac:dyDescent="0.25">
      <c r="A2" s="11"/>
    </row>
    <row r="3" spans="1:4" x14ac:dyDescent="0.25">
      <c r="A3" s="11" t="s">
        <v>142</v>
      </c>
    </row>
    <row r="4" spans="1:4" x14ac:dyDescent="0.25">
      <c r="A4" s="4" t="s">
        <v>169</v>
      </c>
      <c r="B4" s="34" t="s">
        <v>170</v>
      </c>
    </row>
    <row r="5" spans="1:4" x14ac:dyDescent="0.25">
      <c r="A5" s="36" t="str">
        <f>RF!DI8</f>
        <v>RF-ACE-001</v>
      </c>
      <c r="B5" s="34" t="e">
        <f>RF!#REF!</f>
        <v>#REF!</v>
      </c>
      <c r="C5" s="4">
        <f>RF!DJ8</f>
        <v>1</v>
      </c>
      <c r="D5" s="62" t="s">
        <v>295</v>
      </c>
    </row>
    <row r="6" spans="1:4" x14ac:dyDescent="0.25">
      <c r="A6" s="36" t="str">
        <f>RF!DI9</f>
        <v>RF-ACE-002</v>
      </c>
      <c r="B6" s="34" t="e">
        <f>RF!#REF!</f>
        <v>#REF!</v>
      </c>
      <c r="C6" s="4">
        <f>RF!DJ9</f>
        <v>1</v>
      </c>
      <c r="D6" s="62" t="s">
        <v>296</v>
      </c>
    </row>
    <row r="7" spans="1:4" x14ac:dyDescent="0.25">
      <c r="A7" s="36" t="str">
        <f>RF!DI10</f>
        <v>RF-ACE-003</v>
      </c>
      <c r="B7" s="34" t="e">
        <f>RF!#REF!</f>
        <v>#REF!</v>
      </c>
      <c r="C7" s="4">
        <f>RF!DJ10</f>
        <v>6</v>
      </c>
      <c r="D7" s="42" t="s">
        <v>297</v>
      </c>
    </row>
    <row r="8" spans="1:4" x14ac:dyDescent="0.25">
      <c r="A8" s="36" t="str">
        <f>RF!DI11</f>
        <v>RF-CON-001</v>
      </c>
      <c r="B8" s="34" t="e">
        <f>RF!#REF!</f>
        <v>#REF!</v>
      </c>
      <c r="C8" s="4">
        <f>RF!DJ11</f>
        <v>12</v>
      </c>
      <c r="D8" s="59" t="s">
        <v>249</v>
      </c>
    </row>
    <row r="9" spans="1:4" x14ac:dyDescent="0.25">
      <c r="A9" s="36" t="str">
        <f>RF!DI12</f>
        <v>RF-CON-002</v>
      </c>
      <c r="B9" s="34" t="e">
        <f>RF!#REF!</f>
        <v>#REF!</v>
      </c>
      <c r="C9" s="4">
        <f>RF!DJ12</f>
        <v>10</v>
      </c>
      <c r="D9" s="65" t="s">
        <v>298</v>
      </c>
    </row>
    <row r="10" spans="1:4" x14ac:dyDescent="0.25">
      <c r="A10" s="36" t="str">
        <f>RF!DI13</f>
        <v>RF-DEC-001</v>
      </c>
      <c r="B10" s="34" t="e">
        <f>RF!#REF!</f>
        <v>#REF!</v>
      </c>
      <c r="C10" s="4">
        <f>RF!DJ13</f>
        <v>9</v>
      </c>
      <c r="D10" s="62" t="s">
        <v>338</v>
      </c>
    </row>
    <row r="11" spans="1:4" x14ac:dyDescent="0.25">
      <c r="A11" s="36" t="str">
        <f>RF!DI14</f>
        <v>RF-DEC-002</v>
      </c>
      <c r="B11" s="34" t="e">
        <f>RF!#REF!</f>
        <v>#REF!</v>
      </c>
      <c r="C11" s="4">
        <f>RF!DJ14</f>
        <v>10</v>
      </c>
      <c r="D11" s="62" t="s">
        <v>261</v>
      </c>
    </row>
    <row r="12" spans="1:4" x14ac:dyDescent="0.25">
      <c r="A12" s="36" t="str">
        <f>RF!DI15</f>
        <v>RF-DEC-003</v>
      </c>
      <c r="B12" s="34" t="e">
        <f>RF!#REF!</f>
        <v>#REF!</v>
      </c>
      <c r="C12" s="4">
        <f>RF!DJ15</f>
        <v>3</v>
      </c>
      <c r="D12" s="59" t="s">
        <v>299</v>
      </c>
    </row>
    <row r="13" spans="1:4" x14ac:dyDescent="0.25">
      <c r="A13" s="36" t="str">
        <f>RF!DI17</f>
        <v>RF-DEL-001</v>
      </c>
      <c r="B13" s="34" t="e">
        <f>RF!#REF!</f>
        <v>#REF!</v>
      </c>
      <c r="C13" s="4">
        <f>RF!DJ17</f>
        <v>1</v>
      </c>
      <c r="D13" s="59" t="s">
        <v>300</v>
      </c>
    </row>
    <row r="14" spans="1:4" x14ac:dyDescent="0.25">
      <c r="A14" s="36" t="str">
        <f>RF!DI18</f>
        <v>RF-DEL-002</v>
      </c>
      <c r="B14" s="34" t="e">
        <f>RF!#REF!</f>
        <v>#REF!</v>
      </c>
      <c r="C14" s="4">
        <f>RF!DJ18</f>
        <v>2</v>
      </c>
      <c r="D14" s="59" t="s">
        <v>250</v>
      </c>
    </row>
    <row r="15" spans="1:4" x14ac:dyDescent="0.25">
      <c r="A15" s="36" t="str">
        <f>RF!DI19</f>
        <v>RF-DEL-003</v>
      </c>
      <c r="B15" s="34" t="e">
        <f>RF!#REF!</f>
        <v>#REF!</v>
      </c>
      <c r="C15" s="4">
        <f>RF!DJ19</f>
        <v>3</v>
      </c>
      <c r="D15" s="59" t="s">
        <v>128</v>
      </c>
    </row>
    <row r="16" spans="1:4" x14ac:dyDescent="0.25">
      <c r="A16" s="36" t="str">
        <f>RF!DI16</f>
        <v>RF-DEF-001</v>
      </c>
      <c r="B16" s="34" t="e">
        <f>RF!#REF!</f>
        <v>#REF!</v>
      </c>
      <c r="C16" s="4">
        <f>RF!DJ16</f>
        <v>1</v>
      </c>
      <c r="D16" s="42" t="s">
        <v>301</v>
      </c>
    </row>
    <row r="17" spans="1:4" x14ac:dyDescent="0.25">
      <c r="A17" s="36" t="str">
        <f>RF!DI20</f>
        <v>RF-DEV-001</v>
      </c>
      <c r="B17" s="34" t="e">
        <f>RF!#REF!</f>
        <v>#REF!</v>
      </c>
      <c r="C17" s="4">
        <f>RF!DJ20</f>
        <v>85</v>
      </c>
      <c r="D17" s="59" t="s">
        <v>302</v>
      </c>
    </row>
    <row r="18" spans="1:4" x14ac:dyDescent="0.25">
      <c r="A18" s="36" t="str">
        <f>RF!DI21</f>
        <v>RF-DEV-002</v>
      </c>
      <c r="B18" s="34" t="e">
        <f>RF!#REF!</f>
        <v>#REF!</v>
      </c>
      <c r="C18" s="4">
        <f>RF!DJ21</f>
        <v>85</v>
      </c>
      <c r="D18" s="62" t="s">
        <v>254</v>
      </c>
    </row>
    <row r="19" spans="1:4" x14ac:dyDescent="0.25">
      <c r="A19" s="36" t="str">
        <f>RF!DI22</f>
        <v>RF-DEV-003</v>
      </c>
      <c r="B19" s="34" t="e">
        <f>RF!#REF!</f>
        <v>#REF!</v>
      </c>
      <c r="C19" s="4">
        <f>RF!DJ22</f>
        <v>6</v>
      </c>
      <c r="D19" s="59" t="s">
        <v>303</v>
      </c>
    </row>
    <row r="20" spans="1:4" x14ac:dyDescent="0.25">
      <c r="A20" s="36" t="str">
        <f>RF!DI23</f>
        <v>RF-DEV-004</v>
      </c>
      <c r="B20" s="34" t="e">
        <f>RF!#REF!</f>
        <v>#REF!</v>
      </c>
      <c r="C20" s="4">
        <f>RF!DJ23</f>
        <v>59</v>
      </c>
      <c r="D20" s="59" t="s">
        <v>252</v>
      </c>
    </row>
    <row r="21" spans="1:4" x14ac:dyDescent="0.25">
      <c r="A21" s="36" t="str">
        <f>RF!DI24</f>
        <v>RF-DEV-005</v>
      </c>
      <c r="B21" s="34" t="e">
        <f>RF!#REF!</f>
        <v>#REF!</v>
      </c>
      <c r="C21" s="4">
        <f>RF!DJ24</f>
        <v>2</v>
      </c>
      <c r="D21" s="59" t="s">
        <v>339</v>
      </c>
    </row>
    <row r="22" spans="1:4" ht="15.75" x14ac:dyDescent="0.25">
      <c r="A22" s="36" t="str">
        <f>RF!DI25</f>
        <v>RF-DEV-006</v>
      </c>
      <c r="B22" s="34" t="e">
        <f>RF!#REF!</f>
        <v>#REF!</v>
      </c>
      <c r="C22" s="4">
        <f>RF!DJ25</f>
        <v>3</v>
      </c>
      <c r="D22" s="66" t="s">
        <v>132</v>
      </c>
    </row>
    <row r="23" spans="1:4" x14ac:dyDescent="0.25">
      <c r="A23" s="36" t="str">
        <f>RF!DI26</f>
        <v>RF-DEV-007</v>
      </c>
      <c r="B23" s="34" t="e">
        <f>RF!#REF!</f>
        <v>#REF!</v>
      </c>
      <c r="C23" s="4">
        <f>RF!DJ26</f>
        <v>1</v>
      </c>
      <c r="D23" s="59" t="s">
        <v>304</v>
      </c>
    </row>
    <row r="24" spans="1:4" x14ac:dyDescent="0.25">
      <c r="A24" s="36" t="str">
        <f>RF!DI27</f>
        <v>RF-IDE-001</v>
      </c>
      <c r="B24" s="34" t="e">
        <f>RF!#REF!</f>
        <v>#REF!</v>
      </c>
      <c r="C24" s="4">
        <f>RF!DJ27</f>
        <v>2</v>
      </c>
      <c r="D24" s="62" t="s">
        <v>340</v>
      </c>
    </row>
    <row r="25" spans="1:4" x14ac:dyDescent="0.25">
      <c r="A25" s="36" t="str">
        <f>RF!DI28</f>
        <v>RF-IDE-002</v>
      </c>
      <c r="B25" s="34" t="e">
        <f>RF!#REF!</f>
        <v>#REF!</v>
      </c>
      <c r="C25" s="4">
        <f>RF!DJ28</f>
        <v>16</v>
      </c>
      <c r="D25" s="62" t="s">
        <v>305</v>
      </c>
    </row>
    <row r="26" spans="1:4" x14ac:dyDescent="0.25">
      <c r="A26" s="36" t="str">
        <f>RF!DI29</f>
        <v>RF-IDE-003</v>
      </c>
      <c r="B26" s="34" t="e">
        <f>RF!#REF!</f>
        <v>#REF!</v>
      </c>
      <c r="C26" s="4">
        <f>RF!DJ29</f>
        <v>5</v>
      </c>
      <c r="D26" s="59" t="s">
        <v>341</v>
      </c>
    </row>
    <row r="27" spans="1:4" x14ac:dyDescent="0.25">
      <c r="A27" s="36" t="str">
        <f>RF!DI30</f>
        <v>RF-IDE-004</v>
      </c>
      <c r="B27" s="34" t="e">
        <f>RF!#REF!</f>
        <v>#REF!</v>
      </c>
      <c r="C27" s="4">
        <f>RF!DJ30</f>
        <v>2</v>
      </c>
      <c r="D27" s="61" t="s">
        <v>131</v>
      </c>
    </row>
    <row r="28" spans="1:4" x14ac:dyDescent="0.25">
      <c r="A28" s="36" t="str">
        <f>RF!DI31</f>
        <v>RF-LOC-001</v>
      </c>
      <c r="B28" s="34" t="e">
        <f>RF!#REF!</f>
        <v>#REF!</v>
      </c>
      <c r="C28" s="4">
        <f>RF!DJ31</f>
        <v>3</v>
      </c>
      <c r="D28" s="62" t="s">
        <v>245</v>
      </c>
    </row>
    <row r="29" spans="1:4" x14ac:dyDescent="0.25">
      <c r="A29" s="36" t="str">
        <f>RF!DI32</f>
        <v>RF-LOC-002</v>
      </c>
      <c r="B29" s="34" t="e">
        <f>RF!#REF!</f>
        <v>#REF!</v>
      </c>
      <c r="C29" s="4">
        <f>RF!DJ32</f>
        <v>14</v>
      </c>
      <c r="D29" s="62" t="s">
        <v>342</v>
      </c>
    </row>
    <row r="30" spans="1:4" x14ac:dyDescent="0.25">
      <c r="A30" s="36" t="str">
        <f>RF!DI33</f>
        <v>RF-LOC-003</v>
      </c>
      <c r="B30" s="34" t="e">
        <f>RF!#REF!</f>
        <v>#REF!</v>
      </c>
      <c r="C30" s="4">
        <f>RF!DJ33</f>
        <v>4</v>
      </c>
      <c r="D30" s="59" t="s">
        <v>126</v>
      </c>
    </row>
    <row r="31" spans="1:4" x14ac:dyDescent="0.25">
      <c r="A31" s="36" t="str">
        <f>RF!DI34</f>
        <v>RF-LOC-004</v>
      </c>
      <c r="B31" s="34" t="e">
        <f>RF!#REF!</f>
        <v>#REF!</v>
      </c>
      <c r="C31" s="4">
        <f>RF!DJ34</f>
        <v>2</v>
      </c>
      <c r="D31" s="59" t="s">
        <v>127</v>
      </c>
    </row>
    <row r="32" spans="1:4" x14ac:dyDescent="0.25">
      <c r="A32" s="36" t="str">
        <f>RF!DI35</f>
        <v>RF-LOC-005</v>
      </c>
      <c r="B32" s="34" t="e">
        <f>RF!#REF!</f>
        <v>#REF!</v>
      </c>
      <c r="C32" s="4">
        <f>RF!DJ35</f>
        <v>13</v>
      </c>
      <c r="D32" s="42" t="s">
        <v>247</v>
      </c>
    </row>
    <row r="33" spans="1:4" x14ac:dyDescent="0.25">
      <c r="A33" s="36" t="str">
        <f>RF!DI36</f>
        <v>RF-LOC-006</v>
      </c>
      <c r="B33" s="34" t="e">
        <f>RF!#REF!</f>
        <v>#REF!</v>
      </c>
      <c r="C33" s="4">
        <f>RF!DJ36</f>
        <v>3</v>
      </c>
      <c r="D33" s="62" t="s">
        <v>306</v>
      </c>
    </row>
    <row r="34" spans="1:4" x14ac:dyDescent="0.25">
      <c r="A34" s="36" t="str">
        <f>RF!DI37</f>
        <v>RF-LOC-007</v>
      </c>
      <c r="B34" s="34" t="e">
        <f>RF!#REF!</f>
        <v>#REF!</v>
      </c>
      <c r="C34" s="4">
        <f>RF!DJ37</f>
        <v>2</v>
      </c>
      <c r="D34" s="43" t="s">
        <v>251</v>
      </c>
    </row>
    <row r="35" spans="1:4" x14ac:dyDescent="0.25">
      <c r="A35" s="36" t="str">
        <f>RF!DI38</f>
        <v>RF-LOC-008</v>
      </c>
      <c r="B35" s="34" t="e">
        <f>RF!#REF!</f>
        <v>#REF!</v>
      </c>
      <c r="C35" s="4">
        <f>RF!DJ38</f>
        <v>3</v>
      </c>
      <c r="D35" s="67" t="s">
        <v>307</v>
      </c>
    </row>
    <row r="36" spans="1:4" x14ac:dyDescent="0.25">
      <c r="A36" s="36" t="str">
        <f>RF!DI39</f>
        <v>RF-LOC-009</v>
      </c>
      <c r="B36" s="34" t="e">
        <f>RF!#REF!</f>
        <v>#REF!</v>
      </c>
      <c r="C36" s="4">
        <f>RF!DJ39</f>
        <v>4</v>
      </c>
      <c r="D36" s="42" t="s">
        <v>308</v>
      </c>
    </row>
    <row r="37" spans="1:4" x14ac:dyDescent="0.25">
      <c r="A37" s="36" t="str">
        <f>RF!DI40</f>
        <v>RF-LOC-010</v>
      </c>
      <c r="B37" s="34" t="e">
        <f>RF!#REF!</f>
        <v>#REF!</v>
      </c>
      <c r="C37" s="4">
        <f>RF!DJ40</f>
        <v>1</v>
      </c>
      <c r="D37" s="42" t="s">
        <v>253</v>
      </c>
    </row>
    <row r="38" spans="1:4" x14ac:dyDescent="0.25">
      <c r="A38" s="36" t="str">
        <f>RF!DI41</f>
        <v>RF-PLA-001</v>
      </c>
      <c r="B38" s="34" t="e">
        <f>RF!#REF!</f>
        <v>#REF!</v>
      </c>
      <c r="C38" s="4">
        <f>RF!DJ41</f>
        <v>5</v>
      </c>
      <c r="D38" s="44" t="s">
        <v>129</v>
      </c>
    </row>
    <row r="39" spans="1:4" x14ac:dyDescent="0.25">
      <c r="A39" s="36" t="str">
        <f>RF!DI42</f>
        <v>RF-PLA-002</v>
      </c>
      <c r="B39" s="34" t="e">
        <f>RF!#REF!</f>
        <v>#REF!</v>
      </c>
      <c r="C39" s="4">
        <f>RF!DJ42</f>
        <v>8</v>
      </c>
      <c r="D39" s="43" t="s">
        <v>257</v>
      </c>
    </row>
    <row r="40" spans="1:4" x14ac:dyDescent="0.25">
      <c r="A40" s="36" t="str">
        <f>RF!DI43</f>
        <v>RF-PLA-003</v>
      </c>
      <c r="B40" s="34" t="e">
        <f>RF!#REF!</f>
        <v>#REF!</v>
      </c>
      <c r="C40" s="4">
        <f>RF!DJ43</f>
        <v>1</v>
      </c>
      <c r="D40" s="67" t="s">
        <v>260</v>
      </c>
    </row>
    <row r="41" spans="1:4" x14ac:dyDescent="0.25">
      <c r="A41" s="36" t="str">
        <f>RF!DI44</f>
        <v>RF-PLA-004</v>
      </c>
      <c r="B41" s="34" t="e">
        <f>RF!#REF!</f>
        <v>#REF!</v>
      </c>
      <c r="C41" s="4">
        <f>RF!DJ44</f>
        <v>1</v>
      </c>
      <c r="D41" s="43" t="s">
        <v>248</v>
      </c>
    </row>
    <row r="42" spans="1:4" x14ac:dyDescent="0.25">
      <c r="A42" s="36" t="str">
        <f>RF!DI45</f>
        <v>RF-PLA-005</v>
      </c>
      <c r="B42" s="34" t="e">
        <f>RF!#REF!</f>
        <v>#REF!</v>
      </c>
      <c r="C42" s="4">
        <f>RF!DJ45</f>
        <v>1</v>
      </c>
      <c r="D42" s="42" t="s">
        <v>256</v>
      </c>
    </row>
    <row r="43" spans="1:4" x14ac:dyDescent="0.25">
      <c r="A43" s="36" t="str">
        <f>RF!DI46</f>
        <v>RF-PLA-006</v>
      </c>
      <c r="B43" s="34" t="e">
        <f>RF!#REF!</f>
        <v>#REF!</v>
      </c>
      <c r="C43" s="4">
        <f>RF!DJ46</f>
        <v>3</v>
      </c>
      <c r="D43" s="42" t="s">
        <v>309</v>
      </c>
    </row>
    <row r="44" spans="1:4" x14ac:dyDescent="0.25">
      <c r="A44" s="36" t="str">
        <f>RF!DI47</f>
        <v>RF-SIN-001</v>
      </c>
      <c r="B44" s="34" t="e">
        <f>RF!#REF!</f>
        <v>#REF!</v>
      </c>
      <c r="C44" s="4">
        <f>RF!DJ47</f>
        <v>1</v>
      </c>
      <c r="D44" s="42" t="s">
        <v>343</v>
      </c>
    </row>
    <row r="45" spans="1:4" x14ac:dyDescent="0.25">
      <c r="A45" s="36" t="str">
        <f>RF!DI48</f>
        <v>RF-SIN-002</v>
      </c>
      <c r="B45" s="34" t="e">
        <f>RF!#REF!</f>
        <v>#REF!</v>
      </c>
      <c r="C45" s="4">
        <f>RF!DJ48</f>
        <v>1</v>
      </c>
      <c r="D45" s="42" t="s">
        <v>344</v>
      </c>
    </row>
    <row r="46" spans="1:4" x14ac:dyDescent="0.25">
      <c r="A46" s="36" t="str">
        <f>RF!DI49</f>
        <v>RF-SIN-003</v>
      </c>
      <c r="B46" s="34" t="e">
        <f>RF!#REF!</f>
        <v>#REF!</v>
      </c>
      <c r="C46" s="4">
        <f>RF!DJ49</f>
        <v>2</v>
      </c>
      <c r="D46" s="42" t="s">
        <v>262</v>
      </c>
    </row>
    <row r="47" spans="1:4" x14ac:dyDescent="0.25">
      <c r="A47" s="36" t="str">
        <f>RF!DI50</f>
        <v>RF-SIN-004</v>
      </c>
      <c r="B47" s="34" t="e">
        <f>RF!#REF!</f>
        <v>#REF!</v>
      </c>
      <c r="C47" s="4">
        <f>RF!DJ50</f>
        <v>2</v>
      </c>
      <c r="D47" s="43" t="s">
        <v>310</v>
      </c>
    </row>
    <row r="48" spans="1:4" x14ac:dyDescent="0.25">
      <c r="A48" s="36" t="str">
        <f>RF!DI51</f>
        <v>RF-SIN-005</v>
      </c>
      <c r="B48" s="34" t="e">
        <f>RF!#REF!</f>
        <v>#REF!</v>
      </c>
      <c r="C48" s="4">
        <f>RF!DJ51</f>
        <v>2</v>
      </c>
      <c r="D48" s="43" t="s">
        <v>246</v>
      </c>
    </row>
    <row r="49" spans="1:4" x14ac:dyDescent="0.25">
      <c r="A49" s="36" t="str">
        <f>RF!DI52</f>
        <v>RF-SIN-006</v>
      </c>
      <c r="B49" s="34" t="e">
        <f>RF!#REF!</f>
        <v>#REF!</v>
      </c>
      <c r="C49" s="4">
        <f>RF!DJ52</f>
        <v>2</v>
      </c>
      <c r="D49" s="44" t="s">
        <v>258</v>
      </c>
    </row>
    <row r="50" spans="1:4" x14ac:dyDescent="0.25">
      <c r="A50" s="36" t="str">
        <f>RF!DI53</f>
        <v>RF-TTD-001</v>
      </c>
      <c r="B50" s="34" t="e">
        <f>RF!#REF!</f>
        <v>#REF!</v>
      </c>
      <c r="C50" s="4">
        <f>RF!DJ53</f>
        <v>13</v>
      </c>
      <c r="D50" s="42" t="s">
        <v>259</v>
      </c>
    </row>
    <row r="51" spans="1:4" x14ac:dyDescent="0.25">
      <c r="A51" s="36" t="str">
        <f>RF!DI54</f>
        <v>RF-TTD-002</v>
      </c>
      <c r="B51" s="34" t="e">
        <f>RF!#REF!</f>
        <v>#REF!</v>
      </c>
      <c r="C51" s="4">
        <f>RF!DJ54</f>
        <v>1</v>
      </c>
      <c r="D51" s="44" t="s">
        <v>130</v>
      </c>
    </row>
    <row r="52" spans="1:4" x14ac:dyDescent="0.25">
      <c r="A52" s="36" t="str">
        <f>RF!DI55</f>
        <v>RF-TTD-003</v>
      </c>
      <c r="B52" s="34" t="e">
        <f>RF!#REF!</f>
        <v>#REF!</v>
      </c>
      <c r="C52" s="4">
        <f>RF!DJ55</f>
        <v>2</v>
      </c>
      <c r="D52" s="42" t="s">
        <v>255</v>
      </c>
    </row>
    <row r="53" spans="1:4" x14ac:dyDescent="0.25">
      <c r="A53" s="36"/>
      <c r="C53" s="37"/>
      <c r="D53" s="11"/>
    </row>
    <row r="54" spans="1:4" x14ac:dyDescent="0.25">
      <c r="A54" s="36"/>
      <c r="C54" s="37"/>
      <c r="D54" s="11"/>
    </row>
    <row r="55" spans="1:4" x14ac:dyDescent="0.25">
      <c r="A55" s="36"/>
      <c r="C55" s="37"/>
      <c r="D55" s="11"/>
    </row>
    <row r="56" spans="1:4" x14ac:dyDescent="0.25">
      <c r="A56" s="36"/>
      <c r="C56" s="37"/>
      <c r="D56" s="11"/>
    </row>
    <row r="57" spans="1:4" x14ac:dyDescent="0.25">
      <c r="A57" s="36"/>
      <c r="C57" s="37"/>
      <c r="D57" s="11"/>
    </row>
    <row r="58" spans="1:4" x14ac:dyDescent="0.25">
      <c r="A58" s="36"/>
      <c r="C58" s="37"/>
      <c r="D58" s="11"/>
    </row>
    <row r="59" spans="1:4" x14ac:dyDescent="0.25">
      <c r="A59" s="36"/>
      <c r="C59" s="37"/>
      <c r="D59" s="11"/>
    </row>
    <row r="60" spans="1:4" x14ac:dyDescent="0.25">
      <c r="A60" s="36"/>
      <c r="C60" s="37"/>
      <c r="D60" s="11"/>
    </row>
    <row r="61" spans="1:4" x14ac:dyDescent="0.25">
      <c r="A61" s="36"/>
      <c r="C61" s="37"/>
      <c r="D61" s="11"/>
    </row>
    <row r="62" spans="1:4" x14ac:dyDescent="0.25">
      <c r="A62" s="36"/>
      <c r="C62" s="37"/>
      <c r="D62" s="11"/>
    </row>
    <row r="63" spans="1:4" x14ac:dyDescent="0.25">
      <c r="A63" s="36"/>
      <c r="C63" s="37"/>
      <c r="D63" s="11"/>
    </row>
    <row r="64" spans="1:4" x14ac:dyDescent="0.25">
      <c r="A64" s="36"/>
      <c r="C64" s="37"/>
      <c r="D64" s="11"/>
    </row>
    <row r="65" spans="1:4" x14ac:dyDescent="0.25">
      <c r="A65" s="36"/>
      <c r="C65" s="37"/>
      <c r="D65" s="11"/>
    </row>
    <row r="66" spans="1:4" x14ac:dyDescent="0.25">
      <c r="A66" s="36"/>
      <c r="C66" s="37"/>
      <c r="D66" s="11"/>
    </row>
    <row r="67" spans="1:4" x14ac:dyDescent="0.25">
      <c r="A67" s="36"/>
      <c r="C67" s="37"/>
      <c r="D67" s="11"/>
    </row>
    <row r="68" spans="1:4" x14ac:dyDescent="0.25">
      <c r="A68" s="36"/>
      <c r="C68" s="37"/>
      <c r="D68" s="11"/>
    </row>
    <row r="69" spans="1:4" x14ac:dyDescent="0.25">
      <c r="A69" s="36"/>
      <c r="C69" s="37"/>
      <c r="D69" s="11"/>
    </row>
    <row r="70" spans="1:4" x14ac:dyDescent="0.25">
      <c r="A70" s="36"/>
      <c r="C70" s="37"/>
      <c r="D70" s="11"/>
    </row>
    <row r="71" spans="1:4" x14ac:dyDescent="0.25">
      <c r="A71" s="36"/>
      <c r="C71" s="37"/>
      <c r="D71" s="11"/>
    </row>
    <row r="72" spans="1:4" x14ac:dyDescent="0.25">
      <c r="A72" s="36"/>
      <c r="C72" s="37"/>
      <c r="D72" s="11"/>
    </row>
    <row r="73" spans="1:4" x14ac:dyDescent="0.25">
      <c r="A73" s="36"/>
      <c r="C73" s="37"/>
      <c r="D73" s="11"/>
    </row>
    <row r="74" spans="1:4" x14ac:dyDescent="0.25">
      <c r="A74" s="36"/>
      <c r="C74" s="37"/>
      <c r="D74" s="11"/>
    </row>
    <row r="75" spans="1:4" x14ac:dyDescent="0.25">
      <c r="A75" s="36"/>
      <c r="C75" s="37"/>
      <c r="D75" s="11"/>
    </row>
    <row r="76" spans="1:4" x14ac:dyDescent="0.25">
      <c r="A76" s="36"/>
      <c r="C76" s="37"/>
      <c r="D76" s="11"/>
    </row>
    <row r="77" spans="1:4" x14ac:dyDescent="0.25">
      <c r="A77" s="36"/>
      <c r="C77" s="37"/>
      <c r="D77" s="11"/>
    </row>
    <row r="78" spans="1:4" x14ac:dyDescent="0.25">
      <c r="A78" s="36"/>
      <c r="C78" s="37"/>
      <c r="D78" s="11"/>
    </row>
    <row r="79" spans="1:4" x14ac:dyDescent="0.25">
      <c r="A79" s="36"/>
      <c r="C79" s="37"/>
      <c r="D79" s="11"/>
    </row>
    <row r="80" spans="1:4" x14ac:dyDescent="0.25">
      <c r="A80" s="36"/>
      <c r="C80" s="37"/>
      <c r="D80" s="11"/>
    </row>
    <row r="81" spans="1:4" x14ac:dyDescent="0.25">
      <c r="A81" s="36"/>
      <c r="C81" s="37"/>
      <c r="D81" s="11"/>
    </row>
    <row r="82" spans="1:4" x14ac:dyDescent="0.25">
      <c r="A82" s="36"/>
      <c r="C82" s="37"/>
      <c r="D82" s="11"/>
    </row>
    <row r="83" spans="1:4" x14ac:dyDescent="0.25">
      <c r="A83" s="36"/>
      <c r="C83" s="37"/>
      <c r="D83" s="11"/>
    </row>
    <row r="84" spans="1:4" x14ac:dyDescent="0.25">
      <c r="A84" s="36"/>
      <c r="C84" s="37"/>
      <c r="D84" s="11"/>
    </row>
    <row r="85" spans="1:4" x14ac:dyDescent="0.25">
      <c r="A85" s="36"/>
      <c r="C85" s="37"/>
      <c r="D85" s="11"/>
    </row>
    <row r="86" spans="1:4" x14ac:dyDescent="0.25">
      <c r="A86" s="36"/>
      <c r="C86" s="37"/>
      <c r="D86" s="11"/>
    </row>
    <row r="87" spans="1:4" x14ac:dyDescent="0.25">
      <c r="A87" s="36"/>
      <c r="C87" s="37"/>
      <c r="D87" s="11"/>
    </row>
    <row r="88" spans="1:4" x14ac:dyDescent="0.25">
      <c r="A88" s="36"/>
      <c r="C88" s="37"/>
      <c r="D88" s="11"/>
    </row>
    <row r="89" spans="1:4" x14ac:dyDescent="0.25">
      <c r="A89" s="36"/>
      <c r="C89" s="37"/>
      <c r="D89" s="11"/>
    </row>
    <row r="90" spans="1:4" x14ac:dyDescent="0.25">
      <c r="A90" s="36"/>
      <c r="C90" s="37"/>
      <c r="D90" s="11"/>
    </row>
    <row r="91" spans="1:4" x14ac:dyDescent="0.25">
      <c r="A91" s="36"/>
      <c r="C91" s="37"/>
      <c r="D91" s="11"/>
    </row>
    <row r="92" spans="1:4" x14ac:dyDescent="0.25">
      <c r="A92" s="36"/>
      <c r="C92" s="37"/>
      <c r="D92" s="11"/>
    </row>
    <row r="93" spans="1:4" x14ac:dyDescent="0.25">
      <c r="A93" s="36"/>
      <c r="C93" s="37"/>
      <c r="D93" s="11"/>
    </row>
    <row r="94" spans="1:4" x14ac:dyDescent="0.25">
      <c r="A94" s="36"/>
      <c r="C94" s="37"/>
      <c r="D94" s="11"/>
    </row>
    <row r="95" spans="1:4" x14ac:dyDescent="0.25">
      <c r="A95" s="36"/>
      <c r="C95" s="37"/>
      <c r="D95" s="11"/>
    </row>
    <row r="96" spans="1:4" x14ac:dyDescent="0.25">
      <c r="A96" s="36"/>
      <c r="C96" s="37"/>
      <c r="D96" s="11"/>
    </row>
    <row r="97" spans="1:4" x14ac:dyDescent="0.25">
      <c r="A97" s="36"/>
      <c r="C97" s="37"/>
      <c r="D97" s="11"/>
    </row>
    <row r="98" spans="1:4" x14ac:dyDescent="0.25">
      <c r="A98" s="36"/>
      <c r="C98" s="37"/>
      <c r="D98" s="11"/>
    </row>
    <row r="99" spans="1:4" x14ac:dyDescent="0.25">
      <c r="A99" s="36"/>
      <c r="C99" s="37"/>
      <c r="D99" s="11"/>
    </row>
    <row r="100" spans="1:4" x14ac:dyDescent="0.25">
      <c r="A100" s="36"/>
      <c r="C100" s="37"/>
      <c r="D100" s="11"/>
    </row>
    <row r="101" spans="1:4" x14ac:dyDescent="0.25">
      <c r="A101" s="36"/>
      <c r="C101" s="37"/>
      <c r="D101" s="11"/>
    </row>
  </sheetData>
  <conditionalFormatting sqref="C5:C52">
    <cfRule type="cellIs" dxfId="1" priority="138" operator="equal">
      <formula>0</formula>
    </cfRule>
    <cfRule type="dataBar" priority="139">
      <dataBar>
        <cfvo type="min"/>
        <cfvo type="max"/>
        <color rgb="FF638EC6"/>
      </dataBar>
      <extLst>
        <ext xmlns:x14="http://schemas.microsoft.com/office/spreadsheetml/2009/9/main" uri="{B025F937-C7B1-47D3-B67F-A62EFF666E3E}">
          <x14:id>{82929477-5FF7-4752-A864-FB338C633FD8}</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82929477-5FF7-4752-A864-FB338C633FD8}">
            <x14:dataBar minLength="0" maxLength="100" border="1" negativeBarBorderColorSameAsPositive="0">
              <x14:cfvo type="autoMin"/>
              <x14:cfvo type="autoMax"/>
              <x14:borderColor rgb="FF638EC6"/>
              <x14:negativeFillColor rgb="FFFF0000"/>
              <x14:negativeBorderColor rgb="FFFF0000"/>
              <x14:axisColor rgb="FF000000"/>
            </x14:dataBar>
          </x14:cfRule>
          <xm:sqref>C5:C52</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82"/>
  <sheetViews>
    <sheetView topLeftCell="A14" workbookViewId="0">
      <selection activeCell="D34" sqref="D5:D34"/>
    </sheetView>
  </sheetViews>
  <sheetFormatPr baseColWidth="10" defaultRowHeight="15" x14ac:dyDescent="0.25"/>
  <sheetData>
    <row r="1" spans="1:4" x14ac:dyDescent="0.25">
      <c r="A1" s="11" t="s">
        <v>140</v>
      </c>
      <c r="B1" s="34"/>
    </row>
    <row r="2" spans="1:4" x14ac:dyDescent="0.25">
      <c r="A2" s="11"/>
      <c r="B2" s="34"/>
    </row>
    <row r="3" spans="1:4" x14ac:dyDescent="0.25">
      <c r="A3" s="11" t="s">
        <v>142</v>
      </c>
      <c r="B3" s="34"/>
    </row>
    <row r="4" spans="1:4" x14ac:dyDescent="0.25">
      <c r="A4" s="4" t="s">
        <v>169</v>
      </c>
      <c r="B4" s="34" t="s">
        <v>170</v>
      </c>
    </row>
    <row r="5" spans="1:4" x14ac:dyDescent="0.25">
      <c r="A5" s="38" t="e">
        <f>#REF!</f>
        <v>#REF!</v>
      </c>
      <c r="B5" s="34" t="e">
        <f>#REF!</f>
        <v>#REF!</v>
      </c>
      <c r="C5" s="4" t="e">
        <f>#REF!</f>
        <v>#REF!</v>
      </c>
      <c r="D5" s="44" t="s">
        <v>135</v>
      </c>
    </row>
    <row r="6" spans="1:4" x14ac:dyDescent="0.25">
      <c r="A6" s="38" t="e">
        <f>#REF!</f>
        <v>#REF!</v>
      </c>
      <c r="B6" s="34" t="e">
        <f>#REF!</f>
        <v>#REF!</v>
      </c>
      <c r="C6" s="4" t="e">
        <f>#REF!</f>
        <v>#REF!</v>
      </c>
      <c r="D6" s="59" t="s">
        <v>274</v>
      </c>
    </row>
    <row r="7" spans="1:4" x14ac:dyDescent="0.25">
      <c r="A7" s="38" t="e">
        <f>#REF!</f>
        <v>#REF!</v>
      </c>
      <c r="B7" s="34" t="e">
        <f>#REF!</f>
        <v>#REF!</v>
      </c>
      <c r="C7" s="4" t="e">
        <f>#REF!</f>
        <v>#REF!</v>
      </c>
      <c r="D7" s="59" t="s">
        <v>137</v>
      </c>
    </row>
    <row r="8" spans="1:4" x14ac:dyDescent="0.25">
      <c r="A8" s="38" t="e">
        <f>#REF!</f>
        <v>#REF!</v>
      </c>
      <c r="B8" s="34" t="e">
        <f>#REF!</f>
        <v>#REF!</v>
      </c>
      <c r="C8" s="4" t="e">
        <f>#REF!</f>
        <v>#REF!</v>
      </c>
      <c r="D8" s="59" t="s">
        <v>265</v>
      </c>
    </row>
    <row r="9" spans="1:4" x14ac:dyDescent="0.25">
      <c r="A9" s="38" t="e">
        <f>#REF!</f>
        <v>#REF!</v>
      </c>
      <c r="B9" s="34" t="e">
        <f>#REF!</f>
        <v>#REF!</v>
      </c>
      <c r="C9" s="4" t="e">
        <f>#REF!</f>
        <v>#REF!</v>
      </c>
      <c r="D9" s="59" t="s">
        <v>275</v>
      </c>
    </row>
    <row r="10" spans="1:4" x14ac:dyDescent="0.25">
      <c r="A10" s="38" t="e">
        <f>#REF!</f>
        <v>#REF!</v>
      </c>
      <c r="B10" s="34" t="e">
        <f>#REF!</f>
        <v>#REF!</v>
      </c>
      <c r="C10" s="4" t="e">
        <f>#REF!</f>
        <v>#REF!</v>
      </c>
      <c r="D10" s="59" t="s">
        <v>276</v>
      </c>
    </row>
    <row r="11" spans="1:4" x14ac:dyDescent="0.25">
      <c r="A11" s="38" t="e">
        <f>#REF!</f>
        <v>#REF!</v>
      </c>
      <c r="B11" s="34" t="e">
        <f>#REF!</f>
        <v>#REF!</v>
      </c>
      <c r="C11" s="4" t="e">
        <f>#REF!</f>
        <v>#REF!</v>
      </c>
      <c r="D11" s="60" t="s">
        <v>138</v>
      </c>
    </row>
    <row r="12" spans="1:4" x14ac:dyDescent="0.25">
      <c r="A12" s="38" t="e">
        <f>#REF!</f>
        <v>#REF!</v>
      </c>
      <c r="B12" s="34" t="e">
        <f>#REF!</f>
        <v>#REF!</v>
      </c>
      <c r="C12" s="4" t="e">
        <f>#REF!</f>
        <v>#REF!</v>
      </c>
      <c r="D12" s="59" t="s">
        <v>277</v>
      </c>
    </row>
    <row r="13" spans="1:4" x14ac:dyDescent="0.25">
      <c r="A13" s="38" t="e">
        <f>#REF!</f>
        <v>#REF!</v>
      </c>
      <c r="B13" s="34" t="e">
        <f>#REF!</f>
        <v>#REF!</v>
      </c>
      <c r="C13" s="4" t="e">
        <f>#REF!</f>
        <v>#REF!</v>
      </c>
      <c r="D13" s="59" t="s">
        <v>278</v>
      </c>
    </row>
    <row r="14" spans="1:4" x14ac:dyDescent="0.25">
      <c r="A14" s="38" t="e">
        <f>#REF!</f>
        <v>#REF!</v>
      </c>
      <c r="B14" s="34" t="e">
        <f>#REF!</f>
        <v>#REF!</v>
      </c>
      <c r="C14" s="4" t="e">
        <f>#REF!</f>
        <v>#REF!</v>
      </c>
      <c r="D14" s="59" t="s">
        <v>279</v>
      </c>
    </row>
    <row r="15" spans="1:4" x14ac:dyDescent="0.25">
      <c r="A15" s="38" t="e">
        <f>#REF!</f>
        <v>#REF!</v>
      </c>
      <c r="B15" s="34" t="e">
        <f>#REF!</f>
        <v>#REF!</v>
      </c>
      <c r="C15" s="4" t="e">
        <f>#REF!</f>
        <v>#REF!</v>
      </c>
      <c r="D15" s="61" t="s">
        <v>280</v>
      </c>
    </row>
    <row r="16" spans="1:4" x14ac:dyDescent="0.25">
      <c r="A16" s="38" t="e">
        <f>#REF!</f>
        <v>#REF!</v>
      </c>
      <c r="B16" s="34" t="e">
        <f>#REF!</f>
        <v>#REF!</v>
      </c>
      <c r="C16" s="4" t="e">
        <f>#REF!</f>
        <v>#REF!</v>
      </c>
      <c r="D16" s="59" t="s">
        <v>266</v>
      </c>
    </row>
    <row r="17" spans="1:4" x14ac:dyDescent="0.25">
      <c r="A17" s="38" t="e">
        <f>#REF!</f>
        <v>#REF!</v>
      </c>
      <c r="B17" s="34" t="e">
        <f>#REF!</f>
        <v>#REF!</v>
      </c>
      <c r="C17" s="4" t="e">
        <f>#REF!</f>
        <v>#REF!</v>
      </c>
      <c r="D17" s="62" t="s">
        <v>139</v>
      </c>
    </row>
    <row r="18" spans="1:4" x14ac:dyDescent="0.25">
      <c r="A18" s="38" t="e">
        <f>#REF!</f>
        <v>#REF!</v>
      </c>
      <c r="B18" s="34" t="e">
        <f>#REF!</f>
        <v>#REF!</v>
      </c>
      <c r="C18" s="4" t="e">
        <f>#REF!</f>
        <v>#REF!</v>
      </c>
      <c r="D18" s="59" t="s">
        <v>337</v>
      </c>
    </row>
    <row r="19" spans="1:4" x14ac:dyDescent="0.25">
      <c r="A19" s="38" t="e">
        <f>#REF!</f>
        <v>#REF!</v>
      </c>
      <c r="B19" s="34" t="e">
        <f>#REF!</f>
        <v>#REF!</v>
      </c>
      <c r="C19" s="4" t="e">
        <f>#REF!</f>
        <v>#REF!</v>
      </c>
      <c r="D19" s="63" t="s">
        <v>281</v>
      </c>
    </row>
    <row r="20" spans="1:4" x14ac:dyDescent="0.25">
      <c r="A20" s="38" t="e">
        <f>#REF!</f>
        <v>#REF!</v>
      </c>
      <c r="B20" s="34" t="e">
        <f>#REF!</f>
        <v>#REF!</v>
      </c>
      <c r="C20" s="4" t="e">
        <f>#REF!</f>
        <v>#REF!</v>
      </c>
      <c r="D20" s="62" t="s">
        <v>282</v>
      </c>
    </row>
    <row r="21" spans="1:4" x14ac:dyDescent="0.25">
      <c r="A21" s="38" t="e">
        <f>#REF!</f>
        <v>#REF!</v>
      </c>
      <c r="B21" s="34" t="e">
        <f>#REF!</f>
        <v>#REF!</v>
      </c>
      <c r="C21" s="4" t="e">
        <f>#REF!</f>
        <v>#REF!</v>
      </c>
      <c r="D21" s="62" t="s">
        <v>345</v>
      </c>
    </row>
    <row r="22" spans="1:4" x14ac:dyDescent="0.25">
      <c r="A22" s="38" t="e">
        <f>#REF!</f>
        <v>#REF!</v>
      </c>
      <c r="B22" s="34" t="e">
        <f>#REF!</f>
        <v>#REF!</v>
      </c>
      <c r="C22" s="4" t="e">
        <f>#REF!</f>
        <v>#REF!</v>
      </c>
      <c r="D22" s="43" t="s">
        <v>283</v>
      </c>
    </row>
    <row r="23" spans="1:4" x14ac:dyDescent="0.25">
      <c r="A23" s="38" t="e">
        <f>#REF!</f>
        <v>#REF!</v>
      </c>
      <c r="B23" s="34" t="e">
        <f>#REF!</f>
        <v>#REF!</v>
      </c>
      <c r="C23" s="4" t="e">
        <f>#REF!</f>
        <v>#REF!</v>
      </c>
      <c r="D23" s="43" t="s">
        <v>284</v>
      </c>
    </row>
    <row r="24" spans="1:4" x14ac:dyDescent="0.25">
      <c r="A24" s="38" t="e">
        <f>#REF!</f>
        <v>#REF!</v>
      </c>
      <c r="B24" s="34" t="e">
        <f>#REF!</f>
        <v>#REF!</v>
      </c>
      <c r="C24" s="4" t="e">
        <f>#REF!</f>
        <v>#REF!</v>
      </c>
      <c r="D24" s="64" t="s">
        <v>285</v>
      </c>
    </row>
    <row r="25" spans="1:4" x14ac:dyDescent="0.25">
      <c r="A25" s="38" t="e">
        <f>#REF!</f>
        <v>#REF!</v>
      </c>
      <c r="B25" s="34" t="e">
        <f>#REF!</f>
        <v>#REF!</v>
      </c>
      <c r="C25" s="4" t="e">
        <f>#REF!</f>
        <v>#REF!</v>
      </c>
      <c r="D25" s="42" t="s">
        <v>286</v>
      </c>
    </row>
    <row r="26" spans="1:4" x14ac:dyDescent="0.25">
      <c r="A26" s="38" t="e">
        <f>#REF!</f>
        <v>#REF!</v>
      </c>
      <c r="B26" s="34" t="e">
        <f>#REF!</f>
        <v>#REF!</v>
      </c>
      <c r="C26" s="4" t="e">
        <f>#REF!</f>
        <v>#REF!</v>
      </c>
      <c r="D26" s="64" t="s">
        <v>287</v>
      </c>
    </row>
    <row r="27" spans="1:4" x14ac:dyDescent="0.25">
      <c r="A27" s="38" t="e">
        <f>#REF!</f>
        <v>#REF!</v>
      </c>
      <c r="B27" s="34" t="e">
        <f>#REF!</f>
        <v>#REF!</v>
      </c>
      <c r="C27" s="4" t="e">
        <f>#REF!</f>
        <v>#REF!</v>
      </c>
      <c r="D27" s="64" t="s">
        <v>288</v>
      </c>
    </row>
    <row r="28" spans="1:4" x14ac:dyDescent="0.25">
      <c r="A28" s="38" t="e">
        <f>#REF!</f>
        <v>#REF!</v>
      </c>
      <c r="B28" s="34" t="e">
        <f>#REF!</f>
        <v>#REF!</v>
      </c>
      <c r="C28" s="4" t="e">
        <f>#REF!</f>
        <v>#REF!</v>
      </c>
      <c r="D28" s="63" t="s">
        <v>294</v>
      </c>
    </row>
    <row r="29" spans="1:4" x14ac:dyDescent="0.25">
      <c r="A29" s="38" t="e">
        <f>#REF!</f>
        <v>#REF!</v>
      </c>
      <c r="B29" s="34" t="e">
        <f>#REF!</f>
        <v>#REF!</v>
      </c>
      <c r="C29" s="4" t="e">
        <f>#REF!</f>
        <v>#REF!</v>
      </c>
      <c r="D29" s="63" t="s">
        <v>289</v>
      </c>
    </row>
    <row r="30" spans="1:4" x14ac:dyDescent="0.25">
      <c r="A30" s="38" t="e">
        <f>#REF!</f>
        <v>#REF!</v>
      </c>
      <c r="B30" s="34" t="e">
        <f>#REF!</f>
        <v>#REF!</v>
      </c>
      <c r="C30" s="4" t="e">
        <f>#REF!</f>
        <v>#REF!</v>
      </c>
      <c r="D30" s="63" t="s">
        <v>290</v>
      </c>
    </row>
    <row r="31" spans="1:4" x14ac:dyDescent="0.25">
      <c r="A31" s="38" t="e">
        <f>#REF!</f>
        <v>#REF!</v>
      </c>
      <c r="B31" s="34" t="e">
        <f>#REF!</f>
        <v>#REF!</v>
      </c>
      <c r="C31" s="4" t="e">
        <f>#REF!</f>
        <v>#REF!</v>
      </c>
      <c r="D31" s="62" t="s">
        <v>291</v>
      </c>
    </row>
    <row r="32" spans="1:4" x14ac:dyDescent="0.25">
      <c r="A32" s="38" t="e">
        <f>#REF!</f>
        <v>#REF!</v>
      </c>
      <c r="B32" s="34" t="e">
        <f>#REF!</f>
        <v>#REF!</v>
      </c>
      <c r="C32" s="4" t="e">
        <f>#REF!</f>
        <v>#REF!</v>
      </c>
      <c r="D32" s="62" t="s">
        <v>292</v>
      </c>
    </row>
    <row r="33" spans="1:4" x14ac:dyDescent="0.25">
      <c r="A33" s="38" t="e">
        <f>#REF!</f>
        <v>#REF!</v>
      </c>
      <c r="B33" s="34" t="e">
        <f>#REF!</f>
        <v>#REF!</v>
      </c>
      <c r="C33" s="4" t="e">
        <f>#REF!</f>
        <v>#REF!</v>
      </c>
      <c r="D33" s="64" t="s">
        <v>136</v>
      </c>
    </row>
    <row r="34" spans="1:4" x14ac:dyDescent="0.25">
      <c r="A34" s="38" t="e">
        <f>#REF!</f>
        <v>#REF!</v>
      </c>
      <c r="B34" s="34" t="e">
        <f>#REF!</f>
        <v>#REF!</v>
      </c>
      <c r="C34" s="4" t="e">
        <f>#REF!</f>
        <v>#REF!</v>
      </c>
      <c r="D34" s="64" t="s">
        <v>293</v>
      </c>
    </row>
    <row r="35" spans="1:4" x14ac:dyDescent="0.25">
      <c r="A35" s="38"/>
      <c r="B35" s="38"/>
      <c r="C35" s="38"/>
      <c r="D35" s="38"/>
    </row>
    <row r="36" spans="1:4" x14ac:dyDescent="0.25">
      <c r="A36" s="38"/>
      <c r="B36" s="38"/>
      <c r="C36" s="38"/>
      <c r="D36" s="38"/>
    </row>
    <row r="37" spans="1:4" x14ac:dyDescent="0.25">
      <c r="A37" s="38"/>
      <c r="B37" s="38"/>
      <c r="C37" s="38"/>
      <c r="D37" s="38"/>
    </row>
    <row r="38" spans="1:4" x14ac:dyDescent="0.25">
      <c r="A38" s="38"/>
      <c r="B38" s="38"/>
      <c r="C38" s="38"/>
      <c r="D38" s="38"/>
    </row>
    <row r="39" spans="1:4" x14ac:dyDescent="0.25">
      <c r="A39" s="38"/>
      <c r="B39" s="38"/>
      <c r="C39" s="38"/>
      <c r="D39" s="38"/>
    </row>
    <row r="40" spans="1:4" x14ac:dyDescent="0.25">
      <c r="A40" s="38"/>
      <c r="B40" s="38"/>
      <c r="C40" s="38"/>
      <c r="D40" s="38"/>
    </row>
    <row r="41" spans="1:4" x14ac:dyDescent="0.25">
      <c r="A41" s="38"/>
      <c r="B41" s="38"/>
      <c r="C41" s="38"/>
      <c r="D41" s="38"/>
    </row>
    <row r="42" spans="1:4" x14ac:dyDescent="0.25">
      <c r="A42" s="38"/>
      <c r="B42" s="38"/>
      <c r="C42" s="38"/>
      <c r="D42" s="38"/>
    </row>
    <row r="43" spans="1:4" x14ac:dyDescent="0.25">
      <c r="A43" s="38"/>
      <c r="B43" s="38"/>
      <c r="C43" s="38"/>
      <c r="D43" s="38"/>
    </row>
    <row r="44" spans="1:4" x14ac:dyDescent="0.25">
      <c r="A44" s="38"/>
      <c r="B44" s="38"/>
      <c r="C44" s="38"/>
      <c r="D44" s="38"/>
    </row>
    <row r="45" spans="1:4" x14ac:dyDescent="0.25">
      <c r="A45" s="38"/>
      <c r="B45" s="38"/>
      <c r="C45" s="38"/>
      <c r="D45" s="38"/>
    </row>
    <row r="46" spans="1:4" x14ac:dyDescent="0.25">
      <c r="A46" s="38"/>
      <c r="B46" s="38"/>
      <c r="C46" s="38"/>
      <c r="D46" s="38"/>
    </row>
    <row r="47" spans="1:4" x14ac:dyDescent="0.25">
      <c r="A47" s="38"/>
      <c r="B47" s="38"/>
      <c r="C47" s="38"/>
      <c r="D47" s="38"/>
    </row>
    <row r="48" spans="1:4" x14ac:dyDescent="0.25">
      <c r="A48" s="38"/>
      <c r="B48" s="38"/>
      <c r="C48" s="38"/>
      <c r="D48" s="38"/>
    </row>
    <row r="49" spans="1:4" x14ac:dyDescent="0.25">
      <c r="A49" s="38"/>
      <c r="B49" s="38"/>
      <c r="C49" s="38"/>
      <c r="D49" s="38"/>
    </row>
    <row r="50" spans="1:4" x14ac:dyDescent="0.25">
      <c r="A50" s="38"/>
      <c r="B50" s="38"/>
      <c r="C50" s="38"/>
      <c r="D50" s="38"/>
    </row>
    <row r="51" spans="1:4" x14ac:dyDescent="0.25">
      <c r="A51" s="38"/>
      <c r="B51" s="38"/>
      <c r="C51" s="38"/>
      <c r="D51" s="38"/>
    </row>
    <row r="52" spans="1:4" x14ac:dyDescent="0.25">
      <c r="A52" s="38"/>
      <c r="B52" s="38"/>
      <c r="C52" s="38"/>
      <c r="D52" s="38"/>
    </row>
    <row r="53" spans="1:4" x14ac:dyDescent="0.25">
      <c r="A53" s="38"/>
      <c r="B53" s="38"/>
      <c r="C53" s="38"/>
      <c r="D53" s="38"/>
    </row>
    <row r="54" spans="1:4" x14ac:dyDescent="0.25">
      <c r="A54" s="38"/>
      <c r="B54" s="38"/>
      <c r="C54" s="38"/>
      <c r="D54" s="38"/>
    </row>
    <row r="55" spans="1:4" x14ac:dyDescent="0.25">
      <c r="A55" s="38"/>
      <c r="B55" s="38"/>
      <c r="C55" s="38"/>
      <c r="D55" s="38"/>
    </row>
    <row r="56" spans="1:4" x14ac:dyDescent="0.25">
      <c r="A56" s="38"/>
      <c r="B56" s="38"/>
      <c r="C56" s="38"/>
      <c r="D56" s="38"/>
    </row>
    <row r="57" spans="1:4" x14ac:dyDescent="0.25">
      <c r="A57" s="38"/>
      <c r="B57" s="38"/>
      <c r="C57" s="38"/>
      <c r="D57" s="38"/>
    </row>
    <row r="58" spans="1:4" x14ac:dyDescent="0.25">
      <c r="A58" s="38"/>
      <c r="B58" s="38"/>
      <c r="C58" s="38"/>
      <c r="D58" s="38"/>
    </row>
    <row r="59" spans="1:4" x14ac:dyDescent="0.25">
      <c r="A59" s="38"/>
      <c r="B59" s="38"/>
      <c r="C59" s="38"/>
      <c r="D59" s="38"/>
    </row>
    <row r="60" spans="1:4" x14ac:dyDescent="0.25">
      <c r="A60" s="38"/>
      <c r="B60" s="38"/>
      <c r="C60" s="38"/>
      <c r="D60" s="38"/>
    </row>
    <row r="61" spans="1:4" x14ac:dyDescent="0.25">
      <c r="A61" s="38"/>
      <c r="B61" s="38"/>
      <c r="C61" s="38"/>
      <c r="D61" s="38"/>
    </row>
    <row r="62" spans="1:4" x14ac:dyDescent="0.25">
      <c r="A62" s="38"/>
      <c r="B62" s="38"/>
      <c r="C62" s="38"/>
      <c r="D62" s="38"/>
    </row>
    <row r="63" spans="1:4" x14ac:dyDescent="0.25">
      <c r="A63" s="38"/>
      <c r="B63" s="38"/>
      <c r="C63" s="38"/>
      <c r="D63" s="38"/>
    </row>
    <row r="64" spans="1:4" x14ac:dyDescent="0.25">
      <c r="A64" s="38"/>
      <c r="B64" s="38"/>
      <c r="C64" s="38"/>
      <c r="D64" s="38"/>
    </row>
    <row r="65" spans="1:4" x14ac:dyDescent="0.25">
      <c r="A65" s="38"/>
      <c r="B65" s="38"/>
      <c r="C65" s="38"/>
      <c r="D65" s="38"/>
    </row>
    <row r="66" spans="1:4" x14ac:dyDescent="0.25">
      <c r="A66" s="38"/>
      <c r="B66" s="38"/>
      <c r="C66" s="38"/>
      <c r="D66" s="38"/>
    </row>
    <row r="67" spans="1:4" x14ac:dyDescent="0.25">
      <c r="A67" s="38"/>
      <c r="B67" s="38"/>
      <c r="C67" s="38"/>
      <c r="D67" s="38"/>
    </row>
    <row r="68" spans="1:4" x14ac:dyDescent="0.25">
      <c r="A68" s="38"/>
      <c r="B68" s="38"/>
      <c r="C68" s="38"/>
      <c r="D68" s="38"/>
    </row>
    <row r="69" spans="1:4" x14ac:dyDescent="0.25">
      <c r="A69" s="38"/>
      <c r="B69" s="38"/>
      <c r="C69" s="38"/>
      <c r="D69" s="38"/>
    </row>
    <row r="70" spans="1:4" x14ac:dyDescent="0.25">
      <c r="A70" s="38"/>
      <c r="B70" s="38"/>
      <c r="C70" s="38"/>
      <c r="D70" s="38"/>
    </row>
    <row r="71" spans="1:4" x14ac:dyDescent="0.25">
      <c r="A71" s="38"/>
      <c r="B71" s="38"/>
      <c r="C71" s="38"/>
      <c r="D71" s="38"/>
    </row>
    <row r="72" spans="1:4" x14ac:dyDescent="0.25">
      <c r="A72" s="38"/>
      <c r="B72" s="38"/>
      <c r="C72" s="38"/>
      <c r="D72" s="38"/>
    </row>
    <row r="73" spans="1:4" x14ac:dyDescent="0.25">
      <c r="A73" s="38"/>
      <c r="B73" s="38"/>
      <c r="C73" s="38"/>
      <c r="D73" s="38"/>
    </row>
    <row r="74" spans="1:4" x14ac:dyDescent="0.25">
      <c r="A74" s="38"/>
      <c r="B74" s="38"/>
      <c r="C74" s="38"/>
      <c r="D74" s="38"/>
    </row>
    <row r="75" spans="1:4" x14ac:dyDescent="0.25">
      <c r="A75" s="38"/>
      <c r="B75" s="38"/>
      <c r="C75" s="38"/>
      <c r="D75" s="38"/>
    </row>
    <row r="76" spans="1:4" x14ac:dyDescent="0.25">
      <c r="A76" s="38"/>
      <c r="B76" s="38"/>
      <c r="C76" s="38"/>
      <c r="D76" s="38"/>
    </row>
    <row r="77" spans="1:4" x14ac:dyDescent="0.25">
      <c r="A77" s="38"/>
      <c r="B77" s="38"/>
      <c r="C77" s="38"/>
      <c r="D77" s="38"/>
    </row>
    <row r="78" spans="1:4" x14ac:dyDescent="0.25">
      <c r="A78" s="38"/>
      <c r="B78" s="38"/>
      <c r="C78" s="38"/>
      <c r="D78" s="38"/>
    </row>
    <row r="79" spans="1:4" x14ac:dyDescent="0.25">
      <c r="A79" s="38"/>
      <c r="B79" s="38"/>
      <c r="C79" s="38"/>
      <c r="D79" s="38"/>
    </row>
    <row r="80" spans="1:4" x14ac:dyDescent="0.25">
      <c r="A80" s="38"/>
      <c r="B80" s="38"/>
      <c r="C80" s="38"/>
      <c r="D80" s="38"/>
    </row>
    <row r="81" spans="1:4" x14ac:dyDescent="0.25">
      <c r="A81" s="38"/>
      <c r="B81" s="38"/>
      <c r="C81" s="38"/>
      <c r="D81" s="38"/>
    </row>
    <row r="82" spans="1:4" x14ac:dyDescent="0.25">
      <c r="A82" s="38"/>
      <c r="B82" s="38"/>
      <c r="C82" s="38"/>
      <c r="D82" s="38"/>
    </row>
  </sheetData>
  <conditionalFormatting sqref="C5:C34">
    <cfRule type="cellIs" dxfId="0" priority="156" operator="equal">
      <formula>0</formula>
    </cfRule>
    <cfRule type="dataBar" priority="157">
      <dataBar>
        <cfvo type="min"/>
        <cfvo type="max"/>
        <color rgb="FF638EC6"/>
      </dataBar>
      <extLst>
        <ext xmlns:x14="http://schemas.microsoft.com/office/spreadsheetml/2009/9/main" uri="{B025F937-C7B1-47D3-B67F-A62EFF666E3E}">
          <x14:id>{356BBCD5-D398-43C8-B29C-ED28E3FBE23D}</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356BBCD5-D398-43C8-B29C-ED28E3FBE23D}">
            <x14:dataBar minLength="0" maxLength="100" border="1" negativeBarBorderColorSameAsPositive="0">
              <x14:cfvo type="autoMin"/>
              <x14:cfvo type="autoMax"/>
              <x14:borderColor rgb="FF638EC6"/>
              <x14:negativeFillColor rgb="FFFF0000"/>
              <x14:negativeBorderColor rgb="FFFF0000"/>
              <x14:axisColor rgb="FF000000"/>
            </x14:dataBar>
          </x14:cfRule>
          <xm:sqref>C5:C34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12</vt:i4>
      </vt:variant>
    </vt:vector>
  </HeadingPairs>
  <TitlesOfParts>
    <vt:vector size="12" baseType="lpstr">
      <vt:lpstr>Notas</vt:lpstr>
      <vt:lpstr>MATRIZ</vt:lpstr>
      <vt:lpstr>RF</vt:lpstr>
      <vt:lpstr>Barreras</vt:lpstr>
      <vt:lpstr>RC</vt:lpstr>
      <vt:lpstr>Riesgo - Análisis - 1</vt:lpstr>
      <vt:lpstr>Riesgo - Análisis - 2</vt:lpstr>
      <vt:lpstr>Riesgo - Análisis - 3</vt:lpstr>
      <vt:lpstr>Barreras - Análisis 1</vt:lpstr>
      <vt:lpstr>Barreras - Análisis 2</vt:lpstr>
      <vt:lpstr>RF - Análisis 1 </vt:lpstr>
      <vt:lpstr>RC - Análisis 1</vt:lpstr>
    </vt:vector>
  </TitlesOfParts>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Arturo Perez Mulas</dc:creator>
  <cp:lastModifiedBy>Consejo de Seguridad Nuclear</cp:lastModifiedBy>
  <dcterms:created xsi:type="dcterms:W3CDTF">2016-02-10T10:58:46Z</dcterms:created>
  <dcterms:modified xsi:type="dcterms:W3CDTF">2025-06-09T12:36:54Z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439f39aa-c69c-4580-bc75-c84e423511e2</vt:lpwstr>
  </property>
</Properties>
</file>